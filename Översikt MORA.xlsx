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45744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45744</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45744</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45744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45744</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45744</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45744</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45744</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45744</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45744</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45744</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45744</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45744</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45744</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45744</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45744</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45744</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45744</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45744</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45744</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45744</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45744</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60365-2023</t>
        </is>
      </c>
      <c r="B24" s="1" t="n">
        <v>45259</v>
      </c>
      <c r="C24" s="1" t="n">
        <v>45744</v>
      </c>
      <c r="D24" t="inlineStr">
        <is>
          <t>DALARNAS LÄN</t>
        </is>
      </c>
      <c r="E24" t="inlineStr">
        <is>
          <t>MORA</t>
        </is>
      </c>
      <c r="G24" t="n">
        <v>7.5</v>
      </c>
      <c r="H24" t="n">
        <v>5</v>
      </c>
      <c r="I24" t="n">
        <v>0</v>
      </c>
      <c r="J24" t="n">
        <v>3</v>
      </c>
      <c r="K24" t="n">
        <v>0</v>
      </c>
      <c r="L24" t="n">
        <v>0</v>
      </c>
      <c r="M24" t="n">
        <v>0</v>
      </c>
      <c r="N24" t="n">
        <v>0</v>
      </c>
      <c r="O24" t="n">
        <v>3</v>
      </c>
      <c r="P24" t="n">
        <v>0</v>
      </c>
      <c r="Q24" t="n">
        <v>5</v>
      </c>
      <c r="R24" s="2" t="inlineStr">
        <is>
          <t>Grönsångare
Rödvingetrast
Slaguggla
Trana
Nattviol</t>
        </is>
      </c>
      <c r="S24">
        <f>HYPERLINK("https://klasma.github.io/Logging_2062/artfynd/A 60365-2023 artfynd.xlsx", "A 60365-2023")</f>
        <v/>
      </c>
      <c r="T24">
        <f>HYPERLINK("https://klasma.github.io/Logging_2062/kartor/A 60365-2023 karta.png", "A 60365-2023")</f>
        <v/>
      </c>
      <c r="V24">
        <f>HYPERLINK("https://klasma.github.io/Logging_2062/klagomål/A 60365-2023 FSC-klagomål.docx", "A 60365-2023")</f>
        <v/>
      </c>
      <c r="W24">
        <f>HYPERLINK("https://klasma.github.io/Logging_2062/klagomålsmail/A 60365-2023 FSC-klagomål mail.docx", "A 60365-2023")</f>
        <v/>
      </c>
      <c r="X24">
        <f>HYPERLINK("https://klasma.github.io/Logging_2062/tillsyn/A 60365-2023 tillsynsbegäran.docx", "A 60365-2023")</f>
        <v/>
      </c>
      <c r="Y24">
        <f>HYPERLINK("https://klasma.github.io/Logging_2062/tillsynsmail/A 60365-2023 tillsynsbegäran mail.docx", "A 60365-2023")</f>
        <v/>
      </c>
      <c r="Z24">
        <f>HYPERLINK("https://klasma.github.io/Logging_2062/fåglar/A 60365-2023 prioriterade fågelarter.docx", "A 60365-2023")</f>
        <v/>
      </c>
    </row>
    <row r="25" ht="15" customHeight="1">
      <c r="A25" t="inlineStr">
        <is>
          <t>A 8760-2025</t>
        </is>
      </c>
      <c r="B25" s="1" t="n">
        <v>45712</v>
      </c>
      <c r="C25" s="1" t="n">
        <v>45744</v>
      </c>
      <c r="D25" t="inlineStr">
        <is>
          <t>DALARNAS LÄN</t>
        </is>
      </c>
      <c r="E25" t="inlineStr">
        <is>
          <t>MORA</t>
        </is>
      </c>
      <c r="F25" t="inlineStr">
        <is>
          <t>Allmännings- och besparingsskogar</t>
        </is>
      </c>
      <c r="G25" t="n">
        <v>36.6</v>
      </c>
      <c r="H25" t="n">
        <v>0</v>
      </c>
      <c r="I25" t="n">
        <v>0</v>
      </c>
      <c r="J25" t="n">
        <v>5</v>
      </c>
      <c r="K25" t="n">
        <v>0</v>
      </c>
      <c r="L25" t="n">
        <v>0</v>
      </c>
      <c r="M25" t="n">
        <v>0</v>
      </c>
      <c r="N25" t="n">
        <v>0</v>
      </c>
      <c r="O25" t="n">
        <v>5</v>
      </c>
      <c r="P25" t="n">
        <v>0</v>
      </c>
      <c r="Q25" t="n">
        <v>5</v>
      </c>
      <c r="R25" s="2" t="inlineStr">
        <is>
          <t>Garnlav
Mörk kolflarnlav
Skogshare
Vedflamlav
Vedskivlav</t>
        </is>
      </c>
      <c r="S25">
        <f>HYPERLINK("https://klasma.github.io/Logging_2062/artfynd/A 8760-2025 artfynd.xlsx", "A 8760-2025")</f>
        <v/>
      </c>
      <c r="T25">
        <f>HYPERLINK("https://klasma.github.io/Logging_2062/kartor/A 8760-2025 karta.png", "A 8760-2025")</f>
        <v/>
      </c>
      <c r="V25">
        <f>HYPERLINK("https://klasma.github.io/Logging_2062/klagomål/A 8760-2025 FSC-klagomål.docx", "A 8760-2025")</f>
        <v/>
      </c>
      <c r="W25">
        <f>HYPERLINK("https://klasma.github.io/Logging_2062/klagomålsmail/A 8760-2025 FSC-klagomål mail.docx", "A 8760-2025")</f>
        <v/>
      </c>
      <c r="X25">
        <f>HYPERLINK("https://klasma.github.io/Logging_2062/tillsyn/A 8760-2025 tillsynsbegäran.docx", "A 8760-2025")</f>
        <v/>
      </c>
      <c r="Y25">
        <f>HYPERLINK("https://klasma.github.io/Logging_2062/tillsynsmail/A 8760-2025 tillsynsbegäran mail.docx", "A 8760-2025")</f>
        <v/>
      </c>
    </row>
    <row r="26" ht="15" customHeight="1">
      <c r="A26" t="inlineStr">
        <is>
          <t>A 29386-2019</t>
        </is>
      </c>
      <c r="B26" s="1" t="n">
        <v>43629</v>
      </c>
      <c r="C26" s="1" t="n">
        <v>45744</v>
      </c>
      <c r="D26" t="inlineStr">
        <is>
          <t>DALARNAS LÄN</t>
        </is>
      </c>
      <c r="E26" t="inlineStr">
        <is>
          <t>MORA</t>
        </is>
      </c>
      <c r="G26" t="n">
        <v>1.8</v>
      </c>
      <c r="H26" t="n">
        <v>1</v>
      </c>
      <c r="I26" t="n">
        <v>1</v>
      </c>
      <c r="J26" t="n">
        <v>2</v>
      </c>
      <c r="K26" t="n">
        <v>0</v>
      </c>
      <c r="L26" t="n">
        <v>0</v>
      </c>
      <c r="M26" t="n">
        <v>0</v>
      </c>
      <c r="N26" t="n">
        <v>0</v>
      </c>
      <c r="O26" t="n">
        <v>2</v>
      </c>
      <c r="P26" t="n">
        <v>0</v>
      </c>
      <c r="Q26" t="n">
        <v>4</v>
      </c>
      <c r="R26" s="2" t="inlineStr">
        <is>
          <t>Garnlav
Mörk kolflarnlav
Mindre märgborre
Kungsfågel</t>
        </is>
      </c>
      <c r="S26">
        <f>HYPERLINK("https://klasma.github.io/Logging_2062/artfynd/A 29386-2019 artfynd.xlsx", "A 29386-2019")</f>
        <v/>
      </c>
      <c r="T26">
        <f>HYPERLINK("https://klasma.github.io/Logging_2062/kartor/A 29386-2019 karta.png", "A 29386-2019")</f>
        <v/>
      </c>
      <c r="V26">
        <f>HYPERLINK("https://klasma.github.io/Logging_2062/klagomål/A 29386-2019 FSC-klagomål.docx", "A 29386-2019")</f>
        <v/>
      </c>
      <c r="W26">
        <f>HYPERLINK("https://klasma.github.io/Logging_2062/klagomålsmail/A 29386-2019 FSC-klagomål mail.docx", "A 29386-2019")</f>
        <v/>
      </c>
      <c r="X26">
        <f>HYPERLINK("https://klasma.github.io/Logging_2062/tillsyn/A 29386-2019 tillsynsbegäran.docx", "A 29386-2019")</f>
        <v/>
      </c>
      <c r="Y26">
        <f>HYPERLINK("https://klasma.github.io/Logging_2062/tillsynsmail/A 29386-2019 tillsynsbegäran mail.docx", "A 29386-2019")</f>
        <v/>
      </c>
      <c r="Z26">
        <f>HYPERLINK("https://klasma.github.io/Logging_2062/fåglar/A 29386-2019 prioriterade fågelarter.docx", "A 29386-2019")</f>
        <v/>
      </c>
    </row>
    <row r="27" ht="15" customHeight="1">
      <c r="A27" t="inlineStr">
        <is>
          <t>A 14293-2024</t>
        </is>
      </c>
      <c r="B27" s="1" t="n">
        <v>45393</v>
      </c>
      <c r="C27" s="1" t="n">
        <v>45744</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45744</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45744</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45744</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45744</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45744</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45744</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45744</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45744</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45744</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45744</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45744</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45744</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45744</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45744</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45744</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13728-2025</t>
        </is>
      </c>
      <c r="B43" s="1" t="n">
        <v>45737</v>
      </c>
      <c r="C43" s="1" t="n">
        <v>45744</v>
      </c>
      <c r="D43" t="inlineStr">
        <is>
          <t>DALARNAS LÄN</t>
        </is>
      </c>
      <c r="E43" t="inlineStr">
        <is>
          <t>MORA</t>
        </is>
      </c>
      <c r="G43" t="n">
        <v>111.2</v>
      </c>
      <c r="H43" t="n">
        <v>0</v>
      </c>
      <c r="I43" t="n">
        <v>0</v>
      </c>
      <c r="J43" t="n">
        <v>1</v>
      </c>
      <c r="K43" t="n">
        <v>1</v>
      </c>
      <c r="L43" t="n">
        <v>0</v>
      </c>
      <c r="M43" t="n">
        <v>0</v>
      </c>
      <c r="N43" t="n">
        <v>0</v>
      </c>
      <c r="O43" t="n">
        <v>2</v>
      </c>
      <c r="P43" t="n">
        <v>1</v>
      </c>
      <c r="Q43" t="n">
        <v>2</v>
      </c>
      <c r="R43" s="2" t="inlineStr">
        <is>
          <t>Smalfotad taggsvamp
Garnlav</t>
        </is>
      </c>
      <c r="S43">
        <f>HYPERLINK("https://klasma.github.io/Logging_2062/artfynd/A 13728-2025 artfynd.xlsx", "A 13728-2025")</f>
        <v/>
      </c>
      <c r="T43">
        <f>HYPERLINK("https://klasma.github.io/Logging_2062/kartor/A 13728-2025 karta.png", "A 13728-2025")</f>
        <v/>
      </c>
      <c r="V43">
        <f>HYPERLINK("https://klasma.github.io/Logging_2062/klagomål/A 13728-2025 FSC-klagomål.docx", "A 13728-2025")</f>
        <v/>
      </c>
      <c r="W43">
        <f>HYPERLINK("https://klasma.github.io/Logging_2062/klagomålsmail/A 13728-2025 FSC-klagomål mail.docx", "A 13728-2025")</f>
        <v/>
      </c>
      <c r="X43">
        <f>HYPERLINK("https://klasma.github.io/Logging_2062/tillsyn/A 13728-2025 tillsynsbegäran.docx", "A 13728-2025")</f>
        <v/>
      </c>
      <c r="Y43">
        <f>HYPERLINK("https://klasma.github.io/Logging_2062/tillsynsmail/A 13728-2025 tillsynsbegäran mail.docx", "A 13728-2025")</f>
        <v/>
      </c>
    </row>
    <row r="44" ht="15" customHeight="1">
      <c r="A44" t="inlineStr">
        <is>
          <t>A 33968-2020</t>
        </is>
      </c>
      <c r="B44" s="1" t="n">
        <v>44028</v>
      </c>
      <c r="C44" s="1" t="n">
        <v>45744</v>
      </c>
      <c r="D44" t="inlineStr">
        <is>
          <t>DALARNAS LÄN</t>
        </is>
      </c>
      <c r="E44" t="inlineStr">
        <is>
          <t>MORA</t>
        </is>
      </c>
      <c r="G44" t="n">
        <v>0.5</v>
      </c>
      <c r="H44" t="n">
        <v>1</v>
      </c>
      <c r="I44" t="n">
        <v>0</v>
      </c>
      <c r="J44" t="n">
        <v>1</v>
      </c>
      <c r="K44" t="n">
        <v>0</v>
      </c>
      <c r="L44" t="n">
        <v>0</v>
      </c>
      <c r="M44" t="n">
        <v>0</v>
      </c>
      <c r="N44" t="n">
        <v>0</v>
      </c>
      <c r="O44" t="n">
        <v>1</v>
      </c>
      <c r="P44" t="n">
        <v>0</v>
      </c>
      <c r="Q44" t="n">
        <v>1</v>
      </c>
      <c r="R44" s="2" t="inlineStr">
        <is>
          <t>Spillkråka</t>
        </is>
      </c>
      <c r="S44">
        <f>HYPERLINK("https://klasma.github.io/Logging_2062/artfynd/A 33968-2020 artfynd.xlsx", "A 33968-2020")</f>
        <v/>
      </c>
      <c r="T44">
        <f>HYPERLINK("https://klasma.github.io/Logging_2062/kartor/A 33968-2020 karta.png", "A 33968-2020")</f>
        <v/>
      </c>
      <c r="V44">
        <f>HYPERLINK("https://klasma.github.io/Logging_2062/klagomål/A 33968-2020 FSC-klagomål.docx", "A 33968-2020")</f>
        <v/>
      </c>
      <c r="W44">
        <f>HYPERLINK("https://klasma.github.io/Logging_2062/klagomålsmail/A 33968-2020 FSC-klagomål mail.docx", "A 33968-2020")</f>
        <v/>
      </c>
      <c r="X44">
        <f>HYPERLINK("https://klasma.github.io/Logging_2062/tillsyn/A 33968-2020 tillsynsbegäran.docx", "A 33968-2020")</f>
        <v/>
      </c>
      <c r="Y44">
        <f>HYPERLINK("https://klasma.github.io/Logging_2062/tillsynsmail/A 33968-2020 tillsynsbegäran mail.docx", "A 33968-2020")</f>
        <v/>
      </c>
      <c r="Z44">
        <f>HYPERLINK("https://klasma.github.io/Logging_2062/fåglar/A 33968-2020 prioriterade fågelarter.docx", "A 33968-2020")</f>
        <v/>
      </c>
    </row>
    <row r="45" ht="15" customHeight="1">
      <c r="A45" t="inlineStr">
        <is>
          <t>A 30328-2021</t>
        </is>
      </c>
      <c r="B45" s="1" t="n">
        <v>44364</v>
      </c>
      <c r="C45" s="1" t="n">
        <v>45744</v>
      </c>
      <c r="D45" t="inlineStr">
        <is>
          <t>DALARNAS LÄN</t>
        </is>
      </c>
      <c r="E45" t="inlineStr">
        <is>
          <t>MORA</t>
        </is>
      </c>
      <c r="F45" t="inlineStr">
        <is>
          <t>Bergvik skog öst AB</t>
        </is>
      </c>
      <c r="G45" t="n">
        <v>1.1</v>
      </c>
      <c r="H45" t="n">
        <v>1</v>
      </c>
      <c r="I45" t="n">
        <v>0</v>
      </c>
      <c r="J45" t="n">
        <v>1</v>
      </c>
      <c r="K45" t="n">
        <v>0</v>
      </c>
      <c r="L45" t="n">
        <v>0</v>
      </c>
      <c r="M45" t="n">
        <v>0</v>
      </c>
      <c r="N45" t="n">
        <v>0</v>
      </c>
      <c r="O45" t="n">
        <v>1</v>
      </c>
      <c r="P45" t="n">
        <v>0</v>
      </c>
      <c r="Q45" t="n">
        <v>1</v>
      </c>
      <c r="R45" s="2" t="inlineStr">
        <is>
          <t>Fjällvråk</t>
        </is>
      </c>
      <c r="S45">
        <f>HYPERLINK("https://klasma.github.io/Logging_2062/artfynd/A 30328-2021 artfynd.xlsx", "A 30328-2021")</f>
        <v/>
      </c>
      <c r="T45">
        <f>HYPERLINK("https://klasma.github.io/Logging_2062/kartor/A 30328-2021 karta.png", "A 30328-2021")</f>
        <v/>
      </c>
      <c r="V45">
        <f>HYPERLINK("https://klasma.github.io/Logging_2062/klagomål/A 30328-2021 FSC-klagomål.docx", "A 30328-2021")</f>
        <v/>
      </c>
      <c r="W45">
        <f>HYPERLINK("https://klasma.github.io/Logging_2062/klagomålsmail/A 30328-2021 FSC-klagomål mail.docx", "A 30328-2021")</f>
        <v/>
      </c>
      <c r="X45">
        <f>HYPERLINK("https://klasma.github.io/Logging_2062/tillsyn/A 30328-2021 tillsynsbegäran.docx", "A 30328-2021")</f>
        <v/>
      </c>
      <c r="Y45">
        <f>HYPERLINK("https://klasma.github.io/Logging_2062/tillsynsmail/A 30328-2021 tillsynsbegäran mail.docx", "A 30328-2021")</f>
        <v/>
      </c>
      <c r="Z45">
        <f>HYPERLINK("https://klasma.github.io/Logging_2062/fåglar/A 30328-2021 prioriterade fågelarter.docx", "A 30328-2021")</f>
        <v/>
      </c>
    </row>
    <row r="46" ht="15" customHeight="1">
      <c r="A46" t="inlineStr">
        <is>
          <t>A 57669-2022</t>
        </is>
      </c>
      <c r="B46" s="1" t="n">
        <v>44897</v>
      </c>
      <c r="C46" s="1" t="n">
        <v>45744</v>
      </c>
      <c r="D46" t="inlineStr">
        <is>
          <t>DALARNAS LÄN</t>
        </is>
      </c>
      <c r="E46" t="inlineStr">
        <is>
          <t>MORA</t>
        </is>
      </c>
      <c r="G46" t="n">
        <v>4.1</v>
      </c>
      <c r="H46" t="n">
        <v>0</v>
      </c>
      <c r="I46" t="n">
        <v>0</v>
      </c>
      <c r="J46" t="n">
        <v>1</v>
      </c>
      <c r="K46" t="n">
        <v>0</v>
      </c>
      <c r="L46" t="n">
        <v>0</v>
      </c>
      <c r="M46" t="n">
        <v>0</v>
      </c>
      <c r="N46" t="n">
        <v>0</v>
      </c>
      <c r="O46" t="n">
        <v>1</v>
      </c>
      <c r="P46" t="n">
        <v>0</v>
      </c>
      <c r="Q46" t="n">
        <v>1</v>
      </c>
      <c r="R46" s="2" t="inlineStr">
        <is>
          <t>Igelkott</t>
        </is>
      </c>
      <c r="S46">
        <f>HYPERLINK("https://klasma.github.io/Logging_2062/artfynd/A 57669-2022 artfynd.xlsx", "A 57669-2022")</f>
        <v/>
      </c>
      <c r="T46">
        <f>HYPERLINK("https://klasma.github.io/Logging_2062/kartor/A 57669-2022 karta.png", "A 57669-2022")</f>
        <v/>
      </c>
      <c r="V46">
        <f>HYPERLINK("https://klasma.github.io/Logging_2062/klagomål/A 57669-2022 FSC-klagomål.docx", "A 57669-2022")</f>
        <v/>
      </c>
      <c r="W46">
        <f>HYPERLINK("https://klasma.github.io/Logging_2062/klagomålsmail/A 57669-2022 FSC-klagomål mail.docx", "A 57669-2022")</f>
        <v/>
      </c>
      <c r="X46">
        <f>HYPERLINK("https://klasma.github.io/Logging_2062/tillsyn/A 57669-2022 tillsynsbegäran.docx", "A 57669-2022")</f>
        <v/>
      </c>
      <c r="Y46">
        <f>HYPERLINK("https://klasma.github.io/Logging_2062/tillsynsmail/A 57669-2022 tillsynsbegäran mail.docx", "A 57669-2022")</f>
        <v/>
      </c>
    </row>
    <row r="47" ht="15" customHeight="1">
      <c r="A47" t="inlineStr">
        <is>
          <t>A 61324-2022</t>
        </is>
      </c>
      <c r="B47" s="1" t="n">
        <v>44915</v>
      </c>
      <c r="C47" s="1" t="n">
        <v>45744</v>
      </c>
      <c r="D47" t="inlineStr">
        <is>
          <t>DALARNAS LÄN</t>
        </is>
      </c>
      <c r="E47" t="inlineStr">
        <is>
          <t>MORA</t>
        </is>
      </c>
      <c r="G47" t="n">
        <v>54.4</v>
      </c>
      <c r="H47" t="n">
        <v>0</v>
      </c>
      <c r="I47" t="n">
        <v>0</v>
      </c>
      <c r="J47" t="n">
        <v>0</v>
      </c>
      <c r="K47" t="n">
        <v>1</v>
      </c>
      <c r="L47" t="n">
        <v>0</v>
      </c>
      <c r="M47" t="n">
        <v>0</v>
      </c>
      <c r="N47" t="n">
        <v>0</v>
      </c>
      <c r="O47" t="n">
        <v>1</v>
      </c>
      <c r="P47" t="n">
        <v>1</v>
      </c>
      <c r="Q47" t="n">
        <v>1</v>
      </c>
      <c r="R47" s="2" t="inlineStr">
        <is>
          <t>Smalfotad taggsvamp</t>
        </is>
      </c>
      <c r="S47">
        <f>HYPERLINK("https://klasma.github.io/Logging_2062/artfynd/A 61324-2022 artfynd.xlsx", "A 61324-2022")</f>
        <v/>
      </c>
      <c r="T47">
        <f>HYPERLINK("https://klasma.github.io/Logging_2062/kartor/A 61324-2022 karta.png", "A 61324-2022")</f>
        <v/>
      </c>
      <c r="V47">
        <f>HYPERLINK("https://klasma.github.io/Logging_2062/klagomål/A 61324-2022 FSC-klagomål.docx", "A 61324-2022")</f>
        <v/>
      </c>
      <c r="W47">
        <f>HYPERLINK("https://klasma.github.io/Logging_2062/klagomålsmail/A 61324-2022 FSC-klagomål mail.docx", "A 61324-2022")</f>
        <v/>
      </c>
      <c r="X47">
        <f>HYPERLINK("https://klasma.github.io/Logging_2062/tillsyn/A 61324-2022 tillsynsbegäran.docx", "A 61324-2022")</f>
        <v/>
      </c>
      <c r="Y47">
        <f>HYPERLINK("https://klasma.github.io/Logging_2062/tillsynsmail/A 61324-2022 tillsynsbegäran mail.docx", "A 61324-2022")</f>
        <v/>
      </c>
    </row>
    <row r="48" ht="15" customHeight="1">
      <c r="A48" t="inlineStr">
        <is>
          <t>A 5304-2023</t>
        </is>
      </c>
      <c r="B48" s="1" t="n">
        <v>44959</v>
      </c>
      <c r="C48" s="1" t="n">
        <v>45744</v>
      </c>
      <c r="D48" t="inlineStr">
        <is>
          <t>DALARNAS LÄN</t>
        </is>
      </c>
      <c r="E48" t="inlineStr">
        <is>
          <t>MORA</t>
        </is>
      </c>
      <c r="F48" t="inlineStr">
        <is>
          <t>Bergvik skog väst AB</t>
        </is>
      </c>
      <c r="G48" t="n">
        <v>7.3</v>
      </c>
      <c r="H48" t="n">
        <v>0</v>
      </c>
      <c r="I48" t="n">
        <v>0</v>
      </c>
      <c r="J48" t="n">
        <v>1</v>
      </c>
      <c r="K48" t="n">
        <v>0</v>
      </c>
      <c r="L48" t="n">
        <v>0</v>
      </c>
      <c r="M48" t="n">
        <v>0</v>
      </c>
      <c r="N48" t="n">
        <v>0</v>
      </c>
      <c r="O48" t="n">
        <v>1</v>
      </c>
      <c r="P48" t="n">
        <v>0</v>
      </c>
      <c r="Q48" t="n">
        <v>1</v>
      </c>
      <c r="R48" s="2" t="inlineStr">
        <is>
          <t>Backruta</t>
        </is>
      </c>
      <c r="S48">
        <f>HYPERLINK("https://klasma.github.io/Logging_2062/artfynd/A 5304-2023 artfynd.xlsx", "A 5304-2023")</f>
        <v/>
      </c>
      <c r="T48">
        <f>HYPERLINK("https://klasma.github.io/Logging_2062/kartor/A 5304-2023 karta.png", "A 5304-2023")</f>
        <v/>
      </c>
      <c r="V48">
        <f>HYPERLINK("https://klasma.github.io/Logging_2062/klagomål/A 5304-2023 FSC-klagomål.docx", "A 5304-2023")</f>
        <v/>
      </c>
      <c r="W48">
        <f>HYPERLINK("https://klasma.github.io/Logging_2062/klagomålsmail/A 5304-2023 FSC-klagomål mail.docx", "A 5304-2023")</f>
        <v/>
      </c>
      <c r="X48">
        <f>HYPERLINK("https://klasma.github.io/Logging_2062/tillsyn/A 5304-2023 tillsynsbegäran.docx", "A 5304-2023")</f>
        <v/>
      </c>
      <c r="Y48">
        <f>HYPERLINK("https://klasma.github.io/Logging_2062/tillsynsmail/A 5304-2023 tillsynsbegäran mail.docx", "A 5304-2023")</f>
        <v/>
      </c>
    </row>
    <row r="49" ht="15" customHeight="1">
      <c r="A49" t="inlineStr">
        <is>
          <t>A 23736-2023</t>
        </is>
      </c>
      <c r="B49" s="1" t="n">
        <v>45077</v>
      </c>
      <c r="C49" s="1" t="n">
        <v>45744</v>
      </c>
      <c r="D49" t="inlineStr">
        <is>
          <t>DALARNAS LÄN</t>
        </is>
      </c>
      <c r="E49" t="inlineStr">
        <is>
          <t>MORA</t>
        </is>
      </c>
      <c r="G49" t="n">
        <v>7.2</v>
      </c>
      <c r="H49" t="n">
        <v>0</v>
      </c>
      <c r="I49" t="n">
        <v>0</v>
      </c>
      <c r="J49" t="n">
        <v>1</v>
      </c>
      <c r="K49" t="n">
        <v>0</v>
      </c>
      <c r="L49" t="n">
        <v>0</v>
      </c>
      <c r="M49" t="n">
        <v>0</v>
      </c>
      <c r="N49" t="n">
        <v>0</v>
      </c>
      <c r="O49" t="n">
        <v>1</v>
      </c>
      <c r="P49" t="n">
        <v>0</v>
      </c>
      <c r="Q49" t="n">
        <v>1</v>
      </c>
      <c r="R49" s="2" t="inlineStr">
        <is>
          <t>Reliktbock</t>
        </is>
      </c>
      <c r="S49">
        <f>HYPERLINK("https://klasma.github.io/Logging_2062/artfynd/A 23736-2023 artfynd.xlsx", "A 23736-2023")</f>
        <v/>
      </c>
      <c r="T49">
        <f>HYPERLINK("https://klasma.github.io/Logging_2062/kartor/A 23736-2023 karta.png", "A 23736-2023")</f>
        <v/>
      </c>
      <c r="V49">
        <f>HYPERLINK("https://klasma.github.io/Logging_2062/klagomål/A 23736-2023 FSC-klagomål.docx", "A 23736-2023")</f>
        <v/>
      </c>
      <c r="W49">
        <f>HYPERLINK("https://klasma.github.io/Logging_2062/klagomålsmail/A 23736-2023 FSC-klagomål mail.docx", "A 23736-2023")</f>
        <v/>
      </c>
      <c r="X49">
        <f>HYPERLINK("https://klasma.github.io/Logging_2062/tillsyn/A 23736-2023 tillsynsbegäran.docx", "A 23736-2023")</f>
        <v/>
      </c>
      <c r="Y49">
        <f>HYPERLINK("https://klasma.github.io/Logging_2062/tillsynsmail/A 23736-2023 tillsynsbegäran mail.docx", "A 23736-2023")</f>
        <v/>
      </c>
    </row>
    <row r="50" ht="15" customHeight="1">
      <c r="A50" t="inlineStr">
        <is>
          <t>A 24681-2023</t>
        </is>
      </c>
      <c r="B50" s="1" t="n">
        <v>45084</v>
      </c>
      <c r="C50" s="1" t="n">
        <v>45744</v>
      </c>
      <c r="D50" t="inlineStr">
        <is>
          <t>DALARNAS LÄN</t>
        </is>
      </c>
      <c r="E50" t="inlineStr">
        <is>
          <t>MORA</t>
        </is>
      </c>
      <c r="G50" t="n">
        <v>8.199999999999999</v>
      </c>
      <c r="H50" t="n">
        <v>0</v>
      </c>
      <c r="I50" t="n">
        <v>0</v>
      </c>
      <c r="J50" t="n">
        <v>1</v>
      </c>
      <c r="K50" t="n">
        <v>0</v>
      </c>
      <c r="L50" t="n">
        <v>0</v>
      </c>
      <c r="M50" t="n">
        <v>0</v>
      </c>
      <c r="N50" t="n">
        <v>0</v>
      </c>
      <c r="O50" t="n">
        <v>1</v>
      </c>
      <c r="P50" t="n">
        <v>0</v>
      </c>
      <c r="Q50" t="n">
        <v>1</v>
      </c>
      <c r="R50" s="2" t="inlineStr">
        <is>
          <t>Dvärgbägarlav</t>
        </is>
      </c>
      <c r="S50">
        <f>HYPERLINK("https://klasma.github.io/Logging_2062/artfynd/A 24681-2023 artfynd.xlsx", "A 24681-2023")</f>
        <v/>
      </c>
      <c r="T50">
        <f>HYPERLINK("https://klasma.github.io/Logging_2062/kartor/A 24681-2023 karta.png", "A 24681-2023")</f>
        <v/>
      </c>
      <c r="V50">
        <f>HYPERLINK("https://klasma.github.io/Logging_2062/klagomål/A 24681-2023 FSC-klagomål.docx", "A 24681-2023")</f>
        <v/>
      </c>
      <c r="W50">
        <f>HYPERLINK("https://klasma.github.io/Logging_2062/klagomålsmail/A 24681-2023 FSC-klagomål mail.docx", "A 24681-2023")</f>
        <v/>
      </c>
      <c r="X50">
        <f>HYPERLINK("https://klasma.github.io/Logging_2062/tillsyn/A 24681-2023 tillsynsbegäran.docx", "A 24681-2023")</f>
        <v/>
      </c>
      <c r="Y50">
        <f>HYPERLINK("https://klasma.github.io/Logging_2062/tillsynsmail/A 24681-2023 tillsynsbegäran mail.docx", "A 24681-2023")</f>
        <v/>
      </c>
    </row>
    <row r="51" ht="15" customHeight="1">
      <c r="A51" t="inlineStr">
        <is>
          <t>A 30906-2023</t>
        </is>
      </c>
      <c r="B51" s="1" t="n">
        <v>45113</v>
      </c>
      <c r="C51" s="1" t="n">
        <v>45744</v>
      </c>
      <c r="D51" t="inlineStr">
        <is>
          <t>DALARNAS LÄN</t>
        </is>
      </c>
      <c r="E51" t="inlineStr">
        <is>
          <t>MORA</t>
        </is>
      </c>
      <c r="G51" t="n">
        <v>3.1</v>
      </c>
      <c r="H51" t="n">
        <v>0</v>
      </c>
      <c r="I51" t="n">
        <v>0</v>
      </c>
      <c r="J51" t="n">
        <v>0</v>
      </c>
      <c r="K51" t="n">
        <v>1</v>
      </c>
      <c r="L51" t="n">
        <v>0</v>
      </c>
      <c r="M51" t="n">
        <v>0</v>
      </c>
      <c r="N51" t="n">
        <v>0</v>
      </c>
      <c r="O51" t="n">
        <v>1</v>
      </c>
      <c r="P51" t="n">
        <v>1</v>
      </c>
      <c r="Q51" t="n">
        <v>1</v>
      </c>
      <c r="R51" s="2" t="inlineStr">
        <is>
          <t>Jättemusseron</t>
        </is>
      </c>
      <c r="S51">
        <f>HYPERLINK("https://klasma.github.io/Logging_2062/artfynd/A 30906-2023 artfynd.xlsx", "A 30906-2023")</f>
        <v/>
      </c>
      <c r="T51">
        <f>HYPERLINK("https://klasma.github.io/Logging_2062/kartor/A 30906-2023 karta.png", "A 30906-2023")</f>
        <v/>
      </c>
      <c r="V51">
        <f>HYPERLINK("https://klasma.github.io/Logging_2062/klagomål/A 30906-2023 FSC-klagomål.docx", "A 30906-2023")</f>
        <v/>
      </c>
      <c r="W51">
        <f>HYPERLINK("https://klasma.github.io/Logging_2062/klagomålsmail/A 30906-2023 FSC-klagomål mail.docx", "A 30906-2023")</f>
        <v/>
      </c>
      <c r="X51">
        <f>HYPERLINK("https://klasma.github.io/Logging_2062/tillsyn/A 30906-2023 tillsynsbegäran.docx", "A 30906-2023")</f>
        <v/>
      </c>
      <c r="Y51">
        <f>HYPERLINK("https://klasma.github.io/Logging_2062/tillsynsmail/A 30906-2023 tillsynsbegäran mail.docx", "A 30906-2023")</f>
        <v/>
      </c>
    </row>
    <row r="52" ht="15" customHeight="1">
      <c r="A52" t="inlineStr">
        <is>
          <t>A 34194-2023</t>
        </is>
      </c>
      <c r="B52" s="1" t="n">
        <v>45138</v>
      </c>
      <c r="C52" s="1" t="n">
        <v>45744</v>
      </c>
      <c r="D52" t="inlineStr">
        <is>
          <t>DALARNAS LÄN</t>
        </is>
      </c>
      <c r="E52" t="inlineStr">
        <is>
          <t>MORA</t>
        </is>
      </c>
      <c r="G52" t="n">
        <v>8.699999999999999</v>
      </c>
      <c r="H52" t="n">
        <v>0</v>
      </c>
      <c r="I52" t="n">
        <v>0</v>
      </c>
      <c r="J52" t="n">
        <v>1</v>
      </c>
      <c r="K52" t="n">
        <v>0</v>
      </c>
      <c r="L52" t="n">
        <v>0</v>
      </c>
      <c r="M52" t="n">
        <v>0</v>
      </c>
      <c r="N52" t="n">
        <v>0</v>
      </c>
      <c r="O52" t="n">
        <v>1</v>
      </c>
      <c r="P52" t="n">
        <v>0</v>
      </c>
      <c r="Q52" t="n">
        <v>1</v>
      </c>
      <c r="R52" s="2" t="inlineStr">
        <is>
          <t>Motaggsvamp</t>
        </is>
      </c>
      <c r="S52">
        <f>HYPERLINK("https://klasma.github.io/Logging_2062/artfynd/A 34194-2023 artfynd.xlsx", "A 34194-2023")</f>
        <v/>
      </c>
      <c r="T52">
        <f>HYPERLINK("https://klasma.github.io/Logging_2062/kartor/A 34194-2023 karta.png", "A 34194-2023")</f>
        <v/>
      </c>
      <c r="V52">
        <f>HYPERLINK("https://klasma.github.io/Logging_2062/klagomål/A 34194-2023 FSC-klagomål.docx", "A 34194-2023")</f>
        <v/>
      </c>
      <c r="W52">
        <f>HYPERLINK("https://klasma.github.io/Logging_2062/klagomålsmail/A 34194-2023 FSC-klagomål mail.docx", "A 34194-2023")</f>
        <v/>
      </c>
      <c r="X52">
        <f>HYPERLINK("https://klasma.github.io/Logging_2062/tillsyn/A 34194-2023 tillsynsbegäran.docx", "A 34194-2023")</f>
        <v/>
      </c>
      <c r="Y52">
        <f>HYPERLINK("https://klasma.github.io/Logging_2062/tillsynsmail/A 34194-2023 tillsynsbegäran mail.docx", "A 34194-2023")</f>
        <v/>
      </c>
    </row>
    <row r="53" ht="15" customHeight="1">
      <c r="A53" t="inlineStr">
        <is>
          <t>A 54132-2023</t>
        </is>
      </c>
      <c r="B53" s="1" t="n">
        <v>45232</v>
      </c>
      <c r="C53" s="1" t="n">
        <v>45744</v>
      </c>
      <c r="D53" t="inlineStr">
        <is>
          <t>DALARNAS LÄN</t>
        </is>
      </c>
      <c r="E53" t="inlineStr">
        <is>
          <t>MORA</t>
        </is>
      </c>
      <c r="G53" t="n">
        <v>0.9</v>
      </c>
      <c r="H53" t="n">
        <v>0</v>
      </c>
      <c r="I53" t="n">
        <v>0</v>
      </c>
      <c r="J53" t="n">
        <v>0</v>
      </c>
      <c r="K53" t="n">
        <v>1</v>
      </c>
      <c r="L53" t="n">
        <v>0</v>
      </c>
      <c r="M53" t="n">
        <v>0</v>
      </c>
      <c r="N53" t="n">
        <v>0</v>
      </c>
      <c r="O53" t="n">
        <v>1</v>
      </c>
      <c r="P53" t="n">
        <v>1</v>
      </c>
      <c r="Q53" t="n">
        <v>1</v>
      </c>
      <c r="R53" s="2" t="inlineStr">
        <is>
          <t>Jättemusseron</t>
        </is>
      </c>
      <c r="S53">
        <f>HYPERLINK("https://klasma.github.io/Logging_2062/artfynd/A 54132-2023 artfynd.xlsx", "A 54132-2023")</f>
        <v/>
      </c>
      <c r="T53">
        <f>HYPERLINK("https://klasma.github.io/Logging_2062/kartor/A 54132-2023 karta.png", "A 54132-2023")</f>
        <v/>
      </c>
      <c r="V53">
        <f>HYPERLINK("https://klasma.github.io/Logging_2062/klagomål/A 54132-2023 FSC-klagomål.docx", "A 54132-2023")</f>
        <v/>
      </c>
      <c r="W53">
        <f>HYPERLINK("https://klasma.github.io/Logging_2062/klagomålsmail/A 54132-2023 FSC-klagomål mail.docx", "A 54132-2023")</f>
        <v/>
      </c>
      <c r="X53">
        <f>HYPERLINK("https://klasma.github.io/Logging_2062/tillsyn/A 54132-2023 tillsynsbegäran.docx", "A 54132-2023")</f>
        <v/>
      </c>
      <c r="Y53">
        <f>HYPERLINK("https://klasma.github.io/Logging_2062/tillsynsmail/A 54132-2023 tillsynsbegäran mail.docx", "A 54132-2023")</f>
        <v/>
      </c>
    </row>
    <row r="54" ht="15" customHeight="1">
      <c r="A54" t="inlineStr">
        <is>
          <t>A 5691-2024</t>
        </is>
      </c>
      <c r="B54" s="1" t="n">
        <v>45334</v>
      </c>
      <c r="C54" s="1" t="n">
        <v>45744</v>
      </c>
      <c r="D54" t="inlineStr">
        <is>
          <t>DALARNAS LÄN</t>
        </is>
      </c>
      <c r="E54" t="inlineStr">
        <is>
          <t>MORA</t>
        </is>
      </c>
      <c r="G54" t="n">
        <v>3.7</v>
      </c>
      <c r="H54" t="n">
        <v>1</v>
      </c>
      <c r="I54" t="n">
        <v>0</v>
      </c>
      <c r="J54" t="n">
        <v>0</v>
      </c>
      <c r="K54" t="n">
        <v>0</v>
      </c>
      <c r="L54" t="n">
        <v>0</v>
      </c>
      <c r="M54" t="n">
        <v>0</v>
      </c>
      <c r="N54" t="n">
        <v>0</v>
      </c>
      <c r="O54" t="n">
        <v>0</v>
      </c>
      <c r="P54" t="n">
        <v>0</v>
      </c>
      <c r="Q54" t="n">
        <v>1</v>
      </c>
      <c r="R54" s="2" t="inlineStr">
        <is>
          <t>Blåsippa</t>
        </is>
      </c>
      <c r="S54">
        <f>HYPERLINK("https://klasma.github.io/Logging_2062/artfynd/A 5691-2024 artfynd.xlsx", "A 5691-2024")</f>
        <v/>
      </c>
      <c r="T54">
        <f>HYPERLINK("https://klasma.github.io/Logging_2062/kartor/A 5691-2024 karta.png", "A 5691-2024")</f>
        <v/>
      </c>
      <c r="V54">
        <f>HYPERLINK("https://klasma.github.io/Logging_2062/klagomål/A 5691-2024 FSC-klagomål.docx", "A 5691-2024")</f>
        <v/>
      </c>
      <c r="W54">
        <f>HYPERLINK("https://klasma.github.io/Logging_2062/klagomålsmail/A 5691-2024 FSC-klagomål mail.docx", "A 5691-2024")</f>
        <v/>
      </c>
      <c r="X54">
        <f>HYPERLINK("https://klasma.github.io/Logging_2062/tillsyn/A 5691-2024 tillsynsbegäran.docx", "A 5691-2024")</f>
        <v/>
      </c>
      <c r="Y54">
        <f>HYPERLINK("https://klasma.github.io/Logging_2062/tillsynsmail/A 5691-2024 tillsynsbegäran mail.docx", "A 5691-2024")</f>
        <v/>
      </c>
    </row>
    <row r="55" ht="15" customHeight="1">
      <c r="A55" t="inlineStr">
        <is>
          <t>A 15820-2024</t>
        </is>
      </c>
      <c r="B55" s="1" t="n">
        <v>45404</v>
      </c>
      <c r="C55" s="1" t="n">
        <v>45744</v>
      </c>
      <c r="D55" t="inlineStr">
        <is>
          <t>DALARNAS LÄN</t>
        </is>
      </c>
      <c r="E55" t="inlineStr">
        <is>
          <t>MORA</t>
        </is>
      </c>
      <c r="G55" t="n">
        <v>3</v>
      </c>
      <c r="H55" t="n">
        <v>1</v>
      </c>
      <c r="I55" t="n">
        <v>0</v>
      </c>
      <c r="J55" t="n">
        <v>1</v>
      </c>
      <c r="K55" t="n">
        <v>0</v>
      </c>
      <c r="L55" t="n">
        <v>0</v>
      </c>
      <c r="M55" t="n">
        <v>0</v>
      </c>
      <c r="N55" t="n">
        <v>0</v>
      </c>
      <c r="O55" t="n">
        <v>1</v>
      </c>
      <c r="P55" t="n">
        <v>0</v>
      </c>
      <c r="Q55" t="n">
        <v>1</v>
      </c>
      <c r="R55" s="2" t="inlineStr">
        <is>
          <t>Slaguggla</t>
        </is>
      </c>
      <c r="S55">
        <f>HYPERLINK("https://klasma.github.io/Logging_2062/artfynd/A 15820-2024 artfynd.xlsx", "A 15820-2024")</f>
        <v/>
      </c>
      <c r="T55">
        <f>HYPERLINK("https://klasma.github.io/Logging_2062/kartor/A 15820-2024 karta.png", "A 15820-2024")</f>
        <v/>
      </c>
      <c r="V55">
        <f>HYPERLINK("https://klasma.github.io/Logging_2062/klagomål/A 15820-2024 FSC-klagomål.docx", "A 15820-2024")</f>
        <v/>
      </c>
      <c r="W55">
        <f>HYPERLINK("https://klasma.github.io/Logging_2062/klagomålsmail/A 15820-2024 FSC-klagomål mail.docx", "A 15820-2024")</f>
        <v/>
      </c>
      <c r="X55">
        <f>HYPERLINK("https://klasma.github.io/Logging_2062/tillsyn/A 15820-2024 tillsynsbegäran.docx", "A 15820-2024")</f>
        <v/>
      </c>
      <c r="Y55">
        <f>HYPERLINK("https://klasma.github.io/Logging_2062/tillsynsmail/A 15820-2024 tillsynsbegäran mail.docx", "A 15820-2024")</f>
        <v/>
      </c>
      <c r="Z55">
        <f>HYPERLINK("https://klasma.github.io/Logging_2062/fåglar/A 15820-2024 prioriterade fågelarter.docx", "A 15820-2024")</f>
        <v/>
      </c>
    </row>
    <row r="56" ht="15" customHeight="1">
      <c r="A56" t="inlineStr">
        <is>
          <t>A 16094-2024</t>
        </is>
      </c>
      <c r="B56" s="1" t="n">
        <v>45406</v>
      </c>
      <c r="C56" s="1" t="n">
        <v>45744</v>
      </c>
      <c r="D56" t="inlineStr">
        <is>
          <t>DALARNAS LÄN</t>
        </is>
      </c>
      <c r="E56" t="inlineStr">
        <is>
          <t>MORA</t>
        </is>
      </c>
      <c r="F56" t="inlineStr">
        <is>
          <t>Bergvik skog väst AB</t>
        </is>
      </c>
      <c r="G56" t="n">
        <v>22.6</v>
      </c>
      <c r="H56" t="n">
        <v>0</v>
      </c>
      <c r="I56" t="n">
        <v>0</v>
      </c>
      <c r="J56" t="n">
        <v>1</v>
      </c>
      <c r="K56" t="n">
        <v>0</v>
      </c>
      <c r="L56" t="n">
        <v>0</v>
      </c>
      <c r="M56" t="n">
        <v>0</v>
      </c>
      <c r="N56" t="n">
        <v>0</v>
      </c>
      <c r="O56" t="n">
        <v>1</v>
      </c>
      <c r="P56" t="n">
        <v>0</v>
      </c>
      <c r="Q56" t="n">
        <v>1</v>
      </c>
      <c r="R56" s="2" t="inlineStr">
        <is>
          <t>Reliktbock</t>
        </is>
      </c>
      <c r="S56">
        <f>HYPERLINK("https://klasma.github.io/Logging_2062/artfynd/A 16094-2024 artfynd.xlsx", "A 16094-2024")</f>
        <v/>
      </c>
      <c r="T56">
        <f>HYPERLINK("https://klasma.github.io/Logging_2062/kartor/A 16094-2024 karta.png", "A 16094-2024")</f>
        <v/>
      </c>
      <c r="V56">
        <f>HYPERLINK("https://klasma.github.io/Logging_2062/klagomål/A 16094-2024 FSC-klagomål.docx", "A 16094-2024")</f>
        <v/>
      </c>
      <c r="W56">
        <f>HYPERLINK("https://klasma.github.io/Logging_2062/klagomålsmail/A 16094-2024 FSC-klagomål mail.docx", "A 16094-2024")</f>
        <v/>
      </c>
      <c r="X56">
        <f>HYPERLINK("https://klasma.github.io/Logging_2062/tillsyn/A 16094-2024 tillsynsbegäran.docx", "A 16094-2024")</f>
        <v/>
      </c>
      <c r="Y56">
        <f>HYPERLINK("https://klasma.github.io/Logging_2062/tillsynsmail/A 16094-2024 tillsynsbegäran mail.docx", "A 16094-2024")</f>
        <v/>
      </c>
    </row>
    <row r="57" ht="15" customHeight="1">
      <c r="A57" t="inlineStr">
        <is>
          <t>A 26808-2024</t>
        </is>
      </c>
      <c r="B57" s="1" t="n">
        <v>45470</v>
      </c>
      <c r="C57" s="1" t="n">
        <v>45744</v>
      </c>
      <c r="D57" t="inlineStr">
        <is>
          <t>DALARNAS LÄN</t>
        </is>
      </c>
      <c r="E57" t="inlineStr">
        <is>
          <t>MORA</t>
        </is>
      </c>
      <c r="G57" t="n">
        <v>8.800000000000001</v>
      </c>
      <c r="H57" t="n">
        <v>0</v>
      </c>
      <c r="I57" t="n">
        <v>0</v>
      </c>
      <c r="J57" t="n">
        <v>1</v>
      </c>
      <c r="K57" t="n">
        <v>0</v>
      </c>
      <c r="L57" t="n">
        <v>0</v>
      </c>
      <c r="M57" t="n">
        <v>0</v>
      </c>
      <c r="N57" t="n">
        <v>0</v>
      </c>
      <c r="O57" t="n">
        <v>1</v>
      </c>
      <c r="P57" t="n">
        <v>0</v>
      </c>
      <c r="Q57" t="n">
        <v>1</v>
      </c>
      <c r="R57" s="2" t="inlineStr">
        <is>
          <t>Garnlav</t>
        </is>
      </c>
      <c r="S57">
        <f>HYPERLINK("https://klasma.github.io/Logging_2062/artfynd/A 26808-2024 artfynd.xlsx", "A 26808-2024")</f>
        <v/>
      </c>
      <c r="T57">
        <f>HYPERLINK("https://klasma.github.io/Logging_2062/kartor/A 26808-2024 karta.png", "A 26808-2024")</f>
        <v/>
      </c>
      <c r="V57">
        <f>HYPERLINK("https://klasma.github.io/Logging_2062/klagomål/A 26808-2024 FSC-klagomål.docx", "A 26808-2024")</f>
        <v/>
      </c>
      <c r="W57">
        <f>HYPERLINK("https://klasma.github.io/Logging_2062/klagomålsmail/A 26808-2024 FSC-klagomål mail.docx", "A 26808-2024")</f>
        <v/>
      </c>
      <c r="X57">
        <f>HYPERLINK("https://klasma.github.io/Logging_2062/tillsyn/A 26808-2024 tillsynsbegäran.docx", "A 26808-2024")</f>
        <v/>
      </c>
      <c r="Y57">
        <f>HYPERLINK("https://klasma.github.io/Logging_2062/tillsynsmail/A 26808-2024 tillsynsbegäran mail.docx", "A 26808-2024")</f>
        <v/>
      </c>
    </row>
    <row r="58" ht="15" customHeight="1">
      <c r="A58" t="inlineStr">
        <is>
          <t>A 27113-2024</t>
        </is>
      </c>
      <c r="B58" s="1" t="n">
        <v>45471</v>
      </c>
      <c r="C58" s="1" t="n">
        <v>45744</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45410-2024</t>
        </is>
      </c>
      <c r="B59" s="1" t="n">
        <v>45576</v>
      </c>
      <c r="C59" s="1" t="n">
        <v>45744</v>
      </c>
      <c r="D59" t="inlineStr">
        <is>
          <t>DALARNAS LÄN</t>
        </is>
      </c>
      <c r="E59" t="inlineStr">
        <is>
          <t>MORA</t>
        </is>
      </c>
      <c r="G59" t="n">
        <v>1.1</v>
      </c>
      <c r="H59" t="n">
        <v>0</v>
      </c>
      <c r="I59" t="n">
        <v>0</v>
      </c>
      <c r="J59" t="n">
        <v>1</v>
      </c>
      <c r="K59" t="n">
        <v>0</v>
      </c>
      <c r="L59" t="n">
        <v>0</v>
      </c>
      <c r="M59" t="n">
        <v>0</v>
      </c>
      <c r="N59" t="n">
        <v>0</v>
      </c>
      <c r="O59" t="n">
        <v>1</v>
      </c>
      <c r="P59" t="n">
        <v>0</v>
      </c>
      <c r="Q59" t="n">
        <v>1</v>
      </c>
      <c r="R59" s="2" t="inlineStr">
        <is>
          <t>Tallticka</t>
        </is>
      </c>
      <c r="S59">
        <f>HYPERLINK("https://klasma.github.io/Logging_2062/artfynd/A 45410-2024 artfynd.xlsx", "A 45410-2024")</f>
        <v/>
      </c>
      <c r="T59">
        <f>HYPERLINK("https://klasma.github.io/Logging_2062/kartor/A 45410-2024 karta.png", "A 45410-2024")</f>
        <v/>
      </c>
      <c r="V59">
        <f>HYPERLINK("https://klasma.github.io/Logging_2062/klagomål/A 45410-2024 FSC-klagomål.docx", "A 45410-2024")</f>
        <v/>
      </c>
      <c r="W59">
        <f>HYPERLINK("https://klasma.github.io/Logging_2062/klagomålsmail/A 45410-2024 FSC-klagomål mail.docx", "A 45410-2024")</f>
        <v/>
      </c>
      <c r="X59">
        <f>HYPERLINK("https://klasma.github.io/Logging_2062/tillsyn/A 45410-2024 tillsynsbegäran.docx", "A 45410-2024")</f>
        <v/>
      </c>
      <c r="Y59">
        <f>HYPERLINK("https://klasma.github.io/Logging_2062/tillsynsmail/A 45410-2024 tillsynsbegäran mail.docx", "A 45410-2024")</f>
        <v/>
      </c>
    </row>
    <row r="60" ht="15" customHeight="1">
      <c r="A60" t="inlineStr">
        <is>
          <t>A 45344-2024</t>
        </is>
      </c>
      <c r="B60" s="1" t="n">
        <v>45576</v>
      </c>
      <c r="C60" s="1" t="n">
        <v>45744</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51213-2024</t>
        </is>
      </c>
      <c r="B61" s="1" t="n">
        <v>45603</v>
      </c>
      <c r="C61" s="1" t="n">
        <v>45744</v>
      </c>
      <c r="D61" t="inlineStr">
        <is>
          <t>DALARNAS LÄN</t>
        </is>
      </c>
      <c r="E61" t="inlineStr">
        <is>
          <t>MORA</t>
        </is>
      </c>
      <c r="G61" t="n">
        <v>0.5</v>
      </c>
      <c r="H61" t="n">
        <v>1</v>
      </c>
      <c r="I61" t="n">
        <v>0</v>
      </c>
      <c r="J61" t="n">
        <v>0</v>
      </c>
      <c r="K61" t="n">
        <v>1</v>
      </c>
      <c r="L61" t="n">
        <v>0</v>
      </c>
      <c r="M61" t="n">
        <v>0</v>
      </c>
      <c r="N61" t="n">
        <v>0</v>
      </c>
      <c r="O61" t="n">
        <v>1</v>
      </c>
      <c r="P61" t="n">
        <v>1</v>
      </c>
      <c r="Q61" t="n">
        <v>1</v>
      </c>
      <c r="R61" s="2" t="inlineStr">
        <is>
          <t>Knärot</t>
        </is>
      </c>
      <c r="S61">
        <f>HYPERLINK("https://klasma.github.io/Logging_2062/artfynd/A 51213-2024 artfynd.xlsx", "A 51213-2024")</f>
        <v/>
      </c>
      <c r="T61">
        <f>HYPERLINK("https://klasma.github.io/Logging_2062/kartor/A 51213-2024 karta.png", "A 51213-2024")</f>
        <v/>
      </c>
      <c r="U61">
        <f>HYPERLINK("https://klasma.github.io/Logging_2062/knärot/A 51213-2024 karta knärot.png", "A 51213-2024")</f>
        <v/>
      </c>
      <c r="V61">
        <f>HYPERLINK("https://klasma.github.io/Logging_2062/klagomål/A 51213-2024 FSC-klagomål.docx", "A 51213-2024")</f>
        <v/>
      </c>
      <c r="W61">
        <f>HYPERLINK("https://klasma.github.io/Logging_2062/klagomålsmail/A 51213-2024 FSC-klagomål mail.docx", "A 51213-2024")</f>
        <v/>
      </c>
      <c r="X61">
        <f>HYPERLINK("https://klasma.github.io/Logging_2062/tillsyn/A 51213-2024 tillsynsbegäran.docx", "A 51213-2024")</f>
        <v/>
      </c>
      <c r="Y61">
        <f>HYPERLINK("https://klasma.github.io/Logging_2062/tillsynsmail/A 51213-2024 tillsynsbegäran mail.docx", "A 51213-2024")</f>
        <v/>
      </c>
    </row>
    <row r="62" ht="15" customHeight="1">
      <c r="A62" t="inlineStr">
        <is>
          <t>A 831-2025</t>
        </is>
      </c>
      <c r="B62" s="1" t="n">
        <v>45665</v>
      </c>
      <c r="C62" s="1" t="n">
        <v>45744</v>
      </c>
      <c r="D62" t="inlineStr">
        <is>
          <t>DALARNAS LÄN</t>
        </is>
      </c>
      <c r="E62" t="inlineStr">
        <is>
          <t>MORA</t>
        </is>
      </c>
      <c r="G62" t="n">
        <v>2.5</v>
      </c>
      <c r="H62" t="n">
        <v>0</v>
      </c>
      <c r="I62" t="n">
        <v>1</v>
      </c>
      <c r="J62" t="n">
        <v>0</v>
      </c>
      <c r="K62" t="n">
        <v>0</v>
      </c>
      <c r="L62" t="n">
        <v>0</v>
      </c>
      <c r="M62" t="n">
        <v>0</v>
      </c>
      <c r="N62" t="n">
        <v>0</v>
      </c>
      <c r="O62" t="n">
        <v>0</v>
      </c>
      <c r="P62" t="n">
        <v>0</v>
      </c>
      <c r="Q62" t="n">
        <v>1</v>
      </c>
      <c r="R62" s="2" t="inlineStr">
        <is>
          <t>Stekelbock</t>
        </is>
      </c>
      <c r="S62">
        <f>HYPERLINK("https://klasma.github.io/Logging_2062/artfynd/A 831-2025 artfynd.xlsx", "A 831-2025")</f>
        <v/>
      </c>
      <c r="T62">
        <f>HYPERLINK("https://klasma.github.io/Logging_2062/kartor/A 831-2025 karta.png", "A 831-2025")</f>
        <v/>
      </c>
      <c r="V62">
        <f>HYPERLINK("https://klasma.github.io/Logging_2062/klagomål/A 831-2025 FSC-klagomål.docx", "A 831-2025")</f>
        <v/>
      </c>
      <c r="W62">
        <f>HYPERLINK("https://klasma.github.io/Logging_2062/klagomålsmail/A 831-2025 FSC-klagomål mail.docx", "A 831-2025")</f>
        <v/>
      </c>
      <c r="X62">
        <f>HYPERLINK("https://klasma.github.io/Logging_2062/tillsyn/A 831-2025 tillsynsbegäran.docx", "A 831-2025")</f>
        <v/>
      </c>
      <c r="Y62">
        <f>HYPERLINK("https://klasma.github.io/Logging_2062/tillsynsmail/A 831-2025 tillsynsbegäran mail.docx", "A 831-2025")</f>
        <v/>
      </c>
    </row>
    <row r="63" ht="15" customHeight="1">
      <c r="A63" t="inlineStr">
        <is>
          <t>A 20226-2019</t>
        </is>
      </c>
      <c r="B63" s="1" t="n">
        <v>43570</v>
      </c>
      <c r="C63" s="1" t="n">
        <v>45744</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45744</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45744</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45744</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45744</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45744</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45744</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45744</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45744</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45744</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45744</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45744</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45744</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45744</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45744</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45744</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45744</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45744</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45744</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45744</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45744</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45744</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45744</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45744</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45744</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45744</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45744</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45744</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45744</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45744</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45744</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45744</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45744</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45744</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45744</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45744</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45744</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45744</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45744</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45744</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45744</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45744</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45744</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45744</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45744</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45744</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45744</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45744</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45744</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45744</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45744</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45744</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45744</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45744</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45744</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45744</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45744</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45744</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45744</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45744</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45744</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45744</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45744</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45744</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45744</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45744</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45744</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45744</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45744</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45744</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45744</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45744</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45744</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45744</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45744</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45744</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45744</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45744</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45744</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45744</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45744</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45744</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45744</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45744</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45744</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45744</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45744</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45744</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45744</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45744</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45744</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45744</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45744</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45744</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45744</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45744</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45744</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45744</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45744</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45744</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45744</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45744</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45744</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45744</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45744</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45744</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45744</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45744</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45744</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45744</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45744</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45744</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45744</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45744</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45744</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45744</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45744</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45744</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45744</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45744</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45744</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45744</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45744</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45744</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45744</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45744</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45744</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45744</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45744</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45744</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45744</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45744</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45744</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45744</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45744</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45744</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45744</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45744</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45744</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45744</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45744</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45744</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45744</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45744</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45744</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45744</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45744</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45744</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45744</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45744</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45744</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45744</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45744</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45744</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45744</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45744</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45744</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45744</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45744</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45744</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45744</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45744</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45744</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45744</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45744</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45744</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45744</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45744</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45744</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45744</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45744</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45744</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45744</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45744</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45744</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45744</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45744</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45744</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45744</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45744</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45744</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45744</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45744</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45744</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45744</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45744</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45744</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45744</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45744</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45744</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45744</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45744</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45744</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45744</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45744</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45744</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45744</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45744</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45744</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45744</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45744</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45744</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45744</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45744</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45744</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45744</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45744</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45744</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45744</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45744</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45744</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45744</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45744</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45744</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45744</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45744</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45744</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45744</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45744</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45744</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45744</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45744</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45744</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45744</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45744</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45744</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45744</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45744</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45744</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45744</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45744</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45744</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45744</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45744</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45744</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45744</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45744</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45744</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45744</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45744</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45744</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45744</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45744</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45744</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45744</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45744</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45744</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45744</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45744</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45744</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45744</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45744</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45744</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45744</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45744</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45744</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45744</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45744</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45744</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45744</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45744</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45744</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45744</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45744</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45744</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45744</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45744</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45744</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45744</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45744</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45744</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45744</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45744</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45744</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45744</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45744</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45744</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45744</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45744</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45744</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45744</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45744</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45744</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45744</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45744</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45744</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45744</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45744</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45744</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45744</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45744</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45744</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45744</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45744</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45744</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45744</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45744</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45744</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45744</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45744</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45744</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45744</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45744</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45744</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45744</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45744</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45744</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45744</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45744</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45744</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45744</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45744</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45744</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45744</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45744</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45744</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45744</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45744</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45744</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45744</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45744</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45744</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45744</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45744</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45744</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45744</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45744</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45744</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45744</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45744</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45744</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45744</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45744</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45744</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45744</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45744</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45744</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45744</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45744</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45744</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45744</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45744</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45744</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45744</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45744</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45744</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45744</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45744</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45744</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45744</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45744</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45744</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45744</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45744</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45744</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45744</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45744</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45744</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45744</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45744</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45744</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45744</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45744</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45744</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45744</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45744</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45744</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45744</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45744</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45744</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45744</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45744</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45744</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45744</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45744</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45744</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45744</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45744</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45744</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45744</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45744</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45744</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45744</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45744</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45744</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45744</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45744</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45744</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45744</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45744</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45744</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45744</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45744</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45744</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45744</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45744</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45744</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45744</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45744</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45744</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45744</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45744</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45744</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45744</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45744</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45744</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45744</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45744</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45744</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45744</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45744</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45744</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45744</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45744</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45744</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45744</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45744</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45744</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45744</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45744</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45744</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45744</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45744</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45744</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45744</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45744</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45744</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45744</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45744</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45744</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45744</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45744</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45744</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45744</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45744</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45744</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45744</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45744</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45744</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45744</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45744</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45744</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45744</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45744</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45744</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45744</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45744</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45744</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45744</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45744</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45744</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45744</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45744</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45744</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45744</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45744</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45744</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45744</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45744</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45744</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45744</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45744</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45744</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45744</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45744</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45744</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45744</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45744</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45744</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45744</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45744</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45744</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45744</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45744</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45744</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45744</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45744</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45744</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45744</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45744</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45744</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45744</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45744</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45744</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45744</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45744</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45744</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45744</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45744</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45744</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45744</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45744</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45744</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45744</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45744</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45744</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45744</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45744</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45744</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45744</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45744</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45744</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45744</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45744</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45744</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45744</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45744</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45744</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45744</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45744</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45744</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45744</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45744</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45744</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45744</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45744</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45744</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45744</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45744</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45744</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45744</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45744</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45744</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45744</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45744</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45744</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45744</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45744</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45744</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45744</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45744</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45744</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45744</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45744</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45744</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45744</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45744</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45744</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45744</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45744</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45744</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45744</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45744</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45744</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45744</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45744</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45744</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45744</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45744</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45744</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45744</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45744</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45744</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45744</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45744</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45744</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45744</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45744</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45744</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45744</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45744</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45744</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45744</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45744</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45744</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45744</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45744</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45744</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45744</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45744</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45744</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45744</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45744</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45744</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45744</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45744</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45744</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45744</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45744</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45744</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45744</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45744</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45744</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45744</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45744</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45744</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45744</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45744</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45744</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45744</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45744</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45744</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45744</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45744</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45744</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45744</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45744</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45744</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45744</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45744</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45744</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45744</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45744</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45744</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45744</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45744</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45744</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45744</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45744</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45744</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45744</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45744</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45744</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45744</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45744</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45744</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45744</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45744</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45744</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45744</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45744</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45744</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45744</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45744</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45744</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45744</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45744</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45744</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45744</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45744</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45744</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45744</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45744</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45744</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45744</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45744</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45744</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45744</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45744</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45744</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45744</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45744</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45744</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45744</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45744</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45744</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45744</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45744</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45744</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45744</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45744</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45744</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45744</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45744</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45744</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45744</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45744</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45744</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45744</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45744</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45744</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45744</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45744</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45744</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45744</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45744</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45744</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45744</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45744</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45744</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45744</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45744</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45744</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45744</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45744</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45744</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45744</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45744</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45744</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45744</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45744</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45744</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45744</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45744</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45744</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45744</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45744</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45744</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45744</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45744</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45744</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45744</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45744</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45744</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45744</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45744</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45744</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45744</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45744</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45744</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45744</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45744</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45744</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45744</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45744</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45744</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45744</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45744</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45744</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45744</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45744</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45744</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45744</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45744</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45744</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45744</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45744</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45744</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45744</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45744</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45744</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45744</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45744</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45744</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45744</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45744</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45744</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45744</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45744</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45744</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45744</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45744</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45744</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45744</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45744</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45744</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45744</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45744</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45744</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45744</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45744</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45744</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45744</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45744</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45744</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45744</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45744</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45744</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45744</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45744</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45744</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45744</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45744</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45744</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45744</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45744</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45744</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45744</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45744</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45744</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45744</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45744</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45744</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45744</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45744</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45744</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45744</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45744</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45744</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45744</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45744</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45744</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45744</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45744</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45744</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45744</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45744</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45744</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45744</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45744</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45744</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45744</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45744</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45744</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45744</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45744</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45744</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45744</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45744</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45744</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45744</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45744</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45744</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45744</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45744</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45744</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45744</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45744</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45744</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45744</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45744</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45744</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45744</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45744</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45744</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45744</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45744</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45744</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45744</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45744</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45744</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45744</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45744</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45744</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45744</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45744</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45744</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45744</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45744</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45744</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45744</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45744</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45744</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45744</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45744</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45744</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45744</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45744</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45744</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45744</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45744</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45744</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45744</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45744</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45744</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45744</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45744</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45744</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45744</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45744</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45744</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45744</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45744</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45744</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45744</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45744</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45744</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45744</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45744</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45744</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45744</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45744</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45744</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45744</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45744</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45744</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45744</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45744</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45744</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45744</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45744</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45744</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45744</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45744</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45744</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45744</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45744</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45744</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45744</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45744</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45744</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45744</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45744</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45744</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45744</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45744</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45744</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45744</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45744</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45744</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45744</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45744</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45744</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45744</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45744</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45744</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45744</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45744</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45744</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45744</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45744</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45744</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45744</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45744</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45744</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45744</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45744</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45744</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45744</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45744</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45744</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45744</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45744</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45744</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45744</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45744</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45744</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45744</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45744</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45744</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45744</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45744</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45744</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45744</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45744</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45744</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45744</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45744</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45744</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45744</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45744</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45744</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45744</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45744</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45744</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45744</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45744</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45744</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45744</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45744</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45744</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45744</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45744</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45744</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45744</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45744</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45744</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45744</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45744</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45744</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45744</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45744</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45744</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45744</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45744</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45744</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45744</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45744</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45744</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45744</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45744</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45744</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45744</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45744</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45744</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45744</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45744</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45744</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45744</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45744</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45744</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45744</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45744</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45744</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45744</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45744</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45744</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45744</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45744</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45744</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45744</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45744</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45744</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45744</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45744</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45744</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45744</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45744</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45744</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45744</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45744</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45744</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45744</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45744</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45744</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45744</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45744</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45744</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45744</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45744</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45744</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45744</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45744</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45744</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45744</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45744</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45744</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45744</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45744</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45744</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45744</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45744</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45744</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45744</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45744</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45744</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45744</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45744</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45744</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45744</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45744</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45744</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45744</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45744</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45744</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45744</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45744</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45744</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45744</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45744</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45744</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45744</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45744</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45744</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45744</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45744</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45744</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45744</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45744</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45744</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45744</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45744</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45744</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45744</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45744</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45744</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45744</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45744</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45744</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45744</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45744</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45744</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45744</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45744</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45744</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45744</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45744</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45744</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45744</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45744</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45744</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45744</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45744</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45744</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45744</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45744</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45744</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45744</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45744</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45744</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45744</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45744</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45744</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45744</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45744</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45744</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45744</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45744</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45744</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45744</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45744</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45744</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45744</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45744</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45744</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45744</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45744</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45744</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45744</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45744</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45744</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45744</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45744</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45744</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45744</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45744</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45744</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45744</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45744</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45744</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45744</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45744</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45744</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45744</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45744</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45744</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45744</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45744</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45744</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45744</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45744</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45744</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45744</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45744</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45744</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45744</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45744</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45744</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45744</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45744</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45744</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45744</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45744</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45744</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45744</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45744</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45744</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45744</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45744</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45744</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45744</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45744</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45744</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45744</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45744</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45744</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45744</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45744</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12490-2025</t>
        </is>
      </c>
      <c r="B1191" s="1" t="n">
        <v>45730</v>
      </c>
      <c r="C1191" s="1" t="n">
        <v>45744</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45744</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45744</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14372-2025</t>
        </is>
      </c>
      <c r="B1194" s="1" t="n">
        <v>45741</v>
      </c>
      <c r="C1194" s="1" t="n">
        <v>45744</v>
      </c>
      <c r="D1194" t="inlineStr">
        <is>
          <t>DALARNAS LÄN</t>
        </is>
      </c>
      <c r="E1194" t="inlineStr">
        <is>
          <t>MORA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45744</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14479-2025</t>
        </is>
      </c>
      <c r="B1196" s="1" t="n">
        <v>45741</v>
      </c>
      <c r="C1196" s="1" t="n">
        <v>45744</v>
      </c>
      <c r="D1196" t="inlineStr">
        <is>
          <t>DALARNAS LÄN</t>
        </is>
      </c>
      <c r="E1196" t="inlineStr">
        <is>
          <t>MORA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14611-2025</t>
        </is>
      </c>
      <c r="B1197" s="1" t="n">
        <v>45742</v>
      </c>
      <c r="C1197" s="1" t="n">
        <v>45744</v>
      </c>
      <c r="D1197" t="inlineStr">
        <is>
          <t>DALARNAS LÄN</t>
        </is>
      </c>
      <c r="E1197" t="inlineStr">
        <is>
          <t>MORA</t>
        </is>
      </c>
      <c r="F1197" t="inlineStr">
        <is>
          <t>Bergvik skog väst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45744</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14829-2025</t>
        </is>
      </c>
      <c r="B1199" s="1" t="n">
        <v>45743</v>
      </c>
      <c r="C1199" s="1" t="n">
        <v>45744</v>
      </c>
      <c r="D1199" t="inlineStr">
        <is>
          <t>DALARNAS LÄN</t>
        </is>
      </c>
      <c r="E1199" t="inlineStr">
        <is>
          <t>MORA</t>
        </is>
      </c>
      <c r="G1199" t="n">
        <v>6.4</v>
      </c>
      <c r="H1199" t="n">
        <v>0</v>
      </c>
      <c r="I1199" t="n">
        <v>0</v>
      </c>
      <c r="J1199" t="n">
        <v>0</v>
      </c>
      <c r="K1199" t="n">
        <v>0</v>
      </c>
      <c r="L1199" t="n">
        <v>0</v>
      </c>
      <c r="M1199" t="n">
        <v>0</v>
      </c>
      <c r="N1199" t="n">
        <v>0</v>
      </c>
      <c r="O1199" t="n">
        <v>0</v>
      </c>
      <c r="P1199" t="n">
        <v>0</v>
      </c>
      <c r="Q1199" t="n">
        <v>0</v>
      </c>
      <c r="R1199" s="2" t="inlineStr"/>
    </row>
    <row r="1200">
      <c r="A1200" t="inlineStr">
        <is>
          <t>A 14936-2025</t>
        </is>
      </c>
      <c r="B1200" s="1" t="n">
        <v>45743</v>
      </c>
      <c r="C1200" s="1" t="n">
        <v>45744</v>
      </c>
      <c r="D1200" t="inlineStr">
        <is>
          <t>DALARNAS LÄN</t>
        </is>
      </c>
      <c r="E1200" t="inlineStr">
        <is>
          <t>MORA</t>
        </is>
      </c>
      <c r="G1200" t="n">
        <v>2.4</v>
      </c>
      <c r="H1200" t="n">
        <v>0</v>
      </c>
      <c r="I1200" t="n">
        <v>0</v>
      </c>
      <c r="J1200" t="n">
        <v>0</v>
      </c>
      <c r="K1200" t="n">
        <v>0</v>
      </c>
      <c r="L1200" t="n">
        <v>0</v>
      </c>
      <c r="M1200" t="n">
        <v>0</v>
      </c>
      <c r="N1200" t="n">
        <v>0</v>
      </c>
      <c r="O1200" t="n">
        <v>0</v>
      </c>
      <c r="P1200" t="n">
        <v>0</v>
      </c>
      <c r="Q1200" t="n">
        <v>0</v>
      </c>
      <c r="R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2025-03-28T18:22:04Z</dcterms:created>
  <dcterms:modified xmlns:dcterms="http://purl.org/dc/terms/" xmlns:xsi="http://www.w3.org/2001/XMLSchema-instance" xsi:type="dcterms:W3CDTF">2025-03-28T18:22:05Z</dcterms:modified>
</cp:coreProperties>
</file>