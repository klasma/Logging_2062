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45837</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45837</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45837</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45837</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45837</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45837</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45837</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45837</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45837</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45837</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45837</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45837</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45837</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45837</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45837</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45837</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45837</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45837</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45837</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45837</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45837</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45837</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45837</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45837</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45837</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45837</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45837</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45837</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45837</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45837</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45837</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45837</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45837</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45837</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45837</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45837</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45837</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45837</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45837</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45837</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45837</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45837</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45837</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45837</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45837</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45837</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45837</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45837</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45837</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45837</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45837</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45837</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45837</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45837</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45837</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45837</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45837</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45837</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45837</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45837</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45837</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45837</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45837</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45837</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45837</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45837</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45837</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45837</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45837</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45837</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45837</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45837</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32222-2025</t>
        </is>
      </c>
      <c r="B78" s="1" t="n">
        <v>45835</v>
      </c>
      <c r="C78" s="1" t="n">
        <v>45837</v>
      </c>
      <c r="D78" t="inlineStr">
        <is>
          <t>DALARNAS LÄN</t>
        </is>
      </c>
      <c r="E78" t="inlineStr">
        <is>
          <t>MORA</t>
        </is>
      </c>
      <c r="G78" t="n">
        <v>11.5</v>
      </c>
      <c r="H78" t="n">
        <v>0</v>
      </c>
      <c r="I78" t="n">
        <v>0</v>
      </c>
      <c r="J78" t="n">
        <v>1</v>
      </c>
      <c r="K78" t="n">
        <v>0</v>
      </c>
      <c r="L78" t="n">
        <v>0</v>
      </c>
      <c r="M78" t="n">
        <v>0</v>
      </c>
      <c r="N78" t="n">
        <v>0</v>
      </c>
      <c r="O78" t="n">
        <v>1</v>
      </c>
      <c r="P78" t="n">
        <v>0</v>
      </c>
      <c r="Q78" t="n">
        <v>1</v>
      </c>
      <c r="R78" s="2" t="inlineStr">
        <is>
          <t>Reliktbock</t>
        </is>
      </c>
      <c r="S78">
        <f>HYPERLINK("https://klasma.github.io/Logging_202062/artfynd/A 32222-2025 artfynd.xlsx", "A 32222-2025")</f>
        <v/>
      </c>
      <c r="T78">
        <f>HYPERLINK("https://klasma.github.io/Logging_202062/kartor/A 32222-2025 karta.png", "A 32222-2025")</f>
        <v/>
      </c>
      <c r="V78">
        <f>HYPERLINK("https://klasma.github.io/Logging_202062/klagomål/A 32222-2025 FSC-klagomål.docx", "A 32222-2025")</f>
        <v/>
      </c>
      <c r="W78">
        <f>HYPERLINK("https://klasma.github.io/Logging_202062/klagomålsmail/A 32222-2025 FSC-klagomål mail.docx", "A 32222-2025")</f>
        <v/>
      </c>
      <c r="X78">
        <f>HYPERLINK("https://klasma.github.io/Logging_202062/tillsyn/A 32222-2025 tillsynsbegäran.docx", "A 32222-2025")</f>
        <v/>
      </c>
      <c r="Y78">
        <f>HYPERLINK("https://klasma.github.io/Logging_202062/tillsynsmail/A 32222-2025 tillsynsbegäran mail.docx", "A 32222-2025")</f>
        <v/>
      </c>
    </row>
    <row r="79" ht="15" customHeight="1">
      <c r="A79" t="inlineStr">
        <is>
          <t>A 20226-2019</t>
        </is>
      </c>
      <c r="B79" s="1" t="n">
        <v>43570</v>
      </c>
      <c r="C79" s="1" t="n">
        <v>45837</v>
      </c>
      <c r="D79" t="inlineStr">
        <is>
          <t>DALARNAS LÄN</t>
        </is>
      </c>
      <c r="E79" t="inlineStr">
        <is>
          <t>MORA</t>
        </is>
      </c>
      <c r="G79" t="n">
        <v>4.2</v>
      </c>
      <c r="H79" t="n">
        <v>0</v>
      </c>
      <c r="I79" t="n">
        <v>0</v>
      </c>
      <c r="J79" t="n">
        <v>0</v>
      </c>
      <c r="K79" t="n">
        <v>0</v>
      </c>
      <c r="L79" t="n">
        <v>0</v>
      </c>
      <c r="M79" t="n">
        <v>0</v>
      </c>
      <c r="N79" t="n">
        <v>0</v>
      </c>
      <c r="O79" t="n">
        <v>0</v>
      </c>
      <c r="P79" t="n">
        <v>0</v>
      </c>
      <c r="Q79" t="n">
        <v>0</v>
      </c>
      <c r="R79" s="2" t="inlineStr"/>
    </row>
    <row r="80" ht="15" customHeight="1">
      <c r="A80" t="inlineStr">
        <is>
          <t>A 20464-2019</t>
        </is>
      </c>
      <c r="B80" s="1" t="n">
        <v>43572</v>
      </c>
      <c r="C80" s="1" t="n">
        <v>45837</v>
      </c>
      <c r="D80" t="inlineStr">
        <is>
          <t>DALARNAS LÄN</t>
        </is>
      </c>
      <c r="E80" t="inlineStr">
        <is>
          <t>MORA</t>
        </is>
      </c>
      <c r="G80" t="n">
        <v>12.1</v>
      </c>
      <c r="H80" t="n">
        <v>0</v>
      </c>
      <c r="I80" t="n">
        <v>0</v>
      </c>
      <c r="J80" t="n">
        <v>0</v>
      </c>
      <c r="K80" t="n">
        <v>0</v>
      </c>
      <c r="L80" t="n">
        <v>0</v>
      </c>
      <c r="M80" t="n">
        <v>0</v>
      </c>
      <c r="N80" t="n">
        <v>0</v>
      </c>
      <c r="O80" t="n">
        <v>0</v>
      </c>
      <c r="P80" t="n">
        <v>0</v>
      </c>
      <c r="Q80" t="n">
        <v>0</v>
      </c>
      <c r="R80" s="2" t="inlineStr"/>
    </row>
    <row r="81" ht="15" customHeight="1">
      <c r="A81" t="inlineStr">
        <is>
          <t>A 22970-2019</t>
        </is>
      </c>
      <c r="B81" s="1" t="n">
        <v>43591</v>
      </c>
      <c r="C81" s="1" t="n">
        <v>45837</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23665-2019</t>
        </is>
      </c>
      <c r="B82" s="1" t="n">
        <v>43594</v>
      </c>
      <c r="C82" s="1" t="n">
        <v>45837</v>
      </c>
      <c r="D82" t="inlineStr">
        <is>
          <t>DALARNAS LÄN</t>
        </is>
      </c>
      <c r="E82" t="inlineStr">
        <is>
          <t>MORA</t>
        </is>
      </c>
      <c r="G82" t="n">
        <v>1.1</v>
      </c>
      <c r="H82" t="n">
        <v>0</v>
      </c>
      <c r="I82" t="n">
        <v>0</v>
      </c>
      <c r="J82" t="n">
        <v>0</v>
      </c>
      <c r="K82" t="n">
        <v>0</v>
      </c>
      <c r="L82" t="n">
        <v>0</v>
      </c>
      <c r="M82" t="n">
        <v>0</v>
      </c>
      <c r="N82" t="n">
        <v>0</v>
      </c>
      <c r="O82" t="n">
        <v>0</v>
      </c>
      <c r="P82" t="n">
        <v>0</v>
      </c>
      <c r="Q82" t="n">
        <v>0</v>
      </c>
      <c r="R82" s="2" t="inlineStr"/>
    </row>
    <row r="83" ht="15" customHeight="1">
      <c r="A83" t="inlineStr">
        <is>
          <t>A 23636-2019</t>
        </is>
      </c>
      <c r="B83" s="1" t="n">
        <v>43594</v>
      </c>
      <c r="C83" s="1" t="n">
        <v>45837</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24630-2019</t>
        </is>
      </c>
      <c r="B84" s="1" t="n">
        <v>43601</v>
      </c>
      <c r="C84" s="1" t="n">
        <v>45837</v>
      </c>
      <c r="D84" t="inlineStr">
        <is>
          <t>DALARNAS LÄN</t>
        </is>
      </c>
      <c r="E84" t="inlineStr">
        <is>
          <t>MORA</t>
        </is>
      </c>
      <c r="G84" t="n">
        <v>5.8</v>
      </c>
      <c r="H84" t="n">
        <v>0</v>
      </c>
      <c r="I84" t="n">
        <v>0</v>
      </c>
      <c r="J84" t="n">
        <v>0</v>
      </c>
      <c r="K84" t="n">
        <v>0</v>
      </c>
      <c r="L84" t="n">
        <v>0</v>
      </c>
      <c r="M84" t="n">
        <v>0</v>
      </c>
      <c r="N84" t="n">
        <v>0</v>
      </c>
      <c r="O84" t="n">
        <v>0</v>
      </c>
      <c r="P84" t="n">
        <v>0</v>
      </c>
      <c r="Q84" t="n">
        <v>0</v>
      </c>
      <c r="R84" s="2" t="inlineStr"/>
    </row>
    <row r="85" ht="15" customHeight="1">
      <c r="A85" t="inlineStr">
        <is>
          <t>A 25235-2019</t>
        </is>
      </c>
      <c r="B85" s="1" t="n">
        <v>43601</v>
      </c>
      <c r="C85" s="1" t="n">
        <v>45837</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24960-2019</t>
        </is>
      </c>
      <c r="B86" s="1" t="n">
        <v>43602</v>
      </c>
      <c r="C86" s="1" t="n">
        <v>45837</v>
      </c>
      <c r="D86" t="inlineStr">
        <is>
          <t>DALARNAS LÄN</t>
        </is>
      </c>
      <c r="E86" t="inlineStr">
        <is>
          <t>MORA</t>
        </is>
      </c>
      <c r="G86" t="n">
        <v>2.7</v>
      </c>
      <c r="H86" t="n">
        <v>0</v>
      </c>
      <c r="I86" t="n">
        <v>0</v>
      </c>
      <c r="J86" t="n">
        <v>0</v>
      </c>
      <c r="K86" t="n">
        <v>0</v>
      </c>
      <c r="L86" t="n">
        <v>0</v>
      </c>
      <c r="M86" t="n">
        <v>0</v>
      </c>
      <c r="N86" t="n">
        <v>0</v>
      </c>
      <c r="O86" t="n">
        <v>0</v>
      </c>
      <c r="P86" t="n">
        <v>0</v>
      </c>
      <c r="Q86" t="n">
        <v>0</v>
      </c>
      <c r="R86" s="2" t="inlineStr"/>
    </row>
    <row r="87" ht="15" customHeight="1">
      <c r="A87" t="inlineStr">
        <is>
          <t>A 28917-2019</t>
        </is>
      </c>
      <c r="B87" s="1" t="n">
        <v>43612</v>
      </c>
      <c r="C87" s="1" t="n">
        <v>45837</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26405-2019</t>
        </is>
      </c>
      <c r="B88" s="1" t="n">
        <v>43612</v>
      </c>
      <c r="C88" s="1" t="n">
        <v>45837</v>
      </c>
      <c r="D88" t="inlineStr">
        <is>
          <t>DALARNAS LÄN</t>
        </is>
      </c>
      <c r="E88" t="inlineStr">
        <is>
          <t>MORA</t>
        </is>
      </c>
      <c r="G88" t="n">
        <v>3.2</v>
      </c>
      <c r="H88" t="n">
        <v>0</v>
      </c>
      <c r="I88" t="n">
        <v>0</v>
      </c>
      <c r="J88" t="n">
        <v>0</v>
      </c>
      <c r="K88" t="n">
        <v>0</v>
      </c>
      <c r="L88" t="n">
        <v>0</v>
      </c>
      <c r="M88" t="n">
        <v>0</v>
      </c>
      <c r="N88" t="n">
        <v>0</v>
      </c>
      <c r="O88" t="n">
        <v>0</v>
      </c>
      <c r="P88" t="n">
        <v>0</v>
      </c>
      <c r="Q88" t="n">
        <v>0</v>
      </c>
      <c r="R88" s="2" t="inlineStr"/>
    </row>
    <row r="89" ht="15" customHeight="1">
      <c r="A89" t="inlineStr">
        <is>
          <t>A 29231-2019</t>
        </is>
      </c>
      <c r="B89" s="1" t="n">
        <v>43623</v>
      </c>
      <c r="C89" s="1" t="n">
        <v>45837</v>
      </c>
      <c r="D89" t="inlineStr">
        <is>
          <t>DALARNAS LÄN</t>
        </is>
      </c>
      <c r="E89" t="inlineStr">
        <is>
          <t>MORA</t>
        </is>
      </c>
      <c r="G89" t="n">
        <v>24.2</v>
      </c>
      <c r="H89" t="n">
        <v>0</v>
      </c>
      <c r="I89" t="n">
        <v>0</v>
      </c>
      <c r="J89" t="n">
        <v>0</v>
      </c>
      <c r="K89" t="n">
        <v>0</v>
      </c>
      <c r="L89" t="n">
        <v>0</v>
      </c>
      <c r="M89" t="n">
        <v>0</v>
      </c>
      <c r="N89" t="n">
        <v>0</v>
      </c>
      <c r="O89" t="n">
        <v>0</v>
      </c>
      <c r="P89" t="n">
        <v>0</v>
      </c>
      <c r="Q89" t="n">
        <v>0</v>
      </c>
      <c r="R89" s="2" t="inlineStr"/>
    </row>
    <row r="90" ht="15" customHeight="1">
      <c r="A90" t="inlineStr">
        <is>
          <t>A 29370-2019</t>
        </is>
      </c>
      <c r="B90" s="1" t="n">
        <v>43629</v>
      </c>
      <c r="C90" s="1" t="n">
        <v>45837</v>
      </c>
      <c r="D90" t="inlineStr">
        <is>
          <t>DALARNAS LÄN</t>
        </is>
      </c>
      <c r="E90" t="inlineStr">
        <is>
          <t>MORA</t>
        </is>
      </c>
      <c r="G90" t="n">
        <v>2.4</v>
      </c>
      <c r="H90" t="n">
        <v>0</v>
      </c>
      <c r="I90" t="n">
        <v>0</v>
      </c>
      <c r="J90" t="n">
        <v>0</v>
      </c>
      <c r="K90" t="n">
        <v>0</v>
      </c>
      <c r="L90" t="n">
        <v>0</v>
      </c>
      <c r="M90" t="n">
        <v>0</v>
      </c>
      <c r="N90" t="n">
        <v>0</v>
      </c>
      <c r="O90" t="n">
        <v>0</v>
      </c>
      <c r="P90" t="n">
        <v>0</v>
      </c>
      <c r="Q90" t="n">
        <v>0</v>
      </c>
      <c r="R90" s="2" t="inlineStr"/>
    </row>
    <row r="91" ht="15" customHeight="1">
      <c r="A91" t="inlineStr">
        <is>
          <t>A 29395-2019</t>
        </is>
      </c>
      <c r="B91" s="1" t="n">
        <v>43629</v>
      </c>
      <c r="C91" s="1" t="n">
        <v>45837</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30487-2019</t>
        </is>
      </c>
      <c r="B92" s="1" t="n">
        <v>43635</v>
      </c>
      <c r="C92" s="1" t="n">
        <v>45837</v>
      </c>
      <c r="D92" t="inlineStr">
        <is>
          <t>DALARNAS LÄN</t>
        </is>
      </c>
      <c r="E92" t="inlineStr">
        <is>
          <t>MORA</t>
        </is>
      </c>
      <c r="G92" t="n">
        <v>11.5</v>
      </c>
      <c r="H92" t="n">
        <v>0</v>
      </c>
      <c r="I92" t="n">
        <v>0</v>
      </c>
      <c r="J92" t="n">
        <v>0</v>
      </c>
      <c r="K92" t="n">
        <v>0</v>
      </c>
      <c r="L92" t="n">
        <v>0</v>
      </c>
      <c r="M92" t="n">
        <v>0</v>
      </c>
      <c r="N92" t="n">
        <v>0</v>
      </c>
      <c r="O92" t="n">
        <v>0</v>
      </c>
      <c r="P92" t="n">
        <v>0</v>
      </c>
      <c r="Q92" t="n">
        <v>0</v>
      </c>
      <c r="R92" s="2" t="inlineStr"/>
    </row>
    <row r="93" ht="15" customHeight="1">
      <c r="A93" t="inlineStr">
        <is>
          <t>A 30558-2019</t>
        </is>
      </c>
      <c r="B93" s="1" t="n">
        <v>43635</v>
      </c>
      <c r="C93" s="1" t="n">
        <v>45837</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30585-2019</t>
        </is>
      </c>
      <c r="B94" s="1" t="n">
        <v>43635</v>
      </c>
      <c r="C94" s="1" t="n">
        <v>45837</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30665-2019</t>
        </is>
      </c>
      <c r="B95" s="1" t="n">
        <v>43636</v>
      </c>
      <c r="C95" s="1" t="n">
        <v>45837</v>
      </c>
      <c r="D95" t="inlineStr">
        <is>
          <t>DALARNAS LÄN</t>
        </is>
      </c>
      <c r="E95" t="inlineStr">
        <is>
          <t>MORA</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30674-2019</t>
        </is>
      </c>
      <c r="B96" s="1" t="n">
        <v>43636</v>
      </c>
      <c r="C96" s="1" t="n">
        <v>45837</v>
      </c>
      <c r="D96" t="inlineStr">
        <is>
          <t>DALARNAS LÄN</t>
        </is>
      </c>
      <c r="E96" t="inlineStr">
        <is>
          <t>MORA</t>
        </is>
      </c>
      <c r="F96" t="inlineStr">
        <is>
          <t>Kyrkan</t>
        </is>
      </c>
      <c r="G96" t="n">
        <v>1.4</v>
      </c>
      <c r="H96" t="n">
        <v>0</v>
      </c>
      <c r="I96" t="n">
        <v>0</v>
      </c>
      <c r="J96" t="n">
        <v>0</v>
      </c>
      <c r="K96" t="n">
        <v>0</v>
      </c>
      <c r="L96" t="n">
        <v>0</v>
      </c>
      <c r="M96" t="n">
        <v>0</v>
      </c>
      <c r="N96" t="n">
        <v>0</v>
      </c>
      <c r="O96" t="n">
        <v>0</v>
      </c>
      <c r="P96" t="n">
        <v>0</v>
      </c>
      <c r="Q96" t="n">
        <v>0</v>
      </c>
      <c r="R96" s="2" t="inlineStr"/>
    </row>
    <row r="97" ht="15" customHeight="1">
      <c r="A97" t="inlineStr">
        <is>
          <t>A 31007-2019</t>
        </is>
      </c>
      <c r="B97" s="1" t="n">
        <v>43640</v>
      </c>
      <c r="C97" s="1" t="n">
        <v>45837</v>
      </c>
      <c r="D97" t="inlineStr">
        <is>
          <t>DALARNAS LÄN</t>
        </is>
      </c>
      <c r="E97" t="inlineStr">
        <is>
          <t>MORA</t>
        </is>
      </c>
      <c r="G97" t="n">
        <v>15.2</v>
      </c>
      <c r="H97" t="n">
        <v>0</v>
      </c>
      <c r="I97" t="n">
        <v>0</v>
      </c>
      <c r="J97" t="n">
        <v>0</v>
      </c>
      <c r="K97" t="n">
        <v>0</v>
      </c>
      <c r="L97" t="n">
        <v>0</v>
      </c>
      <c r="M97" t="n">
        <v>0</v>
      </c>
      <c r="N97" t="n">
        <v>0</v>
      </c>
      <c r="O97" t="n">
        <v>0</v>
      </c>
      <c r="P97" t="n">
        <v>0</v>
      </c>
      <c r="Q97" t="n">
        <v>0</v>
      </c>
      <c r="R97" s="2" t="inlineStr"/>
    </row>
    <row r="98" ht="15" customHeight="1">
      <c r="A98" t="inlineStr">
        <is>
          <t>A 31786-2019</t>
        </is>
      </c>
      <c r="B98" s="1" t="n">
        <v>43642</v>
      </c>
      <c r="C98" s="1" t="n">
        <v>45837</v>
      </c>
      <c r="D98" t="inlineStr">
        <is>
          <t>DALARNAS LÄN</t>
        </is>
      </c>
      <c r="E98" t="inlineStr">
        <is>
          <t>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32085-2019</t>
        </is>
      </c>
      <c r="B99" s="1" t="n">
        <v>43643</v>
      </c>
      <c r="C99" s="1" t="n">
        <v>45837</v>
      </c>
      <c r="D99" t="inlineStr">
        <is>
          <t>DALARNAS LÄN</t>
        </is>
      </c>
      <c r="E99" t="inlineStr">
        <is>
          <t>MORA</t>
        </is>
      </c>
      <c r="G99" t="n">
        <v>4.6</v>
      </c>
      <c r="H99" t="n">
        <v>0</v>
      </c>
      <c r="I99" t="n">
        <v>0</v>
      </c>
      <c r="J99" t="n">
        <v>0</v>
      </c>
      <c r="K99" t="n">
        <v>0</v>
      </c>
      <c r="L99" t="n">
        <v>0</v>
      </c>
      <c r="M99" t="n">
        <v>0</v>
      </c>
      <c r="N99" t="n">
        <v>0</v>
      </c>
      <c r="O99" t="n">
        <v>0</v>
      </c>
      <c r="P99" t="n">
        <v>0</v>
      </c>
      <c r="Q99" t="n">
        <v>0</v>
      </c>
      <c r="R99" s="2" t="inlineStr"/>
    </row>
    <row r="100" ht="15" customHeight="1">
      <c r="A100" t="inlineStr">
        <is>
          <t>A 33184-2019</t>
        </is>
      </c>
      <c r="B100" s="1" t="n">
        <v>43649</v>
      </c>
      <c r="C100" s="1" t="n">
        <v>45837</v>
      </c>
      <c r="D100" t="inlineStr">
        <is>
          <t>DALARNAS LÄN</t>
        </is>
      </c>
      <c r="E100" t="inlineStr">
        <is>
          <t>MORA</t>
        </is>
      </c>
      <c r="G100" t="n">
        <v>8.1</v>
      </c>
      <c r="H100" t="n">
        <v>0</v>
      </c>
      <c r="I100" t="n">
        <v>0</v>
      </c>
      <c r="J100" t="n">
        <v>0</v>
      </c>
      <c r="K100" t="n">
        <v>0</v>
      </c>
      <c r="L100" t="n">
        <v>0</v>
      </c>
      <c r="M100" t="n">
        <v>0</v>
      </c>
      <c r="N100" t="n">
        <v>0</v>
      </c>
      <c r="O100" t="n">
        <v>0</v>
      </c>
      <c r="P100" t="n">
        <v>0</v>
      </c>
      <c r="Q100" t="n">
        <v>0</v>
      </c>
      <c r="R100" s="2" t="inlineStr"/>
    </row>
    <row r="101" ht="15" customHeight="1">
      <c r="A101" t="inlineStr">
        <is>
          <t>A 33187-2019</t>
        </is>
      </c>
      <c r="B101" s="1" t="n">
        <v>43649</v>
      </c>
      <c r="C101" s="1" t="n">
        <v>45837</v>
      </c>
      <c r="D101" t="inlineStr">
        <is>
          <t>DALARNAS LÄN</t>
        </is>
      </c>
      <c r="E101" t="inlineStr">
        <is>
          <t>MORA</t>
        </is>
      </c>
      <c r="G101" t="n">
        <v>7.1</v>
      </c>
      <c r="H101" t="n">
        <v>0</v>
      </c>
      <c r="I101" t="n">
        <v>0</v>
      </c>
      <c r="J101" t="n">
        <v>0</v>
      </c>
      <c r="K101" t="n">
        <v>0</v>
      </c>
      <c r="L101" t="n">
        <v>0</v>
      </c>
      <c r="M101" t="n">
        <v>0</v>
      </c>
      <c r="N101" t="n">
        <v>0</v>
      </c>
      <c r="O101" t="n">
        <v>0</v>
      </c>
      <c r="P101" t="n">
        <v>0</v>
      </c>
      <c r="Q101" t="n">
        <v>0</v>
      </c>
      <c r="R101" s="2" t="inlineStr"/>
    </row>
    <row r="102" ht="15" customHeight="1">
      <c r="A102" t="inlineStr">
        <is>
          <t>A 33188-2019</t>
        </is>
      </c>
      <c r="B102" s="1" t="n">
        <v>43649</v>
      </c>
      <c r="C102" s="1" t="n">
        <v>45837</v>
      </c>
      <c r="D102" t="inlineStr">
        <is>
          <t>DALARNAS LÄN</t>
        </is>
      </c>
      <c r="E102" t="inlineStr">
        <is>
          <t>MORA</t>
        </is>
      </c>
      <c r="G102" t="n">
        <v>3.9</v>
      </c>
      <c r="H102" t="n">
        <v>0</v>
      </c>
      <c r="I102" t="n">
        <v>0</v>
      </c>
      <c r="J102" t="n">
        <v>0</v>
      </c>
      <c r="K102" t="n">
        <v>0</v>
      </c>
      <c r="L102" t="n">
        <v>0</v>
      </c>
      <c r="M102" t="n">
        <v>0</v>
      </c>
      <c r="N102" t="n">
        <v>0</v>
      </c>
      <c r="O102" t="n">
        <v>0</v>
      </c>
      <c r="P102" t="n">
        <v>0</v>
      </c>
      <c r="Q102" t="n">
        <v>0</v>
      </c>
      <c r="R102" s="2" t="inlineStr"/>
    </row>
    <row r="103" ht="15" customHeight="1">
      <c r="A103" t="inlineStr">
        <is>
          <t>A 33183-2019</t>
        </is>
      </c>
      <c r="B103" s="1" t="n">
        <v>43649</v>
      </c>
      <c r="C103" s="1" t="n">
        <v>45837</v>
      </c>
      <c r="D103" t="inlineStr">
        <is>
          <t>DALARNAS LÄN</t>
        </is>
      </c>
      <c r="E103" t="inlineStr">
        <is>
          <t>MORA</t>
        </is>
      </c>
      <c r="G103" t="n">
        <v>20.1</v>
      </c>
      <c r="H103" t="n">
        <v>0</v>
      </c>
      <c r="I103" t="n">
        <v>0</v>
      </c>
      <c r="J103" t="n">
        <v>0</v>
      </c>
      <c r="K103" t="n">
        <v>0</v>
      </c>
      <c r="L103" t="n">
        <v>0</v>
      </c>
      <c r="M103" t="n">
        <v>0</v>
      </c>
      <c r="N103" t="n">
        <v>0</v>
      </c>
      <c r="O103" t="n">
        <v>0</v>
      </c>
      <c r="P103" t="n">
        <v>0</v>
      </c>
      <c r="Q103" t="n">
        <v>0</v>
      </c>
      <c r="R103" s="2" t="inlineStr"/>
    </row>
    <row r="104" ht="15" customHeight="1">
      <c r="A104" t="inlineStr">
        <is>
          <t>A 33318-2019</t>
        </is>
      </c>
      <c r="B104" s="1" t="n">
        <v>43650</v>
      </c>
      <c r="C104" s="1" t="n">
        <v>45837</v>
      </c>
      <c r="D104" t="inlineStr">
        <is>
          <t>DALARNAS LÄN</t>
        </is>
      </c>
      <c r="E104" t="inlineStr">
        <is>
          <t>MORA</t>
        </is>
      </c>
      <c r="G104" t="n">
        <v>11.8</v>
      </c>
      <c r="H104" t="n">
        <v>0</v>
      </c>
      <c r="I104" t="n">
        <v>0</v>
      </c>
      <c r="J104" t="n">
        <v>0</v>
      </c>
      <c r="K104" t="n">
        <v>0</v>
      </c>
      <c r="L104" t="n">
        <v>0</v>
      </c>
      <c r="M104" t="n">
        <v>0</v>
      </c>
      <c r="N104" t="n">
        <v>0</v>
      </c>
      <c r="O104" t="n">
        <v>0</v>
      </c>
      <c r="P104" t="n">
        <v>0</v>
      </c>
      <c r="Q104" t="n">
        <v>0</v>
      </c>
      <c r="R104" s="2" t="inlineStr"/>
    </row>
    <row r="105" ht="15" customHeight="1">
      <c r="A105" t="inlineStr">
        <is>
          <t>A 35360-2019</t>
        </is>
      </c>
      <c r="B105" s="1" t="n">
        <v>43651</v>
      </c>
      <c r="C105" s="1" t="n">
        <v>45837</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34330-2019</t>
        </is>
      </c>
      <c r="B106" s="1" t="n">
        <v>43656</v>
      </c>
      <c r="C106" s="1" t="n">
        <v>45837</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36275-2019</t>
        </is>
      </c>
      <c r="B107" s="1" t="n">
        <v>43661</v>
      </c>
      <c r="C107" s="1" t="n">
        <v>45837</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36440-2019</t>
        </is>
      </c>
      <c r="B108" s="1" t="n">
        <v>43664</v>
      </c>
      <c r="C108" s="1" t="n">
        <v>45837</v>
      </c>
      <c r="D108" t="inlineStr">
        <is>
          <t>DALARNAS LÄN</t>
        </is>
      </c>
      <c r="E108" t="inlineStr">
        <is>
          <t>MORA</t>
        </is>
      </c>
      <c r="G108" t="n">
        <v>0.7</v>
      </c>
      <c r="H108" t="n">
        <v>0</v>
      </c>
      <c r="I108" t="n">
        <v>0</v>
      </c>
      <c r="J108" t="n">
        <v>0</v>
      </c>
      <c r="K108" t="n">
        <v>0</v>
      </c>
      <c r="L108" t="n">
        <v>0</v>
      </c>
      <c r="M108" t="n">
        <v>0</v>
      </c>
      <c r="N108" t="n">
        <v>0</v>
      </c>
      <c r="O108" t="n">
        <v>0</v>
      </c>
      <c r="P108" t="n">
        <v>0</v>
      </c>
      <c r="Q108" t="n">
        <v>0</v>
      </c>
      <c r="R108" s="2" t="inlineStr"/>
    </row>
    <row r="109" ht="15" customHeight="1">
      <c r="A109" t="inlineStr">
        <is>
          <t>A 37801-2019</t>
        </is>
      </c>
      <c r="B109" s="1" t="n">
        <v>43675</v>
      </c>
      <c r="C109" s="1" t="n">
        <v>45837</v>
      </c>
      <c r="D109" t="inlineStr">
        <is>
          <t>DALARNAS LÄN</t>
        </is>
      </c>
      <c r="E109" t="inlineStr">
        <is>
          <t>MORA</t>
        </is>
      </c>
      <c r="F109" t="inlineStr">
        <is>
          <t>Allmännings- och besparingsskogar</t>
        </is>
      </c>
      <c r="G109" t="n">
        <v>6.2</v>
      </c>
      <c r="H109" t="n">
        <v>0</v>
      </c>
      <c r="I109" t="n">
        <v>0</v>
      </c>
      <c r="J109" t="n">
        <v>0</v>
      </c>
      <c r="K109" t="n">
        <v>0</v>
      </c>
      <c r="L109" t="n">
        <v>0</v>
      </c>
      <c r="M109" t="n">
        <v>0</v>
      </c>
      <c r="N109" t="n">
        <v>0</v>
      </c>
      <c r="O109" t="n">
        <v>0</v>
      </c>
      <c r="P109" t="n">
        <v>0</v>
      </c>
      <c r="Q109" t="n">
        <v>0</v>
      </c>
      <c r="R109" s="2" t="inlineStr"/>
    </row>
    <row r="110" ht="15" customHeight="1">
      <c r="A110" t="inlineStr">
        <is>
          <t>A 37816-2019</t>
        </is>
      </c>
      <c r="B110" s="1" t="n">
        <v>43675</v>
      </c>
      <c r="C110" s="1" t="n">
        <v>45837</v>
      </c>
      <c r="D110" t="inlineStr">
        <is>
          <t>DALARNAS LÄN</t>
        </is>
      </c>
      <c r="E110" t="inlineStr">
        <is>
          <t>MORA</t>
        </is>
      </c>
      <c r="F110" t="inlineStr">
        <is>
          <t>Allmännings- och besparingsskogar</t>
        </is>
      </c>
      <c r="G110" t="n">
        <v>29.9</v>
      </c>
      <c r="H110" t="n">
        <v>0</v>
      </c>
      <c r="I110" t="n">
        <v>0</v>
      </c>
      <c r="J110" t="n">
        <v>0</v>
      </c>
      <c r="K110" t="n">
        <v>0</v>
      </c>
      <c r="L110" t="n">
        <v>0</v>
      </c>
      <c r="M110" t="n">
        <v>0</v>
      </c>
      <c r="N110" t="n">
        <v>0</v>
      </c>
      <c r="O110" t="n">
        <v>0</v>
      </c>
      <c r="P110" t="n">
        <v>0</v>
      </c>
      <c r="Q110" t="n">
        <v>0</v>
      </c>
      <c r="R110" s="2" t="inlineStr"/>
    </row>
    <row r="111" ht="15" customHeight="1">
      <c r="A111" t="inlineStr">
        <is>
          <t>A 36991-2019</t>
        </is>
      </c>
      <c r="B111" s="1" t="n">
        <v>43676</v>
      </c>
      <c r="C111" s="1" t="n">
        <v>45837</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38821-2019</t>
        </is>
      </c>
      <c r="B112" s="1" t="n">
        <v>43682</v>
      </c>
      <c r="C112" s="1" t="n">
        <v>45837</v>
      </c>
      <c r="D112" t="inlineStr">
        <is>
          <t>DALARNAS LÄN</t>
        </is>
      </c>
      <c r="E112" t="inlineStr">
        <is>
          <t>MORA</t>
        </is>
      </c>
      <c r="F112" t="inlineStr">
        <is>
          <t>Allmännings- och besparingsskogar</t>
        </is>
      </c>
      <c r="G112" t="n">
        <v>7.1</v>
      </c>
      <c r="H112" t="n">
        <v>0</v>
      </c>
      <c r="I112" t="n">
        <v>0</v>
      </c>
      <c r="J112" t="n">
        <v>0</v>
      </c>
      <c r="K112" t="n">
        <v>0</v>
      </c>
      <c r="L112" t="n">
        <v>0</v>
      </c>
      <c r="M112" t="n">
        <v>0</v>
      </c>
      <c r="N112" t="n">
        <v>0</v>
      </c>
      <c r="O112" t="n">
        <v>0</v>
      </c>
      <c r="P112" t="n">
        <v>0</v>
      </c>
      <c r="Q112" t="n">
        <v>0</v>
      </c>
      <c r="R112" s="2" t="inlineStr"/>
    </row>
    <row r="113" ht="15" customHeight="1">
      <c r="A113" t="inlineStr">
        <is>
          <t>A 38514-2019</t>
        </is>
      </c>
      <c r="B113" s="1" t="n">
        <v>43685</v>
      </c>
      <c r="C113" s="1" t="n">
        <v>45837</v>
      </c>
      <c r="D113" t="inlineStr">
        <is>
          <t>DALARNAS LÄN</t>
        </is>
      </c>
      <c r="E113" t="inlineStr">
        <is>
          <t>MORA</t>
        </is>
      </c>
      <c r="F113" t="inlineStr">
        <is>
          <t>Bergvik skog öst AB</t>
        </is>
      </c>
      <c r="G113" t="n">
        <v>7.4</v>
      </c>
      <c r="H113" t="n">
        <v>0</v>
      </c>
      <c r="I113" t="n">
        <v>0</v>
      </c>
      <c r="J113" t="n">
        <v>0</v>
      </c>
      <c r="K113" t="n">
        <v>0</v>
      </c>
      <c r="L113" t="n">
        <v>0</v>
      </c>
      <c r="M113" t="n">
        <v>0</v>
      </c>
      <c r="N113" t="n">
        <v>0</v>
      </c>
      <c r="O113" t="n">
        <v>0</v>
      </c>
      <c r="P113" t="n">
        <v>0</v>
      </c>
      <c r="Q113" t="n">
        <v>0</v>
      </c>
      <c r="R113" s="2" t="inlineStr"/>
    </row>
    <row r="114" ht="15" customHeight="1">
      <c r="A114" t="inlineStr">
        <is>
          <t>A 39809-2019</t>
        </is>
      </c>
      <c r="B114" s="1" t="n">
        <v>43692</v>
      </c>
      <c r="C114" s="1" t="n">
        <v>45837</v>
      </c>
      <c r="D114" t="inlineStr">
        <is>
          <t>DALARNAS LÄN</t>
        </is>
      </c>
      <c r="E114" t="inlineStr">
        <is>
          <t>MORA</t>
        </is>
      </c>
      <c r="F114" t="inlineStr">
        <is>
          <t>Bergvik skog öst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39811-2019</t>
        </is>
      </c>
      <c r="B115" s="1" t="n">
        <v>43692</v>
      </c>
      <c r="C115" s="1" t="n">
        <v>45837</v>
      </c>
      <c r="D115" t="inlineStr">
        <is>
          <t>DALARNAS LÄN</t>
        </is>
      </c>
      <c r="E115" t="inlineStr">
        <is>
          <t>MORA</t>
        </is>
      </c>
      <c r="F115" t="inlineStr">
        <is>
          <t>Bergvik skog öst AB</t>
        </is>
      </c>
      <c r="G115" t="n">
        <v>0.4</v>
      </c>
      <c r="H115" t="n">
        <v>0</v>
      </c>
      <c r="I115" t="n">
        <v>0</v>
      </c>
      <c r="J115" t="n">
        <v>0</v>
      </c>
      <c r="K115" t="n">
        <v>0</v>
      </c>
      <c r="L115" t="n">
        <v>0</v>
      </c>
      <c r="M115" t="n">
        <v>0</v>
      </c>
      <c r="N115" t="n">
        <v>0</v>
      </c>
      <c r="O115" t="n">
        <v>0</v>
      </c>
      <c r="P115" t="n">
        <v>0</v>
      </c>
      <c r="Q115" t="n">
        <v>0</v>
      </c>
      <c r="R115" s="2" t="inlineStr"/>
    </row>
    <row r="116" ht="15" customHeight="1">
      <c r="A116" t="inlineStr">
        <is>
          <t>A 40910-2019</t>
        </is>
      </c>
      <c r="B116" s="1" t="n">
        <v>43693</v>
      </c>
      <c r="C116" s="1" t="n">
        <v>45837</v>
      </c>
      <c r="D116" t="inlineStr">
        <is>
          <t>DALARNAS LÄN</t>
        </is>
      </c>
      <c r="E116" t="inlineStr">
        <is>
          <t>MORA</t>
        </is>
      </c>
      <c r="G116" t="n">
        <v>4.2</v>
      </c>
      <c r="H116" t="n">
        <v>0</v>
      </c>
      <c r="I116" t="n">
        <v>0</v>
      </c>
      <c r="J116" t="n">
        <v>0</v>
      </c>
      <c r="K116" t="n">
        <v>0</v>
      </c>
      <c r="L116" t="n">
        <v>0</v>
      </c>
      <c r="M116" t="n">
        <v>0</v>
      </c>
      <c r="N116" t="n">
        <v>0</v>
      </c>
      <c r="O116" t="n">
        <v>0</v>
      </c>
      <c r="P116" t="n">
        <v>0</v>
      </c>
      <c r="Q116" t="n">
        <v>0</v>
      </c>
      <c r="R116" s="2" t="inlineStr"/>
    </row>
    <row r="117" ht="15" customHeight="1">
      <c r="A117" t="inlineStr">
        <is>
          <t>A 42530-2019</t>
        </is>
      </c>
      <c r="B117" s="1" t="n">
        <v>43698</v>
      </c>
      <c r="C117" s="1" t="n">
        <v>45837</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43396-2019</t>
        </is>
      </c>
      <c r="B118" s="1" t="n">
        <v>43703</v>
      </c>
      <c r="C118" s="1" t="n">
        <v>45837</v>
      </c>
      <c r="D118" t="inlineStr">
        <is>
          <t>DALARNAS LÄN</t>
        </is>
      </c>
      <c r="E118" t="inlineStr">
        <is>
          <t>MORA</t>
        </is>
      </c>
      <c r="G118" t="n">
        <v>1.1</v>
      </c>
      <c r="H118" t="n">
        <v>0</v>
      </c>
      <c r="I118" t="n">
        <v>0</v>
      </c>
      <c r="J118" t="n">
        <v>0</v>
      </c>
      <c r="K118" t="n">
        <v>0</v>
      </c>
      <c r="L118" t="n">
        <v>0</v>
      </c>
      <c r="M118" t="n">
        <v>0</v>
      </c>
      <c r="N118" t="n">
        <v>0</v>
      </c>
      <c r="O118" t="n">
        <v>0</v>
      </c>
      <c r="P118" t="n">
        <v>0</v>
      </c>
      <c r="Q118" t="n">
        <v>0</v>
      </c>
      <c r="R118" s="2" t="inlineStr"/>
    </row>
    <row r="119" ht="15" customHeight="1">
      <c r="A119" t="inlineStr">
        <is>
          <t>A 43744-2019</t>
        </is>
      </c>
      <c r="B119" s="1" t="n">
        <v>43707</v>
      </c>
      <c r="C119" s="1" t="n">
        <v>45837</v>
      </c>
      <c r="D119" t="inlineStr">
        <is>
          <t>DALARNAS LÄN</t>
        </is>
      </c>
      <c r="E119" t="inlineStr">
        <is>
          <t>MORA</t>
        </is>
      </c>
      <c r="G119" t="n">
        <v>1.3</v>
      </c>
      <c r="H119" t="n">
        <v>0</v>
      </c>
      <c r="I119" t="n">
        <v>0</v>
      </c>
      <c r="J119" t="n">
        <v>0</v>
      </c>
      <c r="K119" t="n">
        <v>0</v>
      </c>
      <c r="L119" t="n">
        <v>0</v>
      </c>
      <c r="M119" t="n">
        <v>0</v>
      </c>
      <c r="N119" t="n">
        <v>0</v>
      </c>
      <c r="O119" t="n">
        <v>0</v>
      </c>
      <c r="P119" t="n">
        <v>0</v>
      </c>
      <c r="Q119" t="n">
        <v>0</v>
      </c>
      <c r="R119" s="2" t="inlineStr"/>
    </row>
    <row r="120" ht="15" customHeight="1">
      <c r="A120" t="inlineStr">
        <is>
          <t>A 43718-2019</t>
        </is>
      </c>
      <c r="B120" s="1" t="n">
        <v>43707</v>
      </c>
      <c r="C120" s="1" t="n">
        <v>45837</v>
      </c>
      <c r="D120" t="inlineStr">
        <is>
          <t>DALARNAS LÄN</t>
        </is>
      </c>
      <c r="E120" t="inlineStr">
        <is>
          <t>MORA</t>
        </is>
      </c>
      <c r="G120" t="n">
        <v>10.7</v>
      </c>
      <c r="H120" t="n">
        <v>0</v>
      </c>
      <c r="I120" t="n">
        <v>0</v>
      </c>
      <c r="J120" t="n">
        <v>0</v>
      </c>
      <c r="K120" t="n">
        <v>0</v>
      </c>
      <c r="L120" t="n">
        <v>0</v>
      </c>
      <c r="M120" t="n">
        <v>0</v>
      </c>
      <c r="N120" t="n">
        <v>0</v>
      </c>
      <c r="O120" t="n">
        <v>0</v>
      </c>
      <c r="P120" t="n">
        <v>0</v>
      </c>
      <c r="Q120" t="n">
        <v>0</v>
      </c>
      <c r="R120" s="2" t="inlineStr"/>
    </row>
    <row r="121" ht="15" customHeight="1">
      <c r="A121" t="inlineStr">
        <is>
          <t>A 44759-2019</t>
        </is>
      </c>
      <c r="B121" s="1" t="n">
        <v>43707</v>
      </c>
      <c r="C121" s="1" t="n">
        <v>45837</v>
      </c>
      <c r="D121" t="inlineStr">
        <is>
          <t>DALARNAS LÄN</t>
        </is>
      </c>
      <c r="E121" t="inlineStr">
        <is>
          <t>MORA</t>
        </is>
      </c>
      <c r="F121" t="inlineStr">
        <is>
          <t>Allmännings- och besparingsskogar</t>
        </is>
      </c>
      <c r="G121" t="n">
        <v>6.8</v>
      </c>
      <c r="H121" t="n">
        <v>0</v>
      </c>
      <c r="I121" t="n">
        <v>0</v>
      </c>
      <c r="J121" t="n">
        <v>0</v>
      </c>
      <c r="K121" t="n">
        <v>0</v>
      </c>
      <c r="L121" t="n">
        <v>0</v>
      </c>
      <c r="M121" t="n">
        <v>0</v>
      </c>
      <c r="N121" t="n">
        <v>0</v>
      </c>
      <c r="O121" t="n">
        <v>0</v>
      </c>
      <c r="P121" t="n">
        <v>0</v>
      </c>
      <c r="Q121" t="n">
        <v>0</v>
      </c>
      <c r="R121" s="2" t="inlineStr"/>
    </row>
    <row r="122" ht="15" customHeight="1">
      <c r="A122" t="inlineStr">
        <is>
          <t>A 44766-2019</t>
        </is>
      </c>
      <c r="B122" s="1" t="n">
        <v>43707</v>
      </c>
      <c r="C122" s="1" t="n">
        <v>45837</v>
      </c>
      <c r="D122" t="inlineStr">
        <is>
          <t>DALARNAS LÄN</t>
        </is>
      </c>
      <c r="E122" t="inlineStr">
        <is>
          <t>MORA</t>
        </is>
      </c>
      <c r="F122" t="inlineStr">
        <is>
          <t>Allmännings- och besparingsskogar</t>
        </is>
      </c>
      <c r="G122" t="n">
        <v>32.2</v>
      </c>
      <c r="H122" t="n">
        <v>0</v>
      </c>
      <c r="I122" t="n">
        <v>0</v>
      </c>
      <c r="J122" t="n">
        <v>0</v>
      </c>
      <c r="K122" t="n">
        <v>0</v>
      </c>
      <c r="L122" t="n">
        <v>0</v>
      </c>
      <c r="M122" t="n">
        <v>0</v>
      </c>
      <c r="N122" t="n">
        <v>0</v>
      </c>
      <c r="O122" t="n">
        <v>0</v>
      </c>
      <c r="P122" t="n">
        <v>0</v>
      </c>
      <c r="Q122" t="n">
        <v>0</v>
      </c>
      <c r="R122" s="2" t="inlineStr"/>
    </row>
    <row r="123" ht="15" customHeight="1">
      <c r="A123" t="inlineStr">
        <is>
          <t>A 45989-2019</t>
        </is>
      </c>
      <c r="B123" s="1" t="n">
        <v>43718</v>
      </c>
      <c r="C123" s="1" t="n">
        <v>45837</v>
      </c>
      <c r="D123" t="inlineStr">
        <is>
          <t>DALARNAS LÄN</t>
        </is>
      </c>
      <c r="E123" t="inlineStr">
        <is>
          <t>MORA</t>
        </is>
      </c>
      <c r="G123" t="n">
        <v>12.9</v>
      </c>
      <c r="H123" t="n">
        <v>0</v>
      </c>
      <c r="I123" t="n">
        <v>0</v>
      </c>
      <c r="J123" t="n">
        <v>0</v>
      </c>
      <c r="K123" t="n">
        <v>0</v>
      </c>
      <c r="L123" t="n">
        <v>0</v>
      </c>
      <c r="M123" t="n">
        <v>0</v>
      </c>
      <c r="N123" t="n">
        <v>0</v>
      </c>
      <c r="O123" t="n">
        <v>0</v>
      </c>
      <c r="P123" t="n">
        <v>0</v>
      </c>
      <c r="Q123" t="n">
        <v>0</v>
      </c>
      <c r="R123" s="2" t="inlineStr"/>
    </row>
    <row r="124" ht="15" customHeight="1">
      <c r="A124" t="inlineStr">
        <is>
          <t>A 46119-2019</t>
        </is>
      </c>
      <c r="B124" s="1" t="n">
        <v>43718</v>
      </c>
      <c r="C124" s="1" t="n">
        <v>45837</v>
      </c>
      <c r="D124" t="inlineStr">
        <is>
          <t>DALARNAS LÄN</t>
        </is>
      </c>
      <c r="E124" t="inlineStr">
        <is>
          <t>MORA</t>
        </is>
      </c>
      <c r="G124" t="n">
        <v>3.2</v>
      </c>
      <c r="H124" t="n">
        <v>0</v>
      </c>
      <c r="I124" t="n">
        <v>0</v>
      </c>
      <c r="J124" t="n">
        <v>0</v>
      </c>
      <c r="K124" t="n">
        <v>0</v>
      </c>
      <c r="L124" t="n">
        <v>0</v>
      </c>
      <c r="M124" t="n">
        <v>0</v>
      </c>
      <c r="N124" t="n">
        <v>0</v>
      </c>
      <c r="O124" t="n">
        <v>0</v>
      </c>
      <c r="P124" t="n">
        <v>0</v>
      </c>
      <c r="Q124" t="n">
        <v>0</v>
      </c>
      <c r="R124" s="2" t="inlineStr"/>
    </row>
    <row r="125" ht="15" customHeight="1">
      <c r="A125" t="inlineStr">
        <is>
          <t>A 46171-2019</t>
        </is>
      </c>
      <c r="B125" s="1" t="n">
        <v>43718</v>
      </c>
      <c r="C125" s="1" t="n">
        <v>45837</v>
      </c>
      <c r="D125" t="inlineStr">
        <is>
          <t>DALARNAS LÄN</t>
        </is>
      </c>
      <c r="E125" t="inlineStr">
        <is>
          <t>MORA</t>
        </is>
      </c>
      <c r="G125" t="n">
        <v>6.1</v>
      </c>
      <c r="H125" t="n">
        <v>0</v>
      </c>
      <c r="I125" t="n">
        <v>0</v>
      </c>
      <c r="J125" t="n">
        <v>0</v>
      </c>
      <c r="K125" t="n">
        <v>0</v>
      </c>
      <c r="L125" t="n">
        <v>0</v>
      </c>
      <c r="M125" t="n">
        <v>0</v>
      </c>
      <c r="N125" t="n">
        <v>0</v>
      </c>
      <c r="O125" t="n">
        <v>0</v>
      </c>
      <c r="P125" t="n">
        <v>0</v>
      </c>
      <c r="Q125" t="n">
        <v>0</v>
      </c>
      <c r="R125" s="2" t="inlineStr"/>
    </row>
    <row r="126" ht="15" customHeight="1">
      <c r="A126" t="inlineStr">
        <is>
          <t>A 47713-2019</t>
        </is>
      </c>
      <c r="B126" s="1" t="n">
        <v>43724</v>
      </c>
      <c r="C126" s="1" t="n">
        <v>45837</v>
      </c>
      <c r="D126" t="inlineStr">
        <is>
          <t>DALARNAS LÄN</t>
        </is>
      </c>
      <c r="E126" t="inlineStr">
        <is>
          <t>MORA</t>
        </is>
      </c>
      <c r="G126" t="n">
        <v>11.4</v>
      </c>
      <c r="H126" t="n">
        <v>0</v>
      </c>
      <c r="I126" t="n">
        <v>0</v>
      </c>
      <c r="J126" t="n">
        <v>0</v>
      </c>
      <c r="K126" t="n">
        <v>0</v>
      </c>
      <c r="L126" t="n">
        <v>0</v>
      </c>
      <c r="M126" t="n">
        <v>0</v>
      </c>
      <c r="N126" t="n">
        <v>0</v>
      </c>
      <c r="O126" t="n">
        <v>0</v>
      </c>
      <c r="P126" t="n">
        <v>0</v>
      </c>
      <c r="Q126" t="n">
        <v>0</v>
      </c>
      <c r="R126" s="2" t="inlineStr"/>
    </row>
    <row r="127" ht="15" customHeight="1">
      <c r="A127" t="inlineStr">
        <is>
          <t>A 49193-2019</t>
        </is>
      </c>
      <c r="B127" s="1" t="n">
        <v>43724</v>
      </c>
      <c r="C127" s="1" t="n">
        <v>45837</v>
      </c>
      <c r="D127" t="inlineStr">
        <is>
          <t>DALARNAS LÄN</t>
        </is>
      </c>
      <c r="E127" t="inlineStr">
        <is>
          <t>MORA</t>
        </is>
      </c>
      <c r="G127" t="n">
        <v>4.3</v>
      </c>
      <c r="H127" t="n">
        <v>0</v>
      </c>
      <c r="I127" t="n">
        <v>0</v>
      </c>
      <c r="J127" t="n">
        <v>0</v>
      </c>
      <c r="K127" t="n">
        <v>0</v>
      </c>
      <c r="L127" t="n">
        <v>0</v>
      </c>
      <c r="M127" t="n">
        <v>0</v>
      </c>
      <c r="N127" t="n">
        <v>0</v>
      </c>
      <c r="O127" t="n">
        <v>0</v>
      </c>
      <c r="P127" t="n">
        <v>0</v>
      </c>
      <c r="Q127" t="n">
        <v>0</v>
      </c>
      <c r="R127" s="2" t="inlineStr"/>
    </row>
    <row r="128" ht="15" customHeight="1">
      <c r="A128" t="inlineStr">
        <is>
          <t>A 48445-2019</t>
        </is>
      </c>
      <c r="B128" s="1" t="n">
        <v>43727</v>
      </c>
      <c r="C128" s="1" t="n">
        <v>45837</v>
      </c>
      <c r="D128" t="inlineStr">
        <is>
          <t>DALARNAS LÄN</t>
        </is>
      </c>
      <c r="E128" t="inlineStr">
        <is>
          <t>MORA</t>
        </is>
      </c>
      <c r="G128" t="n">
        <v>2.8</v>
      </c>
      <c r="H128" t="n">
        <v>0</v>
      </c>
      <c r="I128" t="n">
        <v>0</v>
      </c>
      <c r="J128" t="n">
        <v>0</v>
      </c>
      <c r="K128" t="n">
        <v>0</v>
      </c>
      <c r="L128" t="n">
        <v>0</v>
      </c>
      <c r="M128" t="n">
        <v>0</v>
      </c>
      <c r="N128" t="n">
        <v>0</v>
      </c>
      <c r="O128" t="n">
        <v>0</v>
      </c>
      <c r="P128" t="n">
        <v>0</v>
      </c>
      <c r="Q128" t="n">
        <v>0</v>
      </c>
      <c r="R128" s="2" t="inlineStr"/>
    </row>
    <row r="129" ht="15" customHeight="1">
      <c r="A129" t="inlineStr">
        <is>
          <t>A 48460-2019</t>
        </is>
      </c>
      <c r="B129" s="1" t="n">
        <v>43727</v>
      </c>
      <c r="C129" s="1" t="n">
        <v>45837</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49051-2019</t>
        </is>
      </c>
      <c r="B130" s="1" t="n">
        <v>43731</v>
      </c>
      <c r="C130" s="1" t="n">
        <v>45837</v>
      </c>
      <c r="D130" t="inlineStr">
        <is>
          <t>DALARNAS LÄN</t>
        </is>
      </c>
      <c r="E130" t="inlineStr">
        <is>
          <t>MORA</t>
        </is>
      </c>
      <c r="G130" t="n">
        <v>16</v>
      </c>
      <c r="H130" t="n">
        <v>0</v>
      </c>
      <c r="I130" t="n">
        <v>0</v>
      </c>
      <c r="J130" t="n">
        <v>0</v>
      </c>
      <c r="K130" t="n">
        <v>0</v>
      </c>
      <c r="L130" t="n">
        <v>0</v>
      </c>
      <c r="M130" t="n">
        <v>0</v>
      </c>
      <c r="N130" t="n">
        <v>0</v>
      </c>
      <c r="O130" t="n">
        <v>0</v>
      </c>
      <c r="P130" t="n">
        <v>0</v>
      </c>
      <c r="Q130" t="n">
        <v>0</v>
      </c>
      <c r="R130" s="2" t="inlineStr"/>
    </row>
    <row r="131" ht="15" customHeight="1">
      <c r="A131" t="inlineStr">
        <is>
          <t>A 49290-2019</t>
        </is>
      </c>
      <c r="B131" s="1" t="n">
        <v>43731</v>
      </c>
      <c r="C131" s="1" t="n">
        <v>45837</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49765-2019</t>
        </is>
      </c>
      <c r="B132" s="1" t="n">
        <v>43733</v>
      </c>
      <c r="C132" s="1" t="n">
        <v>45837</v>
      </c>
      <c r="D132" t="inlineStr">
        <is>
          <t>DALARNAS LÄN</t>
        </is>
      </c>
      <c r="E132" t="inlineStr">
        <is>
          <t>MORA</t>
        </is>
      </c>
      <c r="F132" t="inlineStr">
        <is>
          <t>Bergvik skog väst AB</t>
        </is>
      </c>
      <c r="G132" t="n">
        <v>9.6</v>
      </c>
      <c r="H132" t="n">
        <v>0</v>
      </c>
      <c r="I132" t="n">
        <v>0</v>
      </c>
      <c r="J132" t="n">
        <v>0</v>
      </c>
      <c r="K132" t="n">
        <v>0</v>
      </c>
      <c r="L132" t="n">
        <v>0</v>
      </c>
      <c r="M132" t="n">
        <v>0</v>
      </c>
      <c r="N132" t="n">
        <v>0</v>
      </c>
      <c r="O132" t="n">
        <v>0</v>
      </c>
      <c r="P132" t="n">
        <v>0</v>
      </c>
      <c r="Q132" t="n">
        <v>0</v>
      </c>
      <c r="R132" s="2" t="inlineStr"/>
    </row>
    <row r="133" ht="15" customHeight="1">
      <c r="A133" t="inlineStr">
        <is>
          <t>A 52958-2019</t>
        </is>
      </c>
      <c r="B133" s="1" t="n">
        <v>43747</v>
      </c>
      <c r="C133" s="1" t="n">
        <v>45837</v>
      </c>
      <c r="D133" t="inlineStr">
        <is>
          <t>DALARNAS LÄN</t>
        </is>
      </c>
      <c r="E133" t="inlineStr">
        <is>
          <t>MORA</t>
        </is>
      </c>
      <c r="G133" t="n">
        <v>6.8</v>
      </c>
      <c r="H133" t="n">
        <v>0</v>
      </c>
      <c r="I133" t="n">
        <v>0</v>
      </c>
      <c r="J133" t="n">
        <v>0</v>
      </c>
      <c r="K133" t="n">
        <v>0</v>
      </c>
      <c r="L133" t="n">
        <v>0</v>
      </c>
      <c r="M133" t="n">
        <v>0</v>
      </c>
      <c r="N133" t="n">
        <v>0</v>
      </c>
      <c r="O133" t="n">
        <v>0</v>
      </c>
      <c r="P133" t="n">
        <v>0</v>
      </c>
      <c r="Q133" t="n">
        <v>0</v>
      </c>
      <c r="R133" s="2" t="inlineStr"/>
    </row>
    <row r="134" ht="15" customHeight="1">
      <c r="A134" t="inlineStr">
        <is>
          <t>A 53336-2019</t>
        </is>
      </c>
      <c r="B134" s="1" t="n">
        <v>43748</v>
      </c>
      <c r="C134" s="1" t="n">
        <v>45837</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54605-2019</t>
        </is>
      </c>
      <c r="B135" s="1" t="n">
        <v>43754</v>
      </c>
      <c r="C135" s="1" t="n">
        <v>45837</v>
      </c>
      <c r="D135" t="inlineStr">
        <is>
          <t>DALARNAS LÄN</t>
        </is>
      </c>
      <c r="E135" t="inlineStr">
        <is>
          <t>MORA</t>
        </is>
      </c>
      <c r="F135" t="inlineStr">
        <is>
          <t>Övriga Aktiebolag</t>
        </is>
      </c>
      <c r="G135" t="n">
        <v>12.7</v>
      </c>
      <c r="H135" t="n">
        <v>0</v>
      </c>
      <c r="I135" t="n">
        <v>0</v>
      </c>
      <c r="J135" t="n">
        <v>0</v>
      </c>
      <c r="K135" t="n">
        <v>0</v>
      </c>
      <c r="L135" t="n">
        <v>0</v>
      </c>
      <c r="M135" t="n">
        <v>0</v>
      </c>
      <c r="N135" t="n">
        <v>0</v>
      </c>
      <c r="O135" t="n">
        <v>0</v>
      </c>
      <c r="P135" t="n">
        <v>0</v>
      </c>
      <c r="Q135" t="n">
        <v>0</v>
      </c>
      <c r="R135" s="2" t="inlineStr"/>
    </row>
    <row r="136" ht="15" customHeight="1">
      <c r="A136" t="inlineStr">
        <is>
          <t>A 56145-2019</t>
        </is>
      </c>
      <c r="B136" s="1" t="n">
        <v>43761</v>
      </c>
      <c r="C136" s="1" t="n">
        <v>45837</v>
      </c>
      <c r="D136" t="inlineStr">
        <is>
          <t>DALARNAS LÄN</t>
        </is>
      </c>
      <c r="E136" t="inlineStr">
        <is>
          <t>MORA</t>
        </is>
      </c>
      <c r="G136" t="n">
        <v>0.6</v>
      </c>
      <c r="H136" t="n">
        <v>0</v>
      </c>
      <c r="I136" t="n">
        <v>0</v>
      </c>
      <c r="J136" t="n">
        <v>0</v>
      </c>
      <c r="K136" t="n">
        <v>0</v>
      </c>
      <c r="L136" t="n">
        <v>0</v>
      </c>
      <c r="M136" t="n">
        <v>0</v>
      </c>
      <c r="N136" t="n">
        <v>0</v>
      </c>
      <c r="O136" t="n">
        <v>0</v>
      </c>
      <c r="P136" t="n">
        <v>0</v>
      </c>
      <c r="Q136" t="n">
        <v>0</v>
      </c>
      <c r="R136" s="2" t="inlineStr"/>
    </row>
    <row r="137" ht="15" customHeight="1">
      <c r="A137" t="inlineStr">
        <is>
          <t>A 57254-2019</t>
        </is>
      </c>
      <c r="B137" s="1" t="n">
        <v>43767</v>
      </c>
      <c r="C137" s="1" t="n">
        <v>45837</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57640-2019</t>
        </is>
      </c>
      <c r="B138" s="1" t="n">
        <v>43768</v>
      </c>
      <c r="C138" s="1" t="n">
        <v>45837</v>
      </c>
      <c r="D138" t="inlineStr">
        <is>
          <t>DALARNAS LÄN</t>
        </is>
      </c>
      <c r="E138" t="inlineStr">
        <is>
          <t>MORA</t>
        </is>
      </c>
      <c r="G138" t="n">
        <v>2.8</v>
      </c>
      <c r="H138" t="n">
        <v>0</v>
      </c>
      <c r="I138" t="n">
        <v>0</v>
      </c>
      <c r="J138" t="n">
        <v>0</v>
      </c>
      <c r="K138" t="n">
        <v>0</v>
      </c>
      <c r="L138" t="n">
        <v>0</v>
      </c>
      <c r="M138" t="n">
        <v>0</v>
      </c>
      <c r="N138" t="n">
        <v>0</v>
      </c>
      <c r="O138" t="n">
        <v>0</v>
      </c>
      <c r="P138" t="n">
        <v>0</v>
      </c>
      <c r="Q138" t="n">
        <v>0</v>
      </c>
      <c r="R138" s="2" t="inlineStr"/>
    </row>
    <row r="139" ht="15" customHeight="1">
      <c r="A139" t="inlineStr">
        <is>
          <t>A 57989-2019</t>
        </is>
      </c>
      <c r="B139" s="1" t="n">
        <v>43769</v>
      </c>
      <c r="C139" s="1" t="n">
        <v>45837</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57984-2019</t>
        </is>
      </c>
      <c r="B140" s="1" t="n">
        <v>43769</v>
      </c>
      <c r="C140" s="1" t="n">
        <v>45837</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58335-2019</t>
        </is>
      </c>
      <c r="B141" s="1" t="n">
        <v>43770</v>
      </c>
      <c r="C141" s="1" t="n">
        <v>45837</v>
      </c>
      <c r="D141" t="inlineStr">
        <is>
          <t>DALARNAS LÄN</t>
        </is>
      </c>
      <c r="E141" t="inlineStr">
        <is>
          <t>MORA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61077-2019</t>
        </is>
      </c>
      <c r="B142" s="1" t="n">
        <v>43782</v>
      </c>
      <c r="C142" s="1" t="n">
        <v>45837</v>
      </c>
      <c r="D142" t="inlineStr">
        <is>
          <t>DALARNAS LÄN</t>
        </is>
      </c>
      <c r="E142" t="inlineStr">
        <is>
          <t>MORA</t>
        </is>
      </c>
      <c r="F142" t="inlineStr">
        <is>
          <t>Bergvik skog öst AB</t>
        </is>
      </c>
      <c r="G142" t="n">
        <v>2.9</v>
      </c>
      <c r="H142" t="n">
        <v>0</v>
      </c>
      <c r="I142" t="n">
        <v>0</v>
      </c>
      <c r="J142" t="n">
        <v>0</v>
      </c>
      <c r="K142" t="n">
        <v>0</v>
      </c>
      <c r="L142" t="n">
        <v>0</v>
      </c>
      <c r="M142" t="n">
        <v>0</v>
      </c>
      <c r="N142" t="n">
        <v>0</v>
      </c>
      <c r="O142" t="n">
        <v>0</v>
      </c>
      <c r="P142" t="n">
        <v>0</v>
      </c>
      <c r="Q142" t="n">
        <v>0</v>
      </c>
      <c r="R142" s="2" t="inlineStr"/>
    </row>
    <row r="143" ht="15" customHeight="1">
      <c r="A143" t="inlineStr">
        <is>
          <t>A 61063-2019</t>
        </is>
      </c>
      <c r="B143" s="1" t="n">
        <v>43782</v>
      </c>
      <c r="C143" s="1" t="n">
        <v>45837</v>
      </c>
      <c r="D143" t="inlineStr">
        <is>
          <t>DALARNAS LÄN</t>
        </is>
      </c>
      <c r="E143" t="inlineStr">
        <is>
          <t>MORA</t>
        </is>
      </c>
      <c r="F143" t="inlineStr">
        <is>
          <t>Bergvik skog öst AB</t>
        </is>
      </c>
      <c r="G143" t="n">
        <v>0.9</v>
      </c>
      <c r="H143" t="n">
        <v>0</v>
      </c>
      <c r="I143" t="n">
        <v>0</v>
      </c>
      <c r="J143" t="n">
        <v>0</v>
      </c>
      <c r="K143" t="n">
        <v>0</v>
      </c>
      <c r="L143" t="n">
        <v>0</v>
      </c>
      <c r="M143" t="n">
        <v>0</v>
      </c>
      <c r="N143" t="n">
        <v>0</v>
      </c>
      <c r="O143" t="n">
        <v>0</v>
      </c>
      <c r="P143" t="n">
        <v>0</v>
      </c>
      <c r="Q143" t="n">
        <v>0</v>
      </c>
      <c r="R143" s="2" t="inlineStr"/>
    </row>
    <row r="144" ht="15" customHeight="1">
      <c r="A144" t="inlineStr">
        <is>
          <t>A 61324-2019</t>
        </is>
      </c>
      <c r="B144" s="1" t="n">
        <v>43783</v>
      </c>
      <c r="C144" s="1" t="n">
        <v>45837</v>
      </c>
      <c r="D144" t="inlineStr">
        <is>
          <t>DALARNAS LÄN</t>
        </is>
      </c>
      <c r="E144" t="inlineStr">
        <is>
          <t>MORA</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61646-2019</t>
        </is>
      </c>
      <c r="B145" s="1" t="n">
        <v>43784</v>
      </c>
      <c r="C145" s="1" t="n">
        <v>45837</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62001-2019</t>
        </is>
      </c>
      <c r="B146" s="1" t="n">
        <v>43787</v>
      </c>
      <c r="C146" s="1" t="n">
        <v>45837</v>
      </c>
      <c r="D146" t="inlineStr">
        <is>
          <t>DALARNAS LÄN</t>
        </is>
      </c>
      <c r="E146" t="inlineStr">
        <is>
          <t>MORA</t>
        </is>
      </c>
      <c r="G146" t="n">
        <v>0.8</v>
      </c>
      <c r="H146" t="n">
        <v>0</v>
      </c>
      <c r="I146" t="n">
        <v>0</v>
      </c>
      <c r="J146" t="n">
        <v>0</v>
      </c>
      <c r="K146" t="n">
        <v>0</v>
      </c>
      <c r="L146" t="n">
        <v>0</v>
      </c>
      <c r="M146" t="n">
        <v>0</v>
      </c>
      <c r="N146" t="n">
        <v>0</v>
      </c>
      <c r="O146" t="n">
        <v>0</v>
      </c>
      <c r="P146" t="n">
        <v>0</v>
      </c>
      <c r="Q146" t="n">
        <v>0</v>
      </c>
      <c r="R146" s="2" t="inlineStr"/>
    </row>
    <row r="147" ht="15" customHeight="1">
      <c r="A147" t="inlineStr">
        <is>
          <t>A 63093-2019</t>
        </is>
      </c>
      <c r="B147" s="1" t="n">
        <v>43791</v>
      </c>
      <c r="C147" s="1" t="n">
        <v>45837</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63072-2019</t>
        </is>
      </c>
      <c r="B148" s="1" t="n">
        <v>43791</v>
      </c>
      <c r="C148" s="1" t="n">
        <v>45837</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63655-2019</t>
        </is>
      </c>
      <c r="B149" s="1" t="n">
        <v>43795</v>
      </c>
      <c r="C149" s="1" t="n">
        <v>45837</v>
      </c>
      <c r="D149" t="inlineStr">
        <is>
          <t>DALARNAS LÄN</t>
        </is>
      </c>
      <c r="E149" t="inlineStr">
        <is>
          <t>MORA</t>
        </is>
      </c>
      <c r="F149" t="inlineStr">
        <is>
          <t>Bergvik skog väst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65090-2019</t>
        </is>
      </c>
      <c r="B150" s="1" t="n">
        <v>43802</v>
      </c>
      <c r="C150" s="1" t="n">
        <v>45837</v>
      </c>
      <c r="D150" t="inlineStr">
        <is>
          <t>DALARNAS LÄN</t>
        </is>
      </c>
      <c r="E150" t="inlineStr">
        <is>
          <t>MORA</t>
        </is>
      </c>
      <c r="G150" t="n">
        <v>0.6</v>
      </c>
      <c r="H150" t="n">
        <v>0</v>
      </c>
      <c r="I150" t="n">
        <v>0</v>
      </c>
      <c r="J150" t="n">
        <v>0</v>
      </c>
      <c r="K150" t="n">
        <v>0</v>
      </c>
      <c r="L150" t="n">
        <v>0</v>
      </c>
      <c r="M150" t="n">
        <v>0</v>
      </c>
      <c r="N150" t="n">
        <v>0</v>
      </c>
      <c r="O150" t="n">
        <v>0</v>
      </c>
      <c r="P150" t="n">
        <v>0</v>
      </c>
      <c r="Q150" t="n">
        <v>0</v>
      </c>
      <c r="R150" s="2" t="inlineStr"/>
    </row>
    <row r="151" ht="15" customHeight="1">
      <c r="A151" t="inlineStr">
        <is>
          <t>A 65460-2019</t>
        </is>
      </c>
      <c r="B151" s="1" t="n">
        <v>43803</v>
      </c>
      <c r="C151" s="1" t="n">
        <v>45837</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65633-2019</t>
        </is>
      </c>
      <c r="B152" s="1" t="n">
        <v>43804</v>
      </c>
      <c r="C152" s="1" t="n">
        <v>45837</v>
      </c>
      <c r="D152" t="inlineStr">
        <is>
          <t>DALARNAS LÄN</t>
        </is>
      </c>
      <c r="E152" t="inlineStr">
        <is>
          <t>MORA</t>
        </is>
      </c>
      <c r="G152" t="n">
        <v>2.7</v>
      </c>
      <c r="H152" t="n">
        <v>0</v>
      </c>
      <c r="I152" t="n">
        <v>0</v>
      </c>
      <c r="J152" t="n">
        <v>0</v>
      </c>
      <c r="K152" t="n">
        <v>0</v>
      </c>
      <c r="L152" t="n">
        <v>0</v>
      </c>
      <c r="M152" t="n">
        <v>0</v>
      </c>
      <c r="N152" t="n">
        <v>0</v>
      </c>
      <c r="O152" t="n">
        <v>0</v>
      </c>
      <c r="P152" t="n">
        <v>0</v>
      </c>
      <c r="Q152" t="n">
        <v>0</v>
      </c>
      <c r="R152" s="2" t="inlineStr"/>
    </row>
    <row r="153" ht="15" customHeight="1">
      <c r="A153" t="inlineStr">
        <is>
          <t>A 66214-2019</t>
        </is>
      </c>
      <c r="B153" s="1" t="n">
        <v>43808</v>
      </c>
      <c r="C153" s="1" t="n">
        <v>45837</v>
      </c>
      <c r="D153" t="inlineStr">
        <is>
          <t>DALARNAS LÄN</t>
        </is>
      </c>
      <c r="E153" t="inlineStr">
        <is>
          <t>MORA</t>
        </is>
      </c>
      <c r="G153" t="n">
        <v>5.8</v>
      </c>
      <c r="H153" t="n">
        <v>0</v>
      </c>
      <c r="I153" t="n">
        <v>0</v>
      </c>
      <c r="J153" t="n">
        <v>0</v>
      </c>
      <c r="K153" t="n">
        <v>0</v>
      </c>
      <c r="L153" t="n">
        <v>0</v>
      </c>
      <c r="M153" t="n">
        <v>0</v>
      </c>
      <c r="N153" t="n">
        <v>0</v>
      </c>
      <c r="O153" t="n">
        <v>0</v>
      </c>
      <c r="P153" t="n">
        <v>0</v>
      </c>
      <c r="Q153" t="n">
        <v>0</v>
      </c>
      <c r="R153" s="2" t="inlineStr"/>
    </row>
    <row r="154" ht="15" customHeight="1">
      <c r="A154" t="inlineStr">
        <is>
          <t>A 66873-2019</t>
        </is>
      </c>
      <c r="B154" s="1" t="n">
        <v>43810</v>
      </c>
      <c r="C154" s="1" t="n">
        <v>45837</v>
      </c>
      <c r="D154" t="inlineStr">
        <is>
          <t>DALARNAS LÄN</t>
        </is>
      </c>
      <c r="E154" t="inlineStr">
        <is>
          <t>MORA</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66868-2019</t>
        </is>
      </c>
      <c r="B155" s="1" t="n">
        <v>43810</v>
      </c>
      <c r="C155" s="1" t="n">
        <v>45837</v>
      </c>
      <c r="D155" t="inlineStr">
        <is>
          <t>DALARNAS LÄN</t>
        </is>
      </c>
      <c r="E155" t="inlineStr">
        <is>
          <t>MORA</t>
        </is>
      </c>
      <c r="G155" t="n">
        <v>3.3</v>
      </c>
      <c r="H155" t="n">
        <v>0</v>
      </c>
      <c r="I155" t="n">
        <v>0</v>
      </c>
      <c r="J155" t="n">
        <v>0</v>
      </c>
      <c r="K155" t="n">
        <v>0</v>
      </c>
      <c r="L155" t="n">
        <v>0</v>
      </c>
      <c r="M155" t="n">
        <v>0</v>
      </c>
      <c r="N155" t="n">
        <v>0</v>
      </c>
      <c r="O155" t="n">
        <v>0</v>
      </c>
      <c r="P155" t="n">
        <v>0</v>
      </c>
      <c r="Q155" t="n">
        <v>0</v>
      </c>
      <c r="R155" s="2" t="inlineStr"/>
    </row>
    <row r="156" ht="15" customHeight="1">
      <c r="A156" t="inlineStr">
        <is>
          <t>A 66878-2019</t>
        </is>
      </c>
      <c r="B156" s="1" t="n">
        <v>43810</v>
      </c>
      <c r="C156" s="1" t="n">
        <v>45837</v>
      </c>
      <c r="D156" t="inlineStr">
        <is>
          <t>DALARNAS LÄN</t>
        </is>
      </c>
      <c r="E156" t="inlineStr">
        <is>
          <t>MORA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67986-2019</t>
        </is>
      </c>
      <c r="B157" s="1" t="n">
        <v>43811</v>
      </c>
      <c r="C157" s="1" t="n">
        <v>45837</v>
      </c>
      <c r="D157" t="inlineStr">
        <is>
          <t>DALARNAS LÄN</t>
        </is>
      </c>
      <c r="E157" t="inlineStr">
        <is>
          <t>MORA</t>
        </is>
      </c>
      <c r="G157" t="n">
        <v>3.8</v>
      </c>
      <c r="H157" t="n">
        <v>0</v>
      </c>
      <c r="I157" t="n">
        <v>0</v>
      </c>
      <c r="J157" t="n">
        <v>0</v>
      </c>
      <c r="K157" t="n">
        <v>0</v>
      </c>
      <c r="L157" t="n">
        <v>0</v>
      </c>
      <c r="M157" t="n">
        <v>0</v>
      </c>
      <c r="N157" t="n">
        <v>0</v>
      </c>
      <c r="O157" t="n">
        <v>0</v>
      </c>
      <c r="P157" t="n">
        <v>0</v>
      </c>
      <c r="Q157" t="n">
        <v>0</v>
      </c>
      <c r="R157" s="2" t="inlineStr"/>
    </row>
    <row r="158" ht="15" customHeight="1">
      <c r="A158" t="inlineStr">
        <is>
          <t>A 67633-2019</t>
        </is>
      </c>
      <c r="B158" s="1" t="n">
        <v>43815</v>
      </c>
      <c r="C158" s="1" t="n">
        <v>45837</v>
      </c>
      <c r="D158" t="inlineStr">
        <is>
          <t>DALARNAS LÄN</t>
        </is>
      </c>
      <c r="E158" t="inlineStr">
        <is>
          <t>MORA</t>
        </is>
      </c>
      <c r="G158" t="n">
        <v>4.7</v>
      </c>
      <c r="H158" t="n">
        <v>0</v>
      </c>
      <c r="I158" t="n">
        <v>0</v>
      </c>
      <c r="J158" t="n">
        <v>0</v>
      </c>
      <c r="K158" t="n">
        <v>0</v>
      </c>
      <c r="L158" t="n">
        <v>0</v>
      </c>
      <c r="M158" t="n">
        <v>0</v>
      </c>
      <c r="N158" t="n">
        <v>0</v>
      </c>
      <c r="O158" t="n">
        <v>0</v>
      </c>
      <c r="P158" t="n">
        <v>0</v>
      </c>
      <c r="Q158" t="n">
        <v>0</v>
      </c>
      <c r="R158" s="2" t="inlineStr"/>
    </row>
    <row r="159" ht="15" customHeight="1">
      <c r="A159" t="inlineStr">
        <is>
          <t>A 564-2020</t>
        </is>
      </c>
      <c r="B159" s="1" t="n">
        <v>43817</v>
      </c>
      <c r="C159" s="1" t="n">
        <v>45837</v>
      </c>
      <c r="D159" t="inlineStr">
        <is>
          <t>DALARNAS LÄN</t>
        </is>
      </c>
      <c r="E159" t="inlineStr">
        <is>
          <t>MORA</t>
        </is>
      </c>
      <c r="F159" t="inlineStr">
        <is>
          <t>Kommuner</t>
        </is>
      </c>
      <c r="G159" t="n">
        <v>56.1</v>
      </c>
      <c r="H159" t="n">
        <v>0</v>
      </c>
      <c r="I159" t="n">
        <v>0</v>
      </c>
      <c r="J159" t="n">
        <v>0</v>
      </c>
      <c r="K159" t="n">
        <v>0</v>
      </c>
      <c r="L159" t="n">
        <v>0</v>
      </c>
      <c r="M159" t="n">
        <v>0</v>
      </c>
      <c r="N159" t="n">
        <v>0</v>
      </c>
      <c r="O159" t="n">
        <v>0</v>
      </c>
      <c r="P159" t="n">
        <v>0</v>
      </c>
      <c r="Q159" t="n">
        <v>0</v>
      </c>
      <c r="R159" s="2" t="inlineStr"/>
    </row>
    <row r="160" ht="15" customHeight="1">
      <c r="A160" t="inlineStr">
        <is>
          <t>A 68092-2019</t>
        </is>
      </c>
      <c r="B160" s="1" t="n">
        <v>43817</v>
      </c>
      <c r="C160" s="1" t="n">
        <v>45837</v>
      </c>
      <c r="D160" t="inlineStr">
        <is>
          <t>DALARNAS LÄN</t>
        </is>
      </c>
      <c r="E160" t="inlineStr">
        <is>
          <t>MORA</t>
        </is>
      </c>
      <c r="G160" t="n">
        <v>1.5</v>
      </c>
      <c r="H160" t="n">
        <v>0</v>
      </c>
      <c r="I160" t="n">
        <v>0</v>
      </c>
      <c r="J160" t="n">
        <v>0</v>
      </c>
      <c r="K160" t="n">
        <v>0</v>
      </c>
      <c r="L160" t="n">
        <v>0</v>
      </c>
      <c r="M160" t="n">
        <v>0</v>
      </c>
      <c r="N160" t="n">
        <v>0</v>
      </c>
      <c r="O160" t="n">
        <v>0</v>
      </c>
      <c r="P160" t="n">
        <v>0</v>
      </c>
      <c r="Q160" t="n">
        <v>0</v>
      </c>
      <c r="R160" s="2" t="inlineStr"/>
    </row>
    <row r="161" ht="15" customHeight="1">
      <c r="A161" t="inlineStr">
        <is>
          <t>A 1506-2020</t>
        </is>
      </c>
      <c r="B161" s="1" t="n">
        <v>43826</v>
      </c>
      <c r="C161" s="1" t="n">
        <v>45837</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472-2020</t>
        </is>
      </c>
      <c r="B162" s="1" t="n">
        <v>43837</v>
      </c>
      <c r="C162" s="1" t="n">
        <v>45837</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1841-2020</t>
        </is>
      </c>
      <c r="B163" s="1" t="n">
        <v>43844</v>
      </c>
      <c r="C163" s="1" t="n">
        <v>45837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3588-2020</t>
        </is>
      </c>
      <c r="B164" s="1" t="n">
        <v>43845</v>
      </c>
      <c r="C164" s="1" t="n">
        <v>45837</v>
      </c>
      <c r="D164" t="inlineStr">
        <is>
          <t>DALARNAS LÄN</t>
        </is>
      </c>
      <c r="E164" t="inlineStr">
        <is>
          <t>MORA</t>
        </is>
      </c>
      <c r="G164" t="n">
        <v>3</v>
      </c>
      <c r="H164" t="n">
        <v>0</v>
      </c>
      <c r="I164" t="n">
        <v>0</v>
      </c>
      <c r="J164" t="n">
        <v>0</v>
      </c>
      <c r="K164" t="n">
        <v>0</v>
      </c>
      <c r="L164" t="n">
        <v>0</v>
      </c>
      <c r="M164" t="n">
        <v>0</v>
      </c>
      <c r="N164" t="n">
        <v>0</v>
      </c>
      <c r="O164" t="n">
        <v>0</v>
      </c>
      <c r="P164" t="n">
        <v>0</v>
      </c>
      <c r="Q164" t="n">
        <v>0</v>
      </c>
      <c r="R164" s="2" t="inlineStr"/>
    </row>
    <row r="165" ht="15" customHeight="1">
      <c r="A165" t="inlineStr">
        <is>
          <t>A 4106-2020</t>
        </is>
      </c>
      <c r="B165" s="1" t="n">
        <v>43857</v>
      </c>
      <c r="C165" s="1" t="n">
        <v>45837</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4818-2020</t>
        </is>
      </c>
      <c r="B166" s="1" t="n">
        <v>43859</v>
      </c>
      <c r="C166" s="1" t="n">
        <v>45837</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6012-2020</t>
        </is>
      </c>
      <c r="B167" s="1" t="n">
        <v>43865</v>
      </c>
      <c r="C167" s="1" t="n">
        <v>45837</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7093-2020</t>
        </is>
      </c>
      <c r="B168" s="1" t="n">
        <v>43868</v>
      </c>
      <c r="C168" s="1" t="n">
        <v>45837</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7382-2020</t>
        </is>
      </c>
      <c r="B169" s="1" t="n">
        <v>43871</v>
      </c>
      <c r="C169" s="1" t="n">
        <v>45837</v>
      </c>
      <c r="D169" t="inlineStr">
        <is>
          <t>DALARNAS LÄN</t>
        </is>
      </c>
      <c r="E169" t="inlineStr">
        <is>
          <t>MORA</t>
        </is>
      </c>
      <c r="F169" t="inlineStr">
        <is>
          <t>Bergvik skog väst AB</t>
        </is>
      </c>
      <c r="G169" t="n">
        <v>3</v>
      </c>
      <c r="H169" t="n">
        <v>0</v>
      </c>
      <c r="I169" t="n">
        <v>0</v>
      </c>
      <c r="J169" t="n">
        <v>0</v>
      </c>
      <c r="K169" t="n">
        <v>0</v>
      </c>
      <c r="L169" t="n">
        <v>0</v>
      </c>
      <c r="M169" t="n">
        <v>0</v>
      </c>
      <c r="N169" t="n">
        <v>0</v>
      </c>
      <c r="O169" t="n">
        <v>0</v>
      </c>
      <c r="P169" t="n">
        <v>0</v>
      </c>
      <c r="Q169" t="n">
        <v>0</v>
      </c>
      <c r="R169" s="2" t="inlineStr"/>
    </row>
    <row r="170" ht="15" customHeight="1">
      <c r="A170" t="inlineStr">
        <is>
          <t>A 10704-2020</t>
        </is>
      </c>
      <c r="B170" s="1" t="n">
        <v>43888</v>
      </c>
      <c r="C170" s="1" t="n">
        <v>45837</v>
      </c>
      <c r="D170" t="inlineStr">
        <is>
          <t>DALARNAS LÄN</t>
        </is>
      </c>
      <c r="E170" t="inlineStr">
        <is>
          <t>MORA</t>
        </is>
      </c>
      <c r="G170" t="n">
        <v>2.6</v>
      </c>
      <c r="H170" t="n">
        <v>0</v>
      </c>
      <c r="I170" t="n">
        <v>0</v>
      </c>
      <c r="J170" t="n">
        <v>0</v>
      </c>
      <c r="K170" t="n">
        <v>0</v>
      </c>
      <c r="L170" t="n">
        <v>0</v>
      </c>
      <c r="M170" t="n">
        <v>0</v>
      </c>
      <c r="N170" t="n">
        <v>0</v>
      </c>
      <c r="O170" t="n">
        <v>0</v>
      </c>
      <c r="P170" t="n">
        <v>0</v>
      </c>
      <c r="Q170" t="n">
        <v>0</v>
      </c>
      <c r="R170" s="2" t="inlineStr"/>
    </row>
    <row r="171" ht="15" customHeight="1">
      <c r="A171" t="inlineStr">
        <is>
          <t>A 12360-2020</t>
        </is>
      </c>
      <c r="B171" s="1" t="n">
        <v>43896</v>
      </c>
      <c r="C171" s="1" t="n">
        <v>45837</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12723-2020</t>
        </is>
      </c>
      <c r="B172" s="1" t="n">
        <v>43899</v>
      </c>
      <c r="C172" s="1" t="n">
        <v>45837</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13943-2020</t>
        </is>
      </c>
      <c r="B173" s="1" t="n">
        <v>43906</v>
      </c>
      <c r="C173" s="1" t="n">
        <v>45837</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16636-2020</t>
        </is>
      </c>
      <c r="B174" s="1" t="n">
        <v>43910</v>
      </c>
      <c r="C174" s="1" t="n">
        <v>45837</v>
      </c>
      <c r="D174" t="inlineStr">
        <is>
          <t>DALARNAS LÄN</t>
        </is>
      </c>
      <c r="E174" t="inlineStr">
        <is>
          <t>MORA</t>
        </is>
      </c>
      <c r="G174" t="n">
        <v>1.9</v>
      </c>
      <c r="H174" t="n">
        <v>0</v>
      </c>
      <c r="I174" t="n">
        <v>0</v>
      </c>
      <c r="J174" t="n">
        <v>0</v>
      </c>
      <c r="K174" t="n">
        <v>0</v>
      </c>
      <c r="L174" t="n">
        <v>0</v>
      </c>
      <c r="M174" t="n">
        <v>0</v>
      </c>
      <c r="N174" t="n">
        <v>0</v>
      </c>
      <c r="O174" t="n">
        <v>0</v>
      </c>
      <c r="P174" t="n">
        <v>0</v>
      </c>
      <c r="Q174" t="n">
        <v>0</v>
      </c>
      <c r="R174" s="2" t="inlineStr"/>
    </row>
    <row r="175" ht="15" customHeight="1">
      <c r="A175" t="inlineStr">
        <is>
          <t>A 16194-2020</t>
        </is>
      </c>
      <c r="B175" s="1" t="n">
        <v>43917</v>
      </c>
      <c r="C175" s="1" t="n">
        <v>45837</v>
      </c>
      <c r="D175" t="inlineStr">
        <is>
          <t>DALARNAS LÄN</t>
        </is>
      </c>
      <c r="E175" t="inlineStr">
        <is>
          <t>MORA</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16195-2020</t>
        </is>
      </c>
      <c r="B176" s="1" t="n">
        <v>43917</v>
      </c>
      <c r="C176" s="1" t="n">
        <v>45837</v>
      </c>
      <c r="D176" t="inlineStr">
        <is>
          <t>DALARNAS LÄN</t>
        </is>
      </c>
      <c r="E176" t="inlineStr">
        <is>
          <t>MORA</t>
        </is>
      </c>
      <c r="F176" t="inlineStr">
        <is>
          <t>Bergvik skog väst AB</t>
        </is>
      </c>
      <c r="G176" t="n">
        <v>4.3</v>
      </c>
      <c r="H176" t="n">
        <v>0</v>
      </c>
      <c r="I176" t="n">
        <v>0</v>
      </c>
      <c r="J176" t="n">
        <v>0</v>
      </c>
      <c r="K176" t="n">
        <v>0</v>
      </c>
      <c r="L176" t="n">
        <v>0</v>
      </c>
      <c r="M176" t="n">
        <v>0</v>
      </c>
      <c r="N176" t="n">
        <v>0</v>
      </c>
      <c r="O176" t="n">
        <v>0</v>
      </c>
      <c r="P176" t="n">
        <v>0</v>
      </c>
      <c r="Q176" t="n">
        <v>0</v>
      </c>
      <c r="R176" s="2" t="inlineStr"/>
    </row>
    <row r="177" ht="15" customHeight="1">
      <c r="A177" t="inlineStr">
        <is>
          <t>A 18989-2020</t>
        </is>
      </c>
      <c r="B177" s="1" t="n">
        <v>43935</v>
      </c>
      <c r="C177" s="1" t="n">
        <v>45837</v>
      </c>
      <c r="D177" t="inlineStr">
        <is>
          <t>DALARNAS LÄN</t>
        </is>
      </c>
      <c r="E177" t="inlineStr">
        <is>
          <t>MORA</t>
        </is>
      </c>
      <c r="F177" t="inlineStr">
        <is>
          <t>Bergvik skog öst AB</t>
        </is>
      </c>
      <c r="G177" t="n">
        <v>0.9</v>
      </c>
      <c r="H177" t="n">
        <v>0</v>
      </c>
      <c r="I177" t="n">
        <v>0</v>
      </c>
      <c r="J177" t="n">
        <v>0</v>
      </c>
      <c r="K177" t="n">
        <v>0</v>
      </c>
      <c r="L177" t="n">
        <v>0</v>
      </c>
      <c r="M177" t="n">
        <v>0</v>
      </c>
      <c r="N177" t="n">
        <v>0</v>
      </c>
      <c r="O177" t="n">
        <v>0</v>
      </c>
      <c r="P177" t="n">
        <v>0</v>
      </c>
      <c r="Q177" t="n">
        <v>0</v>
      </c>
      <c r="R177" s="2" t="inlineStr"/>
    </row>
    <row r="178" ht="15" customHeight="1">
      <c r="A178" t="inlineStr">
        <is>
          <t>A 18978-2020</t>
        </is>
      </c>
      <c r="B178" s="1" t="n">
        <v>43935</v>
      </c>
      <c r="C178" s="1" t="n">
        <v>45837</v>
      </c>
      <c r="D178" t="inlineStr">
        <is>
          <t>DALARNAS LÄN</t>
        </is>
      </c>
      <c r="E178" t="inlineStr">
        <is>
          <t>MORA</t>
        </is>
      </c>
      <c r="F178" t="inlineStr">
        <is>
          <t>Bergvik skog öst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19507-2020</t>
        </is>
      </c>
      <c r="B179" s="1" t="n">
        <v>43938</v>
      </c>
      <c r="C179" s="1" t="n">
        <v>45837</v>
      </c>
      <c r="D179" t="inlineStr">
        <is>
          <t>DALARNAS LÄN</t>
        </is>
      </c>
      <c r="E179" t="inlineStr">
        <is>
          <t>MORA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21122-2020</t>
        </is>
      </c>
      <c r="B180" s="1" t="n">
        <v>43951</v>
      </c>
      <c r="C180" s="1" t="n">
        <v>45837</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21951-2020</t>
        </is>
      </c>
      <c r="B181" s="1" t="n">
        <v>43958</v>
      </c>
      <c r="C181" s="1" t="n">
        <v>45837</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24719-2020</t>
        </is>
      </c>
      <c r="B182" s="1" t="n">
        <v>43978</v>
      </c>
      <c r="C182" s="1" t="n">
        <v>45837</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25852-2020</t>
        </is>
      </c>
      <c r="B183" s="1" t="n">
        <v>43984</v>
      </c>
      <c r="C183" s="1" t="n">
        <v>45837</v>
      </c>
      <c r="D183" t="inlineStr">
        <is>
          <t>DALARNAS LÄN</t>
        </is>
      </c>
      <c r="E183" t="inlineStr">
        <is>
          <t>MORA</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26454-2020</t>
        </is>
      </c>
      <c r="B184" s="1" t="n">
        <v>43987</v>
      </c>
      <c r="C184" s="1" t="n">
        <v>45837</v>
      </c>
      <c r="D184" t="inlineStr">
        <is>
          <t>DALARNAS LÄN</t>
        </is>
      </c>
      <c r="E184" t="inlineStr">
        <is>
          <t>MORA</t>
        </is>
      </c>
      <c r="G184" t="n">
        <v>1.5</v>
      </c>
      <c r="H184" t="n">
        <v>0</v>
      </c>
      <c r="I184" t="n">
        <v>0</v>
      </c>
      <c r="J184" t="n">
        <v>0</v>
      </c>
      <c r="K184" t="n">
        <v>0</v>
      </c>
      <c r="L184" t="n">
        <v>0</v>
      </c>
      <c r="M184" t="n">
        <v>0</v>
      </c>
      <c r="N184" t="n">
        <v>0</v>
      </c>
      <c r="O184" t="n">
        <v>0</v>
      </c>
      <c r="P184" t="n">
        <v>0</v>
      </c>
      <c r="Q184" t="n">
        <v>0</v>
      </c>
      <c r="R184" s="2" t="inlineStr"/>
    </row>
    <row r="185" ht="15" customHeight="1">
      <c r="A185" t="inlineStr">
        <is>
          <t>A 26460-2020</t>
        </is>
      </c>
      <c r="B185" s="1" t="n">
        <v>43987</v>
      </c>
      <c r="C185" s="1" t="n">
        <v>45837</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29751-2020</t>
        </is>
      </c>
      <c r="B186" s="1" t="n">
        <v>44005</v>
      </c>
      <c r="C186" s="1" t="n">
        <v>45837</v>
      </c>
      <c r="D186" t="inlineStr">
        <is>
          <t>DALARNAS LÄN</t>
        </is>
      </c>
      <c r="E186" t="inlineStr">
        <is>
          <t>MORA</t>
        </is>
      </c>
      <c r="F186" t="inlineStr">
        <is>
          <t>Bergvik skog väst AB</t>
        </is>
      </c>
      <c r="G186" t="n">
        <v>3.5</v>
      </c>
      <c r="H186" t="n">
        <v>0</v>
      </c>
      <c r="I186" t="n">
        <v>0</v>
      </c>
      <c r="J186" t="n">
        <v>0</v>
      </c>
      <c r="K186" t="n">
        <v>0</v>
      </c>
      <c r="L186" t="n">
        <v>0</v>
      </c>
      <c r="M186" t="n">
        <v>0</v>
      </c>
      <c r="N186" t="n">
        <v>0</v>
      </c>
      <c r="O186" t="n">
        <v>0</v>
      </c>
      <c r="P186" t="n">
        <v>0</v>
      </c>
      <c r="Q186" t="n">
        <v>0</v>
      </c>
      <c r="R186" s="2" t="inlineStr"/>
    </row>
    <row r="187" ht="15" customHeight="1">
      <c r="A187" t="inlineStr">
        <is>
          <t>A 29881-2020</t>
        </is>
      </c>
      <c r="B187" s="1" t="n">
        <v>44006</v>
      </c>
      <c r="C187" s="1" t="n">
        <v>45837</v>
      </c>
      <c r="D187" t="inlineStr">
        <is>
          <t>DALARNAS LÄN</t>
        </is>
      </c>
      <c r="E187" t="inlineStr">
        <is>
          <t>MORA</t>
        </is>
      </c>
      <c r="G187" t="n">
        <v>3.7</v>
      </c>
      <c r="H187" t="n">
        <v>0</v>
      </c>
      <c r="I187" t="n">
        <v>0</v>
      </c>
      <c r="J187" t="n">
        <v>0</v>
      </c>
      <c r="K187" t="n">
        <v>0</v>
      </c>
      <c r="L187" t="n">
        <v>0</v>
      </c>
      <c r="M187" t="n">
        <v>0</v>
      </c>
      <c r="N187" t="n">
        <v>0</v>
      </c>
      <c r="O187" t="n">
        <v>0</v>
      </c>
      <c r="P187" t="n">
        <v>0</v>
      </c>
      <c r="Q187" t="n">
        <v>0</v>
      </c>
      <c r="R187" s="2" t="inlineStr"/>
    </row>
    <row r="188" ht="15" customHeight="1">
      <c r="A188" t="inlineStr">
        <is>
          <t>A 29960-2020</t>
        </is>
      </c>
      <c r="B188" s="1" t="n">
        <v>44006</v>
      </c>
      <c r="C188" s="1" t="n">
        <v>45837</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33581-2020</t>
        </is>
      </c>
      <c r="B189" s="1" t="n">
        <v>44022</v>
      </c>
      <c r="C189" s="1" t="n">
        <v>45837</v>
      </c>
      <c r="D189" t="inlineStr">
        <is>
          <t>DALARNAS LÄN</t>
        </is>
      </c>
      <c r="E189" t="inlineStr">
        <is>
          <t>MORA</t>
        </is>
      </c>
      <c r="G189" t="n">
        <v>1.8</v>
      </c>
      <c r="H189" t="n">
        <v>0</v>
      </c>
      <c r="I189" t="n">
        <v>0</v>
      </c>
      <c r="J189" t="n">
        <v>0</v>
      </c>
      <c r="K189" t="n">
        <v>0</v>
      </c>
      <c r="L189" t="n">
        <v>0</v>
      </c>
      <c r="M189" t="n">
        <v>0</v>
      </c>
      <c r="N189" t="n">
        <v>0</v>
      </c>
      <c r="O189" t="n">
        <v>0</v>
      </c>
      <c r="P189" t="n">
        <v>0</v>
      </c>
      <c r="Q189" t="n">
        <v>0</v>
      </c>
      <c r="R189" s="2" t="inlineStr"/>
    </row>
    <row r="190" ht="15" customHeight="1">
      <c r="A190" t="inlineStr">
        <is>
          <t>A 34455-2020</t>
        </is>
      </c>
      <c r="B190" s="1" t="n">
        <v>44032</v>
      </c>
      <c r="C190" s="1" t="n">
        <v>45837</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34454-2020</t>
        </is>
      </c>
      <c r="B191" s="1" t="n">
        <v>44032</v>
      </c>
      <c r="C191" s="1" t="n">
        <v>45837</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34446-2020</t>
        </is>
      </c>
      <c r="B192" s="1" t="n">
        <v>44032</v>
      </c>
      <c r="C192" s="1" t="n">
        <v>45837</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35976-2020</t>
        </is>
      </c>
      <c r="B193" s="1" t="n">
        <v>44047</v>
      </c>
      <c r="C193" s="1" t="n">
        <v>45837</v>
      </c>
      <c r="D193" t="inlineStr">
        <is>
          <t>DALARNAS LÄN</t>
        </is>
      </c>
      <c r="E193" t="inlineStr">
        <is>
          <t>MORA</t>
        </is>
      </c>
      <c r="G193" t="n">
        <v>6.7</v>
      </c>
      <c r="H193" t="n">
        <v>0</v>
      </c>
      <c r="I193" t="n">
        <v>0</v>
      </c>
      <c r="J193" t="n">
        <v>0</v>
      </c>
      <c r="K193" t="n">
        <v>0</v>
      </c>
      <c r="L193" t="n">
        <v>0</v>
      </c>
      <c r="M193" t="n">
        <v>0</v>
      </c>
      <c r="N193" t="n">
        <v>0</v>
      </c>
      <c r="O193" t="n">
        <v>0</v>
      </c>
      <c r="P193" t="n">
        <v>0</v>
      </c>
      <c r="Q193" t="n">
        <v>0</v>
      </c>
      <c r="R193" s="2" t="inlineStr"/>
    </row>
    <row r="194" ht="15" customHeight="1">
      <c r="A194" t="inlineStr">
        <is>
          <t>A 37403-2020</t>
        </is>
      </c>
      <c r="B194" s="1" t="n">
        <v>44055</v>
      </c>
      <c r="C194" s="1" t="n">
        <v>45837</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37840-2020</t>
        </is>
      </c>
      <c r="B195" s="1" t="n">
        <v>44057</v>
      </c>
      <c r="C195" s="1" t="n">
        <v>45837</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38910-2020</t>
        </is>
      </c>
      <c r="B196" s="1" t="n">
        <v>44062</v>
      </c>
      <c r="C196" s="1" t="n">
        <v>45837</v>
      </c>
      <c r="D196" t="inlineStr">
        <is>
          <t>DALARNAS LÄN</t>
        </is>
      </c>
      <c r="E196" t="inlineStr">
        <is>
          <t>MORA</t>
        </is>
      </c>
      <c r="G196" t="n">
        <v>7.8</v>
      </c>
      <c r="H196" t="n">
        <v>0</v>
      </c>
      <c r="I196" t="n">
        <v>0</v>
      </c>
      <c r="J196" t="n">
        <v>0</v>
      </c>
      <c r="K196" t="n">
        <v>0</v>
      </c>
      <c r="L196" t="n">
        <v>0</v>
      </c>
      <c r="M196" t="n">
        <v>0</v>
      </c>
      <c r="N196" t="n">
        <v>0</v>
      </c>
      <c r="O196" t="n">
        <v>0</v>
      </c>
      <c r="P196" t="n">
        <v>0</v>
      </c>
      <c r="Q196" t="n">
        <v>0</v>
      </c>
      <c r="R196" s="2" t="inlineStr"/>
    </row>
    <row r="197" ht="15" customHeight="1">
      <c r="A197" t="inlineStr">
        <is>
          <t>A 39585-2020</t>
        </is>
      </c>
      <c r="B197" s="1" t="n">
        <v>44064</v>
      </c>
      <c r="C197" s="1" t="n">
        <v>45837</v>
      </c>
      <c r="D197" t="inlineStr">
        <is>
          <t>DALARNAS LÄN</t>
        </is>
      </c>
      <c r="E197" t="inlineStr">
        <is>
          <t>MORA</t>
        </is>
      </c>
      <c r="G197" t="n">
        <v>6.5</v>
      </c>
      <c r="H197" t="n">
        <v>0</v>
      </c>
      <c r="I197" t="n">
        <v>0</v>
      </c>
      <c r="J197" t="n">
        <v>0</v>
      </c>
      <c r="K197" t="n">
        <v>0</v>
      </c>
      <c r="L197" t="n">
        <v>0</v>
      </c>
      <c r="M197" t="n">
        <v>0</v>
      </c>
      <c r="N197" t="n">
        <v>0</v>
      </c>
      <c r="O197" t="n">
        <v>0</v>
      </c>
      <c r="P197" t="n">
        <v>0</v>
      </c>
      <c r="Q197" t="n">
        <v>0</v>
      </c>
      <c r="R197" s="2" t="inlineStr"/>
    </row>
    <row r="198" ht="15" customHeight="1">
      <c r="A198" t="inlineStr">
        <is>
          <t>A 39959-2020</t>
        </is>
      </c>
      <c r="B198" s="1" t="n">
        <v>44067</v>
      </c>
      <c r="C198" s="1" t="n">
        <v>45837</v>
      </c>
      <c r="D198" t="inlineStr">
        <is>
          <t>DALARNAS LÄN</t>
        </is>
      </c>
      <c r="E198" t="inlineStr">
        <is>
          <t>MORA</t>
        </is>
      </c>
      <c r="G198" t="n">
        <v>25.7</v>
      </c>
      <c r="H198" t="n">
        <v>0</v>
      </c>
      <c r="I198" t="n">
        <v>0</v>
      </c>
      <c r="J198" t="n">
        <v>0</v>
      </c>
      <c r="K198" t="n">
        <v>0</v>
      </c>
      <c r="L198" t="n">
        <v>0</v>
      </c>
      <c r="M198" t="n">
        <v>0</v>
      </c>
      <c r="N198" t="n">
        <v>0</v>
      </c>
      <c r="O198" t="n">
        <v>0</v>
      </c>
      <c r="P198" t="n">
        <v>0</v>
      </c>
      <c r="Q198" t="n">
        <v>0</v>
      </c>
      <c r="R198" s="2" t="inlineStr"/>
    </row>
    <row r="199" ht="15" customHeight="1">
      <c r="A199" t="inlineStr">
        <is>
          <t>A 41768-2020</t>
        </is>
      </c>
      <c r="B199" s="1" t="n">
        <v>44074</v>
      </c>
      <c r="C199" s="1" t="n">
        <v>45837</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42362-2020</t>
        </is>
      </c>
      <c r="B200" s="1" t="n">
        <v>44074</v>
      </c>
      <c r="C200" s="1" t="n">
        <v>45837</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42377-2020</t>
        </is>
      </c>
      <c r="B201" s="1" t="n">
        <v>44076</v>
      </c>
      <c r="C201" s="1" t="n">
        <v>45837</v>
      </c>
      <c r="D201" t="inlineStr">
        <is>
          <t>DALARNAS LÄN</t>
        </is>
      </c>
      <c r="E201" t="inlineStr">
        <is>
          <t>MORA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43284-2020</t>
        </is>
      </c>
      <c r="B202" s="1" t="n">
        <v>44081</v>
      </c>
      <c r="C202" s="1" t="n">
        <v>45837</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48065-2020</t>
        </is>
      </c>
      <c r="B203" s="1" t="n">
        <v>44100</v>
      </c>
      <c r="C203" s="1" t="n">
        <v>45837</v>
      </c>
      <c r="D203" t="inlineStr">
        <is>
          <t>DALARNAS LÄN</t>
        </is>
      </c>
      <c r="E203" t="inlineStr">
        <is>
          <t>MORA</t>
        </is>
      </c>
      <c r="G203" t="n">
        <v>8.6</v>
      </c>
      <c r="H203" t="n">
        <v>0</v>
      </c>
      <c r="I203" t="n">
        <v>0</v>
      </c>
      <c r="J203" t="n">
        <v>0</v>
      </c>
      <c r="K203" t="n">
        <v>0</v>
      </c>
      <c r="L203" t="n">
        <v>0</v>
      </c>
      <c r="M203" t="n">
        <v>0</v>
      </c>
      <c r="N203" t="n">
        <v>0</v>
      </c>
      <c r="O203" t="n">
        <v>0</v>
      </c>
      <c r="P203" t="n">
        <v>0</v>
      </c>
      <c r="Q203" t="n">
        <v>0</v>
      </c>
      <c r="R203" s="2" t="inlineStr"/>
    </row>
    <row r="204" ht="15" customHeight="1">
      <c r="A204" t="inlineStr">
        <is>
          <t>A 51621-2020</t>
        </is>
      </c>
      <c r="B204" s="1" t="n">
        <v>44109</v>
      </c>
      <c r="C204" s="1" t="n">
        <v>45837</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51608-2020</t>
        </is>
      </c>
      <c r="B205" s="1" t="n">
        <v>44109</v>
      </c>
      <c r="C205" s="1" t="n">
        <v>45837</v>
      </c>
      <c r="D205" t="inlineStr">
        <is>
          <t>DALARNAS LÄN</t>
        </is>
      </c>
      <c r="E205" t="inlineStr">
        <is>
          <t>MORA</t>
        </is>
      </c>
      <c r="G205" t="n">
        <v>4.6</v>
      </c>
      <c r="H205" t="n">
        <v>0</v>
      </c>
      <c r="I205" t="n">
        <v>0</v>
      </c>
      <c r="J205" t="n">
        <v>0</v>
      </c>
      <c r="K205" t="n">
        <v>0</v>
      </c>
      <c r="L205" t="n">
        <v>0</v>
      </c>
      <c r="M205" t="n">
        <v>0</v>
      </c>
      <c r="N205" t="n">
        <v>0</v>
      </c>
      <c r="O205" t="n">
        <v>0</v>
      </c>
      <c r="P205" t="n">
        <v>0</v>
      </c>
      <c r="Q205" t="n">
        <v>0</v>
      </c>
      <c r="R205" s="2" t="inlineStr"/>
    </row>
    <row r="206" ht="15" customHeight="1">
      <c r="A206" t="inlineStr">
        <is>
          <t>A 52732-2020</t>
        </is>
      </c>
      <c r="B206" s="1" t="n">
        <v>44118</v>
      </c>
      <c r="C206" s="1" t="n">
        <v>45837</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55249-2020</t>
        </is>
      </c>
      <c r="B207" s="1" t="n">
        <v>44130</v>
      </c>
      <c r="C207" s="1" t="n">
        <v>45837</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56071-2020</t>
        </is>
      </c>
      <c r="B208" s="1" t="n">
        <v>44133</v>
      </c>
      <c r="C208" s="1" t="n">
        <v>45837</v>
      </c>
      <c r="D208" t="inlineStr">
        <is>
          <t>DALARNAS LÄN</t>
        </is>
      </c>
      <c r="E208" t="inlineStr">
        <is>
          <t>MORA</t>
        </is>
      </c>
      <c r="G208" t="n">
        <v>6.6</v>
      </c>
      <c r="H208" t="n">
        <v>0</v>
      </c>
      <c r="I208" t="n">
        <v>0</v>
      </c>
      <c r="J208" t="n">
        <v>0</v>
      </c>
      <c r="K208" t="n">
        <v>0</v>
      </c>
      <c r="L208" t="n">
        <v>0</v>
      </c>
      <c r="M208" t="n">
        <v>0</v>
      </c>
      <c r="N208" t="n">
        <v>0</v>
      </c>
      <c r="O208" t="n">
        <v>0</v>
      </c>
      <c r="P208" t="n">
        <v>0</v>
      </c>
      <c r="Q208" t="n">
        <v>0</v>
      </c>
      <c r="R208" s="2" t="inlineStr"/>
    </row>
    <row r="209" ht="15" customHeight="1">
      <c r="A209" t="inlineStr">
        <is>
          <t>A 56501-2020</t>
        </is>
      </c>
      <c r="B209" s="1" t="n">
        <v>44137</v>
      </c>
      <c r="C209" s="1" t="n">
        <v>45837</v>
      </c>
      <c r="D209" t="inlineStr">
        <is>
          <t>DALARNAS LÄN</t>
        </is>
      </c>
      <c r="E209" t="inlineStr">
        <is>
          <t>MORA</t>
        </is>
      </c>
      <c r="F209" t="inlineStr">
        <is>
          <t>Allmännings- och besparingsskogar</t>
        </is>
      </c>
      <c r="G209" t="n">
        <v>11</v>
      </c>
      <c r="H209" t="n">
        <v>0</v>
      </c>
      <c r="I209" t="n">
        <v>0</v>
      </c>
      <c r="J209" t="n">
        <v>0</v>
      </c>
      <c r="K209" t="n">
        <v>0</v>
      </c>
      <c r="L209" t="n">
        <v>0</v>
      </c>
      <c r="M209" t="n">
        <v>0</v>
      </c>
      <c r="N209" t="n">
        <v>0</v>
      </c>
      <c r="O209" t="n">
        <v>0</v>
      </c>
      <c r="P209" t="n">
        <v>0</v>
      </c>
      <c r="Q209" t="n">
        <v>0</v>
      </c>
      <c r="R209" s="2" t="inlineStr"/>
    </row>
    <row r="210" ht="15" customHeight="1">
      <c r="A210" t="inlineStr">
        <is>
          <t>A 56976-2020</t>
        </is>
      </c>
      <c r="B210" s="1" t="n">
        <v>44138</v>
      </c>
      <c r="C210" s="1" t="n">
        <v>45837</v>
      </c>
      <c r="D210" t="inlineStr">
        <is>
          <t>DALARNAS LÄN</t>
        </is>
      </c>
      <c r="E210" t="inlineStr">
        <is>
          <t>MORA</t>
        </is>
      </c>
      <c r="F210" t="inlineStr">
        <is>
          <t>Allmännings- och besparingsskogar</t>
        </is>
      </c>
      <c r="G210" t="n">
        <v>0.8</v>
      </c>
      <c r="H210" t="n">
        <v>0</v>
      </c>
      <c r="I210" t="n">
        <v>0</v>
      </c>
      <c r="J210" t="n">
        <v>0</v>
      </c>
      <c r="K210" t="n">
        <v>0</v>
      </c>
      <c r="L210" t="n">
        <v>0</v>
      </c>
      <c r="M210" t="n">
        <v>0</v>
      </c>
      <c r="N210" t="n">
        <v>0</v>
      </c>
      <c r="O210" t="n">
        <v>0</v>
      </c>
      <c r="P210" t="n">
        <v>0</v>
      </c>
      <c r="Q210" t="n">
        <v>0</v>
      </c>
      <c r="R210" s="2" t="inlineStr"/>
    </row>
    <row r="211" ht="15" customHeight="1">
      <c r="A211" t="inlineStr">
        <is>
          <t>A 56974-2020</t>
        </is>
      </c>
      <c r="B211" s="1" t="n">
        <v>44138</v>
      </c>
      <c r="C211" s="1" t="n">
        <v>45837</v>
      </c>
      <c r="D211" t="inlineStr">
        <is>
          <t>DALARNAS LÄN</t>
        </is>
      </c>
      <c r="E211" t="inlineStr">
        <is>
          <t>MORA</t>
        </is>
      </c>
      <c r="F211" t="inlineStr">
        <is>
          <t>Allmännings- och besparingsskogar</t>
        </is>
      </c>
      <c r="G211" t="n">
        <v>5.1</v>
      </c>
      <c r="H211" t="n">
        <v>0</v>
      </c>
      <c r="I211" t="n">
        <v>0</v>
      </c>
      <c r="J211" t="n">
        <v>0</v>
      </c>
      <c r="K211" t="n">
        <v>0</v>
      </c>
      <c r="L211" t="n">
        <v>0</v>
      </c>
      <c r="M211" t="n">
        <v>0</v>
      </c>
      <c r="N211" t="n">
        <v>0</v>
      </c>
      <c r="O211" t="n">
        <v>0</v>
      </c>
      <c r="P211" t="n">
        <v>0</v>
      </c>
      <c r="Q211" t="n">
        <v>0</v>
      </c>
      <c r="R211" s="2" t="inlineStr"/>
    </row>
    <row r="212" ht="15" customHeight="1">
      <c r="A212" t="inlineStr">
        <is>
          <t>A 57268-2020</t>
        </is>
      </c>
      <c r="B212" s="1" t="n">
        <v>44139</v>
      </c>
      <c r="C212" s="1" t="n">
        <v>45837</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57848-2020</t>
        </is>
      </c>
      <c r="B213" s="1" t="n">
        <v>44141</v>
      </c>
      <c r="C213" s="1" t="n">
        <v>45837</v>
      </c>
      <c r="D213" t="inlineStr">
        <is>
          <t>DALARNAS LÄN</t>
        </is>
      </c>
      <c r="E213" t="inlineStr">
        <is>
          <t>MORA</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57926-2020</t>
        </is>
      </c>
      <c r="B214" s="1" t="n">
        <v>44141</v>
      </c>
      <c r="C214" s="1" t="n">
        <v>45837</v>
      </c>
      <c r="D214" t="inlineStr">
        <is>
          <t>DALARNAS LÄN</t>
        </is>
      </c>
      <c r="E214" t="inlineStr">
        <is>
          <t>MORA</t>
        </is>
      </c>
      <c r="F214" t="inlineStr">
        <is>
          <t>Bergvik skog väst AB</t>
        </is>
      </c>
      <c r="G214" t="n">
        <v>13.1</v>
      </c>
      <c r="H214" t="n">
        <v>0</v>
      </c>
      <c r="I214" t="n">
        <v>0</v>
      </c>
      <c r="J214" t="n">
        <v>0</v>
      </c>
      <c r="K214" t="n">
        <v>0</v>
      </c>
      <c r="L214" t="n">
        <v>0</v>
      </c>
      <c r="M214" t="n">
        <v>0</v>
      </c>
      <c r="N214" t="n">
        <v>0</v>
      </c>
      <c r="O214" t="n">
        <v>0</v>
      </c>
      <c r="P214" t="n">
        <v>0</v>
      </c>
      <c r="Q214" t="n">
        <v>0</v>
      </c>
      <c r="R214" s="2" t="inlineStr"/>
    </row>
    <row r="215" ht="15" customHeight="1">
      <c r="A215" t="inlineStr">
        <is>
          <t>A 60250-2020</t>
        </is>
      </c>
      <c r="B215" s="1" t="n">
        <v>44152</v>
      </c>
      <c r="C215" s="1" t="n">
        <v>45837</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61338-2020</t>
        </is>
      </c>
      <c r="B216" s="1" t="n">
        <v>44155</v>
      </c>
      <c r="C216" s="1" t="n">
        <v>45837</v>
      </c>
      <c r="D216" t="inlineStr">
        <is>
          <t>DALARNAS LÄN</t>
        </is>
      </c>
      <c r="E216" t="inlineStr">
        <is>
          <t>MORA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62301-2020</t>
        </is>
      </c>
      <c r="B217" s="1" t="n">
        <v>44160</v>
      </c>
      <c r="C217" s="1" t="n">
        <v>45837</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62266-2020</t>
        </is>
      </c>
      <c r="B218" s="1" t="n">
        <v>44160</v>
      </c>
      <c r="C218" s="1" t="n">
        <v>45837</v>
      </c>
      <c r="D218" t="inlineStr">
        <is>
          <t>DALARNAS LÄN</t>
        </is>
      </c>
      <c r="E218" t="inlineStr">
        <is>
          <t>MORA</t>
        </is>
      </c>
      <c r="F218" t="inlineStr">
        <is>
          <t>Bergvik skog väst AB</t>
        </is>
      </c>
      <c r="G218" t="n">
        <v>5.9</v>
      </c>
      <c r="H218" t="n">
        <v>0</v>
      </c>
      <c r="I218" t="n">
        <v>0</v>
      </c>
      <c r="J218" t="n">
        <v>0</v>
      </c>
      <c r="K218" t="n">
        <v>0</v>
      </c>
      <c r="L218" t="n">
        <v>0</v>
      </c>
      <c r="M218" t="n">
        <v>0</v>
      </c>
      <c r="N218" t="n">
        <v>0</v>
      </c>
      <c r="O218" t="n">
        <v>0</v>
      </c>
      <c r="P218" t="n">
        <v>0</v>
      </c>
      <c r="Q218" t="n">
        <v>0</v>
      </c>
      <c r="R218" s="2" t="inlineStr"/>
    </row>
    <row r="219" ht="15" customHeight="1">
      <c r="A219" t="inlineStr">
        <is>
          <t>A 62268-2020</t>
        </is>
      </c>
      <c r="B219" s="1" t="n">
        <v>44160</v>
      </c>
      <c r="C219" s="1" t="n">
        <v>45837</v>
      </c>
      <c r="D219" t="inlineStr">
        <is>
          <t>DALARNAS LÄN</t>
        </is>
      </c>
      <c r="E219" t="inlineStr">
        <is>
          <t>MORA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65301-2020</t>
        </is>
      </c>
      <c r="B220" s="1" t="n">
        <v>44169</v>
      </c>
      <c r="C220" s="1" t="n">
        <v>45837</v>
      </c>
      <c r="D220" t="inlineStr">
        <is>
          <t>DALARNAS LÄN</t>
        </is>
      </c>
      <c r="E220" t="inlineStr">
        <is>
          <t>MORA</t>
        </is>
      </c>
      <c r="G220" t="n">
        <v>2.9</v>
      </c>
      <c r="H220" t="n">
        <v>0</v>
      </c>
      <c r="I220" t="n">
        <v>0</v>
      </c>
      <c r="J220" t="n">
        <v>0</v>
      </c>
      <c r="K220" t="n">
        <v>0</v>
      </c>
      <c r="L220" t="n">
        <v>0</v>
      </c>
      <c r="M220" t="n">
        <v>0</v>
      </c>
      <c r="N220" t="n">
        <v>0</v>
      </c>
      <c r="O220" t="n">
        <v>0</v>
      </c>
      <c r="P220" t="n">
        <v>0</v>
      </c>
      <c r="Q220" t="n">
        <v>0</v>
      </c>
      <c r="R220" s="2" t="inlineStr"/>
    </row>
    <row r="221" ht="15" customHeight="1">
      <c r="A221" t="inlineStr">
        <is>
          <t>A 67028-2020</t>
        </is>
      </c>
      <c r="B221" s="1" t="n">
        <v>44180</v>
      </c>
      <c r="C221" s="1" t="n">
        <v>45837</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66990-2020</t>
        </is>
      </c>
      <c r="B222" s="1" t="n">
        <v>44180</v>
      </c>
      <c r="C222" s="1" t="n">
        <v>45837</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68468-2020</t>
        </is>
      </c>
      <c r="B223" s="1" t="n">
        <v>44186</v>
      </c>
      <c r="C223" s="1" t="n">
        <v>45837</v>
      </c>
      <c r="D223" t="inlineStr">
        <is>
          <t>DALARNAS LÄN</t>
        </is>
      </c>
      <c r="E223" t="inlineStr">
        <is>
          <t>MORA</t>
        </is>
      </c>
      <c r="F223" t="inlineStr">
        <is>
          <t>Bergvik skog öst AB</t>
        </is>
      </c>
      <c r="G223" t="n">
        <v>6.5</v>
      </c>
      <c r="H223" t="n">
        <v>0</v>
      </c>
      <c r="I223" t="n">
        <v>0</v>
      </c>
      <c r="J223" t="n">
        <v>0</v>
      </c>
      <c r="K223" t="n">
        <v>0</v>
      </c>
      <c r="L223" t="n">
        <v>0</v>
      </c>
      <c r="M223" t="n">
        <v>0</v>
      </c>
      <c r="N223" t="n">
        <v>0</v>
      </c>
      <c r="O223" t="n">
        <v>0</v>
      </c>
      <c r="P223" t="n">
        <v>0</v>
      </c>
      <c r="Q223" t="n">
        <v>0</v>
      </c>
      <c r="R223" s="2" t="inlineStr"/>
    </row>
    <row r="224" ht="15" customHeight="1">
      <c r="A224" t="inlineStr">
        <is>
          <t>A 68832-2020</t>
        </is>
      </c>
      <c r="B224" s="1" t="n">
        <v>44187</v>
      </c>
      <c r="C224" s="1" t="n">
        <v>45837</v>
      </c>
      <c r="D224" t="inlineStr">
        <is>
          <t>DALARNAS LÄN</t>
        </is>
      </c>
      <c r="E224" t="inlineStr">
        <is>
          <t>MORA</t>
        </is>
      </c>
      <c r="G224" t="n">
        <v>7.7</v>
      </c>
      <c r="H224" t="n">
        <v>0</v>
      </c>
      <c r="I224" t="n">
        <v>0</v>
      </c>
      <c r="J224" t="n">
        <v>0</v>
      </c>
      <c r="K224" t="n">
        <v>0</v>
      </c>
      <c r="L224" t="n">
        <v>0</v>
      </c>
      <c r="M224" t="n">
        <v>0</v>
      </c>
      <c r="N224" t="n">
        <v>0</v>
      </c>
      <c r="O224" t="n">
        <v>0</v>
      </c>
      <c r="P224" t="n">
        <v>0</v>
      </c>
      <c r="Q224" t="n">
        <v>0</v>
      </c>
      <c r="R224" s="2" t="inlineStr"/>
    </row>
    <row r="225" ht="15" customHeight="1">
      <c r="A225" t="inlineStr">
        <is>
          <t>A 69517-2020</t>
        </is>
      </c>
      <c r="B225" s="1" t="n">
        <v>44194</v>
      </c>
      <c r="C225" s="1" t="n">
        <v>45837</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69519-2020</t>
        </is>
      </c>
      <c r="B226" s="1" t="n">
        <v>44194</v>
      </c>
      <c r="C226" s="1" t="n">
        <v>45837</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655-2021</t>
        </is>
      </c>
      <c r="B227" s="1" t="n">
        <v>44203</v>
      </c>
      <c r="C227" s="1" t="n">
        <v>45837</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768-2021</t>
        </is>
      </c>
      <c r="B228" s="1" t="n">
        <v>44203</v>
      </c>
      <c r="C228" s="1" t="n">
        <v>45837</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770-2021</t>
        </is>
      </c>
      <c r="B229" s="1" t="n">
        <v>44203</v>
      </c>
      <c r="C229" s="1" t="n">
        <v>45837</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782-2021</t>
        </is>
      </c>
      <c r="B230" s="1" t="n">
        <v>44203</v>
      </c>
      <c r="C230" s="1" t="n">
        <v>45837</v>
      </c>
      <c r="D230" t="inlineStr">
        <is>
          <t>DALARNAS LÄN</t>
        </is>
      </c>
      <c r="E230" t="inlineStr">
        <is>
          <t>MORA</t>
        </is>
      </c>
      <c r="G230" t="n">
        <v>1.7</v>
      </c>
      <c r="H230" t="n">
        <v>0</v>
      </c>
      <c r="I230" t="n">
        <v>0</v>
      </c>
      <c r="J230" t="n">
        <v>0</v>
      </c>
      <c r="K230" t="n">
        <v>0</v>
      </c>
      <c r="L230" t="n">
        <v>0</v>
      </c>
      <c r="M230" t="n">
        <v>0</v>
      </c>
      <c r="N230" t="n">
        <v>0</v>
      </c>
      <c r="O230" t="n">
        <v>0</v>
      </c>
      <c r="P230" t="n">
        <v>0</v>
      </c>
      <c r="Q230" t="n">
        <v>0</v>
      </c>
      <c r="R230" s="2" t="inlineStr"/>
    </row>
    <row r="231" ht="15" customHeight="1">
      <c r="A231" t="inlineStr">
        <is>
          <t>A 787-2021</t>
        </is>
      </c>
      <c r="B231" s="1" t="n">
        <v>44203</v>
      </c>
      <c r="C231" s="1" t="n">
        <v>45837</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657-2021</t>
        </is>
      </c>
      <c r="B232" s="1" t="n">
        <v>44203</v>
      </c>
      <c r="C232" s="1" t="n">
        <v>45837</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769-2021</t>
        </is>
      </c>
      <c r="B233" s="1" t="n">
        <v>44203</v>
      </c>
      <c r="C233" s="1" t="n">
        <v>45837</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790-2021</t>
        </is>
      </c>
      <c r="B234" s="1" t="n">
        <v>44203</v>
      </c>
      <c r="C234" s="1" t="n">
        <v>45837</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837-2021</t>
        </is>
      </c>
      <c r="B235" s="1" t="n">
        <v>44204</v>
      </c>
      <c r="C235" s="1" t="n">
        <v>45837</v>
      </c>
      <c r="D235" t="inlineStr">
        <is>
          <t>DALARNAS LÄN</t>
        </is>
      </c>
      <c r="E235" t="inlineStr">
        <is>
          <t>MORA</t>
        </is>
      </c>
      <c r="G235" t="n">
        <v>10.4</v>
      </c>
      <c r="H235" t="n">
        <v>0</v>
      </c>
      <c r="I235" t="n">
        <v>0</v>
      </c>
      <c r="J235" t="n">
        <v>0</v>
      </c>
      <c r="K235" t="n">
        <v>0</v>
      </c>
      <c r="L235" t="n">
        <v>0</v>
      </c>
      <c r="M235" t="n">
        <v>0</v>
      </c>
      <c r="N235" t="n">
        <v>0</v>
      </c>
      <c r="O235" t="n">
        <v>0</v>
      </c>
      <c r="P235" t="n">
        <v>0</v>
      </c>
      <c r="Q235" t="n">
        <v>0</v>
      </c>
      <c r="R235" s="2" t="inlineStr"/>
    </row>
    <row r="236" ht="15" customHeight="1">
      <c r="A236" t="inlineStr">
        <is>
          <t>A 1951-2021</t>
        </is>
      </c>
      <c r="B236" s="1" t="n">
        <v>44210</v>
      </c>
      <c r="C236" s="1" t="n">
        <v>45837</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8064-2021</t>
        </is>
      </c>
      <c r="B237" s="1" t="n">
        <v>44243</v>
      </c>
      <c r="C237" s="1" t="n">
        <v>45837</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8146-2021</t>
        </is>
      </c>
      <c r="B238" s="1" t="n">
        <v>44244</v>
      </c>
      <c r="C238" s="1" t="n">
        <v>45837</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8153-2021</t>
        </is>
      </c>
      <c r="B239" s="1" t="n">
        <v>44244</v>
      </c>
      <c r="C239" s="1" t="n">
        <v>45837</v>
      </c>
      <c r="D239" t="inlineStr">
        <is>
          <t>DALARNAS LÄN</t>
        </is>
      </c>
      <c r="E239" t="inlineStr">
        <is>
          <t>MORA</t>
        </is>
      </c>
      <c r="G239" t="n">
        <v>2.5</v>
      </c>
      <c r="H239" t="n">
        <v>0</v>
      </c>
      <c r="I239" t="n">
        <v>0</v>
      </c>
      <c r="J239" t="n">
        <v>0</v>
      </c>
      <c r="K239" t="n">
        <v>0</v>
      </c>
      <c r="L239" t="n">
        <v>0</v>
      </c>
      <c r="M239" t="n">
        <v>0</v>
      </c>
      <c r="N239" t="n">
        <v>0</v>
      </c>
      <c r="O239" t="n">
        <v>0</v>
      </c>
      <c r="P239" t="n">
        <v>0</v>
      </c>
      <c r="Q239" t="n">
        <v>0</v>
      </c>
      <c r="R239" s="2" t="inlineStr"/>
    </row>
    <row r="240" ht="15" customHeight="1">
      <c r="A240" t="inlineStr">
        <is>
          <t>A 12151-2021</t>
        </is>
      </c>
      <c r="B240" s="1" t="n">
        <v>44266</v>
      </c>
      <c r="C240" s="1" t="n">
        <v>45837</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16840-2021</t>
        </is>
      </c>
      <c r="B241" s="1" t="n">
        <v>44295</v>
      </c>
      <c r="C241" s="1" t="n">
        <v>45837</v>
      </c>
      <c r="D241" t="inlineStr">
        <is>
          <t>DALARNAS LÄN</t>
        </is>
      </c>
      <c r="E241" t="inlineStr">
        <is>
          <t>MORA</t>
        </is>
      </c>
      <c r="G241" t="n">
        <v>11.5</v>
      </c>
      <c r="H241" t="n">
        <v>0</v>
      </c>
      <c r="I241" t="n">
        <v>0</v>
      </c>
      <c r="J241" t="n">
        <v>0</v>
      </c>
      <c r="K241" t="n">
        <v>0</v>
      </c>
      <c r="L241" t="n">
        <v>0</v>
      </c>
      <c r="M241" t="n">
        <v>0</v>
      </c>
      <c r="N241" t="n">
        <v>0</v>
      </c>
      <c r="O241" t="n">
        <v>0</v>
      </c>
      <c r="P241" t="n">
        <v>0</v>
      </c>
      <c r="Q241" t="n">
        <v>0</v>
      </c>
      <c r="R241" s="2" t="inlineStr"/>
    </row>
    <row r="242" ht="15" customHeight="1">
      <c r="A242" t="inlineStr">
        <is>
          <t>A 17915-2021</t>
        </is>
      </c>
      <c r="B242" s="1" t="n">
        <v>44301</v>
      </c>
      <c r="C242" s="1" t="n">
        <v>45837</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17904-2021</t>
        </is>
      </c>
      <c r="B243" s="1" t="n">
        <v>44301</v>
      </c>
      <c r="C243" s="1" t="n">
        <v>45837</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19383-2021</t>
        </is>
      </c>
      <c r="B244" s="1" t="n">
        <v>44309</v>
      </c>
      <c r="C244" s="1" t="n">
        <v>45837</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19896-2021</t>
        </is>
      </c>
      <c r="B245" s="1" t="n">
        <v>44313</v>
      </c>
      <c r="C245" s="1" t="n">
        <v>45837</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20125-2021</t>
        </is>
      </c>
      <c r="B246" s="1" t="n">
        <v>44314</v>
      </c>
      <c r="C246" s="1" t="n">
        <v>45837</v>
      </c>
      <c r="D246" t="inlineStr">
        <is>
          <t>DALARNAS LÄN</t>
        </is>
      </c>
      <c r="E246" t="inlineStr">
        <is>
          <t>MORA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22931-2021</t>
        </is>
      </c>
      <c r="B247" s="1" t="n">
        <v>44326</v>
      </c>
      <c r="C247" s="1" t="n">
        <v>45837</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24465-2021</t>
        </is>
      </c>
      <c r="B248" s="1" t="n">
        <v>44337</v>
      </c>
      <c r="C248" s="1" t="n">
        <v>45837</v>
      </c>
      <c r="D248" t="inlineStr">
        <is>
          <t>DALARNAS LÄN</t>
        </is>
      </c>
      <c r="E248" t="inlineStr">
        <is>
          <t>MORA</t>
        </is>
      </c>
      <c r="G248" t="n">
        <v>2.6</v>
      </c>
      <c r="H248" t="n">
        <v>0</v>
      </c>
      <c r="I248" t="n">
        <v>0</v>
      </c>
      <c r="J248" t="n">
        <v>0</v>
      </c>
      <c r="K248" t="n">
        <v>0</v>
      </c>
      <c r="L248" t="n">
        <v>0</v>
      </c>
      <c r="M248" t="n">
        <v>0</v>
      </c>
      <c r="N248" t="n">
        <v>0</v>
      </c>
      <c r="O248" t="n">
        <v>0</v>
      </c>
      <c r="P248" t="n">
        <v>0</v>
      </c>
      <c r="Q248" t="n">
        <v>0</v>
      </c>
      <c r="R248" s="2" t="inlineStr"/>
    </row>
    <row r="249" ht="15" customHeight="1">
      <c r="A249" t="inlineStr">
        <is>
          <t>A 26314-2021</t>
        </is>
      </c>
      <c r="B249" s="1" t="n">
        <v>44347</v>
      </c>
      <c r="C249" s="1" t="n">
        <v>45837</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29697-2021</t>
        </is>
      </c>
      <c r="B250" s="1" t="n">
        <v>44362</v>
      </c>
      <c r="C250" s="1" t="n">
        <v>45837</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30030-2021</t>
        </is>
      </c>
      <c r="B251" s="1" t="n">
        <v>44363</v>
      </c>
      <c r="C251" s="1" t="n">
        <v>45837</v>
      </c>
      <c r="D251" t="inlineStr">
        <is>
          <t>DALARNAS LÄN</t>
        </is>
      </c>
      <c r="E251" t="inlineStr">
        <is>
          <t>MORA</t>
        </is>
      </c>
      <c r="G251" t="n">
        <v>7.1</v>
      </c>
      <c r="H251" t="n">
        <v>0</v>
      </c>
      <c r="I251" t="n">
        <v>0</v>
      </c>
      <c r="J251" t="n">
        <v>0</v>
      </c>
      <c r="K251" t="n">
        <v>0</v>
      </c>
      <c r="L251" t="n">
        <v>0</v>
      </c>
      <c r="M251" t="n">
        <v>0</v>
      </c>
      <c r="N251" t="n">
        <v>0</v>
      </c>
      <c r="O251" t="n">
        <v>0</v>
      </c>
      <c r="P251" t="n">
        <v>0</v>
      </c>
      <c r="Q251" t="n">
        <v>0</v>
      </c>
      <c r="R251" s="2" t="inlineStr"/>
    </row>
    <row r="252" ht="15" customHeight="1">
      <c r="A252" t="inlineStr">
        <is>
          <t>A 30895-2021</t>
        </is>
      </c>
      <c r="B252" s="1" t="n">
        <v>44365</v>
      </c>
      <c r="C252" s="1" t="n">
        <v>45837</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30888-2021</t>
        </is>
      </c>
      <c r="B253" s="1" t="n">
        <v>44365</v>
      </c>
      <c r="C253" s="1" t="n">
        <v>45837</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30905-2021</t>
        </is>
      </c>
      <c r="B254" s="1" t="n">
        <v>44365</v>
      </c>
      <c r="C254" s="1" t="n">
        <v>45837</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31169-2021</t>
        </is>
      </c>
      <c r="B255" s="1" t="n">
        <v>44368</v>
      </c>
      <c r="C255" s="1" t="n">
        <v>45837</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31177-2021</t>
        </is>
      </c>
      <c r="B256" s="1" t="n">
        <v>44368</v>
      </c>
      <c r="C256" s="1" t="n">
        <v>45837</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31689-2021</t>
        </is>
      </c>
      <c r="B257" s="1" t="n">
        <v>44369</v>
      </c>
      <c r="C257" s="1" t="n">
        <v>45837</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31705-2021</t>
        </is>
      </c>
      <c r="B258" s="1" t="n">
        <v>44369</v>
      </c>
      <c r="C258" s="1" t="n">
        <v>45837</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34018-2021</t>
        </is>
      </c>
      <c r="B259" s="1" t="n">
        <v>44379</v>
      </c>
      <c r="C259" s="1" t="n">
        <v>45837</v>
      </c>
      <c r="D259" t="inlineStr">
        <is>
          <t>DALARNAS LÄN</t>
        </is>
      </c>
      <c r="E259" t="inlineStr">
        <is>
          <t>MORA</t>
        </is>
      </c>
      <c r="G259" t="n">
        <v>5.7</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v>
      </c>
      <c r="C260" s="1" t="n">
        <v>45837</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34715-2021</t>
        </is>
      </c>
      <c r="B261" s="1" t="n">
        <v>44382</v>
      </c>
      <c r="C261" s="1" t="n">
        <v>45837</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34875-2021</t>
        </is>
      </c>
      <c r="B262" s="1" t="n">
        <v>44383</v>
      </c>
      <c r="C262" s="1" t="n">
        <v>45837</v>
      </c>
      <c r="D262" t="inlineStr">
        <is>
          <t>DALARNAS LÄN</t>
        </is>
      </c>
      <c r="E262" t="inlineStr">
        <is>
          <t>MORA</t>
        </is>
      </c>
      <c r="G262" t="n">
        <v>5.2</v>
      </c>
      <c r="H262" t="n">
        <v>0</v>
      </c>
      <c r="I262" t="n">
        <v>0</v>
      </c>
      <c r="J262" t="n">
        <v>0</v>
      </c>
      <c r="K262" t="n">
        <v>0</v>
      </c>
      <c r="L262" t="n">
        <v>0</v>
      </c>
      <c r="M262" t="n">
        <v>0</v>
      </c>
      <c r="N262" t="n">
        <v>0</v>
      </c>
      <c r="O262" t="n">
        <v>0</v>
      </c>
      <c r="P262" t="n">
        <v>0</v>
      </c>
      <c r="Q262" t="n">
        <v>0</v>
      </c>
      <c r="R262" s="2" t="inlineStr"/>
    </row>
    <row r="263" ht="15" customHeight="1">
      <c r="A263" t="inlineStr">
        <is>
          <t>A 35005-2021</t>
        </is>
      </c>
      <c r="B263" s="1" t="n">
        <v>44383</v>
      </c>
      <c r="C263" s="1" t="n">
        <v>45837</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36168-2021</t>
        </is>
      </c>
      <c r="B264" s="1" t="n">
        <v>44389</v>
      </c>
      <c r="C264" s="1" t="n">
        <v>45837</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36184-2021</t>
        </is>
      </c>
      <c r="B265" s="1" t="n">
        <v>44389</v>
      </c>
      <c r="C265" s="1" t="n">
        <v>45837</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36173-2021</t>
        </is>
      </c>
      <c r="B266" s="1" t="n">
        <v>44389</v>
      </c>
      <c r="C266" s="1" t="n">
        <v>45837</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38769-2021</t>
        </is>
      </c>
      <c r="B267" s="1" t="n">
        <v>44410</v>
      </c>
      <c r="C267" s="1" t="n">
        <v>45837</v>
      </c>
      <c r="D267" t="inlineStr">
        <is>
          <t>DALARNAS LÄN</t>
        </is>
      </c>
      <c r="E267" t="inlineStr">
        <is>
          <t>MORA</t>
        </is>
      </c>
      <c r="G267" t="n">
        <v>0.8</v>
      </c>
      <c r="H267" t="n">
        <v>0</v>
      </c>
      <c r="I267" t="n">
        <v>0</v>
      </c>
      <c r="J267" t="n">
        <v>0</v>
      </c>
      <c r="K267" t="n">
        <v>0</v>
      </c>
      <c r="L267" t="n">
        <v>0</v>
      </c>
      <c r="M267" t="n">
        <v>0</v>
      </c>
      <c r="N267" t="n">
        <v>0</v>
      </c>
      <c r="O267" t="n">
        <v>0</v>
      </c>
      <c r="P267" t="n">
        <v>0</v>
      </c>
      <c r="Q267" t="n">
        <v>0</v>
      </c>
      <c r="R267" s="2" t="inlineStr"/>
    </row>
    <row r="268" ht="15" customHeight="1">
      <c r="A268" t="inlineStr">
        <is>
          <t>A 39227-2021</t>
        </is>
      </c>
      <c r="B268" s="1" t="n">
        <v>44413</v>
      </c>
      <c r="C268" s="1" t="n">
        <v>45837</v>
      </c>
      <c r="D268" t="inlineStr">
        <is>
          <t>DALARNAS LÄN</t>
        </is>
      </c>
      <c r="E268" t="inlineStr">
        <is>
          <t>MORA</t>
        </is>
      </c>
      <c r="G268" t="n">
        <v>3.3</v>
      </c>
      <c r="H268" t="n">
        <v>0</v>
      </c>
      <c r="I268" t="n">
        <v>0</v>
      </c>
      <c r="J268" t="n">
        <v>0</v>
      </c>
      <c r="K268" t="n">
        <v>0</v>
      </c>
      <c r="L268" t="n">
        <v>0</v>
      </c>
      <c r="M268" t="n">
        <v>0</v>
      </c>
      <c r="N268" t="n">
        <v>0</v>
      </c>
      <c r="O268" t="n">
        <v>0</v>
      </c>
      <c r="P268" t="n">
        <v>0</v>
      </c>
      <c r="Q268" t="n">
        <v>0</v>
      </c>
      <c r="R268" s="2" t="inlineStr"/>
    </row>
    <row r="269" ht="15" customHeight="1">
      <c r="A269" t="inlineStr">
        <is>
          <t>A 39198-2021</t>
        </is>
      </c>
      <c r="B269" s="1" t="n">
        <v>44413</v>
      </c>
      <c r="C269" s="1" t="n">
        <v>45837</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39672-2021</t>
        </is>
      </c>
      <c r="B270" s="1" t="n">
        <v>44417</v>
      </c>
      <c r="C270" s="1" t="n">
        <v>45837</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41022-2021</t>
        </is>
      </c>
      <c r="B271" s="1" t="n">
        <v>44421</v>
      </c>
      <c r="C271" s="1" t="n">
        <v>45837</v>
      </c>
      <c r="D271" t="inlineStr">
        <is>
          <t>DALARNAS LÄN</t>
        </is>
      </c>
      <c r="E271" t="inlineStr">
        <is>
          <t>MORA</t>
        </is>
      </c>
      <c r="G271" t="n">
        <v>11.9</v>
      </c>
      <c r="H271" t="n">
        <v>0</v>
      </c>
      <c r="I271" t="n">
        <v>0</v>
      </c>
      <c r="J271" t="n">
        <v>0</v>
      </c>
      <c r="K271" t="n">
        <v>0</v>
      </c>
      <c r="L271" t="n">
        <v>0</v>
      </c>
      <c r="M271" t="n">
        <v>0</v>
      </c>
      <c r="N271" t="n">
        <v>0</v>
      </c>
      <c r="O271" t="n">
        <v>0</v>
      </c>
      <c r="P271" t="n">
        <v>0</v>
      </c>
      <c r="Q271" t="n">
        <v>0</v>
      </c>
      <c r="R271" s="2" t="inlineStr"/>
    </row>
    <row r="272" ht="15" customHeight="1">
      <c r="A272" t="inlineStr">
        <is>
          <t>A 41028-2021</t>
        </is>
      </c>
      <c r="B272" s="1" t="n">
        <v>44421</v>
      </c>
      <c r="C272" s="1" t="n">
        <v>45837</v>
      </c>
      <c r="D272" t="inlineStr">
        <is>
          <t>DALARNAS LÄN</t>
        </is>
      </c>
      <c r="E272" t="inlineStr">
        <is>
          <t>MORA</t>
        </is>
      </c>
      <c r="G272" t="n">
        <v>7.2</v>
      </c>
      <c r="H272" t="n">
        <v>0</v>
      </c>
      <c r="I272" t="n">
        <v>0</v>
      </c>
      <c r="J272" t="n">
        <v>0</v>
      </c>
      <c r="K272" t="n">
        <v>0</v>
      </c>
      <c r="L272" t="n">
        <v>0</v>
      </c>
      <c r="M272" t="n">
        <v>0</v>
      </c>
      <c r="N272" t="n">
        <v>0</v>
      </c>
      <c r="O272" t="n">
        <v>0</v>
      </c>
      <c r="P272" t="n">
        <v>0</v>
      </c>
      <c r="Q272" t="n">
        <v>0</v>
      </c>
      <c r="R272" s="2" t="inlineStr"/>
    </row>
    <row r="273" ht="15" customHeight="1">
      <c r="A273" t="inlineStr">
        <is>
          <t>A 41032-2021</t>
        </is>
      </c>
      <c r="B273" s="1" t="n">
        <v>44421</v>
      </c>
      <c r="C273" s="1" t="n">
        <v>45837</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41121-2021</t>
        </is>
      </c>
      <c r="B274" s="1" t="n">
        <v>44423</v>
      </c>
      <c r="C274" s="1" t="n">
        <v>45837</v>
      </c>
      <c r="D274" t="inlineStr">
        <is>
          <t>DALARNAS LÄN</t>
        </is>
      </c>
      <c r="E274" t="inlineStr">
        <is>
          <t>MORA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42508-2021</t>
        </is>
      </c>
      <c r="B275" s="1" t="n">
        <v>44427</v>
      </c>
      <c r="C275" s="1" t="n">
        <v>45837</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42505-2021</t>
        </is>
      </c>
      <c r="B276" s="1" t="n">
        <v>44427</v>
      </c>
      <c r="C276" s="1" t="n">
        <v>45837</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43458-2021</t>
        </is>
      </c>
      <c r="B277" s="1" t="n">
        <v>44432</v>
      </c>
      <c r="C277" s="1" t="n">
        <v>45837</v>
      </c>
      <c r="D277" t="inlineStr">
        <is>
          <t>DALARNAS LÄN</t>
        </is>
      </c>
      <c r="E277" t="inlineStr">
        <is>
          <t>MORA</t>
        </is>
      </c>
      <c r="G277" t="n">
        <v>2.4</v>
      </c>
      <c r="H277" t="n">
        <v>0</v>
      </c>
      <c r="I277" t="n">
        <v>0</v>
      </c>
      <c r="J277" t="n">
        <v>0</v>
      </c>
      <c r="K277" t="n">
        <v>0</v>
      </c>
      <c r="L277" t="n">
        <v>0</v>
      </c>
      <c r="M277" t="n">
        <v>0</v>
      </c>
      <c r="N277" t="n">
        <v>0</v>
      </c>
      <c r="O277" t="n">
        <v>0</v>
      </c>
      <c r="P277" t="n">
        <v>0</v>
      </c>
      <c r="Q277" t="n">
        <v>0</v>
      </c>
      <c r="R277" s="2" t="inlineStr"/>
    </row>
    <row r="278" ht="15" customHeight="1">
      <c r="A278" t="inlineStr">
        <is>
          <t>A 44307-2021</t>
        </is>
      </c>
      <c r="B278" s="1" t="n">
        <v>44435</v>
      </c>
      <c r="C278" s="1" t="n">
        <v>45837</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44756-2021</t>
        </is>
      </c>
      <c r="B279" s="1" t="n">
        <v>44438</v>
      </c>
      <c r="C279" s="1" t="n">
        <v>45837</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44769-2021</t>
        </is>
      </c>
      <c r="B280" s="1" t="n">
        <v>44438</v>
      </c>
      <c r="C280" s="1" t="n">
        <v>45837</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44765-2021</t>
        </is>
      </c>
      <c r="B281" s="1" t="n">
        <v>44438</v>
      </c>
      <c r="C281" s="1" t="n">
        <v>45837</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45453-2021</t>
        </is>
      </c>
      <c r="B282" s="1" t="n">
        <v>44440</v>
      </c>
      <c r="C282" s="1" t="n">
        <v>45837</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45765-2021</t>
        </is>
      </c>
      <c r="B283" s="1" t="n">
        <v>44441</v>
      </c>
      <c r="C283" s="1" t="n">
        <v>45837</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45770-2021</t>
        </is>
      </c>
      <c r="B284" s="1" t="n">
        <v>44441</v>
      </c>
      <c r="C284" s="1" t="n">
        <v>45837</v>
      </c>
      <c r="D284" t="inlineStr">
        <is>
          <t>DALARNAS LÄN</t>
        </is>
      </c>
      <c r="E284" t="inlineStr">
        <is>
          <t>MORA</t>
        </is>
      </c>
      <c r="G284" t="n">
        <v>23.1</v>
      </c>
      <c r="H284" t="n">
        <v>0</v>
      </c>
      <c r="I284" t="n">
        <v>0</v>
      </c>
      <c r="J284" t="n">
        <v>0</v>
      </c>
      <c r="K284" t="n">
        <v>0</v>
      </c>
      <c r="L284" t="n">
        <v>0</v>
      </c>
      <c r="M284" t="n">
        <v>0</v>
      </c>
      <c r="N284" t="n">
        <v>0</v>
      </c>
      <c r="O284" t="n">
        <v>0</v>
      </c>
      <c r="P284" t="n">
        <v>0</v>
      </c>
      <c r="Q284" t="n">
        <v>0</v>
      </c>
      <c r="R284" s="2" t="inlineStr"/>
    </row>
    <row r="285" ht="15" customHeight="1">
      <c r="A285" t="inlineStr">
        <is>
          <t>A 47477-2021</t>
        </is>
      </c>
      <c r="B285" s="1" t="n">
        <v>44447</v>
      </c>
      <c r="C285" s="1" t="n">
        <v>45837</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48000-2021</t>
        </is>
      </c>
      <c r="B286" s="1" t="n">
        <v>44449</v>
      </c>
      <c r="C286" s="1" t="n">
        <v>45837</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48354-2021</t>
        </is>
      </c>
      <c r="B287" s="1" t="n">
        <v>44451</v>
      </c>
      <c r="C287" s="1" t="n">
        <v>45837</v>
      </c>
      <c r="D287" t="inlineStr">
        <is>
          <t>DALARNAS LÄN</t>
        </is>
      </c>
      <c r="E287" t="inlineStr">
        <is>
          <t>MORA</t>
        </is>
      </c>
      <c r="F287" t="inlineStr">
        <is>
          <t>Bergvik skog öst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49572-2021</t>
        </is>
      </c>
      <c r="B288" s="1" t="n">
        <v>44455</v>
      </c>
      <c r="C288" s="1" t="n">
        <v>45837</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49583-2021</t>
        </is>
      </c>
      <c r="B289" s="1" t="n">
        <v>44455</v>
      </c>
      <c r="C289" s="1" t="n">
        <v>45837</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49578-2021</t>
        </is>
      </c>
      <c r="B290" s="1" t="n">
        <v>44455</v>
      </c>
      <c r="C290" s="1" t="n">
        <v>45837</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50255-2021</t>
        </is>
      </c>
      <c r="B291" s="1" t="n">
        <v>44458</v>
      </c>
      <c r="C291" s="1" t="n">
        <v>45837</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50620-2021</t>
        </is>
      </c>
      <c r="B292" s="1" t="n">
        <v>44459</v>
      </c>
      <c r="C292" s="1" t="n">
        <v>45837</v>
      </c>
      <c r="D292" t="inlineStr">
        <is>
          <t>DALARNAS LÄN</t>
        </is>
      </c>
      <c r="E292" t="inlineStr">
        <is>
          <t>MORA</t>
        </is>
      </c>
      <c r="G292" t="n">
        <v>4.4</v>
      </c>
      <c r="H292" t="n">
        <v>0</v>
      </c>
      <c r="I292" t="n">
        <v>0</v>
      </c>
      <c r="J292" t="n">
        <v>0</v>
      </c>
      <c r="K292" t="n">
        <v>0</v>
      </c>
      <c r="L292" t="n">
        <v>0</v>
      </c>
      <c r="M292" t="n">
        <v>0</v>
      </c>
      <c r="N292" t="n">
        <v>0</v>
      </c>
      <c r="O292" t="n">
        <v>0</v>
      </c>
      <c r="P292" t="n">
        <v>0</v>
      </c>
      <c r="Q292" t="n">
        <v>0</v>
      </c>
      <c r="R292" s="2" t="inlineStr"/>
    </row>
    <row r="293" ht="15" customHeight="1">
      <c r="A293" t="inlineStr">
        <is>
          <t>A 51850-2021</t>
        </is>
      </c>
      <c r="B293" s="1" t="n">
        <v>44462</v>
      </c>
      <c r="C293" s="1" t="n">
        <v>45837</v>
      </c>
      <c r="D293" t="inlineStr">
        <is>
          <t>DALARNAS LÄN</t>
        </is>
      </c>
      <c r="E293" t="inlineStr">
        <is>
          <t>MORA</t>
        </is>
      </c>
      <c r="F293" t="inlineStr">
        <is>
          <t>Bergvik skog väst AB</t>
        </is>
      </c>
      <c r="G293" t="n">
        <v>6.1</v>
      </c>
      <c r="H293" t="n">
        <v>0</v>
      </c>
      <c r="I293" t="n">
        <v>0</v>
      </c>
      <c r="J293" t="n">
        <v>0</v>
      </c>
      <c r="K293" t="n">
        <v>0</v>
      </c>
      <c r="L293" t="n">
        <v>0</v>
      </c>
      <c r="M293" t="n">
        <v>0</v>
      </c>
      <c r="N293" t="n">
        <v>0</v>
      </c>
      <c r="O293" t="n">
        <v>0</v>
      </c>
      <c r="P293" t="n">
        <v>0</v>
      </c>
      <c r="Q293" t="n">
        <v>0</v>
      </c>
      <c r="R293" s="2" t="inlineStr"/>
    </row>
    <row r="294" ht="15" customHeight="1">
      <c r="A294" t="inlineStr">
        <is>
          <t>A 52573-2021</t>
        </is>
      </c>
      <c r="B294" s="1" t="n">
        <v>44466</v>
      </c>
      <c r="C294" s="1" t="n">
        <v>45837</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54239-2021</t>
        </is>
      </c>
      <c r="B295" s="1" t="n">
        <v>44470</v>
      </c>
      <c r="C295" s="1" t="n">
        <v>45837</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54398-2021</t>
        </is>
      </c>
      <c r="B296" s="1" t="n">
        <v>44473</v>
      </c>
      <c r="C296" s="1" t="n">
        <v>45837</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54409-2021</t>
        </is>
      </c>
      <c r="B297" s="1" t="n">
        <v>44473</v>
      </c>
      <c r="C297" s="1" t="n">
        <v>45837</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56501-2021</t>
        </is>
      </c>
      <c r="B298" s="1" t="n">
        <v>44480</v>
      </c>
      <c r="C298" s="1" t="n">
        <v>45837</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57091-2021</t>
        </is>
      </c>
      <c r="B299" s="1" t="n">
        <v>44482</v>
      </c>
      <c r="C299" s="1" t="n">
        <v>45837</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57088-2021</t>
        </is>
      </c>
      <c r="B300" s="1" t="n">
        <v>44482</v>
      </c>
      <c r="C300" s="1" t="n">
        <v>45837</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57110-2021</t>
        </is>
      </c>
      <c r="B301" s="1" t="n">
        <v>44482</v>
      </c>
      <c r="C301" s="1" t="n">
        <v>45837</v>
      </c>
      <c r="D301" t="inlineStr">
        <is>
          <t>DALARNAS LÄN</t>
        </is>
      </c>
      <c r="E301" t="inlineStr">
        <is>
          <t>MORA</t>
        </is>
      </c>
      <c r="G301" t="n">
        <v>5.4</v>
      </c>
      <c r="H301" t="n">
        <v>0</v>
      </c>
      <c r="I301" t="n">
        <v>0</v>
      </c>
      <c r="J301" t="n">
        <v>0</v>
      </c>
      <c r="K301" t="n">
        <v>0</v>
      </c>
      <c r="L301" t="n">
        <v>0</v>
      </c>
      <c r="M301" t="n">
        <v>0</v>
      </c>
      <c r="N301" t="n">
        <v>0</v>
      </c>
      <c r="O301" t="n">
        <v>0</v>
      </c>
      <c r="P301" t="n">
        <v>0</v>
      </c>
      <c r="Q301" t="n">
        <v>0</v>
      </c>
      <c r="R301" s="2" t="inlineStr"/>
    </row>
    <row r="302" ht="15" customHeight="1">
      <c r="A302" t="inlineStr">
        <is>
          <t>A 57608-2021</t>
        </is>
      </c>
      <c r="B302" s="1" t="n">
        <v>44484</v>
      </c>
      <c r="C302" s="1" t="n">
        <v>45837</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58057-2021</t>
        </is>
      </c>
      <c r="B303" s="1" t="n">
        <v>44487</v>
      </c>
      <c r="C303" s="1" t="n">
        <v>45837</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58413-2021</t>
        </is>
      </c>
      <c r="B304" s="1" t="n">
        <v>44488</v>
      </c>
      <c r="C304" s="1" t="n">
        <v>45837</v>
      </c>
      <c r="D304" t="inlineStr">
        <is>
          <t>DALARNAS LÄN</t>
        </is>
      </c>
      <c r="E304" t="inlineStr">
        <is>
          <t>MORA</t>
        </is>
      </c>
      <c r="F304" t="inlineStr">
        <is>
          <t>Bergvik skog öst AB</t>
        </is>
      </c>
      <c r="G304" t="n">
        <v>5.3</v>
      </c>
      <c r="H304" t="n">
        <v>0</v>
      </c>
      <c r="I304" t="n">
        <v>0</v>
      </c>
      <c r="J304" t="n">
        <v>0</v>
      </c>
      <c r="K304" t="n">
        <v>0</v>
      </c>
      <c r="L304" t="n">
        <v>0</v>
      </c>
      <c r="M304" t="n">
        <v>0</v>
      </c>
      <c r="N304" t="n">
        <v>0</v>
      </c>
      <c r="O304" t="n">
        <v>0</v>
      </c>
      <c r="P304" t="n">
        <v>0</v>
      </c>
      <c r="Q304" t="n">
        <v>0</v>
      </c>
      <c r="R304" s="2" t="inlineStr"/>
    </row>
    <row r="305" ht="15" customHeight="1">
      <c r="A305" t="inlineStr">
        <is>
          <t>A 60150-2021</t>
        </is>
      </c>
      <c r="B305" s="1" t="n">
        <v>44488</v>
      </c>
      <c r="C305" s="1" t="n">
        <v>45837</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58690-2021</t>
        </is>
      </c>
      <c r="B306" s="1" t="n">
        <v>44489</v>
      </c>
      <c r="C306" s="1" t="n">
        <v>45837</v>
      </c>
      <c r="D306" t="inlineStr">
        <is>
          <t>DALARNAS LÄN</t>
        </is>
      </c>
      <c r="E306" t="inlineStr">
        <is>
          <t>MORA</t>
        </is>
      </c>
      <c r="F306" t="inlineStr">
        <is>
          <t>Bergvik skog öst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58961-2021</t>
        </is>
      </c>
      <c r="B307" s="1" t="n">
        <v>44490</v>
      </c>
      <c r="C307" s="1" t="n">
        <v>45837</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59899-2021</t>
        </is>
      </c>
      <c r="B308" s="1" t="n">
        <v>44494</v>
      </c>
      <c r="C308" s="1" t="n">
        <v>45837</v>
      </c>
      <c r="D308" t="inlineStr">
        <is>
          <t>DALARNAS LÄN</t>
        </is>
      </c>
      <c r="E308" t="inlineStr">
        <is>
          <t>MORA</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60847-2021</t>
        </is>
      </c>
      <c r="B309" s="1" t="n">
        <v>44497</v>
      </c>
      <c r="C309" s="1" t="n">
        <v>45837</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63089-2021</t>
        </is>
      </c>
      <c r="B310" s="1" t="n">
        <v>44505</v>
      </c>
      <c r="C310" s="1" t="n">
        <v>45837</v>
      </c>
      <c r="D310" t="inlineStr">
        <is>
          <t>DALARNAS LÄN</t>
        </is>
      </c>
      <c r="E310" t="inlineStr">
        <is>
          <t>MORA</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63088-2021</t>
        </is>
      </c>
      <c r="B311" s="1" t="n">
        <v>44505</v>
      </c>
      <c r="C311" s="1" t="n">
        <v>45837</v>
      </c>
      <c r="D311" t="inlineStr">
        <is>
          <t>DALARNAS LÄN</t>
        </is>
      </c>
      <c r="E311" t="inlineStr">
        <is>
          <t>MORA</t>
        </is>
      </c>
      <c r="F311" t="inlineStr">
        <is>
          <t>Bergvik skog väst AB</t>
        </is>
      </c>
      <c r="G311" t="n">
        <v>6.8</v>
      </c>
      <c r="H311" t="n">
        <v>0</v>
      </c>
      <c r="I311" t="n">
        <v>0</v>
      </c>
      <c r="J311" t="n">
        <v>0</v>
      </c>
      <c r="K311" t="n">
        <v>0</v>
      </c>
      <c r="L311" t="n">
        <v>0</v>
      </c>
      <c r="M311" t="n">
        <v>0</v>
      </c>
      <c r="N311" t="n">
        <v>0</v>
      </c>
      <c r="O311" t="n">
        <v>0</v>
      </c>
      <c r="P311" t="n">
        <v>0</v>
      </c>
      <c r="Q311" t="n">
        <v>0</v>
      </c>
      <c r="R311" s="2" t="inlineStr"/>
    </row>
    <row r="312" ht="15" customHeight="1">
      <c r="A312" t="inlineStr">
        <is>
          <t>A 63000-2021</t>
        </is>
      </c>
      <c r="B312" s="1" t="n">
        <v>44505</v>
      </c>
      <c r="C312" s="1" t="n">
        <v>45837</v>
      </c>
      <c r="D312" t="inlineStr">
        <is>
          <t>DALARNAS LÄN</t>
        </is>
      </c>
      <c r="E312" t="inlineStr">
        <is>
          <t>MORA</t>
        </is>
      </c>
      <c r="F312" t="inlineStr">
        <is>
          <t>Bergvik skog väst AB</t>
        </is>
      </c>
      <c r="G312" t="n">
        <v>7.3</v>
      </c>
      <c r="H312" t="n">
        <v>0</v>
      </c>
      <c r="I312" t="n">
        <v>0</v>
      </c>
      <c r="J312" t="n">
        <v>0</v>
      </c>
      <c r="K312" t="n">
        <v>0</v>
      </c>
      <c r="L312" t="n">
        <v>0</v>
      </c>
      <c r="M312" t="n">
        <v>0</v>
      </c>
      <c r="N312" t="n">
        <v>0</v>
      </c>
      <c r="O312" t="n">
        <v>0</v>
      </c>
      <c r="P312" t="n">
        <v>0</v>
      </c>
      <c r="Q312" t="n">
        <v>0</v>
      </c>
      <c r="R312" s="2" t="inlineStr"/>
    </row>
    <row r="313" ht="15" customHeight="1">
      <c r="A313" t="inlineStr">
        <is>
          <t>A 63552-2021</t>
        </is>
      </c>
      <c r="B313" s="1" t="n">
        <v>44508</v>
      </c>
      <c r="C313" s="1" t="n">
        <v>45837</v>
      </c>
      <c r="D313" t="inlineStr">
        <is>
          <t>DALARNAS LÄN</t>
        </is>
      </c>
      <c r="E313" t="inlineStr">
        <is>
          <t>MORA</t>
        </is>
      </c>
      <c r="F313" t="inlineStr">
        <is>
          <t>Bergvik skog väst AB</t>
        </is>
      </c>
      <c r="G313" t="n">
        <v>17.1</v>
      </c>
      <c r="H313" t="n">
        <v>0</v>
      </c>
      <c r="I313" t="n">
        <v>0</v>
      </c>
      <c r="J313" t="n">
        <v>0</v>
      </c>
      <c r="K313" t="n">
        <v>0</v>
      </c>
      <c r="L313" t="n">
        <v>0</v>
      </c>
      <c r="M313" t="n">
        <v>0</v>
      </c>
      <c r="N313" t="n">
        <v>0</v>
      </c>
      <c r="O313" t="n">
        <v>0</v>
      </c>
      <c r="P313" t="n">
        <v>0</v>
      </c>
      <c r="Q313" t="n">
        <v>0</v>
      </c>
      <c r="R313" s="2" t="inlineStr"/>
    </row>
    <row r="314" ht="15" customHeight="1">
      <c r="A314" t="inlineStr">
        <is>
          <t>A 63690-2021</t>
        </is>
      </c>
      <c r="B314" s="1" t="n">
        <v>44509</v>
      </c>
      <c r="C314" s="1" t="n">
        <v>45837</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65262-2021</t>
        </is>
      </c>
      <c r="B315" s="1" t="n">
        <v>44515</v>
      </c>
      <c r="C315" s="1" t="n">
        <v>45837</v>
      </c>
      <c r="D315" t="inlineStr">
        <is>
          <t>DALARNAS LÄN</t>
        </is>
      </c>
      <c r="E315" t="inlineStr">
        <is>
          <t>MORA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65186-2021</t>
        </is>
      </c>
      <c r="B316" s="1" t="n">
        <v>44515</v>
      </c>
      <c r="C316" s="1" t="n">
        <v>45837</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65258-2021</t>
        </is>
      </c>
      <c r="B317" s="1" t="n">
        <v>44515</v>
      </c>
      <c r="C317" s="1" t="n">
        <v>45837</v>
      </c>
      <c r="D317" t="inlineStr">
        <is>
          <t>DALARNAS LÄN</t>
        </is>
      </c>
      <c r="E317" t="inlineStr">
        <is>
          <t>MORA</t>
        </is>
      </c>
      <c r="F317" t="inlineStr">
        <is>
          <t>Bergvik skog väst AB</t>
        </is>
      </c>
      <c r="G317" t="n">
        <v>8.4</v>
      </c>
      <c r="H317" t="n">
        <v>0</v>
      </c>
      <c r="I317" t="n">
        <v>0</v>
      </c>
      <c r="J317" t="n">
        <v>0</v>
      </c>
      <c r="K317" t="n">
        <v>0</v>
      </c>
      <c r="L317" t="n">
        <v>0</v>
      </c>
      <c r="M317" t="n">
        <v>0</v>
      </c>
      <c r="N317" t="n">
        <v>0</v>
      </c>
      <c r="O317" t="n">
        <v>0</v>
      </c>
      <c r="P317" t="n">
        <v>0</v>
      </c>
      <c r="Q317" t="n">
        <v>0</v>
      </c>
      <c r="R317" s="2" t="inlineStr"/>
    </row>
    <row r="318" ht="15" customHeight="1">
      <c r="A318" t="inlineStr">
        <is>
          <t>A 65253-2021</t>
        </is>
      </c>
      <c r="B318" s="1" t="n">
        <v>44515</v>
      </c>
      <c r="C318" s="1" t="n">
        <v>45837</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65527-2021</t>
        </is>
      </c>
      <c r="B319" s="1" t="n">
        <v>44516</v>
      </c>
      <c r="C319" s="1" t="n">
        <v>45837</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65727-2021</t>
        </is>
      </c>
      <c r="B320" s="1" t="n">
        <v>44516</v>
      </c>
      <c r="C320" s="1" t="n">
        <v>45837</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66157-2021</t>
        </is>
      </c>
      <c r="B321" s="1" t="n">
        <v>44517</v>
      </c>
      <c r="C321" s="1" t="n">
        <v>45837</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66158-2021</t>
        </is>
      </c>
      <c r="B322" s="1" t="n">
        <v>44517</v>
      </c>
      <c r="C322" s="1" t="n">
        <v>45837</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66232-2021</t>
        </is>
      </c>
      <c r="B323" s="1" t="n">
        <v>44518</v>
      </c>
      <c r="C323" s="1" t="n">
        <v>45837</v>
      </c>
      <c r="D323" t="inlineStr">
        <is>
          <t>DALARNAS LÄN</t>
        </is>
      </c>
      <c r="E323" t="inlineStr">
        <is>
          <t>MORA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66639-2021</t>
        </is>
      </c>
      <c r="B324" s="1" t="n">
        <v>44519</v>
      </c>
      <c r="C324" s="1" t="n">
        <v>45837</v>
      </c>
      <c r="D324" t="inlineStr">
        <is>
          <t>DALARNAS LÄN</t>
        </is>
      </c>
      <c r="E324" t="inlineStr">
        <is>
          <t>MORA</t>
        </is>
      </c>
      <c r="G324" t="n">
        <v>10</v>
      </c>
      <c r="H324" t="n">
        <v>0</v>
      </c>
      <c r="I324" t="n">
        <v>0</v>
      </c>
      <c r="J324" t="n">
        <v>0</v>
      </c>
      <c r="K324" t="n">
        <v>0</v>
      </c>
      <c r="L324" t="n">
        <v>0</v>
      </c>
      <c r="M324" t="n">
        <v>0</v>
      </c>
      <c r="N324" t="n">
        <v>0</v>
      </c>
      <c r="O324" t="n">
        <v>0</v>
      </c>
      <c r="P324" t="n">
        <v>0</v>
      </c>
      <c r="Q324" t="n">
        <v>0</v>
      </c>
      <c r="R324" s="2" t="inlineStr"/>
    </row>
    <row r="325" ht="15" customHeight="1">
      <c r="A325" t="inlineStr">
        <is>
          <t>A 67045-2021</t>
        </is>
      </c>
      <c r="B325" s="1" t="n">
        <v>44522</v>
      </c>
      <c r="C325" s="1" t="n">
        <v>45837</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67125-2021</t>
        </is>
      </c>
      <c r="B326" s="1" t="n">
        <v>44523</v>
      </c>
      <c r="C326" s="1" t="n">
        <v>45837</v>
      </c>
      <c r="D326" t="inlineStr">
        <is>
          <t>DALARNAS LÄN</t>
        </is>
      </c>
      <c r="E326" t="inlineStr">
        <is>
          <t>MORA</t>
        </is>
      </c>
      <c r="G326" t="n">
        <v>2.9</v>
      </c>
      <c r="H326" t="n">
        <v>0</v>
      </c>
      <c r="I326" t="n">
        <v>0</v>
      </c>
      <c r="J326" t="n">
        <v>0</v>
      </c>
      <c r="K326" t="n">
        <v>0</v>
      </c>
      <c r="L326" t="n">
        <v>0</v>
      </c>
      <c r="M326" t="n">
        <v>0</v>
      </c>
      <c r="N326" t="n">
        <v>0</v>
      </c>
      <c r="O326" t="n">
        <v>0</v>
      </c>
      <c r="P326" t="n">
        <v>0</v>
      </c>
      <c r="Q326" t="n">
        <v>0</v>
      </c>
      <c r="R326" s="2" t="inlineStr"/>
    </row>
    <row r="327" ht="15" customHeight="1">
      <c r="A327" t="inlineStr">
        <is>
          <t>A 67316-2021</t>
        </is>
      </c>
      <c r="B327" s="1" t="n">
        <v>44523</v>
      </c>
      <c r="C327" s="1" t="n">
        <v>45837</v>
      </c>
      <c r="D327" t="inlineStr">
        <is>
          <t>DALARNAS LÄN</t>
        </is>
      </c>
      <c r="E327" t="inlineStr">
        <is>
          <t>MORA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67318-2021</t>
        </is>
      </c>
      <c r="B328" s="1" t="n">
        <v>44523</v>
      </c>
      <c r="C328" s="1" t="n">
        <v>45837</v>
      </c>
      <c r="D328" t="inlineStr">
        <is>
          <t>DALARNAS LÄN</t>
        </is>
      </c>
      <c r="E328" t="inlineStr">
        <is>
          <t>MORA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67932-2021</t>
        </is>
      </c>
      <c r="B329" s="1" t="n">
        <v>44525</v>
      </c>
      <c r="C329" s="1" t="n">
        <v>45837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68415-2021</t>
        </is>
      </c>
      <c r="B330" s="1" t="n">
        <v>44529</v>
      </c>
      <c r="C330" s="1" t="n">
        <v>45837</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68966-2021</t>
        </is>
      </c>
      <c r="B331" s="1" t="n">
        <v>44530</v>
      </c>
      <c r="C331" s="1" t="n">
        <v>45837</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69483-2021</t>
        </is>
      </c>
      <c r="B332" s="1" t="n">
        <v>44531</v>
      </c>
      <c r="C332" s="1" t="n">
        <v>45837</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70065-2021</t>
        </is>
      </c>
      <c r="B333" s="1" t="n">
        <v>44533</v>
      </c>
      <c r="C333" s="1" t="n">
        <v>45837</v>
      </c>
      <c r="D333" t="inlineStr">
        <is>
          <t>DALARNAS LÄN</t>
        </is>
      </c>
      <c r="E333" t="inlineStr">
        <is>
          <t>MORA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70141-2021</t>
        </is>
      </c>
      <c r="B334" s="1" t="n">
        <v>44533</v>
      </c>
      <c r="C334" s="1" t="n">
        <v>45837</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71702-2021</t>
        </is>
      </c>
      <c r="B335" s="1" t="n">
        <v>44543</v>
      </c>
      <c r="C335" s="1" t="n">
        <v>45837</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72333-2021</t>
        </is>
      </c>
      <c r="B336" s="1" t="n">
        <v>44545</v>
      </c>
      <c r="C336" s="1" t="n">
        <v>45837</v>
      </c>
      <c r="D336" t="inlineStr">
        <is>
          <t>DALARNAS LÄN</t>
        </is>
      </c>
      <c r="E336" t="inlineStr">
        <is>
          <t>MORA</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72439-2021</t>
        </is>
      </c>
      <c r="B337" s="1" t="n">
        <v>44545</v>
      </c>
      <c r="C337" s="1" t="n">
        <v>45837</v>
      </c>
      <c r="D337" t="inlineStr">
        <is>
          <t>DALARNAS LÄN</t>
        </is>
      </c>
      <c r="E337" t="inlineStr">
        <is>
          <t>MORA</t>
        </is>
      </c>
      <c r="F337" t="inlineStr">
        <is>
          <t>Allmännings- och besparingsskogar</t>
        </is>
      </c>
      <c r="G337" t="n">
        <v>8.5</v>
      </c>
      <c r="H337" t="n">
        <v>0</v>
      </c>
      <c r="I337" t="n">
        <v>0</v>
      </c>
      <c r="J337" t="n">
        <v>0</v>
      </c>
      <c r="K337" t="n">
        <v>0</v>
      </c>
      <c r="L337" t="n">
        <v>0</v>
      </c>
      <c r="M337" t="n">
        <v>0</v>
      </c>
      <c r="N337" t="n">
        <v>0</v>
      </c>
      <c r="O337" t="n">
        <v>0</v>
      </c>
      <c r="P337" t="n">
        <v>0</v>
      </c>
      <c r="Q337" t="n">
        <v>0</v>
      </c>
      <c r="R337" s="2" t="inlineStr"/>
    </row>
    <row r="338" ht="15" customHeight="1">
      <c r="A338" t="inlineStr">
        <is>
          <t>A 72780-2021</t>
        </is>
      </c>
      <c r="B338" s="1" t="n">
        <v>44545</v>
      </c>
      <c r="C338" s="1" t="n">
        <v>45837</v>
      </c>
      <c r="D338" t="inlineStr">
        <is>
          <t>DALARNAS LÄN</t>
        </is>
      </c>
      <c r="E338" t="inlineStr">
        <is>
          <t>MORA</t>
        </is>
      </c>
      <c r="F338" t="inlineStr">
        <is>
          <t>Allmännings- och besparingsskogar</t>
        </is>
      </c>
      <c r="G338" t="n">
        <v>1</v>
      </c>
      <c r="H338" t="n">
        <v>0</v>
      </c>
      <c r="I338" t="n">
        <v>0</v>
      </c>
      <c r="J338" t="n">
        <v>0</v>
      </c>
      <c r="K338" t="n">
        <v>0</v>
      </c>
      <c r="L338" t="n">
        <v>0</v>
      </c>
      <c r="M338" t="n">
        <v>0</v>
      </c>
      <c r="N338" t="n">
        <v>0</v>
      </c>
      <c r="O338" t="n">
        <v>0</v>
      </c>
      <c r="P338" t="n">
        <v>0</v>
      </c>
      <c r="Q338" t="n">
        <v>0</v>
      </c>
      <c r="R338" s="2" t="inlineStr"/>
    </row>
    <row r="339" ht="15" customHeight="1">
      <c r="A339" t="inlineStr">
        <is>
          <t>A 72659-2021</t>
        </is>
      </c>
      <c r="B339" s="1" t="n">
        <v>44546</v>
      </c>
      <c r="C339" s="1" t="n">
        <v>45837</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72648-2021</t>
        </is>
      </c>
      <c r="B340" s="1" t="n">
        <v>44546</v>
      </c>
      <c r="C340" s="1" t="n">
        <v>45837</v>
      </c>
      <c r="D340" t="inlineStr">
        <is>
          <t>DALARNAS LÄN</t>
        </is>
      </c>
      <c r="E340" t="inlineStr">
        <is>
          <t>MORA</t>
        </is>
      </c>
      <c r="G340" t="n">
        <v>0.2</v>
      </c>
      <c r="H340" t="n">
        <v>0</v>
      </c>
      <c r="I340" t="n">
        <v>0</v>
      </c>
      <c r="J340" t="n">
        <v>0</v>
      </c>
      <c r="K340" t="n">
        <v>0</v>
      </c>
      <c r="L340" t="n">
        <v>0</v>
      </c>
      <c r="M340" t="n">
        <v>0</v>
      </c>
      <c r="N340" t="n">
        <v>0</v>
      </c>
      <c r="O340" t="n">
        <v>0</v>
      </c>
      <c r="P340" t="n">
        <v>0</v>
      </c>
      <c r="Q340" t="n">
        <v>0</v>
      </c>
      <c r="R340" s="2" t="inlineStr"/>
    </row>
    <row r="341" ht="15" customHeight="1">
      <c r="A341" t="inlineStr">
        <is>
          <t>A 72915-2021</t>
        </is>
      </c>
      <c r="B341" s="1" t="n">
        <v>44547</v>
      </c>
      <c r="C341" s="1" t="n">
        <v>45837</v>
      </c>
      <c r="D341" t="inlineStr">
        <is>
          <t>DALARNAS LÄN</t>
        </is>
      </c>
      <c r="E341" t="inlineStr">
        <is>
          <t>MORA</t>
        </is>
      </c>
      <c r="F341" t="inlineStr">
        <is>
          <t>Allmännings- och besparingsskogar</t>
        </is>
      </c>
      <c r="G341" t="n">
        <v>38.5</v>
      </c>
      <c r="H341" t="n">
        <v>0</v>
      </c>
      <c r="I341" t="n">
        <v>0</v>
      </c>
      <c r="J341" t="n">
        <v>0</v>
      </c>
      <c r="K341" t="n">
        <v>0</v>
      </c>
      <c r="L341" t="n">
        <v>0</v>
      </c>
      <c r="M341" t="n">
        <v>0</v>
      </c>
      <c r="N341" t="n">
        <v>0</v>
      </c>
      <c r="O341" t="n">
        <v>0</v>
      </c>
      <c r="P341" t="n">
        <v>0</v>
      </c>
      <c r="Q341" t="n">
        <v>0</v>
      </c>
      <c r="R341" s="2" t="inlineStr"/>
    </row>
    <row r="342" ht="15" customHeight="1">
      <c r="A342" t="inlineStr">
        <is>
          <t>A 73930-2021</t>
        </is>
      </c>
      <c r="B342" s="1" t="n">
        <v>44553</v>
      </c>
      <c r="C342" s="1" t="n">
        <v>45837</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111-2022</t>
        </is>
      </c>
      <c r="B343" s="1" t="n">
        <v>44564</v>
      </c>
      <c r="C343" s="1" t="n">
        <v>45837</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2277-2022</t>
        </is>
      </c>
      <c r="B344" s="1" t="n">
        <v>44578</v>
      </c>
      <c r="C344" s="1" t="n">
        <v>45837</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2247-2022</t>
        </is>
      </c>
      <c r="B345" s="1" t="n">
        <v>44578</v>
      </c>
      <c r="C345" s="1" t="n">
        <v>45837</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2865-2022</t>
        </is>
      </c>
      <c r="B346" s="1" t="n">
        <v>44581</v>
      </c>
      <c r="C346" s="1" t="n">
        <v>45837</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2879-2022</t>
        </is>
      </c>
      <c r="B347" s="1" t="n">
        <v>44581</v>
      </c>
      <c r="C347" s="1" t="n">
        <v>45837</v>
      </c>
      <c r="D347" t="inlineStr">
        <is>
          <t>DALARNAS LÄN</t>
        </is>
      </c>
      <c r="E347" t="inlineStr">
        <is>
          <t>MORA</t>
        </is>
      </c>
      <c r="G347" t="n">
        <v>2.3</v>
      </c>
      <c r="H347" t="n">
        <v>0</v>
      </c>
      <c r="I347" t="n">
        <v>0</v>
      </c>
      <c r="J347" t="n">
        <v>0</v>
      </c>
      <c r="K347" t="n">
        <v>0</v>
      </c>
      <c r="L347" t="n">
        <v>0</v>
      </c>
      <c r="M347" t="n">
        <v>0</v>
      </c>
      <c r="N347" t="n">
        <v>0</v>
      </c>
      <c r="O347" t="n">
        <v>0</v>
      </c>
      <c r="P347" t="n">
        <v>0</v>
      </c>
      <c r="Q347" t="n">
        <v>0</v>
      </c>
      <c r="R347" s="2" t="inlineStr"/>
    </row>
    <row r="348" ht="15" customHeight="1">
      <c r="A348" t="inlineStr">
        <is>
          <t>A 4489-2022</t>
        </is>
      </c>
      <c r="B348" s="1" t="n">
        <v>44589</v>
      </c>
      <c r="C348" s="1" t="n">
        <v>45837</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4488-2022</t>
        </is>
      </c>
      <c r="B349" s="1" t="n">
        <v>44589</v>
      </c>
      <c r="C349" s="1" t="n">
        <v>45837</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6371-2022</t>
        </is>
      </c>
      <c r="B350" s="1" t="n">
        <v>44600</v>
      </c>
      <c r="C350" s="1" t="n">
        <v>45837</v>
      </c>
      <c r="D350" t="inlineStr">
        <is>
          <t>DALARNAS LÄN</t>
        </is>
      </c>
      <c r="E350" t="inlineStr">
        <is>
          <t>MORA</t>
        </is>
      </c>
      <c r="G350" t="n">
        <v>4.6</v>
      </c>
      <c r="H350" t="n">
        <v>0</v>
      </c>
      <c r="I350" t="n">
        <v>0</v>
      </c>
      <c r="J350" t="n">
        <v>0</v>
      </c>
      <c r="K350" t="n">
        <v>0</v>
      </c>
      <c r="L350" t="n">
        <v>0</v>
      </c>
      <c r="M350" t="n">
        <v>0</v>
      </c>
      <c r="N350" t="n">
        <v>0</v>
      </c>
      <c r="O350" t="n">
        <v>0</v>
      </c>
      <c r="P350" t="n">
        <v>0</v>
      </c>
      <c r="Q350" t="n">
        <v>0</v>
      </c>
      <c r="R350" s="2" t="inlineStr"/>
    </row>
    <row r="351" ht="15" customHeight="1">
      <c r="A351" t="inlineStr">
        <is>
          <t>A 6574-2022</t>
        </is>
      </c>
      <c r="B351" s="1" t="n">
        <v>44601</v>
      </c>
      <c r="C351" s="1" t="n">
        <v>45837</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6572-2022</t>
        </is>
      </c>
      <c r="B352" s="1" t="n">
        <v>44601</v>
      </c>
      <c r="C352" s="1" t="n">
        <v>45837</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8051-2022</t>
        </is>
      </c>
      <c r="B353" s="1" t="n">
        <v>44608</v>
      </c>
      <c r="C353" s="1" t="n">
        <v>45837</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8138-2022</t>
        </is>
      </c>
      <c r="B354" s="1" t="n">
        <v>44609</v>
      </c>
      <c r="C354" s="1" t="n">
        <v>45837</v>
      </c>
      <c r="D354" t="inlineStr">
        <is>
          <t>DALARNAS LÄN</t>
        </is>
      </c>
      <c r="E354" t="inlineStr">
        <is>
          <t>MORA</t>
        </is>
      </c>
      <c r="G354" t="n">
        <v>5</v>
      </c>
      <c r="H354" t="n">
        <v>0</v>
      </c>
      <c r="I354" t="n">
        <v>0</v>
      </c>
      <c r="J354" t="n">
        <v>0</v>
      </c>
      <c r="K354" t="n">
        <v>0</v>
      </c>
      <c r="L354" t="n">
        <v>0</v>
      </c>
      <c r="M354" t="n">
        <v>0</v>
      </c>
      <c r="N354" t="n">
        <v>0</v>
      </c>
      <c r="O354" t="n">
        <v>0</v>
      </c>
      <c r="P354" t="n">
        <v>0</v>
      </c>
      <c r="Q354" t="n">
        <v>0</v>
      </c>
      <c r="R354" s="2" t="inlineStr"/>
    </row>
    <row r="355" ht="15" customHeight="1">
      <c r="A355" t="inlineStr">
        <is>
          <t>A 8145-2022</t>
        </is>
      </c>
      <c r="B355" s="1" t="n">
        <v>44609</v>
      </c>
      <c r="C355" s="1" t="n">
        <v>45837</v>
      </c>
      <c r="D355" t="inlineStr">
        <is>
          <t>DALARNAS LÄN</t>
        </is>
      </c>
      <c r="E355" t="inlineStr">
        <is>
          <t>MORA</t>
        </is>
      </c>
      <c r="G355" t="n">
        <v>7.3</v>
      </c>
      <c r="H355" t="n">
        <v>0</v>
      </c>
      <c r="I355" t="n">
        <v>0</v>
      </c>
      <c r="J355" t="n">
        <v>0</v>
      </c>
      <c r="K355" t="n">
        <v>0</v>
      </c>
      <c r="L355" t="n">
        <v>0</v>
      </c>
      <c r="M355" t="n">
        <v>0</v>
      </c>
      <c r="N355" t="n">
        <v>0</v>
      </c>
      <c r="O355" t="n">
        <v>0</v>
      </c>
      <c r="P355" t="n">
        <v>0</v>
      </c>
      <c r="Q355" t="n">
        <v>0</v>
      </c>
      <c r="R355" s="2" t="inlineStr"/>
    </row>
    <row r="356" ht="15" customHeight="1">
      <c r="A356" t="inlineStr">
        <is>
          <t>A 8546-2022</t>
        </is>
      </c>
      <c r="B356" s="1" t="n">
        <v>44613</v>
      </c>
      <c r="C356" s="1" t="n">
        <v>45837</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9034-2022</t>
        </is>
      </c>
      <c r="B357" s="1" t="n">
        <v>44615</v>
      </c>
      <c r="C357" s="1" t="n">
        <v>45837</v>
      </c>
      <c r="D357" t="inlineStr">
        <is>
          <t>DALARNAS LÄN</t>
        </is>
      </c>
      <c r="E357" t="inlineStr">
        <is>
          <t>MORA</t>
        </is>
      </c>
      <c r="G357" t="n">
        <v>3.5</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v>
      </c>
      <c r="C358" s="1" t="n">
        <v>45837</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9843-2022</t>
        </is>
      </c>
      <c r="B359" s="1" t="n">
        <v>44620</v>
      </c>
      <c r="C359" s="1" t="n">
        <v>45837</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11337-2022</t>
        </is>
      </c>
      <c r="B360" s="1" t="n">
        <v>44630</v>
      </c>
      <c r="C360" s="1" t="n">
        <v>45837</v>
      </c>
      <c r="D360" t="inlineStr">
        <is>
          <t>DALARNAS LÄN</t>
        </is>
      </c>
      <c r="E360" t="inlineStr">
        <is>
          <t>MORA</t>
        </is>
      </c>
      <c r="G360" t="n">
        <v>6.6</v>
      </c>
      <c r="H360" t="n">
        <v>0</v>
      </c>
      <c r="I360" t="n">
        <v>0</v>
      </c>
      <c r="J360" t="n">
        <v>0</v>
      </c>
      <c r="K360" t="n">
        <v>0</v>
      </c>
      <c r="L360" t="n">
        <v>0</v>
      </c>
      <c r="M360" t="n">
        <v>0</v>
      </c>
      <c r="N360" t="n">
        <v>0</v>
      </c>
      <c r="O360" t="n">
        <v>0</v>
      </c>
      <c r="P360" t="n">
        <v>0</v>
      </c>
      <c r="Q360" t="n">
        <v>0</v>
      </c>
      <c r="R360" s="2" t="inlineStr"/>
    </row>
    <row r="361" ht="15" customHeight="1">
      <c r="A361" t="inlineStr">
        <is>
          <t>A 11442-2022</t>
        </is>
      </c>
      <c r="B361" s="1" t="n">
        <v>44630</v>
      </c>
      <c r="C361" s="1" t="n">
        <v>45837</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12096-2022</t>
        </is>
      </c>
      <c r="B362" s="1" t="n">
        <v>44636</v>
      </c>
      <c r="C362" s="1" t="n">
        <v>45837</v>
      </c>
      <c r="D362" t="inlineStr">
        <is>
          <t>DALARNAS LÄN</t>
        </is>
      </c>
      <c r="E362" t="inlineStr">
        <is>
          <t>MORA</t>
        </is>
      </c>
      <c r="G362" t="n">
        <v>9</v>
      </c>
      <c r="H362" t="n">
        <v>0</v>
      </c>
      <c r="I362" t="n">
        <v>0</v>
      </c>
      <c r="J362" t="n">
        <v>0</v>
      </c>
      <c r="K362" t="n">
        <v>0</v>
      </c>
      <c r="L362" t="n">
        <v>0</v>
      </c>
      <c r="M362" t="n">
        <v>0</v>
      </c>
      <c r="N362" t="n">
        <v>0</v>
      </c>
      <c r="O362" t="n">
        <v>0</v>
      </c>
      <c r="P362" t="n">
        <v>0</v>
      </c>
      <c r="Q362" t="n">
        <v>0</v>
      </c>
      <c r="R362" s="2" t="inlineStr"/>
    </row>
    <row r="363" ht="15" customHeight="1">
      <c r="A363" t="inlineStr">
        <is>
          <t>A 12920-2022</t>
        </is>
      </c>
      <c r="B363" s="1" t="n">
        <v>44642</v>
      </c>
      <c r="C363" s="1" t="n">
        <v>45837</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13262-2022</t>
        </is>
      </c>
      <c r="B364" s="1" t="n">
        <v>44644</v>
      </c>
      <c r="C364" s="1" t="n">
        <v>45837</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13350-2022</t>
        </is>
      </c>
      <c r="B365" s="1" t="n">
        <v>44645</v>
      </c>
      <c r="C365" s="1" t="n">
        <v>45837</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14738-2022</t>
        </is>
      </c>
      <c r="B366" s="1" t="n">
        <v>44656</v>
      </c>
      <c r="C366" s="1" t="n">
        <v>45837</v>
      </c>
      <c r="D366" t="inlineStr">
        <is>
          <t>DALARNAS LÄN</t>
        </is>
      </c>
      <c r="E366" t="inlineStr">
        <is>
          <t>MORA</t>
        </is>
      </c>
      <c r="G366" t="n">
        <v>5.6</v>
      </c>
      <c r="H366" t="n">
        <v>0</v>
      </c>
      <c r="I366" t="n">
        <v>0</v>
      </c>
      <c r="J366" t="n">
        <v>0</v>
      </c>
      <c r="K366" t="n">
        <v>0</v>
      </c>
      <c r="L366" t="n">
        <v>0</v>
      </c>
      <c r="M366" t="n">
        <v>0</v>
      </c>
      <c r="N366" t="n">
        <v>0</v>
      </c>
      <c r="O366" t="n">
        <v>0</v>
      </c>
      <c r="P366" t="n">
        <v>0</v>
      </c>
      <c r="Q366" t="n">
        <v>0</v>
      </c>
      <c r="R366" s="2" t="inlineStr"/>
    </row>
    <row r="367" ht="15" customHeight="1">
      <c r="A367" t="inlineStr">
        <is>
          <t>A 14744-2022</t>
        </is>
      </c>
      <c r="B367" s="1" t="n">
        <v>44656</v>
      </c>
      <c r="C367" s="1" t="n">
        <v>45837</v>
      </c>
      <c r="D367" t="inlineStr">
        <is>
          <t>DALARNAS LÄN</t>
        </is>
      </c>
      <c r="E367" t="inlineStr">
        <is>
          <t>MORA</t>
        </is>
      </c>
      <c r="G367" t="n">
        <v>1.9</v>
      </c>
      <c r="H367" t="n">
        <v>0</v>
      </c>
      <c r="I367" t="n">
        <v>0</v>
      </c>
      <c r="J367" t="n">
        <v>0</v>
      </c>
      <c r="K367" t="n">
        <v>0</v>
      </c>
      <c r="L367" t="n">
        <v>0</v>
      </c>
      <c r="M367" t="n">
        <v>0</v>
      </c>
      <c r="N367" t="n">
        <v>0</v>
      </c>
      <c r="O367" t="n">
        <v>0</v>
      </c>
      <c r="P367" t="n">
        <v>0</v>
      </c>
      <c r="Q367" t="n">
        <v>0</v>
      </c>
      <c r="R367" s="2" t="inlineStr"/>
    </row>
    <row r="368" ht="15" customHeight="1">
      <c r="A368" t="inlineStr">
        <is>
          <t>A 15128-2022</t>
        </is>
      </c>
      <c r="B368" s="1" t="n">
        <v>44658</v>
      </c>
      <c r="C368" s="1" t="n">
        <v>45837</v>
      </c>
      <c r="D368" t="inlineStr">
        <is>
          <t>DALARNAS LÄN</t>
        </is>
      </c>
      <c r="E368" t="inlineStr">
        <is>
          <t>MORA</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15127-2022</t>
        </is>
      </c>
      <c r="B369" s="1" t="n">
        <v>44658</v>
      </c>
      <c r="C369" s="1" t="n">
        <v>45837</v>
      </c>
      <c r="D369" t="inlineStr">
        <is>
          <t>DALARNAS LÄN</t>
        </is>
      </c>
      <c r="E369" t="inlineStr">
        <is>
          <t>MORA</t>
        </is>
      </c>
      <c r="G369" t="n">
        <v>4.9</v>
      </c>
      <c r="H369" t="n">
        <v>0</v>
      </c>
      <c r="I369" t="n">
        <v>0</v>
      </c>
      <c r="J369" t="n">
        <v>0</v>
      </c>
      <c r="K369" t="n">
        <v>0</v>
      </c>
      <c r="L369" t="n">
        <v>0</v>
      </c>
      <c r="M369" t="n">
        <v>0</v>
      </c>
      <c r="N369" t="n">
        <v>0</v>
      </c>
      <c r="O369" t="n">
        <v>0</v>
      </c>
      <c r="P369" t="n">
        <v>0</v>
      </c>
      <c r="Q369" t="n">
        <v>0</v>
      </c>
      <c r="R369" s="2" t="inlineStr"/>
    </row>
    <row r="370" ht="15" customHeight="1">
      <c r="A370" t="inlineStr">
        <is>
          <t>A 15393-2022</t>
        </is>
      </c>
      <c r="B370" s="1" t="n">
        <v>44659</v>
      </c>
      <c r="C370" s="1" t="n">
        <v>45837</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15594-2022</t>
        </is>
      </c>
      <c r="B371" s="1" t="n">
        <v>44662</v>
      </c>
      <c r="C371" s="1" t="n">
        <v>45837</v>
      </c>
      <c r="D371" t="inlineStr">
        <is>
          <t>DALARNAS LÄN</t>
        </is>
      </c>
      <c r="E371" t="inlineStr">
        <is>
          <t>MORA</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16706-2022</t>
        </is>
      </c>
      <c r="B372" s="1" t="n">
        <v>44673</v>
      </c>
      <c r="C372" s="1" t="n">
        <v>45837</v>
      </c>
      <c r="D372" t="inlineStr">
        <is>
          <t>DALARNAS LÄN</t>
        </is>
      </c>
      <c r="E372" t="inlineStr">
        <is>
          <t>MORA</t>
        </is>
      </c>
      <c r="G372" t="n">
        <v>9.1</v>
      </c>
      <c r="H372" t="n">
        <v>0</v>
      </c>
      <c r="I372" t="n">
        <v>0</v>
      </c>
      <c r="J372" t="n">
        <v>0</v>
      </c>
      <c r="K372" t="n">
        <v>0</v>
      </c>
      <c r="L372" t="n">
        <v>0</v>
      </c>
      <c r="M372" t="n">
        <v>0</v>
      </c>
      <c r="N372" t="n">
        <v>0</v>
      </c>
      <c r="O372" t="n">
        <v>0</v>
      </c>
      <c r="P372" t="n">
        <v>0</v>
      </c>
      <c r="Q372" t="n">
        <v>0</v>
      </c>
      <c r="R372" s="2" t="inlineStr"/>
    </row>
    <row r="373" ht="15" customHeight="1">
      <c r="A373" t="inlineStr">
        <is>
          <t>A 16700-2022</t>
        </is>
      </c>
      <c r="B373" s="1" t="n">
        <v>44673</v>
      </c>
      <c r="C373" s="1" t="n">
        <v>45837</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17272-2022</t>
        </is>
      </c>
      <c r="B374" s="1" t="n">
        <v>44678</v>
      </c>
      <c r="C374" s="1" t="n">
        <v>45837</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17622-2022</t>
        </is>
      </c>
      <c r="B375" s="1" t="n">
        <v>44680</v>
      </c>
      <c r="C375" s="1" t="n">
        <v>45837</v>
      </c>
      <c r="D375" t="inlineStr">
        <is>
          <t>DALARNAS LÄN</t>
        </is>
      </c>
      <c r="E375" t="inlineStr">
        <is>
          <t>MORA</t>
        </is>
      </c>
      <c r="G375" t="n">
        <v>1.5</v>
      </c>
      <c r="H375" t="n">
        <v>0</v>
      </c>
      <c r="I375" t="n">
        <v>0</v>
      </c>
      <c r="J375" t="n">
        <v>0</v>
      </c>
      <c r="K375" t="n">
        <v>0</v>
      </c>
      <c r="L375" t="n">
        <v>0</v>
      </c>
      <c r="M375" t="n">
        <v>0</v>
      </c>
      <c r="N375" t="n">
        <v>0</v>
      </c>
      <c r="O375" t="n">
        <v>0</v>
      </c>
      <c r="P375" t="n">
        <v>0</v>
      </c>
      <c r="Q375" t="n">
        <v>0</v>
      </c>
      <c r="R375" s="2" t="inlineStr"/>
    </row>
    <row r="376" ht="15" customHeight="1">
      <c r="A376" t="inlineStr">
        <is>
          <t>A 19372-2022</t>
        </is>
      </c>
      <c r="B376" s="1" t="n">
        <v>44692</v>
      </c>
      <c r="C376" s="1" t="n">
        <v>45837</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19756-2022</t>
        </is>
      </c>
      <c r="B377" s="1" t="n">
        <v>44694</v>
      </c>
      <c r="C377" s="1" t="n">
        <v>45837</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20401-2022</t>
        </is>
      </c>
      <c r="B378" s="1" t="n">
        <v>44699</v>
      </c>
      <c r="C378" s="1" t="n">
        <v>45837</v>
      </c>
      <c r="D378" t="inlineStr">
        <is>
          <t>DALARNAS LÄN</t>
        </is>
      </c>
      <c r="E378" t="inlineStr">
        <is>
          <t>MORA</t>
        </is>
      </c>
      <c r="G378" t="n">
        <v>3.2</v>
      </c>
      <c r="H378" t="n">
        <v>0</v>
      </c>
      <c r="I378" t="n">
        <v>0</v>
      </c>
      <c r="J378" t="n">
        <v>0</v>
      </c>
      <c r="K378" t="n">
        <v>0</v>
      </c>
      <c r="L378" t="n">
        <v>0</v>
      </c>
      <c r="M378" t="n">
        <v>0</v>
      </c>
      <c r="N378" t="n">
        <v>0</v>
      </c>
      <c r="O378" t="n">
        <v>0</v>
      </c>
      <c r="P378" t="n">
        <v>0</v>
      </c>
      <c r="Q378" t="n">
        <v>0</v>
      </c>
      <c r="R378" s="2" t="inlineStr"/>
    </row>
    <row r="379" ht="15" customHeight="1">
      <c r="A379" t="inlineStr">
        <is>
          <t>A 21273-2022</t>
        </is>
      </c>
      <c r="B379" s="1" t="n">
        <v>44705</v>
      </c>
      <c r="C379" s="1" t="n">
        <v>45837</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23354-2022</t>
        </is>
      </c>
      <c r="B380" s="1" t="n">
        <v>44720</v>
      </c>
      <c r="C380" s="1" t="n">
        <v>45837</v>
      </c>
      <c r="D380" t="inlineStr">
        <is>
          <t>DALARNAS LÄN</t>
        </is>
      </c>
      <c r="E380" t="inlineStr">
        <is>
          <t>MORA</t>
        </is>
      </c>
      <c r="G380" t="n">
        <v>5.2</v>
      </c>
      <c r="H380" t="n">
        <v>0</v>
      </c>
      <c r="I380" t="n">
        <v>0</v>
      </c>
      <c r="J380" t="n">
        <v>0</v>
      </c>
      <c r="K380" t="n">
        <v>0</v>
      </c>
      <c r="L380" t="n">
        <v>0</v>
      </c>
      <c r="M380" t="n">
        <v>0</v>
      </c>
      <c r="N380" t="n">
        <v>0</v>
      </c>
      <c r="O380" t="n">
        <v>0</v>
      </c>
      <c r="P380" t="n">
        <v>0</v>
      </c>
      <c r="Q380" t="n">
        <v>0</v>
      </c>
      <c r="R380" s="2" t="inlineStr"/>
    </row>
    <row r="381" ht="15" customHeight="1">
      <c r="A381" t="inlineStr">
        <is>
          <t>A 23655-2022</t>
        </is>
      </c>
      <c r="B381" s="1" t="n">
        <v>44721</v>
      </c>
      <c r="C381" s="1" t="n">
        <v>45837</v>
      </c>
      <c r="D381" t="inlineStr">
        <is>
          <t>DALARNAS LÄN</t>
        </is>
      </c>
      <c r="E381" t="inlineStr">
        <is>
          <t>MORA</t>
        </is>
      </c>
      <c r="G381" t="n">
        <v>3.3</v>
      </c>
      <c r="H381" t="n">
        <v>0</v>
      </c>
      <c r="I381" t="n">
        <v>0</v>
      </c>
      <c r="J381" t="n">
        <v>0</v>
      </c>
      <c r="K381" t="n">
        <v>0</v>
      </c>
      <c r="L381" t="n">
        <v>0</v>
      </c>
      <c r="M381" t="n">
        <v>0</v>
      </c>
      <c r="N381" t="n">
        <v>0</v>
      </c>
      <c r="O381" t="n">
        <v>0</v>
      </c>
      <c r="P381" t="n">
        <v>0</v>
      </c>
      <c r="Q381" t="n">
        <v>0</v>
      </c>
      <c r="R381" s="2" t="inlineStr"/>
    </row>
    <row r="382" ht="15" customHeight="1">
      <c r="A382" t="inlineStr">
        <is>
          <t>A 23795-2022</t>
        </is>
      </c>
      <c r="B382" s="1" t="n">
        <v>44722</v>
      </c>
      <c r="C382" s="1" t="n">
        <v>45837</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23798-2022</t>
        </is>
      </c>
      <c r="B383" s="1" t="n">
        <v>44722</v>
      </c>
      <c r="C383" s="1" t="n">
        <v>45837</v>
      </c>
      <c r="D383" t="inlineStr">
        <is>
          <t>DALARNAS LÄN</t>
        </is>
      </c>
      <c r="E383" t="inlineStr">
        <is>
          <t>MORA</t>
        </is>
      </c>
      <c r="G383" t="n">
        <v>2.6</v>
      </c>
      <c r="H383" t="n">
        <v>0</v>
      </c>
      <c r="I383" t="n">
        <v>0</v>
      </c>
      <c r="J383" t="n">
        <v>0</v>
      </c>
      <c r="K383" t="n">
        <v>0</v>
      </c>
      <c r="L383" t="n">
        <v>0</v>
      </c>
      <c r="M383" t="n">
        <v>0</v>
      </c>
      <c r="N383" t="n">
        <v>0</v>
      </c>
      <c r="O383" t="n">
        <v>0</v>
      </c>
      <c r="P383" t="n">
        <v>0</v>
      </c>
      <c r="Q383" t="n">
        <v>0</v>
      </c>
      <c r="R383" s="2" t="inlineStr"/>
    </row>
    <row r="384" ht="15" customHeight="1">
      <c r="A384" t="inlineStr">
        <is>
          <t>A 24171-2022</t>
        </is>
      </c>
      <c r="B384" s="1" t="n">
        <v>44725</v>
      </c>
      <c r="C384" s="1" t="n">
        <v>45837</v>
      </c>
      <c r="D384" t="inlineStr">
        <is>
          <t>DALARNAS LÄN</t>
        </is>
      </c>
      <c r="E384" t="inlineStr">
        <is>
          <t>MORA</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24170-2022</t>
        </is>
      </c>
      <c r="B385" s="1" t="n">
        <v>44725</v>
      </c>
      <c r="C385" s="1" t="n">
        <v>45837</v>
      </c>
      <c r="D385" t="inlineStr">
        <is>
          <t>DALARNAS LÄN</t>
        </is>
      </c>
      <c r="E385" t="inlineStr">
        <is>
          <t>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24169-2022</t>
        </is>
      </c>
      <c r="B386" s="1" t="n">
        <v>44725</v>
      </c>
      <c r="C386" s="1" t="n">
        <v>45837</v>
      </c>
      <c r="D386" t="inlineStr">
        <is>
          <t>DALARNAS LÄN</t>
        </is>
      </c>
      <c r="E386" t="inlineStr">
        <is>
          <t>MORA</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24335-2022</t>
        </is>
      </c>
      <c r="B387" s="1" t="n">
        <v>44725</v>
      </c>
      <c r="C387" s="1" t="n">
        <v>45837</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24366-2022</t>
        </is>
      </c>
      <c r="B388" s="1" t="n">
        <v>44726</v>
      </c>
      <c r="C388" s="1" t="n">
        <v>45837</v>
      </c>
      <c r="D388" t="inlineStr">
        <is>
          <t>DALARNAS LÄN</t>
        </is>
      </c>
      <c r="E388" t="inlineStr">
        <is>
          <t>MORA</t>
        </is>
      </c>
      <c r="G388" t="n">
        <v>2.2</v>
      </c>
      <c r="H388" t="n">
        <v>0</v>
      </c>
      <c r="I388" t="n">
        <v>0</v>
      </c>
      <c r="J388" t="n">
        <v>0</v>
      </c>
      <c r="K388" t="n">
        <v>0</v>
      </c>
      <c r="L388" t="n">
        <v>0</v>
      </c>
      <c r="M388" t="n">
        <v>0</v>
      </c>
      <c r="N388" t="n">
        <v>0</v>
      </c>
      <c r="O388" t="n">
        <v>0</v>
      </c>
      <c r="P388" t="n">
        <v>0</v>
      </c>
      <c r="Q388" t="n">
        <v>0</v>
      </c>
      <c r="R388" s="2" t="inlineStr"/>
    </row>
    <row r="389" ht="15" customHeight="1">
      <c r="A389" t="inlineStr">
        <is>
          <t>A 24393-2022</t>
        </is>
      </c>
      <c r="B389" s="1" t="n">
        <v>44726</v>
      </c>
      <c r="C389" s="1" t="n">
        <v>45837</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25451-2022</t>
        </is>
      </c>
      <c r="B390" s="1" t="n">
        <v>44732</v>
      </c>
      <c r="C390" s="1" t="n">
        <v>45837</v>
      </c>
      <c r="D390" t="inlineStr">
        <is>
          <t>DALARNAS LÄN</t>
        </is>
      </c>
      <c r="E390" t="inlineStr">
        <is>
          <t>MORA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27438-2022</t>
        </is>
      </c>
      <c r="B391" s="1" t="n">
        <v>44742</v>
      </c>
      <c r="C391" s="1" t="n">
        <v>45837</v>
      </c>
      <c r="D391" t="inlineStr">
        <is>
          <t>DALARNAS LÄN</t>
        </is>
      </c>
      <c r="E391" t="inlineStr">
        <is>
          <t>MORA</t>
        </is>
      </c>
      <c r="G391" t="n">
        <v>7</v>
      </c>
      <c r="H391" t="n">
        <v>0</v>
      </c>
      <c r="I391" t="n">
        <v>0</v>
      </c>
      <c r="J391" t="n">
        <v>0</v>
      </c>
      <c r="K391" t="n">
        <v>0</v>
      </c>
      <c r="L391" t="n">
        <v>0</v>
      </c>
      <c r="M391" t="n">
        <v>0</v>
      </c>
      <c r="N391" t="n">
        <v>0</v>
      </c>
      <c r="O391" t="n">
        <v>0</v>
      </c>
      <c r="P391" t="n">
        <v>0</v>
      </c>
      <c r="Q391" t="n">
        <v>0</v>
      </c>
      <c r="R391" s="2" t="inlineStr"/>
    </row>
    <row r="392" ht="15" customHeight="1">
      <c r="A392" t="inlineStr">
        <is>
          <t>A 27461-2022</t>
        </is>
      </c>
      <c r="B392" s="1" t="n">
        <v>44742</v>
      </c>
      <c r="C392" s="1" t="n">
        <v>45837</v>
      </c>
      <c r="D392" t="inlineStr">
        <is>
          <t>DALARNAS LÄN</t>
        </is>
      </c>
      <c r="E392" t="inlineStr">
        <is>
          <t>MORA</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28344-2022</t>
        </is>
      </c>
      <c r="B393" s="1" t="n">
        <v>44747</v>
      </c>
      <c r="C393" s="1" t="n">
        <v>45837</v>
      </c>
      <c r="D393" t="inlineStr">
        <is>
          <t>DALARNAS LÄN</t>
        </is>
      </c>
      <c r="E393" t="inlineStr">
        <is>
          <t>MORA</t>
        </is>
      </c>
      <c r="F393" t="inlineStr">
        <is>
          <t>Kyrkan</t>
        </is>
      </c>
      <c r="G393" t="n">
        <v>6.4</v>
      </c>
      <c r="H393" t="n">
        <v>0</v>
      </c>
      <c r="I393" t="n">
        <v>0</v>
      </c>
      <c r="J393" t="n">
        <v>0</v>
      </c>
      <c r="K393" t="n">
        <v>0</v>
      </c>
      <c r="L393" t="n">
        <v>0</v>
      </c>
      <c r="M393" t="n">
        <v>0</v>
      </c>
      <c r="N393" t="n">
        <v>0</v>
      </c>
      <c r="O393" t="n">
        <v>0</v>
      </c>
      <c r="P393" t="n">
        <v>0</v>
      </c>
      <c r="Q393" t="n">
        <v>0</v>
      </c>
      <c r="R393" s="2" t="inlineStr"/>
    </row>
    <row r="394" ht="15" customHeight="1">
      <c r="A394" t="inlineStr">
        <is>
          <t>A 28914-2022</t>
        </is>
      </c>
      <c r="B394" s="1" t="n">
        <v>44749</v>
      </c>
      <c r="C394" s="1" t="n">
        <v>45837</v>
      </c>
      <c r="D394" t="inlineStr">
        <is>
          <t>DALARNAS LÄN</t>
        </is>
      </c>
      <c r="E394" t="inlineStr">
        <is>
          <t>MORA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29754-2022</t>
        </is>
      </c>
      <c r="B395" s="1" t="n">
        <v>44755</v>
      </c>
      <c r="C395" s="1" t="n">
        <v>45837</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30998-2022</t>
        </is>
      </c>
      <c r="B396" s="1" t="n">
        <v>44768</v>
      </c>
      <c r="C396" s="1" t="n">
        <v>45837</v>
      </c>
      <c r="D396" t="inlineStr">
        <is>
          <t>DALARNAS LÄN</t>
        </is>
      </c>
      <c r="E396" t="inlineStr">
        <is>
          <t>MORA</t>
        </is>
      </c>
      <c r="G396" t="n">
        <v>1.7</v>
      </c>
      <c r="H396" t="n">
        <v>0</v>
      </c>
      <c r="I396" t="n">
        <v>0</v>
      </c>
      <c r="J396" t="n">
        <v>0</v>
      </c>
      <c r="K396" t="n">
        <v>0</v>
      </c>
      <c r="L396" t="n">
        <v>0</v>
      </c>
      <c r="M396" t="n">
        <v>0</v>
      </c>
      <c r="N396" t="n">
        <v>0</v>
      </c>
      <c r="O396" t="n">
        <v>0</v>
      </c>
      <c r="P396" t="n">
        <v>0</v>
      </c>
      <c r="Q396" t="n">
        <v>0</v>
      </c>
      <c r="R396" s="2" t="inlineStr"/>
    </row>
    <row r="397" ht="15" customHeight="1">
      <c r="A397" t="inlineStr">
        <is>
          <t>A 31304-2022</t>
        </is>
      </c>
      <c r="B397" s="1" t="n">
        <v>44773</v>
      </c>
      <c r="C397" s="1" t="n">
        <v>45837</v>
      </c>
      <c r="D397" t="inlineStr">
        <is>
          <t>DALARNAS LÄN</t>
        </is>
      </c>
      <c r="E397" t="inlineStr">
        <is>
          <t>MORA</t>
        </is>
      </c>
      <c r="G397" t="n">
        <v>20.6</v>
      </c>
      <c r="H397" t="n">
        <v>0</v>
      </c>
      <c r="I397" t="n">
        <v>0</v>
      </c>
      <c r="J397" t="n">
        <v>0</v>
      </c>
      <c r="K397" t="n">
        <v>0</v>
      </c>
      <c r="L397" t="n">
        <v>0</v>
      </c>
      <c r="M397" t="n">
        <v>0</v>
      </c>
      <c r="N397" t="n">
        <v>0</v>
      </c>
      <c r="O397" t="n">
        <v>0</v>
      </c>
      <c r="P397" t="n">
        <v>0</v>
      </c>
      <c r="Q397" t="n">
        <v>0</v>
      </c>
      <c r="R397" s="2" t="inlineStr"/>
    </row>
    <row r="398" ht="15" customHeight="1">
      <c r="A398" t="inlineStr">
        <is>
          <t>A 31582-2022</t>
        </is>
      </c>
      <c r="B398" s="1" t="n">
        <v>44775</v>
      </c>
      <c r="C398" s="1" t="n">
        <v>45837</v>
      </c>
      <c r="D398" t="inlineStr">
        <is>
          <t>DALARNAS LÄN</t>
        </is>
      </c>
      <c r="E398" t="inlineStr">
        <is>
          <t>MORA</t>
        </is>
      </c>
      <c r="G398" t="n">
        <v>3.5</v>
      </c>
      <c r="H398" t="n">
        <v>0</v>
      </c>
      <c r="I398" t="n">
        <v>0</v>
      </c>
      <c r="J398" t="n">
        <v>0</v>
      </c>
      <c r="K398" t="n">
        <v>0</v>
      </c>
      <c r="L398" t="n">
        <v>0</v>
      </c>
      <c r="M398" t="n">
        <v>0</v>
      </c>
      <c r="N398" t="n">
        <v>0</v>
      </c>
      <c r="O398" t="n">
        <v>0</v>
      </c>
      <c r="P398" t="n">
        <v>0</v>
      </c>
      <c r="Q398" t="n">
        <v>0</v>
      </c>
      <c r="R398" s="2" t="inlineStr"/>
    </row>
    <row r="399" ht="15" customHeight="1">
      <c r="A399" t="inlineStr">
        <is>
          <t>A 32265-2022</t>
        </is>
      </c>
      <c r="B399" s="1" t="n">
        <v>44781</v>
      </c>
      <c r="C399" s="1" t="n">
        <v>45837</v>
      </c>
      <c r="D399" t="inlineStr">
        <is>
          <t>DALARNAS LÄN</t>
        </is>
      </c>
      <c r="E399" t="inlineStr">
        <is>
          <t>MORA</t>
        </is>
      </c>
      <c r="G399" t="n">
        <v>4</v>
      </c>
      <c r="H399" t="n">
        <v>0</v>
      </c>
      <c r="I399" t="n">
        <v>0</v>
      </c>
      <c r="J399" t="n">
        <v>0</v>
      </c>
      <c r="K399" t="n">
        <v>0</v>
      </c>
      <c r="L399" t="n">
        <v>0</v>
      </c>
      <c r="M399" t="n">
        <v>0</v>
      </c>
      <c r="N399" t="n">
        <v>0</v>
      </c>
      <c r="O399" t="n">
        <v>0</v>
      </c>
      <c r="P399" t="n">
        <v>0</v>
      </c>
      <c r="Q399" t="n">
        <v>0</v>
      </c>
      <c r="R399" s="2" t="inlineStr"/>
    </row>
    <row r="400" ht="15" customHeight="1">
      <c r="A400" t="inlineStr">
        <is>
          <t>A 32261-2022</t>
        </is>
      </c>
      <c r="B400" s="1" t="n">
        <v>44781</v>
      </c>
      <c r="C400" s="1" t="n">
        <v>45837</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32474-2022</t>
        </is>
      </c>
      <c r="B401" s="1" t="n">
        <v>44782</v>
      </c>
      <c r="C401" s="1" t="n">
        <v>45837</v>
      </c>
      <c r="D401" t="inlineStr">
        <is>
          <t>DALARNAS LÄN</t>
        </is>
      </c>
      <c r="E401" t="inlineStr">
        <is>
          <t>MORA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32643-2022</t>
        </is>
      </c>
      <c r="B402" s="1" t="n">
        <v>44783</v>
      </c>
      <c r="C402" s="1" t="n">
        <v>45837</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33272-2022</t>
        </is>
      </c>
      <c r="B403" s="1" t="n">
        <v>44788</v>
      </c>
      <c r="C403" s="1" t="n">
        <v>45837</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33262-2022</t>
        </is>
      </c>
      <c r="B404" s="1" t="n">
        <v>44788</v>
      </c>
      <c r="C404" s="1" t="n">
        <v>45837</v>
      </c>
      <c r="D404" t="inlineStr">
        <is>
          <t>DALARNAS LÄN</t>
        </is>
      </c>
      <c r="E404" t="inlineStr">
        <is>
          <t>MORA</t>
        </is>
      </c>
      <c r="G404" t="n">
        <v>6.5</v>
      </c>
      <c r="H404" t="n">
        <v>0</v>
      </c>
      <c r="I404" t="n">
        <v>0</v>
      </c>
      <c r="J404" t="n">
        <v>0</v>
      </c>
      <c r="K404" t="n">
        <v>0</v>
      </c>
      <c r="L404" t="n">
        <v>0</v>
      </c>
      <c r="M404" t="n">
        <v>0</v>
      </c>
      <c r="N404" t="n">
        <v>0</v>
      </c>
      <c r="O404" t="n">
        <v>0</v>
      </c>
      <c r="P404" t="n">
        <v>0</v>
      </c>
      <c r="Q404" t="n">
        <v>0</v>
      </c>
      <c r="R404" s="2" t="inlineStr"/>
    </row>
    <row r="405" ht="15" customHeight="1">
      <c r="A405" t="inlineStr">
        <is>
          <t>A 33269-2022</t>
        </is>
      </c>
      <c r="B405" s="1" t="n">
        <v>44788</v>
      </c>
      <c r="C405" s="1" t="n">
        <v>45837</v>
      </c>
      <c r="D405" t="inlineStr">
        <is>
          <t>DALARNAS LÄN</t>
        </is>
      </c>
      <c r="E405" t="inlineStr">
        <is>
          <t>MORA</t>
        </is>
      </c>
      <c r="G405" t="n">
        <v>3.1</v>
      </c>
      <c r="H405" t="n">
        <v>0</v>
      </c>
      <c r="I405" t="n">
        <v>0</v>
      </c>
      <c r="J405" t="n">
        <v>0</v>
      </c>
      <c r="K405" t="n">
        <v>0</v>
      </c>
      <c r="L405" t="n">
        <v>0</v>
      </c>
      <c r="M405" t="n">
        <v>0</v>
      </c>
      <c r="N405" t="n">
        <v>0</v>
      </c>
      <c r="O405" t="n">
        <v>0</v>
      </c>
      <c r="P405" t="n">
        <v>0</v>
      </c>
      <c r="Q405" t="n">
        <v>0</v>
      </c>
      <c r="R405" s="2" t="inlineStr"/>
    </row>
    <row r="406" ht="15" customHeight="1">
      <c r="A406" t="inlineStr">
        <is>
          <t>A 33265-2022</t>
        </is>
      </c>
      <c r="B406" s="1" t="n">
        <v>44788</v>
      </c>
      <c r="C406" s="1" t="n">
        <v>45837</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33550-2022</t>
        </is>
      </c>
      <c r="B407" s="1" t="n">
        <v>44789</v>
      </c>
      <c r="C407" s="1" t="n">
        <v>45837</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33678-2022</t>
        </is>
      </c>
      <c r="B408" s="1" t="n">
        <v>44789</v>
      </c>
      <c r="C408" s="1" t="n">
        <v>45837</v>
      </c>
      <c r="D408" t="inlineStr">
        <is>
          <t>DALARNAS LÄN</t>
        </is>
      </c>
      <c r="E408" t="inlineStr">
        <is>
          <t>MORA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34927-2022</t>
        </is>
      </c>
      <c r="B409" s="1" t="n">
        <v>44796</v>
      </c>
      <c r="C409" s="1" t="n">
        <v>45837</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34897-2022</t>
        </is>
      </c>
      <c r="B410" s="1" t="n">
        <v>44796</v>
      </c>
      <c r="C410" s="1" t="n">
        <v>45837</v>
      </c>
      <c r="D410" t="inlineStr">
        <is>
          <t>DALARNAS LÄN</t>
        </is>
      </c>
      <c r="E410" t="inlineStr">
        <is>
          <t>MORA</t>
        </is>
      </c>
      <c r="F410" t="inlineStr">
        <is>
          <t>Bergvik skog väst AB</t>
        </is>
      </c>
      <c r="G410" t="n">
        <v>8</v>
      </c>
      <c r="H410" t="n">
        <v>0</v>
      </c>
      <c r="I410" t="n">
        <v>0</v>
      </c>
      <c r="J410" t="n">
        <v>0</v>
      </c>
      <c r="K410" t="n">
        <v>0</v>
      </c>
      <c r="L410" t="n">
        <v>0</v>
      </c>
      <c r="M410" t="n">
        <v>0</v>
      </c>
      <c r="N410" t="n">
        <v>0</v>
      </c>
      <c r="O410" t="n">
        <v>0</v>
      </c>
      <c r="P410" t="n">
        <v>0</v>
      </c>
      <c r="Q410" t="n">
        <v>0</v>
      </c>
      <c r="R410" s="2" t="inlineStr"/>
    </row>
    <row r="411" ht="15" customHeight="1">
      <c r="A411" t="inlineStr">
        <is>
          <t>A 34824-2022</t>
        </is>
      </c>
      <c r="B411" s="1" t="n">
        <v>44796</v>
      </c>
      <c r="C411" s="1" t="n">
        <v>45837</v>
      </c>
      <c r="D411" t="inlineStr">
        <is>
          <t>DALARNAS LÄN</t>
        </is>
      </c>
      <c r="E411" t="inlineStr">
        <is>
          <t>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34923-2022</t>
        </is>
      </c>
      <c r="B412" s="1" t="n">
        <v>44796</v>
      </c>
      <c r="C412" s="1" t="n">
        <v>45837</v>
      </c>
      <c r="D412" t="inlineStr">
        <is>
          <t>DALARNAS LÄN</t>
        </is>
      </c>
      <c r="E412" t="inlineStr">
        <is>
          <t>MORA</t>
        </is>
      </c>
      <c r="G412" t="n">
        <v>5</v>
      </c>
      <c r="H412" t="n">
        <v>0</v>
      </c>
      <c r="I412" t="n">
        <v>0</v>
      </c>
      <c r="J412" t="n">
        <v>0</v>
      </c>
      <c r="K412" t="n">
        <v>0</v>
      </c>
      <c r="L412" t="n">
        <v>0</v>
      </c>
      <c r="M412" t="n">
        <v>0</v>
      </c>
      <c r="N412" t="n">
        <v>0</v>
      </c>
      <c r="O412" t="n">
        <v>0</v>
      </c>
      <c r="P412" t="n">
        <v>0</v>
      </c>
      <c r="Q412" t="n">
        <v>0</v>
      </c>
      <c r="R412" s="2" t="inlineStr"/>
    </row>
    <row r="413" ht="15" customHeight="1">
      <c r="A413" t="inlineStr">
        <is>
          <t>A 34928-2022</t>
        </is>
      </c>
      <c r="B413" s="1" t="n">
        <v>44796</v>
      </c>
      <c r="C413" s="1" t="n">
        <v>45837</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36579-2022</t>
        </is>
      </c>
      <c r="B414" s="1" t="n">
        <v>44804</v>
      </c>
      <c r="C414" s="1" t="n">
        <v>45837</v>
      </c>
      <c r="D414" t="inlineStr">
        <is>
          <t>DALARNAS LÄN</t>
        </is>
      </c>
      <c r="E414" t="inlineStr">
        <is>
          <t>MORA</t>
        </is>
      </c>
      <c r="G414" t="n">
        <v>2.3</v>
      </c>
      <c r="H414" t="n">
        <v>0</v>
      </c>
      <c r="I414" t="n">
        <v>0</v>
      </c>
      <c r="J414" t="n">
        <v>0</v>
      </c>
      <c r="K414" t="n">
        <v>0</v>
      </c>
      <c r="L414" t="n">
        <v>0</v>
      </c>
      <c r="M414" t="n">
        <v>0</v>
      </c>
      <c r="N414" t="n">
        <v>0</v>
      </c>
      <c r="O414" t="n">
        <v>0</v>
      </c>
      <c r="P414" t="n">
        <v>0</v>
      </c>
      <c r="Q414" t="n">
        <v>0</v>
      </c>
      <c r="R414" s="2" t="inlineStr"/>
    </row>
    <row r="415" ht="15" customHeight="1">
      <c r="A415" t="inlineStr">
        <is>
          <t>A 37483-2022</t>
        </is>
      </c>
      <c r="B415" s="1" t="n">
        <v>44809</v>
      </c>
      <c r="C415" s="1" t="n">
        <v>45837</v>
      </c>
      <c r="D415" t="inlineStr">
        <is>
          <t>DALARNAS LÄN</t>
        </is>
      </c>
      <c r="E415" t="inlineStr">
        <is>
          <t>MORA</t>
        </is>
      </c>
      <c r="G415" t="n">
        <v>1</v>
      </c>
      <c r="H415" t="n">
        <v>0</v>
      </c>
      <c r="I415" t="n">
        <v>0</v>
      </c>
      <c r="J415" t="n">
        <v>0</v>
      </c>
      <c r="K415" t="n">
        <v>0</v>
      </c>
      <c r="L415" t="n">
        <v>0</v>
      </c>
      <c r="M415" t="n">
        <v>0</v>
      </c>
      <c r="N415" t="n">
        <v>0</v>
      </c>
      <c r="O415" t="n">
        <v>0</v>
      </c>
      <c r="P415" t="n">
        <v>0</v>
      </c>
      <c r="Q415" t="n">
        <v>0</v>
      </c>
      <c r="R415" s="2" t="inlineStr"/>
    </row>
    <row r="416" ht="15" customHeight="1">
      <c r="A416" t="inlineStr">
        <is>
          <t>A 37774-2022</t>
        </is>
      </c>
      <c r="B416" s="1" t="n">
        <v>44810</v>
      </c>
      <c r="C416" s="1" t="n">
        <v>45837</v>
      </c>
      <c r="D416" t="inlineStr">
        <is>
          <t>DALARNAS LÄN</t>
        </is>
      </c>
      <c r="E416" t="inlineStr">
        <is>
          <t>MORA</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37771-2022</t>
        </is>
      </c>
      <c r="B417" s="1" t="n">
        <v>44810</v>
      </c>
      <c r="C417" s="1" t="n">
        <v>45837</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37983-2022</t>
        </is>
      </c>
      <c r="B418" s="1" t="n">
        <v>44811</v>
      </c>
      <c r="C418" s="1" t="n">
        <v>45837</v>
      </c>
      <c r="D418" t="inlineStr">
        <is>
          <t>DALARNAS LÄN</t>
        </is>
      </c>
      <c r="E418" t="inlineStr">
        <is>
          <t>MORA</t>
        </is>
      </c>
      <c r="F418" t="inlineStr">
        <is>
          <t>Bergvik skog väst AB</t>
        </is>
      </c>
      <c r="G418" t="n">
        <v>13.1</v>
      </c>
      <c r="H418" t="n">
        <v>0</v>
      </c>
      <c r="I418" t="n">
        <v>0</v>
      </c>
      <c r="J418" t="n">
        <v>0</v>
      </c>
      <c r="K418" t="n">
        <v>0</v>
      </c>
      <c r="L418" t="n">
        <v>0</v>
      </c>
      <c r="M418" t="n">
        <v>0</v>
      </c>
      <c r="N418" t="n">
        <v>0</v>
      </c>
      <c r="O418" t="n">
        <v>0</v>
      </c>
      <c r="P418" t="n">
        <v>0</v>
      </c>
      <c r="Q418" t="n">
        <v>0</v>
      </c>
      <c r="R418" s="2" t="inlineStr"/>
    </row>
    <row r="419" ht="15" customHeight="1">
      <c r="A419" t="inlineStr">
        <is>
          <t>A 38305-2022</t>
        </is>
      </c>
      <c r="B419" s="1" t="n">
        <v>44812</v>
      </c>
      <c r="C419" s="1" t="n">
        <v>45837</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38651-2022</t>
        </is>
      </c>
      <c r="B420" s="1" t="n">
        <v>44813</v>
      </c>
      <c r="C420" s="1" t="n">
        <v>45837</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39162-2022</t>
        </is>
      </c>
      <c r="B421" s="1" t="n">
        <v>44817</v>
      </c>
      <c r="C421" s="1" t="n">
        <v>45837</v>
      </c>
      <c r="D421" t="inlineStr">
        <is>
          <t>DALARNAS LÄN</t>
        </is>
      </c>
      <c r="E421" t="inlineStr">
        <is>
          <t>MORA</t>
        </is>
      </c>
      <c r="F421" t="inlineStr">
        <is>
          <t>Allmännings- och besparingsskogar</t>
        </is>
      </c>
      <c r="G421" t="n">
        <v>27.2</v>
      </c>
      <c r="H421" t="n">
        <v>0</v>
      </c>
      <c r="I421" t="n">
        <v>0</v>
      </c>
      <c r="J421" t="n">
        <v>0</v>
      </c>
      <c r="K421" t="n">
        <v>0</v>
      </c>
      <c r="L421" t="n">
        <v>0</v>
      </c>
      <c r="M421" t="n">
        <v>0</v>
      </c>
      <c r="N421" t="n">
        <v>0</v>
      </c>
      <c r="O421" t="n">
        <v>0</v>
      </c>
      <c r="P421" t="n">
        <v>0</v>
      </c>
      <c r="Q421" t="n">
        <v>0</v>
      </c>
      <c r="R421" s="2" t="inlineStr"/>
    </row>
    <row r="422" ht="15" customHeight="1">
      <c r="A422" t="inlineStr">
        <is>
          <t>A 39897-2022</t>
        </is>
      </c>
      <c r="B422" s="1" t="n">
        <v>44819</v>
      </c>
      <c r="C422" s="1" t="n">
        <v>45837</v>
      </c>
      <c r="D422" t="inlineStr">
        <is>
          <t>DALARNAS LÄN</t>
        </is>
      </c>
      <c r="E422" t="inlineStr">
        <is>
          <t>MORA</t>
        </is>
      </c>
      <c r="G422" t="n">
        <v>15.8</v>
      </c>
      <c r="H422" t="n">
        <v>0</v>
      </c>
      <c r="I422" t="n">
        <v>0</v>
      </c>
      <c r="J422" t="n">
        <v>0</v>
      </c>
      <c r="K422" t="n">
        <v>0</v>
      </c>
      <c r="L422" t="n">
        <v>0</v>
      </c>
      <c r="M422" t="n">
        <v>0</v>
      </c>
      <c r="N422" t="n">
        <v>0</v>
      </c>
      <c r="O422" t="n">
        <v>0</v>
      </c>
      <c r="P422" t="n">
        <v>0</v>
      </c>
      <c r="Q422" t="n">
        <v>0</v>
      </c>
      <c r="R422" s="2" t="inlineStr"/>
    </row>
    <row r="423" ht="15" customHeight="1">
      <c r="A423" t="inlineStr">
        <is>
          <t>A 39901-2022</t>
        </is>
      </c>
      <c r="B423" s="1" t="n">
        <v>44819</v>
      </c>
      <c r="C423" s="1" t="n">
        <v>45837</v>
      </c>
      <c r="D423" t="inlineStr">
        <is>
          <t>DALARNAS LÄN</t>
        </is>
      </c>
      <c r="E423" t="inlineStr">
        <is>
          <t>MORA</t>
        </is>
      </c>
      <c r="G423" t="n">
        <v>4.9</v>
      </c>
      <c r="H423" t="n">
        <v>0</v>
      </c>
      <c r="I423" t="n">
        <v>0</v>
      </c>
      <c r="J423" t="n">
        <v>0</v>
      </c>
      <c r="K423" t="n">
        <v>0</v>
      </c>
      <c r="L423" t="n">
        <v>0</v>
      </c>
      <c r="M423" t="n">
        <v>0</v>
      </c>
      <c r="N423" t="n">
        <v>0</v>
      </c>
      <c r="O423" t="n">
        <v>0</v>
      </c>
      <c r="P423" t="n">
        <v>0</v>
      </c>
      <c r="Q423" t="n">
        <v>0</v>
      </c>
      <c r="R423" s="2" t="inlineStr"/>
    </row>
    <row r="424" ht="15" customHeight="1">
      <c r="A424" t="inlineStr">
        <is>
          <t>A 42035-2022</t>
        </is>
      </c>
      <c r="B424" s="1" t="n">
        <v>44830</v>
      </c>
      <c r="C424" s="1" t="n">
        <v>45837</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42121-2022</t>
        </is>
      </c>
      <c r="B425" s="1" t="n">
        <v>44830</v>
      </c>
      <c r="C425" s="1" t="n">
        <v>45837</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42611-2022</t>
        </is>
      </c>
      <c r="B426" s="1" t="n">
        <v>44831</v>
      </c>
      <c r="C426" s="1" t="n">
        <v>45837</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42668-2022</t>
        </is>
      </c>
      <c r="B427" s="1" t="n">
        <v>44832</v>
      </c>
      <c r="C427" s="1" t="n">
        <v>45837</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42814-2022</t>
        </is>
      </c>
      <c r="B428" s="1" t="n">
        <v>44832</v>
      </c>
      <c r="C428" s="1" t="n">
        <v>45837</v>
      </c>
      <c r="D428" t="inlineStr">
        <is>
          <t>DALARNAS LÄN</t>
        </is>
      </c>
      <c r="E428" t="inlineStr">
        <is>
          <t>MORA</t>
        </is>
      </c>
      <c r="F428" t="inlineStr">
        <is>
          <t>Bergvik skog väst AB</t>
        </is>
      </c>
      <c r="G428" t="n">
        <v>5.3</v>
      </c>
      <c r="H428" t="n">
        <v>0</v>
      </c>
      <c r="I428" t="n">
        <v>0</v>
      </c>
      <c r="J428" t="n">
        <v>0</v>
      </c>
      <c r="K428" t="n">
        <v>0</v>
      </c>
      <c r="L428" t="n">
        <v>0</v>
      </c>
      <c r="M428" t="n">
        <v>0</v>
      </c>
      <c r="N428" t="n">
        <v>0</v>
      </c>
      <c r="O428" t="n">
        <v>0</v>
      </c>
      <c r="P428" t="n">
        <v>0</v>
      </c>
      <c r="Q428" t="n">
        <v>0</v>
      </c>
      <c r="R428" s="2" t="inlineStr"/>
    </row>
    <row r="429" ht="15" customHeight="1">
      <c r="A429" t="inlineStr">
        <is>
          <t>A 43540-2022</t>
        </is>
      </c>
      <c r="B429" s="1" t="n">
        <v>44837</v>
      </c>
      <c r="C429" s="1" t="n">
        <v>45837</v>
      </c>
      <c r="D429" t="inlineStr">
        <is>
          <t>DALARNAS LÄN</t>
        </is>
      </c>
      <c r="E429" t="inlineStr">
        <is>
          <t>MORA</t>
        </is>
      </c>
      <c r="G429" t="n">
        <v>10.5</v>
      </c>
      <c r="H429" t="n">
        <v>0</v>
      </c>
      <c r="I429" t="n">
        <v>0</v>
      </c>
      <c r="J429" t="n">
        <v>0</v>
      </c>
      <c r="K429" t="n">
        <v>0</v>
      </c>
      <c r="L429" t="n">
        <v>0</v>
      </c>
      <c r="M429" t="n">
        <v>0</v>
      </c>
      <c r="N429" t="n">
        <v>0</v>
      </c>
      <c r="O429" t="n">
        <v>0</v>
      </c>
      <c r="P429" t="n">
        <v>0</v>
      </c>
      <c r="Q429" t="n">
        <v>0</v>
      </c>
      <c r="R429" s="2" t="inlineStr"/>
    </row>
    <row r="430" ht="15" customHeight="1">
      <c r="A430" t="inlineStr">
        <is>
          <t>A 43641-2022</t>
        </is>
      </c>
      <c r="B430" s="1" t="n">
        <v>44837</v>
      </c>
      <c r="C430" s="1" t="n">
        <v>45837</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43826-2022</t>
        </is>
      </c>
      <c r="B431" s="1" t="n">
        <v>44838</v>
      </c>
      <c r="C431" s="1" t="n">
        <v>45837</v>
      </c>
      <c r="D431" t="inlineStr">
        <is>
          <t>DALARNAS LÄN</t>
        </is>
      </c>
      <c r="E431" t="inlineStr">
        <is>
          <t>MORA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43879-2022</t>
        </is>
      </c>
      <c r="B432" s="1" t="n">
        <v>44838</v>
      </c>
      <c r="C432" s="1" t="n">
        <v>45837</v>
      </c>
      <c r="D432" t="inlineStr">
        <is>
          <t>DALARNAS LÄN</t>
        </is>
      </c>
      <c r="E432" t="inlineStr">
        <is>
          <t>MORA</t>
        </is>
      </c>
      <c r="G432" t="n">
        <v>3.4</v>
      </c>
      <c r="H432" t="n">
        <v>0</v>
      </c>
      <c r="I432" t="n">
        <v>0</v>
      </c>
      <c r="J432" t="n">
        <v>0</v>
      </c>
      <c r="K432" t="n">
        <v>0</v>
      </c>
      <c r="L432" t="n">
        <v>0</v>
      </c>
      <c r="M432" t="n">
        <v>0</v>
      </c>
      <c r="N432" t="n">
        <v>0</v>
      </c>
      <c r="O432" t="n">
        <v>0</v>
      </c>
      <c r="P432" t="n">
        <v>0</v>
      </c>
      <c r="Q432" t="n">
        <v>0</v>
      </c>
      <c r="R432" s="2" t="inlineStr"/>
    </row>
    <row r="433" ht="15" customHeight="1">
      <c r="A433" t="inlineStr">
        <is>
          <t>A 43944-2022</t>
        </is>
      </c>
      <c r="B433" s="1" t="n">
        <v>44838</v>
      </c>
      <c r="C433" s="1" t="n">
        <v>45837</v>
      </c>
      <c r="D433" t="inlineStr">
        <is>
          <t>DALARNAS LÄN</t>
        </is>
      </c>
      <c r="E433" t="inlineStr">
        <is>
          <t>MORA</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45238-2022</t>
        </is>
      </c>
      <c r="B434" s="1" t="n">
        <v>44844</v>
      </c>
      <c r="C434" s="1" t="n">
        <v>45837</v>
      </c>
      <c r="D434" t="inlineStr">
        <is>
          <t>DALARNAS LÄN</t>
        </is>
      </c>
      <c r="E434" t="inlineStr">
        <is>
          <t>MORA</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45463-2022</t>
        </is>
      </c>
      <c r="B435" s="1" t="n">
        <v>44845</v>
      </c>
      <c r="C435" s="1" t="n">
        <v>45837</v>
      </c>
      <c r="D435" t="inlineStr">
        <is>
          <t>DALARNAS LÄN</t>
        </is>
      </c>
      <c r="E435" t="inlineStr">
        <is>
          <t>MORA</t>
        </is>
      </c>
      <c r="G435" t="n">
        <v>8.4</v>
      </c>
      <c r="H435" t="n">
        <v>0</v>
      </c>
      <c r="I435" t="n">
        <v>0</v>
      </c>
      <c r="J435" t="n">
        <v>0</v>
      </c>
      <c r="K435" t="n">
        <v>0</v>
      </c>
      <c r="L435" t="n">
        <v>0</v>
      </c>
      <c r="M435" t="n">
        <v>0</v>
      </c>
      <c r="N435" t="n">
        <v>0</v>
      </c>
      <c r="O435" t="n">
        <v>0</v>
      </c>
      <c r="P435" t="n">
        <v>0</v>
      </c>
      <c r="Q435" t="n">
        <v>0</v>
      </c>
      <c r="R435" s="2" t="inlineStr"/>
    </row>
    <row r="436" ht="15" customHeight="1">
      <c r="A436" t="inlineStr">
        <is>
          <t>A 45462-2022</t>
        </is>
      </c>
      <c r="B436" s="1" t="n">
        <v>44845</v>
      </c>
      <c r="C436" s="1" t="n">
        <v>45837</v>
      </c>
      <c r="D436" t="inlineStr">
        <is>
          <t>DALARNAS LÄN</t>
        </is>
      </c>
      <c r="E436" t="inlineStr">
        <is>
          <t>MORA</t>
        </is>
      </c>
      <c r="G436" t="n">
        <v>6.9</v>
      </c>
      <c r="H436" t="n">
        <v>0</v>
      </c>
      <c r="I436" t="n">
        <v>0</v>
      </c>
      <c r="J436" t="n">
        <v>0</v>
      </c>
      <c r="K436" t="n">
        <v>0</v>
      </c>
      <c r="L436" t="n">
        <v>0</v>
      </c>
      <c r="M436" t="n">
        <v>0</v>
      </c>
      <c r="N436" t="n">
        <v>0</v>
      </c>
      <c r="O436" t="n">
        <v>0</v>
      </c>
      <c r="P436" t="n">
        <v>0</v>
      </c>
      <c r="Q436" t="n">
        <v>0</v>
      </c>
      <c r="R436" s="2" t="inlineStr"/>
    </row>
    <row r="437" ht="15" customHeight="1">
      <c r="A437" t="inlineStr">
        <is>
          <t>A 45465-2022</t>
        </is>
      </c>
      <c r="B437" s="1" t="n">
        <v>44845</v>
      </c>
      <c r="C437" s="1" t="n">
        <v>45837</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46188-2022</t>
        </is>
      </c>
      <c r="B438" s="1" t="n">
        <v>44847</v>
      </c>
      <c r="C438" s="1" t="n">
        <v>45837</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46402-2022</t>
        </is>
      </c>
      <c r="B439" s="1" t="n">
        <v>44848</v>
      </c>
      <c r="C439" s="1" t="n">
        <v>45837</v>
      </c>
      <c r="D439" t="inlineStr">
        <is>
          <t>DALARNAS LÄN</t>
        </is>
      </c>
      <c r="E439" t="inlineStr">
        <is>
          <t>MORA</t>
        </is>
      </c>
      <c r="G439" t="n">
        <v>0.9</v>
      </c>
      <c r="H439" t="n">
        <v>0</v>
      </c>
      <c r="I439" t="n">
        <v>0</v>
      </c>
      <c r="J439" t="n">
        <v>0</v>
      </c>
      <c r="K439" t="n">
        <v>0</v>
      </c>
      <c r="L439" t="n">
        <v>0</v>
      </c>
      <c r="M439" t="n">
        <v>0</v>
      </c>
      <c r="N439" t="n">
        <v>0</v>
      </c>
      <c r="O439" t="n">
        <v>0</v>
      </c>
      <c r="P439" t="n">
        <v>0</v>
      </c>
      <c r="Q439" t="n">
        <v>0</v>
      </c>
      <c r="R439" s="2" t="inlineStr"/>
    </row>
    <row r="440" ht="15" customHeight="1">
      <c r="A440" t="inlineStr">
        <is>
          <t>A 46801-2022</t>
        </is>
      </c>
      <c r="B440" s="1" t="n">
        <v>44851</v>
      </c>
      <c r="C440" s="1" t="n">
        <v>45837</v>
      </c>
      <c r="D440" t="inlineStr">
        <is>
          <t>DALARNAS LÄN</t>
        </is>
      </c>
      <c r="E440" t="inlineStr">
        <is>
          <t>MORA</t>
        </is>
      </c>
      <c r="G440" t="n">
        <v>1.5</v>
      </c>
      <c r="H440" t="n">
        <v>0</v>
      </c>
      <c r="I440" t="n">
        <v>0</v>
      </c>
      <c r="J440" t="n">
        <v>0</v>
      </c>
      <c r="K440" t="n">
        <v>0</v>
      </c>
      <c r="L440" t="n">
        <v>0</v>
      </c>
      <c r="M440" t="n">
        <v>0</v>
      </c>
      <c r="N440" t="n">
        <v>0</v>
      </c>
      <c r="O440" t="n">
        <v>0</v>
      </c>
      <c r="P440" t="n">
        <v>0</v>
      </c>
      <c r="Q440" t="n">
        <v>0</v>
      </c>
      <c r="R440" s="2" t="inlineStr"/>
    </row>
    <row r="441" ht="15" customHeight="1">
      <c r="A441" t="inlineStr">
        <is>
          <t>A 47143-2022</t>
        </is>
      </c>
      <c r="B441" s="1" t="n">
        <v>44852</v>
      </c>
      <c r="C441" s="1" t="n">
        <v>45837</v>
      </c>
      <c r="D441" t="inlineStr">
        <is>
          <t>DALARNAS LÄN</t>
        </is>
      </c>
      <c r="E441" t="inlineStr">
        <is>
          <t>MORA</t>
        </is>
      </c>
      <c r="G441" t="n">
        <v>3.9</v>
      </c>
      <c r="H441" t="n">
        <v>0</v>
      </c>
      <c r="I441" t="n">
        <v>0</v>
      </c>
      <c r="J441" t="n">
        <v>0</v>
      </c>
      <c r="K441" t="n">
        <v>0</v>
      </c>
      <c r="L441" t="n">
        <v>0</v>
      </c>
      <c r="M441" t="n">
        <v>0</v>
      </c>
      <c r="N441" t="n">
        <v>0</v>
      </c>
      <c r="O441" t="n">
        <v>0</v>
      </c>
      <c r="P441" t="n">
        <v>0</v>
      </c>
      <c r="Q441" t="n">
        <v>0</v>
      </c>
      <c r="R441" s="2" t="inlineStr"/>
    </row>
    <row r="442" ht="15" customHeight="1">
      <c r="A442" t="inlineStr">
        <is>
          <t>A 47429-2022</t>
        </is>
      </c>
      <c r="B442" s="1" t="n">
        <v>44853</v>
      </c>
      <c r="C442" s="1" t="n">
        <v>45837</v>
      </c>
      <c r="D442" t="inlineStr">
        <is>
          <t>DALARNAS LÄN</t>
        </is>
      </c>
      <c r="E442" t="inlineStr">
        <is>
          <t>MORA</t>
        </is>
      </c>
      <c r="G442" t="n">
        <v>3</v>
      </c>
      <c r="H442" t="n">
        <v>0</v>
      </c>
      <c r="I442" t="n">
        <v>0</v>
      </c>
      <c r="J442" t="n">
        <v>0</v>
      </c>
      <c r="K442" t="n">
        <v>0</v>
      </c>
      <c r="L442" t="n">
        <v>0</v>
      </c>
      <c r="M442" t="n">
        <v>0</v>
      </c>
      <c r="N442" t="n">
        <v>0</v>
      </c>
      <c r="O442" t="n">
        <v>0</v>
      </c>
      <c r="P442" t="n">
        <v>0</v>
      </c>
      <c r="Q442" t="n">
        <v>0</v>
      </c>
      <c r="R442" s="2" t="inlineStr"/>
    </row>
    <row r="443" ht="15" customHeight="1">
      <c r="A443" t="inlineStr">
        <is>
          <t>A 48383-2022</t>
        </is>
      </c>
      <c r="B443" s="1" t="n">
        <v>44858</v>
      </c>
      <c r="C443" s="1" t="n">
        <v>45837</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48376-2022</t>
        </is>
      </c>
      <c r="B444" s="1" t="n">
        <v>44858</v>
      </c>
      <c r="C444" s="1" t="n">
        <v>45837</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48456-2022</t>
        </is>
      </c>
      <c r="B445" s="1" t="n">
        <v>44858</v>
      </c>
      <c r="C445" s="1" t="n">
        <v>45837</v>
      </c>
      <c r="D445" t="inlineStr">
        <is>
          <t>DALARNAS LÄN</t>
        </is>
      </c>
      <c r="E445" t="inlineStr">
        <is>
          <t>MORA</t>
        </is>
      </c>
      <c r="G445" t="n">
        <v>0.7</v>
      </c>
      <c r="H445" t="n">
        <v>0</v>
      </c>
      <c r="I445" t="n">
        <v>0</v>
      </c>
      <c r="J445" t="n">
        <v>0</v>
      </c>
      <c r="K445" t="n">
        <v>0</v>
      </c>
      <c r="L445" t="n">
        <v>0</v>
      </c>
      <c r="M445" t="n">
        <v>0</v>
      </c>
      <c r="N445" t="n">
        <v>0</v>
      </c>
      <c r="O445" t="n">
        <v>0</v>
      </c>
      <c r="P445" t="n">
        <v>0</v>
      </c>
      <c r="Q445" t="n">
        <v>0</v>
      </c>
      <c r="R445" s="2" t="inlineStr"/>
    </row>
    <row r="446" ht="15" customHeight="1">
      <c r="A446" t="inlineStr">
        <is>
          <t>A 48570-2022</t>
        </is>
      </c>
      <c r="B446" s="1" t="n">
        <v>44859</v>
      </c>
      <c r="C446" s="1" t="n">
        <v>45837</v>
      </c>
      <c r="D446" t="inlineStr">
        <is>
          <t>DALARNAS LÄN</t>
        </is>
      </c>
      <c r="E446" t="inlineStr">
        <is>
          <t>MORA</t>
        </is>
      </c>
      <c r="G446" t="n">
        <v>6.2</v>
      </c>
      <c r="H446" t="n">
        <v>0</v>
      </c>
      <c r="I446" t="n">
        <v>0</v>
      </c>
      <c r="J446" t="n">
        <v>0</v>
      </c>
      <c r="K446" t="n">
        <v>0</v>
      </c>
      <c r="L446" t="n">
        <v>0</v>
      </c>
      <c r="M446" t="n">
        <v>0</v>
      </c>
      <c r="N446" t="n">
        <v>0</v>
      </c>
      <c r="O446" t="n">
        <v>0</v>
      </c>
      <c r="P446" t="n">
        <v>0</v>
      </c>
      <c r="Q446" t="n">
        <v>0</v>
      </c>
      <c r="R446" s="2" t="inlineStr"/>
    </row>
    <row r="447" ht="15" customHeight="1">
      <c r="A447" t="inlineStr">
        <is>
          <t>A 48728-2022</t>
        </is>
      </c>
      <c r="B447" s="1" t="n">
        <v>44859</v>
      </c>
      <c r="C447" s="1" t="n">
        <v>45837</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49257-2022</t>
        </is>
      </c>
      <c r="B448" s="1" t="n">
        <v>44861</v>
      </c>
      <c r="C448" s="1" t="n">
        <v>45837</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50056-2022</t>
        </is>
      </c>
      <c r="B449" s="1" t="n">
        <v>44865</v>
      </c>
      <c r="C449" s="1" t="n">
        <v>45837</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50719-2022</t>
        </is>
      </c>
      <c r="B450" s="1" t="n">
        <v>44867</v>
      </c>
      <c r="C450" s="1" t="n">
        <v>45837</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51444-2022</t>
        </is>
      </c>
      <c r="B451" s="1" t="n">
        <v>44869</v>
      </c>
      <c r="C451" s="1" t="n">
        <v>45837</v>
      </c>
      <c r="D451" t="inlineStr">
        <is>
          <t>DALARNAS LÄN</t>
        </is>
      </c>
      <c r="E451" t="inlineStr">
        <is>
          <t>MORA</t>
        </is>
      </c>
      <c r="G451" t="n">
        <v>24.3</v>
      </c>
      <c r="H451" t="n">
        <v>0</v>
      </c>
      <c r="I451" t="n">
        <v>0</v>
      </c>
      <c r="J451" t="n">
        <v>0</v>
      </c>
      <c r="K451" t="n">
        <v>0</v>
      </c>
      <c r="L451" t="n">
        <v>0</v>
      </c>
      <c r="M451" t="n">
        <v>0</v>
      </c>
      <c r="N451" t="n">
        <v>0</v>
      </c>
      <c r="O451" t="n">
        <v>0</v>
      </c>
      <c r="P451" t="n">
        <v>0</v>
      </c>
      <c r="Q451" t="n">
        <v>0</v>
      </c>
      <c r="R451" s="2" t="inlineStr"/>
    </row>
    <row r="452" ht="15" customHeight="1">
      <c r="A452" t="inlineStr">
        <is>
          <t>A 52525-2022</t>
        </is>
      </c>
      <c r="B452" s="1" t="n">
        <v>44874</v>
      </c>
      <c r="C452" s="1" t="n">
        <v>45837</v>
      </c>
      <c r="D452" t="inlineStr">
        <is>
          <t>DALARNAS LÄN</t>
        </is>
      </c>
      <c r="E452" t="inlineStr">
        <is>
          <t>MORA</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52557-2022</t>
        </is>
      </c>
      <c r="B453" s="1" t="n">
        <v>44874</v>
      </c>
      <c r="C453" s="1" t="n">
        <v>45837</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52845-2022</t>
        </is>
      </c>
      <c r="B454" s="1" t="n">
        <v>44875</v>
      </c>
      <c r="C454" s="1" t="n">
        <v>45837</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53214-2022</t>
        </is>
      </c>
      <c r="B455" s="1" t="n">
        <v>44876</v>
      </c>
      <c r="C455" s="1" t="n">
        <v>45837</v>
      </c>
      <c r="D455" t="inlineStr">
        <is>
          <t>DALARNAS LÄN</t>
        </is>
      </c>
      <c r="E455" t="inlineStr">
        <is>
          <t>MORA</t>
        </is>
      </c>
      <c r="G455" t="n">
        <v>10.6</v>
      </c>
      <c r="H455" t="n">
        <v>0</v>
      </c>
      <c r="I455" t="n">
        <v>0</v>
      </c>
      <c r="J455" t="n">
        <v>0</v>
      </c>
      <c r="K455" t="n">
        <v>0</v>
      </c>
      <c r="L455" t="n">
        <v>0</v>
      </c>
      <c r="M455" t="n">
        <v>0</v>
      </c>
      <c r="N455" t="n">
        <v>0</v>
      </c>
      <c r="O455" t="n">
        <v>0</v>
      </c>
      <c r="P455" t="n">
        <v>0</v>
      </c>
      <c r="Q455" t="n">
        <v>0</v>
      </c>
      <c r="R455" s="2" t="inlineStr"/>
    </row>
    <row r="456" ht="15" customHeight="1">
      <c r="A456" t="inlineStr">
        <is>
          <t>A 54409-2022</t>
        </is>
      </c>
      <c r="B456" s="1" t="n">
        <v>44882</v>
      </c>
      <c r="C456" s="1" t="n">
        <v>45837</v>
      </c>
      <c r="D456" t="inlineStr">
        <is>
          <t>DALARNAS LÄN</t>
        </is>
      </c>
      <c r="E456" t="inlineStr">
        <is>
          <t>MORA</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54739-2022</t>
        </is>
      </c>
      <c r="B457" s="1" t="n">
        <v>44883</v>
      </c>
      <c r="C457" s="1" t="n">
        <v>45837</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55010-2022</t>
        </is>
      </c>
      <c r="B458" s="1" t="n">
        <v>44886</v>
      </c>
      <c r="C458" s="1" t="n">
        <v>45837</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55051-2022</t>
        </is>
      </c>
      <c r="B459" s="1" t="n">
        <v>44886</v>
      </c>
      <c r="C459" s="1" t="n">
        <v>45837</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55106-2022</t>
        </is>
      </c>
      <c r="B460" s="1" t="n">
        <v>44886</v>
      </c>
      <c r="C460" s="1" t="n">
        <v>45837</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55077-2022</t>
        </is>
      </c>
      <c r="B461" s="1" t="n">
        <v>44886</v>
      </c>
      <c r="C461" s="1" t="n">
        <v>45837</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55331-2022</t>
        </is>
      </c>
      <c r="B462" s="1" t="n">
        <v>44887</v>
      </c>
      <c r="C462" s="1" t="n">
        <v>45837</v>
      </c>
      <c r="D462" t="inlineStr">
        <is>
          <t>DALARNAS LÄN</t>
        </is>
      </c>
      <c r="E462" t="inlineStr">
        <is>
          <t>MORA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55356-2022</t>
        </is>
      </c>
      <c r="B463" s="1" t="n">
        <v>44887</v>
      </c>
      <c r="C463" s="1" t="n">
        <v>45837</v>
      </c>
      <c r="D463" t="inlineStr">
        <is>
          <t>DALARNAS LÄN</t>
        </is>
      </c>
      <c r="E463" t="inlineStr">
        <is>
          <t>MORA</t>
        </is>
      </c>
      <c r="F463" t="inlineStr">
        <is>
          <t>Allmännings- och besparingsskogar</t>
        </is>
      </c>
      <c r="G463" t="n">
        <v>0.7</v>
      </c>
      <c r="H463" t="n">
        <v>0</v>
      </c>
      <c r="I463" t="n">
        <v>0</v>
      </c>
      <c r="J463" t="n">
        <v>0</v>
      </c>
      <c r="K463" t="n">
        <v>0</v>
      </c>
      <c r="L463" t="n">
        <v>0</v>
      </c>
      <c r="M463" t="n">
        <v>0</v>
      </c>
      <c r="N463" t="n">
        <v>0</v>
      </c>
      <c r="O463" t="n">
        <v>0</v>
      </c>
      <c r="P463" t="n">
        <v>0</v>
      </c>
      <c r="Q463" t="n">
        <v>0</v>
      </c>
      <c r="R463" s="2" t="inlineStr"/>
    </row>
    <row r="464" ht="15" customHeight="1">
      <c r="A464" t="inlineStr">
        <is>
          <t>A 56939-2022</t>
        </is>
      </c>
      <c r="B464" s="1" t="n">
        <v>44888</v>
      </c>
      <c r="C464" s="1" t="n">
        <v>45837</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55993-2022</t>
        </is>
      </c>
      <c r="B465" s="1" t="n">
        <v>44889</v>
      </c>
      <c r="C465" s="1" t="n">
        <v>45837</v>
      </c>
      <c r="D465" t="inlineStr">
        <is>
          <t>DALARNAS LÄN</t>
        </is>
      </c>
      <c r="E465" t="inlineStr">
        <is>
          <t>MORA</t>
        </is>
      </c>
      <c r="G465" t="n">
        <v>7.7</v>
      </c>
      <c r="H465" t="n">
        <v>0</v>
      </c>
      <c r="I465" t="n">
        <v>0</v>
      </c>
      <c r="J465" t="n">
        <v>0</v>
      </c>
      <c r="K465" t="n">
        <v>0</v>
      </c>
      <c r="L465" t="n">
        <v>0</v>
      </c>
      <c r="M465" t="n">
        <v>0</v>
      </c>
      <c r="N465" t="n">
        <v>0</v>
      </c>
      <c r="O465" t="n">
        <v>0</v>
      </c>
      <c r="P465" t="n">
        <v>0</v>
      </c>
      <c r="Q465" t="n">
        <v>0</v>
      </c>
      <c r="R465" s="2" t="inlineStr"/>
    </row>
    <row r="466" ht="15" customHeight="1">
      <c r="A466" t="inlineStr">
        <is>
          <t>A 55925-2022</t>
        </is>
      </c>
      <c r="B466" s="1" t="n">
        <v>44889</v>
      </c>
      <c r="C466" s="1" t="n">
        <v>45837</v>
      </c>
      <c r="D466" t="inlineStr">
        <is>
          <t>DALARNAS LÄN</t>
        </is>
      </c>
      <c r="E466" t="inlineStr">
        <is>
          <t>MORA</t>
        </is>
      </c>
      <c r="F466" t="inlineStr">
        <is>
          <t>Allmännings- och besparingsskogar</t>
        </is>
      </c>
      <c r="G466" t="n">
        <v>15.6</v>
      </c>
      <c r="H466" t="n">
        <v>0</v>
      </c>
      <c r="I466" t="n">
        <v>0</v>
      </c>
      <c r="J466" t="n">
        <v>0</v>
      </c>
      <c r="K466" t="n">
        <v>0</v>
      </c>
      <c r="L466" t="n">
        <v>0</v>
      </c>
      <c r="M466" t="n">
        <v>0</v>
      </c>
      <c r="N466" t="n">
        <v>0</v>
      </c>
      <c r="O466" t="n">
        <v>0</v>
      </c>
      <c r="P466" t="n">
        <v>0</v>
      </c>
      <c r="Q466" t="n">
        <v>0</v>
      </c>
      <c r="R466" s="2" t="inlineStr"/>
    </row>
    <row r="467" ht="15" customHeight="1">
      <c r="A467" t="inlineStr">
        <is>
          <t>A 56321-2022</t>
        </is>
      </c>
      <c r="B467" s="1" t="n">
        <v>44890</v>
      </c>
      <c r="C467" s="1" t="n">
        <v>45837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56460-2022</t>
        </is>
      </c>
      <c r="B468" s="1" t="n">
        <v>44893</v>
      </c>
      <c r="C468" s="1" t="n">
        <v>45837</v>
      </c>
      <c r="D468" t="inlineStr">
        <is>
          <t>DALARNAS LÄN</t>
        </is>
      </c>
      <c r="E468" t="inlineStr">
        <is>
          <t>MORA</t>
        </is>
      </c>
      <c r="G468" t="n">
        <v>2.2</v>
      </c>
      <c r="H468" t="n">
        <v>0</v>
      </c>
      <c r="I468" t="n">
        <v>0</v>
      </c>
      <c r="J468" t="n">
        <v>0</v>
      </c>
      <c r="K468" t="n">
        <v>0</v>
      </c>
      <c r="L468" t="n">
        <v>0</v>
      </c>
      <c r="M468" t="n">
        <v>0</v>
      </c>
      <c r="N468" t="n">
        <v>0</v>
      </c>
      <c r="O468" t="n">
        <v>0</v>
      </c>
      <c r="P468" t="n">
        <v>0</v>
      </c>
      <c r="Q468" t="n">
        <v>0</v>
      </c>
      <c r="R468" s="2" t="inlineStr"/>
    </row>
    <row r="469" ht="15" customHeight="1">
      <c r="A469" t="inlineStr">
        <is>
          <t>A 56678-2022</t>
        </is>
      </c>
      <c r="B469" s="1" t="n">
        <v>44893</v>
      </c>
      <c r="C469" s="1" t="n">
        <v>45837</v>
      </c>
      <c r="D469" t="inlineStr">
        <is>
          <t>DALARNAS LÄN</t>
        </is>
      </c>
      <c r="E469" t="inlineStr">
        <is>
          <t>MORA</t>
        </is>
      </c>
      <c r="G469" t="n">
        <v>4.7</v>
      </c>
      <c r="H469" t="n">
        <v>0</v>
      </c>
      <c r="I469" t="n">
        <v>0</v>
      </c>
      <c r="J469" t="n">
        <v>0</v>
      </c>
      <c r="K469" t="n">
        <v>0</v>
      </c>
      <c r="L469" t="n">
        <v>0</v>
      </c>
      <c r="M469" t="n">
        <v>0</v>
      </c>
      <c r="N469" t="n">
        <v>0</v>
      </c>
      <c r="O469" t="n">
        <v>0</v>
      </c>
      <c r="P469" t="n">
        <v>0</v>
      </c>
      <c r="Q469" t="n">
        <v>0</v>
      </c>
      <c r="R469" s="2" t="inlineStr"/>
    </row>
    <row r="470" ht="15" customHeight="1">
      <c r="A470" t="inlineStr">
        <is>
          <t>A 56770-2022</t>
        </is>
      </c>
      <c r="B470" s="1" t="n">
        <v>44894</v>
      </c>
      <c r="C470" s="1" t="n">
        <v>45837</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56865-2022</t>
        </is>
      </c>
      <c r="B471" s="1" t="n">
        <v>44894</v>
      </c>
      <c r="C471" s="1" t="n">
        <v>45837</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57475-2022</t>
        </is>
      </c>
      <c r="B472" s="1" t="n">
        <v>44896</v>
      </c>
      <c r="C472" s="1" t="n">
        <v>45837</v>
      </c>
      <c r="D472" t="inlineStr">
        <is>
          <t>DALARNAS LÄN</t>
        </is>
      </c>
      <c r="E472" t="inlineStr">
        <is>
          <t>MORA</t>
        </is>
      </c>
      <c r="G472" t="n">
        <v>5.7</v>
      </c>
      <c r="H472" t="n">
        <v>0</v>
      </c>
      <c r="I472" t="n">
        <v>0</v>
      </c>
      <c r="J472" t="n">
        <v>0</v>
      </c>
      <c r="K472" t="n">
        <v>0</v>
      </c>
      <c r="L472" t="n">
        <v>0</v>
      </c>
      <c r="M472" t="n">
        <v>0</v>
      </c>
      <c r="N472" t="n">
        <v>0</v>
      </c>
      <c r="O472" t="n">
        <v>0</v>
      </c>
      <c r="P472" t="n">
        <v>0</v>
      </c>
      <c r="Q472" t="n">
        <v>0</v>
      </c>
      <c r="R472" s="2" t="inlineStr"/>
    </row>
    <row r="473" ht="15" customHeight="1">
      <c r="A473" t="inlineStr">
        <is>
          <t>A 57797-2022</t>
        </is>
      </c>
      <c r="B473" s="1" t="n">
        <v>44897</v>
      </c>
      <c r="C473" s="1" t="n">
        <v>45837</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57859-2022</t>
        </is>
      </c>
      <c r="B474" s="1" t="n">
        <v>44898</v>
      </c>
      <c r="C474" s="1" t="n">
        <v>45837</v>
      </c>
      <c r="D474" t="inlineStr">
        <is>
          <t>DALARNAS LÄN</t>
        </is>
      </c>
      <c r="E474" t="inlineStr">
        <is>
          <t>MORA</t>
        </is>
      </c>
      <c r="G474" t="n">
        <v>1.4</v>
      </c>
      <c r="H474" t="n">
        <v>0</v>
      </c>
      <c r="I474" t="n">
        <v>0</v>
      </c>
      <c r="J474" t="n">
        <v>0</v>
      </c>
      <c r="K474" t="n">
        <v>0</v>
      </c>
      <c r="L474" t="n">
        <v>0</v>
      </c>
      <c r="M474" t="n">
        <v>0</v>
      </c>
      <c r="N474" t="n">
        <v>0</v>
      </c>
      <c r="O474" t="n">
        <v>0</v>
      </c>
      <c r="P474" t="n">
        <v>0</v>
      </c>
      <c r="Q474" t="n">
        <v>0</v>
      </c>
      <c r="R474" s="2" t="inlineStr"/>
    </row>
    <row r="475" ht="15" customHeight="1">
      <c r="A475" t="inlineStr">
        <is>
          <t>A 57903-2022</t>
        </is>
      </c>
      <c r="B475" s="1" t="n">
        <v>44900</v>
      </c>
      <c r="C475" s="1" t="n">
        <v>45837</v>
      </c>
      <c r="D475" t="inlineStr">
        <is>
          <t>DALARNAS LÄN</t>
        </is>
      </c>
      <c r="E475" t="inlineStr">
        <is>
          <t>MORA</t>
        </is>
      </c>
      <c r="G475" t="n">
        <v>4.3</v>
      </c>
      <c r="H475" t="n">
        <v>0</v>
      </c>
      <c r="I475" t="n">
        <v>0</v>
      </c>
      <c r="J475" t="n">
        <v>0</v>
      </c>
      <c r="K475" t="n">
        <v>0</v>
      </c>
      <c r="L475" t="n">
        <v>0</v>
      </c>
      <c r="M475" t="n">
        <v>0</v>
      </c>
      <c r="N475" t="n">
        <v>0</v>
      </c>
      <c r="O475" t="n">
        <v>0</v>
      </c>
      <c r="P475" t="n">
        <v>0</v>
      </c>
      <c r="Q475" t="n">
        <v>0</v>
      </c>
      <c r="R475" s="2" t="inlineStr"/>
    </row>
    <row r="476" ht="15" customHeight="1">
      <c r="A476" t="inlineStr">
        <is>
          <t>A 58116-2022</t>
        </is>
      </c>
      <c r="B476" s="1" t="n">
        <v>44900</v>
      </c>
      <c r="C476" s="1" t="n">
        <v>45837</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58357-2022</t>
        </is>
      </c>
      <c r="B477" s="1" t="n">
        <v>44901</v>
      </c>
      <c r="C477" s="1" t="n">
        <v>45837</v>
      </c>
      <c r="D477" t="inlineStr">
        <is>
          <t>DALARNAS LÄN</t>
        </is>
      </c>
      <c r="E477" t="inlineStr">
        <is>
          <t>MORA</t>
        </is>
      </c>
      <c r="G477" t="n">
        <v>2.8</v>
      </c>
      <c r="H477" t="n">
        <v>0</v>
      </c>
      <c r="I477" t="n">
        <v>0</v>
      </c>
      <c r="J477" t="n">
        <v>0</v>
      </c>
      <c r="K477" t="n">
        <v>0</v>
      </c>
      <c r="L477" t="n">
        <v>0</v>
      </c>
      <c r="M477" t="n">
        <v>0</v>
      </c>
      <c r="N477" t="n">
        <v>0</v>
      </c>
      <c r="O477" t="n">
        <v>0</v>
      </c>
      <c r="P477" t="n">
        <v>0</v>
      </c>
      <c r="Q477" t="n">
        <v>0</v>
      </c>
      <c r="R477" s="2" t="inlineStr"/>
    </row>
    <row r="478" ht="15" customHeight="1">
      <c r="A478" t="inlineStr">
        <is>
          <t>A 58525-2022</t>
        </is>
      </c>
      <c r="B478" s="1" t="n">
        <v>44902</v>
      </c>
      <c r="C478" s="1" t="n">
        <v>45837</v>
      </c>
      <c r="D478" t="inlineStr">
        <is>
          <t>DALARNAS LÄN</t>
        </is>
      </c>
      <c r="E478" t="inlineStr">
        <is>
          <t>MORA</t>
        </is>
      </c>
      <c r="G478" t="n">
        <v>4.8</v>
      </c>
      <c r="H478" t="n">
        <v>0</v>
      </c>
      <c r="I478" t="n">
        <v>0</v>
      </c>
      <c r="J478" t="n">
        <v>0</v>
      </c>
      <c r="K478" t="n">
        <v>0</v>
      </c>
      <c r="L478" t="n">
        <v>0</v>
      </c>
      <c r="M478" t="n">
        <v>0</v>
      </c>
      <c r="N478" t="n">
        <v>0</v>
      </c>
      <c r="O478" t="n">
        <v>0</v>
      </c>
      <c r="P478" t="n">
        <v>0</v>
      </c>
      <c r="Q478" t="n">
        <v>0</v>
      </c>
      <c r="R478" s="2" t="inlineStr"/>
    </row>
    <row r="479" ht="15" customHeight="1">
      <c r="A479" t="inlineStr">
        <is>
          <t>A 58958-2022</t>
        </is>
      </c>
      <c r="B479" s="1" t="n">
        <v>44903</v>
      </c>
      <c r="C479" s="1" t="n">
        <v>45837</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59406-2022</t>
        </is>
      </c>
      <c r="B480" s="1" t="n">
        <v>44906</v>
      </c>
      <c r="C480" s="1" t="n">
        <v>45837</v>
      </c>
      <c r="D480" t="inlineStr">
        <is>
          <t>DALARNAS LÄN</t>
        </is>
      </c>
      <c r="E480" t="inlineStr">
        <is>
          <t>MORA</t>
        </is>
      </c>
      <c r="G480" t="n">
        <v>16.3</v>
      </c>
      <c r="H480" t="n">
        <v>0</v>
      </c>
      <c r="I480" t="n">
        <v>0</v>
      </c>
      <c r="J480" t="n">
        <v>0</v>
      </c>
      <c r="K480" t="n">
        <v>0</v>
      </c>
      <c r="L480" t="n">
        <v>0</v>
      </c>
      <c r="M480" t="n">
        <v>0</v>
      </c>
      <c r="N480" t="n">
        <v>0</v>
      </c>
      <c r="O480" t="n">
        <v>0</v>
      </c>
      <c r="P480" t="n">
        <v>0</v>
      </c>
      <c r="Q480" t="n">
        <v>0</v>
      </c>
      <c r="R480" s="2" t="inlineStr"/>
    </row>
    <row r="481" ht="15" customHeight="1">
      <c r="A481" t="inlineStr">
        <is>
          <t>A 59419-2022</t>
        </is>
      </c>
      <c r="B481" s="1" t="n">
        <v>44907</v>
      </c>
      <c r="C481" s="1" t="n">
        <v>45837</v>
      </c>
      <c r="D481" t="inlineStr">
        <is>
          <t>DALARNAS LÄN</t>
        </is>
      </c>
      <c r="E481" t="inlineStr">
        <is>
          <t>MORA</t>
        </is>
      </c>
      <c r="G481" t="n">
        <v>9.1</v>
      </c>
      <c r="H481" t="n">
        <v>0</v>
      </c>
      <c r="I481" t="n">
        <v>0</v>
      </c>
      <c r="J481" t="n">
        <v>0</v>
      </c>
      <c r="K481" t="n">
        <v>0</v>
      </c>
      <c r="L481" t="n">
        <v>0</v>
      </c>
      <c r="M481" t="n">
        <v>0</v>
      </c>
      <c r="N481" t="n">
        <v>0</v>
      </c>
      <c r="O481" t="n">
        <v>0</v>
      </c>
      <c r="P481" t="n">
        <v>0</v>
      </c>
      <c r="Q481" t="n">
        <v>0</v>
      </c>
      <c r="R481" s="2" t="inlineStr"/>
    </row>
    <row r="482" ht="15" customHeight="1">
      <c r="A482" t="inlineStr">
        <is>
          <t>A 59448-2022</t>
        </is>
      </c>
      <c r="B482" s="1" t="n">
        <v>44907</v>
      </c>
      <c r="C482" s="1" t="n">
        <v>45837</v>
      </c>
      <c r="D482" t="inlineStr">
        <is>
          <t>DALARNAS LÄN</t>
        </is>
      </c>
      <c r="E482" t="inlineStr">
        <is>
          <t>MORA</t>
        </is>
      </c>
      <c r="G482" t="n">
        <v>35.7</v>
      </c>
      <c r="H482" t="n">
        <v>0</v>
      </c>
      <c r="I482" t="n">
        <v>0</v>
      </c>
      <c r="J482" t="n">
        <v>0</v>
      </c>
      <c r="K482" t="n">
        <v>0</v>
      </c>
      <c r="L482" t="n">
        <v>0</v>
      </c>
      <c r="M482" t="n">
        <v>0</v>
      </c>
      <c r="N482" t="n">
        <v>0</v>
      </c>
      <c r="O482" t="n">
        <v>0</v>
      </c>
      <c r="P482" t="n">
        <v>0</v>
      </c>
      <c r="Q482" t="n">
        <v>0</v>
      </c>
      <c r="R482" s="2" t="inlineStr"/>
    </row>
    <row r="483" ht="15" customHeight="1">
      <c r="A483" t="inlineStr">
        <is>
          <t>A 60051-2022</t>
        </is>
      </c>
      <c r="B483" s="1" t="n">
        <v>44909</v>
      </c>
      <c r="C483" s="1" t="n">
        <v>45837</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60647-2022</t>
        </is>
      </c>
      <c r="B484" s="1" t="n">
        <v>44911</v>
      </c>
      <c r="C484" s="1" t="n">
        <v>45837</v>
      </c>
      <c r="D484" t="inlineStr">
        <is>
          <t>DALARNAS LÄN</t>
        </is>
      </c>
      <c r="E484" t="inlineStr">
        <is>
          <t>MORA</t>
        </is>
      </c>
      <c r="G484" t="n">
        <v>4.8</v>
      </c>
      <c r="H484" t="n">
        <v>0</v>
      </c>
      <c r="I484" t="n">
        <v>0</v>
      </c>
      <c r="J484" t="n">
        <v>0</v>
      </c>
      <c r="K484" t="n">
        <v>0</v>
      </c>
      <c r="L484" t="n">
        <v>0</v>
      </c>
      <c r="M484" t="n">
        <v>0</v>
      </c>
      <c r="N484" t="n">
        <v>0</v>
      </c>
      <c r="O484" t="n">
        <v>0</v>
      </c>
      <c r="P484" t="n">
        <v>0</v>
      </c>
      <c r="Q484" t="n">
        <v>0</v>
      </c>
      <c r="R484" s="2" t="inlineStr"/>
    </row>
    <row r="485" ht="15" customHeight="1">
      <c r="A485" t="inlineStr">
        <is>
          <t>A 61263-2022</t>
        </is>
      </c>
      <c r="B485" s="1" t="n">
        <v>44915</v>
      </c>
      <c r="C485" s="1" t="n">
        <v>45837</v>
      </c>
      <c r="D485" t="inlineStr">
        <is>
          <t>DALARNAS LÄN</t>
        </is>
      </c>
      <c r="E485" t="inlineStr">
        <is>
          <t>MORA</t>
        </is>
      </c>
      <c r="G485" t="n">
        <v>3.2</v>
      </c>
      <c r="H485" t="n">
        <v>0</v>
      </c>
      <c r="I485" t="n">
        <v>0</v>
      </c>
      <c r="J485" t="n">
        <v>0</v>
      </c>
      <c r="K485" t="n">
        <v>0</v>
      </c>
      <c r="L485" t="n">
        <v>0</v>
      </c>
      <c r="M485" t="n">
        <v>0</v>
      </c>
      <c r="N485" t="n">
        <v>0</v>
      </c>
      <c r="O485" t="n">
        <v>0</v>
      </c>
      <c r="P485" t="n">
        <v>0</v>
      </c>
      <c r="Q485" t="n">
        <v>0</v>
      </c>
      <c r="R485" s="2" t="inlineStr"/>
    </row>
    <row r="486" ht="15" customHeight="1">
      <c r="A486" t="inlineStr">
        <is>
          <t>A 61273-2022</t>
        </is>
      </c>
      <c r="B486" s="1" t="n">
        <v>44915</v>
      </c>
      <c r="C486" s="1" t="n">
        <v>45837</v>
      </c>
      <c r="D486" t="inlineStr">
        <is>
          <t>DALARNAS LÄN</t>
        </is>
      </c>
      <c r="E486" t="inlineStr">
        <is>
          <t>MORA</t>
        </is>
      </c>
      <c r="G486" t="n">
        <v>8.4</v>
      </c>
      <c r="H486" t="n">
        <v>0</v>
      </c>
      <c r="I486" t="n">
        <v>0</v>
      </c>
      <c r="J486" t="n">
        <v>0</v>
      </c>
      <c r="K486" t="n">
        <v>0</v>
      </c>
      <c r="L486" t="n">
        <v>0</v>
      </c>
      <c r="M486" t="n">
        <v>0</v>
      </c>
      <c r="N486" t="n">
        <v>0</v>
      </c>
      <c r="O486" t="n">
        <v>0</v>
      </c>
      <c r="P486" t="n">
        <v>0</v>
      </c>
      <c r="Q486" t="n">
        <v>0</v>
      </c>
      <c r="R486" s="2" t="inlineStr"/>
    </row>
    <row r="487" ht="15" customHeight="1">
      <c r="A487" t="inlineStr">
        <is>
          <t>A 61293-2022</t>
        </is>
      </c>
      <c r="B487" s="1" t="n">
        <v>44915</v>
      </c>
      <c r="C487" s="1" t="n">
        <v>45837</v>
      </c>
      <c r="D487" t="inlineStr">
        <is>
          <t>DALARNAS LÄN</t>
        </is>
      </c>
      <c r="E487" t="inlineStr">
        <is>
          <t>MORA</t>
        </is>
      </c>
      <c r="G487" t="n">
        <v>0.3</v>
      </c>
      <c r="H487" t="n">
        <v>0</v>
      </c>
      <c r="I487" t="n">
        <v>0</v>
      </c>
      <c r="J487" t="n">
        <v>0</v>
      </c>
      <c r="K487" t="n">
        <v>0</v>
      </c>
      <c r="L487" t="n">
        <v>0</v>
      </c>
      <c r="M487" t="n">
        <v>0</v>
      </c>
      <c r="N487" t="n">
        <v>0</v>
      </c>
      <c r="O487" t="n">
        <v>0</v>
      </c>
      <c r="P487" t="n">
        <v>0</v>
      </c>
      <c r="Q487" t="n">
        <v>0</v>
      </c>
      <c r="R487" s="2" t="inlineStr"/>
    </row>
    <row r="488" ht="15" customHeight="1">
      <c r="A488" t="inlineStr">
        <is>
          <t>A 61301-2022</t>
        </is>
      </c>
      <c r="B488" s="1" t="n">
        <v>44915</v>
      </c>
      <c r="C488" s="1" t="n">
        <v>45837</v>
      </c>
      <c r="D488" t="inlineStr">
        <is>
          <t>DALARNAS LÄN</t>
        </is>
      </c>
      <c r="E488" t="inlineStr">
        <is>
          <t>MORA</t>
        </is>
      </c>
      <c r="G488" t="n">
        <v>0.8</v>
      </c>
      <c r="H488" t="n">
        <v>0</v>
      </c>
      <c r="I488" t="n">
        <v>0</v>
      </c>
      <c r="J488" t="n">
        <v>0</v>
      </c>
      <c r="K488" t="n">
        <v>0</v>
      </c>
      <c r="L488" t="n">
        <v>0</v>
      </c>
      <c r="M488" t="n">
        <v>0</v>
      </c>
      <c r="N488" t="n">
        <v>0</v>
      </c>
      <c r="O488" t="n">
        <v>0</v>
      </c>
      <c r="P488" t="n">
        <v>0</v>
      </c>
      <c r="Q488" t="n">
        <v>0</v>
      </c>
      <c r="R488" s="2" t="inlineStr"/>
    </row>
    <row r="489" ht="15" customHeight="1">
      <c r="A489" t="inlineStr">
        <is>
          <t>A 61482-2022</t>
        </is>
      </c>
      <c r="B489" s="1" t="n">
        <v>44916</v>
      </c>
      <c r="C489" s="1" t="n">
        <v>45837</v>
      </c>
      <c r="D489" t="inlineStr">
        <is>
          <t>DALARNAS LÄN</t>
        </is>
      </c>
      <c r="E489" t="inlineStr">
        <is>
          <t>MORA</t>
        </is>
      </c>
      <c r="G489" t="n">
        <v>7.4</v>
      </c>
      <c r="H489" t="n">
        <v>0</v>
      </c>
      <c r="I489" t="n">
        <v>0</v>
      </c>
      <c r="J489" t="n">
        <v>0</v>
      </c>
      <c r="K489" t="n">
        <v>0</v>
      </c>
      <c r="L489" t="n">
        <v>0</v>
      </c>
      <c r="M489" t="n">
        <v>0</v>
      </c>
      <c r="N489" t="n">
        <v>0</v>
      </c>
      <c r="O489" t="n">
        <v>0</v>
      </c>
      <c r="P489" t="n">
        <v>0</v>
      </c>
      <c r="Q489" t="n">
        <v>0</v>
      </c>
      <c r="R489" s="2" t="inlineStr"/>
    </row>
    <row r="490" ht="15" customHeight="1">
      <c r="A490" t="inlineStr">
        <is>
          <t>A 61794-2022</t>
        </is>
      </c>
      <c r="B490" s="1" t="n">
        <v>44917</v>
      </c>
      <c r="C490" s="1" t="n">
        <v>45837</v>
      </c>
      <c r="D490" t="inlineStr">
        <is>
          <t>DALARNAS LÄN</t>
        </is>
      </c>
      <c r="E490" t="inlineStr">
        <is>
          <t>MORA</t>
        </is>
      </c>
      <c r="G490" t="n">
        <v>1.8</v>
      </c>
      <c r="H490" t="n">
        <v>0</v>
      </c>
      <c r="I490" t="n">
        <v>0</v>
      </c>
      <c r="J490" t="n">
        <v>0</v>
      </c>
      <c r="K490" t="n">
        <v>0</v>
      </c>
      <c r="L490" t="n">
        <v>0</v>
      </c>
      <c r="M490" t="n">
        <v>0</v>
      </c>
      <c r="N490" t="n">
        <v>0</v>
      </c>
      <c r="O490" t="n">
        <v>0</v>
      </c>
      <c r="P490" t="n">
        <v>0</v>
      </c>
      <c r="Q490" t="n">
        <v>0</v>
      </c>
      <c r="R490" s="2" t="inlineStr"/>
    </row>
    <row r="491" ht="15" customHeight="1">
      <c r="A491" t="inlineStr">
        <is>
          <t>A 62188-2022</t>
        </is>
      </c>
      <c r="B491" s="1" t="n">
        <v>44922</v>
      </c>
      <c r="C491" s="1" t="n">
        <v>45837</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518-2023</t>
        </is>
      </c>
      <c r="B492" s="1" t="n">
        <v>44930</v>
      </c>
      <c r="C492" s="1" t="n">
        <v>45837</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1888-2023</t>
        </is>
      </c>
      <c r="B493" s="1" t="n">
        <v>44937</v>
      </c>
      <c r="C493" s="1" t="n">
        <v>45837</v>
      </c>
      <c r="D493" t="inlineStr">
        <is>
          <t>DALARNAS LÄN</t>
        </is>
      </c>
      <c r="E493" t="inlineStr">
        <is>
          <t>MORA</t>
        </is>
      </c>
      <c r="G493" t="n">
        <v>3.7</v>
      </c>
      <c r="H493" t="n">
        <v>0</v>
      </c>
      <c r="I493" t="n">
        <v>0</v>
      </c>
      <c r="J493" t="n">
        <v>0</v>
      </c>
      <c r="K493" t="n">
        <v>0</v>
      </c>
      <c r="L493" t="n">
        <v>0</v>
      </c>
      <c r="M493" t="n">
        <v>0</v>
      </c>
      <c r="N493" t="n">
        <v>0</v>
      </c>
      <c r="O493" t="n">
        <v>0</v>
      </c>
      <c r="P493" t="n">
        <v>0</v>
      </c>
      <c r="Q493" t="n">
        <v>0</v>
      </c>
      <c r="R493" s="2" t="inlineStr"/>
    </row>
    <row r="494" ht="15" customHeight="1">
      <c r="A494" t="inlineStr">
        <is>
          <t>A 1906-2023</t>
        </is>
      </c>
      <c r="B494" s="1" t="n">
        <v>44937</v>
      </c>
      <c r="C494" s="1" t="n">
        <v>45837</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1894-2023</t>
        </is>
      </c>
      <c r="B495" s="1" t="n">
        <v>44937</v>
      </c>
      <c r="C495" s="1" t="n">
        <v>45837</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1897-2023</t>
        </is>
      </c>
      <c r="B496" s="1" t="n">
        <v>44937</v>
      </c>
      <c r="C496" s="1" t="n">
        <v>45837</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2308-2023</t>
        </is>
      </c>
      <c r="B497" s="1" t="n">
        <v>44942</v>
      </c>
      <c r="C497" s="1" t="n">
        <v>45837</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2304-2023</t>
        </is>
      </c>
      <c r="B498" s="1" t="n">
        <v>44942</v>
      </c>
      <c r="C498" s="1" t="n">
        <v>45837</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2372-2023</t>
        </is>
      </c>
      <c r="B499" s="1" t="n">
        <v>44942</v>
      </c>
      <c r="C499" s="1" t="n">
        <v>45837</v>
      </c>
      <c r="D499" t="inlineStr">
        <is>
          <t>DALARNAS LÄN</t>
        </is>
      </c>
      <c r="E499" t="inlineStr">
        <is>
          <t>MORA</t>
        </is>
      </c>
      <c r="G499" t="n">
        <v>7.7</v>
      </c>
      <c r="H499" t="n">
        <v>0</v>
      </c>
      <c r="I499" t="n">
        <v>0</v>
      </c>
      <c r="J499" t="n">
        <v>0</v>
      </c>
      <c r="K499" t="n">
        <v>0</v>
      </c>
      <c r="L499" t="n">
        <v>0</v>
      </c>
      <c r="M499" t="n">
        <v>0</v>
      </c>
      <c r="N499" t="n">
        <v>0</v>
      </c>
      <c r="O499" t="n">
        <v>0</v>
      </c>
      <c r="P499" t="n">
        <v>0</v>
      </c>
      <c r="Q499" t="n">
        <v>0</v>
      </c>
      <c r="R499" s="2" t="inlineStr"/>
    </row>
    <row r="500" ht="15" customHeight="1">
      <c r="A500" t="inlineStr">
        <is>
          <t>A 2830-2023</t>
        </is>
      </c>
      <c r="B500" s="1" t="n">
        <v>44945</v>
      </c>
      <c r="C500" s="1" t="n">
        <v>45837</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3049-2023</t>
        </is>
      </c>
      <c r="B501" s="1" t="n">
        <v>44946</v>
      </c>
      <c r="C501" s="1" t="n">
        <v>45837</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3430-2023</t>
        </is>
      </c>
      <c r="B502" s="1" t="n">
        <v>44949</v>
      </c>
      <c r="C502" s="1" t="n">
        <v>45837</v>
      </c>
      <c r="D502" t="inlineStr">
        <is>
          <t>DALARNAS LÄN</t>
        </is>
      </c>
      <c r="E502" t="inlineStr">
        <is>
          <t>MORA</t>
        </is>
      </c>
      <c r="G502" t="n">
        <v>2.6</v>
      </c>
      <c r="H502" t="n">
        <v>0</v>
      </c>
      <c r="I502" t="n">
        <v>0</v>
      </c>
      <c r="J502" t="n">
        <v>0</v>
      </c>
      <c r="K502" t="n">
        <v>0</v>
      </c>
      <c r="L502" t="n">
        <v>0</v>
      </c>
      <c r="M502" t="n">
        <v>0</v>
      </c>
      <c r="N502" t="n">
        <v>0</v>
      </c>
      <c r="O502" t="n">
        <v>0</v>
      </c>
      <c r="P502" t="n">
        <v>0</v>
      </c>
      <c r="Q502" t="n">
        <v>0</v>
      </c>
      <c r="R502" s="2" t="inlineStr"/>
    </row>
    <row r="503" ht="15" customHeight="1">
      <c r="A503" t="inlineStr">
        <is>
          <t>A 4205-2023</t>
        </is>
      </c>
      <c r="B503" s="1" t="n">
        <v>44953</v>
      </c>
      <c r="C503" s="1" t="n">
        <v>45837</v>
      </c>
      <c r="D503" t="inlineStr">
        <is>
          <t>DALARNAS LÄN</t>
        </is>
      </c>
      <c r="E503" t="inlineStr">
        <is>
          <t>MORA</t>
        </is>
      </c>
      <c r="G503" t="n">
        <v>26.2</v>
      </c>
      <c r="H503" t="n">
        <v>0</v>
      </c>
      <c r="I503" t="n">
        <v>0</v>
      </c>
      <c r="J503" t="n">
        <v>0</v>
      </c>
      <c r="K503" t="n">
        <v>0</v>
      </c>
      <c r="L503" t="n">
        <v>0</v>
      </c>
      <c r="M503" t="n">
        <v>0</v>
      </c>
      <c r="N503" t="n">
        <v>0</v>
      </c>
      <c r="O503" t="n">
        <v>0</v>
      </c>
      <c r="P503" t="n">
        <v>0</v>
      </c>
      <c r="Q503" t="n">
        <v>0</v>
      </c>
      <c r="R503" s="2" t="inlineStr"/>
    </row>
    <row r="504" ht="15" customHeight="1">
      <c r="A504" t="inlineStr">
        <is>
          <t>A 4210-2023</t>
        </is>
      </c>
      <c r="B504" s="1" t="n">
        <v>44953</v>
      </c>
      <c r="C504" s="1" t="n">
        <v>45837</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4209-2023</t>
        </is>
      </c>
      <c r="B505" s="1" t="n">
        <v>44953</v>
      </c>
      <c r="C505" s="1" t="n">
        <v>45837</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4206-2023</t>
        </is>
      </c>
      <c r="B506" s="1" t="n">
        <v>44953</v>
      </c>
      <c r="C506" s="1" t="n">
        <v>45837</v>
      </c>
      <c r="D506" t="inlineStr">
        <is>
          <t>DALARNAS LÄN</t>
        </is>
      </c>
      <c r="E506" t="inlineStr">
        <is>
          <t>MORA</t>
        </is>
      </c>
      <c r="G506" t="n">
        <v>3.1</v>
      </c>
      <c r="H506" t="n">
        <v>0</v>
      </c>
      <c r="I506" t="n">
        <v>0</v>
      </c>
      <c r="J506" t="n">
        <v>0</v>
      </c>
      <c r="K506" t="n">
        <v>0</v>
      </c>
      <c r="L506" t="n">
        <v>0</v>
      </c>
      <c r="M506" t="n">
        <v>0</v>
      </c>
      <c r="N506" t="n">
        <v>0</v>
      </c>
      <c r="O506" t="n">
        <v>0</v>
      </c>
      <c r="P506" t="n">
        <v>0</v>
      </c>
      <c r="Q506" t="n">
        <v>0</v>
      </c>
      <c r="R506" s="2" t="inlineStr"/>
    </row>
    <row r="507" ht="15" customHeight="1">
      <c r="A507" t="inlineStr">
        <is>
          <t>A 4208-2023</t>
        </is>
      </c>
      <c r="B507" s="1" t="n">
        <v>44953</v>
      </c>
      <c r="C507" s="1" t="n">
        <v>45837</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4497-2023</t>
        </is>
      </c>
      <c r="B508" s="1" t="n">
        <v>44956</v>
      </c>
      <c r="C508" s="1" t="n">
        <v>45837</v>
      </c>
      <c r="D508" t="inlineStr">
        <is>
          <t>DALARNAS LÄN</t>
        </is>
      </c>
      <c r="E508" t="inlineStr">
        <is>
          <t>MORA</t>
        </is>
      </c>
      <c r="G508" t="n">
        <v>6.4</v>
      </c>
      <c r="H508" t="n">
        <v>0</v>
      </c>
      <c r="I508" t="n">
        <v>0</v>
      </c>
      <c r="J508" t="n">
        <v>0</v>
      </c>
      <c r="K508" t="n">
        <v>0</v>
      </c>
      <c r="L508" t="n">
        <v>0</v>
      </c>
      <c r="M508" t="n">
        <v>0</v>
      </c>
      <c r="N508" t="n">
        <v>0</v>
      </c>
      <c r="O508" t="n">
        <v>0</v>
      </c>
      <c r="P508" t="n">
        <v>0</v>
      </c>
      <c r="Q508" t="n">
        <v>0</v>
      </c>
      <c r="R508" s="2" t="inlineStr"/>
    </row>
    <row r="509" ht="15" customHeight="1">
      <c r="A509" t="inlineStr">
        <is>
          <t>A 4506-2023</t>
        </is>
      </c>
      <c r="B509" s="1" t="n">
        <v>44956</v>
      </c>
      <c r="C509" s="1" t="n">
        <v>45837</v>
      </c>
      <c r="D509" t="inlineStr">
        <is>
          <t>DALARNAS LÄN</t>
        </is>
      </c>
      <c r="E509" t="inlineStr">
        <is>
          <t>MORA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5309-2023</t>
        </is>
      </c>
      <c r="B510" s="1" t="n">
        <v>44956</v>
      </c>
      <c r="C510" s="1" t="n">
        <v>45837</v>
      </c>
      <c r="D510" t="inlineStr">
        <is>
          <t>DALARNAS LÄN</t>
        </is>
      </c>
      <c r="E510" t="inlineStr">
        <is>
          <t>MORA</t>
        </is>
      </c>
      <c r="G510" t="n">
        <v>1.1</v>
      </c>
      <c r="H510" t="n">
        <v>0</v>
      </c>
      <c r="I510" t="n">
        <v>0</v>
      </c>
      <c r="J510" t="n">
        <v>0</v>
      </c>
      <c r="K510" t="n">
        <v>0</v>
      </c>
      <c r="L510" t="n">
        <v>0</v>
      </c>
      <c r="M510" t="n">
        <v>0</v>
      </c>
      <c r="N510" t="n">
        <v>0</v>
      </c>
      <c r="O510" t="n">
        <v>0</v>
      </c>
      <c r="P510" t="n">
        <v>0</v>
      </c>
      <c r="Q510" t="n">
        <v>0</v>
      </c>
      <c r="R510" s="2" t="inlineStr"/>
    </row>
    <row r="511" ht="15" customHeight="1">
      <c r="A511" t="inlineStr">
        <is>
          <t>A 5486-2023</t>
        </is>
      </c>
      <c r="B511" s="1" t="n">
        <v>44957</v>
      </c>
      <c r="C511" s="1" t="n">
        <v>45837</v>
      </c>
      <c r="D511" t="inlineStr">
        <is>
          <t>DALARNAS LÄN</t>
        </is>
      </c>
      <c r="E511" t="inlineStr">
        <is>
          <t>MORA</t>
        </is>
      </c>
      <c r="G511" t="n">
        <v>3.2</v>
      </c>
      <c r="H511" t="n">
        <v>0</v>
      </c>
      <c r="I511" t="n">
        <v>0</v>
      </c>
      <c r="J511" t="n">
        <v>0</v>
      </c>
      <c r="K511" t="n">
        <v>0</v>
      </c>
      <c r="L511" t="n">
        <v>0</v>
      </c>
      <c r="M511" t="n">
        <v>0</v>
      </c>
      <c r="N511" t="n">
        <v>0</v>
      </c>
      <c r="O511" t="n">
        <v>0</v>
      </c>
      <c r="P511" t="n">
        <v>0</v>
      </c>
      <c r="Q511" t="n">
        <v>0</v>
      </c>
      <c r="R511" s="2" t="inlineStr"/>
    </row>
    <row r="512" ht="15" customHeight="1">
      <c r="A512" t="inlineStr">
        <is>
          <t>A 5493-2023</t>
        </is>
      </c>
      <c r="B512" s="1" t="n">
        <v>44957</v>
      </c>
      <c r="C512" s="1" t="n">
        <v>45837</v>
      </c>
      <c r="D512" t="inlineStr">
        <is>
          <t>DALARNAS LÄN</t>
        </is>
      </c>
      <c r="E512" t="inlineStr">
        <is>
          <t>MORA</t>
        </is>
      </c>
      <c r="F512" t="inlineStr">
        <is>
          <t>Allmännings- och besparingsskogar</t>
        </is>
      </c>
      <c r="G512" t="n">
        <v>14.9</v>
      </c>
      <c r="H512" t="n">
        <v>0</v>
      </c>
      <c r="I512" t="n">
        <v>0</v>
      </c>
      <c r="J512" t="n">
        <v>0</v>
      </c>
      <c r="K512" t="n">
        <v>0</v>
      </c>
      <c r="L512" t="n">
        <v>0</v>
      </c>
      <c r="M512" t="n">
        <v>0</v>
      </c>
      <c r="N512" t="n">
        <v>0</v>
      </c>
      <c r="O512" t="n">
        <v>0</v>
      </c>
      <c r="P512" t="n">
        <v>0</v>
      </c>
      <c r="Q512" t="n">
        <v>0</v>
      </c>
      <c r="R512" s="2" t="inlineStr"/>
    </row>
    <row r="513" ht="15" customHeight="1">
      <c r="A513" t="inlineStr">
        <is>
          <t>A 5491-2023</t>
        </is>
      </c>
      <c r="B513" s="1" t="n">
        <v>44957</v>
      </c>
      <c r="C513" s="1" t="n">
        <v>45837</v>
      </c>
      <c r="D513" t="inlineStr">
        <is>
          <t>DALARNAS LÄN</t>
        </is>
      </c>
      <c r="E513" t="inlineStr">
        <is>
          <t>MORA</t>
        </is>
      </c>
      <c r="G513" t="n">
        <v>3.5</v>
      </c>
      <c r="H513" t="n">
        <v>0</v>
      </c>
      <c r="I513" t="n">
        <v>0</v>
      </c>
      <c r="J513" t="n">
        <v>0</v>
      </c>
      <c r="K513" t="n">
        <v>0</v>
      </c>
      <c r="L513" t="n">
        <v>0</v>
      </c>
      <c r="M513" t="n">
        <v>0</v>
      </c>
      <c r="N513" t="n">
        <v>0</v>
      </c>
      <c r="O513" t="n">
        <v>0</v>
      </c>
      <c r="P513" t="n">
        <v>0</v>
      </c>
      <c r="Q513" t="n">
        <v>0</v>
      </c>
      <c r="R513" s="2" t="inlineStr"/>
    </row>
    <row r="514" ht="15" customHeight="1">
      <c r="A514" t="inlineStr">
        <is>
          <t>A 5028-2023</t>
        </is>
      </c>
      <c r="B514" s="1" t="n">
        <v>44958</v>
      </c>
      <c r="C514" s="1" t="n">
        <v>45837</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5031-2023</t>
        </is>
      </c>
      <c r="B515" s="1" t="n">
        <v>44958</v>
      </c>
      <c r="C515" s="1" t="n">
        <v>45837</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5298-2023</t>
        </is>
      </c>
      <c r="B516" s="1" t="n">
        <v>44959</v>
      </c>
      <c r="C516" s="1" t="n">
        <v>45837</v>
      </c>
      <c r="D516" t="inlineStr">
        <is>
          <t>DALARNAS LÄN</t>
        </is>
      </c>
      <c r="E516" t="inlineStr">
        <is>
          <t>MORA</t>
        </is>
      </c>
      <c r="F516" t="inlineStr">
        <is>
          <t>Bergvik skog väst AB</t>
        </is>
      </c>
      <c r="G516" t="n">
        <v>6.2</v>
      </c>
      <c r="H516" t="n">
        <v>0</v>
      </c>
      <c r="I516" t="n">
        <v>0</v>
      </c>
      <c r="J516" t="n">
        <v>0</v>
      </c>
      <c r="K516" t="n">
        <v>0</v>
      </c>
      <c r="L516" t="n">
        <v>0</v>
      </c>
      <c r="M516" t="n">
        <v>0</v>
      </c>
      <c r="N516" t="n">
        <v>0</v>
      </c>
      <c r="O516" t="n">
        <v>0</v>
      </c>
      <c r="P516" t="n">
        <v>0</v>
      </c>
      <c r="Q516" t="n">
        <v>0</v>
      </c>
      <c r="R516" s="2" t="inlineStr"/>
    </row>
    <row r="517" ht="15" customHeight="1">
      <c r="A517" t="inlineStr">
        <is>
          <t>A 6168-2023</t>
        </is>
      </c>
      <c r="B517" s="1" t="n">
        <v>44964</v>
      </c>
      <c r="C517" s="1" t="n">
        <v>45837</v>
      </c>
      <c r="D517" t="inlineStr">
        <is>
          <t>DALARNAS LÄN</t>
        </is>
      </c>
      <c r="E517" t="inlineStr">
        <is>
          <t>MORA</t>
        </is>
      </c>
      <c r="G517" t="n">
        <v>12.7</v>
      </c>
      <c r="H517" t="n">
        <v>0</v>
      </c>
      <c r="I517" t="n">
        <v>0</v>
      </c>
      <c r="J517" t="n">
        <v>0</v>
      </c>
      <c r="K517" t="n">
        <v>0</v>
      </c>
      <c r="L517" t="n">
        <v>0</v>
      </c>
      <c r="M517" t="n">
        <v>0</v>
      </c>
      <c r="N517" t="n">
        <v>0</v>
      </c>
      <c r="O517" t="n">
        <v>0</v>
      </c>
      <c r="P517" t="n">
        <v>0</v>
      </c>
      <c r="Q517" t="n">
        <v>0</v>
      </c>
      <c r="R517" s="2" t="inlineStr"/>
    </row>
    <row r="518" ht="15" customHeight="1">
      <c r="A518" t="inlineStr">
        <is>
          <t>A 7613-2023</t>
        </is>
      </c>
      <c r="B518" s="1" t="n">
        <v>44967</v>
      </c>
      <c r="C518" s="1" t="n">
        <v>45837</v>
      </c>
      <c r="D518" t="inlineStr">
        <is>
          <t>DALARNAS LÄN</t>
        </is>
      </c>
      <c r="E518" t="inlineStr">
        <is>
          <t>MORA</t>
        </is>
      </c>
      <c r="G518" t="n">
        <v>3.8</v>
      </c>
      <c r="H518" t="n">
        <v>0</v>
      </c>
      <c r="I518" t="n">
        <v>0</v>
      </c>
      <c r="J518" t="n">
        <v>0</v>
      </c>
      <c r="K518" t="n">
        <v>0</v>
      </c>
      <c r="L518" t="n">
        <v>0</v>
      </c>
      <c r="M518" t="n">
        <v>0</v>
      </c>
      <c r="N518" t="n">
        <v>0</v>
      </c>
      <c r="O518" t="n">
        <v>0</v>
      </c>
      <c r="P518" t="n">
        <v>0</v>
      </c>
      <c r="Q518" t="n">
        <v>0</v>
      </c>
      <c r="R518" s="2" t="inlineStr"/>
    </row>
    <row r="519" ht="15" customHeight="1">
      <c r="A519" t="inlineStr">
        <is>
          <t>A 7464-2023</t>
        </is>
      </c>
      <c r="B519" s="1" t="n">
        <v>44971</v>
      </c>
      <c r="C519" s="1" t="n">
        <v>45837</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8785-2023</t>
        </is>
      </c>
      <c r="B520" s="1" t="n">
        <v>44978</v>
      </c>
      <c r="C520" s="1" t="n">
        <v>45837</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9023-2023</t>
        </is>
      </c>
      <c r="B521" s="1" t="n">
        <v>44979</v>
      </c>
      <c r="C521" s="1" t="n">
        <v>45837</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9828-2023</t>
        </is>
      </c>
      <c r="B522" s="1" t="n">
        <v>44984</v>
      </c>
      <c r="C522" s="1" t="n">
        <v>45837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10210-2023</t>
        </is>
      </c>
      <c r="B523" s="1" t="n">
        <v>44986</v>
      </c>
      <c r="C523" s="1" t="n">
        <v>45837</v>
      </c>
      <c r="D523" t="inlineStr">
        <is>
          <t>DALARNAS LÄN</t>
        </is>
      </c>
      <c r="E523" t="inlineStr">
        <is>
          <t>MORA</t>
        </is>
      </c>
      <c r="G523" t="n">
        <v>19.7</v>
      </c>
      <c r="H523" t="n">
        <v>0</v>
      </c>
      <c r="I523" t="n">
        <v>0</v>
      </c>
      <c r="J523" t="n">
        <v>0</v>
      </c>
      <c r="K523" t="n">
        <v>0</v>
      </c>
      <c r="L523" t="n">
        <v>0</v>
      </c>
      <c r="M523" t="n">
        <v>0</v>
      </c>
      <c r="N523" t="n">
        <v>0</v>
      </c>
      <c r="O523" t="n">
        <v>0</v>
      </c>
      <c r="P523" t="n">
        <v>0</v>
      </c>
      <c r="Q523" t="n">
        <v>0</v>
      </c>
      <c r="R523" s="2" t="inlineStr"/>
    </row>
    <row r="524" ht="15" customHeight="1">
      <c r="A524" t="inlineStr">
        <is>
          <t>A 11857-2023</t>
        </is>
      </c>
      <c r="B524" s="1" t="n">
        <v>44995</v>
      </c>
      <c r="C524" s="1" t="n">
        <v>45837</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12675-2023</t>
        </is>
      </c>
      <c r="B525" s="1" t="n">
        <v>45000</v>
      </c>
      <c r="C525" s="1" t="n">
        <v>45837</v>
      </c>
      <c r="D525" t="inlineStr">
        <is>
          <t>DALARNAS LÄN</t>
        </is>
      </c>
      <c r="E525" t="inlineStr">
        <is>
          <t>MORA</t>
        </is>
      </c>
      <c r="G525" t="n">
        <v>1.5</v>
      </c>
      <c r="H525" t="n">
        <v>0</v>
      </c>
      <c r="I525" t="n">
        <v>0</v>
      </c>
      <c r="J525" t="n">
        <v>0</v>
      </c>
      <c r="K525" t="n">
        <v>0</v>
      </c>
      <c r="L525" t="n">
        <v>0</v>
      </c>
      <c r="M525" t="n">
        <v>0</v>
      </c>
      <c r="N525" t="n">
        <v>0</v>
      </c>
      <c r="O525" t="n">
        <v>0</v>
      </c>
      <c r="P525" t="n">
        <v>0</v>
      </c>
      <c r="Q525" t="n">
        <v>0</v>
      </c>
      <c r="R525" s="2" t="inlineStr"/>
    </row>
    <row r="526" ht="15" customHeight="1">
      <c r="A526" t="inlineStr">
        <is>
          <t>A 12790-2023</t>
        </is>
      </c>
      <c r="B526" s="1" t="n">
        <v>45001</v>
      </c>
      <c r="C526" s="1" t="n">
        <v>45837</v>
      </c>
      <c r="D526" t="inlineStr">
        <is>
          <t>DALARNAS LÄN</t>
        </is>
      </c>
      <c r="E526" t="inlineStr">
        <is>
          <t>MORA</t>
        </is>
      </c>
      <c r="G526" t="n">
        <v>12.3</v>
      </c>
      <c r="H526" t="n">
        <v>0</v>
      </c>
      <c r="I526" t="n">
        <v>0</v>
      </c>
      <c r="J526" t="n">
        <v>0</v>
      </c>
      <c r="K526" t="n">
        <v>0</v>
      </c>
      <c r="L526" t="n">
        <v>0</v>
      </c>
      <c r="M526" t="n">
        <v>0</v>
      </c>
      <c r="N526" t="n">
        <v>0</v>
      </c>
      <c r="O526" t="n">
        <v>0</v>
      </c>
      <c r="P526" t="n">
        <v>0</v>
      </c>
      <c r="Q526" t="n">
        <v>0</v>
      </c>
      <c r="R526" s="2" t="inlineStr"/>
    </row>
    <row r="527" ht="15" customHeight="1">
      <c r="A527" t="inlineStr">
        <is>
          <t>A 12828-2023</t>
        </is>
      </c>
      <c r="B527" s="1" t="n">
        <v>45001</v>
      </c>
      <c r="C527" s="1" t="n">
        <v>45837</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13177-2023</t>
        </is>
      </c>
      <c r="B528" s="1" t="n">
        <v>45002</v>
      </c>
      <c r="C528" s="1" t="n">
        <v>45837</v>
      </c>
      <c r="D528" t="inlineStr">
        <is>
          <t>DALARNAS LÄN</t>
        </is>
      </c>
      <c r="E528" t="inlineStr">
        <is>
          <t>MORA</t>
        </is>
      </c>
      <c r="G528" t="n">
        <v>17.5</v>
      </c>
      <c r="H528" t="n">
        <v>0</v>
      </c>
      <c r="I528" t="n">
        <v>0</v>
      </c>
      <c r="J528" t="n">
        <v>0</v>
      </c>
      <c r="K528" t="n">
        <v>0</v>
      </c>
      <c r="L528" t="n">
        <v>0</v>
      </c>
      <c r="M528" t="n">
        <v>0</v>
      </c>
      <c r="N528" t="n">
        <v>0</v>
      </c>
      <c r="O528" t="n">
        <v>0</v>
      </c>
      <c r="P528" t="n">
        <v>0</v>
      </c>
      <c r="Q528" t="n">
        <v>0</v>
      </c>
      <c r="R528" s="2" t="inlineStr"/>
    </row>
    <row r="529" ht="15" customHeight="1">
      <c r="A529" t="inlineStr">
        <is>
          <t>A 13717-2023</t>
        </is>
      </c>
      <c r="B529" s="1" t="n">
        <v>45007</v>
      </c>
      <c r="C529" s="1" t="n">
        <v>45837</v>
      </c>
      <c r="D529" t="inlineStr">
        <is>
          <t>DALARNAS LÄN</t>
        </is>
      </c>
      <c r="E529" t="inlineStr">
        <is>
          <t>MORA</t>
        </is>
      </c>
      <c r="G529" t="n">
        <v>5.6</v>
      </c>
      <c r="H529" t="n">
        <v>0</v>
      </c>
      <c r="I529" t="n">
        <v>0</v>
      </c>
      <c r="J529" t="n">
        <v>0</v>
      </c>
      <c r="K529" t="n">
        <v>0</v>
      </c>
      <c r="L529" t="n">
        <v>0</v>
      </c>
      <c r="M529" t="n">
        <v>0</v>
      </c>
      <c r="N529" t="n">
        <v>0</v>
      </c>
      <c r="O529" t="n">
        <v>0</v>
      </c>
      <c r="P529" t="n">
        <v>0</v>
      </c>
      <c r="Q529" t="n">
        <v>0</v>
      </c>
      <c r="R529" s="2" t="inlineStr"/>
      <c r="U529">
        <f>HYPERLINK("https://klasma.github.io/Logging_2062/knärot/A 13717-2023 karta knärot.png", "A 13717-2023")</f>
        <v/>
      </c>
      <c r="V529">
        <f>HYPERLINK("https://klasma.github.io/Logging_2062/klagomål/A 13717-2023 FSC-klagomål.docx", "A 13717-2023")</f>
        <v/>
      </c>
      <c r="W529">
        <f>HYPERLINK("https://klasma.github.io/Logging_2062/klagomålsmail/A 13717-2023 FSC-klagomål mail.docx", "A 13717-2023")</f>
        <v/>
      </c>
      <c r="X529">
        <f>HYPERLINK("https://klasma.github.io/Logging_2062/tillsyn/A 13717-2023 tillsynsbegäran.docx", "A 13717-2023")</f>
        <v/>
      </c>
      <c r="Y529">
        <f>HYPERLINK("https://klasma.github.io/Logging_2062/tillsynsmail/A 13717-2023 tillsynsbegäran mail.docx", "A 13717-2023")</f>
        <v/>
      </c>
    </row>
    <row r="530" ht="15" customHeight="1">
      <c r="A530" t="inlineStr">
        <is>
          <t>A 14040-2023</t>
        </is>
      </c>
      <c r="B530" s="1" t="n">
        <v>45008</v>
      </c>
      <c r="C530" s="1" t="n">
        <v>45837</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14641-2023</t>
        </is>
      </c>
      <c r="B531" s="1" t="n">
        <v>45013</v>
      </c>
      <c r="C531" s="1" t="n">
        <v>45837</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14981-2023</t>
        </is>
      </c>
      <c r="B532" s="1" t="n">
        <v>45015</v>
      </c>
      <c r="C532" s="1" t="n">
        <v>45837</v>
      </c>
      <c r="D532" t="inlineStr">
        <is>
          <t>DALARNAS LÄN</t>
        </is>
      </c>
      <c r="E532" t="inlineStr">
        <is>
          <t>MORA</t>
        </is>
      </c>
      <c r="G532" t="n">
        <v>11.7</v>
      </c>
      <c r="H532" t="n">
        <v>0</v>
      </c>
      <c r="I532" t="n">
        <v>0</v>
      </c>
      <c r="J532" t="n">
        <v>0</v>
      </c>
      <c r="K532" t="n">
        <v>0</v>
      </c>
      <c r="L532" t="n">
        <v>0</v>
      </c>
      <c r="M532" t="n">
        <v>0</v>
      </c>
      <c r="N532" t="n">
        <v>0</v>
      </c>
      <c r="O532" t="n">
        <v>0</v>
      </c>
      <c r="P532" t="n">
        <v>0</v>
      </c>
      <c r="Q532" t="n">
        <v>0</v>
      </c>
      <c r="R532" s="2" t="inlineStr"/>
    </row>
    <row r="533" ht="15" customHeight="1">
      <c r="A533" t="inlineStr">
        <is>
          <t>A 15416-2023</t>
        </is>
      </c>
      <c r="B533" s="1" t="n">
        <v>45019</v>
      </c>
      <c r="C533" s="1" t="n">
        <v>45837</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15415-2023</t>
        </is>
      </c>
      <c r="B534" s="1" t="n">
        <v>45019</v>
      </c>
      <c r="C534" s="1" t="n">
        <v>45837</v>
      </c>
      <c r="D534" t="inlineStr">
        <is>
          <t>DALARNAS LÄN</t>
        </is>
      </c>
      <c r="E534" t="inlineStr">
        <is>
          <t>MORA</t>
        </is>
      </c>
      <c r="G534" t="n">
        <v>7.2</v>
      </c>
      <c r="H534" t="n">
        <v>0</v>
      </c>
      <c r="I534" t="n">
        <v>0</v>
      </c>
      <c r="J534" t="n">
        <v>0</v>
      </c>
      <c r="K534" t="n">
        <v>0</v>
      </c>
      <c r="L534" t="n">
        <v>0</v>
      </c>
      <c r="M534" t="n">
        <v>0</v>
      </c>
      <c r="N534" t="n">
        <v>0</v>
      </c>
      <c r="O534" t="n">
        <v>0</v>
      </c>
      <c r="P534" t="n">
        <v>0</v>
      </c>
      <c r="Q534" t="n">
        <v>0</v>
      </c>
      <c r="R534" s="2" t="inlineStr"/>
    </row>
    <row r="535" ht="15" customHeight="1">
      <c r="A535" t="inlineStr">
        <is>
          <t>A 15671-2023</t>
        </is>
      </c>
      <c r="B535" s="1" t="n">
        <v>45021</v>
      </c>
      <c r="C535" s="1" t="n">
        <v>45837</v>
      </c>
      <c r="D535" t="inlineStr">
        <is>
          <t>DALARNAS LÄN</t>
        </is>
      </c>
      <c r="E535" t="inlineStr">
        <is>
          <t>MORA</t>
        </is>
      </c>
      <c r="G535" t="n">
        <v>14.3</v>
      </c>
      <c r="H535" t="n">
        <v>0</v>
      </c>
      <c r="I535" t="n">
        <v>0</v>
      </c>
      <c r="J535" t="n">
        <v>0</v>
      </c>
      <c r="K535" t="n">
        <v>0</v>
      </c>
      <c r="L535" t="n">
        <v>0</v>
      </c>
      <c r="M535" t="n">
        <v>0</v>
      </c>
      <c r="N535" t="n">
        <v>0</v>
      </c>
      <c r="O535" t="n">
        <v>0</v>
      </c>
      <c r="P535" t="n">
        <v>0</v>
      </c>
      <c r="Q535" t="n">
        <v>0</v>
      </c>
      <c r="R535" s="2" t="inlineStr"/>
    </row>
    <row r="536" ht="15" customHeight="1">
      <c r="A536" t="inlineStr">
        <is>
          <t>A 16407-2023</t>
        </is>
      </c>
      <c r="B536" s="1" t="n">
        <v>45029</v>
      </c>
      <c r="C536" s="1" t="n">
        <v>45837</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16852-2023</t>
        </is>
      </c>
      <c r="B537" s="1" t="n">
        <v>45033</v>
      </c>
      <c r="C537" s="1" t="n">
        <v>45837</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17529-2023</t>
        </is>
      </c>
      <c r="B538" s="1" t="n">
        <v>45036</v>
      </c>
      <c r="C538" s="1" t="n">
        <v>45837</v>
      </c>
      <c r="D538" t="inlineStr">
        <is>
          <t>DALARNAS LÄN</t>
        </is>
      </c>
      <c r="E538" t="inlineStr">
        <is>
          <t>MORA</t>
        </is>
      </c>
      <c r="G538" t="n">
        <v>6</v>
      </c>
      <c r="H538" t="n">
        <v>0</v>
      </c>
      <c r="I538" t="n">
        <v>0</v>
      </c>
      <c r="J538" t="n">
        <v>0</v>
      </c>
      <c r="K538" t="n">
        <v>0</v>
      </c>
      <c r="L538" t="n">
        <v>0</v>
      </c>
      <c r="M538" t="n">
        <v>0</v>
      </c>
      <c r="N538" t="n">
        <v>0</v>
      </c>
      <c r="O538" t="n">
        <v>0</v>
      </c>
      <c r="P538" t="n">
        <v>0</v>
      </c>
      <c r="Q538" t="n">
        <v>0</v>
      </c>
      <c r="R538" s="2" t="inlineStr"/>
    </row>
    <row r="539" ht="15" customHeight="1">
      <c r="A539" t="inlineStr">
        <is>
          <t>A 18433-2023</t>
        </is>
      </c>
      <c r="B539" s="1" t="n">
        <v>45042</v>
      </c>
      <c r="C539" s="1" t="n">
        <v>45837</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18725-2023</t>
        </is>
      </c>
      <c r="B540" s="1" t="n">
        <v>45043</v>
      </c>
      <c r="C540" s="1" t="n">
        <v>45837</v>
      </c>
      <c r="D540" t="inlineStr">
        <is>
          <t>DALARNAS LÄN</t>
        </is>
      </c>
      <c r="E540" t="inlineStr">
        <is>
          <t>MORA</t>
        </is>
      </c>
      <c r="G540" t="n">
        <v>14.3</v>
      </c>
      <c r="H540" t="n">
        <v>0</v>
      </c>
      <c r="I540" t="n">
        <v>0</v>
      </c>
      <c r="J540" t="n">
        <v>0</v>
      </c>
      <c r="K540" t="n">
        <v>0</v>
      </c>
      <c r="L540" t="n">
        <v>0</v>
      </c>
      <c r="M540" t="n">
        <v>0</v>
      </c>
      <c r="N540" t="n">
        <v>0</v>
      </c>
      <c r="O540" t="n">
        <v>0</v>
      </c>
      <c r="P540" t="n">
        <v>0</v>
      </c>
      <c r="Q540" t="n">
        <v>0</v>
      </c>
      <c r="R540" s="2" t="inlineStr"/>
    </row>
    <row r="541" ht="15" customHeight="1">
      <c r="A541" t="inlineStr">
        <is>
          <t>A 19191-2023</t>
        </is>
      </c>
      <c r="B541" s="1" t="n">
        <v>45044</v>
      </c>
      <c r="C541" s="1" t="n">
        <v>45837</v>
      </c>
      <c r="D541" t="inlineStr">
        <is>
          <t>DALARNAS LÄN</t>
        </is>
      </c>
      <c r="E541" t="inlineStr">
        <is>
          <t>MORA</t>
        </is>
      </c>
      <c r="G541" t="n">
        <v>12.5</v>
      </c>
      <c r="H541" t="n">
        <v>0</v>
      </c>
      <c r="I541" t="n">
        <v>0</v>
      </c>
      <c r="J541" t="n">
        <v>0</v>
      </c>
      <c r="K541" t="n">
        <v>0</v>
      </c>
      <c r="L541" t="n">
        <v>0</v>
      </c>
      <c r="M541" t="n">
        <v>0</v>
      </c>
      <c r="N541" t="n">
        <v>0</v>
      </c>
      <c r="O541" t="n">
        <v>0</v>
      </c>
      <c r="P541" t="n">
        <v>0</v>
      </c>
      <c r="Q541" t="n">
        <v>0</v>
      </c>
      <c r="R541" s="2" t="inlineStr"/>
    </row>
    <row r="542" ht="15" customHeight="1">
      <c r="A542" t="inlineStr">
        <is>
          <t>A 19202-2023</t>
        </is>
      </c>
      <c r="B542" s="1" t="n">
        <v>45044</v>
      </c>
      <c r="C542" s="1" t="n">
        <v>45837</v>
      </c>
      <c r="D542" t="inlineStr">
        <is>
          <t>DALARNAS LÄN</t>
        </is>
      </c>
      <c r="E542" t="inlineStr">
        <is>
          <t>MORA</t>
        </is>
      </c>
      <c r="G542" t="n">
        <v>28.5</v>
      </c>
      <c r="H542" t="n">
        <v>0</v>
      </c>
      <c r="I542" t="n">
        <v>0</v>
      </c>
      <c r="J542" t="n">
        <v>0</v>
      </c>
      <c r="K542" t="n">
        <v>0</v>
      </c>
      <c r="L542" t="n">
        <v>0</v>
      </c>
      <c r="M542" t="n">
        <v>0</v>
      </c>
      <c r="N542" t="n">
        <v>0</v>
      </c>
      <c r="O542" t="n">
        <v>0</v>
      </c>
      <c r="P542" t="n">
        <v>0</v>
      </c>
      <c r="Q542" t="n">
        <v>0</v>
      </c>
      <c r="R542" s="2" t="inlineStr"/>
    </row>
    <row r="543" ht="15" customHeight="1">
      <c r="A543" t="inlineStr">
        <is>
          <t>A 19286-2023</t>
        </is>
      </c>
      <c r="B543" s="1" t="n">
        <v>45049</v>
      </c>
      <c r="C543" s="1" t="n">
        <v>45837</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20297-2023</t>
        </is>
      </c>
      <c r="B544" s="1" t="n">
        <v>45056</v>
      </c>
      <c r="C544" s="1" t="n">
        <v>45837</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20299-2023</t>
        </is>
      </c>
      <c r="B545" s="1" t="n">
        <v>45056</v>
      </c>
      <c r="C545" s="1" t="n">
        <v>45837</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20300-2023</t>
        </is>
      </c>
      <c r="B546" s="1" t="n">
        <v>45056</v>
      </c>
      <c r="C546" s="1" t="n">
        <v>45837</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20504-2023</t>
        </is>
      </c>
      <c r="B547" s="1" t="n">
        <v>45057</v>
      </c>
      <c r="C547" s="1" t="n">
        <v>45837</v>
      </c>
      <c r="D547" t="inlineStr">
        <is>
          <t>DALARNAS LÄN</t>
        </is>
      </c>
      <c r="E547" t="inlineStr">
        <is>
          <t>MORA</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20563-2023</t>
        </is>
      </c>
      <c r="B548" s="1" t="n">
        <v>45057</v>
      </c>
      <c r="C548" s="1" t="n">
        <v>45837</v>
      </c>
      <c r="D548" t="inlineStr">
        <is>
          <t>DALARNAS LÄN</t>
        </is>
      </c>
      <c r="E548" t="inlineStr">
        <is>
          <t>MORA</t>
        </is>
      </c>
      <c r="F548" t="inlineStr">
        <is>
          <t>Bergvik skog öst AB</t>
        </is>
      </c>
      <c r="G548" t="n">
        <v>23.2</v>
      </c>
      <c r="H548" t="n">
        <v>0</v>
      </c>
      <c r="I548" t="n">
        <v>0</v>
      </c>
      <c r="J548" t="n">
        <v>0</v>
      </c>
      <c r="K548" t="n">
        <v>0</v>
      </c>
      <c r="L548" t="n">
        <v>0</v>
      </c>
      <c r="M548" t="n">
        <v>0</v>
      </c>
      <c r="N548" t="n">
        <v>0</v>
      </c>
      <c r="O548" t="n">
        <v>0</v>
      </c>
      <c r="P548" t="n">
        <v>0</v>
      </c>
      <c r="Q548" t="n">
        <v>0</v>
      </c>
      <c r="R548" s="2" t="inlineStr"/>
    </row>
    <row r="549" ht="15" customHeight="1">
      <c r="A549" t="inlineStr">
        <is>
          <t>A 21034-2023</t>
        </is>
      </c>
      <c r="B549" s="1" t="n">
        <v>45061</v>
      </c>
      <c r="C549" s="1" t="n">
        <v>45837</v>
      </c>
      <c r="D549" t="inlineStr">
        <is>
          <t>DALARNAS LÄN</t>
        </is>
      </c>
      <c r="E549" t="inlineStr">
        <is>
          <t>MORA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21055-2023</t>
        </is>
      </c>
      <c r="B550" s="1" t="n">
        <v>45061</v>
      </c>
      <c r="C550" s="1" t="n">
        <v>45837</v>
      </c>
      <c r="D550" t="inlineStr">
        <is>
          <t>DALARNAS LÄN</t>
        </is>
      </c>
      <c r="E550" t="inlineStr">
        <is>
          <t>MORA</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21027-2023</t>
        </is>
      </c>
      <c r="B551" s="1" t="n">
        <v>45061</v>
      </c>
      <c r="C551" s="1" t="n">
        <v>45837</v>
      </c>
      <c r="D551" t="inlineStr">
        <is>
          <t>DALARNAS LÄN</t>
        </is>
      </c>
      <c r="E551" t="inlineStr">
        <is>
          <t>MORA</t>
        </is>
      </c>
      <c r="F551" t="inlineStr">
        <is>
          <t>Bergvik skog öst AB</t>
        </is>
      </c>
      <c r="G551" t="n">
        <v>5.1</v>
      </c>
      <c r="H551" t="n">
        <v>0</v>
      </c>
      <c r="I551" t="n">
        <v>0</v>
      </c>
      <c r="J551" t="n">
        <v>0</v>
      </c>
      <c r="K551" t="n">
        <v>0</v>
      </c>
      <c r="L551" t="n">
        <v>0</v>
      </c>
      <c r="M551" t="n">
        <v>0</v>
      </c>
      <c r="N551" t="n">
        <v>0</v>
      </c>
      <c r="O551" t="n">
        <v>0</v>
      </c>
      <c r="P551" t="n">
        <v>0</v>
      </c>
      <c r="Q551" t="n">
        <v>0</v>
      </c>
      <c r="R551" s="2" t="inlineStr"/>
    </row>
    <row r="552" ht="15" customHeight="1">
      <c r="A552" t="inlineStr">
        <is>
          <t>A 21410-2023</t>
        </is>
      </c>
      <c r="B552" s="1" t="n">
        <v>45063</v>
      </c>
      <c r="C552" s="1" t="n">
        <v>45837</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21898-2023</t>
        </is>
      </c>
      <c r="B553" s="1" t="n">
        <v>45068</v>
      </c>
      <c r="C553" s="1" t="n">
        <v>45837</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21834-2023</t>
        </is>
      </c>
      <c r="B554" s="1" t="n">
        <v>45068</v>
      </c>
      <c r="C554" s="1" t="n">
        <v>45837</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21896-2023</t>
        </is>
      </c>
      <c r="B555" s="1" t="n">
        <v>45068</v>
      </c>
      <c r="C555" s="1" t="n">
        <v>45837</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22449-2023</t>
        </is>
      </c>
      <c r="B556" s="1" t="n">
        <v>45070</v>
      </c>
      <c r="C556" s="1" t="n">
        <v>45837</v>
      </c>
      <c r="D556" t="inlineStr">
        <is>
          <t>DALARNAS LÄN</t>
        </is>
      </c>
      <c r="E556" t="inlineStr">
        <is>
          <t>MORA</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22492-2023</t>
        </is>
      </c>
      <c r="B557" s="1" t="n">
        <v>45071</v>
      </c>
      <c r="C557" s="1" t="n">
        <v>45837</v>
      </c>
      <c r="D557" t="inlineStr">
        <is>
          <t>DALARNAS LÄN</t>
        </is>
      </c>
      <c r="E557" t="inlineStr">
        <is>
          <t>MORA</t>
        </is>
      </c>
      <c r="G557" t="n">
        <v>5.8</v>
      </c>
      <c r="H557" t="n">
        <v>0</v>
      </c>
      <c r="I557" t="n">
        <v>0</v>
      </c>
      <c r="J557" t="n">
        <v>0</v>
      </c>
      <c r="K557" t="n">
        <v>0</v>
      </c>
      <c r="L557" t="n">
        <v>0</v>
      </c>
      <c r="M557" t="n">
        <v>0</v>
      </c>
      <c r="N557" t="n">
        <v>0</v>
      </c>
      <c r="O557" t="n">
        <v>0</v>
      </c>
      <c r="P557" t="n">
        <v>0</v>
      </c>
      <c r="Q557" t="n">
        <v>0</v>
      </c>
      <c r="R557" s="2" t="inlineStr"/>
    </row>
    <row r="558" ht="15" customHeight="1">
      <c r="A558" t="inlineStr">
        <is>
          <t>A 22785-2023</t>
        </is>
      </c>
      <c r="B558" s="1" t="n">
        <v>45072</v>
      </c>
      <c r="C558" s="1" t="n">
        <v>45837</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22841-2023</t>
        </is>
      </c>
      <c r="B559" s="1" t="n">
        <v>45072</v>
      </c>
      <c r="C559" s="1" t="n">
        <v>45837</v>
      </c>
      <c r="D559" t="inlineStr">
        <is>
          <t>DALARNAS LÄN</t>
        </is>
      </c>
      <c r="E559" t="inlineStr">
        <is>
          <t>MORA</t>
        </is>
      </c>
      <c r="G559" t="n">
        <v>4</v>
      </c>
      <c r="H559" t="n">
        <v>0</v>
      </c>
      <c r="I559" t="n">
        <v>0</v>
      </c>
      <c r="J559" t="n">
        <v>0</v>
      </c>
      <c r="K559" t="n">
        <v>0</v>
      </c>
      <c r="L559" t="n">
        <v>0</v>
      </c>
      <c r="M559" t="n">
        <v>0</v>
      </c>
      <c r="N559" t="n">
        <v>0</v>
      </c>
      <c r="O559" t="n">
        <v>0</v>
      </c>
      <c r="P559" t="n">
        <v>0</v>
      </c>
      <c r="Q559" t="n">
        <v>0</v>
      </c>
      <c r="R559" s="2" t="inlineStr"/>
    </row>
    <row r="560" ht="15" customHeight="1">
      <c r="A560" t="inlineStr">
        <is>
          <t>A 22881-2023</t>
        </is>
      </c>
      <c r="B560" s="1" t="n">
        <v>45072</v>
      </c>
      <c r="C560" s="1" t="n">
        <v>45837</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22888-2023</t>
        </is>
      </c>
      <c r="B561" s="1" t="n">
        <v>45072</v>
      </c>
      <c r="C561" s="1" t="n">
        <v>45837</v>
      </c>
      <c r="D561" t="inlineStr">
        <is>
          <t>DALARNAS LÄN</t>
        </is>
      </c>
      <c r="E561" t="inlineStr">
        <is>
          <t>MORA</t>
        </is>
      </c>
      <c r="G561" t="n">
        <v>3.5</v>
      </c>
      <c r="H561" t="n">
        <v>0</v>
      </c>
      <c r="I561" t="n">
        <v>0</v>
      </c>
      <c r="J561" t="n">
        <v>0</v>
      </c>
      <c r="K561" t="n">
        <v>0</v>
      </c>
      <c r="L561" t="n">
        <v>0</v>
      </c>
      <c r="M561" t="n">
        <v>0</v>
      </c>
      <c r="N561" t="n">
        <v>0</v>
      </c>
      <c r="O561" t="n">
        <v>0</v>
      </c>
      <c r="P561" t="n">
        <v>0</v>
      </c>
      <c r="Q561" t="n">
        <v>0</v>
      </c>
      <c r="R561" s="2" t="inlineStr"/>
    </row>
    <row r="562" ht="15" customHeight="1">
      <c r="A562" t="inlineStr">
        <is>
          <t>A 22854-2023</t>
        </is>
      </c>
      <c r="B562" s="1" t="n">
        <v>45072</v>
      </c>
      <c r="C562" s="1" t="n">
        <v>45837</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22887-2023</t>
        </is>
      </c>
      <c r="B563" s="1" t="n">
        <v>45072</v>
      </c>
      <c r="C563" s="1" t="n">
        <v>45837</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23113-2023</t>
        </is>
      </c>
      <c r="B564" s="1" t="n">
        <v>45075</v>
      </c>
      <c r="C564" s="1" t="n">
        <v>45837</v>
      </c>
      <c r="D564" t="inlineStr">
        <is>
          <t>DALARNAS LÄN</t>
        </is>
      </c>
      <c r="E564" t="inlineStr">
        <is>
          <t>MORA</t>
        </is>
      </c>
      <c r="G564" t="n">
        <v>18.3</v>
      </c>
      <c r="H564" t="n">
        <v>0</v>
      </c>
      <c r="I564" t="n">
        <v>0</v>
      </c>
      <c r="J564" t="n">
        <v>0</v>
      </c>
      <c r="K564" t="n">
        <v>0</v>
      </c>
      <c r="L564" t="n">
        <v>0</v>
      </c>
      <c r="M564" t="n">
        <v>0</v>
      </c>
      <c r="N564" t="n">
        <v>0</v>
      </c>
      <c r="O564" t="n">
        <v>0</v>
      </c>
      <c r="P564" t="n">
        <v>0</v>
      </c>
      <c r="Q564" t="n">
        <v>0</v>
      </c>
      <c r="R564" s="2" t="inlineStr"/>
    </row>
    <row r="565" ht="15" customHeight="1">
      <c r="A565" t="inlineStr">
        <is>
          <t>A 23192-2023</t>
        </is>
      </c>
      <c r="B565" s="1" t="n">
        <v>45075</v>
      </c>
      <c r="C565" s="1" t="n">
        <v>45837</v>
      </c>
      <c r="D565" t="inlineStr">
        <is>
          <t>DALARNAS LÄN</t>
        </is>
      </c>
      <c r="E565" t="inlineStr">
        <is>
          <t>MORA</t>
        </is>
      </c>
      <c r="G565" t="n">
        <v>12.3</v>
      </c>
      <c r="H565" t="n">
        <v>0</v>
      </c>
      <c r="I565" t="n">
        <v>0</v>
      </c>
      <c r="J565" t="n">
        <v>0</v>
      </c>
      <c r="K565" t="n">
        <v>0</v>
      </c>
      <c r="L565" t="n">
        <v>0</v>
      </c>
      <c r="M565" t="n">
        <v>0</v>
      </c>
      <c r="N565" t="n">
        <v>0</v>
      </c>
      <c r="O565" t="n">
        <v>0</v>
      </c>
      <c r="P565" t="n">
        <v>0</v>
      </c>
      <c r="Q565" t="n">
        <v>0</v>
      </c>
      <c r="R565" s="2" t="inlineStr"/>
    </row>
    <row r="566" ht="15" customHeight="1">
      <c r="A566" t="inlineStr">
        <is>
          <t>A 23194-2023</t>
        </is>
      </c>
      <c r="B566" s="1" t="n">
        <v>45075</v>
      </c>
      <c r="C566" s="1" t="n">
        <v>45837</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23586-2023</t>
        </is>
      </c>
      <c r="B567" s="1" t="n">
        <v>45077</v>
      </c>
      <c r="C567" s="1" t="n">
        <v>45837</v>
      </c>
      <c r="D567" t="inlineStr">
        <is>
          <t>DALARNAS LÄN</t>
        </is>
      </c>
      <c r="E567" t="inlineStr">
        <is>
          <t>MORA</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23737-2023</t>
        </is>
      </c>
      <c r="B568" s="1" t="n">
        <v>45077</v>
      </c>
      <c r="C568" s="1" t="n">
        <v>45837</v>
      </c>
      <c r="D568" t="inlineStr">
        <is>
          <t>DALARNAS LÄN</t>
        </is>
      </c>
      <c r="E568" t="inlineStr">
        <is>
          <t>MORA</t>
        </is>
      </c>
      <c r="G568" t="n">
        <v>5.4</v>
      </c>
      <c r="H568" t="n">
        <v>0</v>
      </c>
      <c r="I568" t="n">
        <v>0</v>
      </c>
      <c r="J568" t="n">
        <v>0</v>
      </c>
      <c r="K568" t="n">
        <v>0</v>
      </c>
      <c r="L568" t="n">
        <v>0</v>
      </c>
      <c r="M568" t="n">
        <v>0</v>
      </c>
      <c r="N568" t="n">
        <v>0</v>
      </c>
      <c r="O568" t="n">
        <v>0</v>
      </c>
      <c r="P568" t="n">
        <v>0</v>
      </c>
      <c r="Q568" t="n">
        <v>0</v>
      </c>
      <c r="R568" s="2" t="inlineStr"/>
    </row>
    <row r="569" ht="15" customHeight="1">
      <c r="A569" t="inlineStr">
        <is>
          <t>A 23948-2023</t>
        </is>
      </c>
      <c r="B569" s="1" t="n">
        <v>45078</v>
      </c>
      <c r="C569" s="1" t="n">
        <v>45837</v>
      </c>
      <c r="D569" t="inlineStr">
        <is>
          <t>DALARNAS LÄN</t>
        </is>
      </c>
      <c r="E569" t="inlineStr">
        <is>
          <t>MORA</t>
        </is>
      </c>
      <c r="G569" t="n">
        <v>6.4</v>
      </c>
      <c r="H569" t="n">
        <v>0</v>
      </c>
      <c r="I569" t="n">
        <v>0</v>
      </c>
      <c r="J569" t="n">
        <v>0</v>
      </c>
      <c r="K569" t="n">
        <v>0</v>
      </c>
      <c r="L569" t="n">
        <v>0</v>
      </c>
      <c r="M569" t="n">
        <v>0</v>
      </c>
      <c r="N569" t="n">
        <v>0</v>
      </c>
      <c r="O569" t="n">
        <v>0</v>
      </c>
      <c r="P569" t="n">
        <v>0</v>
      </c>
      <c r="Q569" t="n">
        <v>0</v>
      </c>
      <c r="R569" s="2" t="inlineStr"/>
    </row>
    <row r="570" ht="15" customHeight="1">
      <c r="A570" t="inlineStr">
        <is>
          <t>A 24085-2023</t>
        </is>
      </c>
      <c r="B570" s="1" t="n">
        <v>45079</v>
      </c>
      <c r="C570" s="1" t="n">
        <v>45837</v>
      </c>
      <c r="D570" t="inlineStr">
        <is>
          <t>DALARNAS LÄN</t>
        </is>
      </c>
      <c r="E570" t="inlineStr">
        <is>
          <t>MORA</t>
        </is>
      </c>
      <c r="G570" t="n">
        <v>2.8</v>
      </c>
      <c r="H570" t="n">
        <v>0</v>
      </c>
      <c r="I570" t="n">
        <v>0</v>
      </c>
      <c r="J570" t="n">
        <v>0</v>
      </c>
      <c r="K570" t="n">
        <v>0</v>
      </c>
      <c r="L570" t="n">
        <v>0</v>
      </c>
      <c r="M570" t="n">
        <v>0</v>
      </c>
      <c r="N570" t="n">
        <v>0</v>
      </c>
      <c r="O570" t="n">
        <v>0</v>
      </c>
      <c r="P570" t="n">
        <v>0</v>
      </c>
      <c r="Q570" t="n">
        <v>0</v>
      </c>
      <c r="R570" s="2" t="inlineStr"/>
    </row>
    <row r="571" ht="15" customHeight="1">
      <c r="A571" t="inlineStr">
        <is>
          <t>A 25200-2023</t>
        </is>
      </c>
      <c r="B571" s="1" t="n">
        <v>45079</v>
      </c>
      <c r="C571" s="1" t="n">
        <v>45837</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24634-2023</t>
        </is>
      </c>
      <c r="B572" s="1" t="n">
        <v>45084</v>
      </c>
      <c r="C572" s="1" t="n">
        <v>45837</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24664-2023</t>
        </is>
      </c>
      <c r="B573" s="1" t="n">
        <v>45084</v>
      </c>
      <c r="C573" s="1" t="n">
        <v>45837</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24657-2023</t>
        </is>
      </c>
      <c r="B574" s="1" t="n">
        <v>45084</v>
      </c>
      <c r="C574" s="1" t="n">
        <v>45837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26273-2023</t>
        </is>
      </c>
      <c r="B575" s="1" t="n">
        <v>45086</v>
      </c>
      <c r="C575" s="1" t="n">
        <v>45837</v>
      </c>
      <c r="D575" t="inlineStr">
        <is>
          <t>DALARNAS LÄN</t>
        </is>
      </c>
      <c r="E575" t="inlineStr">
        <is>
          <t>MORA</t>
        </is>
      </c>
      <c r="G575" t="n">
        <v>3.9</v>
      </c>
      <c r="H575" t="n">
        <v>0</v>
      </c>
      <c r="I575" t="n">
        <v>0</v>
      </c>
      <c r="J575" t="n">
        <v>0</v>
      </c>
      <c r="K575" t="n">
        <v>0</v>
      </c>
      <c r="L575" t="n">
        <v>0</v>
      </c>
      <c r="M575" t="n">
        <v>0</v>
      </c>
      <c r="N575" t="n">
        <v>0</v>
      </c>
      <c r="O575" t="n">
        <v>0</v>
      </c>
      <c r="P575" t="n">
        <v>0</v>
      </c>
      <c r="Q575" t="n">
        <v>0</v>
      </c>
      <c r="R575" s="2" t="inlineStr"/>
    </row>
    <row r="576" ht="15" customHeight="1">
      <c r="A576" t="inlineStr">
        <is>
          <t>A 25629-2023</t>
        </is>
      </c>
      <c r="B576" s="1" t="n">
        <v>45089</v>
      </c>
      <c r="C576" s="1" t="n">
        <v>45837</v>
      </c>
      <c r="D576" t="inlineStr">
        <is>
          <t>DALARNAS LÄN</t>
        </is>
      </c>
      <c r="E576" t="inlineStr">
        <is>
          <t>MORA</t>
        </is>
      </c>
      <c r="F576" t="inlineStr">
        <is>
          <t>Bergvik skog väst AB</t>
        </is>
      </c>
      <c r="G576" t="n">
        <v>4.1</v>
      </c>
      <c r="H576" t="n">
        <v>0</v>
      </c>
      <c r="I576" t="n">
        <v>0</v>
      </c>
      <c r="J576" t="n">
        <v>0</v>
      </c>
      <c r="K576" t="n">
        <v>0</v>
      </c>
      <c r="L576" t="n">
        <v>0</v>
      </c>
      <c r="M576" t="n">
        <v>0</v>
      </c>
      <c r="N576" t="n">
        <v>0</v>
      </c>
      <c r="O576" t="n">
        <v>0</v>
      </c>
      <c r="P576" t="n">
        <v>0</v>
      </c>
      <c r="Q576" t="n">
        <v>0</v>
      </c>
      <c r="R576" s="2" t="inlineStr"/>
    </row>
    <row r="577" ht="15" customHeight="1">
      <c r="A577" t="inlineStr">
        <is>
          <t>A 25749-2023</t>
        </is>
      </c>
      <c r="B577" s="1" t="n">
        <v>45090</v>
      </c>
      <c r="C577" s="1" t="n">
        <v>45837</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25865-2023</t>
        </is>
      </c>
      <c r="B578" s="1" t="n">
        <v>45090</v>
      </c>
      <c r="C578" s="1" t="n">
        <v>45837</v>
      </c>
      <c r="D578" t="inlineStr">
        <is>
          <t>DALARNAS LÄN</t>
        </is>
      </c>
      <c r="E578" t="inlineStr">
        <is>
          <t>MORA</t>
        </is>
      </c>
      <c r="G578" t="n">
        <v>2.3</v>
      </c>
      <c r="H578" t="n">
        <v>0</v>
      </c>
      <c r="I578" t="n">
        <v>0</v>
      </c>
      <c r="J578" t="n">
        <v>0</v>
      </c>
      <c r="K578" t="n">
        <v>0</v>
      </c>
      <c r="L578" t="n">
        <v>0</v>
      </c>
      <c r="M578" t="n">
        <v>0</v>
      </c>
      <c r="N578" t="n">
        <v>0</v>
      </c>
      <c r="O578" t="n">
        <v>0</v>
      </c>
      <c r="P578" t="n">
        <v>0</v>
      </c>
      <c r="Q578" t="n">
        <v>0</v>
      </c>
      <c r="R578" s="2" t="inlineStr"/>
    </row>
    <row r="579" ht="15" customHeight="1">
      <c r="A579" t="inlineStr">
        <is>
          <t>A 25906-2023</t>
        </is>
      </c>
      <c r="B579" s="1" t="n">
        <v>45090</v>
      </c>
      <c r="C579" s="1" t="n">
        <v>45837</v>
      </c>
      <c r="D579" t="inlineStr">
        <is>
          <t>DALARNAS LÄN</t>
        </is>
      </c>
      <c r="E579" t="inlineStr">
        <is>
          <t>MORA</t>
        </is>
      </c>
      <c r="G579" t="n">
        <v>13.3</v>
      </c>
      <c r="H579" t="n">
        <v>0</v>
      </c>
      <c r="I579" t="n">
        <v>0</v>
      </c>
      <c r="J579" t="n">
        <v>0</v>
      </c>
      <c r="K579" t="n">
        <v>0</v>
      </c>
      <c r="L579" t="n">
        <v>0</v>
      </c>
      <c r="M579" t="n">
        <v>0</v>
      </c>
      <c r="N579" t="n">
        <v>0</v>
      </c>
      <c r="O579" t="n">
        <v>0</v>
      </c>
      <c r="P579" t="n">
        <v>0</v>
      </c>
      <c r="Q579" t="n">
        <v>0</v>
      </c>
      <c r="R579" s="2" t="inlineStr"/>
    </row>
    <row r="580" ht="15" customHeight="1">
      <c r="A580" t="inlineStr">
        <is>
          <t>A 25935-2023</t>
        </is>
      </c>
      <c r="B580" s="1" t="n">
        <v>45090</v>
      </c>
      <c r="C580" s="1" t="n">
        <v>45837</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25869-2023</t>
        </is>
      </c>
      <c r="B581" s="1" t="n">
        <v>45090</v>
      </c>
      <c r="C581" s="1" t="n">
        <v>45837</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25874-2023</t>
        </is>
      </c>
      <c r="B582" s="1" t="n">
        <v>45090</v>
      </c>
      <c r="C582" s="1" t="n">
        <v>45837</v>
      </c>
      <c r="D582" t="inlineStr">
        <is>
          <t>DALARNAS LÄN</t>
        </is>
      </c>
      <c r="E582" t="inlineStr">
        <is>
          <t>MORA</t>
        </is>
      </c>
      <c r="G582" t="n">
        <v>4.6</v>
      </c>
      <c r="H582" t="n">
        <v>0</v>
      </c>
      <c r="I582" t="n">
        <v>0</v>
      </c>
      <c r="J582" t="n">
        <v>0</v>
      </c>
      <c r="K582" t="n">
        <v>0</v>
      </c>
      <c r="L582" t="n">
        <v>0</v>
      </c>
      <c r="M582" t="n">
        <v>0</v>
      </c>
      <c r="N582" t="n">
        <v>0</v>
      </c>
      <c r="O582" t="n">
        <v>0</v>
      </c>
      <c r="P582" t="n">
        <v>0</v>
      </c>
      <c r="Q582" t="n">
        <v>0</v>
      </c>
      <c r="R582" s="2" t="inlineStr"/>
    </row>
    <row r="583" ht="15" customHeight="1">
      <c r="A583" t="inlineStr">
        <is>
          <t>A 25887-2023</t>
        </is>
      </c>
      <c r="B583" s="1" t="n">
        <v>45090</v>
      </c>
      <c r="C583" s="1" t="n">
        <v>45837</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26786-2023</t>
        </is>
      </c>
      <c r="B584" s="1" t="n">
        <v>45093</v>
      </c>
      <c r="C584" s="1" t="n">
        <v>45837</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27188-2023</t>
        </is>
      </c>
      <c r="B585" s="1" t="n">
        <v>45096</v>
      </c>
      <c r="C585" s="1" t="n">
        <v>45837</v>
      </c>
      <c r="D585" t="inlineStr">
        <is>
          <t>DALARNAS LÄN</t>
        </is>
      </c>
      <c r="E585" t="inlineStr">
        <is>
          <t>MORA</t>
        </is>
      </c>
      <c r="G585" t="n">
        <v>4.8</v>
      </c>
      <c r="H585" t="n">
        <v>0</v>
      </c>
      <c r="I585" t="n">
        <v>0</v>
      </c>
      <c r="J585" t="n">
        <v>0</v>
      </c>
      <c r="K585" t="n">
        <v>0</v>
      </c>
      <c r="L585" t="n">
        <v>0</v>
      </c>
      <c r="M585" t="n">
        <v>0</v>
      </c>
      <c r="N585" t="n">
        <v>0</v>
      </c>
      <c r="O585" t="n">
        <v>0</v>
      </c>
      <c r="P585" t="n">
        <v>0</v>
      </c>
      <c r="Q585" t="n">
        <v>0</v>
      </c>
      <c r="R585" s="2" t="inlineStr"/>
    </row>
    <row r="586" ht="15" customHeight="1">
      <c r="A586" t="inlineStr">
        <is>
          <t>A 27880-2023</t>
        </is>
      </c>
      <c r="B586" s="1" t="n">
        <v>45098</v>
      </c>
      <c r="C586" s="1" t="n">
        <v>45837</v>
      </c>
      <c r="D586" t="inlineStr">
        <is>
          <t>DALARNAS LÄN</t>
        </is>
      </c>
      <c r="E586" t="inlineStr">
        <is>
          <t>MORA</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27975-2023</t>
        </is>
      </c>
      <c r="B587" s="1" t="n">
        <v>45098</v>
      </c>
      <c r="C587" s="1" t="n">
        <v>45837</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28095-2023</t>
        </is>
      </c>
      <c r="B588" s="1" t="n">
        <v>45099</v>
      </c>
      <c r="C588" s="1" t="n">
        <v>45837</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28315-2023</t>
        </is>
      </c>
      <c r="B589" s="1" t="n">
        <v>45099</v>
      </c>
      <c r="C589" s="1" t="n">
        <v>45837</v>
      </c>
      <c r="D589" t="inlineStr">
        <is>
          <t>DALARNAS LÄN</t>
        </is>
      </c>
      <c r="E589" t="inlineStr">
        <is>
          <t>MORA</t>
        </is>
      </c>
      <c r="G589" t="n">
        <v>5.4</v>
      </c>
      <c r="H589" t="n">
        <v>0</v>
      </c>
      <c r="I589" t="n">
        <v>0</v>
      </c>
      <c r="J589" t="n">
        <v>0</v>
      </c>
      <c r="K589" t="n">
        <v>0</v>
      </c>
      <c r="L589" t="n">
        <v>0</v>
      </c>
      <c r="M589" t="n">
        <v>0</v>
      </c>
      <c r="N589" t="n">
        <v>0</v>
      </c>
      <c r="O589" t="n">
        <v>0</v>
      </c>
      <c r="P589" t="n">
        <v>0</v>
      </c>
      <c r="Q589" t="n">
        <v>0</v>
      </c>
      <c r="R589" s="2" t="inlineStr"/>
    </row>
    <row r="590" ht="15" customHeight="1">
      <c r="A590" t="inlineStr">
        <is>
          <t>A 28318-2023</t>
        </is>
      </c>
      <c r="B590" s="1" t="n">
        <v>45099</v>
      </c>
      <c r="C590" s="1" t="n">
        <v>45837</v>
      </c>
      <c r="D590" t="inlineStr">
        <is>
          <t>DALARNAS LÄN</t>
        </is>
      </c>
      <c r="E590" t="inlineStr">
        <is>
          <t>MORA</t>
        </is>
      </c>
      <c r="G590" t="n">
        <v>0.5</v>
      </c>
      <c r="H590" t="n">
        <v>0</v>
      </c>
      <c r="I590" t="n">
        <v>0</v>
      </c>
      <c r="J590" t="n">
        <v>0</v>
      </c>
      <c r="K590" t="n">
        <v>0</v>
      </c>
      <c r="L590" t="n">
        <v>0</v>
      </c>
      <c r="M590" t="n">
        <v>0</v>
      </c>
      <c r="N590" t="n">
        <v>0</v>
      </c>
      <c r="O590" t="n">
        <v>0</v>
      </c>
      <c r="P590" t="n">
        <v>0</v>
      </c>
      <c r="Q590" t="n">
        <v>0</v>
      </c>
      <c r="R590" s="2" t="inlineStr"/>
    </row>
    <row r="591" ht="15" customHeight="1">
      <c r="A591" t="inlineStr">
        <is>
          <t>A 28596-2023</t>
        </is>
      </c>
      <c r="B591" s="1" t="n">
        <v>45103</v>
      </c>
      <c r="C591" s="1" t="n">
        <v>45837</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28832-2023</t>
        </is>
      </c>
      <c r="B592" s="1" t="n">
        <v>45104</v>
      </c>
      <c r="C592" s="1" t="n">
        <v>45837</v>
      </c>
      <c r="D592" t="inlineStr">
        <is>
          <t>DALARNAS LÄN</t>
        </is>
      </c>
      <c r="E592" t="inlineStr">
        <is>
          <t>MORA</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28934-2023</t>
        </is>
      </c>
      <c r="B593" s="1" t="n">
        <v>45104</v>
      </c>
      <c r="C593" s="1" t="n">
        <v>45837</v>
      </c>
      <c r="D593" t="inlineStr">
        <is>
          <t>DALARNAS LÄN</t>
        </is>
      </c>
      <c r="E593" t="inlineStr">
        <is>
          <t>MORA</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29022-2023</t>
        </is>
      </c>
      <c r="B594" s="1" t="n">
        <v>45104</v>
      </c>
      <c r="C594" s="1" t="n">
        <v>45837</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29118-2023</t>
        </is>
      </c>
      <c r="B595" s="1" t="n">
        <v>45105</v>
      </c>
      <c r="C595" s="1" t="n">
        <v>45837</v>
      </c>
      <c r="D595" t="inlineStr">
        <is>
          <t>DALARNAS LÄN</t>
        </is>
      </c>
      <c r="E595" t="inlineStr">
        <is>
          <t>MORA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29191-2023</t>
        </is>
      </c>
      <c r="B596" s="1" t="n">
        <v>45105</v>
      </c>
      <c r="C596" s="1" t="n">
        <v>45837</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29193-2023</t>
        </is>
      </c>
      <c r="B597" s="1" t="n">
        <v>45105</v>
      </c>
      <c r="C597" s="1" t="n">
        <v>45837</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29116-2023</t>
        </is>
      </c>
      <c r="B598" s="1" t="n">
        <v>45105</v>
      </c>
      <c r="C598" s="1" t="n">
        <v>45837</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29188-2023</t>
        </is>
      </c>
      <c r="B599" s="1" t="n">
        <v>45105</v>
      </c>
      <c r="C599" s="1" t="n">
        <v>45837</v>
      </c>
      <c r="D599" t="inlineStr">
        <is>
          <t>DALARNAS LÄN</t>
        </is>
      </c>
      <c r="E599" t="inlineStr">
        <is>
          <t>MORA</t>
        </is>
      </c>
      <c r="G599" t="n">
        <v>0.8</v>
      </c>
      <c r="H599" t="n">
        <v>0</v>
      </c>
      <c r="I599" t="n">
        <v>0</v>
      </c>
      <c r="J599" t="n">
        <v>0</v>
      </c>
      <c r="K599" t="n">
        <v>0</v>
      </c>
      <c r="L599" t="n">
        <v>0</v>
      </c>
      <c r="M599" t="n">
        <v>0</v>
      </c>
      <c r="N599" t="n">
        <v>0</v>
      </c>
      <c r="O599" t="n">
        <v>0</v>
      </c>
      <c r="P599" t="n">
        <v>0</v>
      </c>
      <c r="Q599" t="n">
        <v>0</v>
      </c>
      <c r="R599" s="2" t="inlineStr"/>
    </row>
    <row r="600" ht="15" customHeight="1">
      <c r="A600" t="inlineStr">
        <is>
          <t>A 29192-2023</t>
        </is>
      </c>
      <c r="B600" s="1" t="n">
        <v>45105</v>
      </c>
      <c r="C600" s="1" t="n">
        <v>45837</v>
      </c>
      <c r="D600" t="inlineStr">
        <is>
          <t>DALARNAS LÄN</t>
        </is>
      </c>
      <c r="E600" t="inlineStr">
        <is>
          <t>MORA</t>
        </is>
      </c>
      <c r="G600" t="n">
        <v>10.5</v>
      </c>
      <c r="H600" t="n">
        <v>0</v>
      </c>
      <c r="I600" t="n">
        <v>0</v>
      </c>
      <c r="J600" t="n">
        <v>0</v>
      </c>
      <c r="K600" t="n">
        <v>0</v>
      </c>
      <c r="L600" t="n">
        <v>0</v>
      </c>
      <c r="M600" t="n">
        <v>0</v>
      </c>
      <c r="N600" t="n">
        <v>0</v>
      </c>
      <c r="O600" t="n">
        <v>0</v>
      </c>
      <c r="P600" t="n">
        <v>0</v>
      </c>
      <c r="Q600" t="n">
        <v>0</v>
      </c>
      <c r="R600" s="2" t="inlineStr"/>
    </row>
    <row r="601" ht="15" customHeight="1">
      <c r="A601" t="inlineStr">
        <is>
          <t>A 31040-2023</t>
        </is>
      </c>
      <c r="B601" s="1" t="n">
        <v>45113</v>
      </c>
      <c r="C601" s="1" t="n">
        <v>45837</v>
      </c>
      <c r="D601" t="inlineStr">
        <is>
          <t>DALARNAS LÄN</t>
        </is>
      </c>
      <c r="E601" t="inlineStr">
        <is>
          <t>MORA</t>
        </is>
      </c>
      <c r="F601" t="inlineStr">
        <is>
          <t>Bergvik skog väst AB</t>
        </is>
      </c>
      <c r="G601" t="n">
        <v>11.6</v>
      </c>
      <c r="H601" t="n">
        <v>0</v>
      </c>
      <c r="I601" t="n">
        <v>0</v>
      </c>
      <c r="J601" t="n">
        <v>0</v>
      </c>
      <c r="K601" t="n">
        <v>0</v>
      </c>
      <c r="L601" t="n">
        <v>0</v>
      </c>
      <c r="M601" t="n">
        <v>0</v>
      </c>
      <c r="N601" t="n">
        <v>0</v>
      </c>
      <c r="O601" t="n">
        <v>0</v>
      </c>
      <c r="P601" t="n">
        <v>0</v>
      </c>
      <c r="Q601" t="n">
        <v>0</v>
      </c>
      <c r="R601" s="2" t="inlineStr"/>
    </row>
    <row r="602" ht="15" customHeight="1">
      <c r="A602" t="inlineStr">
        <is>
          <t>A 31241-2023</t>
        </is>
      </c>
      <c r="B602" s="1" t="n">
        <v>45114</v>
      </c>
      <c r="C602" s="1" t="n">
        <v>45837</v>
      </c>
      <c r="D602" t="inlineStr">
        <is>
          <t>DALARNAS LÄN</t>
        </is>
      </c>
      <c r="E602" t="inlineStr">
        <is>
          <t>MORA</t>
        </is>
      </c>
      <c r="G602" t="n">
        <v>17.5</v>
      </c>
      <c r="H602" t="n">
        <v>0</v>
      </c>
      <c r="I602" t="n">
        <v>0</v>
      </c>
      <c r="J602" t="n">
        <v>0</v>
      </c>
      <c r="K602" t="n">
        <v>0</v>
      </c>
      <c r="L602" t="n">
        <v>0</v>
      </c>
      <c r="M602" t="n">
        <v>0</v>
      </c>
      <c r="N602" t="n">
        <v>0</v>
      </c>
      <c r="O602" t="n">
        <v>0</v>
      </c>
      <c r="P602" t="n">
        <v>0</v>
      </c>
      <c r="Q602" t="n">
        <v>0</v>
      </c>
      <c r="R602" s="2" t="inlineStr"/>
    </row>
    <row r="603" ht="15" customHeight="1">
      <c r="A603" t="inlineStr">
        <is>
          <t>A 31366-2023</t>
        </is>
      </c>
      <c r="B603" s="1" t="n">
        <v>45114</v>
      </c>
      <c r="C603" s="1" t="n">
        <v>45837</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33676-2023</t>
        </is>
      </c>
      <c r="B604" s="1" t="n">
        <v>45132</v>
      </c>
      <c r="C604" s="1" t="n">
        <v>45837</v>
      </c>
      <c r="D604" t="inlineStr">
        <is>
          <t>DALARNAS LÄN</t>
        </is>
      </c>
      <c r="E604" t="inlineStr">
        <is>
          <t>MORA</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34193-2023</t>
        </is>
      </c>
      <c r="B605" s="1" t="n">
        <v>45138</v>
      </c>
      <c r="C605" s="1" t="n">
        <v>45837</v>
      </c>
      <c r="D605" t="inlineStr">
        <is>
          <t>DALARNAS LÄN</t>
        </is>
      </c>
      <c r="E605" t="inlineStr">
        <is>
          <t>MORA</t>
        </is>
      </c>
      <c r="G605" t="n">
        <v>10.4</v>
      </c>
      <c r="H605" t="n">
        <v>0</v>
      </c>
      <c r="I605" t="n">
        <v>0</v>
      </c>
      <c r="J605" t="n">
        <v>0</v>
      </c>
      <c r="K605" t="n">
        <v>0</v>
      </c>
      <c r="L605" t="n">
        <v>0</v>
      </c>
      <c r="M605" t="n">
        <v>0</v>
      </c>
      <c r="N605" t="n">
        <v>0</v>
      </c>
      <c r="O605" t="n">
        <v>0</v>
      </c>
      <c r="P605" t="n">
        <v>0</v>
      </c>
      <c r="Q605" t="n">
        <v>0</v>
      </c>
      <c r="R605" s="2" t="inlineStr"/>
    </row>
    <row r="606" ht="15" customHeight="1">
      <c r="A606" t="inlineStr">
        <is>
          <t>A 34278-2023</t>
        </is>
      </c>
      <c r="B606" s="1" t="n">
        <v>45138</v>
      </c>
      <c r="C606" s="1" t="n">
        <v>45837</v>
      </c>
      <c r="D606" t="inlineStr">
        <is>
          <t>DALARNAS LÄN</t>
        </is>
      </c>
      <c r="E606" t="inlineStr">
        <is>
          <t>MORA</t>
        </is>
      </c>
      <c r="G606" t="n">
        <v>3.1</v>
      </c>
      <c r="H606" t="n">
        <v>0</v>
      </c>
      <c r="I606" t="n">
        <v>0</v>
      </c>
      <c r="J606" t="n">
        <v>0</v>
      </c>
      <c r="K606" t="n">
        <v>0</v>
      </c>
      <c r="L606" t="n">
        <v>0</v>
      </c>
      <c r="M606" t="n">
        <v>0</v>
      </c>
      <c r="N606" t="n">
        <v>0</v>
      </c>
      <c r="O606" t="n">
        <v>0</v>
      </c>
      <c r="P606" t="n">
        <v>0</v>
      </c>
      <c r="Q606" t="n">
        <v>0</v>
      </c>
      <c r="R606" s="2" t="inlineStr"/>
    </row>
    <row r="607" ht="15" customHeight="1">
      <c r="A607" t="inlineStr">
        <is>
          <t>A 35040-2023</t>
        </is>
      </c>
      <c r="B607" s="1" t="n">
        <v>45145</v>
      </c>
      <c r="C607" s="1" t="n">
        <v>45837</v>
      </c>
      <c r="D607" t="inlineStr">
        <is>
          <t>DALARNAS LÄN</t>
        </is>
      </c>
      <c r="E607" t="inlineStr">
        <is>
          <t>MORA</t>
        </is>
      </c>
      <c r="G607" t="n">
        <v>2.1</v>
      </c>
      <c r="H607" t="n">
        <v>0</v>
      </c>
      <c r="I607" t="n">
        <v>0</v>
      </c>
      <c r="J607" t="n">
        <v>0</v>
      </c>
      <c r="K607" t="n">
        <v>0</v>
      </c>
      <c r="L607" t="n">
        <v>0</v>
      </c>
      <c r="M607" t="n">
        <v>0</v>
      </c>
      <c r="N607" t="n">
        <v>0</v>
      </c>
      <c r="O607" t="n">
        <v>0</v>
      </c>
      <c r="P607" t="n">
        <v>0</v>
      </c>
      <c r="Q607" t="n">
        <v>0</v>
      </c>
      <c r="R607" s="2" t="inlineStr"/>
    </row>
    <row r="608" ht="15" customHeight="1">
      <c r="A608" t="inlineStr">
        <is>
          <t>A 35041-2023</t>
        </is>
      </c>
      <c r="B608" s="1" t="n">
        <v>45145</v>
      </c>
      <c r="C608" s="1" t="n">
        <v>45837</v>
      </c>
      <c r="D608" t="inlineStr">
        <is>
          <t>DALARNAS LÄN</t>
        </is>
      </c>
      <c r="E608" t="inlineStr">
        <is>
          <t>MORA</t>
        </is>
      </c>
      <c r="G608" t="n">
        <v>15.4</v>
      </c>
      <c r="H608" t="n">
        <v>0</v>
      </c>
      <c r="I608" t="n">
        <v>0</v>
      </c>
      <c r="J608" t="n">
        <v>0</v>
      </c>
      <c r="K608" t="n">
        <v>0</v>
      </c>
      <c r="L608" t="n">
        <v>0</v>
      </c>
      <c r="M608" t="n">
        <v>0</v>
      </c>
      <c r="N608" t="n">
        <v>0</v>
      </c>
      <c r="O608" t="n">
        <v>0</v>
      </c>
      <c r="P608" t="n">
        <v>0</v>
      </c>
      <c r="Q608" t="n">
        <v>0</v>
      </c>
      <c r="R608" s="2" t="inlineStr"/>
    </row>
    <row r="609" ht="15" customHeight="1">
      <c r="A609" t="inlineStr">
        <is>
          <t>A 35236-2023</t>
        </is>
      </c>
      <c r="B609" s="1" t="n">
        <v>45145</v>
      </c>
      <c r="C609" s="1" t="n">
        <v>45837</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35033-2023</t>
        </is>
      </c>
      <c r="B610" s="1" t="n">
        <v>45145</v>
      </c>
      <c r="C610" s="1" t="n">
        <v>45837</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35551-2023</t>
        </is>
      </c>
      <c r="B611" s="1" t="n">
        <v>45147</v>
      </c>
      <c r="C611" s="1" t="n">
        <v>45837</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35521-2023</t>
        </is>
      </c>
      <c r="B612" s="1" t="n">
        <v>45147</v>
      </c>
      <c r="C612" s="1" t="n">
        <v>45837</v>
      </c>
      <c r="D612" t="inlineStr">
        <is>
          <t>DALARNAS LÄN</t>
        </is>
      </c>
      <c r="E612" t="inlineStr">
        <is>
          <t>MORA</t>
        </is>
      </c>
      <c r="G612" t="n">
        <v>3.7</v>
      </c>
      <c r="H612" t="n">
        <v>0</v>
      </c>
      <c r="I612" t="n">
        <v>0</v>
      </c>
      <c r="J612" t="n">
        <v>0</v>
      </c>
      <c r="K612" t="n">
        <v>0</v>
      </c>
      <c r="L612" t="n">
        <v>0</v>
      </c>
      <c r="M612" t="n">
        <v>0</v>
      </c>
      <c r="N612" t="n">
        <v>0</v>
      </c>
      <c r="O612" t="n">
        <v>0</v>
      </c>
      <c r="P612" t="n">
        <v>0</v>
      </c>
      <c r="Q612" t="n">
        <v>0</v>
      </c>
      <c r="R612" s="2" t="inlineStr"/>
    </row>
    <row r="613" ht="15" customHeight="1">
      <c r="A613" t="inlineStr">
        <is>
          <t>A 35923-2023</t>
        </is>
      </c>
      <c r="B613" s="1" t="n">
        <v>45148</v>
      </c>
      <c r="C613" s="1" t="n">
        <v>45837</v>
      </c>
      <c r="D613" t="inlineStr">
        <is>
          <t>DALARNAS LÄN</t>
        </is>
      </c>
      <c r="E613" t="inlineStr">
        <is>
          <t>MORA</t>
        </is>
      </c>
      <c r="G613" t="n">
        <v>10.7</v>
      </c>
      <c r="H613" t="n">
        <v>0</v>
      </c>
      <c r="I613" t="n">
        <v>0</v>
      </c>
      <c r="J613" t="n">
        <v>0</v>
      </c>
      <c r="K613" t="n">
        <v>0</v>
      </c>
      <c r="L613" t="n">
        <v>0</v>
      </c>
      <c r="M613" t="n">
        <v>0</v>
      </c>
      <c r="N613" t="n">
        <v>0</v>
      </c>
      <c r="O613" t="n">
        <v>0</v>
      </c>
      <c r="P613" t="n">
        <v>0</v>
      </c>
      <c r="Q613" t="n">
        <v>0</v>
      </c>
      <c r="R613" s="2" t="inlineStr"/>
    </row>
    <row r="614" ht="15" customHeight="1">
      <c r="A614" t="inlineStr">
        <is>
          <t>A 36740-2023</t>
        </is>
      </c>
      <c r="B614" s="1" t="n">
        <v>45153</v>
      </c>
      <c r="C614" s="1" t="n">
        <v>45837</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36600-2023</t>
        </is>
      </c>
      <c r="B615" s="1" t="n">
        <v>45153</v>
      </c>
      <c r="C615" s="1" t="n">
        <v>45837</v>
      </c>
      <c r="D615" t="inlineStr">
        <is>
          <t>DALARNAS LÄN</t>
        </is>
      </c>
      <c r="E615" t="inlineStr">
        <is>
          <t>MORA</t>
        </is>
      </c>
      <c r="G615" t="n">
        <v>7.3</v>
      </c>
      <c r="H615" t="n">
        <v>0</v>
      </c>
      <c r="I615" t="n">
        <v>0</v>
      </c>
      <c r="J615" t="n">
        <v>0</v>
      </c>
      <c r="K615" t="n">
        <v>0</v>
      </c>
      <c r="L615" t="n">
        <v>0</v>
      </c>
      <c r="M615" t="n">
        <v>0</v>
      </c>
      <c r="N615" t="n">
        <v>0</v>
      </c>
      <c r="O615" t="n">
        <v>0</v>
      </c>
      <c r="P615" t="n">
        <v>0</v>
      </c>
      <c r="Q615" t="n">
        <v>0</v>
      </c>
      <c r="R615" s="2" t="inlineStr"/>
    </row>
    <row r="616" ht="15" customHeight="1">
      <c r="A616" t="inlineStr">
        <is>
          <t>A 37552-2023</t>
        </is>
      </c>
      <c r="B616" s="1" t="n">
        <v>45159</v>
      </c>
      <c r="C616" s="1" t="n">
        <v>45837</v>
      </c>
      <c r="D616" t="inlineStr">
        <is>
          <t>DALARNAS LÄN</t>
        </is>
      </c>
      <c r="E616" t="inlineStr">
        <is>
          <t>MORA</t>
        </is>
      </c>
      <c r="G616" t="n">
        <v>4</v>
      </c>
      <c r="H616" t="n">
        <v>0</v>
      </c>
      <c r="I616" t="n">
        <v>0</v>
      </c>
      <c r="J616" t="n">
        <v>0</v>
      </c>
      <c r="K616" t="n">
        <v>0</v>
      </c>
      <c r="L616" t="n">
        <v>0</v>
      </c>
      <c r="M616" t="n">
        <v>0</v>
      </c>
      <c r="N616" t="n">
        <v>0</v>
      </c>
      <c r="O616" t="n">
        <v>0</v>
      </c>
      <c r="P616" t="n">
        <v>0</v>
      </c>
      <c r="Q616" t="n">
        <v>0</v>
      </c>
      <c r="R616" s="2" t="inlineStr"/>
    </row>
    <row r="617" ht="15" customHeight="1">
      <c r="A617" t="inlineStr">
        <is>
          <t>A 37553-2023</t>
        </is>
      </c>
      <c r="B617" s="1" t="n">
        <v>45159</v>
      </c>
      <c r="C617" s="1" t="n">
        <v>45837</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37710-2023</t>
        </is>
      </c>
      <c r="B618" s="1" t="n">
        <v>45159</v>
      </c>
      <c r="C618" s="1" t="n">
        <v>45837</v>
      </c>
      <c r="D618" t="inlineStr">
        <is>
          <t>DALARNAS LÄN</t>
        </is>
      </c>
      <c r="E618" t="inlineStr">
        <is>
          <t>MORA</t>
        </is>
      </c>
      <c r="G618" t="n">
        <v>1.9</v>
      </c>
      <c r="H618" t="n">
        <v>0</v>
      </c>
      <c r="I618" t="n">
        <v>0</v>
      </c>
      <c r="J618" t="n">
        <v>0</v>
      </c>
      <c r="K618" t="n">
        <v>0</v>
      </c>
      <c r="L618" t="n">
        <v>0</v>
      </c>
      <c r="M618" t="n">
        <v>0</v>
      </c>
      <c r="N618" t="n">
        <v>0</v>
      </c>
      <c r="O618" t="n">
        <v>0</v>
      </c>
      <c r="P618" t="n">
        <v>0</v>
      </c>
      <c r="Q618" t="n">
        <v>0</v>
      </c>
      <c r="R618" s="2" t="inlineStr"/>
    </row>
    <row r="619" ht="15" customHeight="1">
      <c r="A619" t="inlineStr">
        <is>
          <t>A 37554-2023</t>
        </is>
      </c>
      <c r="B619" s="1" t="n">
        <v>45159</v>
      </c>
      <c r="C619" s="1" t="n">
        <v>45837</v>
      </c>
      <c r="D619" t="inlineStr">
        <is>
          <t>DALARNAS LÄN</t>
        </is>
      </c>
      <c r="E619" t="inlineStr">
        <is>
          <t>MORA</t>
        </is>
      </c>
      <c r="G619" t="n">
        <v>4.3</v>
      </c>
      <c r="H619" t="n">
        <v>0</v>
      </c>
      <c r="I619" t="n">
        <v>0</v>
      </c>
      <c r="J619" t="n">
        <v>0</v>
      </c>
      <c r="K619" t="n">
        <v>0</v>
      </c>
      <c r="L619" t="n">
        <v>0</v>
      </c>
      <c r="M619" t="n">
        <v>0</v>
      </c>
      <c r="N619" t="n">
        <v>0</v>
      </c>
      <c r="O619" t="n">
        <v>0</v>
      </c>
      <c r="P619" t="n">
        <v>0</v>
      </c>
      <c r="Q619" t="n">
        <v>0</v>
      </c>
      <c r="R619" s="2" t="inlineStr"/>
    </row>
    <row r="620" ht="15" customHeight="1">
      <c r="A620" t="inlineStr">
        <is>
          <t>A 37932-2023</t>
        </is>
      </c>
      <c r="B620" s="1" t="n">
        <v>45160</v>
      </c>
      <c r="C620" s="1" t="n">
        <v>45837</v>
      </c>
      <c r="D620" t="inlineStr">
        <is>
          <t>DALARNAS LÄN</t>
        </is>
      </c>
      <c r="E620" t="inlineStr">
        <is>
          <t>MORA</t>
        </is>
      </c>
      <c r="G620" t="n">
        <v>4.9</v>
      </c>
      <c r="H620" t="n">
        <v>0</v>
      </c>
      <c r="I620" t="n">
        <v>0</v>
      </c>
      <c r="J620" t="n">
        <v>0</v>
      </c>
      <c r="K620" t="n">
        <v>0</v>
      </c>
      <c r="L620" t="n">
        <v>0</v>
      </c>
      <c r="M620" t="n">
        <v>0</v>
      </c>
      <c r="N620" t="n">
        <v>0</v>
      </c>
      <c r="O620" t="n">
        <v>0</v>
      </c>
      <c r="P620" t="n">
        <v>0</v>
      </c>
      <c r="Q620" t="n">
        <v>0</v>
      </c>
      <c r="R620" s="2" t="inlineStr"/>
    </row>
    <row r="621" ht="15" customHeight="1">
      <c r="A621" t="inlineStr">
        <is>
          <t>A 38159-2023</t>
        </is>
      </c>
      <c r="B621" s="1" t="n">
        <v>45161</v>
      </c>
      <c r="C621" s="1" t="n">
        <v>45837</v>
      </c>
      <c r="D621" t="inlineStr">
        <is>
          <t>DALARNAS LÄN</t>
        </is>
      </c>
      <c r="E621" t="inlineStr">
        <is>
          <t>MORA</t>
        </is>
      </c>
      <c r="G621" t="n">
        <v>4.2</v>
      </c>
      <c r="H621" t="n">
        <v>0</v>
      </c>
      <c r="I621" t="n">
        <v>0</v>
      </c>
      <c r="J621" t="n">
        <v>0</v>
      </c>
      <c r="K621" t="n">
        <v>0</v>
      </c>
      <c r="L621" t="n">
        <v>0</v>
      </c>
      <c r="M621" t="n">
        <v>0</v>
      </c>
      <c r="N621" t="n">
        <v>0</v>
      </c>
      <c r="O621" t="n">
        <v>0</v>
      </c>
      <c r="P621" t="n">
        <v>0</v>
      </c>
      <c r="Q621" t="n">
        <v>0</v>
      </c>
      <c r="R621" s="2" t="inlineStr"/>
    </row>
    <row r="622" ht="15" customHeight="1">
      <c r="A622" t="inlineStr">
        <is>
          <t>A 38468-2023</t>
        </is>
      </c>
      <c r="B622" s="1" t="n">
        <v>45162</v>
      </c>
      <c r="C622" s="1" t="n">
        <v>45837</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38479-2023</t>
        </is>
      </c>
      <c r="B623" s="1" t="n">
        <v>45162</v>
      </c>
      <c r="C623" s="1" t="n">
        <v>45837</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39009-2023</t>
        </is>
      </c>
      <c r="B624" s="1" t="n">
        <v>45162</v>
      </c>
      <c r="C624" s="1" t="n">
        <v>45837</v>
      </c>
      <c r="D624" t="inlineStr">
        <is>
          <t>DALARNAS LÄN</t>
        </is>
      </c>
      <c r="E624" t="inlineStr">
        <is>
          <t>MORA</t>
        </is>
      </c>
      <c r="G624" t="n">
        <v>1.9</v>
      </c>
      <c r="H624" t="n">
        <v>0</v>
      </c>
      <c r="I624" t="n">
        <v>0</v>
      </c>
      <c r="J624" t="n">
        <v>0</v>
      </c>
      <c r="K624" t="n">
        <v>0</v>
      </c>
      <c r="L624" t="n">
        <v>0</v>
      </c>
      <c r="M624" t="n">
        <v>0</v>
      </c>
      <c r="N624" t="n">
        <v>0</v>
      </c>
      <c r="O624" t="n">
        <v>0</v>
      </c>
      <c r="P624" t="n">
        <v>0</v>
      </c>
      <c r="Q624" t="n">
        <v>0</v>
      </c>
      <c r="R624" s="2" t="inlineStr"/>
    </row>
    <row r="625" ht="15" customHeight="1">
      <c r="A625" t="inlineStr">
        <is>
          <t>A 38627-2023</t>
        </is>
      </c>
      <c r="B625" s="1" t="n">
        <v>45162</v>
      </c>
      <c r="C625" s="1" t="n">
        <v>45837</v>
      </c>
      <c r="D625" t="inlineStr">
        <is>
          <t>DALARNAS LÄN</t>
        </is>
      </c>
      <c r="E625" t="inlineStr">
        <is>
          <t>MORA</t>
        </is>
      </c>
      <c r="G625" t="n">
        <v>6.5</v>
      </c>
      <c r="H625" t="n">
        <v>0</v>
      </c>
      <c r="I625" t="n">
        <v>0</v>
      </c>
      <c r="J625" t="n">
        <v>0</v>
      </c>
      <c r="K625" t="n">
        <v>0</v>
      </c>
      <c r="L625" t="n">
        <v>0</v>
      </c>
      <c r="M625" t="n">
        <v>0</v>
      </c>
      <c r="N625" t="n">
        <v>0</v>
      </c>
      <c r="O625" t="n">
        <v>0</v>
      </c>
      <c r="P625" t="n">
        <v>0</v>
      </c>
      <c r="Q625" t="n">
        <v>0</v>
      </c>
      <c r="R625" s="2" t="inlineStr"/>
    </row>
    <row r="626" ht="15" customHeight="1">
      <c r="A626" t="inlineStr">
        <is>
          <t>A 39233-2023</t>
        </is>
      </c>
      <c r="B626" s="1" t="n">
        <v>45166</v>
      </c>
      <c r="C626" s="1" t="n">
        <v>45837</v>
      </c>
      <c r="D626" t="inlineStr">
        <is>
          <t>DALARNAS LÄN</t>
        </is>
      </c>
      <c r="E626" t="inlineStr">
        <is>
          <t>MORA</t>
        </is>
      </c>
      <c r="G626" t="n">
        <v>4.5</v>
      </c>
      <c r="H626" t="n">
        <v>0</v>
      </c>
      <c r="I626" t="n">
        <v>0</v>
      </c>
      <c r="J626" t="n">
        <v>0</v>
      </c>
      <c r="K626" t="n">
        <v>0</v>
      </c>
      <c r="L626" t="n">
        <v>0</v>
      </c>
      <c r="M626" t="n">
        <v>0</v>
      </c>
      <c r="N626" t="n">
        <v>0</v>
      </c>
      <c r="O626" t="n">
        <v>0</v>
      </c>
      <c r="P626" t="n">
        <v>0</v>
      </c>
      <c r="Q626" t="n">
        <v>0</v>
      </c>
      <c r="R626" s="2" t="inlineStr"/>
    </row>
    <row r="627" ht="15" customHeight="1">
      <c r="A627" t="inlineStr">
        <is>
          <t>A 39312-2023</t>
        </is>
      </c>
      <c r="B627" s="1" t="n">
        <v>45166</v>
      </c>
      <c r="C627" s="1" t="n">
        <v>45837</v>
      </c>
      <c r="D627" t="inlineStr">
        <is>
          <t>DALARNAS LÄN</t>
        </is>
      </c>
      <c r="E627" t="inlineStr">
        <is>
          <t>MORA</t>
        </is>
      </c>
      <c r="G627" t="n">
        <v>2.8</v>
      </c>
      <c r="H627" t="n">
        <v>0</v>
      </c>
      <c r="I627" t="n">
        <v>0</v>
      </c>
      <c r="J627" t="n">
        <v>0</v>
      </c>
      <c r="K627" t="n">
        <v>0</v>
      </c>
      <c r="L627" t="n">
        <v>0</v>
      </c>
      <c r="M627" t="n">
        <v>0</v>
      </c>
      <c r="N627" t="n">
        <v>0</v>
      </c>
      <c r="O627" t="n">
        <v>0</v>
      </c>
      <c r="P627" t="n">
        <v>0</v>
      </c>
      <c r="Q627" t="n">
        <v>0</v>
      </c>
      <c r="R627" s="2" t="inlineStr"/>
    </row>
    <row r="628" ht="15" customHeight="1">
      <c r="A628" t="inlineStr">
        <is>
          <t>A 39694-2023</t>
        </is>
      </c>
      <c r="B628" s="1" t="n">
        <v>45167</v>
      </c>
      <c r="C628" s="1" t="n">
        <v>45837</v>
      </c>
      <c r="D628" t="inlineStr">
        <is>
          <t>DALARNAS LÄN</t>
        </is>
      </c>
      <c r="E628" t="inlineStr">
        <is>
          <t>MORA</t>
        </is>
      </c>
      <c r="G628" t="n">
        <v>3.6</v>
      </c>
      <c r="H628" t="n">
        <v>0</v>
      </c>
      <c r="I628" t="n">
        <v>0</v>
      </c>
      <c r="J628" t="n">
        <v>0</v>
      </c>
      <c r="K628" t="n">
        <v>0</v>
      </c>
      <c r="L628" t="n">
        <v>0</v>
      </c>
      <c r="M628" t="n">
        <v>0</v>
      </c>
      <c r="N628" t="n">
        <v>0</v>
      </c>
      <c r="O628" t="n">
        <v>0</v>
      </c>
      <c r="P628" t="n">
        <v>0</v>
      </c>
      <c r="Q628" t="n">
        <v>0</v>
      </c>
      <c r="R628" s="2" t="inlineStr"/>
    </row>
    <row r="629" ht="15" customHeight="1">
      <c r="A629" t="inlineStr">
        <is>
          <t>A 39674-2023</t>
        </is>
      </c>
      <c r="B629" s="1" t="n">
        <v>45167</v>
      </c>
      <c r="C629" s="1" t="n">
        <v>45837</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39847-2023</t>
        </is>
      </c>
      <c r="B630" s="1" t="n">
        <v>45168</v>
      </c>
      <c r="C630" s="1" t="n">
        <v>45837</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40034-2023</t>
        </is>
      </c>
      <c r="B631" s="1" t="n">
        <v>45168</v>
      </c>
      <c r="C631" s="1" t="n">
        <v>45837</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40247-2023</t>
        </is>
      </c>
      <c r="B632" s="1" t="n">
        <v>45169</v>
      </c>
      <c r="C632" s="1" t="n">
        <v>45837</v>
      </c>
      <c r="D632" t="inlineStr">
        <is>
          <t>DALARNAS LÄN</t>
        </is>
      </c>
      <c r="E632" t="inlineStr">
        <is>
          <t>MORA</t>
        </is>
      </c>
      <c r="G632" t="n">
        <v>5.7</v>
      </c>
      <c r="H632" t="n">
        <v>0</v>
      </c>
      <c r="I632" t="n">
        <v>0</v>
      </c>
      <c r="J632" t="n">
        <v>0</v>
      </c>
      <c r="K632" t="n">
        <v>0</v>
      </c>
      <c r="L632" t="n">
        <v>0</v>
      </c>
      <c r="M632" t="n">
        <v>0</v>
      </c>
      <c r="N632" t="n">
        <v>0</v>
      </c>
      <c r="O632" t="n">
        <v>0</v>
      </c>
      <c r="P632" t="n">
        <v>0</v>
      </c>
      <c r="Q632" t="n">
        <v>0</v>
      </c>
      <c r="R632" s="2" t="inlineStr"/>
    </row>
    <row r="633" ht="15" customHeight="1">
      <c r="A633" t="inlineStr">
        <is>
          <t>A 40651-2023</t>
        </is>
      </c>
      <c r="B633" s="1" t="n">
        <v>45170</v>
      </c>
      <c r="C633" s="1" t="n">
        <v>45837</v>
      </c>
      <c r="D633" t="inlineStr">
        <is>
          <t>DALARNAS LÄN</t>
        </is>
      </c>
      <c r="E633" t="inlineStr">
        <is>
          <t>MORA</t>
        </is>
      </c>
      <c r="F633" t="inlineStr">
        <is>
          <t>Bergvik skog öst AB</t>
        </is>
      </c>
      <c r="G633" t="n">
        <v>2.6</v>
      </c>
      <c r="H633" t="n">
        <v>0</v>
      </c>
      <c r="I633" t="n">
        <v>0</v>
      </c>
      <c r="J633" t="n">
        <v>0</v>
      </c>
      <c r="K633" t="n">
        <v>0</v>
      </c>
      <c r="L633" t="n">
        <v>0</v>
      </c>
      <c r="M633" t="n">
        <v>0</v>
      </c>
      <c r="N633" t="n">
        <v>0</v>
      </c>
      <c r="O633" t="n">
        <v>0</v>
      </c>
      <c r="P633" t="n">
        <v>0</v>
      </c>
      <c r="Q633" t="n">
        <v>0</v>
      </c>
      <c r="R633" s="2" t="inlineStr"/>
    </row>
    <row r="634" ht="15" customHeight="1">
      <c r="A634" t="inlineStr">
        <is>
          <t>A 40949-2023</t>
        </is>
      </c>
      <c r="B634" s="1" t="n">
        <v>45173</v>
      </c>
      <c r="C634" s="1" t="n">
        <v>45837</v>
      </c>
      <c r="D634" t="inlineStr">
        <is>
          <t>DALARNAS LÄN</t>
        </is>
      </c>
      <c r="E634" t="inlineStr">
        <is>
          <t>MORA</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41169-2023</t>
        </is>
      </c>
      <c r="B635" s="1" t="n">
        <v>45174</v>
      </c>
      <c r="C635" s="1" t="n">
        <v>45837</v>
      </c>
      <c r="D635" t="inlineStr">
        <is>
          <t>DALARNAS LÄN</t>
        </is>
      </c>
      <c r="E635" t="inlineStr">
        <is>
          <t>MORA</t>
        </is>
      </c>
      <c r="G635" t="n">
        <v>3</v>
      </c>
      <c r="H635" t="n">
        <v>0</v>
      </c>
      <c r="I635" t="n">
        <v>0</v>
      </c>
      <c r="J635" t="n">
        <v>0</v>
      </c>
      <c r="K635" t="n">
        <v>0</v>
      </c>
      <c r="L635" t="n">
        <v>0</v>
      </c>
      <c r="M635" t="n">
        <v>0</v>
      </c>
      <c r="N635" t="n">
        <v>0</v>
      </c>
      <c r="O635" t="n">
        <v>0</v>
      </c>
      <c r="P635" t="n">
        <v>0</v>
      </c>
      <c r="Q635" t="n">
        <v>0</v>
      </c>
      <c r="R635" s="2" t="inlineStr"/>
    </row>
    <row r="636" ht="15" customHeight="1">
      <c r="A636" t="inlineStr">
        <is>
          <t>A 41170-2023</t>
        </is>
      </c>
      <c r="B636" s="1" t="n">
        <v>45174</v>
      </c>
      <c r="C636" s="1" t="n">
        <v>45837</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41638-2023</t>
        </is>
      </c>
      <c r="B637" s="1" t="n">
        <v>45175</v>
      </c>
      <c r="C637" s="1" t="n">
        <v>45837</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41637-2023</t>
        </is>
      </c>
      <c r="B638" s="1" t="n">
        <v>45175</v>
      </c>
      <c r="C638" s="1" t="n">
        <v>45837</v>
      </c>
      <c r="D638" t="inlineStr">
        <is>
          <t>DALARNAS LÄN</t>
        </is>
      </c>
      <c r="E638" t="inlineStr">
        <is>
          <t>MORA</t>
        </is>
      </c>
      <c r="G638" t="n">
        <v>10.4</v>
      </c>
      <c r="H638" t="n">
        <v>0</v>
      </c>
      <c r="I638" t="n">
        <v>0</v>
      </c>
      <c r="J638" t="n">
        <v>0</v>
      </c>
      <c r="K638" t="n">
        <v>0</v>
      </c>
      <c r="L638" t="n">
        <v>0</v>
      </c>
      <c r="M638" t="n">
        <v>0</v>
      </c>
      <c r="N638" t="n">
        <v>0</v>
      </c>
      <c r="O638" t="n">
        <v>0</v>
      </c>
      <c r="P638" t="n">
        <v>0</v>
      </c>
      <c r="Q638" t="n">
        <v>0</v>
      </c>
      <c r="R638" s="2" t="inlineStr"/>
    </row>
    <row r="639" ht="15" customHeight="1">
      <c r="A639" t="inlineStr">
        <is>
          <t>A 42391-2023</t>
        </is>
      </c>
      <c r="B639" s="1" t="n">
        <v>45180</v>
      </c>
      <c r="C639" s="1" t="n">
        <v>45837</v>
      </c>
      <c r="D639" t="inlineStr">
        <is>
          <t>DALARNAS LÄN</t>
        </is>
      </c>
      <c r="E639" t="inlineStr">
        <is>
          <t>MORA</t>
        </is>
      </c>
      <c r="F639" t="inlineStr">
        <is>
          <t>Kommuner</t>
        </is>
      </c>
      <c r="G639" t="n">
        <v>0.3</v>
      </c>
      <c r="H639" t="n">
        <v>0</v>
      </c>
      <c r="I639" t="n">
        <v>0</v>
      </c>
      <c r="J639" t="n">
        <v>0</v>
      </c>
      <c r="K639" t="n">
        <v>0</v>
      </c>
      <c r="L639" t="n">
        <v>0</v>
      </c>
      <c r="M639" t="n">
        <v>0</v>
      </c>
      <c r="N639" t="n">
        <v>0</v>
      </c>
      <c r="O639" t="n">
        <v>0</v>
      </c>
      <c r="P639" t="n">
        <v>0</v>
      </c>
      <c r="Q639" t="n">
        <v>0</v>
      </c>
      <c r="R639" s="2" t="inlineStr"/>
    </row>
    <row r="640" ht="15" customHeight="1">
      <c r="A640" t="inlineStr">
        <is>
          <t>A 42267-2023</t>
        </is>
      </c>
      <c r="B640" s="1" t="n">
        <v>45180</v>
      </c>
      <c r="C640" s="1" t="n">
        <v>45837</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43498-2023</t>
        </is>
      </c>
      <c r="B641" s="1" t="n">
        <v>45184</v>
      </c>
      <c r="C641" s="1" t="n">
        <v>45837</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43566-2023</t>
        </is>
      </c>
      <c r="B642" s="1" t="n">
        <v>45184</v>
      </c>
      <c r="C642" s="1" t="n">
        <v>45837</v>
      </c>
      <c r="D642" t="inlineStr">
        <is>
          <t>DALARNAS LÄN</t>
        </is>
      </c>
      <c r="E642" t="inlineStr">
        <is>
          <t>MORA</t>
        </is>
      </c>
      <c r="F642" t="inlineStr">
        <is>
          <t>Bergvik skog väst AB</t>
        </is>
      </c>
      <c r="G642" t="n">
        <v>4.3</v>
      </c>
      <c r="H642" t="n">
        <v>0</v>
      </c>
      <c r="I642" t="n">
        <v>0</v>
      </c>
      <c r="J642" t="n">
        <v>0</v>
      </c>
      <c r="K642" t="n">
        <v>0</v>
      </c>
      <c r="L642" t="n">
        <v>0</v>
      </c>
      <c r="M642" t="n">
        <v>0</v>
      </c>
      <c r="N642" t="n">
        <v>0</v>
      </c>
      <c r="O642" t="n">
        <v>0</v>
      </c>
      <c r="P642" t="n">
        <v>0</v>
      </c>
      <c r="Q642" t="n">
        <v>0</v>
      </c>
      <c r="R642" s="2" t="inlineStr"/>
    </row>
    <row r="643" ht="15" customHeight="1">
      <c r="A643" t="inlineStr">
        <is>
          <t>A 43533-2023</t>
        </is>
      </c>
      <c r="B643" s="1" t="n">
        <v>45184</v>
      </c>
      <c r="C643" s="1" t="n">
        <v>45837</v>
      </c>
      <c r="D643" t="inlineStr">
        <is>
          <t>DALARNAS LÄN</t>
        </is>
      </c>
      <c r="E643" t="inlineStr">
        <is>
          <t>MORA</t>
        </is>
      </c>
      <c r="F643" t="inlineStr">
        <is>
          <t>Bergvik skog väst AB</t>
        </is>
      </c>
      <c r="G643" t="n">
        <v>10.3</v>
      </c>
      <c r="H643" t="n">
        <v>0</v>
      </c>
      <c r="I643" t="n">
        <v>0</v>
      </c>
      <c r="J643" t="n">
        <v>0</v>
      </c>
      <c r="K643" t="n">
        <v>0</v>
      </c>
      <c r="L643" t="n">
        <v>0</v>
      </c>
      <c r="M643" t="n">
        <v>0</v>
      </c>
      <c r="N643" t="n">
        <v>0</v>
      </c>
      <c r="O643" t="n">
        <v>0</v>
      </c>
      <c r="P643" t="n">
        <v>0</v>
      </c>
      <c r="Q643" t="n">
        <v>0</v>
      </c>
      <c r="R643" s="2" t="inlineStr"/>
    </row>
    <row r="644" ht="15" customHeight="1">
      <c r="A644" t="inlineStr">
        <is>
          <t>A 43863-2023</t>
        </is>
      </c>
      <c r="B644" s="1" t="n">
        <v>45187</v>
      </c>
      <c r="C644" s="1" t="n">
        <v>45837</v>
      </c>
      <c r="D644" t="inlineStr">
        <is>
          <t>DALARNAS LÄN</t>
        </is>
      </c>
      <c r="E644" t="inlineStr">
        <is>
          <t>MORA</t>
        </is>
      </c>
      <c r="F644" t="inlineStr">
        <is>
          <t>Bergvik skog väst AB</t>
        </is>
      </c>
      <c r="G644" t="n">
        <v>3.9</v>
      </c>
      <c r="H644" t="n">
        <v>0</v>
      </c>
      <c r="I644" t="n">
        <v>0</v>
      </c>
      <c r="J644" t="n">
        <v>0</v>
      </c>
      <c r="K644" t="n">
        <v>0</v>
      </c>
      <c r="L644" t="n">
        <v>0</v>
      </c>
      <c r="M644" t="n">
        <v>0</v>
      </c>
      <c r="N644" t="n">
        <v>0</v>
      </c>
      <c r="O644" t="n">
        <v>0</v>
      </c>
      <c r="P644" t="n">
        <v>0</v>
      </c>
      <c r="Q644" t="n">
        <v>0</v>
      </c>
      <c r="R644" s="2" t="inlineStr"/>
    </row>
    <row r="645" ht="15" customHeight="1">
      <c r="A645" t="inlineStr">
        <is>
          <t>A 44201-2023</t>
        </is>
      </c>
      <c r="B645" s="1" t="n">
        <v>45188</v>
      </c>
      <c r="C645" s="1" t="n">
        <v>45837</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44205-2023</t>
        </is>
      </c>
      <c r="B646" s="1" t="n">
        <v>45188</v>
      </c>
      <c r="C646" s="1" t="n">
        <v>45837</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44106-2023</t>
        </is>
      </c>
      <c r="B647" s="1" t="n">
        <v>45188</v>
      </c>
      <c r="C647" s="1" t="n">
        <v>45837</v>
      </c>
      <c r="D647" t="inlineStr">
        <is>
          <t>DALARNAS LÄN</t>
        </is>
      </c>
      <c r="E647" t="inlineStr">
        <is>
          <t>MORA</t>
        </is>
      </c>
      <c r="G647" t="n">
        <v>10.1</v>
      </c>
      <c r="H647" t="n">
        <v>0</v>
      </c>
      <c r="I647" t="n">
        <v>0</v>
      </c>
      <c r="J647" t="n">
        <v>0</v>
      </c>
      <c r="K647" t="n">
        <v>0</v>
      </c>
      <c r="L647" t="n">
        <v>0</v>
      </c>
      <c r="M647" t="n">
        <v>0</v>
      </c>
      <c r="N647" t="n">
        <v>0</v>
      </c>
      <c r="O647" t="n">
        <v>0</v>
      </c>
      <c r="P647" t="n">
        <v>0</v>
      </c>
      <c r="Q647" t="n">
        <v>0</v>
      </c>
      <c r="R647" s="2" t="inlineStr"/>
    </row>
    <row r="648" ht="15" customHeight="1">
      <c r="A648" t="inlineStr">
        <is>
          <t>A 44117-2023</t>
        </is>
      </c>
      <c r="B648" s="1" t="n">
        <v>45188</v>
      </c>
      <c r="C648" s="1" t="n">
        <v>45837</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44177-2023</t>
        </is>
      </c>
      <c r="B649" s="1" t="n">
        <v>45188</v>
      </c>
      <c r="C649" s="1" t="n">
        <v>45837</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45475-2023</t>
        </is>
      </c>
      <c r="B650" s="1" t="n">
        <v>45188</v>
      </c>
      <c r="C650" s="1" t="n">
        <v>45837</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44718-2023</t>
        </is>
      </c>
      <c r="B651" s="1" t="n">
        <v>45190</v>
      </c>
      <c r="C651" s="1" t="n">
        <v>45837</v>
      </c>
      <c r="D651" t="inlineStr">
        <is>
          <t>DALARNAS LÄN</t>
        </is>
      </c>
      <c r="E651" t="inlineStr">
        <is>
          <t>MORA</t>
        </is>
      </c>
      <c r="G651" t="n">
        <v>7.4</v>
      </c>
      <c r="H651" t="n">
        <v>0</v>
      </c>
      <c r="I651" t="n">
        <v>0</v>
      </c>
      <c r="J651" t="n">
        <v>0</v>
      </c>
      <c r="K651" t="n">
        <v>0</v>
      </c>
      <c r="L651" t="n">
        <v>0</v>
      </c>
      <c r="M651" t="n">
        <v>0</v>
      </c>
      <c r="N651" t="n">
        <v>0</v>
      </c>
      <c r="O651" t="n">
        <v>0</v>
      </c>
      <c r="P651" t="n">
        <v>0</v>
      </c>
      <c r="Q651" t="n">
        <v>0</v>
      </c>
      <c r="R651" s="2" t="inlineStr"/>
    </row>
    <row r="652" ht="15" customHeight="1">
      <c r="A652" t="inlineStr">
        <is>
          <t>A 44820-2023</t>
        </is>
      </c>
      <c r="B652" s="1" t="n">
        <v>45190</v>
      </c>
      <c r="C652" s="1" t="n">
        <v>45837</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44817-2023</t>
        </is>
      </c>
      <c r="B653" s="1" t="n">
        <v>45190</v>
      </c>
      <c r="C653" s="1" t="n">
        <v>45837</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45295-2023</t>
        </is>
      </c>
      <c r="B654" s="1" t="n">
        <v>45191</v>
      </c>
      <c r="C654" s="1" t="n">
        <v>45837</v>
      </c>
      <c r="D654" t="inlineStr">
        <is>
          <t>DALARNAS LÄN</t>
        </is>
      </c>
      <c r="E654" t="inlineStr">
        <is>
          <t>MORA</t>
        </is>
      </c>
      <c r="G654" t="n">
        <v>10.9</v>
      </c>
      <c r="H654" t="n">
        <v>0</v>
      </c>
      <c r="I654" t="n">
        <v>0</v>
      </c>
      <c r="J654" t="n">
        <v>0</v>
      </c>
      <c r="K654" t="n">
        <v>0</v>
      </c>
      <c r="L654" t="n">
        <v>0</v>
      </c>
      <c r="M654" t="n">
        <v>0</v>
      </c>
      <c r="N654" t="n">
        <v>0</v>
      </c>
      <c r="O654" t="n">
        <v>0</v>
      </c>
      <c r="P654" t="n">
        <v>0</v>
      </c>
      <c r="Q654" t="n">
        <v>0</v>
      </c>
      <c r="R654" s="2" t="inlineStr"/>
    </row>
    <row r="655" ht="15" customHeight="1">
      <c r="A655" t="inlineStr">
        <is>
          <t>A 45562-2023</t>
        </is>
      </c>
      <c r="B655" s="1" t="n">
        <v>45194</v>
      </c>
      <c r="C655" s="1" t="n">
        <v>45837</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45574-2023</t>
        </is>
      </c>
      <c r="B656" s="1" t="n">
        <v>45194</v>
      </c>
      <c r="C656" s="1" t="n">
        <v>45837</v>
      </c>
      <c r="D656" t="inlineStr">
        <is>
          <t>DALARNAS LÄN</t>
        </is>
      </c>
      <c r="E656" t="inlineStr">
        <is>
          <t>MORA</t>
        </is>
      </c>
      <c r="G656" t="n">
        <v>6.3</v>
      </c>
      <c r="H656" t="n">
        <v>0</v>
      </c>
      <c r="I656" t="n">
        <v>0</v>
      </c>
      <c r="J656" t="n">
        <v>0</v>
      </c>
      <c r="K656" t="n">
        <v>0</v>
      </c>
      <c r="L656" t="n">
        <v>0</v>
      </c>
      <c r="M656" t="n">
        <v>0</v>
      </c>
      <c r="N656" t="n">
        <v>0</v>
      </c>
      <c r="O656" t="n">
        <v>0</v>
      </c>
      <c r="P656" t="n">
        <v>0</v>
      </c>
      <c r="Q656" t="n">
        <v>0</v>
      </c>
      <c r="R656" s="2" t="inlineStr"/>
    </row>
    <row r="657" ht="15" customHeight="1">
      <c r="A657" t="inlineStr">
        <is>
          <t>A 46087-2023</t>
        </is>
      </c>
      <c r="B657" s="1" t="n">
        <v>45196</v>
      </c>
      <c r="C657" s="1" t="n">
        <v>45837</v>
      </c>
      <c r="D657" t="inlineStr">
        <is>
          <t>DALARNAS LÄN</t>
        </is>
      </c>
      <c r="E657" t="inlineStr">
        <is>
          <t>MORA</t>
        </is>
      </c>
      <c r="F657" t="inlineStr">
        <is>
          <t>Bergvik skog öst AB</t>
        </is>
      </c>
      <c r="G657" t="n">
        <v>24.2</v>
      </c>
      <c r="H657" t="n">
        <v>0</v>
      </c>
      <c r="I657" t="n">
        <v>0</v>
      </c>
      <c r="J657" t="n">
        <v>0</v>
      </c>
      <c r="K657" t="n">
        <v>0</v>
      </c>
      <c r="L657" t="n">
        <v>0</v>
      </c>
      <c r="M657" t="n">
        <v>0</v>
      </c>
      <c r="N657" t="n">
        <v>0</v>
      </c>
      <c r="O657" t="n">
        <v>0</v>
      </c>
      <c r="P657" t="n">
        <v>0</v>
      </c>
      <c r="Q657" t="n">
        <v>0</v>
      </c>
      <c r="R657" s="2" t="inlineStr"/>
    </row>
    <row r="658" ht="15" customHeight="1">
      <c r="A658" t="inlineStr">
        <is>
          <t>A 46152-2023</t>
        </is>
      </c>
      <c r="B658" s="1" t="n">
        <v>45196</v>
      </c>
      <c r="C658" s="1" t="n">
        <v>45837</v>
      </c>
      <c r="D658" t="inlineStr">
        <is>
          <t>DALARNAS LÄN</t>
        </is>
      </c>
      <c r="E658" t="inlineStr">
        <is>
          <t>MORA</t>
        </is>
      </c>
      <c r="G658" t="n">
        <v>2</v>
      </c>
      <c r="H658" t="n">
        <v>0</v>
      </c>
      <c r="I658" t="n">
        <v>0</v>
      </c>
      <c r="J658" t="n">
        <v>0</v>
      </c>
      <c r="K658" t="n">
        <v>0</v>
      </c>
      <c r="L658" t="n">
        <v>0</v>
      </c>
      <c r="M658" t="n">
        <v>0</v>
      </c>
      <c r="N658" t="n">
        <v>0</v>
      </c>
      <c r="O658" t="n">
        <v>0</v>
      </c>
      <c r="P658" t="n">
        <v>0</v>
      </c>
      <c r="Q658" t="n">
        <v>0</v>
      </c>
      <c r="R658" s="2" t="inlineStr"/>
    </row>
    <row r="659" ht="15" customHeight="1">
      <c r="A659" t="inlineStr">
        <is>
          <t>A 47036-2023</t>
        </is>
      </c>
      <c r="B659" s="1" t="n">
        <v>45196</v>
      </c>
      <c r="C659" s="1" t="n">
        <v>45837</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46612-2023</t>
        </is>
      </c>
      <c r="B660" s="1" t="n">
        <v>45198</v>
      </c>
      <c r="C660" s="1" t="n">
        <v>45837</v>
      </c>
      <c r="D660" t="inlineStr">
        <is>
          <t>DALARNAS LÄN</t>
        </is>
      </c>
      <c r="E660" t="inlineStr">
        <is>
          <t>MORA</t>
        </is>
      </c>
      <c r="G660" t="n">
        <v>3.2</v>
      </c>
      <c r="H660" t="n">
        <v>0</v>
      </c>
      <c r="I660" t="n">
        <v>0</v>
      </c>
      <c r="J660" t="n">
        <v>0</v>
      </c>
      <c r="K660" t="n">
        <v>0</v>
      </c>
      <c r="L660" t="n">
        <v>0</v>
      </c>
      <c r="M660" t="n">
        <v>0</v>
      </c>
      <c r="N660" t="n">
        <v>0</v>
      </c>
      <c r="O660" t="n">
        <v>0</v>
      </c>
      <c r="P660" t="n">
        <v>0</v>
      </c>
      <c r="Q660" t="n">
        <v>0</v>
      </c>
      <c r="R660" s="2" t="inlineStr"/>
    </row>
    <row r="661" ht="15" customHeight="1">
      <c r="A661" t="inlineStr">
        <is>
          <t>A 46791-2023</t>
        </is>
      </c>
      <c r="B661" s="1" t="n">
        <v>45198</v>
      </c>
      <c r="C661" s="1" t="n">
        <v>45837</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46755-2023</t>
        </is>
      </c>
      <c r="B662" s="1" t="n">
        <v>45198</v>
      </c>
      <c r="C662" s="1" t="n">
        <v>45837</v>
      </c>
      <c r="D662" t="inlineStr">
        <is>
          <t>DALARNAS LÄN</t>
        </is>
      </c>
      <c r="E662" t="inlineStr">
        <is>
          <t>MORA</t>
        </is>
      </c>
      <c r="G662" t="n">
        <v>0.6</v>
      </c>
      <c r="H662" t="n">
        <v>0</v>
      </c>
      <c r="I662" t="n">
        <v>0</v>
      </c>
      <c r="J662" t="n">
        <v>0</v>
      </c>
      <c r="K662" t="n">
        <v>0</v>
      </c>
      <c r="L662" t="n">
        <v>0</v>
      </c>
      <c r="M662" t="n">
        <v>0</v>
      </c>
      <c r="N662" t="n">
        <v>0</v>
      </c>
      <c r="O662" t="n">
        <v>0</v>
      </c>
      <c r="P662" t="n">
        <v>0</v>
      </c>
      <c r="Q662" t="n">
        <v>0</v>
      </c>
      <c r="R662" s="2" t="inlineStr"/>
    </row>
    <row r="663" ht="15" customHeight="1">
      <c r="A663" t="inlineStr">
        <is>
          <t>A 47347-2023</t>
        </is>
      </c>
      <c r="B663" s="1" t="n">
        <v>45202</v>
      </c>
      <c r="C663" s="1" t="n">
        <v>45837</v>
      </c>
      <c r="D663" t="inlineStr">
        <is>
          <t>DALARNAS LÄN</t>
        </is>
      </c>
      <c r="E663" t="inlineStr">
        <is>
          <t>MORA</t>
        </is>
      </c>
      <c r="F663" t="inlineStr">
        <is>
          <t>Bergvik skog öst AB</t>
        </is>
      </c>
      <c r="G663" t="n">
        <v>5.1</v>
      </c>
      <c r="H663" t="n">
        <v>0</v>
      </c>
      <c r="I663" t="n">
        <v>0</v>
      </c>
      <c r="J663" t="n">
        <v>0</v>
      </c>
      <c r="K663" t="n">
        <v>0</v>
      </c>
      <c r="L663" t="n">
        <v>0</v>
      </c>
      <c r="M663" t="n">
        <v>0</v>
      </c>
      <c r="N663" t="n">
        <v>0</v>
      </c>
      <c r="O663" t="n">
        <v>0</v>
      </c>
      <c r="P663" t="n">
        <v>0</v>
      </c>
      <c r="Q663" t="n">
        <v>0</v>
      </c>
      <c r="R663" s="2" t="inlineStr"/>
    </row>
    <row r="664" ht="15" customHeight="1">
      <c r="A664" t="inlineStr">
        <is>
          <t>A 47410-2023</t>
        </is>
      </c>
      <c r="B664" s="1" t="n">
        <v>45202</v>
      </c>
      <c r="C664" s="1" t="n">
        <v>45837</v>
      </c>
      <c r="D664" t="inlineStr">
        <is>
          <t>DALARNAS LÄN</t>
        </is>
      </c>
      <c r="E664" t="inlineStr">
        <is>
          <t>MORA</t>
        </is>
      </c>
      <c r="G664" t="n">
        <v>7.3</v>
      </c>
      <c r="H664" t="n">
        <v>0</v>
      </c>
      <c r="I664" t="n">
        <v>0</v>
      </c>
      <c r="J664" t="n">
        <v>0</v>
      </c>
      <c r="K664" t="n">
        <v>0</v>
      </c>
      <c r="L664" t="n">
        <v>0</v>
      </c>
      <c r="M664" t="n">
        <v>0</v>
      </c>
      <c r="N664" t="n">
        <v>0</v>
      </c>
      <c r="O664" t="n">
        <v>0</v>
      </c>
      <c r="P664" t="n">
        <v>0</v>
      </c>
      <c r="Q664" t="n">
        <v>0</v>
      </c>
      <c r="R664" s="2" t="inlineStr"/>
    </row>
    <row r="665" ht="15" customHeight="1">
      <c r="A665" t="inlineStr">
        <is>
          <t>A 47440-2023</t>
        </is>
      </c>
      <c r="B665" s="1" t="n">
        <v>45202</v>
      </c>
      <c r="C665" s="1" t="n">
        <v>45837</v>
      </c>
      <c r="D665" t="inlineStr">
        <is>
          <t>DALARNAS LÄN</t>
        </is>
      </c>
      <c r="E665" t="inlineStr">
        <is>
          <t>MORA</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47574-2023</t>
        </is>
      </c>
      <c r="B666" s="1" t="n">
        <v>45203</v>
      </c>
      <c r="C666" s="1" t="n">
        <v>45837</v>
      </c>
      <c r="D666" t="inlineStr">
        <is>
          <t>DALARNAS LÄN</t>
        </is>
      </c>
      <c r="E666" t="inlineStr">
        <is>
          <t>MORA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47683-2023</t>
        </is>
      </c>
      <c r="B667" s="1" t="n">
        <v>45203</v>
      </c>
      <c r="C667" s="1" t="n">
        <v>45837</v>
      </c>
      <c r="D667" t="inlineStr">
        <is>
          <t>DALARNAS LÄN</t>
        </is>
      </c>
      <c r="E667" t="inlineStr">
        <is>
          <t>MORA</t>
        </is>
      </c>
      <c r="F667" t="inlineStr">
        <is>
          <t>Kyrkan</t>
        </is>
      </c>
      <c r="G667" t="n">
        <v>33.8</v>
      </c>
      <c r="H667" t="n">
        <v>0</v>
      </c>
      <c r="I667" t="n">
        <v>0</v>
      </c>
      <c r="J667" t="n">
        <v>0</v>
      </c>
      <c r="K667" t="n">
        <v>0</v>
      </c>
      <c r="L667" t="n">
        <v>0</v>
      </c>
      <c r="M667" t="n">
        <v>0</v>
      </c>
      <c r="N667" t="n">
        <v>0</v>
      </c>
      <c r="O667" t="n">
        <v>0</v>
      </c>
      <c r="P667" t="n">
        <v>0</v>
      </c>
      <c r="Q667" t="n">
        <v>0</v>
      </c>
      <c r="R667" s="2" t="inlineStr"/>
    </row>
    <row r="668" ht="15" customHeight="1">
      <c r="A668" t="inlineStr">
        <is>
          <t>A 48825-2023</t>
        </is>
      </c>
      <c r="B668" s="1" t="n">
        <v>45203</v>
      </c>
      <c r="C668" s="1" t="n">
        <v>45837</v>
      </c>
      <c r="D668" t="inlineStr">
        <is>
          <t>DALARNAS LÄN</t>
        </is>
      </c>
      <c r="E668" t="inlineStr">
        <is>
          <t>MORA</t>
        </is>
      </c>
      <c r="G668" t="n">
        <v>7.9</v>
      </c>
      <c r="H668" t="n">
        <v>0</v>
      </c>
      <c r="I668" t="n">
        <v>0</v>
      </c>
      <c r="J668" t="n">
        <v>0</v>
      </c>
      <c r="K668" t="n">
        <v>0</v>
      </c>
      <c r="L668" t="n">
        <v>0</v>
      </c>
      <c r="M668" t="n">
        <v>0</v>
      </c>
      <c r="N668" t="n">
        <v>0</v>
      </c>
      <c r="O668" t="n">
        <v>0</v>
      </c>
      <c r="P668" t="n">
        <v>0</v>
      </c>
      <c r="Q668" t="n">
        <v>0</v>
      </c>
      <c r="R668" s="2" t="inlineStr"/>
    </row>
    <row r="669" ht="15" customHeight="1">
      <c r="A669" t="inlineStr">
        <is>
          <t>A 48824-2023</t>
        </is>
      </c>
      <c r="B669" s="1" t="n">
        <v>45203</v>
      </c>
      <c r="C669" s="1" t="n">
        <v>45837</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47855-2023</t>
        </is>
      </c>
      <c r="B670" s="1" t="n">
        <v>45204</v>
      </c>
      <c r="C670" s="1" t="n">
        <v>45837</v>
      </c>
      <c r="D670" t="inlineStr">
        <is>
          <t>DALARNAS LÄN</t>
        </is>
      </c>
      <c r="E670" t="inlineStr">
        <is>
          <t>MORA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48027-2023</t>
        </is>
      </c>
      <c r="B671" s="1" t="n">
        <v>45204</v>
      </c>
      <c r="C671" s="1" t="n">
        <v>45837</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48113-2023</t>
        </is>
      </c>
      <c r="B672" s="1" t="n">
        <v>45205</v>
      </c>
      <c r="C672" s="1" t="n">
        <v>45837</v>
      </c>
      <c r="D672" t="inlineStr">
        <is>
          <t>DALARNAS LÄN</t>
        </is>
      </c>
      <c r="E672" t="inlineStr">
        <is>
          <t>MORA</t>
        </is>
      </c>
      <c r="F672" t="inlineStr">
        <is>
          <t>Bergvik skog öst AB</t>
        </is>
      </c>
      <c r="G672" t="n">
        <v>2</v>
      </c>
      <c r="H672" t="n">
        <v>0</v>
      </c>
      <c r="I672" t="n">
        <v>0</v>
      </c>
      <c r="J672" t="n">
        <v>0</v>
      </c>
      <c r="K672" t="n">
        <v>0</v>
      </c>
      <c r="L672" t="n">
        <v>0</v>
      </c>
      <c r="M672" t="n">
        <v>0</v>
      </c>
      <c r="N672" t="n">
        <v>0</v>
      </c>
      <c r="O672" t="n">
        <v>0</v>
      </c>
      <c r="P672" t="n">
        <v>0</v>
      </c>
      <c r="Q672" t="n">
        <v>0</v>
      </c>
      <c r="R672" s="2" t="inlineStr"/>
    </row>
    <row r="673" ht="15" customHeight="1">
      <c r="A673" t="inlineStr">
        <is>
          <t>A 48313-2023</t>
        </is>
      </c>
      <c r="B673" s="1" t="n">
        <v>45205</v>
      </c>
      <c r="C673" s="1" t="n">
        <v>45837</v>
      </c>
      <c r="D673" t="inlineStr">
        <is>
          <t>DALARNAS LÄN</t>
        </is>
      </c>
      <c r="E673" t="inlineStr">
        <is>
          <t>MORA</t>
        </is>
      </c>
      <c r="G673" t="n">
        <v>3.7</v>
      </c>
      <c r="H673" t="n">
        <v>0</v>
      </c>
      <c r="I673" t="n">
        <v>0</v>
      </c>
      <c r="J673" t="n">
        <v>0</v>
      </c>
      <c r="K673" t="n">
        <v>0</v>
      </c>
      <c r="L673" t="n">
        <v>0</v>
      </c>
      <c r="M673" t="n">
        <v>0</v>
      </c>
      <c r="N673" t="n">
        <v>0</v>
      </c>
      <c r="O673" t="n">
        <v>0</v>
      </c>
      <c r="P673" t="n">
        <v>0</v>
      </c>
      <c r="Q673" t="n">
        <v>0</v>
      </c>
      <c r="R673" s="2" t="inlineStr"/>
    </row>
    <row r="674" ht="15" customHeight="1">
      <c r="A674" t="inlineStr">
        <is>
          <t>A 48339-2023</t>
        </is>
      </c>
      <c r="B674" s="1" t="n">
        <v>45205</v>
      </c>
      <c r="C674" s="1" t="n">
        <v>45837</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48342-2023</t>
        </is>
      </c>
      <c r="B675" s="1" t="n">
        <v>45205</v>
      </c>
      <c r="C675" s="1" t="n">
        <v>45837</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48924-2023</t>
        </is>
      </c>
      <c r="B676" s="1" t="n">
        <v>45209</v>
      </c>
      <c r="C676" s="1" t="n">
        <v>45837</v>
      </c>
      <c r="D676" t="inlineStr">
        <is>
          <t>DALARNAS LÄN</t>
        </is>
      </c>
      <c r="E676" t="inlineStr">
        <is>
          <t>MORA</t>
        </is>
      </c>
      <c r="G676" t="n">
        <v>10.8</v>
      </c>
      <c r="H676" t="n">
        <v>0</v>
      </c>
      <c r="I676" t="n">
        <v>0</v>
      </c>
      <c r="J676" t="n">
        <v>0</v>
      </c>
      <c r="K676" t="n">
        <v>0</v>
      </c>
      <c r="L676" t="n">
        <v>0</v>
      </c>
      <c r="M676" t="n">
        <v>0</v>
      </c>
      <c r="N676" t="n">
        <v>0</v>
      </c>
      <c r="O676" t="n">
        <v>0</v>
      </c>
      <c r="P676" t="n">
        <v>0</v>
      </c>
      <c r="Q676" t="n">
        <v>0</v>
      </c>
      <c r="R676" s="2" t="inlineStr"/>
    </row>
    <row r="677" ht="15" customHeight="1">
      <c r="A677" t="inlineStr">
        <is>
          <t>A 49158-2023</t>
        </is>
      </c>
      <c r="B677" s="1" t="n">
        <v>45210</v>
      </c>
      <c r="C677" s="1" t="n">
        <v>45837</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49159-2023</t>
        </is>
      </c>
      <c r="B678" s="1" t="n">
        <v>45210</v>
      </c>
      <c r="C678" s="1" t="n">
        <v>45837</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50685-2023</t>
        </is>
      </c>
      <c r="B679" s="1" t="n">
        <v>45210</v>
      </c>
      <c r="C679" s="1" t="n">
        <v>45837</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49778-2023</t>
        </is>
      </c>
      <c r="B680" s="1" t="n">
        <v>45212</v>
      </c>
      <c r="C680" s="1" t="n">
        <v>45837</v>
      </c>
      <c r="D680" t="inlineStr">
        <is>
          <t>DALARNAS LÄN</t>
        </is>
      </c>
      <c r="E680" t="inlineStr">
        <is>
          <t>MORA</t>
        </is>
      </c>
      <c r="G680" t="n">
        <v>0.6</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v>
      </c>
      <c r="C681" s="1" t="n">
        <v>45837</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49995-2023</t>
        </is>
      </c>
      <c r="B682" s="1" t="n">
        <v>45215</v>
      </c>
      <c r="C682" s="1" t="n">
        <v>45837</v>
      </c>
      <c r="D682" t="inlineStr">
        <is>
          <t>DALARNAS LÄN</t>
        </is>
      </c>
      <c r="E682" t="inlineStr">
        <is>
          <t>MORA</t>
        </is>
      </c>
      <c r="G682" t="n">
        <v>4</v>
      </c>
      <c r="H682" t="n">
        <v>0</v>
      </c>
      <c r="I682" t="n">
        <v>0</v>
      </c>
      <c r="J682" t="n">
        <v>0</v>
      </c>
      <c r="K682" t="n">
        <v>0</v>
      </c>
      <c r="L682" t="n">
        <v>0</v>
      </c>
      <c r="M682" t="n">
        <v>0</v>
      </c>
      <c r="N682" t="n">
        <v>0</v>
      </c>
      <c r="O682" t="n">
        <v>0</v>
      </c>
      <c r="P682" t="n">
        <v>0</v>
      </c>
      <c r="Q682" t="n">
        <v>0</v>
      </c>
      <c r="R682" s="2" t="inlineStr"/>
    </row>
    <row r="683" ht="15" customHeight="1">
      <c r="A683" t="inlineStr">
        <is>
          <t>A 51729-2023</t>
        </is>
      </c>
      <c r="B683" s="1" t="n">
        <v>45215</v>
      </c>
      <c r="C683" s="1" t="n">
        <v>45837</v>
      </c>
      <c r="D683" t="inlineStr">
        <is>
          <t>DALARNAS LÄN</t>
        </is>
      </c>
      <c r="E683" t="inlineStr">
        <is>
          <t>MORA</t>
        </is>
      </c>
      <c r="G683" t="n">
        <v>3.2</v>
      </c>
      <c r="H683" t="n">
        <v>0</v>
      </c>
      <c r="I683" t="n">
        <v>0</v>
      </c>
      <c r="J683" t="n">
        <v>0</v>
      </c>
      <c r="K683" t="n">
        <v>0</v>
      </c>
      <c r="L683" t="n">
        <v>0</v>
      </c>
      <c r="M683" t="n">
        <v>0</v>
      </c>
      <c r="N683" t="n">
        <v>0</v>
      </c>
      <c r="O683" t="n">
        <v>0</v>
      </c>
      <c r="P683" t="n">
        <v>0</v>
      </c>
      <c r="Q683" t="n">
        <v>0</v>
      </c>
      <c r="R683" s="2" t="inlineStr"/>
    </row>
    <row r="684" ht="15" customHeight="1">
      <c r="A684" t="inlineStr">
        <is>
          <t>A 50721-2023</t>
        </is>
      </c>
      <c r="B684" s="1" t="n">
        <v>45217</v>
      </c>
      <c r="C684" s="1" t="n">
        <v>45837</v>
      </c>
      <c r="D684" t="inlineStr">
        <is>
          <t>DALARNAS LÄN</t>
        </is>
      </c>
      <c r="E684" t="inlineStr">
        <is>
          <t>MORA</t>
        </is>
      </c>
      <c r="G684" t="n">
        <v>3.9</v>
      </c>
      <c r="H684" t="n">
        <v>0</v>
      </c>
      <c r="I684" t="n">
        <v>0</v>
      </c>
      <c r="J684" t="n">
        <v>0</v>
      </c>
      <c r="K684" t="n">
        <v>0</v>
      </c>
      <c r="L684" t="n">
        <v>0</v>
      </c>
      <c r="M684" t="n">
        <v>0</v>
      </c>
      <c r="N684" t="n">
        <v>0</v>
      </c>
      <c r="O684" t="n">
        <v>0</v>
      </c>
      <c r="P684" t="n">
        <v>0</v>
      </c>
      <c r="Q684" t="n">
        <v>0</v>
      </c>
      <c r="R684" s="2" t="inlineStr"/>
    </row>
    <row r="685" ht="15" customHeight="1">
      <c r="A685" t="inlineStr">
        <is>
          <t>A 50759-2023</t>
        </is>
      </c>
      <c r="B685" s="1" t="n">
        <v>45217</v>
      </c>
      <c r="C685" s="1" t="n">
        <v>45837</v>
      </c>
      <c r="D685" t="inlineStr">
        <is>
          <t>DALARNAS LÄN</t>
        </is>
      </c>
      <c r="E685" t="inlineStr">
        <is>
          <t>MORA</t>
        </is>
      </c>
      <c r="G685" t="n">
        <v>5.3</v>
      </c>
      <c r="H685" t="n">
        <v>0</v>
      </c>
      <c r="I685" t="n">
        <v>0</v>
      </c>
      <c r="J685" t="n">
        <v>0</v>
      </c>
      <c r="K685" t="n">
        <v>0</v>
      </c>
      <c r="L685" t="n">
        <v>0</v>
      </c>
      <c r="M685" t="n">
        <v>0</v>
      </c>
      <c r="N685" t="n">
        <v>0</v>
      </c>
      <c r="O685" t="n">
        <v>0</v>
      </c>
      <c r="P685" t="n">
        <v>0</v>
      </c>
      <c r="Q685" t="n">
        <v>0</v>
      </c>
      <c r="R685" s="2" t="inlineStr"/>
    </row>
    <row r="686" ht="15" customHeight="1">
      <c r="A686" t="inlineStr">
        <is>
          <t>A 51150-2023</t>
        </is>
      </c>
      <c r="B686" s="1" t="n">
        <v>45219</v>
      </c>
      <c r="C686" s="1" t="n">
        <v>45837</v>
      </c>
      <c r="D686" t="inlineStr">
        <is>
          <t>DALARNAS LÄN</t>
        </is>
      </c>
      <c r="E686" t="inlineStr">
        <is>
          <t>MORA</t>
        </is>
      </c>
      <c r="G686" t="n">
        <v>2.3</v>
      </c>
      <c r="H686" t="n">
        <v>0</v>
      </c>
      <c r="I686" t="n">
        <v>0</v>
      </c>
      <c r="J686" t="n">
        <v>0</v>
      </c>
      <c r="K686" t="n">
        <v>0</v>
      </c>
      <c r="L686" t="n">
        <v>0</v>
      </c>
      <c r="M686" t="n">
        <v>0</v>
      </c>
      <c r="N686" t="n">
        <v>0</v>
      </c>
      <c r="O686" t="n">
        <v>0</v>
      </c>
      <c r="P686" t="n">
        <v>0</v>
      </c>
      <c r="Q686" t="n">
        <v>0</v>
      </c>
      <c r="R686" s="2" t="inlineStr"/>
    </row>
    <row r="687" ht="15" customHeight="1">
      <c r="A687" t="inlineStr">
        <is>
          <t>A 51348-2023</t>
        </is>
      </c>
      <c r="B687" s="1" t="n">
        <v>45219</v>
      </c>
      <c r="C687" s="1" t="n">
        <v>45837</v>
      </c>
      <c r="D687" t="inlineStr">
        <is>
          <t>DALARNAS LÄN</t>
        </is>
      </c>
      <c r="E687" t="inlineStr">
        <is>
          <t>MORA</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51253-2023</t>
        </is>
      </c>
      <c r="B688" s="1" t="n">
        <v>45219</v>
      </c>
      <c r="C688" s="1" t="n">
        <v>45837</v>
      </c>
      <c r="D688" t="inlineStr">
        <is>
          <t>DALARNAS LÄN</t>
        </is>
      </c>
      <c r="E688" t="inlineStr">
        <is>
          <t>MORA</t>
        </is>
      </c>
      <c r="G688" t="n">
        <v>5</v>
      </c>
      <c r="H688" t="n">
        <v>0</v>
      </c>
      <c r="I688" t="n">
        <v>0</v>
      </c>
      <c r="J688" t="n">
        <v>0</v>
      </c>
      <c r="K688" t="n">
        <v>0</v>
      </c>
      <c r="L688" t="n">
        <v>0</v>
      </c>
      <c r="M688" t="n">
        <v>0</v>
      </c>
      <c r="N688" t="n">
        <v>0</v>
      </c>
      <c r="O688" t="n">
        <v>0</v>
      </c>
      <c r="P688" t="n">
        <v>0</v>
      </c>
      <c r="Q688" t="n">
        <v>0</v>
      </c>
      <c r="R688" s="2" t="inlineStr"/>
    </row>
    <row r="689" ht="15" customHeight="1">
      <c r="A689" t="inlineStr">
        <is>
          <t>A 51146-2023</t>
        </is>
      </c>
      <c r="B689" s="1" t="n">
        <v>45219</v>
      </c>
      <c r="C689" s="1" t="n">
        <v>45837</v>
      </c>
      <c r="D689" t="inlineStr">
        <is>
          <t>DALARNAS LÄN</t>
        </is>
      </c>
      <c r="E689" t="inlineStr">
        <is>
          <t>MORA</t>
        </is>
      </c>
      <c r="G689" t="n">
        <v>6.9</v>
      </c>
      <c r="H689" t="n">
        <v>0</v>
      </c>
      <c r="I689" t="n">
        <v>0</v>
      </c>
      <c r="J689" t="n">
        <v>0</v>
      </c>
      <c r="K689" t="n">
        <v>0</v>
      </c>
      <c r="L689" t="n">
        <v>0</v>
      </c>
      <c r="M689" t="n">
        <v>0</v>
      </c>
      <c r="N689" t="n">
        <v>0</v>
      </c>
      <c r="O689" t="n">
        <v>0</v>
      </c>
      <c r="P689" t="n">
        <v>0</v>
      </c>
      <c r="Q689" t="n">
        <v>0</v>
      </c>
      <c r="R689" s="2" t="inlineStr"/>
    </row>
    <row r="690" ht="15" customHeight="1">
      <c r="A690" t="inlineStr">
        <is>
          <t>A 51650-2023</t>
        </is>
      </c>
      <c r="B690" s="1" t="n">
        <v>45222</v>
      </c>
      <c r="C690" s="1" t="n">
        <v>45837</v>
      </c>
      <c r="D690" t="inlineStr">
        <is>
          <t>DALARNAS LÄN</t>
        </is>
      </c>
      <c r="E690" t="inlineStr">
        <is>
          <t>MORA</t>
        </is>
      </c>
      <c r="G690" t="n">
        <v>0.9</v>
      </c>
      <c r="H690" t="n">
        <v>0</v>
      </c>
      <c r="I690" t="n">
        <v>0</v>
      </c>
      <c r="J690" t="n">
        <v>0</v>
      </c>
      <c r="K690" t="n">
        <v>0</v>
      </c>
      <c r="L690" t="n">
        <v>0</v>
      </c>
      <c r="M690" t="n">
        <v>0</v>
      </c>
      <c r="N690" t="n">
        <v>0</v>
      </c>
      <c r="O690" t="n">
        <v>0</v>
      </c>
      <c r="P690" t="n">
        <v>0</v>
      </c>
      <c r="Q690" t="n">
        <v>0</v>
      </c>
      <c r="R690" s="2" t="inlineStr"/>
    </row>
    <row r="691" ht="15" customHeight="1">
      <c r="A691" t="inlineStr">
        <is>
          <t>A 51739-2023</t>
        </is>
      </c>
      <c r="B691" s="1" t="n">
        <v>45222</v>
      </c>
      <c r="C691" s="1" t="n">
        <v>45837</v>
      </c>
      <c r="D691" t="inlineStr">
        <is>
          <t>DALARNAS LÄN</t>
        </is>
      </c>
      <c r="E691" t="inlineStr">
        <is>
          <t>MORA</t>
        </is>
      </c>
      <c r="F691" t="inlineStr">
        <is>
          <t>Allmännings- och besparingsskogar</t>
        </is>
      </c>
      <c r="G691" t="n">
        <v>0.6</v>
      </c>
      <c r="H691" t="n">
        <v>0</v>
      </c>
      <c r="I691" t="n">
        <v>0</v>
      </c>
      <c r="J691" t="n">
        <v>0</v>
      </c>
      <c r="K691" t="n">
        <v>0</v>
      </c>
      <c r="L691" t="n">
        <v>0</v>
      </c>
      <c r="M691" t="n">
        <v>0</v>
      </c>
      <c r="N691" t="n">
        <v>0</v>
      </c>
      <c r="O691" t="n">
        <v>0</v>
      </c>
      <c r="P691" t="n">
        <v>0</v>
      </c>
      <c r="Q691" t="n">
        <v>0</v>
      </c>
      <c r="R691" s="2" t="inlineStr"/>
    </row>
    <row r="692" ht="15" customHeight="1">
      <c r="A692" t="inlineStr">
        <is>
          <t>A 51570-2023</t>
        </is>
      </c>
      <c r="B692" s="1" t="n">
        <v>45222</v>
      </c>
      <c r="C692" s="1" t="n">
        <v>45837</v>
      </c>
      <c r="D692" t="inlineStr">
        <is>
          <t>DALARNAS LÄN</t>
        </is>
      </c>
      <c r="E692" t="inlineStr">
        <is>
          <t>MORA</t>
        </is>
      </c>
      <c r="G692" t="n">
        <v>10.1</v>
      </c>
      <c r="H692" t="n">
        <v>0</v>
      </c>
      <c r="I692" t="n">
        <v>0</v>
      </c>
      <c r="J692" t="n">
        <v>0</v>
      </c>
      <c r="K692" t="n">
        <v>0</v>
      </c>
      <c r="L692" t="n">
        <v>0</v>
      </c>
      <c r="M692" t="n">
        <v>0</v>
      </c>
      <c r="N692" t="n">
        <v>0</v>
      </c>
      <c r="O692" t="n">
        <v>0</v>
      </c>
      <c r="P692" t="n">
        <v>0</v>
      </c>
      <c r="Q692" t="n">
        <v>0</v>
      </c>
      <c r="R692" s="2" t="inlineStr"/>
    </row>
    <row r="693" ht="15" customHeight="1">
      <c r="A693" t="inlineStr">
        <is>
          <t>A 51628-2023</t>
        </is>
      </c>
      <c r="B693" s="1" t="n">
        <v>45222</v>
      </c>
      <c r="C693" s="1" t="n">
        <v>45837</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51780-2023</t>
        </is>
      </c>
      <c r="B694" s="1" t="n">
        <v>45222</v>
      </c>
      <c r="C694" s="1" t="n">
        <v>45837</v>
      </c>
      <c r="D694" t="inlineStr">
        <is>
          <t>DALARNAS LÄN</t>
        </is>
      </c>
      <c r="E694" t="inlineStr">
        <is>
          <t>MORA</t>
        </is>
      </c>
      <c r="G694" t="n">
        <v>9.9</v>
      </c>
      <c r="H694" t="n">
        <v>0</v>
      </c>
      <c r="I694" t="n">
        <v>0</v>
      </c>
      <c r="J694" t="n">
        <v>0</v>
      </c>
      <c r="K694" t="n">
        <v>0</v>
      </c>
      <c r="L694" t="n">
        <v>0</v>
      </c>
      <c r="M694" t="n">
        <v>0</v>
      </c>
      <c r="N694" t="n">
        <v>0</v>
      </c>
      <c r="O694" t="n">
        <v>0</v>
      </c>
      <c r="P694" t="n">
        <v>0</v>
      </c>
      <c r="Q694" t="n">
        <v>0</v>
      </c>
      <c r="R694" s="2" t="inlineStr"/>
    </row>
    <row r="695" ht="15" customHeight="1">
      <c r="A695" t="inlineStr">
        <is>
          <t>A 52006-2023</t>
        </is>
      </c>
      <c r="B695" s="1" t="n">
        <v>45223</v>
      </c>
      <c r="C695" s="1" t="n">
        <v>45837</v>
      </c>
      <c r="D695" t="inlineStr">
        <is>
          <t>DALARNAS LÄN</t>
        </is>
      </c>
      <c r="E695" t="inlineStr">
        <is>
          <t>MORA</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52584-2023</t>
        </is>
      </c>
      <c r="B696" s="1" t="n">
        <v>45225</v>
      </c>
      <c r="C696" s="1" t="n">
        <v>45837</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52766-2023</t>
        </is>
      </c>
      <c r="B697" s="1" t="n">
        <v>45226</v>
      </c>
      <c r="C697" s="1" t="n">
        <v>45837</v>
      </c>
      <c r="D697" t="inlineStr">
        <is>
          <t>DALARNAS LÄN</t>
        </is>
      </c>
      <c r="E697" t="inlineStr">
        <is>
          <t>MORA</t>
        </is>
      </c>
      <c r="G697" t="n">
        <v>4.3</v>
      </c>
      <c r="H697" t="n">
        <v>0</v>
      </c>
      <c r="I697" t="n">
        <v>0</v>
      </c>
      <c r="J697" t="n">
        <v>0</v>
      </c>
      <c r="K697" t="n">
        <v>0</v>
      </c>
      <c r="L697" t="n">
        <v>0</v>
      </c>
      <c r="M697" t="n">
        <v>0</v>
      </c>
      <c r="N697" t="n">
        <v>0</v>
      </c>
      <c r="O697" t="n">
        <v>0</v>
      </c>
      <c r="P697" t="n">
        <v>0</v>
      </c>
      <c r="Q697" t="n">
        <v>0</v>
      </c>
      <c r="R697" s="2" t="inlineStr"/>
    </row>
    <row r="698" ht="15" customHeight="1">
      <c r="A698" t="inlineStr">
        <is>
          <t>A 52919-2023</t>
        </is>
      </c>
      <c r="B698" s="1" t="n">
        <v>45226</v>
      </c>
      <c r="C698" s="1" t="n">
        <v>45837</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52908-2023</t>
        </is>
      </c>
      <c r="B699" s="1" t="n">
        <v>45226</v>
      </c>
      <c r="C699" s="1" t="n">
        <v>45837</v>
      </c>
      <c r="D699" t="inlineStr">
        <is>
          <t>DALARNAS LÄN</t>
        </is>
      </c>
      <c r="E699" t="inlineStr">
        <is>
          <t>MORA</t>
        </is>
      </c>
      <c r="G699" t="n">
        <v>3.3</v>
      </c>
      <c r="H699" t="n">
        <v>0</v>
      </c>
      <c r="I699" t="n">
        <v>0</v>
      </c>
      <c r="J699" t="n">
        <v>0</v>
      </c>
      <c r="K699" t="n">
        <v>0</v>
      </c>
      <c r="L699" t="n">
        <v>0</v>
      </c>
      <c r="M699" t="n">
        <v>0</v>
      </c>
      <c r="N699" t="n">
        <v>0</v>
      </c>
      <c r="O699" t="n">
        <v>0</v>
      </c>
      <c r="P699" t="n">
        <v>0</v>
      </c>
      <c r="Q699" t="n">
        <v>0</v>
      </c>
      <c r="R699" s="2" t="inlineStr"/>
    </row>
    <row r="700" ht="15" customHeight="1">
      <c r="A700" t="inlineStr">
        <is>
          <t>A 53026-2023</t>
        </is>
      </c>
      <c r="B700" s="1" t="n">
        <v>45226</v>
      </c>
      <c r="C700" s="1" t="n">
        <v>45837</v>
      </c>
      <c r="D700" t="inlineStr">
        <is>
          <t>DALARNAS LÄN</t>
        </is>
      </c>
      <c r="E700" t="inlineStr">
        <is>
          <t>MORA</t>
        </is>
      </c>
      <c r="F700" t="inlineStr">
        <is>
          <t>Bergvik skog väst AB</t>
        </is>
      </c>
      <c r="G700" t="n">
        <v>5.3</v>
      </c>
      <c r="H700" t="n">
        <v>0</v>
      </c>
      <c r="I700" t="n">
        <v>0</v>
      </c>
      <c r="J700" t="n">
        <v>0</v>
      </c>
      <c r="K700" t="n">
        <v>0</v>
      </c>
      <c r="L700" t="n">
        <v>0</v>
      </c>
      <c r="M700" t="n">
        <v>0</v>
      </c>
      <c r="N700" t="n">
        <v>0</v>
      </c>
      <c r="O700" t="n">
        <v>0</v>
      </c>
      <c r="P700" t="n">
        <v>0</v>
      </c>
      <c r="Q700" t="n">
        <v>0</v>
      </c>
      <c r="R700" s="2" t="inlineStr"/>
    </row>
    <row r="701" ht="15" customHeight="1">
      <c r="A701" t="inlineStr">
        <is>
          <t>A 52804-2023</t>
        </is>
      </c>
      <c r="B701" s="1" t="n">
        <v>45226</v>
      </c>
      <c r="C701" s="1" t="n">
        <v>45837</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ht="15" customHeight="1">
      <c r="A702" t="inlineStr">
        <is>
          <t>A 54626-2023</t>
        </is>
      </c>
      <c r="B702" s="1" t="n">
        <v>45228</v>
      </c>
      <c r="C702" s="1" t="n">
        <v>45837</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54593-2023</t>
        </is>
      </c>
      <c r="B703" s="1" t="n">
        <v>45228</v>
      </c>
      <c r="C703" s="1" t="n">
        <v>45837</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54627-2023</t>
        </is>
      </c>
      <c r="B704" s="1" t="n">
        <v>45228</v>
      </c>
      <c r="C704" s="1" t="n">
        <v>45837</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54594-2023</t>
        </is>
      </c>
      <c r="B705" s="1" t="n">
        <v>45228</v>
      </c>
      <c r="C705" s="1" t="n">
        <v>45837</v>
      </c>
      <c r="D705" t="inlineStr">
        <is>
          <t>DALARNAS LÄN</t>
        </is>
      </c>
      <c r="E705" t="inlineStr">
        <is>
          <t>MORA</t>
        </is>
      </c>
      <c r="G705" t="n">
        <v>2.3</v>
      </c>
      <c r="H705" t="n">
        <v>0</v>
      </c>
      <c r="I705" t="n">
        <v>0</v>
      </c>
      <c r="J705" t="n">
        <v>0</v>
      </c>
      <c r="K705" t="n">
        <v>0</v>
      </c>
      <c r="L705" t="n">
        <v>0</v>
      </c>
      <c r="M705" t="n">
        <v>0</v>
      </c>
      <c r="N705" t="n">
        <v>0</v>
      </c>
      <c r="O705" t="n">
        <v>0</v>
      </c>
      <c r="P705" t="n">
        <v>0</v>
      </c>
      <c r="Q705" t="n">
        <v>0</v>
      </c>
      <c r="R705" s="2" t="inlineStr"/>
    </row>
    <row r="706" ht="15" customHeight="1">
      <c r="A706" t="inlineStr">
        <is>
          <t>A 53344-2023</t>
        </is>
      </c>
      <c r="B706" s="1" t="n">
        <v>45229</v>
      </c>
      <c r="C706" s="1" t="n">
        <v>45837</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53349-2023</t>
        </is>
      </c>
      <c r="B707" s="1" t="n">
        <v>45229</v>
      </c>
      <c r="C707" s="1" t="n">
        <v>45837</v>
      </c>
      <c r="D707" t="inlineStr">
        <is>
          <t>DALARNAS LÄN</t>
        </is>
      </c>
      <c r="E707" t="inlineStr">
        <is>
          <t>MORA</t>
        </is>
      </c>
      <c r="G707" t="n">
        <v>3</v>
      </c>
      <c r="H707" t="n">
        <v>0</v>
      </c>
      <c r="I707" t="n">
        <v>0</v>
      </c>
      <c r="J707" t="n">
        <v>0</v>
      </c>
      <c r="K707" t="n">
        <v>0</v>
      </c>
      <c r="L707" t="n">
        <v>0</v>
      </c>
      <c r="M707" t="n">
        <v>0</v>
      </c>
      <c r="N707" t="n">
        <v>0</v>
      </c>
      <c r="O707" t="n">
        <v>0</v>
      </c>
      <c r="P707" t="n">
        <v>0</v>
      </c>
      <c r="Q707" t="n">
        <v>0</v>
      </c>
      <c r="R707" s="2" t="inlineStr"/>
    </row>
    <row r="708" ht="15" customHeight="1">
      <c r="A708" t="inlineStr">
        <is>
          <t>A 53297-2023</t>
        </is>
      </c>
      <c r="B708" s="1" t="n">
        <v>45229</v>
      </c>
      <c r="C708" s="1" t="n">
        <v>45837</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53341-2023</t>
        </is>
      </c>
      <c r="B709" s="1" t="n">
        <v>45229</v>
      </c>
      <c r="C709" s="1" t="n">
        <v>45837</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54003-2023</t>
        </is>
      </c>
      <c r="B710" s="1" t="n">
        <v>45231</v>
      </c>
      <c r="C710" s="1" t="n">
        <v>45837</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55225-2023</t>
        </is>
      </c>
      <c r="B711" s="1" t="n">
        <v>45231</v>
      </c>
      <c r="C711" s="1" t="n">
        <v>45837</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53994-2023</t>
        </is>
      </c>
      <c r="B712" s="1" t="n">
        <v>45231</v>
      </c>
      <c r="C712" s="1" t="n">
        <v>45837</v>
      </c>
      <c r="D712" t="inlineStr">
        <is>
          <t>DALARNAS LÄN</t>
        </is>
      </c>
      <c r="E712" t="inlineStr">
        <is>
          <t>MORA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54097-2023</t>
        </is>
      </c>
      <c r="B713" s="1" t="n">
        <v>45232</v>
      </c>
      <c r="C713" s="1" t="n">
        <v>45837</v>
      </c>
      <c r="D713" t="inlineStr">
        <is>
          <t>DALARNAS LÄN</t>
        </is>
      </c>
      <c r="E713" t="inlineStr">
        <is>
          <t>MORA</t>
        </is>
      </c>
      <c r="G713" t="n">
        <v>5.6</v>
      </c>
      <c r="H713" t="n">
        <v>0</v>
      </c>
      <c r="I713" t="n">
        <v>0</v>
      </c>
      <c r="J713" t="n">
        <v>0</v>
      </c>
      <c r="K713" t="n">
        <v>0</v>
      </c>
      <c r="L713" t="n">
        <v>0</v>
      </c>
      <c r="M713" t="n">
        <v>0</v>
      </c>
      <c r="N713" t="n">
        <v>0</v>
      </c>
      <c r="O713" t="n">
        <v>0</v>
      </c>
      <c r="P713" t="n">
        <v>0</v>
      </c>
      <c r="Q713" t="n">
        <v>0</v>
      </c>
      <c r="R713" s="2" t="inlineStr"/>
    </row>
    <row r="714" ht="15" customHeight="1">
      <c r="A714" t="inlineStr">
        <is>
          <t>A 54121-2023</t>
        </is>
      </c>
      <c r="B714" s="1" t="n">
        <v>45232</v>
      </c>
      <c r="C714" s="1" t="n">
        <v>45837</v>
      </c>
      <c r="D714" t="inlineStr">
        <is>
          <t>DALARNAS LÄN</t>
        </is>
      </c>
      <c r="E714" t="inlineStr">
        <is>
          <t>MORA</t>
        </is>
      </c>
      <c r="G714" t="n">
        <v>7</v>
      </c>
      <c r="H714" t="n">
        <v>0</v>
      </c>
      <c r="I714" t="n">
        <v>0</v>
      </c>
      <c r="J714" t="n">
        <v>0</v>
      </c>
      <c r="K714" t="n">
        <v>0</v>
      </c>
      <c r="L714" t="n">
        <v>0</v>
      </c>
      <c r="M714" t="n">
        <v>0</v>
      </c>
      <c r="N714" t="n">
        <v>0</v>
      </c>
      <c r="O714" t="n">
        <v>0</v>
      </c>
      <c r="P714" t="n">
        <v>0</v>
      </c>
      <c r="Q714" t="n">
        <v>0</v>
      </c>
      <c r="R714" s="2" t="inlineStr"/>
    </row>
    <row r="715" ht="15" customHeight="1">
      <c r="A715" t="inlineStr">
        <is>
          <t>A 54129-2023</t>
        </is>
      </c>
      <c r="B715" s="1" t="n">
        <v>45232</v>
      </c>
      <c r="C715" s="1" t="n">
        <v>45837</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54193-2023</t>
        </is>
      </c>
      <c r="B716" s="1" t="n">
        <v>45232</v>
      </c>
      <c r="C716" s="1" t="n">
        <v>45837</v>
      </c>
      <c r="D716" t="inlineStr">
        <is>
          <t>DALARNAS LÄN</t>
        </is>
      </c>
      <c r="E716" t="inlineStr">
        <is>
          <t>MORA</t>
        </is>
      </c>
      <c r="G716" t="n">
        <v>5.7</v>
      </c>
      <c r="H716" t="n">
        <v>0</v>
      </c>
      <c r="I716" t="n">
        <v>0</v>
      </c>
      <c r="J716" t="n">
        <v>0</v>
      </c>
      <c r="K716" t="n">
        <v>0</v>
      </c>
      <c r="L716" t="n">
        <v>0</v>
      </c>
      <c r="M716" t="n">
        <v>0</v>
      </c>
      <c r="N716" t="n">
        <v>0</v>
      </c>
      <c r="O716" t="n">
        <v>0</v>
      </c>
      <c r="P716" t="n">
        <v>0</v>
      </c>
      <c r="Q716" t="n">
        <v>0</v>
      </c>
      <c r="R716" s="2" t="inlineStr"/>
    </row>
    <row r="717" ht="15" customHeight="1">
      <c r="A717" t="inlineStr">
        <is>
          <t>A 54194-2023</t>
        </is>
      </c>
      <c r="B717" s="1" t="n">
        <v>45232</v>
      </c>
      <c r="C717" s="1" t="n">
        <v>45837</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54192-2023</t>
        </is>
      </c>
      <c r="B718" s="1" t="n">
        <v>45232</v>
      </c>
      <c r="C718" s="1" t="n">
        <v>45837</v>
      </c>
      <c r="D718" t="inlineStr">
        <is>
          <t>DALARNAS LÄN</t>
        </is>
      </c>
      <c r="E718" t="inlineStr">
        <is>
          <t>MORA</t>
        </is>
      </c>
      <c r="G718" t="n">
        <v>3.4</v>
      </c>
      <c r="H718" t="n">
        <v>0</v>
      </c>
      <c r="I718" t="n">
        <v>0</v>
      </c>
      <c r="J718" t="n">
        <v>0</v>
      </c>
      <c r="K718" t="n">
        <v>0</v>
      </c>
      <c r="L718" t="n">
        <v>0</v>
      </c>
      <c r="M718" t="n">
        <v>0</v>
      </c>
      <c r="N718" t="n">
        <v>0</v>
      </c>
      <c r="O718" t="n">
        <v>0</v>
      </c>
      <c r="P718" t="n">
        <v>0</v>
      </c>
      <c r="Q718" t="n">
        <v>0</v>
      </c>
      <c r="R718" s="2" t="inlineStr"/>
    </row>
    <row r="719" ht="15" customHeight="1">
      <c r="A719" t="inlineStr">
        <is>
          <t>A 54253-2023</t>
        </is>
      </c>
      <c r="B719" s="1" t="n">
        <v>45232</v>
      </c>
      <c r="C719" s="1" t="n">
        <v>45837</v>
      </c>
      <c r="D719" t="inlineStr">
        <is>
          <t>DALARNAS LÄN</t>
        </is>
      </c>
      <c r="E719" t="inlineStr">
        <is>
          <t>MORA</t>
        </is>
      </c>
      <c r="G719" t="n">
        <v>4.5</v>
      </c>
      <c r="H719" t="n">
        <v>0</v>
      </c>
      <c r="I719" t="n">
        <v>0</v>
      </c>
      <c r="J719" t="n">
        <v>0</v>
      </c>
      <c r="K719" t="n">
        <v>0</v>
      </c>
      <c r="L719" t="n">
        <v>0</v>
      </c>
      <c r="M719" t="n">
        <v>0</v>
      </c>
      <c r="N719" t="n">
        <v>0</v>
      </c>
      <c r="O719" t="n">
        <v>0</v>
      </c>
      <c r="P719" t="n">
        <v>0</v>
      </c>
      <c r="Q719" t="n">
        <v>0</v>
      </c>
      <c r="R719" s="2" t="inlineStr"/>
    </row>
    <row r="720" ht="15" customHeight="1">
      <c r="A720" t="inlineStr">
        <is>
          <t>A 54257-2023</t>
        </is>
      </c>
      <c r="B720" s="1" t="n">
        <v>45232</v>
      </c>
      <c r="C720" s="1" t="n">
        <v>45837</v>
      </c>
      <c r="D720" t="inlineStr">
        <is>
          <t>DALARNAS LÄN</t>
        </is>
      </c>
      <c r="E720" t="inlineStr">
        <is>
          <t>MORA</t>
        </is>
      </c>
      <c r="G720" t="n">
        <v>4</v>
      </c>
      <c r="H720" t="n">
        <v>0</v>
      </c>
      <c r="I720" t="n">
        <v>0</v>
      </c>
      <c r="J720" t="n">
        <v>0</v>
      </c>
      <c r="K720" t="n">
        <v>0</v>
      </c>
      <c r="L720" t="n">
        <v>0</v>
      </c>
      <c r="M720" t="n">
        <v>0</v>
      </c>
      <c r="N720" t="n">
        <v>0</v>
      </c>
      <c r="O720" t="n">
        <v>0</v>
      </c>
      <c r="P720" t="n">
        <v>0</v>
      </c>
      <c r="Q720" t="n">
        <v>0</v>
      </c>
      <c r="R720" s="2" t="inlineStr"/>
    </row>
    <row r="721" ht="15" customHeight="1">
      <c r="A721" t="inlineStr">
        <is>
          <t>A 54827-2023</t>
        </is>
      </c>
      <c r="B721" s="1" t="n">
        <v>45236</v>
      </c>
      <c r="C721" s="1" t="n">
        <v>45837</v>
      </c>
      <c r="D721" t="inlineStr">
        <is>
          <t>DALARNAS LÄN</t>
        </is>
      </c>
      <c r="E721" t="inlineStr">
        <is>
          <t>MORA</t>
        </is>
      </c>
      <c r="G721" t="n">
        <v>18.7</v>
      </c>
      <c r="H721" t="n">
        <v>0</v>
      </c>
      <c r="I721" t="n">
        <v>0</v>
      </c>
      <c r="J721" t="n">
        <v>0</v>
      </c>
      <c r="K721" t="n">
        <v>0</v>
      </c>
      <c r="L721" t="n">
        <v>0</v>
      </c>
      <c r="M721" t="n">
        <v>0</v>
      </c>
      <c r="N721" t="n">
        <v>0</v>
      </c>
      <c r="O721" t="n">
        <v>0</v>
      </c>
      <c r="P721" t="n">
        <v>0</v>
      </c>
      <c r="Q721" t="n">
        <v>0</v>
      </c>
      <c r="R721" s="2" t="inlineStr"/>
    </row>
    <row r="722" ht="15" customHeight="1">
      <c r="A722" t="inlineStr">
        <is>
          <t>A 54923-2023</t>
        </is>
      </c>
      <c r="B722" s="1" t="n">
        <v>45236</v>
      </c>
      <c r="C722" s="1" t="n">
        <v>45837</v>
      </c>
      <c r="D722" t="inlineStr">
        <is>
          <t>DALARNAS LÄN</t>
        </is>
      </c>
      <c r="E722" t="inlineStr">
        <is>
          <t>MORA</t>
        </is>
      </c>
      <c r="G722" t="n">
        <v>7.3</v>
      </c>
      <c r="H722" t="n">
        <v>0</v>
      </c>
      <c r="I722" t="n">
        <v>0</v>
      </c>
      <c r="J722" t="n">
        <v>0</v>
      </c>
      <c r="K722" t="n">
        <v>0</v>
      </c>
      <c r="L722" t="n">
        <v>0</v>
      </c>
      <c r="M722" t="n">
        <v>0</v>
      </c>
      <c r="N722" t="n">
        <v>0</v>
      </c>
      <c r="O722" t="n">
        <v>0</v>
      </c>
      <c r="P722" t="n">
        <v>0</v>
      </c>
      <c r="Q722" t="n">
        <v>0</v>
      </c>
      <c r="R722" s="2" t="inlineStr"/>
    </row>
    <row r="723" ht="15" customHeight="1">
      <c r="A723" t="inlineStr">
        <is>
          <t>A 55222-2023</t>
        </is>
      </c>
      <c r="B723" s="1" t="n">
        <v>45237</v>
      </c>
      <c r="C723" s="1" t="n">
        <v>45837</v>
      </c>
      <c r="D723" t="inlineStr">
        <is>
          <t>DALARNAS LÄN</t>
        </is>
      </c>
      <c r="E723" t="inlineStr">
        <is>
          <t>MORA</t>
        </is>
      </c>
      <c r="F723" t="inlineStr">
        <is>
          <t>Allmännings- och besparingsskogar</t>
        </is>
      </c>
      <c r="G723" t="n">
        <v>19.8</v>
      </c>
      <c r="H723" t="n">
        <v>0</v>
      </c>
      <c r="I723" t="n">
        <v>0</v>
      </c>
      <c r="J723" t="n">
        <v>0</v>
      </c>
      <c r="K723" t="n">
        <v>0</v>
      </c>
      <c r="L723" t="n">
        <v>0</v>
      </c>
      <c r="M723" t="n">
        <v>0</v>
      </c>
      <c r="N723" t="n">
        <v>0</v>
      </c>
      <c r="O723" t="n">
        <v>0</v>
      </c>
      <c r="P723" t="n">
        <v>0</v>
      </c>
      <c r="Q723" t="n">
        <v>0</v>
      </c>
      <c r="R723" s="2" t="inlineStr"/>
    </row>
    <row r="724" ht="15" customHeight="1">
      <c r="A724" t="inlineStr">
        <is>
          <t>A 55398-2023</t>
        </is>
      </c>
      <c r="B724" s="1" t="n">
        <v>45238</v>
      </c>
      <c r="C724" s="1" t="n">
        <v>45837</v>
      </c>
      <c r="D724" t="inlineStr">
        <is>
          <t>DALARNAS LÄN</t>
        </is>
      </c>
      <c r="E724" t="inlineStr">
        <is>
          <t>MORA</t>
        </is>
      </c>
      <c r="G724" t="n">
        <v>7.2</v>
      </c>
      <c r="H724" t="n">
        <v>0</v>
      </c>
      <c r="I724" t="n">
        <v>0</v>
      </c>
      <c r="J724" t="n">
        <v>0</v>
      </c>
      <c r="K724" t="n">
        <v>0</v>
      </c>
      <c r="L724" t="n">
        <v>0</v>
      </c>
      <c r="M724" t="n">
        <v>0</v>
      </c>
      <c r="N724" t="n">
        <v>0</v>
      </c>
      <c r="O724" t="n">
        <v>0</v>
      </c>
      <c r="P724" t="n">
        <v>0</v>
      </c>
      <c r="Q724" t="n">
        <v>0</v>
      </c>
      <c r="R724" s="2" t="inlineStr"/>
    </row>
    <row r="725" ht="15" customHeight="1">
      <c r="A725" t="inlineStr">
        <is>
          <t>A 55691-2023</t>
        </is>
      </c>
      <c r="B725" s="1" t="n">
        <v>45239</v>
      </c>
      <c r="C725" s="1" t="n">
        <v>45837</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55848-2023</t>
        </is>
      </c>
      <c r="B726" s="1" t="n">
        <v>45239</v>
      </c>
      <c r="C726" s="1" t="n">
        <v>45837</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56010-2023</t>
        </is>
      </c>
      <c r="B727" s="1" t="n">
        <v>45240</v>
      </c>
      <c r="C727" s="1" t="n">
        <v>45837</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56037-2023</t>
        </is>
      </c>
      <c r="B728" s="1" t="n">
        <v>45240</v>
      </c>
      <c r="C728" s="1" t="n">
        <v>45837</v>
      </c>
      <c r="D728" t="inlineStr">
        <is>
          <t>DALARNAS LÄN</t>
        </is>
      </c>
      <c r="E728" t="inlineStr">
        <is>
          <t>MORA</t>
        </is>
      </c>
      <c r="G728" t="n">
        <v>1.4</v>
      </c>
      <c r="H728" t="n">
        <v>0</v>
      </c>
      <c r="I728" t="n">
        <v>0</v>
      </c>
      <c r="J728" t="n">
        <v>0</v>
      </c>
      <c r="K728" t="n">
        <v>0</v>
      </c>
      <c r="L728" t="n">
        <v>0</v>
      </c>
      <c r="M728" t="n">
        <v>0</v>
      </c>
      <c r="N728" t="n">
        <v>0</v>
      </c>
      <c r="O728" t="n">
        <v>0</v>
      </c>
      <c r="P728" t="n">
        <v>0</v>
      </c>
      <c r="Q728" t="n">
        <v>0</v>
      </c>
      <c r="R728" s="2" t="inlineStr"/>
    </row>
    <row r="729" ht="15" customHeight="1">
      <c r="A729" t="inlineStr">
        <is>
          <t>A 56020-2023</t>
        </is>
      </c>
      <c r="B729" s="1" t="n">
        <v>45240</v>
      </c>
      <c r="C729" s="1" t="n">
        <v>45837</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56012-2023</t>
        </is>
      </c>
      <c r="B730" s="1" t="n">
        <v>45240</v>
      </c>
      <c r="C730" s="1" t="n">
        <v>45837</v>
      </c>
      <c r="D730" t="inlineStr">
        <is>
          <t>DALARNAS LÄN</t>
        </is>
      </c>
      <c r="E730" t="inlineStr">
        <is>
          <t>MORA</t>
        </is>
      </c>
      <c r="G730" t="n">
        <v>0.3</v>
      </c>
      <c r="H730" t="n">
        <v>0</v>
      </c>
      <c r="I730" t="n">
        <v>0</v>
      </c>
      <c r="J730" t="n">
        <v>0</v>
      </c>
      <c r="K730" t="n">
        <v>0</v>
      </c>
      <c r="L730" t="n">
        <v>0</v>
      </c>
      <c r="M730" t="n">
        <v>0</v>
      </c>
      <c r="N730" t="n">
        <v>0</v>
      </c>
      <c r="O730" t="n">
        <v>0</v>
      </c>
      <c r="P730" t="n">
        <v>0</v>
      </c>
      <c r="Q730" t="n">
        <v>0</v>
      </c>
      <c r="R730" s="2" t="inlineStr"/>
    </row>
    <row r="731" ht="15" customHeight="1">
      <c r="A731" t="inlineStr">
        <is>
          <t>A 56239-2023</t>
        </is>
      </c>
      <c r="B731" s="1" t="n">
        <v>45240</v>
      </c>
      <c r="C731" s="1" t="n">
        <v>45837</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56032-2023</t>
        </is>
      </c>
      <c r="B732" s="1" t="n">
        <v>45240</v>
      </c>
      <c r="C732" s="1" t="n">
        <v>45837</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55977-2023</t>
        </is>
      </c>
      <c r="B733" s="1" t="n">
        <v>45240</v>
      </c>
      <c r="C733" s="1" t="n">
        <v>45837</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56009-2023</t>
        </is>
      </c>
      <c r="B734" s="1" t="n">
        <v>45240</v>
      </c>
      <c r="C734" s="1" t="n">
        <v>45837</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55984-2023</t>
        </is>
      </c>
      <c r="B735" s="1" t="n">
        <v>45240</v>
      </c>
      <c r="C735" s="1" t="n">
        <v>45837</v>
      </c>
      <c r="D735" t="inlineStr">
        <is>
          <t>DALARNAS LÄN</t>
        </is>
      </c>
      <c r="E735" t="inlineStr">
        <is>
          <t>MORA</t>
        </is>
      </c>
      <c r="G735" t="n">
        <v>5.3</v>
      </c>
      <c r="H735" t="n">
        <v>0</v>
      </c>
      <c r="I735" t="n">
        <v>0</v>
      </c>
      <c r="J735" t="n">
        <v>0</v>
      </c>
      <c r="K735" t="n">
        <v>0</v>
      </c>
      <c r="L735" t="n">
        <v>0</v>
      </c>
      <c r="M735" t="n">
        <v>0</v>
      </c>
      <c r="N735" t="n">
        <v>0</v>
      </c>
      <c r="O735" t="n">
        <v>0</v>
      </c>
      <c r="P735" t="n">
        <v>0</v>
      </c>
      <c r="Q735" t="n">
        <v>0</v>
      </c>
      <c r="R735" s="2" t="inlineStr"/>
    </row>
    <row r="736" ht="15" customHeight="1">
      <c r="A736" t="inlineStr">
        <is>
          <t>A 56711-2023</t>
        </is>
      </c>
      <c r="B736" s="1" t="n">
        <v>45244</v>
      </c>
      <c r="C736" s="1" t="n">
        <v>45837</v>
      </c>
      <c r="D736" t="inlineStr">
        <is>
          <t>DALARNAS LÄN</t>
        </is>
      </c>
      <c r="E736" t="inlineStr">
        <is>
          <t>MORA</t>
        </is>
      </c>
      <c r="G736" t="n">
        <v>4.4</v>
      </c>
      <c r="H736" t="n">
        <v>0</v>
      </c>
      <c r="I736" t="n">
        <v>0</v>
      </c>
      <c r="J736" t="n">
        <v>0</v>
      </c>
      <c r="K736" t="n">
        <v>0</v>
      </c>
      <c r="L736" t="n">
        <v>0</v>
      </c>
      <c r="M736" t="n">
        <v>0</v>
      </c>
      <c r="N736" t="n">
        <v>0</v>
      </c>
      <c r="O736" t="n">
        <v>0</v>
      </c>
      <c r="P736" t="n">
        <v>0</v>
      </c>
      <c r="Q736" t="n">
        <v>0</v>
      </c>
      <c r="R736" s="2" t="inlineStr"/>
    </row>
    <row r="737" ht="15" customHeight="1">
      <c r="A737" t="inlineStr">
        <is>
          <t>A 56767-2023</t>
        </is>
      </c>
      <c r="B737" s="1" t="n">
        <v>45244</v>
      </c>
      <c r="C737" s="1" t="n">
        <v>45837</v>
      </c>
      <c r="D737" t="inlineStr">
        <is>
          <t>DALARNAS LÄN</t>
        </is>
      </c>
      <c r="E737" t="inlineStr">
        <is>
          <t>MORA</t>
        </is>
      </c>
      <c r="G737" t="n">
        <v>1.2</v>
      </c>
      <c r="H737" t="n">
        <v>0</v>
      </c>
      <c r="I737" t="n">
        <v>0</v>
      </c>
      <c r="J737" t="n">
        <v>0</v>
      </c>
      <c r="K737" t="n">
        <v>0</v>
      </c>
      <c r="L737" t="n">
        <v>0</v>
      </c>
      <c r="M737" t="n">
        <v>0</v>
      </c>
      <c r="N737" t="n">
        <v>0</v>
      </c>
      <c r="O737" t="n">
        <v>0</v>
      </c>
      <c r="P737" t="n">
        <v>0</v>
      </c>
      <c r="Q737" t="n">
        <v>0</v>
      </c>
      <c r="R737" s="2" t="inlineStr"/>
    </row>
    <row r="738" ht="15" customHeight="1">
      <c r="A738" t="inlineStr">
        <is>
          <t>A 56934-2023</t>
        </is>
      </c>
      <c r="B738" s="1" t="n">
        <v>45244</v>
      </c>
      <c r="C738" s="1" t="n">
        <v>45837</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57319-2023</t>
        </is>
      </c>
      <c r="B739" s="1" t="n">
        <v>45245</v>
      </c>
      <c r="C739" s="1" t="n">
        <v>45837</v>
      </c>
      <c r="D739" t="inlineStr">
        <is>
          <t>DALARNAS LÄN</t>
        </is>
      </c>
      <c r="E739" t="inlineStr">
        <is>
          <t>MORA</t>
        </is>
      </c>
      <c r="G739" t="n">
        <v>2</v>
      </c>
      <c r="H739" t="n">
        <v>0</v>
      </c>
      <c r="I739" t="n">
        <v>0</v>
      </c>
      <c r="J739" t="n">
        <v>0</v>
      </c>
      <c r="K739" t="n">
        <v>0</v>
      </c>
      <c r="L739" t="n">
        <v>0</v>
      </c>
      <c r="M739" t="n">
        <v>0</v>
      </c>
      <c r="N739" t="n">
        <v>0</v>
      </c>
      <c r="O739" t="n">
        <v>0</v>
      </c>
      <c r="P739" t="n">
        <v>0</v>
      </c>
      <c r="Q739" t="n">
        <v>0</v>
      </c>
      <c r="R739" s="2" t="inlineStr"/>
    </row>
    <row r="740" ht="15" customHeight="1">
      <c r="A740" t="inlineStr">
        <is>
          <t>A 57314-2023</t>
        </is>
      </c>
      <c r="B740" s="1" t="n">
        <v>45245</v>
      </c>
      <c r="C740" s="1" t="n">
        <v>45837</v>
      </c>
      <c r="D740" t="inlineStr">
        <is>
          <t>DALARNAS LÄN</t>
        </is>
      </c>
      <c r="E740" t="inlineStr">
        <is>
          <t>MORA</t>
        </is>
      </c>
      <c r="G740" t="n">
        <v>2.7</v>
      </c>
      <c r="H740" t="n">
        <v>0</v>
      </c>
      <c r="I740" t="n">
        <v>0</v>
      </c>
      <c r="J740" t="n">
        <v>0</v>
      </c>
      <c r="K740" t="n">
        <v>0</v>
      </c>
      <c r="L740" t="n">
        <v>0</v>
      </c>
      <c r="M740" t="n">
        <v>0</v>
      </c>
      <c r="N740" t="n">
        <v>0</v>
      </c>
      <c r="O740" t="n">
        <v>0</v>
      </c>
      <c r="P740" t="n">
        <v>0</v>
      </c>
      <c r="Q740" t="n">
        <v>0</v>
      </c>
      <c r="R740" s="2" t="inlineStr"/>
    </row>
    <row r="741" ht="15" customHeight="1">
      <c r="A741" t="inlineStr">
        <is>
          <t>A 57625-2023</t>
        </is>
      </c>
      <c r="B741" s="1" t="n">
        <v>45246</v>
      </c>
      <c r="C741" s="1" t="n">
        <v>45837</v>
      </c>
      <c r="D741" t="inlineStr">
        <is>
          <t>DALARNAS LÄN</t>
        </is>
      </c>
      <c r="E741" t="inlineStr">
        <is>
          <t>MORA</t>
        </is>
      </c>
      <c r="G741" t="n">
        <v>3.5</v>
      </c>
      <c r="H741" t="n">
        <v>0</v>
      </c>
      <c r="I741" t="n">
        <v>0</v>
      </c>
      <c r="J741" t="n">
        <v>0</v>
      </c>
      <c r="K741" t="n">
        <v>0</v>
      </c>
      <c r="L741" t="n">
        <v>0</v>
      </c>
      <c r="M741" t="n">
        <v>0</v>
      </c>
      <c r="N741" t="n">
        <v>0</v>
      </c>
      <c r="O741" t="n">
        <v>0</v>
      </c>
      <c r="P741" t="n">
        <v>0</v>
      </c>
      <c r="Q741" t="n">
        <v>0</v>
      </c>
      <c r="R741" s="2" t="inlineStr"/>
    </row>
    <row r="742" ht="15" customHeight="1">
      <c r="A742" t="inlineStr">
        <is>
          <t>A 57989-2023</t>
        </is>
      </c>
      <c r="B742" s="1" t="n">
        <v>45247</v>
      </c>
      <c r="C742" s="1" t="n">
        <v>45837</v>
      </c>
      <c r="D742" t="inlineStr">
        <is>
          <t>DALARNAS LÄN</t>
        </is>
      </c>
      <c r="E742" t="inlineStr">
        <is>
          <t>MORA</t>
        </is>
      </c>
      <c r="G742" t="n">
        <v>0.6</v>
      </c>
      <c r="H742" t="n">
        <v>0</v>
      </c>
      <c r="I742" t="n">
        <v>0</v>
      </c>
      <c r="J742" t="n">
        <v>0</v>
      </c>
      <c r="K742" t="n">
        <v>0</v>
      </c>
      <c r="L742" t="n">
        <v>0</v>
      </c>
      <c r="M742" t="n">
        <v>0</v>
      </c>
      <c r="N742" t="n">
        <v>0</v>
      </c>
      <c r="O742" t="n">
        <v>0</v>
      </c>
      <c r="P742" t="n">
        <v>0</v>
      </c>
      <c r="Q742" t="n">
        <v>0</v>
      </c>
      <c r="R742" s="2" t="inlineStr"/>
    </row>
    <row r="743" ht="15" customHeight="1">
      <c r="A743" t="inlineStr">
        <is>
          <t>A 57999-2023</t>
        </is>
      </c>
      <c r="B743" s="1" t="n">
        <v>45247</v>
      </c>
      <c r="C743" s="1" t="n">
        <v>45837</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58075-2023</t>
        </is>
      </c>
      <c r="B744" s="1" t="n">
        <v>45247</v>
      </c>
      <c r="C744" s="1" t="n">
        <v>45837</v>
      </c>
      <c r="D744" t="inlineStr">
        <is>
          <t>DALARNAS LÄN</t>
        </is>
      </c>
      <c r="E744" t="inlineStr">
        <is>
          <t>MORA</t>
        </is>
      </c>
      <c r="G744" t="n">
        <v>2.6</v>
      </c>
      <c r="H744" t="n">
        <v>0</v>
      </c>
      <c r="I744" t="n">
        <v>0</v>
      </c>
      <c r="J744" t="n">
        <v>0</v>
      </c>
      <c r="K744" t="n">
        <v>0</v>
      </c>
      <c r="L744" t="n">
        <v>0</v>
      </c>
      <c r="M744" t="n">
        <v>0</v>
      </c>
      <c r="N744" t="n">
        <v>0</v>
      </c>
      <c r="O744" t="n">
        <v>0</v>
      </c>
      <c r="P744" t="n">
        <v>0</v>
      </c>
      <c r="Q744" t="n">
        <v>0</v>
      </c>
      <c r="R744" s="2" t="inlineStr"/>
    </row>
    <row r="745" ht="15" customHeight="1">
      <c r="A745" t="inlineStr">
        <is>
          <t>A 57889-2023</t>
        </is>
      </c>
      <c r="B745" s="1" t="n">
        <v>45247</v>
      </c>
      <c r="C745" s="1" t="n">
        <v>45837</v>
      </c>
      <c r="D745" t="inlineStr">
        <is>
          <t>DALARNAS LÄN</t>
        </is>
      </c>
      <c r="E745" t="inlineStr">
        <is>
          <t>MORA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58972-2023</t>
        </is>
      </c>
      <c r="B746" s="1" t="n">
        <v>45252</v>
      </c>
      <c r="C746" s="1" t="n">
        <v>45837</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58977-2023</t>
        </is>
      </c>
      <c r="B747" s="1" t="n">
        <v>45252</v>
      </c>
      <c r="C747" s="1" t="n">
        <v>45837</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58892-2023</t>
        </is>
      </c>
      <c r="B748" s="1" t="n">
        <v>45252</v>
      </c>
      <c r="C748" s="1" t="n">
        <v>45837</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59168-2023</t>
        </is>
      </c>
      <c r="B749" s="1" t="n">
        <v>45253</v>
      </c>
      <c r="C749" s="1" t="n">
        <v>45837</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59174-2023</t>
        </is>
      </c>
      <c r="B750" s="1" t="n">
        <v>45253</v>
      </c>
      <c r="C750" s="1" t="n">
        <v>45837</v>
      </c>
      <c r="D750" t="inlineStr">
        <is>
          <t>DALARNAS LÄN</t>
        </is>
      </c>
      <c r="E750" t="inlineStr">
        <is>
          <t>MORA</t>
        </is>
      </c>
      <c r="G750" t="n">
        <v>2.5</v>
      </c>
      <c r="H750" t="n">
        <v>0</v>
      </c>
      <c r="I750" t="n">
        <v>0</v>
      </c>
      <c r="J750" t="n">
        <v>0</v>
      </c>
      <c r="K750" t="n">
        <v>0</v>
      </c>
      <c r="L750" t="n">
        <v>0</v>
      </c>
      <c r="M750" t="n">
        <v>0</v>
      </c>
      <c r="N750" t="n">
        <v>0</v>
      </c>
      <c r="O750" t="n">
        <v>0</v>
      </c>
      <c r="P750" t="n">
        <v>0</v>
      </c>
      <c r="Q750" t="n">
        <v>0</v>
      </c>
      <c r="R750" s="2" t="inlineStr"/>
    </row>
    <row r="751" ht="15" customHeight="1">
      <c r="A751" t="inlineStr">
        <is>
          <t>A 59170-2023</t>
        </is>
      </c>
      <c r="B751" s="1" t="n">
        <v>45253</v>
      </c>
      <c r="C751" s="1" t="n">
        <v>45837</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59180-2023</t>
        </is>
      </c>
      <c r="B752" s="1" t="n">
        <v>45253</v>
      </c>
      <c r="C752" s="1" t="n">
        <v>45837</v>
      </c>
      <c r="D752" t="inlineStr">
        <is>
          <t>DALARNAS LÄN</t>
        </is>
      </c>
      <c r="E752" t="inlineStr">
        <is>
          <t>MORA</t>
        </is>
      </c>
      <c r="G752" t="n">
        <v>6</v>
      </c>
      <c r="H752" t="n">
        <v>0</v>
      </c>
      <c r="I752" t="n">
        <v>0</v>
      </c>
      <c r="J752" t="n">
        <v>0</v>
      </c>
      <c r="K752" t="n">
        <v>0</v>
      </c>
      <c r="L752" t="n">
        <v>0</v>
      </c>
      <c r="M752" t="n">
        <v>0</v>
      </c>
      <c r="N752" t="n">
        <v>0</v>
      </c>
      <c r="O752" t="n">
        <v>0</v>
      </c>
      <c r="P752" t="n">
        <v>0</v>
      </c>
      <c r="Q752" t="n">
        <v>0</v>
      </c>
      <c r="R752" s="2" t="inlineStr"/>
    </row>
    <row r="753" ht="15" customHeight="1">
      <c r="A753" t="inlineStr">
        <is>
          <t>A 59182-2023</t>
        </is>
      </c>
      <c r="B753" s="1" t="n">
        <v>45253</v>
      </c>
      <c r="C753" s="1" t="n">
        <v>45837</v>
      </c>
      <c r="D753" t="inlineStr">
        <is>
          <t>DALARNAS LÄN</t>
        </is>
      </c>
      <c r="E753" t="inlineStr">
        <is>
          <t>MORA</t>
        </is>
      </c>
      <c r="G753" t="n">
        <v>3.3</v>
      </c>
      <c r="H753" t="n">
        <v>0</v>
      </c>
      <c r="I753" t="n">
        <v>0</v>
      </c>
      <c r="J753" t="n">
        <v>0</v>
      </c>
      <c r="K753" t="n">
        <v>0</v>
      </c>
      <c r="L753" t="n">
        <v>0</v>
      </c>
      <c r="M753" t="n">
        <v>0</v>
      </c>
      <c r="N753" t="n">
        <v>0</v>
      </c>
      <c r="O753" t="n">
        <v>0</v>
      </c>
      <c r="P753" t="n">
        <v>0</v>
      </c>
      <c r="Q753" t="n">
        <v>0</v>
      </c>
      <c r="R753" s="2" t="inlineStr"/>
    </row>
    <row r="754" ht="15" customHeight="1">
      <c r="A754" t="inlineStr">
        <is>
          <t>A 59995-2023</t>
        </is>
      </c>
      <c r="B754" s="1" t="n">
        <v>45254</v>
      </c>
      <c r="C754" s="1" t="n">
        <v>45837</v>
      </c>
      <c r="D754" t="inlineStr">
        <is>
          <t>DALARNAS LÄN</t>
        </is>
      </c>
      <c r="E754" t="inlineStr">
        <is>
          <t>MORA</t>
        </is>
      </c>
      <c r="G754" t="n">
        <v>1.2</v>
      </c>
      <c r="H754" t="n">
        <v>0</v>
      </c>
      <c r="I754" t="n">
        <v>0</v>
      </c>
      <c r="J754" t="n">
        <v>0</v>
      </c>
      <c r="K754" t="n">
        <v>0</v>
      </c>
      <c r="L754" t="n">
        <v>0</v>
      </c>
      <c r="M754" t="n">
        <v>0</v>
      </c>
      <c r="N754" t="n">
        <v>0</v>
      </c>
      <c r="O754" t="n">
        <v>0</v>
      </c>
      <c r="P754" t="n">
        <v>0</v>
      </c>
      <c r="Q754" t="n">
        <v>0</v>
      </c>
      <c r="R754" s="2" t="inlineStr"/>
    </row>
    <row r="755" ht="15" customHeight="1">
      <c r="A755" t="inlineStr">
        <is>
          <t>A 59891-2023</t>
        </is>
      </c>
      <c r="B755" s="1" t="n">
        <v>45254</v>
      </c>
      <c r="C755" s="1" t="n">
        <v>45837</v>
      </c>
      <c r="D755" t="inlineStr">
        <is>
          <t>DALARNAS LÄN</t>
        </is>
      </c>
      <c r="E755" t="inlineStr">
        <is>
          <t>MORA</t>
        </is>
      </c>
      <c r="G755" t="n">
        <v>9</v>
      </c>
      <c r="H755" t="n">
        <v>0</v>
      </c>
      <c r="I755" t="n">
        <v>0</v>
      </c>
      <c r="J755" t="n">
        <v>0</v>
      </c>
      <c r="K755" t="n">
        <v>0</v>
      </c>
      <c r="L755" t="n">
        <v>0</v>
      </c>
      <c r="M755" t="n">
        <v>0</v>
      </c>
      <c r="N755" t="n">
        <v>0</v>
      </c>
      <c r="O755" t="n">
        <v>0</v>
      </c>
      <c r="P755" t="n">
        <v>0</v>
      </c>
      <c r="Q755" t="n">
        <v>0</v>
      </c>
      <c r="R755" s="2" t="inlineStr"/>
    </row>
    <row r="756" ht="15" customHeight="1">
      <c r="A756" t="inlineStr">
        <is>
          <t>A 59850-2023</t>
        </is>
      </c>
      <c r="B756" s="1" t="n">
        <v>45257</v>
      </c>
      <c r="C756" s="1" t="n">
        <v>45837</v>
      </c>
      <c r="D756" t="inlineStr">
        <is>
          <t>DALARNAS LÄN</t>
        </is>
      </c>
      <c r="E756" t="inlineStr">
        <is>
          <t>MORA</t>
        </is>
      </c>
      <c r="G756" t="n">
        <v>2.5</v>
      </c>
      <c r="H756" t="n">
        <v>0</v>
      </c>
      <c r="I756" t="n">
        <v>0</v>
      </c>
      <c r="J756" t="n">
        <v>0</v>
      </c>
      <c r="K756" t="n">
        <v>0</v>
      </c>
      <c r="L756" t="n">
        <v>0</v>
      </c>
      <c r="M756" t="n">
        <v>0</v>
      </c>
      <c r="N756" t="n">
        <v>0</v>
      </c>
      <c r="O756" t="n">
        <v>0</v>
      </c>
      <c r="P756" t="n">
        <v>0</v>
      </c>
      <c r="Q756" t="n">
        <v>0</v>
      </c>
      <c r="R756" s="2" t="inlineStr"/>
    </row>
    <row r="757" ht="15" customHeight="1">
      <c r="A757" t="inlineStr">
        <is>
          <t>A 59868-2023</t>
        </is>
      </c>
      <c r="B757" s="1" t="n">
        <v>45257</v>
      </c>
      <c r="C757" s="1" t="n">
        <v>45837</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60258-2023</t>
        </is>
      </c>
      <c r="B758" s="1" t="n">
        <v>45258</v>
      </c>
      <c r="C758" s="1" t="n">
        <v>45837</v>
      </c>
      <c r="D758" t="inlineStr">
        <is>
          <t>DALARNAS LÄN</t>
        </is>
      </c>
      <c r="E758" t="inlineStr">
        <is>
          <t>MORA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60360-2023</t>
        </is>
      </c>
      <c r="B759" s="1" t="n">
        <v>45259</v>
      </c>
      <c r="C759" s="1" t="n">
        <v>45837</v>
      </c>
      <c r="D759" t="inlineStr">
        <is>
          <t>DALARNAS LÄN</t>
        </is>
      </c>
      <c r="E759" t="inlineStr">
        <is>
          <t>MORA</t>
        </is>
      </c>
      <c r="G759" t="n">
        <v>2.9</v>
      </c>
      <c r="H759" t="n">
        <v>0</v>
      </c>
      <c r="I759" t="n">
        <v>0</v>
      </c>
      <c r="J759" t="n">
        <v>0</v>
      </c>
      <c r="K759" t="n">
        <v>0</v>
      </c>
      <c r="L759" t="n">
        <v>0</v>
      </c>
      <c r="M759" t="n">
        <v>0</v>
      </c>
      <c r="N759" t="n">
        <v>0</v>
      </c>
      <c r="O759" t="n">
        <v>0</v>
      </c>
      <c r="P759" t="n">
        <v>0</v>
      </c>
      <c r="Q759" t="n">
        <v>0</v>
      </c>
      <c r="R759" s="2" t="inlineStr"/>
    </row>
    <row r="760" ht="15" customHeight="1">
      <c r="A760" t="inlineStr">
        <is>
          <t>A 60526-2023</t>
        </is>
      </c>
      <c r="B760" s="1" t="n">
        <v>45259</v>
      </c>
      <c r="C760" s="1" t="n">
        <v>45837</v>
      </c>
      <c r="D760" t="inlineStr">
        <is>
          <t>DALARNAS LÄN</t>
        </is>
      </c>
      <c r="E760" t="inlineStr">
        <is>
          <t>MORA</t>
        </is>
      </c>
      <c r="G760" t="n">
        <v>6.7</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v>
      </c>
      <c r="C761" s="1" t="n">
        <v>45837</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60465-2023</t>
        </is>
      </c>
      <c r="B762" s="1" t="n">
        <v>45259</v>
      </c>
      <c r="C762" s="1" t="n">
        <v>45837</v>
      </c>
      <c r="D762" t="inlineStr">
        <is>
          <t>DALARNAS LÄN</t>
        </is>
      </c>
      <c r="E762" t="inlineStr">
        <is>
          <t>MORA</t>
        </is>
      </c>
      <c r="G762" t="n">
        <v>1.3</v>
      </c>
      <c r="H762" t="n">
        <v>0</v>
      </c>
      <c r="I762" t="n">
        <v>0</v>
      </c>
      <c r="J762" t="n">
        <v>0</v>
      </c>
      <c r="K762" t="n">
        <v>0</v>
      </c>
      <c r="L762" t="n">
        <v>0</v>
      </c>
      <c r="M762" t="n">
        <v>0</v>
      </c>
      <c r="N762" t="n">
        <v>0</v>
      </c>
      <c r="O762" t="n">
        <v>0</v>
      </c>
      <c r="P762" t="n">
        <v>0</v>
      </c>
      <c r="Q762" t="n">
        <v>0</v>
      </c>
      <c r="R762" s="2" t="inlineStr"/>
    </row>
    <row r="763" ht="15" customHeight="1">
      <c r="A763" t="inlineStr">
        <is>
          <t>A 60666-2023</t>
        </is>
      </c>
      <c r="B763" s="1" t="n">
        <v>45260</v>
      </c>
      <c r="C763" s="1" t="n">
        <v>45837</v>
      </c>
      <c r="D763" t="inlineStr">
        <is>
          <t>DALARNAS LÄN</t>
        </is>
      </c>
      <c r="E763" t="inlineStr">
        <is>
          <t>MORA</t>
        </is>
      </c>
      <c r="G763" t="n">
        <v>2.2</v>
      </c>
      <c r="H763" t="n">
        <v>0</v>
      </c>
      <c r="I763" t="n">
        <v>0</v>
      </c>
      <c r="J763" t="n">
        <v>0</v>
      </c>
      <c r="K763" t="n">
        <v>0</v>
      </c>
      <c r="L763" t="n">
        <v>0</v>
      </c>
      <c r="M763" t="n">
        <v>0</v>
      </c>
      <c r="N763" t="n">
        <v>0</v>
      </c>
      <c r="O763" t="n">
        <v>0</v>
      </c>
      <c r="P763" t="n">
        <v>0</v>
      </c>
      <c r="Q763" t="n">
        <v>0</v>
      </c>
      <c r="R763" s="2" t="inlineStr"/>
    </row>
    <row r="764" ht="15" customHeight="1">
      <c r="A764" t="inlineStr">
        <is>
          <t>A 60674-2023</t>
        </is>
      </c>
      <c r="B764" s="1" t="n">
        <v>45260</v>
      </c>
      <c r="C764" s="1" t="n">
        <v>45837</v>
      </c>
      <c r="D764" t="inlineStr">
        <is>
          <t>DALARNAS LÄN</t>
        </is>
      </c>
      <c r="E764" t="inlineStr">
        <is>
          <t>MORA</t>
        </is>
      </c>
      <c r="G764" t="n">
        <v>2.9</v>
      </c>
      <c r="H764" t="n">
        <v>0</v>
      </c>
      <c r="I764" t="n">
        <v>0</v>
      </c>
      <c r="J764" t="n">
        <v>0</v>
      </c>
      <c r="K764" t="n">
        <v>0</v>
      </c>
      <c r="L764" t="n">
        <v>0</v>
      </c>
      <c r="M764" t="n">
        <v>0</v>
      </c>
      <c r="N764" t="n">
        <v>0</v>
      </c>
      <c r="O764" t="n">
        <v>0</v>
      </c>
      <c r="P764" t="n">
        <v>0</v>
      </c>
      <c r="Q764" t="n">
        <v>0</v>
      </c>
      <c r="R764" s="2" t="inlineStr"/>
    </row>
    <row r="765" ht="15" customHeight="1">
      <c r="A765" t="inlineStr">
        <is>
          <t>A 60673-2023</t>
        </is>
      </c>
      <c r="B765" s="1" t="n">
        <v>45260</v>
      </c>
      <c r="C765" s="1" t="n">
        <v>45837</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60715-2023</t>
        </is>
      </c>
      <c r="B766" s="1" t="n">
        <v>45260</v>
      </c>
      <c r="C766" s="1" t="n">
        <v>45837</v>
      </c>
      <c r="D766" t="inlineStr">
        <is>
          <t>DALARNAS LÄN</t>
        </is>
      </c>
      <c r="E766" t="inlineStr">
        <is>
          <t>MORA</t>
        </is>
      </c>
      <c r="G766" t="n">
        <v>1.7</v>
      </c>
      <c r="H766" t="n">
        <v>0</v>
      </c>
      <c r="I766" t="n">
        <v>0</v>
      </c>
      <c r="J766" t="n">
        <v>0</v>
      </c>
      <c r="K766" t="n">
        <v>0</v>
      </c>
      <c r="L766" t="n">
        <v>0</v>
      </c>
      <c r="M766" t="n">
        <v>0</v>
      </c>
      <c r="N766" t="n">
        <v>0</v>
      </c>
      <c r="O766" t="n">
        <v>0</v>
      </c>
      <c r="P766" t="n">
        <v>0</v>
      </c>
      <c r="Q766" t="n">
        <v>0</v>
      </c>
      <c r="R766" s="2" t="inlineStr"/>
    </row>
    <row r="767" ht="15" customHeight="1">
      <c r="A767" t="inlineStr">
        <is>
          <t>A 60718-2023</t>
        </is>
      </c>
      <c r="B767" s="1" t="n">
        <v>45260</v>
      </c>
      <c r="C767" s="1" t="n">
        <v>45837</v>
      </c>
      <c r="D767" t="inlineStr">
        <is>
          <t>DALARNAS LÄN</t>
        </is>
      </c>
      <c r="E767" t="inlineStr">
        <is>
          <t>MORA</t>
        </is>
      </c>
      <c r="G767" t="n">
        <v>2.6</v>
      </c>
      <c r="H767" t="n">
        <v>0</v>
      </c>
      <c r="I767" t="n">
        <v>0</v>
      </c>
      <c r="J767" t="n">
        <v>0</v>
      </c>
      <c r="K767" t="n">
        <v>0</v>
      </c>
      <c r="L767" t="n">
        <v>0</v>
      </c>
      <c r="M767" t="n">
        <v>0</v>
      </c>
      <c r="N767" t="n">
        <v>0</v>
      </c>
      <c r="O767" t="n">
        <v>0</v>
      </c>
      <c r="P767" t="n">
        <v>0</v>
      </c>
      <c r="Q767" t="n">
        <v>0</v>
      </c>
      <c r="R767" s="2" t="inlineStr"/>
    </row>
    <row r="768" ht="15" customHeight="1">
      <c r="A768" t="inlineStr">
        <is>
          <t>A 61249-2023</t>
        </is>
      </c>
      <c r="B768" s="1" t="n">
        <v>45264</v>
      </c>
      <c r="C768" s="1" t="n">
        <v>45837</v>
      </c>
      <c r="D768" t="inlineStr">
        <is>
          <t>DALARNAS LÄN</t>
        </is>
      </c>
      <c r="E768" t="inlineStr">
        <is>
          <t>MORA</t>
        </is>
      </c>
      <c r="F768" t="inlineStr">
        <is>
          <t>Allmännings- och besparingsskogar</t>
        </is>
      </c>
      <c r="G768" t="n">
        <v>1.7</v>
      </c>
      <c r="H768" t="n">
        <v>0</v>
      </c>
      <c r="I768" t="n">
        <v>0</v>
      </c>
      <c r="J768" t="n">
        <v>0</v>
      </c>
      <c r="K768" t="n">
        <v>0</v>
      </c>
      <c r="L768" t="n">
        <v>0</v>
      </c>
      <c r="M768" t="n">
        <v>0</v>
      </c>
      <c r="N768" t="n">
        <v>0</v>
      </c>
      <c r="O768" t="n">
        <v>0</v>
      </c>
      <c r="P768" t="n">
        <v>0</v>
      </c>
      <c r="Q768" t="n">
        <v>0</v>
      </c>
      <c r="R768" s="2" t="inlineStr"/>
    </row>
    <row r="769" ht="15" customHeight="1">
      <c r="A769" t="inlineStr">
        <is>
          <t>A 61405-2023</t>
        </is>
      </c>
      <c r="B769" s="1" t="n">
        <v>45264</v>
      </c>
      <c r="C769" s="1" t="n">
        <v>45837</v>
      </c>
      <c r="D769" t="inlineStr">
        <is>
          <t>DALARNAS LÄN</t>
        </is>
      </c>
      <c r="E769" t="inlineStr">
        <is>
          <t>MORA</t>
        </is>
      </c>
      <c r="G769" t="n">
        <v>0.4</v>
      </c>
      <c r="H769" t="n">
        <v>0</v>
      </c>
      <c r="I769" t="n">
        <v>0</v>
      </c>
      <c r="J769" t="n">
        <v>0</v>
      </c>
      <c r="K769" t="n">
        <v>0</v>
      </c>
      <c r="L769" t="n">
        <v>0</v>
      </c>
      <c r="M769" t="n">
        <v>0</v>
      </c>
      <c r="N769" t="n">
        <v>0</v>
      </c>
      <c r="O769" t="n">
        <v>0</v>
      </c>
      <c r="P769" t="n">
        <v>0</v>
      </c>
      <c r="Q769" t="n">
        <v>0</v>
      </c>
      <c r="R769" s="2" t="inlineStr"/>
    </row>
    <row r="770" ht="15" customHeight="1">
      <c r="A770" t="inlineStr">
        <is>
          <t>A 61273-2023</t>
        </is>
      </c>
      <c r="B770" s="1" t="n">
        <v>45264</v>
      </c>
      <c r="C770" s="1" t="n">
        <v>45837</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61217-2023</t>
        </is>
      </c>
      <c r="B771" s="1" t="n">
        <v>45264</v>
      </c>
      <c r="C771" s="1" t="n">
        <v>45837</v>
      </c>
      <c r="D771" t="inlineStr">
        <is>
          <t>DALARNAS LÄN</t>
        </is>
      </c>
      <c r="E771" t="inlineStr">
        <is>
          <t>MORA</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61261-2023</t>
        </is>
      </c>
      <c r="B772" s="1" t="n">
        <v>45264</v>
      </c>
      <c r="C772" s="1" t="n">
        <v>45837</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61270-2023</t>
        </is>
      </c>
      <c r="B773" s="1" t="n">
        <v>45264</v>
      </c>
      <c r="C773" s="1" t="n">
        <v>45837</v>
      </c>
      <c r="D773" t="inlineStr">
        <is>
          <t>DALARNAS LÄN</t>
        </is>
      </c>
      <c r="E773" t="inlineStr">
        <is>
          <t>MORA</t>
        </is>
      </c>
      <c r="G773" t="n">
        <v>0.7</v>
      </c>
      <c r="H773" t="n">
        <v>0</v>
      </c>
      <c r="I773" t="n">
        <v>0</v>
      </c>
      <c r="J773" t="n">
        <v>0</v>
      </c>
      <c r="K773" t="n">
        <v>0</v>
      </c>
      <c r="L773" t="n">
        <v>0</v>
      </c>
      <c r="M773" t="n">
        <v>0</v>
      </c>
      <c r="N773" t="n">
        <v>0</v>
      </c>
      <c r="O773" t="n">
        <v>0</v>
      </c>
      <c r="P773" t="n">
        <v>0</v>
      </c>
      <c r="Q773" t="n">
        <v>0</v>
      </c>
      <c r="R773" s="2" t="inlineStr"/>
    </row>
    <row r="774" ht="15" customHeight="1">
      <c r="A774" t="inlineStr">
        <is>
          <t>A 61392-2023</t>
        </is>
      </c>
      <c r="B774" s="1" t="n">
        <v>45264</v>
      </c>
      <c r="C774" s="1" t="n">
        <v>45837</v>
      </c>
      <c r="D774" t="inlineStr">
        <is>
          <t>DALARNAS LÄN</t>
        </is>
      </c>
      <c r="E774" t="inlineStr">
        <is>
          <t>MORA</t>
        </is>
      </c>
      <c r="G774" t="n">
        <v>1.4</v>
      </c>
      <c r="H774" t="n">
        <v>0</v>
      </c>
      <c r="I774" t="n">
        <v>0</v>
      </c>
      <c r="J774" t="n">
        <v>0</v>
      </c>
      <c r="K774" t="n">
        <v>0</v>
      </c>
      <c r="L774" t="n">
        <v>0</v>
      </c>
      <c r="M774" t="n">
        <v>0</v>
      </c>
      <c r="N774" t="n">
        <v>0</v>
      </c>
      <c r="O774" t="n">
        <v>0</v>
      </c>
      <c r="P774" t="n">
        <v>0</v>
      </c>
      <c r="Q774" t="n">
        <v>0</v>
      </c>
      <c r="R774" s="2" t="inlineStr"/>
    </row>
    <row r="775" ht="15" customHeight="1">
      <c r="A775" t="inlineStr">
        <is>
          <t>A 61209-2023</t>
        </is>
      </c>
      <c r="B775" s="1" t="n">
        <v>45264</v>
      </c>
      <c r="C775" s="1" t="n">
        <v>45837</v>
      </c>
      <c r="D775" t="inlineStr">
        <is>
          <t>DALARNAS LÄN</t>
        </is>
      </c>
      <c r="E775" t="inlineStr">
        <is>
          <t>MORA</t>
        </is>
      </c>
      <c r="F775" t="inlineStr">
        <is>
          <t>Bergvik skog öst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61218-2023</t>
        </is>
      </c>
      <c r="B776" s="1" t="n">
        <v>45264</v>
      </c>
      <c r="C776" s="1" t="n">
        <v>45837</v>
      </c>
      <c r="D776" t="inlineStr">
        <is>
          <t>DALARNAS LÄN</t>
        </is>
      </c>
      <c r="E776" t="inlineStr">
        <is>
          <t>MORA</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61222-2023</t>
        </is>
      </c>
      <c r="B777" s="1" t="n">
        <v>45264</v>
      </c>
      <c r="C777" s="1" t="n">
        <v>45837</v>
      </c>
      <c r="D777" t="inlineStr">
        <is>
          <t>DALARNAS LÄN</t>
        </is>
      </c>
      <c r="E777" t="inlineStr">
        <is>
          <t>MORA</t>
        </is>
      </c>
      <c r="F777" t="inlineStr">
        <is>
          <t>Allmännings- och besparingsskogar</t>
        </is>
      </c>
      <c r="G777" t="n">
        <v>1.1</v>
      </c>
      <c r="H777" t="n">
        <v>0</v>
      </c>
      <c r="I777" t="n">
        <v>0</v>
      </c>
      <c r="J777" t="n">
        <v>0</v>
      </c>
      <c r="K777" t="n">
        <v>0</v>
      </c>
      <c r="L777" t="n">
        <v>0</v>
      </c>
      <c r="M777" t="n">
        <v>0</v>
      </c>
      <c r="N777" t="n">
        <v>0</v>
      </c>
      <c r="O777" t="n">
        <v>0</v>
      </c>
      <c r="P777" t="n">
        <v>0</v>
      </c>
      <c r="Q777" t="n">
        <v>0</v>
      </c>
      <c r="R777" s="2" t="inlineStr"/>
    </row>
    <row r="778" ht="15" customHeight="1">
      <c r="A778" t="inlineStr">
        <is>
          <t>A 61425-2023</t>
        </is>
      </c>
      <c r="B778" s="1" t="n">
        <v>45264</v>
      </c>
      <c r="C778" s="1" t="n">
        <v>45837</v>
      </c>
      <c r="D778" t="inlineStr">
        <is>
          <t>DALARNAS LÄN</t>
        </is>
      </c>
      <c r="E778" t="inlineStr">
        <is>
          <t>MORA</t>
        </is>
      </c>
      <c r="G778" t="n">
        <v>1.6</v>
      </c>
      <c r="H778" t="n">
        <v>0</v>
      </c>
      <c r="I778" t="n">
        <v>0</v>
      </c>
      <c r="J778" t="n">
        <v>0</v>
      </c>
      <c r="K778" t="n">
        <v>0</v>
      </c>
      <c r="L778" t="n">
        <v>0</v>
      </c>
      <c r="M778" t="n">
        <v>0</v>
      </c>
      <c r="N778" t="n">
        <v>0</v>
      </c>
      <c r="O778" t="n">
        <v>0</v>
      </c>
      <c r="P778" t="n">
        <v>0</v>
      </c>
      <c r="Q778" t="n">
        <v>0</v>
      </c>
      <c r="R778" s="2" t="inlineStr"/>
    </row>
    <row r="779" ht="15" customHeight="1">
      <c r="A779" t="inlineStr">
        <is>
          <t>A 61529-2023</t>
        </is>
      </c>
      <c r="B779" s="1" t="n">
        <v>45265</v>
      </c>
      <c r="C779" s="1" t="n">
        <v>45837</v>
      </c>
      <c r="D779" t="inlineStr">
        <is>
          <t>DALARNAS LÄN</t>
        </is>
      </c>
      <c r="E779" t="inlineStr">
        <is>
          <t>MORA</t>
        </is>
      </c>
      <c r="G779" t="n">
        <v>29.6</v>
      </c>
      <c r="H779" t="n">
        <v>0</v>
      </c>
      <c r="I779" t="n">
        <v>0</v>
      </c>
      <c r="J779" t="n">
        <v>0</v>
      </c>
      <c r="K779" t="n">
        <v>0</v>
      </c>
      <c r="L779" t="n">
        <v>0</v>
      </c>
      <c r="M779" t="n">
        <v>0</v>
      </c>
      <c r="N779" t="n">
        <v>0</v>
      </c>
      <c r="O779" t="n">
        <v>0</v>
      </c>
      <c r="P779" t="n">
        <v>0</v>
      </c>
      <c r="Q779" t="n">
        <v>0</v>
      </c>
      <c r="R779" s="2" t="inlineStr"/>
    </row>
    <row r="780" ht="15" customHeight="1">
      <c r="A780" t="inlineStr">
        <is>
          <t>A 61990-2023</t>
        </is>
      </c>
      <c r="B780" s="1" t="n">
        <v>45265</v>
      </c>
      <c r="C780" s="1" t="n">
        <v>45837</v>
      </c>
      <c r="D780" t="inlineStr">
        <is>
          <t>DALARNAS LÄN</t>
        </is>
      </c>
      <c r="E780" t="inlineStr">
        <is>
          <t>MORA</t>
        </is>
      </c>
      <c r="G780" t="n">
        <v>3.3</v>
      </c>
      <c r="H780" t="n">
        <v>0</v>
      </c>
      <c r="I780" t="n">
        <v>0</v>
      </c>
      <c r="J780" t="n">
        <v>0</v>
      </c>
      <c r="K780" t="n">
        <v>0</v>
      </c>
      <c r="L780" t="n">
        <v>0</v>
      </c>
      <c r="M780" t="n">
        <v>0</v>
      </c>
      <c r="N780" t="n">
        <v>0</v>
      </c>
      <c r="O780" t="n">
        <v>0</v>
      </c>
      <c r="P780" t="n">
        <v>0</v>
      </c>
      <c r="Q780" t="n">
        <v>0</v>
      </c>
      <c r="R780" s="2" t="inlineStr"/>
    </row>
    <row r="781" ht="15" customHeight="1">
      <c r="A781" t="inlineStr">
        <is>
          <t>A 61998-2023</t>
        </is>
      </c>
      <c r="B781" s="1" t="n">
        <v>45265</v>
      </c>
      <c r="C781" s="1" t="n">
        <v>45837</v>
      </c>
      <c r="D781" t="inlineStr">
        <is>
          <t>DALARNAS LÄN</t>
        </is>
      </c>
      <c r="E781" t="inlineStr">
        <is>
          <t>MORA</t>
        </is>
      </c>
      <c r="G781" t="n">
        <v>2.2</v>
      </c>
      <c r="H781" t="n">
        <v>0</v>
      </c>
      <c r="I781" t="n">
        <v>0</v>
      </c>
      <c r="J781" t="n">
        <v>0</v>
      </c>
      <c r="K781" t="n">
        <v>0</v>
      </c>
      <c r="L781" t="n">
        <v>0</v>
      </c>
      <c r="M781" t="n">
        <v>0</v>
      </c>
      <c r="N781" t="n">
        <v>0</v>
      </c>
      <c r="O781" t="n">
        <v>0</v>
      </c>
      <c r="P781" t="n">
        <v>0</v>
      </c>
      <c r="Q781" t="n">
        <v>0</v>
      </c>
      <c r="R781" s="2" t="inlineStr"/>
    </row>
    <row r="782" ht="15" customHeight="1">
      <c r="A782" t="inlineStr">
        <is>
          <t>A 61922-2023</t>
        </is>
      </c>
      <c r="B782" s="1" t="n">
        <v>45266</v>
      </c>
      <c r="C782" s="1" t="n">
        <v>45837</v>
      </c>
      <c r="D782" t="inlineStr">
        <is>
          <t>DALARNAS LÄN</t>
        </is>
      </c>
      <c r="E782" t="inlineStr">
        <is>
          <t>MORA</t>
        </is>
      </c>
      <c r="G782" t="n">
        <v>4.9</v>
      </c>
      <c r="H782" t="n">
        <v>0</v>
      </c>
      <c r="I782" t="n">
        <v>0</v>
      </c>
      <c r="J782" t="n">
        <v>0</v>
      </c>
      <c r="K782" t="n">
        <v>0</v>
      </c>
      <c r="L782" t="n">
        <v>0</v>
      </c>
      <c r="M782" t="n">
        <v>0</v>
      </c>
      <c r="N782" t="n">
        <v>0</v>
      </c>
      <c r="O782" t="n">
        <v>0</v>
      </c>
      <c r="P782" t="n">
        <v>0</v>
      </c>
      <c r="Q782" t="n">
        <v>0</v>
      </c>
      <c r="R782" s="2" t="inlineStr"/>
    </row>
    <row r="783" ht="15" customHeight="1">
      <c r="A783" t="inlineStr">
        <is>
          <t>A 62246-2023</t>
        </is>
      </c>
      <c r="B783" s="1" t="n">
        <v>45266</v>
      </c>
      <c r="C783" s="1" t="n">
        <v>45837</v>
      </c>
      <c r="D783" t="inlineStr">
        <is>
          <t>DALARNAS LÄN</t>
        </is>
      </c>
      <c r="E783" t="inlineStr">
        <is>
          <t>MORA</t>
        </is>
      </c>
      <c r="G783" t="n">
        <v>10.7</v>
      </c>
      <c r="H783" t="n">
        <v>0</v>
      </c>
      <c r="I783" t="n">
        <v>0</v>
      </c>
      <c r="J783" t="n">
        <v>0</v>
      </c>
      <c r="K783" t="n">
        <v>0</v>
      </c>
      <c r="L783" t="n">
        <v>0</v>
      </c>
      <c r="M783" t="n">
        <v>0</v>
      </c>
      <c r="N783" t="n">
        <v>0</v>
      </c>
      <c r="O783" t="n">
        <v>0</v>
      </c>
      <c r="P783" t="n">
        <v>0</v>
      </c>
      <c r="Q783" t="n">
        <v>0</v>
      </c>
      <c r="R783" s="2" t="inlineStr"/>
    </row>
    <row r="784" ht="15" customHeight="1">
      <c r="A784" t="inlineStr">
        <is>
          <t>A 62660-2023</t>
        </is>
      </c>
      <c r="B784" s="1" t="n">
        <v>45271</v>
      </c>
      <c r="C784" s="1" t="n">
        <v>45837</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62853-2023</t>
        </is>
      </c>
      <c r="B785" s="1" t="n">
        <v>45272</v>
      </c>
      <c r="C785" s="1" t="n">
        <v>45837</v>
      </c>
      <c r="D785" t="inlineStr">
        <is>
          <t>DALARNAS LÄN</t>
        </is>
      </c>
      <c r="E785" t="inlineStr">
        <is>
          <t>MORA</t>
        </is>
      </c>
      <c r="G785" t="n">
        <v>13.6</v>
      </c>
      <c r="H785" t="n">
        <v>0</v>
      </c>
      <c r="I785" t="n">
        <v>0</v>
      </c>
      <c r="J785" t="n">
        <v>0</v>
      </c>
      <c r="K785" t="n">
        <v>0</v>
      </c>
      <c r="L785" t="n">
        <v>0</v>
      </c>
      <c r="M785" t="n">
        <v>0</v>
      </c>
      <c r="N785" t="n">
        <v>0</v>
      </c>
      <c r="O785" t="n">
        <v>0</v>
      </c>
      <c r="P785" t="n">
        <v>0</v>
      </c>
      <c r="Q785" t="n">
        <v>0</v>
      </c>
      <c r="R785" s="2" t="inlineStr"/>
    </row>
    <row r="786" ht="15" customHeight="1">
      <c r="A786" t="inlineStr">
        <is>
          <t>A 62854-2023</t>
        </is>
      </c>
      <c r="B786" s="1" t="n">
        <v>45272</v>
      </c>
      <c r="C786" s="1" t="n">
        <v>45837</v>
      </c>
      <c r="D786" t="inlineStr">
        <is>
          <t>DALARNAS LÄN</t>
        </is>
      </c>
      <c r="E786" t="inlineStr">
        <is>
          <t>MORA</t>
        </is>
      </c>
      <c r="G786" t="n">
        <v>11.3</v>
      </c>
      <c r="H786" t="n">
        <v>0</v>
      </c>
      <c r="I786" t="n">
        <v>0</v>
      </c>
      <c r="J786" t="n">
        <v>0</v>
      </c>
      <c r="K786" t="n">
        <v>0</v>
      </c>
      <c r="L786" t="n">
        <v>0</v>
      </c>
      <c r="M786" t="n">
        <v>0</v>
      </c>
      <c r="N786" t="n">
        <v>0</v>
      </c>
      <c r="O786" t="n">
        <v>0</v>
      </c>
      <c r="P786" t="n">
        <v>0</v>
      </c>
      <c r="Q786" t="n">
        <v>0</v>
      </c>
      <c r="R786" s="2" t="inlineStr"/>
    </row>
    <row r="787" ht="15" customHeight="1">
      <c r="A787" t="inlineStr">
        <is>
          <t>A 63168-2023</t>
        </is>
      </c>
      <c r="B787" s="1" t="n">
        <v>45273</v>
      </c>
      <c r="C787" s="1" t="n">
        <v>45837</v>
      </c>
      <c r="D787" t="inlineStr">
        <is>
          <t>DALARNAS LÄN</t>
        </is>
      </c>
      <c r="E787" t="inlineStr">
        <is>
          <t>MORA</t>
        </is>
      </c>
      <c r="G787" t="n">
        <v>4</v>
      </c>
      <c r="H787" t="n">
        <v>0</v>
      </c>
      <c r="I787" t="n">
        <v>0</v>
      </c>
      <c r="J787" t="n">
        <v>0</v>
      </c>
      <c r="K787" t="n">
        <v>0</v>
      </c>
      <c r="L787" t="n">
        <v>0</v>
      </c>
      <c r="M787" t="n">
        <v>0</v>
      </c>
      <c r="N787" t="n">
        <v>0</v>
      </c>
      <c r="O787" t="n">
        <v>0</v>
      </c>
      <c r="P787" t="n">
        <v>0</v>
      </c>
      <c r="Q787" t="n">
        <v>0</v>
      </c>
      <c r="R787" s="2" t="inlineStr"/>
    </row>
    <row r="788" ht="15" customHeight="1">
      <c r="A788" t="inlineStr">
        <is>
          <t>A 63958-2023</t>
        </is>
      </c>
      <c r="B788" s="1" t="n">
        <v>45278</v>
      </c>
      <c r="C788" s="1" t="n">
        <v>45837</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64099-2023</t>
        </is>
      </c>
      <c r="B789" s="1" t="n">
        <v>45279</v>
      </c>
      <c r="C789" s="1" t="n">
        <v>45837</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64088-2023</t>
        </is>
      </c>
      <c r="B790" s="1" t="n">
        <v>45279</v>
      </c>
      <c r="C790" s="1" t="n">
        <v>45837</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64093-2023</t>
        </is>
      </c>
      <c r="B791" s="1" t="n">
        <v>45279</v>
      </c>
      <c r="C791" s="1" t="n">
        <v>45837</v>
      </c>
      <c r="D791" t="inlineStr">
        <is>
          <t>DALARNAS LÄN</t>
        </is>
      </c>
      <c r="E791" t="inlineStr">
        <is>
          <t>MORA</t>
        </is>
      </c>
      <c r="G791" t="n">
        <v>0.9</v>
      </c>
      <c r="H791" t="n">
        <v>0</v>
      </c>
      <c r="I791" t="n">
        <v>0</v>
      </c>
      <c r="J791" t="n">
        <v>0</v>
      </c>
      <c r="K791" t="n">
        <v>0</v>
      </c>
      <c r="L791" t="n">
        <v>0</v>
      </c>
      <c r="M791" t="n">
        <v>0</v>
      </c>
      <c r="N791" t="n">
        <v>0</v>
      </c>
      <c r="O791" t="n">
        <v>0</v>
      </c>
      <c r="P791" t="n">
        <v>0</v>
      </c>
      <c r="Q791" t="n">
        <v>0</v>
      </c>
      <c r="R791" s="2" t="inlineStr"/>
    </row>
    <row r="792" ht="15" customHeight="1">
      <c r="A792" t="inlineStr">
        <is>
          <t>A 64327-2023</t>
        </is>
      </c>
      <c r="B792" s="1" t="n">
        <v>45280</v>
      </c>
      <c r="C792" s="1" t="n">
        <v>45837</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439-2024</t>
        </is>
      </c>
      <c r="B793" s="1" t="n">
        <v>45296</v>
      </c>
      <c r="C793" s="1" t="n">
        <v>45837</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442-2024</t>
        </is>
      </c>
      <c r="B794" s="1" t="n">
        <v>45296</v>
      </c>
      <c r="C794" s="1" t="n">
        <v>45837</v>
      </c>
      <c r="D794" t="inlineStr">
        <is>
          <t>DALARNAS LÄN</t>
        </is>
      </c>
      <c r="E794" t="inlineStr">
        <is>
          <t>MORA</t>
        </is>
      </c>
      <c r="G794" t="n">
        <v>0.5</v>
      </c>
      <c r="H794" t="n">
        <v>0</v>
      </c>
      <c r="I794" t="n">
        <v>0</v>
      </c>
      <c r="J794" t="n">
        <v>0</v>
      </c>
      <c r="K794" t="n">
        <v>0</v>
      </c>
      <c r="L794" t="n">
        <v>0</v>
      </c>
      <c r="M794" t="n">
        <v>0</v>
      </c>
      <c r="N794" t="n">
        <v>0</v>
      </c>
      <c r="O794" t="n">
        <v>0</v>
      </c>
      <c r="P794" t="n">
        <v>0</v>
      </c>
      <c r="Q794" t="n">
        <v>0</v>
      </c>
      <c r="R794" s="2" t="inlineStr"/>
    </row>
    <row r="795" ht="15" customHeight="1">
      <c r="A795" t="inlineStr">
        <is>
          <t>A 437-2024</t>
        </is>
      </c>
      <c r="B795" s="1" t="n">
        <v>45296</v>
      </c>
      <c r="C795" s="1" t="n">
        <v>45837</v>
      </c>
      <c r="D795" t="inlineStr">
        <is>
          <t>DALARNAS LÄN</t>
        </is>
      </c>
      <c r="E795" t="inlineStr">
        <is>
          <t>MORA</t>
        </is>
      </c>
      <c r="G795" t="n">
        <v>1.6</v>
      </c>
      <c r="H795" t="n">
        <v>0</v>
      </c>
      <c r="I795" t="n">
        <v>0</v>
      </c>
      <c r="J795" t="n">
        <v>0</v>
      </c>
      <c r="K795" t="n">
        <v>0</v>
      </c>
      <c r="L795" t="n">
        <v>0</v>
      </c>
      <c r="M795" t="n">
        <v>0</v>
      </c>
      <c r="N795" t="n">
        <v>0</v>
      </c>
      <c r="O795" t="n">
        <v>0</v>
      </c>
      <c r="P795" t="n">
        <v>0</v>
      </c>
      <c r="Q795" t="n">
        <v>0</v>
      </c>
      <c r="R795" s="2" t="inlineStr"/>
    </row>
    <row r="796" ht="15" customHeight="1">
      <c r="A796" t="inlineStr">
        <is>
          <t>A 501-2024</t>
        </is>
      </c>
      <c r="B796" s="1" t="n">
        <v>45299</v>
      </c>
      <c r="C796" s="1" t="n">
        <v>45837</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571-2024</t>
        </is>
      </c>
      <c r="B797" s="1" t="n">
        <v>45299</v>
      </c>
      <c r="C797" s="1" t="n">
        <v>45837</v>
      </c>
      <c r="D797" t="inlineStr">
        <is>
          <t>DALARNAS LÄN</t>
        </is>
      </c>
      <c r="E797" t="inlineStr">
        <is>
          <t>MORA</t>
        </is>
      </c>
      <c r="G797" t="n">
        <v>3.3</v>
      </c>
      <c r="H797" t="n">
        <v>0</v>
      </c>
      <c r="I797" t="n">
        <v>0</v>
      </c>
      <c r="J797" t="n">
        <v>0</v>
      </c>
      <c r="K797" t="n">
        <v>0</v>
      </c>
      <c r="L797" t="n">
        <v>0</v>
      </c>
      <c r="M797" t="n">
        <v>0</v>
      </c>
      <c r="N797" t="n">
        <v>0</v>
      </c>
      <c r="O797" t="n">
        <v>0</v>
      </c>
      <c r="P797" t="n">
        <v>0</v>
      </c>
      <c r="Q797" t="n">
        <v>0</v>
      </c>
      <c r="R797" s="2" t="inlineStr"/>
    </row>
    <row r="798" ht="15" customHeight="1">
      <c r="A798" t="inlineStr">
        <is>
          <t>A 573-2024</t>
        </is>
      </c>
      <c r="B798" s="1" t="n">
        <v>45299</v>
      </c>
      <c r="C798" s="1" t="n">
        <v>45837</v>
      </c>
      <c r="D798" t="inlineStr">
        <is>
          <t>DALARNAS LÄN</t>
        </is>
      </c>
      <c r="E798" t="inlineStr">
        <is>
          <t>MORA</t>
        </is>
      </c>
      <c r="G798" t="n">
        <v>2.3</v>
      </c>
      <c r="H798" t="n">
        <v>0</v>
      </c>
      <c r="I798" t="n">
        <v>0</v>
      </c>
      <c r="J798" t="n">
        <v>0</v>
      </c>
      <c r="K798" t="n">
        <v>0</v>
      </c>
      <c r="L798" t="n">
        <v>0</v>
      </c>
      <c r="M798" t="n">
        <v>0</v>
      </c>
      <c r="N798" t="n">
        <v>0</v>
      </c>
      <c r="O798" t="n">
        <v>0</v>
      </c>
      <c r="P798" t="n">
        <v>0</v>
      </c>
      <c r="Q798" t="n">
        <v>0</v>
      </c>
      <c r="R798" s="2" t="inlineStr"/>
    </row>
    <row r="799" ht="15" customHeight="1">
      <c r="A799" t="inlineStr">
        <is>
          <t>A 2084-2024</t>
        </is>
      </c>
      <c r="B799" s="1" t="n">
        <v>45309</v>
      </c>
      <c r="C799" s="1" t="n">
        <v>45837</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2276-2024</t>
        </is>
      </c>
      <c r="B800" s="1" t="n">
        <v>45310</v>
      </c>
      <c r="C800" s="1" t="n">
        <v>45837</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2292-2024</t>
        </is>
      </c>
      <c r="B801" s="1" t="n">
        <v>45310</v>
      </c>
      <c r="C801" s="1" t="n">
        <v>45837</v>
      </c>
      <c r="D801" t="inlineStr">
        <is>
          <t>DALARNAS LÄN</t>
        </is>
      </c>
      <c r="E801" t="inlineStr">
        <is>
          <t>MORA</t>
        </is>
      </c>
      <c r="G801" t="n">
        <v>2.9</v>
      </c>
      <c r="H801" t="n">
        <v>0</v>
      </c>
      <c r="I801" t="n">
        <v>0</v>
      </c>
      <c r="J801" t="n">
        <v>0</v>
      </c>
      <c r="K801" t="n">
        <v>0</v>
      </c>
      <c r="L801" t="n">
        <v>0</v>
      </c>
      <c r="M801" t="n">
        <v>0</v>
      </c>
      <c r="N801" t="n">
        <v>0</v>
      </c>
      <c r="O801" t="n">
        <v>0</v>
      </c>
      <c r="P801" t="n">
        <v>0</v>
      </c>
      <c r="Q801" t="n">
        <v>0</v>
      </c>
      <c r="R801" s="2" t="inlineStr"/>
    </row>
    <row r="802" ht="15" customHeight="1">
      <c r="A802" t="inlineStr">
        <is>
          <t>A 3107-2024</t>
        </is>
      </c>
      <c r="B802" s="1" t="n">
        <v>45316</v>
      </c>
      <c r="C802" s="1" t="n">
        <v>45837</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3219-2024</t>
        </is>
      </c>
      <c r="B803" s="1" t="n">
        <v>45316</v>
      </c>
      <c r="C803" s="1" t="n">
        <v>45837</v>
      </c>
      <c r="D803" t="inlineStr">
        <is>
          <t>DALARNAS LÄN</t>
        </is>
      </c>
      <c r="E803" t="inlineStr">
        <is>
          <t>MORA</t>
        </is>
      </c>
      <c r="G803" t="n">
        <v>0.8</v>
      </c>
      <c r="H803" t="n">
        <v>0</v>
      </c>
      <c r="I803" t="n">
        <v>0</v>
      </c>
      <c r="J803" t="n">
        <v>0</v>
      </c>
      <c r="K803" t="n">
        <v>0</v>
      </c>
      <c r="L803" t="n">
        <v>0</v>
      </c>
      <c r="M803" t="n">
        <v>0</v>
      </c>
      <c r="N803" t="n">
        <v>0</v>
      </c>
      <c r="O803" t="n">
        <v>0</v>
      </c>
      <c r="P803" t="n">
        <v>0</v>
      </c>
      <c r="Q803" t="n">
        <v>0</v>
      </c>
      <c r="R803" s="2" t="inlineStr"/>
    </row>
    <row r="804" ht="15" customHeight="1">
      <c r="A804" t="inlineStr">
        <is>
          <t>A 3322-2024</t>
        </is>
      </c>
      <c r="B804" s="1" t="n">
        <v>45317</v>
      </c>
      <c r="C804" s="1" t="n">
        <v>45837</v>
      </c>
      <c r="D804" t="inlineStr">
        <is>
          <t>DALARNAS LÄN</t>
        </is>
      </c>
      <c r="E804" t="inlineStr">
        <is>
          <t>MORA</t>
        </is>
      </c>
      <c r="G804" t="n">
        <v>3.8</v>
      </c>
      <c r="H804" t="n">
        <v>0</v>
      </c>
      <c r="I804" t="n">
        <v>0</v>
      </c>
      <c r="J804" t="n">
        <v>0</v>
      </c>
      <c r="K804" t="n">
        <v>0</v>
      </c>
      <c r="L804" t="n">
        <v>0</v>
      </c>
      <c r="M804" t="n">
        <v>0</v>
      </c>
      <c r="N804" t="n">
        <v>0</v>
      </c>
      <c r="O804" t="n">
        <v>0</v>
      </c>
      <c r="P804" t="n">
        <v>0</v>
      </c>
      <c r="Q804" t="n">
        <v>0</v>
      </c>
      <c r="R804" s="2" t="inlineStr"/>
    </row>
    <row r="805" ht="15" customHeight="1">
      <c r="A805" t="inlineStr">
        <is>
          <t>A 3531-2024</t>
        </is>
      </c>
      <c r="B805" s="1" t="n">
        <v>45320</v>
      </c>
      <c r="C805" s="1" t="n">
        <v>45837</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c r="U805">
        <f>HYPERLINK("https://klasma.github.io/Logging_2062/knärot/A 3531-2024 karta knärot.png", "A 3531-2024")</f>
        <v/>
      </c>
      <c r="V805">
        <f>HYPERLINK("https://klasma.github.io/Logging_2062/klagomål/A 3531-2024 FSC-klagomål.docx", "A 3531-2024")</f>
        <v/>
      </c>
      <c r="W805">
        <f>HYPERLINK("https://klasma.github.io/Logging_2062/klagomålsmail/A 3531-2024 FSC-klagomål mail.docx", "A 3531-2024")</f>
        <v/>
      </c>
      <c r="X805">
        <f>HYPERLINK("https://klasma.github.io/Logging_2062/tillsyn/A 3531-2024 tillsynsbegäran.docx", "A 3531-2024")</f>
        <v/>
      </c>
      <c r="Y805">
        <f>HYPERLINK("https://klasma.github.io/Logging_2062/tillsynsmail/A 3531-2024 tillsynsbegäran mail.docx", "A 3531-2024")</f>
        <v/>
      </c>
    </row>
    <row r="806" ht="15" customHeight="1">
      <c r="A806" t="inlineStr">
        <is>
          <t>A 4479-2024</t>
        </is>
      </c>
      <c r="B806" s="1" t="n">
        <v>45327</v>
      </c>
      <c r="C806" s="1" t="n">
        <v>45837</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4773-2024</t>
        </is>
      </c>
      <c r="B807" s="1" t="n">
        <v>45328</v>
      </c>
      <c r="C807" s="1" t="n">
        <v>45837</v>
      </c>
      <c r="D807" t="inlineStr">
        <is>
          <t>DALARNAS LÄN</t>
        </is>
      </c>
      <c r="E807" t="inlineStr">
        <is>
          <t>MORA</t>
        </is>
      </c>
      <c r="G807" t="n">
        <v>3.7</v>
      </c>
      <c r="H807" t="n">
        <v>0</v>
      </c>
      <c r="I807" t="n">
        <v>0</v>
      </c>
      <c r="J807" t="n">
        <v>0</v>
      </c>
      <c r="K807" t="n">
        <v>0</v>
      </c>
      <c r="L807" t="n">
        <v>0</v>
      </c>
      <c r="M807" t="n">
        <v>0</v>
      </c>
      <c r="N807" t="n">
        <v>0</v>
      </c>
      <c r="O807" t="n">
        <v>0</v>
      </c>
      <c r="P807" t="n">
        <v>0</v>
      </c>
      <c r="Q807" t="n">
        <v>0</v>
      </c>
      <c r="R807" s="2" t="inlineStr"/>
    </row>
    <row r="808" ht="15" customHeight="1">
      <c r="A808" t="inlineStr">
        <is>
          <t>A 5217-2024</t>
        </is>
      </c>
      <c r="B808" s="1" t="n">
        <v>45330</v>
      </c>
      <c r="C808" s="1" t="n">
        <v>45837</v>
      </c>
      <c r="D808" t="inlineStr">
        <is>
          <t>DALARNAS LÄN</t>
        </is>
      </c>
      <c r="E808" t="inlineStr">
        <is>
          <t>MORA</t>
        </is>
      </c>
      <c r="G808" t="n">
        <v>4.2</v>
      </c>
      <c r="H808" t="n">
        <v>0</v>
      </c>
      <c r="I808" t="n">
        <v>0</v>
      </c>
      <c r="J808" t="n">
        <v>0</v>
      </c>
      <c r="K808" t="n">
        <v>0</v>
      </c>
      <c r="L808" t="n">
        <v>0</v>
      </c>
      <c r="M808" t="n">
        <v>0</v>
      </c>
      <c r="N808" t="n">
        <v>0</v>
      </c>
      <c r="O808" t="n">
        <v>0</v>
      </c>
      <c r="P808" t="n">
        <v>0</v>
      </c>
      <c r="Q808" t="n">
        <v>0</v>
      </c>
      <c r="R808" s="2" t="inlineStr"/>
    </row>
    <row r="809" ht="15" customHeight="1">
      <c r="A809" t="inlineStr">
        <is>
          <t>A 5461-2024</t>
        </is>
      </c>
      <c r="B809" s="1" t="n">
        <v>45332</v>
      </c>
      <c r="C809" s="1" t="n">
        <v>45837</v>
      </c>
      <c r="D809" t="inlineStr">
        <is>
          <t>DALARNAS LÄN</t>
        </is>
      </c>
      <c r="E809" t="inlineStr">
        <is>
          <t>MORA</t>
        </is>
      </c>
      <c r="G809" t="n">
        <v>6.7</v>
      </c>
      <c r="H809" t="n">
        <v>0</v>
      </c>
      <c r="I809" t="n">
        <v>0</v>
      </c>
      <c r="J809" t="n">
        <v>0</v>
      </c>
      <c r="K809" t="n">
        <v>0</v>
      </c>
      <c r="L809" t="n">
        <v>0</v>
      </c>
      <c r="M809" t="n">
        <v>0</v>
      </c>
      <c r="N809" t="n">
        <v>0</v>
      </c>
      <c r="O809" t="n">
        <v>0</v>
      </c>
      <c r="P809" t="n">
        <v>0</v>
      </c>
      <c r="Q809" t="n">
        <v>0</v>
      </c>
      <c r="R809" s="2" t="inlineStr"/>
    </row>
    <row r="810" ht="15" customHeight="1">
      <c r="A810" t="inlineStr">
        <is>
          <t>A 5542-2024</t>
        </is>
      </c>
      <c r="B810" s="1" t="n">
        <v>45334</v>
      </c>
      <c r="C810" s="1" t="n">
        <v>45837</v>
      </c>
      <c r="D810" t="inlineStr">
        <is>
          <t>DALARNAS LÄN</t>
        </is>
      </c>
      <c r="E810" t="inlineStr">
        <is>
          <t>MORA</t>
        </is>
      </c>
      <c r="F810" t="inlineStr">
        <is>
          <t>Kommuner</t>
        </is>
      </c>
      <c r="G810" t="n">
        <v>0.1</v>
      </c>
      <c r="H810" t="n">
        <v>0</v>
      </c>
      <c r="I810" t="n">
        <v>0</v>
      </c>
      <c r="J810" t="n">
        <v>0</v>
      </c>
      <c r="K810" t="n">
        <v>0</v>
      </c>
      <c r="L810" t="n">
        <v>0</v>
      </c>
      <c r="M810" t="n">
        <v>0</v>
      </c>
      <c r="N810" t="n">
        <v>0</v>
      </c>
      <c r="O810" t="n">
        <v>0</v>
      </c>
      <c r="P810" t="n">
        <v>0</v>
      </c>
      <c r="Q810" t="n">
        <v>0</v>
      </c>
      <c r="R810" s="2" t="inlineStr"/>
    </row>
    <row r="811" ht="15" customHeight="1">
      <c r="A811" t="inlineStr">
        <is>
          <t>A 5527-2024</t>
        </is>
      </c>
      <c r="B811" s="1" t="n">
        <v>45334</v>
      </c>
      <c r="C811" s="1" t="n">
        <v>45837</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5532-2024</t>
        </is>
      </c>
      <c r="B812" s="1" t="n">
        <v>45334</v>
      </c>
      <c r="C812" s="1" t="n">
        <v>45837</v>
      </c>
      <c r="D812" t="inlineStr">
        <is>
          <t>DALARNAS LÄN</t>
        </is>
      </c>
      <c r="E812" t="inlineStr">
        <is>
          <t>MORA</t>
        </is>
      </c>
      <c r="G812" t="n">
        <v>8.4</v>
      </c>
      <c r="H812" t="n">
        <v>0</v>
      </c>
      <c r="I812" t="n">
        <v>0</v>
      </c>
      <c r="J812" t="n">
        <v>0</v>
      </c>
      <c r="K812" t="n">
        <v>0</v>
      </c>
      <c r="L812" t="n">
        <v>0</v>
      </c>
      <c r="M812" t="n">
        <v>0</v>
      </c>
      <c r="N812" t="n">
        <v>0</v>
      </c>
      <c r="O812" t="n">
        <v>0</v>
      </c>
      <c r="P812" t="n">
        <v>0</v>
      </c>
      <c r="Q812" t="n">
        <v>0</v>
      </c>
      <c r="R812" s="2" t="inlineStr"/>
    </row>
    <row r="813" ht="15" customHeight="1">
      <c r="A813" t="inlineStr">
        <is>
          <t>A 5540-2024</t>
        </is>
      </c>
      <c r="B813" s="1" t="n">
        <v>45334</v>
      </c>
      <c r="C813" s="1" t="n">
        <v>45837</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5541-2024</t>
        </is>
      </c>
      <c r="B814" s="1" t="n">
        <v>45334</v>
      </c>
      <c r="C814" s="1" t="n">
        <v>45837</v>
      </c>
      <c r="D814" t="inlineStr">
        <is>
          <t>DALARNAS LÄN</t>
        </is>
      </c>
      <c r="E814" t="inlineStr">
        <is>
          <t>MORA</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5644-2024</t>
        </is>
      </c>
      <c r="B815" s="1" t="n">
        <v>45334</v>
      </c>
      <c r="C815" s="1" t="n">
        <v>45837</v>
      </c>
      <c r="D815" t="inlineStr">
        <is>
          <t>DALARNAS LÄN</t>
        </is>
      </c>
      <c r="E815" t="inlineStr">
        <is>
          <t>MORA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6007-2024</t>
        </is>
      </c>
      <c r="B816" s="1" t="n">
        <v>45336</v>
      </c>
      <c r="C816" s="1" t="n">
        <v>45837</v>
      </c>
      <c r="D816" t="inlineStr">
        <is>
          <t>DALARNAS LÄN</t>
        </is>
      </c>
      <c r="E816" t="inlineStr">
        <is>
          <t>MORA</t>
        </is>
      </c>
      <c r="G816" t="n">
        <v>2.3</v>
      </c>
      <c r="H816" t="n">
        <v>0</v>
      </c>
      <c r="I816" t="n">
        <v>0</v>
      </c>
      <c r="J816" t="n">
        <v>0</v>
      </c>
      <c r="K816" t="n">
        <v>0</v>
      </c>
      <c r="L816" t="n">
        <v>0</v>
      </c>
      <c r="M816" t="n">
        <v>0</v>
      </c>
      <c r="N816" t="n">
        <v>0</v>
      </c>
      <c r="O816" t="n">
        <v>0</v>
      </c>
      <c r="P816" t="n">
        <v>0</v>
      </c>
      <c r="Q816" t="n">
        <v>0</v>
      </c>
      <c r="R816" s="2" t="inlineStr"/>
    </row>
    <row r="817" ht="15" customHeight="1">
      <c r="A817" t="inlineStr">
        <is>
          <t>A 6183-2024</t>
        </is>
      </c>
      <c r="B817" s="1" t="n">
        <v>45337</v>
      </c>
      <c r="C817" s="1" t="n">
        <v>45837</v>
      </c>
      <c r="D817" t="inlineStr">
        <is>
          <t>DALARNAS LÄN</t>
        </is>
      </c>
      <c r="E817" t="inlineStr">
        <is>
          <t>MORA</t>
        </is>
      </c>
      <c r="G817" t="n">
        <v>7.9</v>
      </c>
      <c r="H817" t="n">
        <v>0</v>
      </c>
      <c r="I817" t="n">
        <v>0</v>
      </c>
      <c r="J817" t="n">
        <v>0</v>
      </c>
      <c r="K817" t="n">
        <v>0</v>
      </c>
      <c r="L817" t="n">
        <v>0</v>
      </c>
      <c r="M817" t="n">
        <v>0</v>
      </c>
      <c r="N817" t="n">
        <v>0</v>
      </c>
      <c r="O817" t="n">
        <v>0</v>
      </c>
      <c r="P817" t="n">
        <v>0</v>
      </c>
      <c r="Q817" t="n">
        <v>0</v>
      </c>
      <c r="R817" s="2" t="inlineStr"/>
    </row>
    <row r="818" ht="15" customHeight="1">
      <c r="A818" t="inlineStr">
        <is>
          <t>A 6175-2024</t>
        </is>
      </c>
      <c r="B818" s="1" t="n">
        <v>45337</v>
      </c>
      <c r="C818" s="1" t="n">
        <v>45837</v>
      </c>
      <c r="D818" t="inlineStr">
        <is>
          <t>DALARNAS LÄN</t>
        </is>
      </c>
      <c r="E818" t="inlineStr">
        <is>
          <t>MORA</t>
        </is>
      </c>
      <c r="G818" t="n">
        <v>16.1</v>
      </c>
      <c r="H818" t="n">
        <v>0</v>
      </c>
      <c r="I818" t="n">
        <v>0</v>
      </c>
      <c r="J818" t="n">
        <v>0</v>
      </c>
      <c r="K818" t="n">
        <v>0</v>
      </c>
      <c r="L818" t="n">
        <v>0</v>
      </c>
      <c r="M818" t="n">
        <v>0</v>
      </c>
      <c r="N818" t="n">
        <v>0</v>
      </c>
      <c r="O818" t="n">
        <v>0</v>
      </c>
      <c r="P818" t="n">
        <v>0</v>
      </c>
      <c r="Q818" t="n">
        <v>0</v>
      </c>
      <c r="R818" s="2" t="inlineStr"/>
    </row>
    <row r="819" ht="15" customHeight="1">
      <c r="A819" t="inlineStr">
        <is>
          <t>A 7116-2024</t>
        </is>
      </c>
      <c r="B819" s="1" t="n">
        <v>45343</v>
      </c>
      <c r="C819" s="1" t="n">
        <v>45837</v>
      </c>
      <c r="D819" t="inlineStr">
        <is>
          <t>DALARNAS LÄN</t>
        </is>
      </c>
      <c r="E819" t="inlineStr">
        <is>
          <t>MORA</t>
        </is>
      </c>
      <c r="G819" t="n">
        <v>0.3</v>
      </c>
      <c r="H819" t="n">
        <v>0</v>
      </c>
      <c r="I819" t="n">
        <v>0</v>
      </c>
      <c r="J819" t="n">
        <v>0</v>
      </c>
      <c r="K819" t="n">
        <v>0</v>
      </c>
      <c r="L819" t="n">
        <v>0</v>
      </c>
      <c r="M819" t="n">
        <v>0</v>
      </c>
      <c r="N819" t="n">
        <v>0</v>
      </c>
      <c r="O819" t="n">
        <v>0</v>
      </c>
      <c r="P819" t="n">
        <v>0</v>
      </c>
      <c r="Q819" t="n">
        <v>0</v>
      </c>
      <c r="R819" s="2" t="inlineStr"/>
    </row>
    <row r="820" ht="15" customHeight="1">
      <c r="A820" t="inlineStr">
        <is>
          <t>A 7414-2024</t>
        </is>
      </c>
      <c r="B820" s="1" t="n">
        <v>45345</v>
      </c>
      <c r="C820" s="1" t="n">
        <v>45837</v>
      </c>
      <c r="D820" t="inlineStr">
        <is>
          <t>DALARNAS LÄN</t>
        </is>
      </c>
      <c r="E820" t="inlineStr">
        <is>
          <t>MORA</t>
        </is>
      </c>
      <c r="G820" t="n">
        <v>1.9</v>
      </c>
      <c r="H820" t="n">
        <v>0</v>
      </c>
      <c r="I820" t="n">
        <v>0</v>
      </c>
      <c r="J820" t="n">
        <v>0</v>
      </c>
      <c r="K820" t="n">
        <v>0</v>
      </c>
      <c r="L820" t="n">
        <v>0</v>
      </c>
      <c r="M820" t="n">
        <v>0</v>
      </c>
      <c r="N820" t="n">
        <v>0</v>
      </c>
      <c r="O820" t="n">
        <v>0</v>
      </c>
      <c r="P820" t="n">
        <v>0</v>
      </c>
      <c r="Q820" t="n">
        <v>0</v>
      </c>
      <c r="R820" s="2" t="inlineStr"/>
    </row>
    <row r="821" ht="15" customHeight="1">
      <c r="A821" t="inlineStr">
        <is>
          <t>A 7945-2024</t>
        </is>
      </c>
      <c r="B821" s="1" t="n">
        <v>45350</v>
      </c>
      <c r="C821" s="1" t="n">
        <v>45837</v>
      </c>
      <c r="D821" t="inlineStr">
        <is>
          <t>DALARNAS LÄN</t>
        </is>
      </c>
      <c r="E821" t="inlineStr">
        <is>
          <t>MORA</t>
        </is>
      </c>
      <c r="G821" t="n">
        <v>4.4</v>
      </c>
      <c r="H821" t="n">
        <v>0</v>
      </c>
      <c r="I821" t="n">
        <v>0</v>
      </c>
      <c r="J821" t="n">
        <v>0</v>
      </c>
      <c r="K821" t="n">
        <v>0</v>
      </c>
      <c r="L821" t="n">
        <v>0</v>
      </c>
      <c r="M821" t="n">
        <v>0</v>
      </c>
      <c r="N821" t="n">
        <v>0</v>
      </c>
      <c r="O821" t="n">
        <v>0</v>
      </c>
      <c r="P821" t="n">
        <v>0</v>
      </c>
      <c r="Q821" t="n">
        <v>0</v>
      </c>
      <c r="R821" s="2" t="inlineStr"/>
    </row>
    <row r="822" ht="15" customHeight="1">
      <c r="A822" t="inlineStr">
        <is>
          <t>A 7972-2024</t>
        </is>
      </c>
      <c r="B822" s="1" t="n">
        <v>45350</v>
      </c>
      <c r="C822" s="1" t="n">
        <v>45837</v>
      </c>
      <c r="D822" t="inlineStr">
        <is>
          <t>DALARNAS LÄN</t>
        </is>
      </c>
      <c r="E822" t="inlineStr">
        <is>
          <t>MORA</t>
        </is>
      </c>
      <c r="G822" t="n">
        <v>2.4</v>
      </c>
      <c r="H822" t="n">
        <v>0</v>
      </c>
      <c r="I822" t="n">
        <v>0</v>
      </c>
      <c r="J822" t="n">
        <v>0</v>
      </c>
      <c r="K822" t="n">
        <v>0</v>
      </c>
      <c r="L822" t="n">
        <v>0</v>
      </c>
      <c r="M822" t="n">
        <v>0</v>
      </c>
      <c r="N822" t="n">
        <v>0</v>
      </c>
      <c r="O822" t="n">
        <v>0</v>
      </c>
      <c r="P822" t="n">
        <v>0</v>
      </c>
      <c r="Q822" t="n">
        <v>0</v>
      </c>
      <c r="R822" s="2" t="inlineStr"/>
    </row>
    <row r="823" ht="15" customHeight="1">
      <c r="A823" t="inlineStr">
        <is>
          <t>A 8068-2024</t>
        </is>
      </c>
      <c r="B823" s="1" t="n">
        <v>45351</v>
      </c>
      <c r="C823" s="1" t="n">
        <v>45837</v>
      </c>
      <c r="D823" t="inlineStr">
        <is>
          <t>DALARNAS LÄN</t>
        </is>
      </c>
      <c r="E823" t="inlineStr">
        <is>
          <t>MORA</t>
        </is>
      </c>
      <c r="G823" t="n">
        <v>6.4</v>
      </c>
      <c r="H823" t="n">
        <v>0</v>
      </c>
      <c r="I823" t="n">
        <v>0</v>
      </c>
      <c r="J823" t="n">
        <v>0</v>
      </c>
      <c r="K823" t="n">
        <v>0</v>
      </c>
      <c r="L823" t="n">
        <v>0</v>
      </c>
      <c r="M823" t="n">
        <v>0</v>
      </c>
      <c r="N823" t="n">
        <v>0</v>
      </c>
      <c r="O823" t="n">
        <v>0</v>
      </c>
      <c r="P823" t="n">
        <v>0</v>
      </c>
      <c r="Q823" t="n">
        <v>0</v>
      </c>
      <c r="R823" s="2" t="inlineStr"/>
    </row>
    <row r="824" ht="15" customHeight="1">
      <c r="A824" t="inlineStr">
        <is>
          <t>A 8100-2024</t>
        </is>
      </c>
      <c r="B824" s="1" t="n">
        <v>45351</v>
      </c>
      <c r="C824" s="1" t="n">
        <v>45837</v>
      </c>
      <c r="D824" t="inlineStr">
        <is>
          <t>DALARNAS LÄN</t>
        </is>
      </c>
      <c r="E824" t="inlineStr">
        <is>
          <t>MORA</t>
        </is>
      </c>
      <c r="G824" t="n">
        <v>3.2</v>
      </c>
      <c r="H824" t="n">
        <v>0</v>
      </c>
      <c r="I824" t="n">
        <v>0</v>
      </c>
      <c r="J824" t="n">
        <v>0</v>
      </c>
      <c r="K824" t="n">
        <v>0</v>
      </c>
      <c r="L824" t="n">
        <v>0</v>
      </c>
      <c r="M824" t="n">
        <v>0</v>
      </c>
      <c r="N824" t="n">
        <v>0</v>
      </c>
      <c r="O824" t="n">
        <v>0</v>
      </c>
      <c r="P824" t="n">
        <v>0</v>
      </c>
      <c r="Q824" t="n">
        <v>0</v>
      </c>
      <c r="R824" s="2" t="inlineStr"/>
    </row>
    <row r="825" ht="15" customHeight="1">
      <c r="A825" t="inlineStr">
        <is>
          <t>A 9276-2024</t>
        </is>
      </c>
      <c r="B825" s="1" t="n">
        <v>45358</v>
      </c>
      <c r="C825" s="1" t="n">
        <v>45837</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9277-2024</t>
        </is>
      </c>
      <c r="B826" s="1" t="n">
        <v>45358</v>
      </c>
      <c r="C826" s="1" t="n">
        <v>45837</v>
      </c>
      <c r="D826" t="inlineStr">
        <is>
          <t>DALARNAS LÄN</t>
        </is>
      </c>
      <c r="E826" t="inlineStr">
        <is>
          <t>MORA</t>
        </is>
      </c>
      <c r="G826" t="n">
        <v>1.7</v>
      </c>
      <c r="H826" t="n">
        <v>0</v>
      </c>
      <c r="I826" t="n">
        <v>0</v>
      </c>
      <c r="J826" t="n">
        <v>0</v>
      </c>
      <c r="K826" t="n">
        <v>0</v>
      </c>
      <c r="L826" t="n">
        <v>0</v>
      </c>
      <c r="M826" t="n">
        <v>0</v>
      </c>
      <c r="N826" t="n">
        <v>0</v>
      </c>
      <c r="O826" t="n">
        <v>0</v>
      </c>
      <c r="P826" t="n">
        <v>0</v>
      </c>
      <c r="Q826" t="n">
        <v>0</v>
      </c>
      <c r="R826" s="2" t="inlineStr"/>
    </row>
    <row r="827" ht="15" customHeight="1">
      <c r="A827" t="inlineStr">
        <is>
          <t>A 9855-2024</t>
        </is>
      </c>
      <c r="B827" s="1" t="n">
        <v>45363</v>
      </c>
      <c r="C827" s="1" t="n">
        <v>45837</v>
      </c>
      <c r="D827" t="inlineStr">
        <is>
          <t>DALARNAS LÄN</t>
        </is>
      </c>
      <c r="E827" t="inlineStr">
        <is>
          <t>MORA</t>
        </is>
      </c>
      <c r="G827" t="n">
        <v>8.6</v>
      </c>
      <c r="H827" t="n">
        <v>0</v>
      </c>
      <c r="I827" t="n">
        <v>0</v>
      </c>
      <c r="J827" t="n">
        <v>0</v>
      </c>
      <c r="K827" t="n">
        <v>0</v>
      </c>
      <c r="L827" t="n">
        <v>0</v>
      </c>
      <c r="M827" t="n">
        <v>0</v>
      </c>
      <c r="N827" t="n">
        <v>0</v>
      </c>
      <c r="O827" t="n">
        <v>0</v>
      </c>
      <c r="P827" t="n">
        <v>0</v>
      </c>
      <c r="Q827" t="n">
        <v>0</v>
      </c>
      <c r="R827" s="2" t="inlineStr"/>
    </row>
    <row r="828" ht="15" customHeight="1">
      <c r="A828" t="inlineStr">
        <is>
          <t>A 11218-2024</t>
        </is>
      </c>
      <c r="B828" s="1" t="n">
        <v>45371</v>
      </c>
      <c r="C828" s="1" t="n">
        <v>45837</v>
      </c>
      <c r="D828" t="inlineStr">
        <is>
          <t>DALARNAS LÄN</t>
        </is>
      </c>
      <c r="E828" t="inlineStr">
        <is>
          <t>MORA</t>
        </is>
      </c>
      <c r="G828" t="n">
        <v>11.9</v>
      </c>
      <c r="H828" t="n">
        <v>0</v>
      </c>
      <c r="I828" t="n">
        <v>0</v>
      </c>
      <c r="J828" t="n">
        <v>0</v>
      </c>
      <c r="K828" t="n">
        <v>0</v>
      </c>
      <c r="L828" t="n">
        <v>0</v>
      </c>
      <c r="M828" t="n">
        <v>0</v>
      </c>
      <c r="N828" t="n">
        <v>0</v>
      </c>
      <c r="O828" t="n">
        <v>0</v>
      </c>
      <c r="P828" t="n">
        <v>0</v>
      </c>
      <c r="Q828" t="n">
        <v>0</v>
      </c>
      <c r="R828" s="2" t="inlineStr"/>
    </row>
    <row r="829" ht="15" customHeight="1">
      <c r="A829" t="inlineStr">
        <is>
          <t>A 11354-2024</t>
        </is>
      </c>
      <c r="B829" s="1" t="n">
        <v>45372</v>
      </c>
      <c r="C829" s="1" t="n">
        <v>45837</v>
      </c>
      <c r="D829" t="inlineStr">
        <is>
          <t>DALARNAS LÄN</t>
        </is>
      </c>
      <c r="E829" t="inlineStr">
        <is>
          <t>MORA</t>
        </is>
      </c>
      <c r="G829" t="n">
        <v>2.5</v>
      </c>
      <c r="H829" t="n">
        <v>0</v>
      </c>
      <c r="I829" t="n">
        <v>0</v>
      </c>
      <c r="J829" t="n">
        <v>0</v>
      </c>
      <c r="K829" t="n">
        <v>0</v>
      </c>
      <c r="L829" t="n">
        <v>0</v>
      </c>
      <c r="M829" t="n">
        <v>0</v>
      </c>
      <c r="N829" t="n">
        <v>0</v>
      </c>
      <c r="O829" t="n">
        <v>0</v>
      </c>
      <c r="P829" t="n">
        <v>0</v>
      </c>
      <c r="Q829" t="n">
        <v>0</v>
      </c>
      <c r="R829" s="2" t="inlineStr"/>
    </row>
    <row r="830" ht="15" customHeight="1">
      <c r="A830" t="inlineStr">
        <is>
          <t>A 11463-2024</t>
        </is>
      </c>
      <c r="B830" s="1" t="n">
        <v>45372</v>
      </c>
      <c r="C830" s="1" t="n">
        <v>45837</v>
      </c>
      <c r="D830" t="inlineStr">
        <is>
          <t>DALARNAS LÄN</t>
        </is>
      </c>
      <c r="E830" t="inlineStr">
        <is>
          <t>MORA</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11919-2024</t>
        </is>
      </c>
      <c r="B831" s="1" t="n">
        <v>45376</v>
      </c>
      <c r="C831" s="1" t="n">
        <v>45837</v>
      </c>
      <c r="D831" t="inlineStr">
        <is>
          <t>DALARNAS LÄN</t>
        </is>
      </c>
      <c r="E831" t="inlineStr">
        <is>
          <t>MORA</t>
        </is>
      </c>
      <c r="G831" t="n">
        <v>3.5</v>
      </c>
      <c r="H831" t="n">
        <v>0</v>
      </c>
      <c r="I831" t="n">
        <v>0</v>
      </c>
      <c r="J831" t="n">
        <v>0</v>
      </c>
      <c r="K831" t="n">
        <v>0</v>
      </c>
      <c r="L831" t="n">
        <v>0</v>
      </c>
      <c r="M831" t="n">
        <v>0</v>
      </c>
      <c r="N831" t="n">
        <v>0</v>
      </c>
      <c r="O831" t="n">
        <v>0</v>
      </c>
      <c r="P831" t="n">
        <v>0</v>
      </c>
      <c r="Q831" t="n">
        <v>0</v>
      </c>
      <c r="R831" s="2" t="inlineStr"/>
    </row>
    <row r="832" ht="15" customHeight="1">
      <c r="A832" t="inlineStr">
        <is>
          <t>A 12987-2024</t>
        </is>
      </c>
      <c r="B832" s="1" t="n">
        <v>45385</v>
      </c>
      <c r="C832" s="1" t="n">
        <v>45837</v>
      </c>
      <c r="D832" t="inlineStr">
        <is>
          <t>DALARNAS LÄN</t>
        </is>
      </c>
      <c r="E832" t="inlineStr">
        <is>
          <t>MORA</t>
        </is>
      </c>
      <c r="G832" t="n">
        <v>1.3</v>
      </c>
      <c r="H832" t="n">
        <v>0</v>
      </c>
      <c r="I832" t="n">
        <v>0</v>
      </c>
      <c r="J832" t="n">
        <v>0</v>
      </c>
      <c r="K832" t="n">
        <v>0</v>
      </c>
      <c r="L832" t="n">
        <v>0</v>
      </c>
      <c r="M832" t="n">
        <v>0</v>
      </c>
      <c r="N832" t="n">
        <v>0</v>
      </c>
      <c r="O832" t="n">
        <v>0</v>
      </c>
      <c r="P832" t="n">
        <v>0</v>
      </c>
      <c r="Q832" t="n">
        <v>0</v>
      </c>
      <c r="R832" s="2" t="inlineStr"/>
    </row>
    <row r="833" ht="15" customHeight="1">
      <c r="A833" t="inlineStr">
        <is>
          <t>A 13492-2024</t>
        </is>
      </c>
      <c r="B833" s="1" t="n">
        <v>45387</v>
      </c>
      <c r="C833" s="1" t="n">
        <v>45837</v>
      </c>
      <c r="D833" t="inlineStr">
        <is>
          <t>DALARNAS LÄN</t>
        </is>
      </c>
      <c r="E833" t="inlineStr">
        <is>
          <t>MORA</t>
        </is>
      </c>
      <c r="G833" t="n">
        <v>0.5</v>
      </c>
      <c r="H833" t="n">
        <v>0</v>
      </c>
      <c r="I833" t="n">
        <v>0</v>
      </c>
      <c r="J833" t="n">
        <v>0</v>
      </c>
      <c r="K833" t="n">
        <v>0</v>
      </c>
      <c r="L833" t="n">
        <v>0</v>
      </c>
      <c r="M833" t="n">
        <v>0</v>
      </c>
      <c r="N833" t="n">
        <v>0</v>
      </c>
      <c r="O833" t="n">
        <v>0</v>
      </c>
      <c r="P833" t="n">
        <v>0</v>
      </c>
      <c r="Q833" t="n">
        <v>0</v>
      </c>
      <c r="R833" s="2" t="inlineStr"/>
    </row>
    <row r="834" ht="15" customHeight="1">
      <c r="A834" t="inlineStr">
        <is>
          <t>A 13479-2024</t>
        </is>
      </c>
      <c r="B834" s="1" t="n">
        <v>45387</v>
      </c>
      <c r="C834" s="1" t="n">
        <v>45837</v>
      </c>
      <c r="D834" t="inlineStr">
        <is>
          <t>DALARNAS LÄN</t>
        </is>
      </c>
      <c r="E834" t="inlineStr">
        <is>
          <t>MORA</t>
        </is>
      </c>
      <c r="G834" t="n">
        <v>1.4</v>
      </c>
      <c r="H834" t="n">
        <v>0</v>
      </c>
      <c r="I834" t="n">
        <v>0</v>
      </c>
      <c r="J834" t="n">
        <v>0</v>
      </c>
      <c r="K834" t="n">
        <v>0</v>
      </c>
      <c r="L834" t="n">
        <v>0</v>
      </c>
      <c r="M834" t="n">
        <v>0</v>
      </c>
      <c r="N834" t="n">
        <v>0</v>
      </c>
      <c r="O834" t="n">
        <v>0</v>
      </c>
      <c r="P834" t="n">
        <v>0</v>
      </c>
      <c r="Q834" t="n">
        <v>0</v>
      </c>
      <c r="R834" s="2" t="inlineStr"/>
    </row>
    <row r="835" ht="15" customHeight="1">
      <c r="A835" t="inlineStr">
        <is>
          <t>A 13410-2024</t>
        </is>
      </c>
      <c r="B835" s="1" t="n">
        <v>45387</v>
      </c>
      <c r="C835" s="1" t="n">
        <v>45837</v>
      </c>
      <c r="D835" t="inlineStr">
        <is>
          <t>DALARNAS LÄN</t>
        </is>
      </c>
      <c r="E835" t="inlineStr">
        <is>
          <t>MORA</t>
        </is>
      </c>
      <c r="G835" t="n">
        <v>2.8</v>
      </c>
      <c r="H835" t="n">
        <v>0</v>
      </c>
      <c r="I835" t="n">
        <v>0</v>
      </c>
      <c r="J835" t="n">
        <v>0</v>
      </c>
      <c r="K835" t="n">
        <v>0</v>
      </c>
      <c r="L835" t="n">
        <v>0</v>
      </c>
      <c r="M835" t="n">
        <v>0</v>
      </c>
      <c r="N835" t="n">
        <v>0</v>
      </c>
      <c r="O835" t="n">
        <v>0</v>
      </c>
      <c r="P835" t="n">
        <v>0</v>
      </c>
      <c r="Q835" t="n">
        <v>0</v>
      </c>
      <c r="R835" s="2" t="inlineStr"/>
    </row>
    <row r="836" ht="15" customHeight="1">
      <c r="A836" t="inlineStr">
        <is>
          <t>A 13386-2024</t>
        </is>
      </c>
      <c r="B836" s="1" t="n">
        <v>45387</v>
      </c>
      <c r="C836" s="1" t="n">
        <v>45837</v>
      </c>
      <c r="D836" t="inlineStr">
        <is>
          <t>DALARNAS LÄN</t>
        </is>
      </c>
      <c r="E836" t="inlineStr">
        <is>
          <t>MORA</t>
        </is>
      </c>
      <c r="G836" t="n">
        <v>2.4</v>
      </c>
      <c r="H836" t="n">
        <v>0</v>
      </c>
      <c r="I836" t="n">
        <v>0</v>
      </c>
      <c r="J836" t="n">
        <v>0</v>
      </c>
      <c r="K836" t="n">
        <v>0</v>
      </c>
      <c r="L836" t="n">
        <v>0</v>
      </c>
      <c r="M836" t="n">
        <v>0</v>
      </c>
      <c r="N836" t="n">
        <v>0</v>
      </c>
      <c r="O836" t="n">
        <v>0</v>
      </c>
      <c r="P836" t="n">
        <v>0</v>
      </c>
      <c r="Q836" t="n">
        <v>0</v>
      </c>
      <c r="R836" s="2" t="inlineStr"/>
    </row>
    <row r="837" ht="15" customHeight="1">
      <c r="A837" t="inlineStr">
        <is>
          <t>A 13403-2024</t>
        </is>
      </c>
      <c r="B837" s="1" t="n">
        <v>45387</v>
      </c>
      <c r="C837" s="1" t="n">
        <v>45837</v>
      </c>
      <c r="D837" t="inlineStr">
        <is>
          <t>DALARNAS LÄN</t>
        </is>
      </c>
      <c r="E837" t="inlineStr">
        <is>
          <t>MORA</t>
        </is>
      </c>
      <c r="G837" t="n">
        <v>1.9</v>
      </c>
      <c r="H837" t="n">
        <v>0</v>
      </c>
      <c r="I837" t="n">
        <v>0</v>
      </c>
      <c r="J837" t="n">
        <v>0</v>
      </c>
      <c r="K837" t="n">
        <v>0</v>
      </c>
      <c r="L837" t="n">
        <v>0</v>
      </c>
      <c r="M837" t="n">
        <v>0</v>
      </c>
      <c r="N837" t="n">
        <v>0</v>
      </c>
      <c r="O837" t="n">
        <v>0</v>
      </c>
      <c r="P837" t="n">
        <v>0</v>
      </c>
      <c r="Q837" t="n">
        <v>0</v>
      </c>
      <c r="R837" s="2" t="inlineStr"/>
    </row>
    <row r="838" ht="15" customHeight="1">
      <c r="A838" t="inlineStr">
        <is>
          <t>A 13433-2024</t>
        </is>
      </c>
      <c r="B838" s="1" t="n">
        <v>45387</v>
      </c>
      <c r="C838" s="1" t="n">
        <v>45837</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13589-2024</t>
        </is>
      </c>
      <c r="B839" s="1" t="n">
        <v>45389</v>
      </c>
      <c r="C839" s="1" t="n">
        <v>45837</v>
      </c>
      <c r="D839" t="inlineStr">
        <is>
          <t>DALARNAS LÄN</t>
        </is>
      </c>
      <c r="E839" t="inlineStr">
        <is>
          <t>MORA</t>
        </is>
      </c>
      <c r="G839" t="n">
        <v>1.6</v>
      </c>
      <c r="H839" t="n">
        <v>0</v>
      </c>
      <c r="I839" t="n">
        <v>0</v>
      </c>
      <c r="J839" t="n">
        <v>0</v>
      </c>
      <c r="K839" t="n">
        <v>0</v>
      </c>
      <c r="L839" t="n">
        <v>0</v>
      </c>
      <c r="M839" t="n">
        <v>0</v>
      </c>
      <c r="N839" t="n">
        <v>0</v>
      </c>
      <c r="O839" t="n">
        <v>0</v>
      </c>
      <c r="P839" t="n">
        <v>0</v>
      </c>
      <c r="Q839" t="n">
        <v>0</v>
      </c>
      <c r="R839" s="2" t="inlineStr"/>
    </row>
    <row r="840" ht="15" customHeight="1">
      <c r="A840" t="inlineStr">
        <is>
          <t>A 13985-2024</t>
        </is>
      </c>
      <c r="B840" s="1" t="n">
        <v>45392</v>
      </c>
      <c r="C840" s="1" t="n">
        <v>45837</v>
      </c>
      <c r="D840" t="inlineStr">
        <is>
          <t>DALARNAS LÄN</t>
        </is>
      </c>
      <c r="E840" t="inlineStr">
        <is>
          <t>MORA</t>
        </is>
      </c>
      <c r="G840" t="n">
        <v>6.5</v>
      </c>
      <c r="H840" t="n">
        <v>0</v>
      </c>
      <c r="I840" t="n">
        <v>0</v>
      </c>
      <c r="J840" t="n">
        <v>0</v>
      </c>
      <c r="K840" t="n">
        <v>0</v>
      </c>
      <c r="L840" t="n">
        <v>0</v>
      </c>
      <c r="M840" t="n">
        <v>0</v>
      </c>
      <c r="N840" t="n">
        <v>0</v>
      </c>
      <c r="O840" t="n">
        <v>0</v>
      </c>
      <c r="P840" t="n">
        <v>0</v>
      </c>
      <c r="Q840" t="n">
        <v>0</v>
      </c>
      <c r="R840" s="2" t="inlineStr"/>
    </row>
    <row r="841" ht="15" customHeight="1">
      <c r="A841" t="inlineStr">
        <is>
          <t>A 14842-2024</t>
        </is>
      </c>
      <c r="B841" s="1" t="n">
        <v>45397</v>
      </c>
      <c r="C841" s="1" t="n">
        <v>45837</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14833-2024</t>
        </is>
      </c>
      <c r="B842" s="1" t="n">
        <v>45397</v>
      </c>
      <c r="C842" s="1" t="n">
        <v>45837</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15592-2024</t>
        </is>
      </c>
      <c r="B843" s="1" t="n">
        <v>45401</v>
      </c>
      <c r="C843" s="1" t="n">
        <v>45837</v>
      </c>
      <c r="D843" t="inlineStr">
        <is>
          <t>DALARNAS LÄN</t>
        </is>
      </c>
      <c r="E843" t="inlineStr">
        <is>
          <t>MORA</t>
        </is>
      </c>
      <c r="G843" t="n">
        <v>1.7</v>
      </c>
      <c r="H843" t="n">
        <v>0</v>
      </c>
      <c r="I843" t="n">
        <v>0</v>
      </c>
      <c r="J843" t="n">
        <v>0</v>
      </c>
      <c r="K843" t="n">
        <v>0</v>
      </c>
      <c r="L843" t="n">
        <v>0</v>
      </c>
      <c r="M843" t="n">
        <v>0</v>
      </c>
      <c r="N843" t="n">
        <v>0</v>
      </c>
      <c r="O843" t="n">
        <v>0</v>
      </c>
      <c r="P843" t="n">
        <v>0</v>
      </c>
      <c r="Q843" t="n">
        <v>0</v>
      </c>
      <c r="R843" s="2" t="inlineStr"/>
    </row>
    <row r="844" ht="15" customHeight="1">
      <c r="A844" t="inlineStr">
        <is>
          <t>A 15435-2024</t>
        </is>
      </c>
      <c r="B844" s="1" t="n">
        <v>45401</v>
      </c>
      <c r="C844" s="1" t="n">
        <v>45837</v>
      </c>
      <c r="D844" t="inlineStr">
        <is>
          <t>DALARNAS LÄN</t>
        </is>
      </c>
      <c r="E844" t="inlineStr">
        <is>
          <t>MORA</t>
        </is>
      </c>
      <c r="G844" t="n">
        <v>2.1</v>
      </c>
      <c r="H844" t="n">
        <v>0</v>
      </c>
      <c r="I844" t="n">
        <v>0</v>
      </c>
      <c r="J844" t="n">
        <v>0</v>
      </c>
      <c r="K844" t="n">
        <v>0</v>
      </c>
      <c r="L844" t="n">
        <v>0</v>
      </c>
      <c r="M844" t="n">
        <v>0</v>
      </c>
      <c r="N844" t="n">
        <v>0</v>
      </c>
      <c r="O844" t="n">
        <v>0</v>
      </c>
      <c r="P844" t="n">
        <v>0</v>
      </c>
      <c r="Q844" t="n">
        <v>0</v>
      </c>
      <c r="R844" s="2" t="inlineStr"/>
    </row>
    <row r="845" ht="15" customHeight="1">
      <c r="A845" t="inlineStr">
        <is>
          <t>A 15508-2024</t>
        </is>
      </c>
      <c r="B845" s="1" t="n">
        <v>45401</v>
      </c>
      <c r="C845" s="1" t="n">
        <v>45837</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15499-2024</t>
        </is>
      </c>
      <c r="B846" s="1" t="n">
        <v>45401</v>
      </c>
      <c r="C846" s="1" t="n">
        <v>45837</v>
      </c>
      <c r="D846" t="inlineStr">
        <is>
          <t>DALARNAS LÄN</t>
        </is>
      </c>
      <c r="E846" t="inlineStr">
        <is>
          <t>MORA</t>
        </is>
      </c>
      <c r="G846" t="n">
        <v>1.2</v>
      </c>
      <c r="H846" t="n">
        <v>0</v>
      </c>
      <c r="I846" t="n">
        <v>0</v>
      </c>
      <c r="J846" t="n">
        <v>0</v>
      </c>
      <c r="K846" t="n">
        <v>0</v>
      </c>
      <c r="L846" t="n">
        <v>0</v>
      </c>
      <c r="M846" t="n">
        <v>0</v>
      </c>
      <c r="N846" t="n">
        <v>0</v>
      </c>
      <c r="O846" t="n">
        <v>0</v>
      </c>
      <c r="P846" t="n">
        <v>0</v>
      </c>
      <c r="Q846" t="n">
        <v>0</v>
      </c>
      <c r="R846" s="2" t="inlineStr"/>
    </row>
    <row r="847" ht="15" customHeight="1">
      <c r="A847" t="inlineStr">
        <is>
          <t>A 15440-2024</t>
        </is>
      </c>
      <c r="B847" s="1" t="n">
        <v>45401</v>
      </c>
      <c r="C847" s="1" t="n">
        <v>45837</v>
      </c>
      <c r="D847" t="inlineStr">
        <is>
          <t>DALARNAS LÄN</t>
        </is>
      </c>
      <c r="E847" t="inlineStr">
        <is>
          <t>MORA</t>
        </is>
      </c>
      <c r="G847" t="n">
        <v>1.1</v>
      </c>
      <c r="H847" t="n">
        <v>0</v>
      </c>
      <c r="I847" t="n">
        <v>0</v>
      </c>
      <c r="J847" t="n">
        <v>0</v>
      </c>
      <c r="K847" t="n">
        <v>0</v>
      </c>
      <c r="L847" t="n">
        <v>0</v>
      </c>
      <c r="M847" t="n">
        <v>0</v>
      </c>
      <c r="N847" t="n">
        <v>0</v>
      </c>
      <c r="O847" t="n">
        <v>0</v>
      </c>
      <c r="P847" t="n">
        <v>0</v>
      </c>
      <c r="Q847" t="n">
        <v>0</v>
      </c>
      <c r="R847" s="2" t="inlineStr"/>
    </row>
    <row r="848" ht="15" customHeight="1">
      <c r="A848" t="inlineStr">
        <is>
          <t>A 15784-2024</t>
        </is>
      </c>
      <c r="B848" s="1" t="n">
        <v>45404</v>
      </c>
      <c r="C848" s="1" t="n">
        <v>45837</v>
      </c>
      <c r="D848" t="inlineStr">
        <is>
          <t>DALARNAS LÄN</t>
        </is>
      </c>
      <c r="E848" t="inlineStr">
        <is>
          <t>MORA</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15786-2024</t>
        </is>
      </c>
      <c r="B849" s="1" t="n">
        <v>45404</v>
      </c>
      <c r="C849" s="1" t="n">
        <v>45837</v>
      </c>
      <c r="D849" t="inlineStr">
        <is>
          <t>DALARNAS LÄN</t>
        </is>
      </c>
      <c r="E849" t="inlineStr">
        <is>
          <t>MORA</t>
        </is>
      </c>
      <c r="F849" t="inlineStr">
        <is>
          <t>Bergvik skog öst AB</t>
        </is>
      </c>
      <c r="G849" t="n">
        <v>2.7</v>
      </c>
      <c r="H849" t="n">
        <v>0</v>
      </c>
      <c r="I849" t="n">
        <v>0</v>
      </c>
      <c r="J849" t="n">
        <v>0</v>
      </c>
      <c r="K849" t="n">
        <v>0</v>
      </c>
      <c r="L849" t="n">
        <v>0</v>
      </c>
      <c r="M849" t="n">
        <v>0</v>
      </c>
      <c r="N849" t="n">
        <v>0</v>
      </c>
      <c r="O849" t="n">
        <v>0</v>
      </c>
      <c r="P849" t="n">
        <v>0</v>
      </c>
      <c r="Q849" t="n">
        <v>0</v>
      </c>
      <c r="R849" s="2" t="inlineStr"/>
    </row>
    <row r="850" ht="15" customHeight="1">
      <c r="A850" t="inlineStr">
        <is>
          <t>A 15818-2024</t>
        </is>
      </c>
      <c r="B850" s="1" t="n">
        <v>45404</v>
      </c>
      <c r="C850" s="1" t="n">
        <v>45837</v>
      </c>
      <c r="D850" t="inlineStr">
        <is>
          <t>DALARNAS LÄN</t>
        </is>
      </c>
      <c r="E850" t="inlineStr">
        <is>
          <t>MORA</t>
        </is>
      </c>
      <c r="G850" t="n">
        <v>7</v>
      </c>
      <c r="H850" t="n">
        <v>0</v>
      </c>
      <c r="I850" t="n">
        <v>0</v>
      </c>
      <c r="J850" t="n">
        <v>0</v>
      </c>
      <c r="K850" t="n">
        <v>0</v>
      </c>
      <c r="L850" t="n">
        <v>0</v>
      </c>
      <c r="M850" t="n">
        <v>0</v>
      </c>
      <c r="N850" t="n">
        <v>0</v>
      </c>
      <c r="O850" t="n">
        <v>0</v>
      </c>
      <c r="P850" t="n">
        <v>0</v>
      </c>
      <c r="Q850" t="n">
        <v>0</v>
      </c>
      <c r="R850" s="2" t="inlineStr"/>
    </row>
    <row r="851" ht="15" customHeight="1">
      <c r="A851" t="inlineStr">
        <is>
          <t>A 15817-2024</t>
        </is>
      </c>
      <c r="B851" s="1" t="n">
        <v>45404</v>
      </c>
      <c r="C851" s="1" t="n">
        <v>45837</v>
      </c>
      <c r="D851" t="inlineStr">
        <is>
          <t>DALARNAS LÄN</t>
        </is>
      </c>
      <c r="E851" t="inlineStr">
        <is>
          <t>MORA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16129-2024</t>
        </is>
      </c>
      <c r="B852" s="1" t="n">
        <v>45406</v>
      </c>
      <c r="C852" s="1" t="n">
        <v>45837</v>
      </c>
      <c r="D852" t="inlineStr">
        <is>
          <t>DALARNAS LÄN</t>
        </is>
      </c>
      <c r="E852" t="inlineStr">
        <is>
          <t>MORA</t>
        </is>
      </c>
      <c r="G852" t="n">
        <v>0.7</v>
      </c>
      <c r="H852" t="n">
        <v>0</v>
      </c>
      <c r="I852" t="n">
        <v>0</v>
      </c>
      <c r="J852" t="n">
        <v>0</v>
      </c>
      <c r="K852" t="n">
        <v>0</v>
      </c>
      <c r="L852" t="n">
        <v>0</v>
      </c>
      <c r="M852" t="n">
        <v>0</v>
      </c>
      <c r="N852" t="n">
        <v>0</v>
      </c>
      <c r="O852" t="n">
        <v>0</v>
      </c>
      <c r="P852" t="n">
        <v>0</v>
      </c>
      <c r="Q852" t="n">
        <v>0</v>
      </c>
      <c r="R852" s="2" t="inlineStr"/>
    </row>
    <row r="853" ht="15" customHeight="1">
      <c r="A853" t="inlineStr">
        <is>
          <t>A 16573-2024</t>
        </is>
      </c>
      <c r="B853" s="1" t="n">
        <v>45408</v>
      </c>
      <c r="C853" s="1" t="n">
        <v>45837</v>
      </c>
      <c r="D853" t="inlineStr">
        <is>
          <t>DALARNAS LÄN</t>
        </is>
      </c>
      <c r="E853" t="inlineStr">
        <is>
          <t>MORA</t>
        </is>
      </c>
      <c r="G853" t="n">
        <v>4.5</v>
      </c>
      <c r="H853" t="n">
        <v>0</v>
      </c>
      <c r="I853" t="n">
        <v>0</v>
      </c>
      <c r="J853" t="n">
        <v>0</v>
      </c>
      <c r="K853" t="n">
        <v>0</v>
      </c>
      <c r="L853" t="n">
        <v>0</v>
      </c>
      <c r="M853" t="n">
        <v>0</v>
      </c>
      <c r="N853" t="n">
        <v>0</v>
      </c>
      <c r="O853" t="n">
        <v>0</v>
      </c>
      <c r="P853" t="n">
        <v>0</v>
      </c>
      <c r="Q853" t="n">
        <v>0</v>
      </c>
      <c r="R853" s="2" t="inlineStr"/>
    </row>
    <row r="854" ht="15" customHeight="1">
      <c r="A854" t="inlineStr">
        <is>
          <t>A 16522-2024</t>
        </is>
      </c>
      <c r="B854" s="1" t="n">
        <v>45408</v>
      </c>
      <c r="C854" s="1" t="n">
        <v>45837</v>
      </c>
      <c r="D854" t="inlineStr">
        <is>
          <t>DALARNAS LÄN</t>
        </is>
      </c>
      <c r="E854" t="inlineStr">
        <is>
          <t>MORA</t>
        </is>
      </c>
      <c r="G854" t="n">
        <v>11.2</v>
      </c>
      <c r="H854" t="n">
        <v>0</v>
      </c>
      <c r="I854" t="n">
        <v>0</v>
      </c>
      <c r="J854" t="n">
        <v>0</v>
      </c>
      <c r="K854" t="n">
        <v>0</v>
      </c>
      <c r="L854" t="n">
        <v>0</v>
      </c>
      <c r="M854" t="n">
        <v>0</v>
      </c>
      <c r="N854" t="n">
        <v>0</v>
      </c>
      <c r="O854" t="n">
        <v>0</v>
      </c>
      <c r="P854" t="n">
        <v>0</v>
      </c>
      <c r="Q854" t="n">
        <v>0</v>
      </c>
      <c r="R854" s="2" t="inlineStr"/>
    </row>
    <row r="855" ht="15" customHeight="1">
      <c r="A855" t="inlineStr">
        <is>
          <t>A 16574-2024</t>
        </is>
      </c>
      <c r="B855" s="1" t="n">
        <v>45408</v>
      </c>
      <c r="C855" s="1" t="n">
        <v>45837</v>
      </c>
      <c r="D855" t="inlineStr">
        <is>
          <t>DALARNAS LÄN</t>
        </is>
      </c>
      <c r="E855" t="inlineStr">
        <is>
          <t>MORA</t>
        </is>
      </c>
      <c r="G855" t="n">
        <v>3</v>
      </c>
      <c r="H855" t="n">
        <v>0</v>
      </c>
      <c r="I855" t="n">
        <v>0</v>
      </c>
      <c r="J855" t="n">
        <v>0</v>
      </c>
      <c r="K855" t="n">
        <v>0</v>
      </c>
      <c r="L855" t="n">
        <v>0</v>
      </c>
      <c r="M855" t="n">
        <v>0</v>
      </c>
      <c r="N855" t="n">
        <v>0</v>
      </c>
      <c r="O855" t="n">
        <v>0</v>
      </c>
      <c r="P855" t="n">
        <v>0</v>
      </c>
      <c r="Q855" t="n">
        <v>0</v>
      </c>
      <c r="R855" s="2" t="inlineStr"/>
    </row>
    <row r="856" ht="15" customHeight="1">
      <c r="A856" t="inlineStr">
        <is>
          <t>A 16733-2024</t>
        </is>
      </c>
      <c r="B856" s="1" t="n">
        <v>45410</v>
      </c>
      <c r="C856" s="1" t="n">
        <v>45837</v>
      </c>
      <c r="D856" t="inlineStr">
        <is>
          <t>DALARNAS LÄN</t>
        </is>
      </c>
      <c r="E856" t="inlineStr">
        <is>
          <t>MORA</t>
        </is>
      </c>
      <c r="G856" t="n">
        <v>6.3</v>
      </c>
      <c r="H856" t="n">
        <v>0</v>
      </c>
      <c r="I856" t="n">
        <v>0</v>
      </c>
      <c r="J856" t="n">
        <v>0</v>
      </c>
      <c r="K856" t="n">
        <v>0</v>
      </c>
      <c r="L856" t="n">
        <v>0</v>
      </c>
      <c r="M856" t="n">
        <v>0</v>
      </c>
      <c r="N856" t="n">
        <v>0</v>
      </c>
      <c r="O856" t="n">
        <v>0</v>
      </c>
      <c r="P856" t="n">
        <v>0</v>
      </c>
      <c r="Q856" t="n">
        <v>0</v>
      </c>
      <c r="R856" s="2" t="inlineStr"/>
    </row>
    <row r="857" ht="15" customHeight="1">
      <c r="A857" t="inlineStr">
        <is>
          <t>A 17145-2024</t>
        </is>
      </c>
      <c r="B857" s="1" t="n">
        <v>45412</v>
      </c>
      <c r="C857" s="1" t="n">
        <v>45837</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17217-2024</t>
        </is>
      </c>
      <c r="B858" s="1" t="n">
        <v>45414</v>
      </c>
      <c r="C858" s="1" t="n">
        <v>45837</v>
      </c>
      <c r="D858" t="inlineStr">
        <is>
          <t>DALARNAS LÄN</t>
        </is>
      </c>
      <c r="E858" t="inlineStr">
        <is>
          <t>MORA</t>
        </is>
      </c>
      <c r="G858" t="n">
        <v>11.3</v>
      </c>
      <c r="H858" t="n">
        <v>0</v>
      </c>
      <c r="I858" t="n">
        <v>0</v>
      </c>
      <c r="J858" t="n">
        <v>0</v>
      </c>
      <c r="K858" t="n">
        <v>0</v>
      </c>
      <c r="L858" t="n">
        <v>0</v>
      </c>
      <c r="M858" t="n">
        <v>0</v>
      </c>
      <c r="N858" t="n">
        <v>0</v>
      </c>
      <c r="O858" t="n">
        <v>0</v>
      </c>
      <c r="P858" t="n">
        <v>0</v>
      </c>
      <c r="Q858" t="n">
        <v>0</v>
      </c>
      <c r="R858" s="2" t="inlineStr"/>
    </row>
    <row r="859" ht="15" customHeight="1">
      <c r="A859" t="inlineStr">
        <is>
          <t>A 17368-2024</t>
        </is>
      </c>
      <c r="B859" s="1" t="n">
        <v>45414</v>
      </c>
      <c r="C859" s="1" t="n">
        <v>45837</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17468-2024</t>
        </is>
      </c>
      <c r="B860" s="1" t="n">
        <v>45415</v>
      </c>
      <c r="C860" s="1" t="n">
        <v>45837</v>
      </c>
      <c r="D860" t="inlineStr">
        <is>
          <t>DALARNAS LÄN</t>
        </is>
      </c>
      <c r="E860" t="inlineStr">
        <is>
          <t>MORA</t>
        </is>
      </c>
      <c r="G860" t="n">
        <v>8</v>
      </c>
      <c r="H860" t="n">
        <v>0</v>
      </c>
      <c r="I860" t="n">
        <v>0</v>
      </c>
      <c r="J860" t="n">
        <v>0</v>
      </c>
      <c r="K860" t="n">
        <v>0</v>
      </c>
      <c r="L860" t="n">
        <v>0</v>
      </c>
      <c r="M860" t="n">
        <v>0</v>
      </c>
      <c r="N860" t="n">
        <v>0</v>
      </c>
      <c r="O860" t="n">
        <v>0</v>
      </c>
      <c r="P860" t="n">
        <v>0</v>
      </c>
      <c r="Q860" t="n">
        <v>0</v>
      </c>
      <c r="R860" s="2" t="inlineStr"/>
    </row>
    <row r="861" ht="15" customHeight="1">
      <c r="A861" t="inlineStr">
        <is>
          <t>A 17516-2024</t>
        </is>
      </c>
      <c r="B861" s="1" t="n">
        <v>45415</v>
      </c>
      <c r="C861" s="1" t="n">
        <v>45837</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17645-2024</t>
        </is>
      </c>
      <c r="B862" s="1" t="n">
        <v>45418</v>
      </c>
      <c r="C862" s="1" t="n">
        <v>45837</v>
      </c>
      <c r="D862" t="inlineStr">
        <is>
          <t>DALARNAS LÄN</t>
        </is>
      </c>
      <c r="E862" t="inlineStr">
        <is>
          <t>MORA</t>
        </is>
      </c>
      <c r="G862" t="n">
        <v>1.9</v>
      </c>
      <c r="H862" t="n">
        <v>0</v>
      </c>
      <c r="I862" t="n">
        <v>0</v>
      </c>
      <c r="J862" t="n">
        <v>0</v>
      </c>
      <c r="K862" t="n">
        <v>0</v>
      </c>
      <c r="L862" t="n">
        <v>0</v>
      </c>
      <c r="M862" t="n">
        <v>0</v>
      </c>
      <c r="N862" t="n">
        <v>0</v>
      </c>
      <c r="O862" t="n">
        <v>0</v>
      </c>
      <c r="P862" t="n">
        <v>0</v>
      </c>
      <c r="Q862" t="n">
        <v>0</v>
      </c>
      <c r="R862" s="2" t="inlineStr"/>
    </row>
    <row r="863" ht="15" customHeight="1">
      <c r="A863" t="inlineStr">
        <is>
          <t>A 17647-2024</t>
        </is>
      </c>
      <c r="B863" s="1" t="n">
        <v>45418</v>
      </c>
      <c r="C863" s="1" t="n">
        <v>45837</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17692-2024</t>
        </is>
      </c>
      <c r="B864" s="1" t="n">
        <v>45418</v>
      </c>
      <c r="C864" s="1" t="n">
        <v>45837</v>
      </c>
      <c r="D864" t="inlineStr">
        <is>
          <t>DALARNAS LÄN</t>
        </is>
      </c>
      <c r="E864" t="inlineStr">
        <is>
          <t>MORA</t>
        </is>
      </c>
      <c r="F864" t="inlineStr">
        <is>
          <t>Bergvik skog öst AB</t>
        </is>
      </c>
      <c r="G864" t="n">
        <v>7.9</v>
      </c>
      <c r="H864" t="n">
        <v>0</v>
      </c>
      <c r="I864" t="n">
        <v>0</v>
      </c>
      <c r="J864" t="n">
        <v>0</v>
      </c>
      <c r="K864" t="n">
        <v>0</v>
      </c>
      <c r="L864" t="n">
        <v>0</v>
      </c>
      <c r="M864" t="n">
        <v>0</v>
      </c>
      <c r="N864" t="n">
        <v>0</v>
      </c>
      <c r="O864" t="n">
        <v>0</v>
      </c>
      <c r="P864" t="n">
        <v>0</v>
      </c>
      <c r="Q864" t="n">
        <v>0</v>
      </c>
      <c r="R864" s="2" t="inlineStr"/>
    </row>
    <row r="865" ht="15" customHeight="1">
      <c r="A865" t="inlineStr">
        <is>
          <t>A 17646-2024</t>
        </is>
      </c>
      <c r="B865" s="1" t="n">
        <v>45418</v>
      </c>
      <c r="C865" s="1" t="n">
        <v>45837</v>
      </c>
      <c r="D865" t="inlineStr">
        <is>
          <t>DALARNAS LÄN</t>
        </is>
      </c>
      <c r="E865" t="inlineStr">
        <is>
          <t>MORA</t>
        </is>
      </c>
      <c r="G865" t="n">
        <v>0.8</v>
      </c>
      <c r="H865" t="n">
        <v>0</v>
      </c>
      <c r="I865" t="n">
        <v>0</v>
      </c>
      <c r="J865" t="n">
        <v>0</v>
      </c>
      <c r="K865" t="n">
        <v>0</v>
      </c>
      <c r="L865" t="n">
        <v>0</v>
      </c>
      <c r="M865" t="n">
        <v>0</v>
      </c>
      <c r="N865" t="n">
        <v>0</v>
      </c>
      <c r="O865" t="n">
        <v>0</v>
      </c>
      <c r="P865" t="n">
        <v>0</v>
      </c>
      <c r="Q865" t="n">
        <v>0</v>
      </c>
      <c r="R865" s="2" t="inlineStr"/>
    </row>
    <row r="866" ht="15" customHeight="1">
      <c r="A866" t="inlineStr">
        <is>
          <t>A 17894-2024</t>
        </is>
      </c>
      <c r="B866" s="1" t="n">
        <v>45419</v>
      </c>
      <c r="C866" s="1" t="n">
        <v>45837</v>
      </c>
      <c r="D866" t="inlineStr">
        <is>
          <t>DALARNAS LÄN</t>
        </is>
      </c>
      <c r="E866" t="inlineStr">
        <is>
          <t>MORA</t>
        </is>
      </c>
      <c r="G866" t="n">
        <v>3.5</v>
      </c>
      <c r="H866" t="n">
        <v>0</v>
      </c>
      <c r="I866" t="n">
        <v>0</v>
      </c>
      <c r="J866" t="n">
        <v>0</v>
      </c>
      <c r="K866" t="n">
        <v>0</v>
      </c>
      <c r="L866" t="n">
        <v>0</v>
      </c>
      <c r="M866" t="n">
        <v>0</v>
      </c>
      <c r="N866" t="n">
        <v>0</v>
      </c>
      <c r="O866" t="n">
        <v>0</v>
      </c>
      <c r="P866" t="n">
        <v>0</v>
      </c>
      <c r="Q866" t="n">
        <v>0</v>
      </c>
      <c r="R866" s="2" t="inlineStr"/>
    </row>
    <row r="867" ht="15" customHeight="1">
      <c r="A867" t="inlineStr">
        <is>
          <t>A 17950-2024</t>
        </is>
      </c>
      <c r="B867" s="1" t="n">
        <v>45419</v>
      </c>
      <c r="C867" s="1" t="n">
        <v>45837</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18118-2024</t>
        </is>
      </c>
      <c r="B868" s="1" t="n">
        <v>45420</v>
      </c>
      <c r="C868" s="1" t="n">
        <v>45837</v>
      </c>
      <c r="D868" t="inlineStr">
        <is>
          <t>DALARNAS LÄN</t>
        </is>
      </c>
      <c r="E868" t="inlineStr">
        <is>
          <t>MORA</t>
        </is>
      </c>
      <c r="F868" t="inlineStr">
        <is>
          <t>Bergvik skog öst AB</t>
        </is>
      </c>
      <c r="G868" t="n">
        <v>5.2</v>
      </c>
      <c r="H868" t="n">
        <v>0</v>
      </c>
      <c r="I868" t="n">
        <v>0</v>
      </c>
      <c r="J868" t="n">
        <v>0</v>
      </c>
      <c r="K868" t="n">
        <v>0</v>
      </c>
      <c r="L868" t="n">
        <v>0</v>
      </c>
      <c r="M868" t="n">
        <v>0</v>
      </c>
      <c r="N868" t="n">
        <v>0</v>
      </c>
      <c r="O868" t="n">
        <v>0</v>
      </c>
      <c r="P868" t="n">
        <v>0</v>
      </c>
      <c r="Q868" t="n">
        <v>0</v>
      </c>
      <c r="R868" s="2" t="inlineStr"/>
    </row>
    <row r="869" ht="15" customHeight="1">
      <c r="A869" t="inlineStr">
        <is>
          <t>A 18202-2024</t>
        </is>
      </c>
      <c r="B869" s="1" t="n">
        <v>45420</v>
      </c>
      <c r="C869" s="1" t="n">
        <v>45837</v>
      </c>
      <c r="D869" t="inlineStr">
        <is>
          <t>DALARNAS LÄN</t>
        </is>
      </c>
      <c r="E869" t="inlineStr">
        <is>
          <t>MORA</t>
        </is>
      </c>
      <c r="G869" t="n">
        <v>2</v>
      </c>
      <c r="H869" t="n">
        <v>0</v>
      </c>
      <c r="I869" t="n">
        <v>0</v>
      </c>
      <c r="J869" t="n">
        <v>0</v>
      </c>
      <c r="K869" t="n">
        <v>0</v>
      </c>
      <c r="L869" t="n">
        <v>0</v>
      </c>
      <c r="M869" t="n">
        <v>0</v>
      </c>
      <c r="N869" t="n">
        <v>0</v>
      </c>
      <c r="O869" t="n">
        <v>0</v>
      </c>
      <c r="P869" t="n">
        <v>0</v>
      </c>
      <c r="Q869" t="n">
        <v>0</v>
      </c>
      <c r="R869" s="2" t="inlineStr"/>
    </row>
    <row r="870" ht="15" customHeight="1">
      <c r="A870" t="inlineStr">
        <is>
          <t>A 18214-2024</t>
        </is>
      </c>
      <c r="B870" s="1" t="n">
        <v>45420</v>
      </c>
      <c r="C870" s="1" t="n">
        <v>45837</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18119-2024</t>
        </is>
      </c>
      <c r="B871" s="1" t="n">
        <v>45420</v>
      </c>
      <c r="C871" s="1" t="n">
        <v>45837</v>
      </c>
      <c r="D871" t="inlineStr">
        <is>
          <t>DALARNAS LÄN</t>
        </is>
      </c>
      <c r="E871" t="inlineStr">
        <is>
          <t>MORA</t>
        </is>
      </c>
      <c r="F871" t="inlineStr">
        <is>
          <t>Bergvik skog öst AB</t>
        </is>
      </c>
      <c r="G871" t="n">
        <v>5.8</v>
      </c>
      <c r="H871" t="n">
        <v>0</v>
      </c>
      <c r="I871" t="n">
        <v>0</v>
      </c>
      <c r="J871" t="n">
        <v>0</v>
      </c>
      <c r="K871" t="n">
        <v>0</v>
      </c>
      <c r="L871" t="n">
        <v>0</v>
      </c>
      <c r="M871" t="n">
        <v>0</v>
      </c>
      <c r="N871" t="n">
        <v>0</v>
      </c>
      <c r="O871" t="n">
        <v>0</v>
      </c>
      <c r="P871" t="n">
        <v>0</v>
      </c>
      <c r="Q871" t="n">
        <v>0</v>
      </c>
      <c r="R871" s="2" t="inlineStr"/>
    </row>
    <row r="872" ht="15" customHeight="1">
      <c r="A872" t="inlineStr">
        <is>
          <t>A 18429-2024</t>
        </is>
      </c>
      <c r="B872" s="1" t="n">
        <v>45425</v>
      </c>
      <c r="C872" s="1" t="n">
        <v>45837</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18444-2024</t>
        </is>
      </c>
      <c r="B873" s="1" t="n">
        <v>45425</v>
      </c>
      <c r="C873" s="1" t="n">
        <v>45837</v>
      </c>
      <c r="D873" t="inlineStr">
        <is>
          <t>DALARNAS LÄN</t>
        </is>
      </c>
      <c r="E873" t="inlineStr">
        <is>
          <t>MORA</t>
        </is>
      </c>
      <c r="G873" t="n">
        <v>5</v>
      </c>
      <c r="H873" t="n">
        <v>0</v>
      </c>
      <c r="I873" t="n">
        <v>0</v>
      </c>
      <c r="J873" t="n">
        <v>0</v>
      </c>
      <c r="K873" t="n">
        <v>0</v>
      </c>
      <c r="L873" t="n">
        <v>0</v>
      </c>
      <c r="M873" t="n">
        <v>0</v>
      </c>
      <c r="N873" t="n">
        <v>0</v>
      </c>
      <c r="O873" t="n">
        <v>0</v>
      </c>
      <c r="P873" t="n">
        <v>0</v>
      </c>
      <c r="Q873" t="n">
        <v>0</v>
      </c>
      <c r="R873" s="2" t="inlineStr"/>
    </row>
    <row r="874" ht="15" customHeight="1">
      <c r="A874" t="inlineStr">
        <is>
          <t>A 18559-2024</t>
        </is>
      </c>
      <c r="B874" s="1" t="n">
        <v>45425</v>
      </c>
      <c r="C874" s="1" t="n">
        <v>45837</v>
      </c>
      <c r="D874" t="inlineStr">
        <is>
          <t>DALARNAS LÄN</t>
        </is>
      </c>
      <c r="E874" t="inlineStr">
        <is>
          <t>MORA</t>
        </is>
      </c>
      <c r="G874" t="n">
        <v>3.6</v>
      </c>
      <c r="H874" t="n">
        <v>0</v>
      </c>
      <c r="I874" t="n">
        <v>0</v>
      </c>
      <c r="J874" t="n">
        <v>0</v>
      </c>
      <c r="K874" t="n">
        <v>0</v>
      </c>
      <c r="L874" t="n">
        <v>0</v>
      </c>
      <c r="M874" t="n">
        <v>0</v>
      </c>
      <c r="N874" t="n">
        <v>0</v>
      </c>
      <c r="O874" t="n">
        <v>0</v>
      </c>
      <c r="P874" t="n">
        <v>0</v>
      </c>
      <c r="Q874" t="n">
        <v>0</v>
      </c>
      <c r="R874" s="2" t="inlineStr"/>
    </row>
    <row r="875" ht="15" customHeight="1">
      <c r="A875" t="inlineStr">
        <is>
          <t>A 18696-2024</t>
        </is>
      </c>
      <c r="B875" s="1" t="n">
        <v>45426</v>
      </c>
      <c r="C875" s="1" t="n">
        <v>45837</v>
      </c>
      <c r="D875" t="inlineStr">
        <is>
          <t>DALARNAS LÄN</t>
        </is>
      </c>
      <c r="E875" t="inlineStr">
        <is>
          <t>MORA</t>
        </is>
      </c>
      <c r="G875" t="n">
        <v>9.6</v>
      </c>
      <c r="H875" t="n">
        <v>0</v>
      </c>
      <c r="I875" t="n">
        <v>0</v>
      </c>
      <c r="J875" t="n">
        <v>0</v>
      </c>
      <c r="K875" t="n">
        <v>0</v>
      </c>
      <c r="L875" t="n">
        <v>0</v>
      </c>
      <c r="M875" t="n">
        <v>0</v>
      </c>
      <c r="N875" t="n">
        <v>0</v>
      </c>
      <c r="O875" t="n">
        <v>0</v>
      </c>
      <c r="P875" t="n">
        <v>0</v>
      </c>
      <c r="Q875" t="n">
        <v>0</v>
      </c>
      <c r="R875" s="2" t="inlineStr"/>
    </row>
    <row r="876" ht="15" customHeight="1">
      <c r="A876" t="inlineStr">
        <is>
          <t>A 18941-2024</t>
        </is>
      </c>
      <c r="B876" s="1" t="n">
        <v>45427</v>
      </c>
      <c r="C876" s="1" t="n">
        <v>45837</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18922-2024</t>
        </is>
      </c>
      <c r="B877" s="1" t="n">
        <v>45427</v>
      </c>
      <c r="C877" s="1" t="n">
        <v>45837</v>
      </c>
      <c r="D877" t="inlineStr">
        <is>
          <t>DALARNAS LÄN</t>
        </is>
      </c>
      <c r="E877" t="inlineStr">
        <is>
          <t>MORA</t>
        </is>
      </c>
      <c r="G877" t="n">
        <v>2.6</v>
      </c>
      <c r="H877" t="n">
        <v>0</v>
      </c>
      <c r="I877" t="n">
        <v>0</v>
      </c>
      <c r="J877" t="n">
        <v>0</v>
      </c>
      <c r="K877" t="n">
        <v>0</v>
      </c>
      <c r="L877" t="n">
        <v>0</v>
      </c>
      <c r="M877" t="n">
        <v>0</v>
      </c>
      <c r="N877" t="n">
        <v>0</v>
      </c>
      <c r="O877" t="n">
        <v>0</v>
      </c>
      <c r="P877" t="n">
        <v>0</v>
      </c>
      <c r="Q877" t="n">
        <v>0</v>
      </c>
      <c r="R877" s="2" t="inlineStr"/>
    </row>
    <row r="878" ht="15" customHeight="1">
      <c r="A878" t="inlineStr">
        <is>
          <t>A 18895-2024</t>
        </is>
      </c>
      <c r="B878" s="1" t="n">
        <v>45427</v>
      </c>
      <c r="C878" s="1" t="n">
        <v>45837</v>
      </c>
      <c r="D878" t="inlineStr">
        <is>
          <t>DALARNAS LÄN</t>
        </is>
      </c>
      <c r="E878" t="inlineStr">
        <is>
          <t>MORA</t>
        </is>
      </c>
      <c r="G878" t="n">
        <v>11.5</v>
      </c>
      <c r="H878" t="n">
        <v>0</v>
      </c>
      <c r="I878" t="n">
        <v>0</v>
      </c>
      <c r="J878" t="n">
        <v>0</v>
      </c>
      <c r="K878" t="n">
        <v>0</v>
      </c>
      <c r="L878" t="n">
        <v>0</v>
      </c>
      <c r="M878" t="n">
        <v>0</v>
      </c>
      <c r="N878" t="n">
        <v>0</v>
      </c>
      <c r="O878" t="n">
        <v>0</v>
      </c>
      <c r="P878" t="n">
        <v>0</v>
      </c>
      <c r="Q878" t="n">
        <v>0</v>
      </c>
      <c r="R878" s="2" t="inlineStr"/>
    </row>
    <row r="879" ht="15" customHeight="1">
      <c r="A879" t="inlineStr">
        <is>
          <t>A 18901-2024</t>
        </is>
      </c>
      <c r="B879" s="1" t="n">
        <v>45427</v>
      </c>
      <c r="C879" s="1" t="n">
        <v>45837</v>
      </c>
      <c r="D879" t="inlineStr">
        <is>
          <t>DALARNAS LÄN</t>
        </is>
      </c>
      <c r="E879" t="inlineStr">
        <is>
          <t>MORA</t>
        </is>
      </c>
      <c r="G879" t="n">
        <v>6.6</v>
      </c>
      <c r="H879" t="n">
        <v>0</v>
      </c>
      <c r="I879" t="n">
        <v>0</v>
      </c>
      <c r="J879" t="n">
        <v>0</v>
      </c>
      <c r="K879" t="n">
        <v>0</v>
      </c>
      <c r="L879" t="n">
        <v>0</v>
      </c>
      <c r="M879" t="n">
        <v>0</v>
      </c>
      <c r="N879" t="n">
        <v>0</v>
      </c>
      <c r="O879" t="n">
        <v>0</v>
      </c>
      <c r="P879" t="n">
        <v>0</v>
      </c>
      <c r="Q879" t="n">
        <v>0</v>
      </c>
      <c r="R879" s="2" t="inlineStr"/>
    </row>
    <row r="880" ht="15" customHeight="1">
      <c r="A880" t="inlineStr">
        <is>
          <t>A 18992-2024</t>
        </is>
      </c>
      <c r="B880" s="1" t="n">
        <v>45427</v>
      </c>
      <c r="C880" s="1" t="n">
        <v>45837</v>
      </c>
      <c r="D880" t="inlineStr">
        <is>
          <t>DALARNAS LÄN</t>
        </is>
      </c>
      <c r="E880" t="inlineStr">
        <is>
          <t>MORA</t>
        </is>
      </c>
      <c r="G880" t="n">
        <v>9.9</v>
      </c>
      <c r="H880" t="n">
        <v>0</v>
      </c>
      <c r="I880" t="n">
        <v>0</v>
      </c>
      <c r="J880" t="n">
        <v>0</v>
      </c>
      <c r="K880" t="n">
        <v>0</v>
      </c>
      <c r="L880" t="n">
        <v>0</v>
      </c>
      <c r="M880" t="n">
        <v>0</v>
      </c>
      <c r="N880" t="n">
        <v>0</v>
      </c>
      <c r="O880" t="n">
        <v>0</v>
      </c>
      <c r="P880" t="n">
        <v>0</v>
      </c>
      <c r="Q880" t="n">
        <v>0</v>
      </c>
      <c r="R880" s="2" t="inlineStr"/>
    </row>
    <row r="881" ht="15" customHeight="1">
      <c r="A881" t="inlineStr">
        <is>
          <t>A 19686-2024</t>
        </is>
      </c>
      <c r="B881" s="1" t="n">
        <v>45432</v>
      </c>
      <c r="C881" s="1" t="n">
        <v>45837</v>
      </c>
      <c r="D881" t="inlineStr">
        <is>
          <t>DALARNAS LÄN</t>
        </is>
      </c>
      <c r="E881" t="inlineStr">
        <is>
          <t>MORA</t>
        </is>
      </c>
      <c r="G881" t="n">
        <v>5.6</v>
      </c>
      <c r="H881" t="n">
        <v>0</v>
      </c>
      <c r="I881" t="n">
        <v>0</v>
      </c>
      <c r="J881" t="n">
        <v>0</v>
      </c>
      <c r="K881" t="n">
        <v>0</v>
      </c>
      <c r="L881" t="n">
        <v>0</v>
      </c>
      <c r="M881" t="n">
        <v>0</v>
      </c>
      <c r="N881" t="n">
        <v>0</v>
      </c>
      <c r="O881" t="n">
        <v>0</v>
      </c>
      <c r="P881" t="n">
        <v>0</v>
      </c>
      <c r="Q881" t="n">
        <v>0</v>
      </c>
      <c r="R881" s="2" t="inlineStr"/>
    </row>
    <row r="882" ht="15" customHeight="1">
      <c r="A882" t="inlineStr">
        <is>
          <t>A 19910-2024</t>
        </is>
      </c>
      <c r="B882" s="1" t="n">
        <v>45433</v>
      </c>
      <c r="C882" s="1" t="n">
        <v>45837</v>
      </c>
      <c r="D882" t="inlineStr">
        <is>
          <t>DALARNAS LÄN</t>
        </is>
      </c>
      <c r="E882" t="inlineStr">
        <is>
          <t>MORA</t>
        </is>
      </c>
      <c r="G882" t="n">
        <v>0.9</v>
      </c>
      <c r="H882" t="n">
        <v>0</v>
      </c>
      <c r="I882" t="n">
        <v>0</v>
      </c>
      <c r="J882" t="n">
        <v>0</v>
      </c>
      <c r="K882" t="n">
        <v>0</v>
      </c>
      <c r="L882" t="n">
        <v>0</v>
      </c>
      <c r="M882" t="n">
        <v>0</v>
      </c>
      <c r="N882" t="n">
        <v>0</v>
      </c>
      <c r="O882" t="n">
        <v>0</v>
      </c>
      <c r="P882" t="n">
        <v>0</v>
      </c>
      <c r="Q882" t="n">
        <v>0</v>
      </c>
      <c r="R882" s="2" t="inlineStr"/>
    </row>
    <row r="883" ht="15" customHeight="1">
      <c r="A883" t="inlineStr">
        <is>
          <t>A 20036-2024</t>
        </is>
      </c>
      <c r="B883" s="1" t="n">
        <v>45434</v>
      </c>
      <c r="C883" s="1" t="n">
        <v>45837</v>
      </c>
      <c r="D883" t="inlineStr">
        <is>
          <t>DALARNAS LÄN</t>
        </is>
      </c>
      <c r="E883" t="inlineStr">
        <is>
          <t>MORA</t>
        </is>
      </c>
      <c r="G883" t="n">
        <v>1</v>
      </c>
      <c r="H883" t="n">
        <v>0</v>
      </c>
      <c r="I883" t="n">
        <v>0</v>
      </c>
      <c r="J883" t="n">
        <v>0</v>
      </c>
      <c r="K883" t="n">
        <v>0</v>
      </c>
      <c r="L883" t="n">
        <v>0</v>
      </c>
      <c r="M883" t="n">
        <v>0</v>
      </c>
      <c r="N883" t="n">
        <v>0</v>
      </c>
      <c r="O883" t="n">
        <v>0</v>
      </c>
      <c r="P883" t="n">
        <v>0</v>
      </c>
      <c r="Q883" t="n">
        <v>0</v>
      </c>
      <c r="R883" s="2" t="inlineStr"/>
    </row>
    <row r="884" ht="15" customHeight="1">
      <c r="A884" t="inlineStr">
        <is>
          <t>A 20674-2024</t>
        </is>
      </c>
      <c r="B884" s="1" t="n">
        <v>45436</v>
      </c>
      <c r="C884" s="1" t="n">
        <v>45837</v>
      </c>
      <c r="D884" t="inlineStr">
        <is>
          <t>DALARNAS LÄN</t>
        </is>
      </c>
      <c r="E884" t="inlineStr">
        <is>
          <t>MORA</t>
        </is>
      </c>
      <c r="G884" t="n">
        <v>16</v>
      </c>
      <c r="H884" t="n">
        <v>0</v>
      </c>
      <c r="I884" t="n">
        <v>0</v>
      </c>
      <c r="J884" t="n">
        <v>0</v>
      </c>
      <c r="K884" t="n">
        <v>0</v>
      </c>
      <c r="L884" t="n">
        <v>0</v>
      </c>
      <c r="M884" t="n">
        <v>0</v>
      </c>
      <c r="N884" t="n">
        <v>0</v>
      </c>
      <c r="O884" t="n">
        <v>0</v>
      </c>
      <c r="P884" t="n">
        <v>0</v>
      </c>
      <c r="Q884" t="n">
        <v>0</v>
      </c>
      <c r="R884" s="2" t="inlineStr"/>
    </row>
    <row r="885" ht="15" customHeight="1">
      <c r="A885" t="inlineStr">
        <is>
          <t>A 20889-2024</t>
        </is>
      </c>
      <c r="B885" s="1" t="n">
        <v>45439</v>
      </c>
      <c r="C885" s="1" t="n">
        <v>45837</v>
      </c>
      <c r="D885" t="inlineStr">
        <is>
          <t>DALARNAS LÄN</t>
        </is>
      </c>
      <c r="E885" t="inlineStr">
        <is>
          <t>MORA</t>
        </is>
      </c>
      <c r="G885" t="n">
        <v>3.8</v>
      </c>
      <c r="H885" t="n">
        <v>0</v>
      </c>
      <c r="I885" t="n">
        <v>0</v>
      </c>
      <c r="J885" t="n">
        <v>0</v>
      </c>
      <c r="K885" t="n">
        <v>0</v>
      </c>
      <c r="L885" t="n">
        <v>0</v>
      </c>
      <c r="M885" t="n">
        <v>0</v>
      </c>
      <c r="N885" t="n">
        <v>0</v>
      </c>
      <c r="O885" t="n">
        <v>0</v>
      </c>
      <c r="P885" t="n">
        <v>0</v>
      </c>
      <c r="Q885" t="n">
        <v>0</v>
      </c>
      <c r="R885" s="2" t="inlineStr"/>
    </row>
    <row r="886" ht="15" customHeight="1">
      <c r="A886" t="inlineStr">
        <is>
          <t>A 21049-2024</t>
        </is>
      </c>
      <c r="B886" s="1" t="n">
        <v>45439</v>
      </c>
      <c r="C886" s="1" t="n">
        <v>45837</v>
      </c>
      <c r="D886" t="inlineStr">
        <is>
          <t>DALARNAS LÄN</t>
        </is>
      </c>
      <c r="E886" t="inlineStr">
        <is>
          <t>MORA</t>
        </is>
      </c>
      <c r="G886" t="n">
        <v>11</v>
      </c>
      <c r="H886" t="n">
        <v>0</v>
      </c>
      <c r="I886" t="n">
        <v>0</v>
      </c>
      <c r="J886" t="n">
        <v>0</v>
      </c>
      <c r="K886" t="n">
        <v>0</v>
      </c>
      <c r="L886" t="n">
        <v>0</v>
      </c>
      <c r="M886" t="n">
        <v>0</v>
      </c>
      <c r="N886" t="n">
        <v>0</v>
      </c>
      <c r="O886" t="n">
        <v>0</v>
      </c>
      <c r="P886" t="n">
        <v>0</v>
      </c>
      <c r="Q886" t="n">
        <v>0</v>
      </c>
      <c r="R886" s="2" t="inlineStr"/>
    </row>
    <row r="887" ht="15" customHeight="1">
      <c r="A887" t="inlineStr">
        <is>
          <t>A 20885-2024</t>
        </is>
      </c>
      <c r="B887" s="1" t="n">
        <v>45439</v>
      </c>
      <c r="C887" s="1" t="n">
        <v>45837</v>
      </c>
      <c r="D887" t="inlineStr">
        <is>
          <t>DALARNAS LÄN</t>
        </is>
      </c>
      <c r="E887" t="inlineStr">
        <is>
          <t>MORA</t>
        </is>
      </c>
      <c r="G887" t="n">
        <v>5</v>
      </c>
      <c r="H887" t="n">
        <v>0</v>
      </c>
      <c r="I887" t="n">
        <v>0</v>
      </c>
      <c r="J887" t="n">
        <v>0</v>
      </c>
      <c r="K887" t="n">
        <v>0</v>
      </c>
      <c r="L887" t="n">
        <v>0</v>
      </c>
      <c r="M887" t="n">
        <v>0</v>
      </c>
      <c r="N887" t="n">
        <v>0</v>
      </c>
      <c r="O887" t="n">
        <v>0</v>
      </c>
      <c r="P887" t="n">
        <v>0</v>
      </c>
      <c r="Q887" t="n">
        <v>0</v>
      </c>
      <c r="R887" s="2" t="inlineStr"/>
    </row>
    <row r="888" ht="15" customHeight="1">
      <c r="A888" t="inlineStr">
        <is>
          <t>A 20986-2024</t>
        </is>
      </c>
      <c r="B888" s="1" t="n">
        <v>45439</v>
      </c>
      <c r="C888" s="1" t="n">
        <v>45837</v>
      </c>
      <c r="D888" t="inlineStr">
        <is>
          <t>DALARNAS LÄN</t>
        </is>
      </c>
      <c r="E888" t="inlineStr">
        <is>
          <t>MORA</t>
        </is>
      </c>
      <c r="F888" t="inlineStr">
        <is>
          <t>Bergvik skog öst AB</t>
        </is>
      </c>
      <c r="G888" t="n">
        <v>18.7</v>
      </c>
      <c r="H888" t="n">
        <v>0</v>
      </c>
      <c r="I888" t="n">
        <v>0</v>
      </c>
      <c r="J888" t="n">
        <v>0</v>
      </c>
      <c r="K888" t="n">
        <v>0</v>
      </c>
      <c r="L888" t="n">
        <v>0</v>
      </c>
      <c r="M888" t="n">
        <v>0</v>
      </c>
      <c r="N888" t="n">
        <v>0</v>
      </c>
      <c r="O888" t="n">
        <v>0</v>
      </c>
      <c r="P888" t="n">
        <v>0</v>
      </c>
      <c r="Q888" t="n">
        <v>0</v>
      </c>
      <c r="R888" s="2" t="inlineStr"/>
    </row>
    <row r="889" ht="15" customHeight="1">
      <c r="A889" t="inlineStr">
        <is>
          <t>A 20989-2024</t>
        </is>
      </c>
      <c r="B889" s="1" t="n">
        <v>45439</v>
      </c>
      <c r="C889" s="1" t="n">
        <v>45837</v>
      </c>
      <c r="D889" t="inlineStr">
        <is>
          <t>DALARNAS LÄN</t>
        </is>
      </c>
      <c r="E889" t="inlineStr">
        <is>
          <t>MORA</t>
        </is>
      </c>
      <c r="F889" t="inlineStr">
        <is>
          <t>Bergvik skog öst AB</t>
        </is>
      </c>
      <c r="G889" t="n">
        <v>14.7</v>
      </c>
      <c r="H889" t="n">
        <v>0</v>
      </c>
      <c r="I889" t="n">
        <v>0</v>
      </c>
      <c r="J889" t="n">
        <v>0</v>
      </c>
      <c r="K889" t="n">
        <v>0</v>
      </c>
      <c r="L889" t="n">
        <v>0</v>
      </c>
      <c r="M889" t="n">
        <v>0</v>
      </c>
      <c r="N889" t="n">
        <v>0</v>
      </c>
      <c r="O889" t="n">
        <v>0</v>
      </c>
      <c r="P889" t="n">
        <v>0</v>
      </c>
      <c r="Q889" t="n">
        <v>0</v>
      </c>
      <c r="R889" s="2" t="inlineStr"/>
    </row>
    <row r="890" ht="15" customHeight="1">
      <c r="A890" t="inlineStr">
        <is>
          <t>A 20930-2024</t>
        </is>
      </c>
      <c r="B890" s="1" t="n">
        <v>45439</v>
      </c>
      <c r="C890" s="1" t="n">
        <v>45837</v>
      </c>
      <c r="D890" t="inlineStr">
        <is>
          <t>DALARNAS LÄN</t>
        </is>
      </c>
      <c r="E890" t="inlineStr">
        <is>
          <t>MORA</t>
        </is>
      </c>
      <c r="F890" t="inlineStr">
        <is>
          <t>Bergvik skog väst AB</t>
        </is>
      </c>
      <c r="G890" t="n">
        <v>5.3</v>
      </c>
      <c r="H890" t="n">
        <v>0</v>
      </c>
      <c r="I890" t="n">
        <v>0</v>
      </c>
      <c r="J890" t="n">
        <v>0</v>
      </c>
      <c r="K890" t="n">
        <v>0</v>
      </c>
      <c r="L890" t="n">
        <v>0</v>
      </c>
      <c r="M890" t="n">
        <v>0</v>
      </c>
      <c r="N890" t="n">
        <v>0</v>
      </c>
      <c r="O890" t="n">
        <v>0</v>
      </c>
      <c r="P890" t="n">
        <v>0</v>
      </c>
      <c r="Q890" t="n">
        <v>0</v>
      </c>
      <c r="R890" s="2" t="inlineStr"/>
    </row>
    <row r="891" ht="15" customHeight="1">
      <c r="A891" t="inlineStr">
        <is>
          <t>A 21221-2024</t>
        </is>
      </c>
      <c r="B891" s="1" t="n">
        <v>45440</v>
      </c>
      <c r="C891" s="1" t="n">
        <v>45837</v>
      </c>
      <c r="D891" t="inlineStr">
        <is>
          <t>DALARNAS LÄN</t>
        </is>
      </c>
      <c r="E891" t="inlineStr">
        <is>
          <t>MORA</t>
        </is>
      </c>
      <c r="G891" t="n">
        <v>6.7</v>
      </c>
      <c r="H891" t="n">
        <v>0</v>
      </c>
      <c r="I891" t="n">
        <v>0</v>
      </c>
      <c r="J891" t="n">
        <v>0</v>
      </c>
      <c r="K891" t="n">
        <v>0</v>
      </c>
      <c r="L891" t="n">
        <v>0</v>
      </c>
      <c r="M891" t="n">
        <v>0</v>
      </c>
      <c r="N891" t="n">
        <v>0</v>
      </c>
      <c r="O891" t="n">
        <v>0</v>
      </c>
      <c r="P891" t="n">
        <v>0</v>
      </c>
      <c r="Q891" t="n">
        <v>0</v>
      </c>
      <c r="R891" s="2" t="inlineStr"/>
    </row>
    <row r="892" ht="15" customHeight="1">
      <c r="A892" t="inlineStr">
        <is>
          <t>A 21244-2024</t>
        </is>
      </c>
      <c r="B892" s="1" t="n">
        <v>45440</v>
      </c>
      <c r="C892" s="1" t="n">
        <v>45837</v>
      </c>
      <c r="D892" t="inlineStr">
        <is>
          <t>DALARNAS LÄN</t>
        </is>
      </c>
      <c r="E892" t="inlineStr">
        <is>
          <t>MORA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21256-2024</t>
        </is>
      </c>
      <c r="B893" s="1" t="n">
        <v>45440</v>
      </c>
      <c r="C893" s="1" t="n">
        <v>45837</v>
      </c>
      <c r="D893" t="inlineStr">
        <is>
          <t>DALARNAS LÄN</t>
        </is>
      </c>
      <c r="E893" t="inlineStr">
        <is>
          <t>MORA</t>
        </is>
      </c>
      <c r="G893" t="n">
        <v>3</v>
      </c>
      <c r="H893" t="n">
        <v>0</v>
      </c>
      <c r="I893" t="n">
        <v>0</v>
      </c>
      <c r="J893" t="n">
        <v>0</v>
      </c>
      <c r="K893" t="n">
        <v>0</v>
      </c>
      <c r="L893" t="n">
        <v>0</v>
      </c>
      <c r="M893" t="n">
        <v>0</v>
      </c>
      <c r="N893" t="n">
        <v>0</v>
      </c>
      <c r="O893" t="n">
        <v>0</v>
      </c>
      <c r="P893" t="n">
        <v>0</v>
      </c>
      <c r="Q893" t="n">
        <v>0</v>
      </c>
      <c r="R893" s="2" t="inlineStr"/>
    </row>
    <row r="894" ht="15" customHeight="1">
      <c r="A894" t="inlineStr">
        <is>
          <t>A 21650-2024</t>
        </is>
      </c>
      <c r="B894" s="1" t="n">
        <v>45442</v>
      </c>
      <c r="C894" s="1" t="n">
        <v>45837</v>
      </c>
      <c r="D894" t="inlineStr">
        <is>
          <t>DALARNAS LÄN</t>
        </is>
      </c>
      <c r="E894" t="inlineStr">
        <is>
          <t>MORA</t>
        </is>
      </c>
      <c r="G894" t="n">
        <v>3.8</v>
      </c>
      <c r="H894" t="n">
        <v>0</v>
      </c>
      <c r="I894" t="n">
        <v>0</v>
      </c>
      <c r="J894" t="n">
        <v>0</v>
      </c>
      <c r="K894" t="n">
        <v>0</v>
      </c>
      <c r="L894" t="n">
        <v>0</v>
      </c>
      <c r="M894" t="n">
        <v>0</v>
      </c>
      <c r="N894" t="n">
        <v>0</v>
      </c>
      <c r="O894" t="n">
        <v>0</v>
      </c>
      <c r="P894" t="n">
        <v>0</v>
      </c>
      <c r="Q894" t="n">
        <v>0</v>
      </c>
      <c r="R894" s="2" t="inlineStr"/>
    </row>
    <row r="895" ht="15" customHeight="1">
      <c r="A895" t="inlineStr">
        <is>
          <t>A 21635-2024</t>
        </is>
      </c>
      <c r="B895" s="1" t="n">
        <v>45442</v>
      </c>
      <c r="C895" s="1" t="n">
        <v>45837</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21660-2024</t>
        </is>
      </c>
      <c r="B896" s="1" t="n">
        <v>45442</v>
      </c>
      <c r="C896" s="1" t="n">
        <v>45837</v>
      </c>
      <c r="D896" t="inlineStr">
        <is>
          <t>DALARNAS LÄN</t>
        </is>
      </c>
      <c r="E896" t="inlineStr">
        <is>
          <t>MORA</t>
        </is>
      </c>
      <c r="G896" t="n">
        <v>2</v>
      </c>
      <c r="H896" t="n">
        <v>0</v>
      </c>
      <c r="I896" t="n">
        <v>0</v>
      </c>
      <c r="J896" t="n">
        <v>0</v>
      </c>
      <c r="K896" t="n">
        <v>0</v>
      </c>
      <c r="L896" t="n">
        <v>0</v>
      </c>
      <c r="M896" t="n">
        <v>0</v>
      </c>
      <c r="N896" t="n">
        <v>0</v>
      </c>
      <c r="O896" t="n">
        <v>0</v>
      </c>
      <c r="P896" t="n">
        <v>0</v>
      </c>
      <c r="Q896" t="n">
        <v>0</v>
      </c>
      <c r="R896" s="2" t="inlineStr"/>
    </row>
    <row r="897" ht="15" customHeight="1">
      <c r="A897" t="inlineStr">
        <is>
          <t>A 21886-2024</t>
        </is>
      </c>
      <c r="B897" s="1" t="n">
        <v>45443</v>
      </c>
      <c r="C897" s="1" t="n">
        <v>45837</v>
      </c>
      <c r="D897" t="inlineStr">
        <is>
          <t>DALARNAS LÄN</t>
        </is>
      </c>
      <c r="E897" t="inlineStr">
        <is>
          <t>MORA</t>
        </is>
      </c>
      <c r="F897" t="inlineStr">
        <is>
          <t>Bergvik skog öst AB</t>
        </is>
      </c>
      <c r="G897" t="n">
        <v>4.5</v>
      </c>
      <c r="H897" t="n">
        <v>0</v>
      </c>
      <c r="I897" t="n">
        <v>0</v>
      </c>
      <c r="J897" t="n">
        <v>0</v>
      </c>
      <c r="K897" t="n">
        <v>0</v>
      </c>
      <c r="L897" t="n">
        <v>0</v>
      </c>
      <c r="M897" t="n">
        <v>0</v>
      </c>
      <c r="N897" t="n">
        <v>0</v>
      </c>
      <c r="O897" t="n">
        <v>0</v>
      </c>
      <c r="P897" t="n">
        <v>0</v>
      </c>
      <c r="Q897" t="n">
        <v>0</v>
      </c>
      <c r="R897" s="2" t="inlineStr"/>
    </row>
    <row r="898" ht="15" customHeight="1">
      <c r="A898" t="inlineStr">
        <is>
          <t>A 22390-2024</t>
        </is>
      </c>
      <c r="B898" s="1" t="n">
        <v>45446</v>
      </c>
      <c r="C898" s="1" t="n">
        <v>45837</v>
      </c>
      <c r="D898" t="inlineStr">
        <is>
          <t>DALARNAS LÄN</t>
        </is>
      </c>
      <c r="E898" t="inlineStr">
        <is>
          <t>MORA</t>
        </is>
      </c>
      <c r="G898" t="n">
        <v>0.6</v>
      </c>
      <c r="H898" t="n">
        <v>0</v>
      </c>
      <c r="I898" t="n">
        <v>0</v>
      </c>
      <c r="J898" t="n">
        <v>0</v>
      </c>
      <c r="K898" t="n">
        <v>0</v>
      </c>
      <c r="L898" t="n">
        <v>0</v>
      </c>
      <c r="M898" t="n">
        <v>0</v>
      </c>
      <c r="N898" t="n">
        <v>0</v>
      </c>
      <c r="O898" t="n">
        <v>0</v>
      </c>
      <c r="P898" t="n">
        <v>0</v>
      </c>
      <c r="Q898" t="n">
        <v>0</v>
      </c>
      <c r="R898" s="2" t="inlineStr"/>
    </row>
    <row r="899" ht="15" customHeight="1">
      <c r="A899" t="inlineStr">
        <is>
          <t>A 22598-2024</t>
        </is>
      </c>
      <c r="B899" s="1" t="n">
        <v>45447</v>
      </c>
      <c r="C899" s="1" t="n">
        <v>45837</v>
      </c>
      <c r="D899" t="inlineStr">
        <is>
          <t>DALARNAS LÄN</t>
        </is>
      </c>
      <c r="E899" t="inlineStr">
        <is>
          <t>MORA</t>
        </is>
      </c>
      <c r="G899" t="n">
        <v>7.2</v>
      </c>
      <c r="H899" t="n">
        <v>0</v>
      </c>
      <c r="I899" t="n">
        <v>0</v>
      </c>
      <c r="J899" t="n">
        <v>0</v>
      </c>
      <c r="K899" t="n">
        <v>0</v>
      </c>
      <c r="L899" t="n">
        <v>0</v>
      </c>
      <c r="M899" t="n">
        <v>0</v>
      </c>
      <c r="N899" t="n">
        <v>0</v>
      </c>
      <c r="O899" t="n">
        <v>0</v>
      </c>
      <c r="P899" t="n">
        <v>0</v>
      </c>
      <c r="Q899" t="n">
        <v>0</v>
      </c>
      <c r="R899" s="2" t="inlineStr"/>
    </row>
    <row r="900" ht="15" customHeight="1">
      <c r="A900" t="inlineStr">
        <is>
          <t>A 25515-2024</t>
        </is>
      </c>
      <c r="B900" s="1" t="n">
        <v>45448</v>
      </c>
      <c r="C900" s="1" t="n">
        <v>45837</v>
      </c>
      <c r="D900" t="inlineStr">
        <is>
          <t>DALARNAS LÄN</t>
        </is>
      </c>
      <c r="E900" t="inlineStr">
        <is>
          <t>MORA</t>
        </is>
      </c>
      <c r="G900" t="n">
        <v>24.5</v>
      </c>
      <c r="H900" t="n">
        <v>0</v>
      </c>
      <c r="I900" t="n">
        <v>0</v>
      </c>
      <c r="J900" t="n">
        <v>0</v>
      </c>
      <c r="K900" t="n">
        <v>0</v>
      </c>
      <c r="L900" t="n">
        <v>0</v>
      </c>
      <c r="M900" t="n">
        <v>0</v>
      </c>
      <c r="N900" t="n">
        <v>0</v>
      </c>
      <c r="O900" t="n">
        <v>0</v>
      </c>
      <c r="P900" t="n">
        <v>0</v>
      </c>
      <c r="Q900" t="n">
        <v>0</v>
      </c>
      <c r="R900" s="2" t="inlineStr"/>
    </row>
    <row r="901" ht="15" customHeight="1">
      <c r="A901" t="inlineStr">
        <is>
          <t>A 22732-2024</t>
        </is>
      </c>
      <c r="B901" s="1" t="n">
        <v>45448</v>
      </c>
      <c r="C901" s="1" t="n">
        <v>45837</v>
      </c>
      <c r="D901" t="inlineStr">
        <is>
          <t>DALARNAS LÄN</t>
        </is>
      </c>
      <c r="E901" t="inlineStr">
        <is>
          <t>MORA</t>
        </is>
      </c>
      <c r="G901" t="n">
        <v>3.6</v>
      </c>
      <c r="H901" t="n">
        <v>0</v>
      </c>
      <c r="I901" t="n">
        <v>0</v>
      </c>
      <c r="J901" t="n">
        <v>0</v>
      </c>
      <c r="K901" t="n">
        <v>0</v>
      </c>
      <c r="L901" t="n">
        <v>0</v>
      </c>
      <c r="M901" t="n">
        <v>0</v>
      </c>
      <c r="N901" t="n">
        <v>0</v>
      </c>
      <c r="O901" t="n">
        <v>0</v>
      </c>
      <c r="P901" t="n">
        <v>0</v>
      </c>
      <c r="Q901" t="n">
        <v>0</v>
      </c>
      <c r="R901" s="2" t="inlineStr"/>
    </row>
    <row r="902" ht="15" customHeight="1">
      <c r="A902" t="inlineStr">
        <is>
          <t>A 22737-2024</t>
        </is>
      </c>
      <c r="B902" s="1" t="n">
        <v>45448</v>
      </c>
      <c r="C902" s="1" t="n">
        <v>45837</v>
      </c>
      <c r="D902" t="inlineStr">
        <is>
          <t>DALARNAS LÄN</t>
        </is>
      </c>
      <c r="E902" t="inlineStr">
        <is>
          <t>MORA</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23057-2024</t>
        </is>
      </c>
      <c r="B903" s="1" t="n">
        <v>45450</v>
      </c>
      <c r="C903" s="1" t="n">
        <v>45837</v>
      </c>
      <c r="D903" t="inlineStr">
        <is>
          <t>DALARNAS LÄN</t>
        </is>
      </c>
      <c r="E903" t="inlineStr">
        <is>
          <t>MORA</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23311-2024</t>
        </is>
      </c>
      <c r="B904" s="1" t="n">
        <v>45453</v>
      </c>
      <c r="C904" s="1" t="n">
        <v>45837</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23364-2024</t>
        </is>
      </c>
      <c r="B905" s="1" t="n">
        <v>45453</v>
      </c>
      <c r="C905" s="1" t="n">
        <v>45837</v>
      </c>
      <c r="D905" t="inlineStr">
        <is>
          <t>DALARNAS LÄN</t>
        </is>
      </c>
      <c r="E905" t="inlineStr">
        <is>
          <t>MORA</t>
        </is>
      </c>
      <c r="G905" t="n">
        <v>4.8</v>
      </c>
      <c r="H905" t="n">
        <v>0</v>
      </c>
      <c r="I905" t="n">
        <v>0</v>
      </c>
      <c r="J905" t="n">
        <v>0</v>
      </c>
      <c r="K905" t="n">
        <v>0</v>
      </c>
      <c r="L905" t="n">
        <v>0</v>
      </c>
      <c r="M905" t="n">
        <v>0</v>
      </c>
      <c r="N905" t="n">
        <v>0</v>
      </c>
      <c r="O905" t="n">
        <v>0</v>
      </c>
      <c r="P905" t="n">
        <v>0</v>
      </c>
      <c r="Q905" t="n">
        <v>0</v>
      </c>
      <c r="R905" s="2" t="inlineStr"/>
    </row>
    <row r="906" ht="15" customHeight="1">
      <c r="A906" t="inlineStr">
        <is>
          <t>A 23300-2024</t>
        </is>
      </c>
      <c r="B906" s="1" t="n">
        <v>45453</v>
      </c>
      <c r="C906" s="1" t="n">
        <v>45837</v>
      </c>
      <c r="D906" t="inlineStr">
        <is>
          <t>DALARNAS LÄN</t>
        </is>
      </c>
      <c r="E906" t="inlineStr">
        <is>
          <t>MORA</t>
        </is>
      </c>
      <c r="G906" t="n">
        <v>0.5</v>
      </c>
      <c r="H906" t="n">
        <v>0</v>
      </c>
      <c r="I906" t="n">
        <v>0</v>
      </c>
      <c r="J906" t="n">
        <v>0</v>
      </c>
      <c r="K906" t="n">
        <v>0</v>
      </c>
      <c r="L906" t="n">
        <v>0</v>
      </c>
      <c r="M906" t="n">
        <v>0</v>
      </c>
      <c r="N906" t="n">
        <v>0</v>
      </c>
      <c r="O906" t="n">
        <v>0</v>
      </c>
      <c r="P906" t="n">
        <v>0</v>
      </c>
      <c r="Q906" t="n">
        <v>0</v>
      </c>
      <c r="R906" s="2" t="inlineStr"/>
    </row>
    <row r="907" ht="15" customHeight="1">
      <c r="A907" t="inlineStr">
        <is>
          <t>A 23318-2024</t>
        </is>
      </c>
      <c r="B907" s="1" t="n">
        <v>45453</v>
      </c>
      <c r="C907" s="1" t="n">
        <v>45837</v>
      </c>
      <c r="D907" t="inlineStr">
        <is>
          <t>DALARNAS LÄN</t>
        </is>
      </c>
      <c r="E907" t="inlineStr">
        <is>
          <t>MORA</t>
        </is>
      </c>
      <c r="G907" t="n">
        <v>5.9</v>
      </c>
      <c r="H907" t="n">
        <v>0</v>
      </c>
      <c r="I907" t="n">
        <v>0</v>
      </c>
      <c r="J907" t="n">
        <v>0</v>
      </c>
      <c r="K907" t="n">
        <v>0</v>
      </c>
      <c r="L907" t="n">
        <v>0</v>
      </c>
      <c r="M907" t="n">
        <v>0</v>
      </c>
      <c r="N907" t="n">
        <v>0</v>
      </c>
      <c r="O907" t="n">
        <v>0</v>
      </c>
      <c r="P907" t="n">
        <v>0</v>
      </c>
      <c r="Q907" t="n">
        <v>0</v>
      </c>
      <c r="R907" s="2" t="inlineStr"/>
    </row>
    <row r="908" ht="15" customHeight="1">
      <c r="A908" t="inlineStr">
        <is>
          <t>A 23306-2024</t>
        </is>
      </c>
      <c r="B908" s="1" t="n">
        <v>45453</v>
      </c>
      <c r="C908" s="1" t="n">
        <v>45837</v>
      </c>
      <c r="D908" t="inlineStr">
        <is>
          <t>DALARNAS LÄN</t>
        </is>
      </c>
      <c r="E908" t="inlineStr">
        <is>
          <t>MORA</t>
        </is>
      </c>
      <c r="G908" t="n">
        <v>5.1</v>
      </c>
      <c r="H908" t="n">
        <v>0</v>
      </c>
      <c r="I908" t="n">
        <v>0</v>
      </c>
      <c r="J908" t="n">
        <v>0</v>
      </c>
      <c r="K908" t="n">
        <v>0</v>
      </c>
      <c r="L908" t="n">
        <v>0</v>
      </c>
      <c r="M908" t="n">
        <v>0</v>
      </c>
      <c r="N908" t="n">
        <v>0</v>
      </c>
      <c r="O908" t="n">
        <v>0</v>
      </c>
      <c r="P908" t="n">
        <v>0</v>
      </c>
      <c r="Q908" t="n">
        <v>0</v>
      </c>
      <c r="R908" s="2" t="inlineStr"/>
    </row>
    <row r="909" ht="15" customHeight="1">
      <c r="A909" t="inlineStr">
        <is>
          <t>A 23302-2024</t>
        </is>
      </c>
      <c r="B909" s="1" t="n">
        <v>45453</v>
      </c>
      <c r="C909" s="1" t="n">
        <v>45837</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23298-2024</t>
        </is>
      </c>
      <c r="B910" s="1" t="n">
        <v>45453</v>
      </c>
      <c r="C910" s="1" t="n">
        <v>45837</v>
      </c>
      <c r="D910" t="inlineStr">
        <is>
          <t>DALARNAS LÄN</t>
        </is>
      </c>
      <c r="E910" t="inlineStr">
        <is>
          <t>MORA</t>
        </is>
      </c>
      <c r="G910" t="n">
        <v>6.7</v>
      </c>
      <c r="H910" t="n">
        <v>0</v>
      </c>
      <c r="I910" t="n">
        <v>0</v>
      </c>
      <c r="J910" t="n">
        <v>0</v>
      </c>
      <c r="K910" t="n">
        <v>0</v>
      </c>
      <c r="L910" t="n">
        <v>0</v>
      </c>
      <c r="M910" t="n">
        <v>0</v>
      </c>
      <c r="N910" t="n">
        <v>0</v>
      </c>
      <c r="O910" t="n">
        <v>0</v>
      </c>
      <c r="P910" t="n">
        <v>0</v>
      </c>
      <c r="Q910" t="n">
        <v>0</v>
      </c>
      <c r="R910" s="2" t="inlineStr"/>
    </row>
    <row r="911" ht="15" customHeight="1">
      <c r="A911" t="inlineStr">
        <is>
          <t>A 23669-2024</t>
        </is>
      </c>
      <c r="B911" s="1" t="n">
        <v>45454</v>
      </c>
      <c r="C911" s="1" t="n">
        <v>45837</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23797-2024</t>
        </is>
      </c>
      <c r="B912" s="1" t="n">
        <v>45455</v>
      </c>
      <c r="C912" s="1" t="n">
        <v>45837</v>
      </c>
      <c r="D912" t="inlineStr">
        <is>
          <t>DALARNAS LÄN</t>
        </is>
      </c>
      <c r="E912" t="inlineStr">
        <is>
          <t>MORA</t>
        </is>
      </c>
      <c r="G912" t="n">
        <v>2.9</v>
      </c>
      <c r="H912" t="n">
        <v>0</v>
      </c>
      <c r="I912" t="n">
        <v>0</v>
      </c>
      <c r="J912" t="n">
        <v>0</v>
      </c>
      <c r="K912" t="n">
        <v>0</v>
      </c>
      <c r="L912" t="n">
        <v>0</v>
      </c>
      <c r="M912" t="n">
        <v>0</v>
      </c>
      <c r="N912" t="n">
        <v>0</v>
      </c>
      <c r="O912" t="n">
        <v>0</v>
      </c>
      <c r="P912" t="n">
        <v>0</v>
      </c>
      <c r="Q912" t="n">
        <v>0</v>
      </c>
      <c r="R912" s="2" t="inlineStr"/>
    </row>
    <row r="913" ht="15" customHeight="1">
      <c r="A913" t="inlineStr">
        <is>
          <t>A 23866-2024</t>
        </is>
      </c>
      <c r="B913" s="1" t="n">
        <v>45455</v>
      </c>
      <c r="C913" s="1" t="n">
        <v>45837</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24350-2024</t>
        </is>
      </c>
      <c r="B914" s="1" t="n">
        <v>45457</v>
      </c>
      <c r="C914" s="1" t="n">
        <v>45837</v>
      </c>
      <c r="D914" t="inlineStr">
        <is>
          <t>DALARNAS LÄN</t>
        </is>
      </c>
      <c r="E914" t="inlineStr">
        <is>
          <t>MORA</t>
        </is>
      </c>
      <c r="F914" t="inlineStr">
        <is>
          <t>Bergvik skog öst AB</t>
        </is>
      </c>
      <c r="G914" t="n">
        <v>9.6</v>
      </c>
      <c r="H914" t="n">
        <v>0</v>
      </c>
      <c r="I914" t="n">
        <v>0</v>
      </c>
      <c r="J914" t="n">
        <v>0</v>
      </c>
      <c r="K914" t="n">
        <v>0</v>
      </c>
      <c r="L914" t="n">
        <v>0</v>
      </c>
      <c r="M914" t="n">
        <v>0</v>
      </c>
      <c r="N914" t="n">
        <v>0</v>
      </c>
      <c r="O914" t="n">
        <v>0</v>
      </c>
      <c r="P914" t="n">
        <v>0</v>
      </c>
      <c r="Q914" t="n">
        <v>0</v>
      </c>
      <c r="R914" s="2" t="inlineStr"/>
    </row>
    <row r="915" ht="15" customHeight="1">
      <c r="A915" t="inlineStr">
        <is>
          <t>A 24343-2024</t>
        </is>
      </c>
      <c r="B915" s="1" t="n">
        <v>45457</v>
      </c>
      <c r="C915" s="1" t="n">
        <v>45837</v>
      </c>
      <c r="D915" t="inlineStr">
        <is>
          <t>DALARNAS LÄN</t>
        </is>
      </c>
      <c r="E915" t="inlineStr">
        <is>
          <t>MORA</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24768-2024</t>
        </is>
      </c>
      <c r="B916" s="1" t="n">
        <v>45460</v>
      </c>
      <c r="C916" s="1" t="n">
        <v>45837</v>
      </c>
      <c r="D916" t="inlineStr">
        <is>
          <t>DALARNAS LÄN</t>
        </is>
      </c>
      <c r="E916" t="inlineStr">
        <is>
          <t>MORA</t>
        </is>
      </c>
      <c r="G916" t="n">
        <v>2.4</v>
      </c>
      <c r="H916" t="n">
        <v>0</v>
      </c>
      <c r="I916" t="n">
        <v>0</v>
      </c>
      <c r="J916" t="n">
        <v>0</v>
      </c>
      <c r="K916" t="n">
        <v>0</v>
      </c>
      <c r="L916" t="n">
        <v>0</v>
      </c>
      <c r="M916" t="n">
        <v>0</v>
      </c>
      <c r="N916" t="n">
        <v>0</v>
      </c>
      <c r="O916" t="n">
        <v>0</v>
      </c>
      <c r="P916" t="n">
        <v>0</v>
      </c>
      <c r="Q916" t="n">
        <v>0</v>
      </c>
      <c r="R916" s="2" t="inlineStr"/>
    </row>
    <row r="917" ht="15" customHeight="1">
      <c r="A917" t="inlineStr">
        <is>
          <t>A 24772-2024</t>
        </is>
      </c>
      <c r="B917" s="1" t="n">
        <v>45460</v>
      </c>
      <c r="C917" s="1" t="n">
        <v>45837</v>
      </c>
      <c r="D917" t="inlineStr">
        <is>
          <t>DALARNAS LÄN</t>
        </is>
      </c>
      <c r="E917" t="inlineStr">
        <is>
          <t>MORA</t>
        </is>
      </c>
      <c r="G917" t="n">
        <v>0.9</v>
      </c>
      <c r="H917" t="n">
        <v>0</v>
      </c>
      <c r="I917" t="n">
        <v>0</v>
      </c>
      <c r="J917" t="n">
        <v>0</v>
      </c>
      <c r="K917" t="n">
        <v>0</v>
      </c>
      <c r="L917" t="n">
        <v>0</v>
      </c>
      <c r="M917" t="n">
        <v>0</v>
      </c>
      <c r="N917" t="n">
        <v>0</v>
      </c>
      <c r="O917" t="n">
        <v>0</v>
      </c>
      <c r="P917" t="n">
        <v>0</v>
      </c>
      <c r="Q917" t="n">
        <v>0</v>
      </c>
      <c r="R917" s="2" t="inlineStr"/>
    </row>
    <row r="918" ht="15" customHeight="1">
      <c r="A918" t="inlineStr">
        <is>
          <t>A 24590-2024</t>
        </is>
      </c>
      <c r="B918" s="1" t="n">
        <v>45460</v>
      </c>
      <c r="C918" s="1" t="n">
        <v>45837</v>
      </c>
      <c r="D918" t="inlineStr">
        <is>
          <t>DALARNAS LÄN</t>
        </is>
      </c>
      <c r="E918" t="inlineStr">
        <is>
          <t>MORA</t>
        </is>
      </c>
      <c r="G918" t="n">
        <v>0.6</v>
      </c>
      <c r="H918" t="n">
        <v>0</v>
      </c>
      <c r="I918" t="n">
        <v>0</v>
      </c>
      <c r="J918" t="n">
        <v>0</v>
      </c>
      <c r="K918" t="n">
        <v>0</v>
      </c>
      <c r="L918" t="n">
        <v>0</v>
      </c>
      <c r="M918" t="n">
        <v>0</v>
      </c>
      <c r="N918" t="n">
        <v>0</v>
      </c>
      <c r="O918" t="n">
        <v>0</v>
      </c>
      <c r="P918" t="n">
        <v>0</v>
      </c>
      <c r="Q918" t="n">
        <v>0</v>
      </c>
      <c r="R918" s="2" t="inlineStr"/>
    </row>
    <row r="919" ht="15" customHeight="1">
      <c r="A919" t="inlineStr">
        <is>
          <t>A 24593-2024</t>
        </is>
      </c>
      <c r="B919" s="1" t="n">
        <v>45460</v>
      </c>
      <c r="C919" s="1" t="n">
        <v>45837</v>
      </c>
      <c r="D919" t="inlineStr">
        <is>
          <t>DALARNAS LÄN</t>
        </is>
      </c>
      <c r="E919" t="inlineStr">
        <is>
          <t>MORA</t>
        </is>
      </c>
      <c r="G919" t="n">
        <v>6.6</v>
      </c>
      <c r="H919" t="n">
        <v>0</v>
      </c>
      <c r="I919" t="n">
        <v>0</v>
      </c>
      <c r="J919" t="n">
        <v>0</v>
      </c>
      <c r="K919" t="n">
        <v>0</v>
      </c>
      <c r="L919" t="n">
        <v>0</v>
      </c>
      <c r="M919" t="n">
        <v>0</v>
      </c>
      <c r="N919" t="n">
        <v>0</v>
      </c>
      <c r="O919" t="n">
        <v>0</v>
      </c>
      <c r="P919" t="n">
        <v>0</v>
      </c>
      <c r="Q919" t="n">
        <v>0</v>
      </c>
      <c r="R919" s="2" t="inlineStr"/>
    </row>
    <row r="920" ht="15" customHeight="1">
      <c r="A920" t="inlineStr">
        <is>
          <t>A 25499-2024</t>
        </is>
      </c>
      <c r="B920" s="1" t="n">
        <v>45463</v>
      </c>
      <c r="C920" s="1" t="n">
        <v>45837</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25494-2024</t>
        </is>
      </c>
      <c r="B921" s="1" t="n">
        <v>45463</v>
      </c>
      <c r="C921" s="1" t="n">
        <v>45837</v>
      </c>
      <c r="D921" t="inlineStr">
        <is>
          <t>DALARNAS LÄN</t>
        </is>
      </c>
      <c r="E921" t="inlineStr">
        <is>
          <t>MORA</t>
        </is>
      </c>
      <c r="G921" t="n">
        <v>4.9</v>
      </c>
      <c r="H921" t="n">
        <v>0</v>
      </c>
      <c r="I921" t="n">
        <v>0</v>
      </c>
      <c r="J921" t="n">
        <v>0</v>
      </c>
      <c r="K921" t="n">
        <v>0</v>
      </c>
      <c r="L921" t="n">
        <v>0</v>
      </c>
      <c r="M921" t="n">
        <v>0</v>
      </c>
      <c r="N921" t="n">
        <v>0</v>
      </c>
      <c r="O921" t="n">
        <v>0</v>
      </c>
      <c r="P921" t="n">
        <v>0</v>
      </c>
      <c r="Q921" t="n">
        <v>0</v>
      </c>
      <c r="R921" s="2" t="inlineStr"/>
    </row>
    <row r="922" ht="15" customHeight="1">
      <c r="A922" t="inlineStr">
        <is>
          <t>A 25426-2024</t>
        </is>
      </c>
      <c r="B922" s="1" t="n">
        <v>45463</v>
      </c>
      <c r="C922" s="1" t="n">
        <v>45837</v>
      </c>
      <c r="D922" t="inlineStr">
        <is>
          <t>DALARNAS LÄN</t>
        </is>
      </c>
      <c r="E922" t="inlineStr">
        <is>
          <t>MORA</t>
        </is>
      </c>
      <c r="G922" t="n">
        <v>14.1</v>
      </c>
      <c r="H922" t="n">
        <v>0</v>
      </c>
      <c r="I922" t="n">
        <v>0</v>
      </c>
      <c r="J922" t="n">
        <v>0</v>
      </c>
      <c r="K922" t="n">
        <v>0</v>
      </c>
      <c r="L922" t="n">
        <v>0</v>
      </c>
      <c r="M922" t="n">
        <v>0</v>
      </c>
      <c r="N922" t="n">
        <v>0</v>
      </c>
      <c r="O922" t="n">
        <v>0</v>
      </c>
      <c r="P922" t="n">
        <v>0</v>
      </c>
      <c r="Q922" t="n">
        <v>0</v>
      </c>
      <c r="R922" s="2" t="inlineStr"/>
    </row>
    <row r="923" ht="15" customHeight="1">
      <c r="A923" t="inlineStr">
        <is>
          <t>A 25856-2024</t>
        </is>
      </c>
      <c r="B923" s="1" t="n">
        <v>45467</v>
      </c>
      <c r="C923" s="1" t="n">
        <v>45837</v>
      </c>
      <c r="D923" t="inlineStr">
        <is>
          <t>DALARNAS LÄN</t>
        </is>
      </c>
      <c r="E923" t="inlineStr">
        <is>
          <t>MORA</t>
        </is>
      </c>
      <c r="G923" t="n">
        <v>2.8</v>
      </c>
      <c r="H923" t="n">
        <v>0</v>
      </c>
      <c r="I923" t="n">
        <v>0</v>
      </c>
      <c r="J923" t="n">
        <v>0</v>
      </c>
      <c r="K923" t="n">
        <v>0</v>
      </c>
      <c r="L923" t="n">
        <v>0</v>
      </c>
      <c r="M923" t="n">
        <v>0</v>
      </c>
      <c r="N923" t="n">
        <v>0</v>
      </c>
      <c r="O923" t="n">
        <v>0</v>
      </c>
      <c r="P923" t="n">
        <v>0</v>
      </c>
      <c r="Q923" t="n">
        <v>0</v>
      </c>
      <c r="R923" s="2" t="inlineStr"/>
    </row>
    <row r="924" ht="15" customHeight="1">
      <c r="A924" t="inlineStr">
        <is>
          <t>A 26577-2024</t>
        </is>
      </c>
      <c r="B924" s="1" t="n">
        <v>45469</v>
      </c>
      <c r="C924" s="1" t="n">
        <v>45837</v>
      </c>
      <c r="D924" t="inlineStr">
        <is>
          <t>DALARNAS LÄN</t>
        </is>
      </c>
      <c r="E924" t="inlineStr">
        <is>
          <t>MORA</t>
        </is>
      </c>
      <c r="G924" t="n">
        <v>5.4</v>
      </c>
      <c r="H924" t="n">
        <v>0</v>
      </c>
      <c r="I924" t="n">
        <v>0</v>
      </c>
      <c r="J924" t="n">
        <v>0</v>
      </c>
      <c r="K924" t="n">
        <v>0</v>
      </c>
      <c r="L924" t="n">
        <v>0</v>
      </c>
      <c r="M924" t="n">
        <v>0</v>
      </c>
      <c r="N924" t="n">
        <v>0</v>
      </c>
      <c r="O924" t="n">
        <v>0</v>
      </c>
      <c r="P924" t="n">
        <v>0</v>
      </c>
      <c r="Q924" t="n">
        <v>0</v>
      </c>
      <c r="R924" s="2" t="inlineStr"/>
    </row>
    <row r="925" ht="15" customHeight="1">
      <c r="A925" t="inlineStr">
        <is>
          <t>A 26810-2024</t>
        </is>
      </c>
      <c r="B925" s="1" t="n">
        <v>45470</v>
      </c>
      <c r="C925" s="1" t="n">
        <v>45837</v>
      </c>
      <c r="D925" t="inlineStr">
        <is>
          <t>DALARNAS LÄN</t>
        </is>
      </c>
      <c r="E925" t="inlineStr">
        <is>
          <t>MORA</t>
        </is>
      </c>
      <c r="G925" t="n">
        <v>2.7</v>
      </c>
      <c r="H925" t="n">
        <v>0</v>
      </c>
      <c r="I925" t="n">
        <v>0</v>
      </c>
      <c r="J925" t="n">
        <v>0</v>
      </c>
      <c r="K925" t="n">
        <v>0</v>
      </c>
      <c r="L925" t="n">
        <v>0</v>
      </c>
      <c r="M925" t="n">
        <v>0</v>
      </c>
      <c r="N925" t="n">
        <v>0</v>
      </c>
      <c r="O925" t="n">
        <v>0</v>
      </c>
      <c r="P925" t="n">
        <v>0</v>
      </c>
      <c r="Q925" t="n">
        <v>0</v>
      </c>
      <c r="R925" s="2" t="inlineStr"/>
    </row>
    <row r="926" ht="15" customHeight="1">
      <c r="A926" t="inlineStr">
        <is>
          <t>A 26724-2024</t>
        </is>
      </c>
      <c r="B926" s="1" t="n">
        <v>45470</v>
      </c>
      <c r="C926" s="1" t="n">
        <v>45837</v>
      </c>
      <c r="D926" t="inlineStr">
        <is>
          <t>DALARNAS LÄN</t>
        </is>
      </c>
      <c r="E926" t="inlineStr">
        <is>
          <t>MORA</t>
        </is>
      </c>
      <c r="G926" t="n">
        <v>5.1</v>
      </c>
      <c r="H926" t="n">
        <v>0</v>
      </c>
      <c r="I926" t="n">
        <v>0</v>
      </c>
      <c r="J926" t="n">
        <v>0</v>
      </c>
      <c r="K926" t="n">
        <v>0</v>
      </c>
      <c r="L926" t="n">
        <v>0</v>
      </c>
      <c r="M926" t="n">
        <v>0</v>
      </c>
      <c r="N926" t="n">
        <v>0</v>
      </c>
      <c r="O926" t="n">
        <v>0</v>
      </c>
      <c r="P926" t="n">
        <v>0</v>
      </c>
      <c r="Q926" t="n">
        <v>0</v>
      </c>
      <c r="R926" s="2" t="inlineStr"/>
    </row>
    <row r="927" ht="15" customHeight="1">
      <c r="A927" t="inlineStr">
        <is>
          <t>A 26758-2024</t>
        </is>
      </c>
      <c r="B927" s="1" t="n">
        <v>45470</v>
      </c>
      <c r="C927" s="1" t="n">
        <v>45837</v>
      </c>
      <c r="D927" t="inlineStr">
        <is>
          <t>DALARNAS LÄN</t>
        </is>
      </c>
      <c r="E927" t="inlineStr">
        <is>
          <t>MORA</t>
        </is>
      </c>
      <c r="G927" t="n">
        <v>1.4</v>
      </c>
      <c r="H927" t="n">
        <v>0</v>
      </c>
      <c r="I927" t="n">
        <v>0</v>
      </c>
      <c r="J927" t="n">
        <v>0</v>
      </c>
      <c r="K927" t="n">
        <v>0</v>
      </c>
      <c r="L927" t="n">
        <v>0</v>
      </c>
      <c r="M927" t="n">
        <v>0</v>
      </c>
      <c r="N927" t="n">
        <v>0</v>
      </c>
      <c r="O927" t="n">
        <v>0</v>
      </c>
      <c r="P927" t="n">
        <v>0</v>
      </c>
      <c r="Q927" t="n">
        <v>0</v>
      </c>
      <c r="R927" s="2" t="inlineStr"/>
    </row>
    <row r="928" ht="15" customHeight="1">
      <c r="A928" t="inlineStr">
        <is>
          <t>A 26753-2024</t>
        </is>
      </c>
      <c r="B928" s="1" t="n">
        <v>45470</v>
      </c>
      <c r="C928" s="1" t="n">
        <v>45837</v>
      </c>
      <c r="D928" t="inlineStr">
        <is>
          <t>DALARNAS LÄN</t>
        </is>
      </c>
      <c r="E928" t="inlineStr">
        <is>
          <t>MORA</t>
        </is>
      </c>
      <c r="G928" t="n">
        <v>4</v>
      </c>
      <c r="H928" t="n">
        <v>0</v>
      </c>
      <c r="I928" t="n">
        <v>0</v>
      </c>
      <c r="J928" t="n">
        <v>0</v>
      </c>
      <c r="K928" t="n">
        <v>0</v>
      </c>
      <c r="L928" t="n">
        <v>0</v>
      </c>
      <c r="M928" t="n">
        <v>0</v>
      </c>
      <c r="N928" t="n">
        <v>0</v>
      </c>
      <c r="O928" t="n">
        <v>0</v>
      </c>
      <c r="P928" t="n">
        <v>0</v>
      </c>
      <c r="Q928" t="n">
        <v>0</v>
      </c>
      <c r="R928" s="2" t="inlineStr"/>
    </row>
    <row r="929" ht="15" customHeight="1">
      <c r="A929" t="inlineStr">
        <is>
          <t>A 27125-2024</t>
        </is>
      </c>
      <c r="B929" s="1" t="n">
        <v>45471</v>
      </c>
      <c r="C929" s="1" t="n">
        <v>45837</v>
      </c>
      <c r="D929" t="inlineStr">
        <is>
          <t>DALARNAS LÄN</t>
        </is>
      </c>
      <c r="E929" t="inlineStr">
        <is>
          <t>MORA</t>
        </is>
      </c>
      <c r="G929" t="n">
        <v>2.3</v>
      </c>
      <c r="H929" t="n">
        <v>0</v>
      </c>
      <c r="I929" t="n">
        <v>0</v>
      </c>
      <c r="J929" t="n">
        <v>0</v>
      </c>
      <c r="K929" t="n">
        <v>0</v>
      </c>
      <c r="L929" t="n">
        <v>0</v>
      </c>
      <c r="M929" t="n">
        <v>0</v>
      </c>
      <c r="N929" t="n">
        <v>0</v>
      </c>
      <c r="O929" t="n">
        <v>0</v>
      </c>
      <c r="P929" t="n">
        <v>0</v>
      </c>
      <c r="Q929" t="n">
        <v>0</v>
      </c>
      <c r="R929" s="2" t="inlineStr"/>
    </row>
    <row r="930" ht="15" customHeight="1">
      <c r="A930" t="inlineStr">
        <is>
          <t>A 27186-2024</t>
        </is>
      </c>
      <c r="B930" s="1" t="n">
        <v>45471</v>
      </c>
      <c r="C930" s="1" t="n">
        <v>45837</v>
      </c>
      <c r="D930" t="inlineStr">
        <is>
          <t>DALARNAS LÄN</t>
        </is>
      </c>
      <c r="E930" t="inlineStr">
        <is>
          <t>MORA</t>
        </is>
      </c>
      <c r="G930" t="n">
        <v>1.7</v>
      </c>
      <c r="H930" t="n">
        <v>0</v>
      </c>
      <c r="I930" t="n">
        <v>0</v>
      </c>
      <c r="J930" t="n">
        <v>0</v>
      </c>
      <c r="K930" t="n">
        <v>0</v>
      </c>
      <c r="L930" t="n">
        <v>0</v>
      </c>
      <c r="M930" t="n">
        <v>0</v>
      </c>
      <c r="N930" t="n">
        <v>0</v>
      </c>
      <c r="O930" t="n">
        <v>0</v>
      </c>
      <c r="P930" t="n">
        <v>0</v>
      </c>
      <c r="Q930" t="n">
        <v>0</v>
      </c>
      <c r="R930" s="2" t="inlineStr"/>
    </row>
    <row r="931" ht="15" customHeight="1">
      <c r="A931" t="inlineStr">
        <is>
          <t>A 27254-2024</t>
        </is>
      </c>
      <c r="B931" s="1" t="n">
        <v>45471</v>
      </c>
      <c r="C931" s="1" t="n">
        <v>45837</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27420-2024</t>
        </is>
      </c>
      <c r="B932" s="1" t="n">
        <v>45474</v>
      </c>
      <c r="C932" s="1" t="n">
        <v>45837</v>
      </c>
      <c r="D932" t="inlineStr">
        <is>
          <t>DALARNAS LÄN</t>
        </is>
      </c>
      <c r="E932" t="inlineStr">
        <is>
          <t>MORA</t>
        </is>
      </c>
      <c r="G932" t="n">
        <v>7.3</v>
      </c>
      <c r="H932" t="n">
        <v>0</v>
      </c>
      <c r="I932" t="n">
        <v>0</v>
      </c>
      <c r="J932" t="n">
        <v>0</v>
      </c>
      <c r="K932" t="n">
        <v>0</v>
      </c>
      <c r="L932" t="n">
        <v>0</v>
      </c>
      <c r="M932" t="n">
        <v>0</v>
      </c>
      <c r="N932" t="n">
        <v>0</v>
      </c>
      <c r="O932" t="n">
        <v>0</v>
      </c>
      <c r="P932" t="n">
        <v>0</v>
      </c>
      <c r="Q932" t="n">
        <v>0</v>
      </c>
      <c r="R932" s="2" t="inlineStr"/>
    </row>
    <row r="933" ht="15" customHeight="1">
      <c r="A933" t="inlineStr">
        <is>
          <t>A 27483-2024</t>
        </is>
      </c>
      <c r="B933" s="1" t="n">
        <v>45474</v>
      </c>
      <c r="C933" s="1" t="n">
        <v>45837</v>
      </c>
      <c r="D933" t="inlineStr">
        <is>
          <t>DALARNAS LÄN</t>
        </is>
      </c>
      <c r="E933" t="inlineStr">
        <is>
          <t>MORA</t>
        </is>
      </c>
      <c r="G933" t="n">
        <v>0.9</v>
      </c>
      <c r="H933" t="n">
        <v>0</v>
      </c>
      <c r="I933" t="n">
        <v>0</v>
      </c>
      <c r="J933" t="n">
        <v>0</v>
      </c>
      <c r="K933" t="n">
        <v>0</v>
      </c>
      <c r="L933" t="n">
        <v>0</v>
      </c>
      <c r="M933" t="n">
        <v>0</v>
      </c>
      <c r="N933" t="n">
        <v>0</v>
      </c>
      <c r="O933" t="n">
        <v>0</v>
      </c>
      <c r="P933" t="n">
        <v>0</v>
      </c>
      <c r="Q933" t="n">
        <v>0</v>
      </c>
      <c r="R933" s="2" t="inlineStr"/>
    </row>
    <row r="934" ht="15" customHeight="1">
      <c r="A934" t="inlineStr">
        <is>
          <t>A 28130-2024</t>
        </is>
      </c>
      <c r="B934" s="1" t="n">
        <v>45476</v>
      </c>
      <c r="C934" s="1" t="n">
        <v>45837</v>
      </c>
      <c r="D934" t="inlineStr">
        <is>
          <t>DALARNAS LÄN</t>
        </is>
      </c>
      <c r="E934" t="inlineStr">
        <is>
          <t>MORA</t>
        </is>
      </c>
      <c r="G934" t="n">
        <v>1.5</v>
      </c>
      <c r="H934" t="n">
        <v>0</v>
      </c>
      <c r="I934" t="n">
        <v>0</v>
      </c>
      <c r="J934" t="n">
        <v>0</v>
      </c>
      <c r="K934" t="n">
        <v>0</v>
      </c>
      <c r="L934" t="n">
        <v>0</v>
      </c>
      <c r="M934" t="n">
        <v>0</v>
      </c>
      <c r="N934" t="n">
        <v>0</v>
      </c>
      <c r="O934" t="n">
        <v>0</v>
      </c>
      <c r="P934" t="n">
        <v>0</v>
      </c>
      <c r="Q934" t="n">
        <v>0</v>
      </c>
      <c r="R934" s="2" t="inlineStr"/>
    </row>
    <row r="935" ht="15" customHeight="1">
      <c r="A935" t="inlineStr">
        <is>
          <t>A 28131-2024</t>
        </is>
      </c>
      <c r="B935" s="1" t="n">
        <v>45476</v>
      </c>
      <c r="C935" s="1" t="n">
        <v>45837</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28014-2024</t>
        </is>
      </c>
      <c r="B936" s="1" t="n">
        <v>45476</v>
      </c>
      <c r="C936" s="1" t="n">
        <v>45837</v>
      </c>
      <c r="D936" t="inlineStr">
        <is>
          <t>DALARNAS LÄN</t>
        </is>
      </c>
      <c r="E936" t="inlineStr">
        <is>
          <t>MORA</t>
        </is>
      </c>
      <c r="G936" t="n">
        <v>2.6</v>
      </c>
      <c r="H936" t="n">
        <v>0</v>
      </c>
      <c r="I936" t="n">
        <v>0</v>
      </c>
      <c r="J936" t="n">
        <v>0</v>
      </c>
      <c r="K936" t="n">
        <v>0</v>
      </c>
      <c r="L936" t="n">
        <v>0</v>
      </c>
      <c r="M936" t="n">
        <v>0</v>
      </c>
      <c r="N936" t="n">
        <v>0</v>
      </c>
      <c r="O936" t="n">
        <v>0</v>
      </c>
      <c r="P936" t="n">
        <v>0</v>
      </c>
      <c r="Q936" t="n">
        <v>0</v>
      </c>
      <c r="R936" s="2" t="inlineStr"/>
    </row>
    <row r="937" ht="15" customHeight="1">
      <c r="A937" t="inlineStr">
        <is>
          <t>A 28132-2024</t>
        </is>
      </c>
      <c r="B937" s="1" t="n">
        <v>45476</v>
      </c>
      <c r="C937" s="1" t="n">
        <v>45837</v>
      </c>
      <c r="D937" t="inlineStr">
        <is>
          <t>DALARNAS LÄN</t>
        </is>
      </c>
      <c r="E937" t="inlineStr">
        <is>
          <t>MORA</t>
        </is>
      </c>
      <c r="G937" t="n">
        <v>0.2</v>
      </c>
      <c r="H937" t="n">
        <v>0</v>
      </c>
      <c r="I937" t="n">
        <v>0</v>
      </c>
      <c r="J937" t="n">
        <v>0</v>
      </c>
      <c r="K937" t="n">
        <v>0</v>
      </c>
      <c r="L937" t="n">
        <v>0</v>
      </c>
      <c r="M937" t="n">
        <v>0</v>
      </c>
      <c r="N937" t="n">
        <v>0</v>
      </c>
      <c r="O937" t="n">
        <v>0</v>
      </c>
      <c r="P937" t="n">
        <v>0</v>
      </c>
      <c r="Q937" t="n">
        <v>0</v>
      </c>
      <c r="R937" s="2" t="inlineStr"/>
    </row>
    <row r="938" ht="15" customHeight="1">
      <c r="A938" t="inlineStr">
        <is>
          <t>A 28384-2024</t>
        </is>
      </c>
      <c r="B938" s="1" t="n">
        <v>45477</v>
      </c>
      <c r="C938" s="1" t="n">
        <v>45837</v>
      </c>
      <c r="D938" t="inlineStr">
        <is>
          <t>DALARNAS LÄN</t>
        </is>
      </c>
      <c r="E938" t="inlineStr">
        <is>
          <t>MORA</t>
        </is>
      </c>
      <c r="G938" t="n">
        <v>2.2</v>
      </c>
      <c r="H938" t="n">
        <v>0</v>
      </c>
      <c r="I938" t="n">
        <v>0</v>
      </c>
      <c r="J938" t="n">
        <v>0</v>
      </c>
      <c r="K938" t="n">
        <v>0</v>
      </c>
      <c r="L938" t="n">
        <v>0</v>
      </c>
      <c r="M938" t="n">
        <v>0</v>
      </c>
      <c r="N938" t="n">
        <v>0</v>
      </c>
      <c r="O938" t="n">
        <v>0</v>
      </c>
      <c r="P938" t="n">
        <v>0</v>
      </c>
      <c r="Q938" t="n">
        <v>0</v>
      </c>
      <c r="R938" s="2" t="inlineStr"/>
    </row>
    <row r="939" ht="15" customHeight="1">
      <c r="A939" t="inlineStr">
        <is>
          <t>A 28487-2024</t>
        </is>
      </c>
      <c r="B939" s="1" t="n">
        <v>45477</v>
      </c>
      <c r="C939" s="1" t="n">
        <v>45837</v>
      </c>
      <c r="D939" t="inlineStr">
        <is>
          <t>DALARNAS LÄN</t>
        </is>
      </c>
      <c r="E939" t="inlineStr">
        <is>
          <t>MORA</t>
        </is>
      </c>
      <c r="G939" t="n">
        <v>3.1</v>
      </c>
      <c r="H939" t="n">
        <v>0</v>
      </c>
      <c r="I939" t="n">
        <v>0</v>
      </c>
      <c r="J939" t="n">
        <v>0</v>
      </c>
      <c r="K939" t="n">
        <v>0</v>
      </c>
      <c r="L939" t="n">
        <v>0</v>
      </c>
      <c r="M939" t="n">
        <v>0</v>
      </c>
      <c r="N939" t="n">
        <v>0</v>
      </c>
      <c r="O939" t="n">
        <v>0</v>
      </c>
      <c r="P939" t="n">
        <v>0</v>
      </c>
      <c r="Q939" t="n">
        <v>0</v>
      </c>
      <c r="R939" s="2" t="inlineStr"/>
    </row>
    <row r="940" ht="15" customHeight="1">
      <c r="A940" t="inlineStr">
        <is>
          <t>A 28372-2024</t>
        </is>
      </c>
      <c r="B940" s="1" t="n">
        <v>45477</v>
      </c>
      <c r="C940" s="1" t="n">
        <v>45837</v>
      </c>
      <c r="D940" t="inlineStr">
        <is>
          <t>DALARNAS LÄN</t>
        </is>
      </c>
      <c r="E940" t="inlineStr">
        <is>
          <t>MORA</t>
        </is>
      </c>
      <c r="G940" t="n">
        <v>3.4</v>
      </c>
      <c r="H940" t="n">
        <v>0</v>
      </c>
      <c r="I940" t="n">
        <v>0</v>
      </c>
      <c r="J940" t="n">
        <v>0</v>
      </c>
      <c r="K940" t="n">
        <v>0</v>
      </c>
      <c r="L940" t="n">
        <v>0</v>
      </c>
      <c r="M940" t="n">
        <v>0</v>
      </c>
      <c r="N940" t="n">
        <v>0</v>
      </c>
      <c r="O940" t="n">
        <v>0</v>
      </c>
      <c r="P940" t="n">
        <v>0</v>
      </c>
      <c r="Q940" t="n">
        <v>0</v>
      </c>
      <c r="R940" s="2" t="inlineStr"/>
    </row>
    <row r="941" ht="15" customHeight="1">
      <c r="A941" t="inlineStr">
        <is>
          <t>A 28264-2024</t>
        </is>
      </c>
      <c r="B941" s="1" t="n">
        <v>45477</v>
      </c>
      <c r="C941" s="1" t="n">
        <v>45837</v>
      </c>
      <c r="D941" t="inlineStr">
        <is>
          <t>DALARNAS LÄN</t>
        </is>
      </c>
      <c r="E941" t="inlineStr">
        <is>
          <t>MORA</t>
        </is>
      </c>
      <c r="G941" t="n">
        <v>2.6</v>
      </c>
      <c r="H941" t="n">
        <v>0</v>
      </c>
      <c r="I941" t="n">
        <v>0</v>
      </c>
      <c r="J941" t="n">
        <v>0</v>
      </c>
      <c r="K941" t="n">
        <v>0</v>
      </c>
      <c r="L941" t="n">
        <v>0</v>
      </c>
      <c r="M941" t="n">
        <v>0</v>
      </c>
      <c r="N941" t="n">
        <v>0</v>
      </c>
      <c r="O941" t="n">
        <v>0</v>
      </c>
      <c r="P941" t="n">
        <v>0</v>
      </c>
      <c r="Q941" t="n">
        <v>0</v>
      </c>
      <c r="R941" s="2" t="inlineStr"/>
    </row>
    <row r="942" ht="15" customHeight="1">
      <c r="A942" t="inlineStr">
        <is>
          <t>A 29043-2024</t>
        </is>
      </c>
      <c r="B942" s="1" t="n">
        <v>45481</v>
      </c>
      <c r="C942" s="1" t="n">
        <v>45837</v>
      </c>
      <c r="D942" t="inlineStr">
        <is>
          <t>DALARNAS LÄN</t>
        </is>
      </c>
      <c r="E942" t="inlineStr">
        <is>
          <t>MORA</t>
        </is>
      </c>
      <c r="G942" t="n">
        <v>2.4</v>
      </c>
      <c r="H942" t="n">
        <v>0</v>
      </c>
      <c r="I942" t="n">
        <v>0</v>
      </c>
      <c r="J942" t="n">
        <v>0</v>
      </c>
      <c r="K942" t="n">
        <v>0</v>
      </c>
      <c r="L942" t="n">
        <v>0</v>
      </c>
      <c r="M942" t="n">
        <v>0</v>
      </c>
      <c r="N942" t="n">
        <v>0</v>
      </c>
      <c r="O942" t="n">
        <v>0</v>
      </c>
      <c r="P942" t="n">
        <v>0</v>
      </c>
      <c r="Q942" t="n">
        <v>0</v>
      </c>
      <c r="R942" s="2" t="inlineStr"/>
    </row>
    <row r="943" ht="15" customHeight="1">
      <c r="A943" t="inlineStr">
        <is>
          <t>A 28964-2024</t>
        </is>
      </c>
      <c r="B943" s="1" t="n">
        <v>45481</v>
      </c>
      <c r="C943" s="1" t="n">
        <v>45837</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28952-2024</t>
        </is>
      </c>
      <c r="B944" s="1" t="n">
        <v>45481</v>
      </c>
      <c r="C944" s="1" t="n">
        <v>45837</v>
      </c>
      <c r="D944" t="inlineStr">
        <is>
          <t>DALARNAS LÄN</t>
        </is>
      </c>
      <c r="E944" t="inlineStr">
        <is>
          <t>MORA</t>
        </is>
      </c>
      <c r="G944" t="n">
        <v>1.3</v>
      </c>
      <c r="H944" t="n">
        <v>0</v>
      </c>
      <c r="I944" t="n">
        <v>0</v>
      </c>
      <c r="J944" t="n">
        <v>0</v>
      </c>
      <c r="K944" t="n">
        <v>0</v>
      </c>
      <c r="L944" t="n">
        <v>0</v>
      </c>
      <c r="M944" t="n">
        <v>0</v>
      </c>
      <c r="N944" t="n">
        <v>0</v>
      </c>
      <c r="O944" t="n">
        <v>0</v>
      </c>
      <c r="P944" t="n">
        <v>0</v>
      </c>
      <c r="Q944" t="n">
        <v>0</v>
      </c>
      <c r="R944" s="2" t="inlineStr"/>
    </row>
    <row r="945" ht="15" customHeight="1">
      <c r="A945" t="inlineStr">
        <is>
          <t>A 29182-2024</t>
        </is>
      </c>
      <c r="B945" s="1" t="n">
        <v>45482</v>
      </c>
      <c r="C945" s="1" t="n">
        <v>45837</v>
      </c>
      <c r="D945" t="inlineStr">
        <is>
          <t>DALARNAS LÄN</t>
        </is>
      </c>
      <c r="E945" t="inlineStr">
        <is>
          <t>MORA</t>
        </is>
      </c>
      <c r="G945" t="n">
        <v>4.6</v>
      </c>
      <c r="H945" t="n">
        <v>0</v>
      </c>
      <c r="I945" t="n">
        <v>0</v>
      </c>
      <c r="J945" t="n">
        <v>0</v>
      </c>
      <c r="K945" t="n">
        <v>0</v>
      </c>
      <c r="L945" t="n">
        <v>0</v>
      </c>
      <c r="M945" t="n">
        <v>0</v>
      </c>
      <c r="N945" t="n">
        <v>0</v>
      </c>
      <c r="O945" t="n">
        <v>0</v>
      </c>
      <c r="P945" t="n">
        <v>0</v>
      </c>
      <c r="Q945" t="n">
        <v>0</v>
      </c>
      <c r="R945" s="2" t="inlineStr"/>
    </row>
    <row r="946" ht="15" customHeight="1">
      <c r="A946" t="inlineStr">
        <is>
          <t>A 29178-2024</t>
        </is>
      </c>
      <c r="B946" s="1" t="n">
        <v>45482</v>
      </c>
      <c r="C946" s="1" t="n">
        <v>45837</v>
      </c>
      <c r="D946" t="inlineStr">
        <is>
          <t>DALARNAS LÄN</t>
        </is>
      </c>
      <c r="E946" t="inlineStr">
        <is>
          <t>MORA</t>
        </is>
      </c>
      <c r="G946" t="n">
        <v>3.9</v>
      </c>
      <c r="H946" t="n">
        <v>0</v>
      </c>
      <c r="I946" t="n">
        <v>0</v>
      </c>
      <c r="J946" t="n">
        <v>0</v>
      </c>
      <c r="K946" t="n">
        <v>0</v>
      </c>
      <c r="L946" t="n">
        <v>0</v>
      </c>
      <c r="M946" t="n">
        <v>0</v>
      </c>
      <c r="N946" t="n">
        <v>0</v>
      </c>
      <c r="O946" t="n">
        <v>0</v>
      </c>
      <c r="P946" t="n">
        <v>0</v>
      </c>
      <c r="Q946" t="n">
        <v>0</v>
      </c>
      <c r="R946" s="2" t="inlineStr"/>
    </row>
    <row r="947" ht="15" customHeight="1">
      <c r="A947" t="inlineStr">
        <is>
          <t>A 29302-2024</t>
        </is>
      </c>
      <c r="B947" s="1" t="n">
        <v>45483</v>
      </c>
      <c r="C947" s="1" t="n">
        <v>45837</v>
      </c>
      <c r="D947" t="inlineStr">
        <is>
          <t>DALARNAS LÄN</t>
        </is>
      </c>
      <c r="E947" t="inlineStr">
        <is>
          <t>MORA</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29316-2024</t>
        </is>
      </c>
      <c r="B948" s="1" t="n">
        <v>45483</v>
      </c>
      <c r="C948" s="1" t="n">
        <v>45837</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29799-2024</t>
        </is>
      </c>
      <c r="B949" s="1" t="n">
        <v>45485</v>
      </c>
      <c r="C949" s="1" t="n">
        <v>45837</v>
      </c>
      <c r="D949" t="inlineStr">
        <is>
          <t>DALARNAS LÄN</t>
        </is>
      </c>
      <c r="E949" t="inlineStr">
        <is>
          <t>MORA</t>
        </is>
      </c>
      <c r="G949" t="n">
        <v>1.9</v>
      </c>
      <c r="H949" t="n">
        <v>0</v>
      </c>
      <c r="I949" t="n">
        <v>0</v>
      </c>
      <c r="J949" t="n">
        <v>0</v>
      </c>
      <c r="K949" t="n">
        <v>0</v>
      </c>
      <c r="L949" t="n">
        <v>0</v>
      </c>
      <c r="M949" t="n">
        <v>0</v>
      </c>
      <c r="N949" t="n">
        <v>0</v>
      </c>
      <c r="O949" t="n">
        <v>0</v>
      </c>
      <c r="P949" t="n">
        <v>0</v>
      </c>
      <c r="Q949" t="n">
        <v>0</v>
      </c>
      <c r="R949" s="2" t="inlineStr"/>
    </row>
    <row r="950" ht="15" customHeight="1">
      <c r="A950" t="inlineStr">
        <is>
          <t>A 29801-2024</t>
        </is>
      </c>
      <c r="B950" s="1" t="n">
        <v>45485</v>
      </c>
      <c r="C950" s="1" t="n">
        <v>45837</v>
      </c>
      <c r="D950" t="inlineStr">
        <is>
          <t>DALARNAS LÄN</t>
        </is>
      </c>
      <c r="E950" t="inlineStr">
        <is>
          <t>MORA</t>
        </is>
      </c>
      <c r="G950" t="n">
        <v>2</v>
      </c>
      <c r="H950" t="n">
        <v>0</v>
      </c>
      <c r="I950" t="n">
        <v>0</v>
      </c>
      <c r="J950" t="n">
        <v>0</v>
      </c>
      <c r="K950" t="n">
        <v>0</v>
      </c>
      <c r="L950" t="n">
        <v>0</v>
      </c>
      <c r="M950" t="n">
        <v>0</v>
      </c>
      <c r="N950" t="n">
        <v>0</v>
      </c>
      <c r="O950" t="n">
        <v>0</v>
      </c>
      <c r="P950" t="n">
        <v>0</v>
      </c>
      <c r="Q950" t="n">
        <v>0</v>
      </c>
      <c r="R950" s="2" t="inlineStr"/>
    </row>
    <row r="951" ht="15" customHeight="1">
      <c r="A951" t="inlineStr">
        <is>
          <t>A 29901-2024</t>
        </is>
      </c>
      <c r="B951" s="1" t="n">
        <v>45487</v>
      </c>
      <c r="C951" s="1" t="n">
        <v>45837</v>
      </c>
      <c r="D951" t="inlineStr">
        <is>
          <t>DALARNAS LÄN</t>
        </is>
      </c>
      <c r="E951" t="inlineStr">
        <is>
          <t>MORA</t>
        </is>
      </c>
      <c r="F951" t="inlineStr">
        <is>
          <t>Bergvik skog öst AB</t>
        </is>
      </c>
      <c r="G951" t="n">
        <v>1.2</v>
      </c>
      <c r="H951" t="n">
        <v>0</v>
      </c>
      <c r="I951" t="n">
        <v>0</v>
      </c>
      <c r="J951" t="n">
        <v>0</v>
      </c>
      <c r="K951" t="n">
        <v>0</v>
      </c>
      <c r="L951" t="n">
        <v>0</v>
      </c>
      <c r="M951" t="n">
        <v>0</v>
      </c>
      <c r="N951" t="n">
        <v>0</v>
      </c>
      <c r="O951" t="n">
        <v>0</v>
      </c>
      <c r="P951" t="n">
        <v>0</v>
      </c>
      <c r="Q951" t="n">
        <v>0</v>
      </c>
      <c r="R951" s="2" t="inlineStr"/>
    </row>
    <row r="952" ht="15" customHeight="1">
      <c r="A952" t="inlineStr">
        <is>
          <t>A 29896-2024</t>
        </is>
      </c>
      <c r="B952" s="1" t="n">
        <v>45487</v>
      </c>
      <c r="C952" s="1" t="n">
        <v>45837</v>
      </c>
      <c r="D952" t="inlineStr">
        <is>
          <t>DALARNAS LÄN</t>
        </is>
      </c>
      <c r="E952" t="inlineStr">
        <is>
          <t>MORA</t>
        </is>
      </c>
      <c r="G952" t="n">
        <v>7.9</v>
      </c>
      <c r="H952" t="n">
        <v>0</v>
      </c>
      <c r="I952" t="n">
        <v>0</v>
      </c>
      <c r="J952" t="n">
        <v>0</v>
      </c>
      <c r="K952" t="n">
        <v>0</v>
      </c>
      <c r="L952" t="n">
        <v>0</v>
      </c>
      <c r="M952" t="n">
        <v>0</v>
      </c>
      <c r="N952" t="n">
        <v>0</v>
      </c>
      <c r="O952" t="n">
        <v>0</v>
      </c>
      <c r="P952" t="n">
        <v>0</v>
      </c>
      <c r="Q952" t="n">
        <v>0</v>
      </c>
      <c r="R952" s="2" t="inlineStr"/>
    </row>
    <row r="953" ht="15" customHeight="1">
      <c r="A953" t="inlineStr">
        <is>
          <t>A 29900-2024</t>
        </is>
      </c>
      <c r="B953" s="1" t="n">
        <v>45487</v>
      </c>
      <c r="C953" s="1" t="n">
        <v>45837</v>
      </c>
      <c r="D953" t="inlineStr">
        <is>
          <t>DALARNAS LÄN</t>
        </is>
      </c>
      <c r="E953" t="inlineStr">
        <is>
          <t>MORA</t>
        </is>
      </c>
      <c r="F953" t="inlineStr">
        <is>
          <t>Bergvik skog öst AB</t>
        </is>
      </c>
      <c r="G953" t="n">
        <v>1</v>
      </c>
      <c r="H953" t="n">
        <v>0</v>
      </c>
      <c r="I953" t="n">
        <v>0</v>
      </c>
      <c r="J953" t="n">
        <v>0</v>
      </c>
      <c r="K953" t="n">
        <v>0</v>
      </c>
      <c r="L953" t="n">
        <v>0</v>
      </c>
      <c r="M953" t="n">
        <v>0</v>
      </c>
      <c r="N953" t="n">
        <v>0</v>
      </c>
      <c r="O953" t="n">
        <v>0</v>
      </c>
      <c r="P953" t="n">
        <v>0</v>
      </c>
      <c r="Q953" t="n">
        <v>0</v>
      </c>
      <c r="R953" s="2" t="inlineStr"/>
    </row>
    <row r="954" ht="15" customHeight="1">
      <c r="A954" t="inlineStr">
        <is>
          <t>A 30203-2024</t>
        </is>
      </c>
      <c r="B954" s="1" t="n">
        <v>45490</v>
      </c>
      <c r="C954" s="1" t="n">
        <v>45837</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30202-2024</t>
        </is>
      </c>
      <c r="B955" s="1" t="n">
        <v>45490</v>
      </c>
      <c r="C955" s="1" t="n">
        <v>45837</v>
      </c>
      <c r="D955" t="inlineStr">
        <is>
          <t>DALARNAS LÄN</t>
        </is>
      </c>
      <c r="E955" t="inlineStr">
        <is>
          <t>MORA</t>
        </is>
      </c>
      <c r="G955" t="n">
        <v>1.9</v>
      </c>
      <c r="H955" t="n">
        <v>0</v>
      </c>
      <c r="I955" t="n">
        <v>0</v>
      </c>
      <c r="J955" t="n">
        <v>0</v>
      </c>
      <c r="K955" t="n">
        <v>0</v>
      </c>
      <c r="L955" t="n">
        <v>0</v>
      </c>
      <c r="M955" t="n">
        <v>0</v>
      </c>
      <c r="N955" t="n">
        <v>0</v>
      </c>
      <c r="O955" t="n">
        <v>0</v>
      </c>
      <c r="P955" t="n">
        <v>0</v>
      </c>
      <c r="Q955" t="n">
        <v>0</v>
      </c>
      <c r="R955" s="2" t="inlineStr"/>
    </row>
    <row r="956" ht="15" customHeight="1">
      <c r="A956" t="inlineStr">
        <is>
          <t>A 30194-2024</t>
        </is>
      </c>
      <c r="B956" s="1" t="n">
        <v>45490</v>
      </c>
      <c r="C956" s="1" t="n">
        <v>45837</v>
      </c>
      <c r="D956" t="inlineStr">
        <is>
          <t>DALARNAS LÄN</t>
        </is>
      </c>
      <c r="E956" t="inlineStr">
        <is>
          <t>MORA</t>
        </is>
      </c>
      <c r="G956" t="n">
        <v>3.1</v>
      </c>
      <c r="H956" t="n">
        <v>0</v>
      </c>
      <c r="I956" t="n">
        <v>0</v>
      </c>
      <c r="J956" t="n">
        <v>0</v>
      </c>
      <c r="K956" t="n">
        <v>0</v>
      </c>
      <c r="L956" t="n">
        <v>0</v>
      </c>
      <c r="M956" t="n">
        <v>0</v>
      </c>
      <c r="N956" t="n">
        <v>0</v>
      </c>
      <c r="O956" t="n">
        <v>0</v>
      </c>
      <c r="P956" t="n">
        <v>0</v>
      </c>
      <c r="Q956" t="n">
        <v>0</v>
      </c>
      <c r="R956" s="2" t="inlineStr"/>
    </row>
    <row r="957" ht="15" customHeight="1">
      <c r="A957" t="inlineStr">
        <is>
          <t>A 30402-2024</t>
        </is>
      </c>
      <c r="B957" s="1" t="n">
        <v>45491</v>
      </c>
      <c r="C957" s="1" t="n">
        <v>45837</v>
      </c>
      <c r="D957" t="inlineStr">
        <is>
          <t>DALARNAS LÄN</t>
        </is>
      </c>
      <c r="E957" t="inlineStr">
        <is>
          <t>MORA</t>
        </is>
      </c>
      <c r="G957" t="n">
        <v>17.6</v>
      </c>
      <c r="H957" t="n">
        <v>0</v>
      </c>
      <c r="I957" t="n">
        <v>0</v>
      </c>
      <c r="J957" t="n">
        <v>0</v>
      </c>
      <c r="K957" t="n">
        <v>0</v>
      </c>
      <c r="L957" t="n">
        <v>0</v>
      </c>
      <c r="M957" t="n">
        <v>0</v>
      </c>
      <c r="N957" t="n">
        <v>0</v>
      </c>
      <c r="O957" t="n">
        <v>0</v>
      </c>
      <c r="P957" t="n">
        <v>0</v>
      </c>
      <c r="Q957" t="n">
        <v>0</v>
      </c>
      <c r="R957" s="2" t="inlineStr"/>
    </row>
    <row r="958" ht="15" customHeight="1">
      <c r="A958" t="inlineStr">
        <is>
          <t>A 30631-2024</t>
        </is>
      </c>
      <c r="B958" s="1" t="n">
        <v>45495</v>
      </c>
      <c r="C958" s="1" t="n">
        <v>45837</v>
      </c>
      <c r="D958" t="inlineStr">
        <is>
          <t>DALARNAS LÄN</t>
        </is>
      </c>
      <c r="E958" t="inlineStr">
        <is>
          <t>MORA</t>
        </is>
      </c>
      <c r="G958" t="n">
        <v>3.2</v>
      </c>
      <c r="H958" t="n">
        <v>0</v>
      </c>
      <c r="I958" t="n">
        <v>0</v>
      </c>
      <c r="J958" t="n">
        <v>0</v>
      </c>
      <c r="K958" t="n">
        <v>0</v>
      </c>
      <c r="L958" t="n">
        <v>0</v>
      </c>
      <c r="M958" t="n">
        <v>0</v>
      </c>
      <c r="N958" t="n">
        <v>0</v>
      </c>
      <c r="O958" t="n">
        <v>0</v>
      </c>
      <c r="P958" t="n">
        <v>0</v>
      </c>
      <c r="Q958" t="n">
        <v>0</v>
      </c>
      <c r="R958" s="2" t="inlineStr"/>
    </row>
    <row r="959" ht="15" customHeight="1">
      <c r="A959" t="inlineStr">
        <is>
          <t>A 30826-2024</t>
        </is>
      </c>
      <c r="B959" s="1" t="n">
        <v>45497</v>
      </c>
      <c r="C959" s="1" t="n">
        <v>45837</v>
      </c>
      <c r="D959" t="inlineStr">
        <is>
          <t>DALARNAS LÄN</t>
        </is>
      </c>
      <c r="E959" t="inlineStr">
        <is>
          <t>MORA</t>
        </is>
      </c>
      <c r="G959" t="n">
        <v>3.8</v>
      </c>
      <c r="H959" t="n">
        <v>0</v>
      </c>
      <c r="I959" t="n">
        <v>0</v>
      </c>
      <c r="J959" t="n">
        <v>0</v>
      </c>
      <c r="K959" t="n">
        <v>0</v>
      </c>
      <c r="L959" t="n">
        <v>0</v>
      </c>
      <c r="M959" t="n">
        <v>0</v>
      </c>
      <c r="N959" t="n">
        <v>0</v>
      </c>
      <c r="O959" t="n">
        <v>0</v>
      </c>
      <c r="P959" t="n">
        <v>0</v>
      </c>
      <c r="Q959" t="n">
        <v>0</v>
      </c>
      <c r="R959" s="2" t="inlineStr"/>
    </row>
    <row r="960" ht="15" customHeight="1">
      <c r="A960" t="inlineStr">
        <is>
          <t>A 30822-2024</t>
        </is>
      </c>
      <c r="B960" s="1" t="n">
        <v>45497</v>
      </c>
      <c r="C960" s="1" t="n">
        <v>45837</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30819-2024</t>
        </is>
      </c>
      <c r="B961" s="1" t="n">
        <v>45497</v>
      </c>
      <c r="C961" s="1" t="n">
        <v>45837</v>
      </c>
      <c r="D961" t="inlineStr">
        <is>
          <t>DALARNAS LÄN</t>
        </is>
      </c>
      <c r="E961" t="inlineStr">
        <is>
          <t>MORA</t>
        </is>
      </c>
      <c r="G961" t="n">
        <v>2.2</v>
      </c>
      <c r="H961" t="n">
        <v>0</v>
      </c>
      <c r="I961" t="n">
        <v>0</v>
      </c>
      <c r="J961" t="n">
        <v>0</v>
      </c>
      <c r="K961" t="n">
        <v>0</v>
      </c>
      <c r="L961" t="n">
        <v>0</v>
      </c>
      <c r="M961" t="n">
        <v>0</v>
      </c>
      <c r="N961" t="n">
        <v>0</v>
      </c>
      <c r="O961" t="n">
        <v>0</v>
      </c>
      <c r="P961" t="n">
        <v>0</v>
      </c>
      <c r="Q961" t="n">
        <v>0</v>
      </c>
      <c r="R961" s="2" t="inlineStr"/>
    </row>
    <row r="962" ht="15" customHeight="1">
      <c r="A962" t="inlineStr">
        <is>
          <t>A 30984-2024</t>
        </is>
      </c>
      <c r="B962" s="1" t="n">
        <v>45499</v>
      </c>
      <c r="C962" s="1" t="n">
        <v>45837</v>
      </c>
      <c r="D962" t="inlineStr">
        <is>
          <t>DALARNAS LÄN</t>
        </is>
      </c>
      <c r="E962" t="inlineStr">
        <is>
          <t>MORA</t>
        </is>
      </c>
      <c r="G962" t="n">
        <v>1.5</v>
      </c>
      <c r="H962" t="n">
        <v>0</v>
      </c>
      <c r="I962" t="n">
        <v>0</v>
      </c>
      <c r="J962" t="n">
        <v>0</v>
      </c>
      <c r="K962" t="n">
        <v>0</v>
      </c>
      <c r="L962" t="n">
        <v>0</v>
      </c>
      <c r="M962" t="n">
        <v>0</v>
      </c>
      <c r="N962" t="n">
        <v>0</v>
      </c>
      <c r="O962" t="n">
        <v>0</v>
      </c>
      <c r="P962" t="n">
        <v>0</v>
      </c>
      <c r="Q962" t="n">
        <v>0</v>
      </c>
      <c r="R962" s="2" t="inlineStr"/>
    </row>
    <row r="963" ht="15" customHeight="1">
      <c r="A963" t="inlineStr">
        <is>
          <t>A 30985-2024</t>
        </is>
      </c>
      <c r="B963" s="1" t="n">
        <v>45499</v>
      </c>
      <c r="C963" s="1" t="n">
        <v>45837</v>
      </c>
      <c r="D963" t="inlineStr">
        <is>
          <t>DALARNAS LÄN</t>
        </is>
      </c>
      <c r="E963" t="inlineStr">
        <is>
          <t>MORA</t>
        </is>
      </c>
      <c r="G963" t="n">
        <v>0.7</v>
      </c>
      <c r="H963" t="n">
        <v>0</v>
      </c>
      <c r="I963" t="n">
        <v>0</v>
      </c>
      <c r="J963" t="n">
        <v>0</v>
      </c>
      <c r="K963" t="n">
        <v>0</v>
      </c>
      <c r="L963" t="n">
        <v>0</v>
      </c>
      <c r="M963" t="n">
        <v>0</v>
      </c>
      <c r="N963" t="n">
        <v>0</v>
      </c>
      <c r="O963" t="n">
        <v>0</v>
      </c>
      <c r="P963" t="n">
        <v>0</v>
      </c>
      <c r="Q963" t="n">
        <v>0</v>
      </c>
      <c r="R963" s="2" t="inlineStr"/>
    </row>
    <row r="964" ht="15" customHeight="1">
      <c r="A964" t="inlineStr">
        <is>
          <t>A 31107-2024</t>
        </is>
      </c>
      <c r="B964" s="1" t="n">
        <v>45502</v>
      </c>
      <c r="C964" s="1" t="n">
        <v>45837</v>
      </c>
      <c r="D964" t="inlineStr">
        <is>
          <t>DALARNAS LÄN</t>
        </is>
      </c>
      <c r="E964" t="inlineStr">
        <is>
          <t>MORA</t>
        </is>
      </c>
      <c r="G964" t="n">
        <v>1.1</v>
      </c>
      <c r="H964" t="n">
        <v>0</v>
      </c>
      <c r="I964" t="n">
        <v>0</v>
      </c>
      <c r="J964" t="n">
        <v>0</v>
      </c>
      <c r="K964" t="n">
        <v>0</v>
      </c>
      <c r="L964" t="n">
        <v>0</v>
      </c>
      <c r="M964" t="n">
        <v>0</v>
      </c>
      <c r="N964" t="n">
        <v>0</v>
      </c>
      <c r="O964" t="n">
        <v>0</v>
      </c>
      <c r="P964" t="n">
        <v>0</v>
      </c>
      <c r="Q964" t="n">
        <v>0</v>
      </c>
      <c r="R964" s="2" t="inlineStr"/>
    </row>
    <row r="965" ht="15" customHeight="1">
      <c r="A965" t="inlineStr">
        <is>
          <t>A 31083-2024</t>
        </is>
      </c>
      <c r="B965" s="1" t="n">
        <v>45502</v>
      </c>
      <c r="C965" s="1" t="n">
        <v>45837</v>
      </c>
      <c r="D965" t="inlineStr">
        <is>
          <t>DALARNAS LÄN</t>
        </is>
      </c>
      <c r="E965" t="inlineStr">
        <is>
          <t>MORA</t>
        </is>
      </c>
      <c r="G965" t="n">
        <v>0.8</v>
      </c>
      <c r="H965" t="n">
        <v>0</v>
      </c>
      <c r="I965" t="n">
        <v>0</v>
      </c>
      <c r="J965" t="n">
        <v>0</v>
      </c>
      <c r="K965" t="n">
        <v>0</v>
      </c>
      <c r="L965" t="n">
        <v>0</v>
      </c>
      <c r="M965" t="n">
        <v>0</v>
      </c>
      <c r="N965" t="n">
        <v>0</v>
      </c>
      <c r="O965" t="n">
        <v>0</v>
      </c>
      <c r="P965" t="n">
        <v>0</v>
      </c>
      <c r="Q965" t="n">
        <v>0</v>
      </c>
      <c r="R965" s="2" t="inlineStr"/>
    </row>
    <row r="966" ht="15" customHeight="1">
      <c r="A966" t="inlineStr">
        <is>
          <t>A 31112-2024</t>
        </is>
      </c>
      <c r="B966" s="1" t="n">
        <v>45502</v>
      </c>
      <c r="C966" s="1" t="n">
        <v>45837</v>
      </c>
      <c r="D966" t="inlineStr">
        <is>
          <t>DALARNAS LÄN</t>
        </is>
      </c>
      <c r="E966" t="inlineStr">
        <is>
          <t>MORA</t>
        </is>
      </c>
      <c r="G966" t="n">
        <v>0.6</v>
      </c>
      <c r="H966" t="n">
        <v>0</v>
      </c>
      <c r="I966" t="n">
        <v>0</v>
      </c>
      <c r="J966" t="n">
        <v>0</v>
      </c>
      <c r="K966" t="n">
        <v>0</v>
      </c>
      <c r="L966" t="n">
        <v>0</v>
      </c>
      <c r="M966" t="n">
        <v>0</v>
      </c>
      <c r="N966" t="n">
        <v>0</v>
      </c>
      <c r="O966" t="n">
        <v>0</v>
      </c>
      <c r="P966" t="n">
        <v>0</v>
      </c>
      <c r="Q966" t="n">
        <v>0</v>
      </c>
      <c r="R966" s="2" t="inlineStr"/>
    </row>
    <row r="967" ht="15" customHeight="1">
      <c r="A967" t="inlineStr">
        <is>
          <t>A 31108-2024</t>
        </is>
      </c>
      <c r="B967" s="1" t="n">
        <v>45502</v>
      </c>
      <c r="C967" s="1" t="n">
        <v>45837</v>
      </c>
      <c r="D967" t="inlineStr">
        <is>
          <t>DALARNAS LÄN</t>
        </is>
      </c>
      <c r="E967" t="inlineStr">
        <is>
          <t>MORA</t>
        </is>
      </c>
      <c r="G967" t="n">
        <v>2</v>
      </c>
      <c r="H967" t="n">
        <v>0</v>
      </c>
      <c r="I967" t="n">
        <v>0</v>
      </c>
      <c r="J967" t="n">
        <v>0</v>
      </c>
      <c r="K967" t="n">
        <v>0</v>
      </c>
      <c r="L967" t="n">
        <v>0</v>
      </c>
      <c r="M967" t="n">
        <v>0</v>
      </c>
      <c r="N967" t="n">
        <v>0</v>
      </c>
      <c r="O967" t="n">
        <v>0</v>
      </c>
      <c r="P967" t="n">
        <v>0</v>
      </c>
      <c r="Q967" t="n">
        <v>0</v>
      </c>
      <c r="R967" s="2" t="inlineStr"/>
    </row>
    <row r="968" ht="15" customHeight="1">
      <c r="A968" t="inlineStr">
        <is>
          <t>A 31113-2024</t>
        </is>
      </c>
      <c r="B968" s="1" t="n">
        <v>45502</v>
      </c>
      <c r="C968" s="1" t="n">
        <v>45837</v>
      </c>
      <c r="D968" t="inlineStr">
        <is>
          <t>DALARNAS LÄN</t>
        </is>
      </c>
      <c r="E968" t="inlineStr">
        <is>
          <t>MORA</t>
        </is>
      </c>
      <c r="G968" t="n">
        <v>1.8</v>
      </c>
      <c r="H968" t="n">
        <v>0</v>
      </c>
      <c r="I968" t="n">
        <v>0</v>
      </c>
      <c r="J968" t="n">
        <v>0</v>
      </c>
      <c r="K968" t="n">
        <v>0</v>
      </c>
      <c r="L968" t="n">
        <v>0</v>
      </c>
      <c r="M968" t="n">
        <v>0</v>
      </c>
      <c r="N968" t="n">
        <v>0</v>
      </c>
      <c r="O968" t="n">
        <v>0</v>
      </c>
      <c r="P968" t="n">
        <v>0</v>
      </c>
      <c r="Q968" t="n">
        <v>0</v>
      </c>
      <c r="R968" s="2" t="inlineStr"/>
    </row>
    <row r="969" ht="15" customHeight="1">
      <c r="A969" t="inlineStr">
        <is>
          <t>A 31109-2024</t>
        </is>
      </c>
      <c r="B969" s="1" t="n">
        <v>45502</v>
      </c>
      <c r="C969" s="1" t="n">
        <v>45837</v>
      </c>
      <c r="D969" t="inlineStr">
        <is>
          <t>DALARNAS LÄN</t>
        </is>
      </c>
      <c r="E969" t="inlineStr">
        <is>
          <t>MORA</t>
        </is>
      </c>
      <c r="G969" t="n">
        <v>1.3</v>
      </c>
      <c r="H969" t="n">
        <v>0</v>
      </c>
      <c r="I969" t="n">
        <v>0</v>
      </c>
      <c r="J969" t="n">
        <v>0</v>
      </c>
      <c r="K969" t="n">
        <v>0</v>
      </c>
      <c r="L969" t="n">
        <v>0</v>
      </c>
      <c r="M969" t="n">
        <v>0</v>
      </c>
      <c r="N969" t="n">
        <v>0</v>
      </c>
      <c r="O969" t="n">
        <v>0</v>
      </c>
      <c r="P969" t="n">
        <v>0</v>
      </c>
      <c r="Q969" t="n">
        <v>0</v>
      </c>
      <c r="R969" s="2" t="inlineStr"/>
    </row>
    <row r="970" ht="15" customHeight="1">
      <c r="A970" t="inlineStr">
        <is>
          <t>A 31085-2024</t>
        </is>
      </c>
      <c r="B970" s="1" t="n">
        <v>45502</v>
      </c>
      <c r="C970" s="1" t="n">
        <v>45837</v>
      </c>
      <c r="D970" t="inlineStr">
        <is>
          <t>DALARNAS LÄN</t>
        </is>
      </c>
      <c r="E970" t="inlineStr">
        <is>
          <t>MORA</t>
        </is>
      </c>
      <c r="G970" t="n">
        <v>1.6</v>
      </c>
      <c r="H970" t="n">
        <v>0</v>
      </c>
      <c r="I970" t="n">
        <v>0</v>
      </c>
      <c r="J970" t="n">
        <v>0</v>
      </c>
      <c r="K970" t="n">
        <v>0</v>
      </c>
      <c r="L970" t="n">
        <v>0</v>
      </c>
      <c r="M970" t="n">
        <v>0</v>
      </c>
      <c r="N970" t="n">
        <v>0</v>
      </c>
      <c r="O970" t="n">
        <v>0</v>
      </c>
      <c r="P970" t="n">
        <v>0</v>
      </c>
      <c r="Q970" t="n">
        <v>0</v>
      </c>
      <c r="R970" s="2" t="inlineStr"/>
    </row>
    <row r="971" ht="15" customHeight="1">
      <c r="A971" t="inlineStr">
        <is>
          <t>A 31376-2024</t>
        </is>
      </c>
      <c r="B971" s="1" t="n">
        <v>45505</v>
      </c>
      <c r="C971" s="1" t="n">
        <v>45837</v>
      </c>
      <c r="D971" t="inlineStr">
        <is>
          <t>DALARNAS LÄN</t>
        </is>
      </c>
      <c r="E971" t="inlineStr">
        <is>
          <t>MORA</t>
        </is>
      </c>
      <c r="F971" t="inlineStr">
        <is>
          <t>Bergvik skog öst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31383-2024</t>
        </is>
      </c>
      <c r="B972" s="1" t="n">
        <v>45505</v>
      </c>
      <c r="C972" s="1" t="n">
        <v>45837</v>
      </c>
      <c r="D972" t="inlineStr">
        <is>
          <t>DALARNAS LÄN</t>
        </is>
      </c>
      <c r="E972" t="inlineStr">
        <is>
          <t>MORA</t>
        </is>
      </c>
      <c r="F972" t="inlineStr">
        <is>
          <t>Bergvik skog öst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31369-2024</t>
        </is>
      </c>
      <c r="B973" s="1" t="n">
        <v>45505</v>
      </c>
      <c r="C973" s="1" t="n">
        <v>45837</v>
      </c>
      <c r="D973" t="inlineStr">
        <is>
          <t>DALARNAS LÄN</t>
        </is>
      </c>
      <c r="E973" t="inlineStr">
        <is>
          <t>MORA</t>
        </is>
      </c>
      <c r="F973" t="inlineStr">
        <is>
          <t>Bergvik skog öst AB</t>
        </is>
      </c>
      <c r="G973" t="n">
        <v>2.5</v>
      </c>
      <c r="H973" t="n">
        <v>0</v>
      </c>
      <c r="I973" t="n">
        <v>0</v>
      </c>
      <c r="J973" t="n">
        <v>0</v>
      </c>
      <c r="K973" t="n">
        <v>0</v>
      </c>
      <c r="L973" t="n">
        <v>0</v>
      </c>
      <c r="M973" t="n">
        <v>0</v>
      </c>
      <c r="N973" t="n">
        <v>0</v>
      </c>
      <c r="O973" t="n">
        <v>0</v>
      </c>
      <c r="P973" t="n">
        <v>0</v>
      </c>
      <c r="Q973" t="n">
        <v>0</v>
      </c>
      <c r="R973" s="2" t="inlineStr"/>
    </row>
    <row r="974" ht="15" customHeight="1">
      <c r="A974" t="inlineStr">
        <is>
          <t>A 31374-2024</t>
        </is>
      </c>
      <c r="B974" s="1" t="n">
        <v>45505</v>
      </c>
      <c r="C974" s="1" t="n">
        <v>45837</v>
      </c>
      <c r="D974" t="inlineStr">
        <is>
          <t>DALARNAS LÄN</t>
        </is>
      </c>
      <c r="E974" t="inlineStr">
        <is>
          <t>MORA</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31382-2024</t>
        </is>
      </c>
      <c r="B975" s="1" t="n">
        <v>45505</v>
      </c>
      <c r="C975" s="1" t="n">
        <v>45837</v>
      </c>
      <c r="D975" t="inlineStr">
        <is>
          <t>DALARNAS LÄN</t>
        </is>
      </c>
      <c r="E975" t="inlineStr">
        <is>
          <t>MORA</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31398-2024</t>
        </is>
      </c>
      <c r="B976" s="1" t="n">
        <v>45505</v>
      </c>
      <c r="C976" s="1" t="n">
        <v>45837</v>
      </c>
      <c r="D976" t="inlineStr">
        <is>
          <t>DALARNAS LÄN</t>
        </is>
      </c>
      <c r="E976" t="inlineStr">
        <is>
          <t>MORA</t>
        </is>
      </c>
      <c r="F976" t="inlineStr">
        <is>
          <t>Bergvik skog öst AB</t>
        </is>
      </c>
      <c r="G976" t="n">
        <v>1.4</v>
      </c>
      <c r="H976" t="n">
        <v>0</v>
      </c>
      <c r="I976" t="n">
        <v>0</v>
      </c>
      <c r="J976" t="n">
        <v>0</v>
      </c>
      <c r="K976" t="n">
        <v>0</v>
      </c>
      <c r="L976" t="n">
        <v>0</v>
      </c>
      <c r="M976" t="n">
        <v>0</v>
      </c>
      <c r="N976" t="n">
        <v>0</v>
      </c>
      <c r="O976" t="n">
        <v>0</v>
      </c>
      <c r="P976" t="n">
        <v>0</v>
      </c>
      <c r="Q976" t="n">
        <v>0</v>
      </c>
      <c r="R976" s="2" t="inlineStr"/>
    </row>
    <row r="977" ht="15" customHeight="1">
      <c r="A977" t="inlineStr">
        <is>
          <t>A 31395-2024</t>
        </is>
      </c>
      <c r="B977" s="1" t="n">
        <v>45505</v>
      </c>
      <c r="C977" s="1" t="n">
        <v>45837</v>
      </c>
      <c r="D977" t="inlineStr">
        <is>
          <t>DALARNAS LÄN</t>
        </is>
      </c>
      <c r="E977" t="inlineStr">
        <is>
          <t>MORA</t>
        </is>
      </c>
      <c r="F977" t="inlineStr">
        <is>
          <t>Bergvik skog öst AB</t>
        </is>
      </c>
      <c r="G977" t="n">
        <v>1.1</v>
      </c>
      <c r="H977" t="n">
        <v>0</v>
      </c>
      <c r="I977" t="n">
        <v>0</v>
      </c>
      <c r="J977" t="n">
        <v>0</v>
      </c>
      <c r="K977" t="n">
        <v>0</v>
      </c>
      <c r="L977" t="n">
        <v>0</v>
      </c>
      <c r="M977" t="n">
        <v>0</v>
      </c>
      <c r="N977" t="n">
        <v>0</v>
      </c>
      <c r="O977" t="n">
        <v>0</v>
      </c>
      <c r="P977" t="n">
        <v>0</v>
      </c>
      <c r="Q977" t="n">
        <v>0</v>
      </c>
      <c r="R977" s="2" t="inlineStr"/>
    </row>
    <row r="978" ht="15" customHeight="1">
      <c r="A978" t="inlineStr">
        <is>
          <t>A 31829-2024</t>
        </is>
      </c>
      <c r="B978" s="1" t="n">
        <v>45509</v>
      </c>
      <c r="C978" s="1" t="n">
        <v>45837</v>
      </c>
      <c r="D978" t="inlineStr">
        <is>
          <t>DALARNAS LÄN</t>
        </is>
      </c>
      <c r="E978" t="inlineStr">
        <is>
          <t>MORA</t>
        </is>
      </c>
      <c r="F978" t="inlineStr">
        <is>
          <t>Bergvik skog öst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31828-2024</t>
        </is>
      </c>
      <c r="B979" s="1" t="n">
        <v>45509</v>
      </c>
      <c r="C979" s="1" t="n">
        <v>45837</v>
      </c>
      <c r="D979" t="inlineStr">
        <is>
          <t>DALARNAS LÄN</t>
        </is>
      </c>
      <c r="E979" t="inlineStr">
        <is>
          <t>MORA</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31929-2024</t>
        </is>
      </c>
      <c r="B980" s="1" t="n">
        <v>45510</v>
      </c>
      <c r="C980" s="1" t="n">
        <v>45837</v>
      </c>
      <c r="D980" t="inlineStr">
        <is>
          <t>DALARNAS LÄN</t>
        </is>
      </c>
      <c r="E980" t="inlineStr">
        <is>
          <t>MORA</t>
        </is>
      </c>
      <c r="G980" t="n">
        <v>10.8</v>
      </c>
      <c r="H980" t="n">
        <v>0</v>
      </c>
      <c r="I980" t="n">
        <v>0</v>
      </c>
      <c r="J980" t="n">
        <v>0</v>
      </c>
      <c r="K980" t="n">
        <v>0</v>
      </c>
      <c r="L980" t="n">
        <v>0</v>
      </c>
      <c r="M980" t="n">
        <v>0</v>
      </c>
      <c r="N980" t="n">
        <v>0</v>
      </c>
      <c r="O980" t="n">
        <v>0</v>
      </c>
      <c r="P980" t="n">
        <v>0</v>
      </c>
      <c r="Q980" t="n">
        <v>0</v>
      </c>
      <c r="R980" s="2" t="inlineStr"/>
    </row>
    <row r="981" ht="15" customHeight="1">
      <c r="A981" t="inlineStr">
        <is>
          <t>A 32410-2024</t>
        </is>
      </c>
      <c r="B981" s="1" t="n">
        <v>45512</v>
      </c>
      <c r="C981" s="1" t="n">
        <v>45837</v>
      </c>
      <c r="D981" t="inlineStr">
        <is>
          <t>DALARNAS LÄN</t>
        </is>
      </c>
      <c r="E981" t="inlineStr">
        <is>
          <t>MORA</t>
        </is>
      </c>
      <c r="F981" t="inlineStr">
        <is>
          <t>Bergvik skog väst AB</t>
        </is>
      </c>
      <c r="G981" t="n">
        <v>2.2</v>
      </c>
      <c r="H981" t="n">
        <v>0</v>
      </c>
      <c r="I981" t="n">
        <v>0</v>
      </c>
      <c r="J981" t="n">
        <v>0</v>
      </c>
      <c r="K981" t="n">
        <v>0</v>
      </c>
      <c r="L981" t="n">
        <v>0</v>
      </c>
      <c r="M981" t="n">
        <v>0</v>
      </c>
      <c r="N981" t="n">
        <v>0</v>
      </c>
      <c r="O981" t="n">
        <v>0</v>
      </c>
      <c r="P981" t="n">
        <v>0</v>
      </c>
      <c r="Q981" t="n">
        <v>0</v>
      </c>
      <c r="R981" s="2" t="inlineStr"/>
    </row>
    <row r="982" ht="15" customHeight="1">
      <c r="A982" t="inlineStr">
        <is>
          <t>A 32385-2024</t>
        </is>
      </c>
      <c r="B982" s="1" t="n">
        <v>45512</v>
      </c>
      <c r="C982" s="1" t="n">
        <v>45837</v>
      </c>
      <c r="D982" t="inlineStr">
        <is>
          <t>DALARNAS LÄN</t>
        </is>
      </c>
      <c r="E982" t="inlineStr">
        <is>
          <t>MORA</t>
        </is>
      </c>
      <c r="G982" t="n">
        <v>3</v>
      </c>
      <c r="H982" t="n">
        <v>0</v>
      </c>
      <c r="I982" t="n">
        <v>0</v>
      </c>
      <c r="J982" t="n">
        <v>0</v>
      </c>
      <c r="K982" t="n">
        <v>0</v>
      </c>
      <c r="L982" t="n">
        <v>0</v>
      </c>
      <c r="M982" t="n">
        <v>0</v>
      </c>
      <c r="N982" t="n">
        <v>0</v>
      </c>
      <c r="O982" t="n">
        <v>0</v>
      </c>
      <c r="P982" t="n">
        <v>0</v>
      </c>
      <c r="Q982" t="n">
        <v>0</v>
      </c>
      <c r="R982" s="2" t="inlineStr"/>
    </row>
    <row r="983" ht="15" customHeight="1">
      <c r="A983" t="inlineStr">
        <is>
          <t>A 32811-2024</t>
        </is>
      </c>
      <c r="B983" s="1" t="n">
        <v>45516</v>
      </c>
      <c r="C983" s="1" t="n">
        <v>45837</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32780-2024</t>
        </is>
      </c>
      <c r="B984" s="1" t="n">
        <v>45516</v>
      </c>
      <c r="C984" s="1" t="n">
        <v>45837</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32721-2024</t>
        </is>
      </c>
      <c r="B985" s="1" t="n">
        <v>45516</v>
      </c>
      <c r="C985" s="1" t="n">
        <v>45837</v>
      </c>
      <c r="D985" t="inlineStr">
        <is>
          <t>DALARNAS LÄN</t>
        </is>
      </c>
      <c r="E985" t="inlineStr">
        <is>
          <t>MORA</t>
        </is>
      </c>
      <c r="G985" t="n">
        <v>4.2</v>
      </c>
      <c r="H985" t="n">
        <v>0</v>
      </c>
      <c r="I985" t="n">
        <v>0</v>
      </c>
      <c r="J985" t="n">
        <v>0</v>
      </c>
      <c r="K985" t="n">
        <v>0</v>
      </c>
      <c r="L985" t="n">
        <v>0</v>
      </c>
      <c r="M985" t="n">
        <v>0</v>
      </c>
      <c r="N985" t="n">
        <v>0</v>
      </c>
      <c r="O985" t="n">
        <v>0</v>
      </c>
      <c r="P985" t="n">
        <v>0</v>
      </c>
      <c r="Q985" t="n">
        <v>0</v>
      </c>
      <c r="R985" s="2" t="inlineStr"/>
    </row>
    <row r="986" ht="15" customHeight="1">
      <c r="A986" t="inlineStr">
        <is>
          <t>A 32718-2024</t>
        </is>
      </c>
      <c r="B986" s="1" t="n">
        <v>45516</v>
      </c>
      <c r="C986" s="1" t="n">
        <v>45837</v>
      </c>
      <c r="D986" t="inlineStr">
        <is>
          <t>DALARNAS LÄN</t>
        </is>
      </c>
      <c r="E986" t="inlineStr">
        <is>
          <t>MORA</t>
        </is>
      </c>
      <c r="G986" t="n">
        <v>1.8</v>
      </c>
      <c r="H986" t="n">
        <v>0</v>
      </c>
      <c r="I986" t="n">
        <v>0</v>
      </c>
      <c r="J986" t="n">
        <v>0</v>
      </c>
      <c r="K986" t="n">
        <v>0</v>
      </c>
      <c r="L986" t="n">
        <v>0</v>
      </c>
      <c r="M986" t="n">
        <v>0</v>
      </c>
      <c r="N986" t="n">
        <v>0</v>
      </c>
      <c r="O986" t="n">
        <v>0</v>
      </c>
      <c r="P986" t="n">
        <v>0</v>
      </c>
      <c r="Q986" t="n">
        <v>0</v>
      </c>
      <c r="R986" s="2" t="inlineStr"/>
    </row>
    <row r="987" ht="15" customHeight="1">
      <c r="A987" t="inlineStr">
        <is>
          <t>A 33501-2024</t>
        </is>
      </c>
      <c r="B987" s="1" t="n">
        <v>45519</v>
      </c>
      <c r="C987" s="1" t="n">
        <v>45837</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33510-2024</t>
        </is>
      </c>
      <c r="B988" s="1" t="n">
        <v>45519</v>
      </c>
      <c r="C988" s="1" t="n">
        <v>45837</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33414-2024</t>
        </is>
      </c>
      <c r="B989" s="1" t="n">
        <v>45519</v>
      </c>
      <c r="C989" s="1" t="n">
        <v>45837</v>
      </c>
      <c r="D989" t="inlineStr">
        <is>
          <t>DALARNAS LÄN</t>
        </is>
      </c>
      <c r="E989" t="inlineStr">
        <is>
          <t>MORA</t>
        </is>
      </c>
      <c r="G989" t="n">
        <v>7.3</v>
      </c>
      <c r="H989" t="n">
        <v>0</v>
      </c>
      <c r="I989" t="n">
        <v>0</v>
      </c>
      <c r="J989" t="n">
        <v>0</v>
      </c>
      <c r="K989" t="n">
        <v>0</v>
      </c>
      <c r="L989" t="n">
        <v>0</v>
      </c>
      <c r="M989" t="n">
        <v>0</v>
      </c>
      <c r="N989" t="n">
        <v>0</v>
      </c>
      <c r="O989" t="n">
        <v>0</v>
      </c>
      <c r="P989" t="n">
        <v>0</v>
      </c>
      <c r="Q989" t="n">
        <v>0</v>
      </c>
      <c r="R989" s="2" t="inlineStr"/>
    </row>
    <row r="990" ht="15" customHeight="1">
      <c r="A990" t="inlineStr">
        <is>
          <t>A 33531-2024</t>
        </is>
      </c>
      <c r="B990" s="1" t="n">
        <v>45519</v>
      </c>
      <c r="C990" s="1" t="n">
        <v>45837</v>
      </c>
      <c r="D990" t="inlineStr">
        <is>
          <t>DALARNAS LÄN</t>
        </is>
      </c>
      <c r="E990" t="inlineStr">
        <is>
          <t>MORA</t>
        </is>
      </c>
      <c r="G990" t="n">
        <v>14.8</v>
      </c>
      <c r="H990" t="n">
        <v>0</v>
      </c>
      <c r="I990" t="n">
        <v>0</v>
      </c>
      <c r="J990" t="n">
        <v>0</v>
      </c>
      <c r="K990" t="n">
        <v>0</v>
      </c>
      <c r="L990" t="n">
        <v>0</v>
      </c>
      <c r="M990" t="n">
        <v>0</v>
      </c>
      <c r="N990" t="n">
        <v>0</v>
      </c>
      <c r="O990" t="n">
        <v>0</v>
      </c>
      <c r="P990" t="n">
        <v>0</v>
      </c>
      <c r="Q990" t="n">
        <v>0</v>
      </c>
      <c r="R990" s="2" t="inlineStr"/>
    </row>
    <row r="991" ht="15" customHeight="1">
      <c r="A991" t="inlineStr">
        <is>
          <t>A 33513-2024</t>
        </is>
      </c>
      <c r="B991" s="1" t="n">
        <v>45519</v>
      </c>
      <c r="C991" s="1" t="n">
        <v>45837</v>
      </c>
      <c r="D991" t="inlineStr">
        <is>
          <t>DALARNAS LÄN</t>
        </is>
      </c>
      <c r="E991" t="inlineStr">
        <is>
          <t>MORA</t>
        </is>
      </c>
      <c r="G991" t="n">
        <v>5.9</v>
      </c>
      <c r="H991" t="n">
        <v>0</v>
      </c>
      <c r="I991" t="n">
        <v>0</v>
      </c>
      <c r="J991" t="n">
        <v>0</v>
      </c>
      <c r="K991" t="n">
        <v>0</v>
      </c>
      <c r="L991" t="n">
        <v>0</v>
      </c>
      <c r="M991" t="n">
        <v>0</v>
      </c>
      <c r="N991" t="n">
        <v>0</v>
      </c>
      <c r="O991" t="n">
        <v>0</v>
      </c>
      <c r="P991" t="n">
        <v>0</v>
      </c>
      <c r="Q991" t="n">
        <v>0</v>
      </c>
      <c r="R991" s="2" t="inlineStr"/>
    </row>
    <row r="992" ht="15" customHeight="1">
      <c r="A992" t="inlineStr">
        <is>
          <t>A 33627-2024</t>
        </is>
      </c>
      <c r="B992" s="1" t="n">
        <v>45520</v>
      </c>
      <c r="C992" s="1" t="n">
        <v>45837</v>
      </c>
      <c r="D992" t="inlineStr">
        <is>
          <t>DALARNAS LÄN</t>
        </is>
      </c>
      <c r="E992" t="inlineStr">
        <is>
          <t>MORA</t>
        </is>
      </c>
      <c r="G992" t="n">
        <v>1.1</v>
      </c>
      <c r="H992" t="n">
        <v>0</v>
      </c>
      <c r="I992" t="n">
        <v>0</v>
      </c>
      <c r="J992" t="n">
        <v>0</v>
      </c>
      <c r="K992" t="n">
        <v>0</v>
      </c>
      <c r="L992" t="n">
        <v>0</v>
      </c>
      <c r="M992" t="n">
        <v>0</v>
      </c>
      <c r="N992" t="n">
        <v>0</v>
      </c>
      <c r="O992" t="n">
        <v>0</v>
      </c>
      <c r="P992" t="n">
        <v>0</v>
      </c>
      <c r="Q992" t="n">
        <v>0</v>
      </c>
      <c r="R992" s="2" t="inlineStr"/>
    </row>
    <row r="993" ht="15" customHeight="1">
      <c r="A993" t="inlineStr">
        <is>
          <t>A 33666-2024</t>
        </is>
      </c>
      <c r="B993" s="1" t="n">
        <v>45520</v>
      </c>
      <c r="C993" s="1" t="n">
        <v>45837</v>
      </c>
      <c r="D993" t="inlineStr">
        <is>
          <t>DALARNAS LÄN</t>
        </is>
      </c>
      <c r="E993" t="inlineStr">
        <is>
          <t>MORA</t>
        </is>
      </c>
      <c r="G993" t="n">
        <v>0.7</v>
      </c>
      <c r="H993" t="n">
        <v>0</v>
      </c>
      <c r="I993" t="n">
        <v>0</v>
      </c>
      <c r="J993" t="n">
        <v>0</v>
      </c>
      <c r="K993" t="n">
        <v>0</v>
      </c>
      <c r="L993" t="n">
        <v>0</v>
      </c>
      <c r="M993" t="n">
        <v>0</v>
      </c>
      <c r="N993" t="n">
        <v>0</v>
      </c>
      <c r="O993" t="n">
        <v>0</v>
      </c>
      <c r="P993" t="n">
        <v>0</v>
      </c>
      <c r="Q993" t="n">
        <v>0</v>
      </c>
      <c r="R993" s="2" t="inlineStr"/>
    </row>
    <row r="994" ht="15" customHeight="1">
      <c r="A994" t="inlineStr">
        <is>
          <t>A 33937-2024</t>
        </is>
      </c>
      <c r="B994" s="1" t="n">
        <v>45523</v>
      </c>
      <c r="C994" s="1" t="n">
        <v>45837</v>
      </c>
      <c r="D994" t="inlineStr">
        <is>
          <t>DALARNAS LÄN</t>
        </is>
      </c>
      <c r="E994" t="inlineStr">
        <is>
          <t>MORA</t>
        </is>
      </c>
      <c r="G994" t="n">
        <v>3.1</v>
      </c>
      <c r="H994" t="n">
        <v>0</v>
      </c>
      <c r="I994" t="n">
        <v>0</v>
      </c>
      <c r="J994" t="n">
        <v>0</v>
      </c>
      <c r="K994" t="n">
        <v>0</v>
      </c>
      <c r="L994" t="n">
        <v>0</v>
      </c>
      <c r="M994" t="n">
        <v>0</v>
      </c>
      <c r="N994" t="n">
        <v>0</v>
      </c>
      <c r="O994" t="n">
        <v>0</v>
      </c>
      <c r="P994" t="n">
        <v>0</v>
      </c>
      <c r="Q994" t="n">
        <v>0</v>
      </c>
      <c r="R994" s="2" t="inlineStr"/>
    </row>
    <row r="995" ht="15" customHeight="1">
      <c r="A995" t="inlineStr">
        <is>
          <t>A 34282-2024</t>
        </is>
      </c>
      <c r="B995" s="1" t="n">
        <v>45524</v>
      </c>
      <c r="C995" s="1" t="n">
        <v>45837</v>
      </c>
      <c r="D995" t="inlineStr">
        <is>
          <t>DALARNAS LÄN</t>
        </is>
      </c>
      <c r="E995" t="inlineStr">
        <is>
          <t>MORA</t>
        </is>
      </c>
      <c r="G995" t="n">
        <v>0.5</v>
      </c>
      <c r="H995" t="n">
        <v>0</v>
      </c>
      <c r="I995" t="n">
        <v>0</v>
      </c>
      <c r="J995" t="n">
        <v>0</v>
      </c>
      <c r="K995" t="n">
        <v>0</v>
      </c>
      <c r="L995" t="n">
        <v>0</v>
      </c>
      <c r="M995" t="n">
        <v>0</v>
      </c>
      <c r="N995" t="n">
        <v>0</v>
      </c>
      <c r="O995" t="n">
        <v>0</v>
      </c>
      <c r="P995" t="n">
        <v>0</v>
      </c>
      <c r="Q995" t="n">
        <v>0</v>
      </c>
      <c r="R995" s="2" t="inlineStr"/>
    </row>
    <row r="996" ht="15" customHeight="1">
      <c r="A996" t="inlineStr">
        <is>
          <t>A 34270-2024</t>
        </is>
      </c>
      <c r="B996" s="1" t="n">
        <v>45524</v>
      </c>
      <c r="C996" s="1" t="n">
        <v>45837</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34248-2024</t>
        </is>
      </c>
      <c r="B997" s="1" t="n">
        <v>45524</v>
      </c>
      <c r="C997" s="1" t="n">
        <v>45837</v>
      </c>
      <c r="D997" t="inlineStr">
        <is>
          <t>DALARNAS LÄN</t>
        </is>
      </c>
      <c r="E997" t="inlineStr">
        <is>
          <t>MORA</t>
        </is>
      </c>
      <c r="G997" t="n">
        <v>3.3</v>
      </c>
      <c r="H997" t="n">
        <v>0</v>
      </c>
      <c r="I997" t="n">
        <v>0</v>
      </c>
      <c r="J997" t="n">
        <v>0</v>
      </c>
      <c r="K997" t="n">
        <v>0</v>
      </c>
      <c r="L997" t="n">
        <v>0</v>
      </c>
      <c r="M997" t="n">
        <v>0</v>
      </c>
      <c r="N997" t="n">
        <v>0</v>
      </c>
      <c r="O997" t="n">
        <v>0</v>
      </c>
      <c r="P997" t="n">
        <v>0</v>
      </c>
      <c r="Q997" t="n">
        <v>0</v>
      </c>
      <c r="R997" s="2" t="inlineStr"/>
    </row>
    <row r="998" ht="15" customHeight="1">
      <c r="A998" t="inlineStr">
        <is>
          <t>A 34268-2024</t>
        </is>
      </c>
      <c r="B998" s="1" t="n">
        <v>45524</v>
      </c>
      <c r="C998" s="1" t="n">
        <v>45837</v>
      </c>
      <c r="D998" t="inlineStr">
        <is>
          <t>DALARNAS LÄN</t>
        </is>
      </c>
      <c r="E998" t="inlineStr">
        <is>
          <t>MORA</t>
        </is>
      </c>
      <c r="G998" t="n">
        <v>1.5</v>
      </c>
      <c r="H998" t="n">
        <v>0</v>
      </c>
      <c r="I998" t="n">
        <v>0</v>
      </c>
      <c r="J998" t="n">
        <v>0</v>
      </c>
      <c r="K998" t="n">
        <v>0</v>
      </c>
      <c r="L998" t="n">
        <v>0</v>
      </c>
      <c r="M998" t="n">
        <v>0</v>
      </c>
      <c r="N998" t="n">
        <v>0</v>
      </c>
      <c r="O998" t="n">
        <v>0</v>
      </c>
      <c r="P998" t="n">
        <v>0</v>
      </c>
      <c r="Q998" t="n">
        <v>0</v>
      </c>
      <c r="R998" s="2" t="inlineStr"/>
    </row>
    <row r="999" ht="15" customHeight="1">
      <c r="A999" t="inlineStr">
        <is>
          <t>A 34272-2024</t>
        </is>
      </c>
      <c r="B999" s="1" t="n">
        <v>45524</v>
      </c>
      <c r="C999" s="1" t="n">
        <v>45837</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34277-2024</t>
        </is>
      </c>
      <c r="B1000" s="1" t="n">
        <v>45524</v>
      </c>
      <c r="C1000" s="1" t="n">
        <v>45837</v>
      </c>
      <c r="D1000" t="inlineStr">
        <is>
          <t>DALARNAS LÄN</t>
        </is>
      </c>
      <c r="E1000" t="inlineStr">
        <is>
          <t>MORA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34288-2024</t>
        </is>
      </c>
      <c r="B1001" s="1" t="n">
        <v>45524</v>
      </c>
      <c r="C1001" s="1" t="n">
        <v>45837</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34292-2024</t>
        </is>
      </c>
      <c r="B1002" s="1" t="n">
        <v>45524</v>
      </c>
      <c r="C1002" s="1" t="n">
        <v>45837</v>
      </c>
      <c r="D1002" t="inlineStr">
        <is>
          <t>DALARNAS LÄN</t>
        </is>
      </c>
      <c r="E1002" t="inlineStr">
        <is>
          <t>MORA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35287-2024</t>
        </is>
      </c>
      <c r="B1003" s="1" t="n">
        <v>45530</v>
      </c>
      <c r="C1003" s="1" t="n">
        <v>45837</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35176-2024</t>
        </is>
      </c>
      <c r="B1004" s="1" t="n">
        <v>45530</v>
      </c>
      <c r="C1004" s="1" t="n">
        <v>45837</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35327-2024</t>
        </is>
      </c>
      <c r="B1005" s="1" t="n">
        <v>45530</v>
      </c>
      <c r="C1005" s="1" t="n">
        <v>45837</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35259-2024</t>
        </is>
      </c>
      <c r="B1006" s="1" t="n">
        <v>45530</v>
      </c>
      <c r="C1006" s="1" t="n">
        <v>45837</v>
      </c>
      <c r="D1006" t="inlineStr">
        <is>
          <t>DALARNAS LÄN</t>
        </is>
      </c>
      <c r="E1006" t="inlineStr">
        <is>
          <t>MORA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35325-2024</t>
        </is>
      </c>
      <c r="B1007" s="1" t="n">
        <v>45530</v>
      </c>
      <c r="C1007" s="1" t="n">
        <v>45837</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35278-2024</t>
        </is>
      </c>
      <c r="B1008" s="1" t="n">
        <v>45530</v>
      </c>
      <c r="C1008" s="1" t="n">
        <v>45837</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35363-2024</t>
        </is>
      </c>
      <c r="B1009" s="1" t="n">
        <v>45531</v>
      </c>
      <c r="C1009" s="1" t="n">
        <v>45837</v>
      </c>
      <c r="D1009" t="inlineStr">
        <is>
          <t>DALARNAS LÄN</t>
        </is>
      </c>
      <c r="E1009" t="inlineStr">
        <is>
          <t>MORA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35381-2024</t>
        </is>
      </c>
      <c r="B1010" s="1" t="n">
        <v>45531</v>
      </c>
      <c r="C1010" s="1" t="n">
        <v>45837</v>
      </c>
      <c r="D1010" t="inlineStr">
        <is>
          <t>DALARNAS LÄN</t>
        </is>
      </c>
      <c r="E1010" t="inlineStr">
        <is>
          <t>MORA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35897-2024</t>
        </is>
      </c>
      <c r="B1011" s="1" t="n">
        <v>45533</v>
      </c>
      <c r="C1011" s="1" t="n">
        <v>45837</v>
      </c>
      <c r="D1011" t="inlineStr">
        <is>
          <t>DALARNAS LÄN</t>
        </is>
      </c>
      <c r="E1011" t="inlineStr">
        <is>
          <t>MORA</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36038-2024</t>
        </is>
      </c>
      <c r="B1012" s="1" t="n">
        <v>45533</v>
      </c>
      <c r="C1012" s="1" t="n">
        <v>45837</v>
      </c>
      <c r="D1012" t="inlineStr">
        <is>
          <t>DALARNAS LÄN</t>
        </is>
      </c>
      <c r="E1012" t="inlineStr">
        <is>
          <t>MORA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36058-2024</t>
        </is>
      </c>
      <c r="B1013" s="1" t="n">
        <v>45533</v>
      </c>
      <c r="C1013" s="1" t="n">
        <v>45837</v>
      </c>
      <c r="D1013" t="inlineStr">
        <is>
          <t>DALARNAS LÄN</t>
        </is>
      </c>
      <c r="E1013" t="inlineStr">
        <is>
          <t>MORA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35952-2024</t>
        </is>
      </c>
      <c r="B1014" s="1" t="n">
        <v>45533</v>
      </c>
      <c r="C1014" s="1" t="n">
        <v>45837</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36277-2024</t>
        </is>
      </c>
      <c r="B1015" s="1" t="n">
        <v>45534</v>
      </c>
      <c r="C1015" s="1" t="n">
        <v>45837</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36502-2024</t>
        </is>
      </c>
      <c r="B1016" s="1" t="n">
        <v>45537</v>
      </c>
      <c r="C1016" s="1" t="n">
        <v>45837</v>
      </c>
      <c r="D1016" t="inlineStr">
        <is>
          <t>DALARNAS LÄN</t>
        </is>
      </c>
      <c r="E1016" t="inlineStr">
        <is>
          <t>MORA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36659-2024</t>
        </is>
      </c>
      <c r="B1017" s="1" t="n">
        <v>45537</v>
      </c>
      <c r="C1017" s="1" t="n">
        <v>45837</v>
      </c>
      <c r="D1017" t="inlineStr">
        <is>
          <t>DALARNAS LÄN</t>
        </is>
      </c>
      <c r="E1017" t="inlineStr">
        <is>
          <t>MORA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37471-2024</t>
        </is>
      </c>
      <c r="B1018" s="1" t="n">
        <v>45540</v>
      </c>
      <c r="C1018" s="1" t="n">
        <v>45837</v>
      </c>
      <c r="D1018" t="inlineStr">
        <is>
          <t>DALARNAS LÄN</t>
        </is>
      </c>
      <c r="E1018" t="inlineStr">
        <is>
          <t>MORA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37695-2024</t>
        </is>
      </c>
      <c r="B1019" s="1" t="n">
        <v>45541</v>
      </c>
      <c r="C1019" s="1" t="n">
        <v>45837</v>
      </c>
      <c r="D1019" t="inlineStr">
        <is>
          <t>DALARNAS LÄN</t>
        </is>
      </c>
      <c r="E1019" t="inlineStr">
        <is>
          <t>MORA</t>
        </is>
      </c>
      <c r="G1019" t="n">
        <v>19.7</v>
      </c>
      <c r="H1019" t="n">
        <v>0</v>
      </c>
      <c r="I1019" t="n">
        <v>0</v>
      </c>
      <c r="J1019" t="n">
        <v>0</v>
      </c>
      <c r="K1019" t="n">
        <v>0</v>
      </c>
      <c r="L1019" t="n">
        <v>0</v>
      </c>
      <c r="M1019" t="n">
        <v>0</v>
      </c>
      <c r="N1019" t="n">
        <v>0</v>
      </c>
      <c r="O1019" t="n">
        <v>0</v>
      </c>
      <c r="P1019" t="n">
        <v>0</v>
      </c>
      <c r="Q1019" t="n">
        <v>0</v>
      </c>
      <c r="R1019" s="2" t="inlineStr"/>
    </row>
    <row r="1020" ht="15" customHeight="1">
      <c r="A1020" t="inlineStr">
        <is>
          <t>A 37750-2024</t>
        </is>
      </c>
      <c r="B1020" s="1" t="n">
        <v>45541</v>
      </c>
      <c r="C1020" s="1" t="n">
        <v>45837</v>
      </c>
      <c r="D1020" t="inlineStr">
        <is>
          <t>DALARNAS LÄN</t>
        </is>
      </c>
      <c r="E1020" t="inlineStr">
        <is>
          <t>MORA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37860-2024</t>
        </is>
      </c>
      <c r="B1021" s="1" t="n">
        <v>45544</v>
      </c>
      <c r="C1021" s="1" t="n">
        <v>45837</v>
      </c>
      <c r="D1021" t="inlineStr">
        <is>
          <t>DALARNAS LÄN</t>
        </is>
      </c>
      <c r="E1021" t="inlineStr">
        <is>
          <t>MORA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37971-2024</t>
        </is>
      </c>
      <c r="B1022" s="1" t="n">
        <v>45544</v>
      </c>
      <c r="C1022" s="1" t="n">
        <v>45837</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38055-2024</t>
        </is>
      </c>
      <c r="B1023" s="1" t="n">
        <v>45544</v>
      </c>
      <c r="C1023" s="1" t="n">
        <v>45837</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38203-2024</t>
        </is>
      </c>
      <c r="B1024" s="1" t="n">
        <v>45545</v>
      </c>
      <c r="C1024" s="1" t="n">
        <v>45837</v>
      </c>
      <c r="D1024" t="inlineStr">
        <is>
          <t>DALARNAS LÄN</t>
        </is>
      </c>
      <c r="E1024" t="inlineStr">
        <is>
          <t>MORA</t>
        </is>
      </c>
      <c r="G1024" t="n">
        <v>22.7</v>
      </c>
      <c r="H1024" t="n">
        <v>0</v>
      </c>
      <c r="I1024" t="n">
        <v>0</v>
      </c>
      <c r="J1024" t="n">
        <v>0</v>
      </c>
      <c r="K1024" t="n">
        <v>0</v>
      </c>
      <c r="L1024" t="n">
        <v>0</v>
      </c>
      <c r="M1024" t="n">
        <v>0</v>
      </c>
      <c r="N1024" t="n">
        <v>0</v>
      </c>
      <c r="O1024" t="n">
        <v>0</v>
      </c>
      <c r="P1024" t="n">
        <v>0</v>
      </c>
      <c r="Q1024" t="n">
        <v>0</v>
      </c>
      <c r="R1024" s="2" t="inlineStr"/>
    </row>
    <row r="1025" ht="15" customHeight="1">
      <c r="A1025" t="inlineStr">
        <is>
          <t>A 38563-2024</t>
        </is>
      </c>
      <c r="B1025" s="1" t="n">
        <v>45546</v>
      </c>
      <c r="C1025" s="1" t="n">
        <v>45837</v>
      </c>
      <c r="D1025" t="inlineStr">
        <is>
          <t>DALARNAS LÄN</t>
        </is>
      </c>
      <c r="E1025" t="inlineStr">
        <is>
          <t>MORA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38884-2024</t>
        </is>
      </c>
      <c r="B1026" s="1" t="n">
        <v>45547</v>
      </c>
      <c r="C1026" s="1" t="n">
        <v>45837</v>
      </c>
      <c r="D1026" t="inlineStr">
        <is>
          <t>DALARNAS LÄN</t>
        </is>
      </c>
      <c r="E1026" t="inlineStr">
        <is>
          <t>MORA</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39328-2024</t>
        </is>
      </c>
      <c r="B1027" s="1" t="n">
        <v>45551</v>
      </c>
      <c r="C1027" s="1" t="n">
        <v>45837</v>
      </c>
      <c r="D1027" t="inlineStr">
        <is>
          <t>DALARNAS LÄN</t>
        </is>
      </c>
      <c r="E1027" t="inlineStr">
        <is>
          <t>MORA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39344-2024</t>
        </is>
      </c>
      <c r="B1028" s="1" t="n">
        <v>45551</v>
      </c>
      <c r="C1028" s="1" t="n">
        <v>45837</v>
      </c>
      <c r="D1028" t="inlineStr">
        <is>
          <t>DALARNAS LÄN</t>
        </is>
      </c>
      <c r="E1028" t="inlineStr">
        <is>
          <t>MORA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39348-2024</t>
        </is>
      </c>
      <c r="B1029" s="1" t="n">
        <v>45551</v>
      </c>
      <c r="C1029" s="1" t="n">
        <v>45837</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39453-2024</t>
        </is>
      </c>
      <c r="B1030" s="1" t="n">
        <v>45551</v>
      </c>
      <c r="C1030" s="1" t="n">
        <v>45837</v>
      </c>
      <c r="D1030" t="inlineStr">
        <is>
          <t>DALARNAS LÄN</t>
        </is>
      </c>
      <c r="E1030" t="inlineStr">
        <is>
          <t>MORA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39325-2024</t>
        </is>
      </c>
      <c r="B1031" s="1" t="n">
        <v>45551</v>
      </c>
      <c r="C1031" s="1" t="n">
        <v>45837</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39511-2024</t>
        </is>
      </c>
      <c r="B1032" s="1" t="n">
        <v>45551</v>
      </c>
      <c r="C1032" s="1" t="n">
        <v>45837</v>
      </c>
      <c r="D1032" t="inlineStr">
        <is>
          <t>DALARNAS LÄN</t>
        </is>
      </c>
      <c r="E1032" t="inlineStr">
        <is>
          <t>MORA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39671-2024</t>
        </is>
      </c>
      <c r="B1033" s="1" t="n">
        <v>45552</v>
      </c>
      <c r="C1033" s="1" t="n">
        <v>45837</v>
      </c>
      <c r="D1033" t="inlineStr">
        <is>
          <t>DALARNAS LÄN</t>
        </is>
      </c>
      <c r="E1033" t="inlineStr">
        <is>
          <t>MORA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39856-2024</t>
        </is>
      </c>
      <c r="B1034" s="1" t="n">
        <v>45553</v>
      </c>
      <c r="C1034" s="1" t="n">
        <v>45837</v>
      </c>
      <c r="D1034" t="inlineStr">
        <is>
          <t>DALARNAS LÄN</t>
        </is>
      </c>
      <c r="E1034" t="inlineStr">
        <is>
          <t>MORA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39888-2024</t>
        </is>
      </c>
      <c r="B1035" s="1" t="n">
        <v>45553</v>
      </c>
      <c r="C1035" s="1" t="n">
        <v>45837</v>
      </c>
      <c r="D1035" t="inlineStr">
        <is>
          <t>DALARNAS LÄN</t>
        </is>
      </c>
      <c r="E1035" t="inlineStr">
        <is>
          <t>MORA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39882-2024</t>
        </is>
      </c>
      <c r="B1036" s="1" t="n">
        <v>45553</v>
      </c>
      <c r="C1036" s="1" t="n">
        <v>45837</v>
      </c>
      <c r="D1036" t="inlineStr">
        <is>
          <t>DALARNAS LÄN</t>
        </is>
      </c>
      <c r="E1036" t="inlineStr">
        <is>
          <t>MORA</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40286-2024</t>
        </is>
      </c>
      <c r="B1037" s="1" t="n">
        <v>45554</v>
      </c>
      <c r="C1037" s="1" t="n">
        <v>45837</v>
      </c>
      <c r="D1037" t="inlineStr">
        <is>
          <t>DALARNAS LÄN</t>
        </is>
      </c>
      <c r="E1037" t="inlineStr">
        <is>
          <t>MORA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40325-2024</t>
        </is>
      </c>
      <c r="B1038" s="1" t="n">
        <v>45554</v>
      </c>
      <c r="C1038" s="1" t="n">
        <v>45837</v>
      </c>
      <c r="D1038" t="inlineStr">
        <is>
          <t>DALARNAS LÄN</t>
        </is>
      </c>
      <c r="E1038" t="inlineStr">
        <is>
          <t>MORA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40771-2024</t>
        </is>
      </c>
      <c r="B1039" s="1" t="n">
        <v>45558</v>
      </c>
      <c r="C1039" s="1" t="n">
        <v>45837</v>
      </c>
      <c r="D1039" t="inlineStr">
        <is>
          <t>DALARNAS LÄN</t>
        </is>
      </c>
      <c r="E1039" t="inlineStr">
        <is>
          <t>MORA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41298-2024</t>
        </is>
      </c>
      <c r="B1040" s="1" t="n">
        <v>45559</v>
      </c>
      <c r="C1040" s="1" t="n">
        <v>45837</v>
      </c>
      <c r="D1040" t="inlineStr">
        <is>
          <t>DALARNAS LÄN</t>
        </is>
      </c>
      <c r="E1040" t="inlineStr">
        <is>
          <t>MORA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41812-2024</t>
        </is>
      </c>
      <c r="B1041" s="1" t="n">
        <v>45561</v>
      </c>
      <c r="C1041" s="1" t="n">
        <v>45837</v>
      </c>
      <c r="D1041" t="inlineStr">
        <is>
          <t>DALARNAS LÄN</t>
        </is>
      </c>
      <c r="E1041" t="inlineStr">
        <is>
          <t>MORA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41897-2024</t>
        </is>
      </c>
      <c r="B1042" s="1" t="n">
        <v>45561</v>
      </c>
      <c r="C1042" s="1" t="n">
        <v>45837</v>
      </c>
      <c r="D1042" t="inlineStr">
        <is>
          <t>DALARNAS LÄN</t>
        </is>
      </c>
      <c r="E1042" t="inlineStr">
        <is>
          <t>MORA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42085-2024</t>
        </is>
      </c>
      <c r="B1043" s="1" t="n">
        <v>45562</v>
      </c>
      <c r="C1043" s="1" t="n">
        <v>45837</v>
      </c>
      <c r="D1043" t="inlineStr">
        <is>
          <t>DALARNAS LÄN</t>
        </is>
      </c>
      <c r="E1043" t="inlineStr">
        <is>
          <t>MORA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42285-2024</t>
        </is>
      </c>
      <c r="B1044" s="1" t="n">
        <v>45562</v>
      </c>
      <c r="C1044" s="1" t="n">
        <v>45837</v>
      </c>
      <c r="D1044" t="inlineStr">
        <is>
          <t>DALARNAS LÄN</t>
        </is>
      </c>
      <c r="E1044" t="inlineStr">
        <is>
          <t>MORA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42408-2024</t>
        </is>
      </c>
      <c r="B1045" s="1" t="n">
        <v>45565</v>
      </c>
      <c r="C1045" s="1" t="n">
        <v>45837</v>
      </c>
      <c r="D1045" t="inlineStr">
        <is>
          <t>DALARNAS LÄN</t>
        </is>
      </c>
      <c r="E1045" t="inlineStr">
        <is>
          <t>MORA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42670-2024</t>
        </is>
      </c>
      <c r="B1046" s="1" t="n">
        <v>45566</v>
      </c>
      <c r="C1046" s="1" t="n">
        <v>45837</v>
      </c>
      <c r="D1046" t="inlineStr">
        <is>
          <t>DALARNAS LÄN</t>
        </is>
      </c>
      <c r="E1046" t="inlineStr">
        <is>
          <t>MORA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42932-2024</t>
        </is>
      </c>
      <c r="B1047" s="1" t="n">
        <v>45567</v>
      </c>
      <c r="C1047" s="1" t="n">
        <v>45837</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43053-2024</t>
        </is>
      </c>
      <c r="B1048" s="1" t="n">
        <v>45567</v>
      </c>
      <c r="C1048" s="1" t="n">
        <v>45837</v>
      </c>
      <c r="D1048" t="inlineStr">
        <is>
          <t>DALARNAS LÄN</t>
        </is>
      </c>
      <c r="E1048" t="inlineStr">
        <is>
          <t>MORA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42928-2024</t>
        </is>
      </c>
      <c r="B1049" s="1" t="n">
        <v>45567</v>
      </c>
      <c r="C1049" s="1" t="n">
        <v>45837</v>
      </c>
      <c r="D1049" t="inlineStr">
        <is>
          <t>DALARNAS LÄN</t>
        </is>
      </c>
      <c r="E1049" t="inlineStr">
        <is>
          <t>MORA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42941-2024</t>
        </is>
      </c>
      <c r="B1050" s="1" t="n">
        <v>45567</v>
      </c>
      <c r="C1050" s="1" t="n">
        <v>45837</v>
      </c>
      <c r="D1050" t="inlineStr">
        <is>
          <t>DALARNAS LÄN</t>
        </is>
      </c>
      <c r="E1050" t="inlineStr">
        <is>
          <t>MORA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42943-2024</t>
        </is>
      </c>
      <c r="B1051" s="1" t="n">
        <v>45567</v>
      </c>
      <c r="C1051" s="1" t="n">
        <v>45837</v>
      </c>
      <c r="D1051" t="inlineStr">
        <is>
          <t>DALARNAS LÄN</t>
        </is>
      </c>
      <c r="E1051" t="inlineStr">
        <is>
          <t>MORA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42934-2024</t>
        </is>
      </c>
      <c r="B1052" s="1" t="n">
        <v>45567</v>
      </c>
      <c r="C1052" s="1" t="n">
        <v>45837</v>
      </c>
      <c r="D1052" t="inlineStr">
        <is>
          <t>DALARNAS LÄN</t>
        </is>
      </c>
      <c r="E1052" t="inlineStr">
        <is>
          <t>MORA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42930-2024</t>
        </is>
      </c>
      <c r="B1053" s="1" t="n">
        <v>45567</v>
      </c>
      <c r="C1053" s="1" t="n">
        <v>45837</v>
      </c>
      <c r="D1053" t="inlineStr">
        <is>
          <t>DALARNAS LÄN</t>
        </is>
      </c>
      <c r="E1053" t="inlineStr">
        <is>
          <t>MORA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43436-2024</t>
        </is>
      </c>
      <c r="B1054" s="1" t="n">
        <v>45568</v>
      </c>
      <c r="C1054" s="1" t="n">
        <v>45837</v>
      </c>
      <c r="D1054" t="inlineStr">
        <is>
          <t>DALARNAS LÄN</t>
        </is>
      </c>
      <c r="E1054" t="inlineStr">
        <is>
          <t>MORA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43432-2024</t>
        </is>
      </c>
      <c r="B1055" s="1" t="n">
        <v>45568</v>
      </c>
      <c r="C1055" s="1" t="n">
        <v>45837</v>
      </c>
      <c r="D1055" t="inlineStr">
        <is>
          <t>DALARNAS LÄN</t>
        </is>
      </c>
      <c r="E1055" t="inlineStr">
        <is>
          <t>MORA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43335-2024</t>
        </is>
      </c>
      <c r="B1056" s="1" t="n">
        <v>45568</v>
      </c>
      <c r="C1056" s="1" t="n">
        <v>45837</v>
      </c>
      <c r="D1056" t="inlineStr">
        <is>
          <t>DALARNAS LÄN</t>
        </is>
      </c>
      <c r="E1056" t="inlineStr">
        <is>
          <t>MORA</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43333-2024</t>
        </is>
      </c>
      <c r="B1057" s="1" t="n">
        <v>45568</v>
      </c>
      <c r="C1057" s="1" t="n">
        <v>45837</v>
      </c>
      <c r="D1057" t="inlineStr">
        <is>
          <t>DALARNAS LÄN</t>
        </is>
      </c>
      <c r="E1057" t="inlineStr">
        <is>
          <t>MORA</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43528-2024</t>
        </is>
      </c>
      <c r="B1058" s="1" t="n">
        <v>45569</v>
      </c>
      <c r="C1058" s="1" t="n">
        <v>45837</v>
      </c>
      <c r="D1058" t="inlineStr">
        <is>
          <t>DALARNAS LÄN</t>
        </is>
      </c>
      <c r="E1058" t="inlineStr">
        <is>
          <t>MORA</t>
        </is>
      </c>
      <c r="G1058" t="n">
        <v>31.7</v>
      </c>
      <c r="H1058" t="n">
        <v>0</v>
      </c>
      <c r="I1058" t="n">
        <v>0</v>
      </c>
      <c r="J1058" t="n">
        <v>0</v>
      </c>
      <c r="K1058" t="n">
        <v>0</v>
      </c>
      <c r="L1058" t="n">
        <v>0</v>
      </c>
      <c r="M1058" t="n">
        <v>0</v>
      </c>
      <c r="N1058" t="n">
        <v>0</v>
      </c>
      <c r="O1058" t="n">
        <v>0</v>
      </c>
      <c r="P1058" t="n">
        <v>0</v>
      </c>
      <c r="Q1058" t="n">
        <v>0</v>
      </c>
      <c r="R1058" s="2" t="inlineStr"/>
    </row>
    <row r="1059" ht="15" customHeight="1">
      <c r="A1059" t="inlineStr">
        <is>
          <t>A 43873-2024</t>
        </is>
      </c>
      <c r="B1059" s="1" t="n">
        <v>45572</v>
      </c>
      <c r="C1059" s="1" t="n">
        <v>45837</v>
      </c>
      <c r="D1059" t="inlineStr">
        <is>
          <t>DALARNAS LÄN</t>
        </is>
      </c>
      <c r="E1059" t="inlineStr">
        <is>
          <t>MORA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43964-2024</t>
        </is>
      </c>
      <c r="B1060" s="1" t="n">
        <v>45572</v>
      </c>
      <c r="C1060" s="1" t="n">
        <v>45837</v>
      </c>
      <c r="D1060" t="inlineStr">
        <is>
          <t>DALARNAS LÄN</t>
        </is>
      </c>
      <c r="E1060" t="inlineStr">
        <is>
          <t>MORA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43874-2024</t>
        </is>
      </c>
      <c r="B1061" s="1" t="n">
        <v>45572</v>
      </c>
      <c r="C1061" s="1" t="n">
        <v>45837</v>
      </c>
      <c r="D1061" t="inlineStr">
        <is>
          <t>DALARNAS LÄN</t>
        </is>
      </c>
      <c r="E1061" t="inlineStr">
        <is>
          <t>MORA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44071-2024</t>
        </is>
      </c>
      <c r="B1062" s="1" t="n">
        <v>45572</v>
      </c>
      <c r="C1062" s="1" t="n">
        <v>45837</v>
      </c>
      <c r="D1062" t="inlineStr">
        <is>
          <t>DALARNAS LÄN</t>
        </is>
      </c>
      <c r="E1062" t="inlineStr">
        <is>
          <t>MORA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44258-2024</t>
        </is>
      </c>
      <c r="B1063" s="1" t="n">
        <v>45573</v>
      </c>
      <c r="C1063" s="1" t="n">
        <v>45837</v>
      </c>
      <c r="D1063" t="inlineStr">
        <is>
          <t>DALARNAS LÄN</t>
        </is>
      </c>
      <c r="E1063" t="inlineStr">
        <is>
          <t>MORA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44351-2024</t>
        </is>
      </c>
      <c r="B1064" s="1" t="n">
        <v>45573</v>
      </c>
      <c r="C1064" s="1" t="n">
        <v>45837</v>
      </c>
      <c r="D1064" t="inlineStr">
        <is>
          <t>DALARNAS LÄN</t>
        </is>
      </c>
      <c r="E1064" t="inlineStr">
        <is>
          <t>MORA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45674-2024</t>
        </is>
      </c>
      <c r="B1065" s="1" t="n">
        <v>45573</v>
      </c>
      <c r="C1065" s="1" t="n">
        <v>45837</v>
      </c>
      <c r="D1065" t="inlineStr">
        <is>
          <t>DALARNAS LÄN</t>
        </is>
      </c>
      <c r="E1065" t="inlineStr">
        <is>
          <t>MORA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44595-2024</t>
        </is>
      </c>
      <c r="B1066" s="1" t="n">
        <v>45574</v>
      </c>
      <c r="C1066" s="1" t="n">
        <v>45837</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45057-2024</t>
        </is>
      </c>
      <c r="B1067" s="1" t="n">
        <v>45575</v>
      </c>
      <c r="C1067" s="1" t="n">
        <v>45837</v>
      </c>
      <c r="D1067" t="inlineStr">
        <is>
          <t>DALARNAS LÄN</t>
        </is>
      </c>
      <c r="E1067" t="inlineStr">
        <is>
          <t>MORA</t>
        </is>
      </c>
      <c r="F1067" t="inlineStr">
        <is>
          <t>Bergvik skog öst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45335-2024</t>
        </is>
      </c>
      <c r="B1068" s="1" t="n">
        <v>45576</v>
      </c>
      <c r="C1068" s="1" t="n">
        <v>45837</v>
      </c>
      <c r="D1068" t="inlineStr">
        <is>
          <t>DALARNAS LÄN</t>
        </is>
      </c>
      <c r="E1068" t="inlineStr">
        <is>
          <t>MORA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45339-2024</t>
        </is>
      </c>
      <c r="B1069" s="1" t="n">
        <v>45576</v>
      </c>
      <c r="C1069" s="1" t="n">
        <v>45837</v>
      </c>
      <c r="D1069" t="inlineStr">
        <is>
          <t>DALARNAS LÄN</t>
        </is>
      </c>
      <c r="E1069" t="inlineStr">
        <is>
          <t>MORA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45390-2024</t>
        </is>
      </c>
      <c r="B1070" s="1" t="n">
        <v>45576</v>
      </c>
      <c r="C1070" s="1" t="n">
        <v>45837</v>
      </c>
      <c r="D1070" t="inlineStr">
        <is>
          <t>DALARNAS LÄN</t>
        </is>
      </c>
      <c r="E1070" t="inlineStr">
        <is>
          <t>MORA</t>
        </is>
      </c>
      <c r="F1070" t="inlineStr">
        <is>
          <t>Bergvik skog väst AB</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45378-2024</t>
        </is>
      </c>
      <c r="B1071" s="1" t="n">
        <v>45576</v>
      </c>
      <c r="C1071" s="1" t="n">
        <v>45837</v>
      </c>
      <c r="D1071" t="inlineStr">
        <is>
          <t>DALARNAS LÄN</t>
        </is>
      </c>
      <c r="E1071" t="inlineStr">
        <is>
          <t>MORA</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45315-2024</t>
        </is>
      </c>
      <c r="B1072" s="1" t="n">
        <v>45576</v>
      </c>
      <c r="C1072" s="1" t="n">
        <v>45837</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45291-2024</t>
        </is>
      </c>
      <c r="B1073" s="1" t="n">
        <v>45576</v>
      </c>
      <c r="C1073" s="1" t="n">
        <v>45837</v>
      </c>
      <c r="D1073" t="inlineStr">
        <is>
          <t>DALARNAS LÄN</t>
        </is>
      </c>
      <c r="E1073" t="inlineStr">
        <is>
          <t>MORA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45863-2024</t>
        </is>
      </c>
      <c r="B1074" s="1" t="n">
        <v>45580</v>
      </c>
      <c r="C1074" s="1" t="n">
        <v>45837</v>
      </c>
      <c r="D1074" t="inlineStr">
        <is>
          <t>DALARNAS LÄN</t>
        </is>
      </c>
      <c r="E1074" t="inlineStr">
        <is>
          <t>MORA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45867-2024</t>
        </is>
      </c>
      <c r="B1075" s="1" t="n">
        <v>45580</v>
      </c>
      <c r="C1075" s="1" t="n">
        <v>45837</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46129-2024</t>
        </is>
      </c>
      <c r="B1076" s="1" t="n">
        <v>45581</v>
      </c>
      <c r="C1076" s="1" t="n">
        <v>45837</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46417-2024</t>
        </is>
      </c>
      <c r="B1077" s="1" t="n">
        <v>45582</v>
      </c>
      <c r="C1077" s="1" t="n">
        <v>45837</v>
      </c>
      <c r="D1077" t="inlineStr">
        <is>
          <t>DALARNAS LÄN</t>
        </is>
      </c>
      <c r="E1077" t="inlineStr">
        <is>
          <t>MORA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46414-2024</t>
        </is>
      </c>
      <c r="B1078" s="1" t="n">
        <v>45582</v>
      </c>
      <c r="C1078" s="1" t="n">
        <v>45837</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46412-2024</t>
        </is>
      </c>
      <c r="B1079" s="1" t="n">
        <v>45582</v>
      </c>
      <c r="C1079" s="1" t="n">
        <v>45837</v>
      </c>
      <c r="D1079" t="inlineStr">
        <is>
          <t>DALARNAS LÄN</t>
        </is>
      </c>
      <c r="E1079" t="inlineStr">
        <is>
          <t>MORA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46923-2024</t>
        </is>
      </c>
      <c r="B1080" s="1" t="n">
        <v>45584</v>
      </c>
      <c r="C1080" s="1" t="n">
        <v>45837</v>
      </c>
      <c r="D1080" t="inlineStr">
        <is>
          <t>DALARNAS LÄN</t>
        </is>
      </c>
      <c r="E1080" t="inlineStr">
        <is>
          <t>MORA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46937-2024</t>
        </is>
      </c>
      <c r="B1081" s="1" t="n">
        <v>45585</v>
      </c>
      <c r="C1081" s="1" t="n">
        <v>45837</v>
      </c>
      <c r="D1081" t="inlineStr">
        <is>
          <t>DALARNAS LÄN</t>
        </is>
      </c>
      <c r="E1081" t="inlineStr">
        <is>
          <t>MORA</t>
        </is>
      </c>
      <c r="F1081" t="inlineStr">
        <is>
          <t>Bergvik skog öst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47454-2024</t>
        </is>
      </c>
      <c r="B1082" s="1" t="n">
        <v>45587</v>
      </c>
      <c r="C1082" s="1" t="n">
        <v>45837</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47459-2024</t>
        </is>
      </c>
      <c r="B1083" s="1" t="n">
        <v>45587</v>
      </c>
      <c r="C1083" s="1" t="n">
        <v>45837</v>
      </c>
      <c r="D1083" t="inlineStr">
        <is>
          <t>DALARNAS LÄN</t>
        </is>
      </c>
      <c r="E1083" t="inlineStr">
        <is>
          <t>MORA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47448-2024</t>
        </is>
      </c>
      <c r="B1084" s="1" t="n">
        <v>45587</v>
      </c>
      <c r="C1084" s="1" t="n">
        <v>45837</v>
      </c>
      <c r="D1084" t="inlineStr">
        <is>
          <t>DALARNAS LÄN</t>
        </is>
      </c>
      <c r="E1084" t="inlineStr">
        <is>
          <t>MORA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47784-2024</t>
        </is>
      </c>
      <c r="B1085" s="1" t="n">
        <v>45588</v>
      </c>
      <c r="C1085" s="1" t="n">
        <v>45837</v>
      </c>
      <c r="D1085" t="inlineStr">
        <is>
          <t>DALARNAS LÄN</t>
        </is>
      </c>
      <c r="E1085" t="inlineStr">
        <is>
          <t>MORA</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48170-2024</t>
        </is>
      </c>
      <c r="B1086" s="1" t="n">
        <v>45589</v>
      </c>
      <c r="C1086" s="1" t="n">
        <v>45837</v>
      </c>
      <c r="D1086" t="inlineStr">
        <is>
          <t>DALARNAS LÄN</t>
        </is>
      </c>
      <c r="E1086" t="inlineStr">
        <is>
          <t>MORA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48390-2024</t>
        </is>
      </c>
      <c r="B1087" s="1" t="n">
        <v>45590</v>
      </c>
      <c r="C1087" s="1" t="n">
        <v>45837</v>
      </c>
      <c r="D1087" t="inlineStr">
        <is>
          <t>DALARNAS LÄN</t>
        </is>
      </c>
      <c r="E1087" t="inlineStr">
        <is>
          <t>MORA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48585-2024</t>
        </is>
      </c>
      <c r="B1088" s="1" t="n">
        <v>45593</v>
      </c>
      <c r="C1088" s="1" t="n">
        <v>45837</v>
      </c>
      <c r="D1088" t="inlineStr">
        <is>
          <t>DALARNAS LÄN</t>
        </is>
      </c>
      <c r="E1088" t="inlineStr">
        <is>
          <t>MORA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48754-2024</t>
        </is>
      </c>
      <c r="B1089" s="1" t="n">
        <v>45593</v>
      </c>
      <c r="C1089" s="1" t="n">
        <v>45837</v>
      </c>
      <c r="D1089" t="inlineStr">
        <is>
          <t>DALARNAS LÄN</t>
        </is>
      </c>
      <c r="E1089" t="inlineStr">
        <is>
          <t>MORA</t>
        </is>
      </c>
      <c r="F1089" t="inlineStr">
        <is>
          <t>Bergvik skog väst AB</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48522-2024</t>
        </is>
      </c>
      <c r="B1090" s="1" t="n">
        <v>45593</v>
      </c>
      <c r="C1090" s="1" t="n">
        <v>45837</v>
      </c>
      <c r="D1090" t="inlineStr">
        <is>
          <t>DALARNAS LÄN</t>
        </is>
      </c>
      <c r="E1090" t="inlineStr">
        <is>
          <t>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49565-2024</t>
        </is>
      </c>
      <c r="B1091" s="1" t="n">
        <v>45596</v>
      </c>
      <c r="C1091" s="1" t="n">
        <v>45837</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49467-2024</t>
        </is>
      </c>
      <c r="B1092" s="1" t="n">
        <v>45596</v>
      </c>
      <c r="C1092" s="1" t="n">
        <v>45837</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50449-2024</t>
        </is>
      </c>
      <c r="B1093" s="1" t="n">
        <v>45601</v>
      </c>
      <c r="C1093" s="1" t="n">
        <v>45837</v>
      </c>
      <c r="D1093" t="inlineStr">
        <is>
          <t>DALARNAS LÄN</t>
        </is>
      </c>
      <c r="E1093" t="inlineStr">
        <is>
          <t>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50911-2024</t>
        </is>
      </c>
      <c r="B1094" s="1" t="n">
        <v>45602</v>
      </c>
      <c r="C1094" s="1" t="n">
        <v>45837</v>
      </c>
      <c r="D1094" t="inlineStr">
        <is>
          <t>DALARNAS LÄN</t>
        </is>
      </c>
      <c r="E1094" t="inlineStr">
        <is>
          <t>MORA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50793-2024</t>
        </is>
      </c>
      <c r="B1095" s="1" t="n">
        <v>45602</v>
      </c>
      <c r="C1095" s="1" t="n">
        <v>45837</v>
      </c>
      <c r="D1095" t="inlineStr">
        <is>
          <t>DALARNAS LÄN</t>
        </is>
      </c>
      <c r="E1095" t="inlineStr">
        <is>
          <t>MORA</t>
        </is>
      </c>
      <c r="F1095" t="inlineStr">
        <is>
          <t>Allmännings- och besparingsskogar</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51194-2024</t>
        </is>
      </c>
      <c r="B1096" s="1" t="n">
        <v>45603</v>
      </c>
      <c r="C1096" s="1" t="n">
        <v>45837</v>
      </c>
      <c r="D1096" t="inlineStr">
        <is>
          <t>DALARNAS LÄN</t>
        </is>
      </c>
      <c r="E1096" t="inlineStr">
        <is>
          <t>MORA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51201-2024</t>
        </is>
      </c>
      <c r="B1097" s="1" t="n">
        <v>45603</v>
      </c>
      <c r="C1097" s="1" t="n">
        <v>45837</v>
      </c>
      <c r="D1097" t="inlineStr">
        <is>
          <t>DALARNAS LÄN</t>
        </is>
      </c>
      <c r="E1097" t="inlineStr">
        <is>
          <t>MORA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51168-2024</t>
        </is>
      </c>
      <c r="B1098" s="1" t="n">
        <v>45603</v>
      </c>
      <c r="C1098" s="1" t="n">
        <v>45837</v>
      </c>
      <c r="D1098" t="inlineStr">
        <is>
          <t>DALARNAS LÄN</t>
        </is>
      </c>
      <c r="E1098" t="inlineStr">
        <is>
          <t>MORA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51237-2024</t>
        </is>
      </c>
      <c r="B1099" s="1" t="n">
        <v>45603</v>
      </c>
      <c r="C1099" s="1" t="n">
        <v>45837</v>
      </c>
      <c r="D1099" t="inlineStr">
        <is>
          <t>DALARNAS LÄN</t>
        </is>
      </c>
      <c r="E1099" t="inlineStr">
        <is>
          <t>MORA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51554-2024</t>
        </is>
      </c>
      <c r="B1100" s="1" t="n">
        <v>45604</v>
      </c>
      <c r="C1100" s="1" t="n">
        <v>45837</v>
      </c>
      <c r="D1100" t="inlineStr">
        <is>
          <t>DALARNAS LÄN</t>
        </is>
      </c>
      <c r="E1100" t="inlineStr">
        <is>
          <t>MORA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51918-2024</t>
        </is>
      </c>
      <c r="B1101" s="1" t="n">
        <v>45607</v>
      </c>
      <c r="C1101" s="1" t="n">
        <v>45837</v>
      </c>
      <c r="D1101" t="inlineStr">
        <is>
          <t>DALARNAS LÄN</t>
        </is>
      </c>
      <c r="E1101" t="inlineStr">
        <is>
          <t>MORA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51888-2024</t>
        </is>
      </c>
      <c r="B1102" s="1" t="n">
        <v>45607</v>
      </c>
      <c r="C1102" s="1" t="n">
        <v>45837</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51965-2024</t>
        </is>
      </c>
      <c r="B1103" s="1" t="n">
        <v>45607</v>
      </c>
      <c r="C1103" s="1" t="n">
        <v>45837</v>
      </c>
      <c r="D1103" t="inlineStr">
        <is>
          <t>DALARNAS LÄN</t>
        </is>
      </c>
      <c r="E1103" t="inlineStr">
        <is>
          <t>MORA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51814-2024</t>
        </is>
      </c>
      <c r="B1104" s="1" t="n">
        <v>45607</v>
      </c>
      <c r="C1104" s="1" t="n">
        <v>45837</v>
      </c>
      <c r="D1104" t="inlineStr">
        <is>
          <t>DALARNAS LÄN</t>
        </is>
      </c>
      <c r="E1104" t="inlineStr">
        <is>
          <t>MORA</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52288-2024</t>
        </is>
      </c>
      <c r="B1105" s="1" t="n">
        <v>45608</v>
      </c>
      <c r="C1105" s="1" t="n">
        <v>45837</v>
      </c>
      <c r="D1105" t="inlineStr">
        <is>
          <t>DALARNAS LÄN</t>
        </is>
      </c>
      <c r="E1105" t="inlineStr">
        <is>
          <t>MORA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52510-2024</t>
        </is>
      </c>
      <c r="B1106" s="1" t="n">
        <v>45609</v>
      </c>
      <c r="C1106" s="1" t="n">
        <v>45837</v>
      </c>
      <c r="D1106" t="inlineStr">
        <is>
          <t>DALARNAS LÄN</t>
        </is>
      </c>
      <c r="E1106" t="inlineStr">
        <is>
          <t>MORA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52850-2024</t>
        </is>
      </c>
      <c r="B1107" s="1" t="n">
        <v>45610</v>
      </c>
      <c r="C1107" s="1" t="n">
        <v>45837</v>
      </c>
      <c r="D1107" t="inlineStr">
        <is>
          <t>DALARNAS LÄN</t>
        </is>
      </c>
      <c r="E1107" t="inlineStr">
        <is>
          <t>MORA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52894-2024</t>
        </is>
      </c>
      <c r="B1108" s="1" t="n">
        <v>45610</v>
      </c>
      <c r="C1108" s="1" t="n">
        <v>45837</v>
      </c>
      <c r="D1108" t="inlineStr">
        <is>
          <t>DALARNAS LÄN</t>
        </is>
      </c>
      <c r="E1108" t="inlineStr">
        <is>
          <t>MORA</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53159-2024</t>
        </is>
      </c>
      <c r="B1109" s="1" t="n">
        <v>45611</v>
      </c>
      <c r="C1109" s="1" t="n">
        <v>45837</v>
      </c>
      <c r="D1109" t="inlineStr">
        <is>
          <t>DALARNAS LÄN</t>
        </is>
      </c>
      <c r="E1109" t="inlineStr">
        <is>
          <t>MORA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53155-2024</t>
        </is>
      </c>
      <c r="B1110" s="1" t="n">
        <v>45611</v>
      </c>
      <c r="C1110" s="1" t="n">
        <v>45837</v>
      </c>
      <c r="D1110" t="inlineStr">
        <is>
          <t>DALARNAS LÄN</t>
        </is>
      </c>
      <c r="E1110" t="inlineStr">
        <is>
          <t>MORA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53150-2024</t>
        </is>
      </c>
      <c r="B1111" s="1" t="n">
        <v>45611</v>
      </c>
      <c r="C1111" s="1" t="n">
        <v>45837</v>
      </c>
      <c r="D1111" t="inlineStr">
        <is>
          <t>DALARNAS LÄN</t>
        </is>
      </c>
      <c r="E1111" t="inlineStr">
        <is>
          <t>MORA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53157-2024</t>
        </is>
      </c>
      <c r="B1112" s="1" t="n">
        <v>45611</v>
      </c>
      <c r="C1112" s="1" t="n">
        <v>45837</v>
      </c>
      <c r="D1112" t="inlineStr">
        <is>
          <t>DALARNAS LÄN</t>
        </is>
      </c>
      <c r="E1112" t="inlineStr">
        <is>
          <t>MORA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53546-2024</t>
        </is>
      </c>
      <c r="B1113" s="1" t="n">
        <v>45614</v>
      </c>
      <c r="C1113" s="1" t="n">
        <v>45837</v>
      </c>
      <c r="D1113" t="inlineStr">
        <is>
          <t>DALARNAS LÄN</t>
        </is>
      </c>
      <c r="E1113" t="inlineStr">
        <is>
          <t>MORA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53527-2024</t>
        </is>
      </c>
      <c r="B1114" s="1" t="n">
        <v>45614</v>
      </c>
      <c r="C1114" s="1" t="n">
        <v>45837</v>
      </c>
      <c r="D1114" t="inlineStr">
        <is>
          <t>DALARNAS LÄN</t>
        </is>
      </c>
      <c r="E1114" t="inlineStr">
        <is>
          <t>MORA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53754-2024</t>
        </is>
      </c>
      <c r="B1115" s="1" t="n">
        <v>45615</v>
      </c>
      <c r="C1115" s="1" t="n">
        <v>45837</v>
      </c>
      <c r="D1115" t="inlineStr">
        <is>
          <t>DALARNAS LÄN</t>
        </is>
      </c>
      <c r="E1115" t="inlineStr">
        <is>
          <t>MORA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53750-2024</t>
        </is>
      </c>
      <c r="B1116" s="1" t="n">
        <v>45615</v>
      </c>
      <c r="C1116" s="1" t="n">
        <v>45837</v>
      </c>
      <c r="D1116" t="inlineStr">
        <is>
          <t>DALARNAS LÄN</t>
        </is>
      </c>
      <c r="E1116" t="inlineStr">
        <is>
          <t>MORA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53743-2024</t>
        </is>
      </c>
      <c r="B1117" s="1" t="n">
        <v>45615</v>
      </c>
      <c r="C1117" s="1" t="n">
        <v>45837</v>
      </c>
      <c r="D1117" t="inlineStr">
        <is>
          <t>DALARNAS LÄN</t>
        </is>
      </c>
      <c r="E1117" t="inlineStr">
        <is>
          <t>MORA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54129-2024</t>
        </is>
      </c>
      <c r="B1118" s="1" t="n">
        <v>45616</v>
      </c>
      <c r="C1118" s="1" t="n">
        <v>45837</v>
      </c>
      <c r="D1118" t="inlineStr">
        <is>
          <t>DALARNAS LÄN</t>
        </is>
      </c>
      <c r="E1118" t="inlineStr">
        <is>
          <t>MORA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53978-2024</t>
        </is>
      </c>
      <c r="B1119" s="1" t="n">
        <v>45616</v>
      </c>
      <c r="C1119" s="1" t="n">
        <v>45837</v>
      </c>
      <c r="D1119" t="inlineStr">
        <is>
          <t>DALARNAS LÄN</t>
        </is>
      </c>
      <c r="E1119" t="inlineStr">
        <is>
          <t>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53980-2024</t>
        </is>
      </c>
      <c r="B1120" s="1" t="n">
        <v>45616</v>
      </c>
      <c r="C1120" s="1" t="n">
        <v>45837</v>
      </c>
      <c r="D1120" t="inlineStr">
        <is>
          <t>DALARNAS LÄN</t>
        </is>
      </c>
      <c r="E1120" t="inlineStr">
        <is>
          <t>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54042-2024</t>
        </is>
      </c>
      <c r="B1121" s="1" t="n">
        <v>45616</v>
      </c>
      <c r="C1121" s="1" t="n">
        <v>45837</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54507-2024</t>
        </is>
      </c>
      <c r="B1122" s="1" t="n">
        <v>45617</v>
      </c>
      <c r="C1122" s="1" t="n">
        <v>45837</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54628-2024</t>
        </is>
      </c>
      <c r="B1123" s="1" t="n">
        <v>45617</v>
      </c>
      <c r="C1123" s="1" t="n">
        <v>45837</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54749-2024</t>
        </is>
      </c>
      <c r="B1124" s="1" t="n">
        <v>45618</v>
      </c>
      <c r="C1124" s="1" t="n">
        <v>45837</v>
      </c>
      <c r="D1124" t="inlineStr">
        <is>
          <t>DALARNAS LÄN</t>
        </is>
      </c>
      <c r="E1124" t="inlineStr">
        <is>
          <t>MORA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54762-2024</t>
        </is>
      </c>
      <c r="B1125" s="1" t="n">
        <v>45618</v>
      </c>
      <c r="C1125" s="1" t="n">
        <v>45837</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54699-2024</t>
        </is>
      </c>
      <c r="B1126" s="1" t="n">
        <v>45618</v>
      </c>
      <c r="C1126" s="1" t="n">
        <v>45837</v>
      </c>
      <c r="D1126" t="inlineStr">
        <is>
          <t>DALARNAS LÄN</t>
        </is>
      </c>
      <c r="E1126" t="inlineStr">
        <is>
          <t>MORA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55114-2024</t>
        </is>
      </c>
      <c r="B1127" s="1" t="n">
        <v>45621</v>
      </c>
      <c r="C1127" s="1" t="n">
        <v>45837</v>
      </c>
      <c r="D1127" t="inlineStr">
        <is>
          <t>DALARNAS LÄN</t>
        </is>
      </c>
      <c r="E1127" t="inlineStr">
        <is>
          <t>MORA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55105-2024</t>
        </is>
      </c>
      <c r="B1128" s="1" t="n">
        <v>45621</v>
      </c>
      <c r="C1128" s="1" t="n">
        <v>45837</v>
      </c>
      <c r="D1128" t="inlineStr">
        <is>
          <t>DALARNAS LÄN</t>
        </is>
      </c>
      <c r="E1128" t="inlineStr">
        <is>
          <t>MORA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55120-2024</t>
        </is>
      </c>
      <c r="B1129" s="1" t="n">
        <v>45621</v>
      </c>
      <c r="C1129" s="1" t="n">
        <v>45837</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55402-2024</t>
        </is>
      </c>
      <c r="B1130" s="1" t="n">
        <v>45622</v>
      </c>
      <c r="C1130" s="1" t="n">
        <v>45837</v>
      </c>
      <c r="D1130" t="inlineStr">
        <is>
          <t>DALARNAS LÄN</t>
        </is>
      </c>
      <c r="E1130" t="inlineStr">
        <is>
          <t>MORA</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55415-2024</t>
        </is>
      </c>
      <c r="B1131" s="1" t="n">
        <v>45622</v>
      </c>
      <c r="C1131" s="1" t="n">
        <v>45837</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55424-2024</t>
        </is>
      </c>
      <c r="B1132" s="1" t="n">
        <v>45622</v>
      </c>
      <c r="C1132" s="1" t="n">
        <v>45837</v>
      </c>
      <c r="D1132" t="inlineStr">
        <is>
          <t>DALARNAS LÄN</t>
        </is>
      </c>
      <c r="E1132" t="inlineStr">
        <is>
          <t>MORA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55625-2024</t>
        </is>
      </c>
      <c r="B1133" s="1" t="n">
        <v>45622</v>
      </c>
      <c r="C1133" s="1" t="n">
        <v>45837</v>
      </c>
      <c r="D1133" t="inlineStr">
        <is>
          <t>DALARNAS LÄN</t>
        </is>
      </c>
      <c r="E1133" t="inlineStr">
        <is>
          <t>MORA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55456-2024</t>
        </is>
      </c>
      <c r="B1134" s="1" t="n">
        <v>45622</v>
      </c>
      <c r="C1134" s="1" t="n">
        <v>45837</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55671-2024</t>
        </is>
      </c>
      <c r="B1135" s="1" t="n">
        <v>45622</v>
      </c>
      <c r="C1135" s="1" t="n">
        <v>45837</v>
      </c>
      <c r="D1135" t="inlineStr">
        <is>
          <t>DALARNAS LÄN</t>
        </is>
      </c>
      <c r="E1135" t="inlineStr">
        <is>
          <t>MORA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55809-2024</t>
        </is>
      </c>
      <c r="B1136" s="1" t="n">
        <v>45623</v>
      </c>
      <c r="C1136" s="1" t="n">
        <v>45837</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56078-2024</t>
        </is>
      </c>
      <c r="B1137" s="1" t="n">
        <v>45624</v>
      </c>
      <c r="C1137" s="1" t="n">
        <v>45837</v>
      </c>
      <c r="D1137" t="inlineStr">
        <is>
          <t>DALARNAS LÄN</t>
        </is>
      </c>
      <c r="E1137" t="inlineStr">
        <is>
          <t>MORA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56268-2024</t>
        </is>
      </c>
      <c r="B1138" s="1" t="n">
        <v>45624</v>
      </c>
      <c r="C1138" s="1" t="n">
        <v>45837</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56521-2024</t>
        </is>
      </c>
      <c r="B1139" s="1" t="n">
        <v>45625</v>
      </c>
      <c r="C1139" s="1" t="n">
        <v>45837</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56425-2024</t>
        </is>
      </c>
      <c r="B1140" s="1" t="n">
        <v>45625</v>
      </c>
      <c r="C1140" s="1" t="n">
        <v>45837</v>
      </c>
      <c r="D1140" t="inlineStr">
        <is>
          <t>DALARNAS LÄN</t>
        </is>
      </c>
      <c r="E1140" t="inlineStr">
        <is>
          <t>MORA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56900-2024</t>
        </is>
      </c>
      <c r="B1141" s="1" t="n">
        <v>45625</v>
      </c>
      <c r="C1141" s="1" t="n">
        <v>45837</v>
      </c>
      <c r="D1141" t="inlineStr">
        <is>
          <t>DALARNAS LÄN</t>
        </is>
      </c>
      <c r="E1141" t="inlineStr">
        <is>
          <t>MORA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56528-2024</t>
        </is>
      </c>
      <c r="B1142" s="1" t="n">
        <v>45625</v>
      </c>
      <c r="C1142" s="1" t="n">
        <v>45837</v>
      </c>
      <c r="D1142" t="inlineStr">
        <is>
          <t>DALARNAS LÄN</t>
        </is>
      </c>
      <c r="E1142" t="inlineStr">
        <is>
          <t>MORA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56532-2024</t>
        </is>
      </c>
      <c r="B1143" s="1" t="n">
        <v>45625</v>
      </c>
      <c r="C1143" s="1" t="n">
        <v>45837</v>
      </c>
      <c r="D1143" t="inlineStr">
        <is>
          <t>DALARNAS LÄN</t>
        </is>
      </c>
      <c r="E1143" t="inlineStr">
        <is>
          <t>MORA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56927-2024</t>
        </is>
      </c>
      <c r="B1144" s="1" t="n">
        <v>45625</v>
      </c>
      <c r="C1144" s="1" t="n">
        <v>45837</v>
      </c>
      <c r="D1144" t="inlineStr">
        <is>
          <t>DALARNAS LÄN</t>
        </is>
      </c>
      <c r="E1144" t="inlineStr">
        <is>
          <t>MORA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56937-2024</t>
        </is>
      </c>
      <c r="B1145" s="1" t="n">
        <v>45625</v>
      </c>
      <c r="C1145" s="1" t="n">
        <v>45837</v>
      </c>
      <c r="D1145" t="inlineStr">
        <is>
          <t>DALARNAS LÄN</t>
        </is>
      </c>
      <c r="E1145" t="inlineStr">
        <is>
          <t>MORA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56935-2024</t>
        </is>
      </c>
      <c r="B1146" s="1" t="n">
        <v>45625</v>
      </c>
      <c r="C1146" s="1" t="n">
        <v>45837</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56834-2024</t>
        </is>
      </c>
      <c r="B1147" s="1" t="n">
        <v>45628</v>
      </c>
      <c r="C1147" s="1" t="n">
        <v>45837</v>
      </c>
      <c r="D1147" t="inlineStr">
        <is>
          <t>DALARNAS LÄN</t>
        </is>
      </c>
      <c r="E1147" t="inlineStr">
        <is>
          <t>MORA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56767-2024</t>
        </is>
      </c>
      <c r="B1148" s="1" t="n">
        <v>45628</v>
      </c>
      <c r="C1148" s="1" t="n">
        <v>45837</v>
      </c>
      <c r="D1148" t="inlineStr">
        <is>
          <t>DALARNAS LÄN</t>
        </is>
      </c>
      <c r="E1148" t="inlineStr">
        <is>
          <t>MORA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56770-2024</t>
        </is>
      </c>
      <c r="B1149" s="1" t="n">
        <v>45628</v>
      </c>
      <c r="C1149" s="1" t="n">
        <v>45837</v>
      </c>
      <c r="D1149" t="inlineStr">
        <is>
          <t>DALARNAS LÄN</t>
        </is>
      </c>
      <c r="E1149" t="inlineStr">
        <is>
          <t>MORA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56828-2024</t>
        </is>
      </c>
      <c r="B1150" s="1" t="n">
        <v>45628</v>
      </c>
      <c r="C1150" s="1" t="n">
        <v>45837</v>
      </c>
      <c r="D1150" t="inlineStr">
        <is>
          <t>DALARNAS LÄN</t>
        </is>
      </c>
      <c r="E1150" t="inlineStr">
        <is>
          <t>MORA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57957-2024</t>
        </is>
      </c>
      <c r="B1151" s="1" t="n">
        <v>45631</v>
      </c>
      <c r="C1151" s="1" t="n">
        <v>45837</v>
      </c>
      <c r="D1151" t="inlineStr">
        <is>
          <t>DALARNAS LÄN</t>
        </is>
      </c>
      <c r="E1151" t="inlineStr">
        <is>
          <t>MORA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57994-2024</t>
        </is>
      </c>
      <c r="B1152" s="1" t="n">
        <v>45631</v>
      </c>
      <c r="C1152" s="1" t="n">
        <v>45837</v>
      </c>
      <c r="D1152" t="inlineStr">
        <is>
          <t>DALARNAS LÄN</t>
        </is>
      </c>
      <c r="E1152" t="inlineStr">
        <is>
          <t>MORA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58036-2024</t>
        </is>
      </c>
      <c r="B1153" s="1" t="n">
        <v>45631</v>
      </c>
      <c r="C1153" s="1" t="n">
        <v>45837</v>
      </c>
      <c r="D1153" t="inlineStr">
        <is>
          <t>DALARNAS LÄN</t>
        </is>
      </c>
      <c r="E1153" t="inlineStr">
        <is>
          <t>MORA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58089-2024</t>
        </is>
      </c>
      <c r="B1154" s="1" t="n">
        <v>45632</v>
      </c>
      <c r="C1154" s="1" t="n">
        <v>45837</v>
      </c>
      <c r="D1154" t="inlineStr">
        <is>
          <t>DALARNAS LÄN</t>
        </is>
      </c>
      <c r="E1154" t="inlineStr">
        <is>
          <t>MORA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58171-2024</t>
        </is>
      </c>
      <c r="B1155" s="1" t="n">
        <v>45632</v>
      </c>
      <c r="C1155" s="1" t="n">
        <v>45837</v>
      </c>
      <c r="D1155" t="inlineStr">
        <is>
          <t>DALARNAS LÄN</t>
        </is>
      </c>
      <c r="E1155" t="inlineStr">
        <is>
          <t>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58177-2024</t>
        </is>
      </c>
      <c r="B1156" s="1" t="n">
        <v>45632</v>
      </c>
      <c r="C1156" s="1" t="n">
        <v>45837</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58131-2024</t>
        </is>
      </c>
      <c r="B1157" s="1" t="n">
        <v>45632</v>
      </c>
      <c r="C1157" s="1" t="n">
        <v>45837</v>
      </c>
      <c r="D1157" t="inlineStr">
        <is>
          <t>DALARNAS LÄN</t>
        </is>
      </c>
      <c r="E1157" t="inlineStr">
        <is>
          <t>MORA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59002-2024</t>
        </is>
      </c>
      <c r="B1158" s="1" t="n">
        <v>45636</v>
      </c>
      <c r="C1158" s="1" t="n">
        <v>45837</v>
      </c>
      <c r="D1158" t="inlineStr">
        <is>
          <t>DALARNAS LÄN</t>
        </is>
      </c>
      <c r="E1158" t="inlineStr">
        <is>
          <t>MORA</t>
        </is>
      </c>
      <c r="F1158" t="inlineStr">
        <is>
          <t>Bergvik skog väst AB</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59101-2024</t>
        </is>
      </c>
      <c r="B1159" s="1" t="n">
        <v>45637</v>
      </c>
      <c r="C1159" s="1" t="n">
        <v>45837</v>
      </c>
      <c r="D1159" t="inlineStr">
        <is>
          <t>DALARNAS LÄN</t>
        </is>
      </c>
      <c r="E1159" t="inlineStr">
        <is>
          <t>MORA</t>
        </is>
      </c>
      <c r="F1159" t="inlineStr">
        <is>
          <t>Allmännings- och besparingsskogar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59404-2024</t>
        </is>
      </c>
      <c r="B1160" s="1" t="n">
        <v>45638</v>
      </c>
      <c r="C1160" s="1" t="n">
        <v>45837</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59401-2024</t>
        </is>
      </c>
      <c r="B1161" s="1" t="n">
        <v>45638</v>
      </c>
      <c r="C1161" s="1" t="n">
        <v>45837</v>
      </c>
      <c r="D1161" t="inlineStr">
        <is>
          <t>DALARNAS LÄN</t>
        </is>
      </c>
      <c r="E1161" t="inlineStr">
        <is>
          <t>MORA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59839-2024</t>
        </is>
      </c>
      <c r="B1162" s="1" t="n">
        <v>45639</v>
      </c>
      <c r="C1162" s="1" t="n">
        <v>45837</v>
      </c>
      <c r="D1162" t="inlineStr">
        <is>
          <t>DALARNAS LÄN</t>
        </is>
      </c>
      <c r="E1162" t="inlineStr">
        <is>
          <t>MORA</t>
        </is>
      </c>
      <c r="F1162" t="inlineStr">
        <is>
          <t>Bergvik skog öst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59646-2024</t>
        </is>
      </c>
      <c r="B1163" s="1" t="n">
        <v>45639</v>
      </c>
      <c r="C1163" s="1" t="n">
        <v>45837</v>
      </c>
      <c r="D1163" t="inlineStr">
        <is>
          <t>DALARNAS LÄN</t>
        </is>
      </c>
      <c r="E1163" t="inlineStr">
        <is>
          <t>MORA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60187-2024</t>
        </is>
      </c>
      <c r="B1164" s="1" t="n">
        <v>45642</v>
      </c>
      <c r="C1164" s="1" t="n">
        <v>45837</v>
      </c>
      <c r="D1164" t="inlineStr">
        <is>
          <t>DALARNAS LÄN</t>
        </is>
      </c>
      <c r="E1164" t="inlineStr">
        <is>
          <t>MORA</t>
        </is>
      </c>
      <c r="F1164" t="inlineStr">
        <is>
          <t>Allmännings- och besparingsskogar</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60099-2024</t>
        </is>
      </c>
      <c r="B1165" s="1" t="n">
        <v>45642</v>
      </c>
      <c r="C1165" s="1" t="n">
        <v>45837</v>
      </c>
      <c r="D1165" t="inlineStr">
        <is>
          <t>DALARNAS LÄN</t>
        </is>
      </c>
      <c r="E1165" t="inlineStr">
        <is>
          <t>MORA</t>
        </is>
      </c>
      <c r="G1165" t="n">
        <v>9.300000000000001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59983-2024</t>
        </is>
      </c>
      <c r="B1166" s="1" t="n">
        <v>45642</v>
      </c>
      <c r="C1166" s="1" t="n">
        <v>45837</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61188-2024</t>
        </is>
      </c>
      <c r="B1167" s="1" t="n">
        <v>45645</v>
      </c>
      <c r="C1167" s="1" t="n">
        <v>45837</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60953-2024</t>
        </is>
      </c>
      <c r="B1168" s="1" t="n">
        <v>45645</v>
      </c>
      <c r="C1168" s="1" t="n">
        <v>45837</v>
      </c>
      <c r="D1168" t="inlineStr">
        <is>
          <t>DALARNAS LÄN</t>
        </is>
      </c>
      <c r="E1168" t="inlineStr">
        <is>
          <t>MORA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61191-2024</t>
        </is>
      </c>
      <c r="B1169" s="1" t="n">
        <v>45645</v>
      </c>
      <c r="C1169" s="1" t="n">
        <v>45837</v>
      </c>
      <c r="D1169" t="inlineStr">
        <is>
          <t>DALARNAS LÄN</t>
        </is>
      </c>
      <c r="E1169" t="inlineStr">
        <is>
          <t>MORA</t>
        </is>
      </c>
      <c r="F1169" t="inlineStr">
        <is>
          <t>Allmännings- och besparingsskogar</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61270-2024</t>
        </is>
      </c>
      <c r="B1170" s="1" t="n">
        <v>45645</v>
      </c>
      <c r="C1170" s="1" t="n">
        <v>45837</v>
      </c>
      <c r="D1170" t="inlineStr">
        <is>
          <t>DALARNAS LÄN</t>
        </is>
      </c>
      <c r="E1170" t="inlineStr">
        <is>
          <t>MORA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61278-2024</t>
        </is>
      </c>
      <c r="B1171" s="1" t="n">
        <v>45645</v>
      </c>
      <c r="C1171" s="1" t="n">
        <v>45837</v>
      </c>
      <c r="D1171" t="inlineStr">
        <is>
          <t>DALARNAS LÄN</t>
        </is>
      </c>
      <c r="E1171" t="inlineStr">
        <is>
          <t>MORA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61282-2024</t>
        </is>
      </c>
      <c r="B1172" s="1" t="n">
        <v>45645</v>
      </c>
      <c r="C1172" s="1" t="n">
        <v>45837</v>
      </c>
      <c r="D1172" t="inlineStr">
        <is>
          <t>DALARNAS LÄN</t>
        </is>
      </c>
      <c r="E1172" t="inlineStr">
        <is>
          <t>MORA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61654-2024</t>
        </is>
      </c>
      <c r="B1173" s="1" t="n">
        <v>45646</v>
      </c>
      <c r="C1173" s="1" t="n">
        <v>45837</v>
      </c>
      <c r="D1173" t="inlineStr">
        <is>
          <t>DALARNAS LÄN</t>
        </is>
      </c>
      <c r="E1173" t="inlineStr">
        <is>
          <t>MORA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61350-2024</t>
        </is>
      </c>
      <c r="B1174" s="1" t="n">
        <v>45646</v>
      </c>
      <c r="C1174" s="1" t="n">
        <v>45837</v>
      </c>
      <c r="D1174" t="inlineStr">
        <is>
          <t>DALARNAS LÄN</t>
        </is>
      </c>
      <c r="E1174" t="inlineStr">
        <is>
          <t>MORA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1252-2025</t>
        </is>
      </c>
      <c r="B1175" s="1" t="n">
        <v>45667</v>
      </c>
      <c r="C1175" s="1" t="n">
        <v>45837</v>
      </c>
      <c r="D1175" t="inlineStr">
        <is>
          <t>DALARNAS LÄN</t>
        </is>
      </c>
      <c r="E1175" t="inlineStr">
        <is>
          <t>MORA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1241-2025</t>
        </is>
      </c>
      <c r="B1176" s="1" t="n">
        <v>45667</v>
      </c>
      <c r="C1176" s="1" t="n">
        <v>45837</v>
      </c>
      <c r="D1176" t="inlineStr">
        <is>
          <t>DALARNAS LÄN</t>
        </is>
      </c>
      <c r="E1176" t="inlineStr">
        <is>
          <t>MORA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1314-2025</t>
        </is>
      </c>
      <c r="B1177" s="1" t="n">
        <v>45667</v>
      </c>
      <c r="C1177" s="1" t="n">
        <v>45837</v>
      </c>
      <c r="D1177" t="inlineStr">
        <is>
          <t>DALARNAS LÄN</t>
        </is>
      </c>
      <c r="E1177" t="inlineStr">
        <is>
          <t>MORA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2784-2025</t>
        </is>
      </c>
      <c r="B1178" s="1" t="n">
        <v>45677</v>
      </c>
      <c r="C1178" s="1" t="n">
        <v>45837</v>
      </c>
      <c r="D1178" t="inlineStr">
        <is>
          <t>DALARNAS LÄN</t>
        </is>
      </c>
      <c r="E1178" t="inlineStr">
        <is>
          <t>MORA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4079-2025</t>
        </is>
      </c>
      <c r="B1179" s="1" t="n">
        <v>45684</v>
      </c>
      <c r="C1179" s="1" t="n">
        <v>45837</v>
      </c>
      <c r="D1179" t="inlineStr">
        <is>
          <t>DALARNAS LÄN</t>
        </is>
      </c>
      <c r="E1179" t="inlineStr">
        <is>
          <t>MORA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4768-2025</t>
        </is>
      </c>
      <c r="B1180" s="1" t="n">
        <v>45688</v>
      </c>
      <c r="C1180" s="1" t="n">
        <v>45837</v>
      </c>
      <c r="D1180" t="inlineStr">
        <is>
          <t>DALARNAS LÄN</t>
        </is>
      </c>
      <c r="E1180" t="inlineStr">
        <is>
          <t>MORA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4764-2025</t>
        </is>
      </c>
      <c r="B1181" s="1" t="n">
        <v>45688</v>
      </c>
      <c r="C1181" s="1" t="n">
        <v>45837</v>
      </c>
      <c r="D1181" t="inlineStr">
        <is>
          <t>DALARNAS LÄN</t>
        </is>
      </c>
      <c r="E1181" t="inlineStr">
        <is>
          <t>MORA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4994-2025</t>
        </is>
      </c>
      <c r="B1182" s="1" t="n">
        <v>45691</v>
      </c>
      <c r="C1182" s="1" t="n">
        <v>45837</v>
      </c>
      <c r="D1182" t="inlineStr">
        <is>
          <t>DALARNAS LÄN</t>
        </is>
      </c>
      <c r="E1182" t="inlineStr">
        <is>
          <t>MORA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5001-2025</t>
        </is>
      </c>
      <c r="B1183" s="1" t="n">
        <v>45691</v>
      </c>
      <c r="C1183" s="1" t="n">
        <v>45837</v>
      </c>
      <c r="D1183" t="inlineStr">
        <is>
          <t>DALARNAS LÄN</t>
        </is>
      </c>
      <c r="E1183" t="inlineStr">
        <is>
          <t>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5216-2025</t>
        </is>
      </c>
      <c r="B1184" s="1" t="n">
        <v>45691</v>
      </c>
      <c r="C1184" s="1" t="n">
        <v>45837</v>
      </c>
      <c r="D1184" t="inlineStr">
        <is>
          <t>DALARNAS LÄN</t>
        </is>
      </c>
      <c r="E1184" t="inlineStr">
        <is>
          <t>MORA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5418-2025</t>
        </is>
      </c>
      <c r="B1185" s="1" t="n">
        <v>45692</v>
      </c>
      <c r="C1185" s="1" t="n">
        <v>45837</v>
      </c>
      <c r="D1185" t="inlineStr">
        <is>
          <t>DALARNAS LÄN</t>
        </is>
      </c>
      <c r="E1185" t="inlineStr">
        <is>
          <t>MORA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5769-2025</t>
        </is>
      </c>
      <c r="B1186" s="1" t="n">
        <v>45694</v>
      </c>
      <c r="C1186" s="1" t="n">
        <v>45837</v>
      </c>
      <c r="D1186" t="inlineStr">
        <is>
          <t>DALARNAS LÄN</t>
        </is>
      </c>
      <c r="E1186" t="inlineStr">
        <is>
          <t>MORA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5922-2025</t>
        </is>
      </c>
      <c r="B1187" s="1" t="n">
        <v>45695</v>
      </c>
      <c r="C1187" s="1" t="n">
        <v>45837</v>
      </c>
      <c r="D1187" t="inlineStr">
        <is>
          <t>DALARNAS LÄN</t>
        </is>
      </c>
      <c r="E1187" t="inlineStr">
        <is>
          <t>MORA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5980-2025</t>
        </is>
      </c>
      <c r="B1188" s="1" t="n">
        <v>45695</v>
      </c>
      <c r="C1188" s="1" t="n">
        <v>45837</v>
      </c>
      <c r="D1188" t="inlineStr">
        <is>
          <t>DALARNAS LÄN</t>
        </is>
      </c>
      <c r="E1188" t="inlineStr">
        <is>
          <t>MORA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6520-2025</t>
        </is>
      </c>
      <c r="B1189" s="1" t="n">
        <v>45699</v>
      </c>
      <c r="C1189" s="1" t="n">
        <v>45837</v>
      </c>
      <c r="D1189" t="inlineStr">
        <is>
          <t>DALARNAS LÄN</t>
        </is>
      </c>
      <c r="E1189" t="inlineStr">
        <is>
          <t>MORA</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7576-2025</t>
        </is>
      </c>
      <c r="B1190" s="1" t="n">
        <v>45705</v>
      </c>
      <c r="C1190" s="1" t="n">
        <v>45837</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7565-2025</t>
        </is>
      </c>
      <c r="B1191" s="1" t="n">
        <v>45705</v>
      </c>
      <c r="C1191" s="1" t="n">
        <v>45837</v>
      </c>
      <c r="D1191" t="inlineStr">
        <is>
          <t>DALARNAS LÄN</t>
        </is>
      </c>
      <c r="E1191" t="inlineStr">
        <is>
          <t>MORA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7552-2025</t>
        </is>
      </c>
      <c r="B1192" s="1" t="n">
        <v>45705</v>
      </c>
      <c r="C1192" s="1" t="n">
        <v>45837</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7766-2025</t>
        </is>
      </c>
      <c r="B1193" s="1" t="n">
        <v>45706</v>
      </c>
      <c r="C1193" s="1" t="n">
        <v>45837</v>
      </c>
      <c r="D1193" t="inlineStr">
        <is>
          <t>DALARNAS LÄN</t>
        </is>
      </c>
      <c r="E1193" t="inlineStr">
        <is>
          <t>MORA</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8343-2025</t>
        </is>
      </c>
      <c r="B1194" s="1" t="n">
        <v>45708</v>
      </c>
      <c r="C1194" s="1" t="n">
        <v>45837</v>
      </c>
      <c r="D1194" t="inlineStr">
        <is>
          <t>DALARNAS LÄN</t>
        </is>
      </c>
      <c r="E1194" t="inlineStr">
        <is>
          <t>MORA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8687-2025</t>
        </is>
      </c>
      <c r="B1195" s="1" t="n">
        <v>45712</v>
      </c>
      <c r="C1195" s="1" t="n">
        <v>45837</v>
      </c>
      <c r="D1195" t="inlineStr">
        <is>
          <t>DALARNAS LÄN</t>
        </is>
      </c>
      <c r="E1195" t="inlineStr">
        <is>
          <t>MORA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9461-2025</t>
        </is>
      </c>
      <c r="B1196" s="1" t="n">
        <v>45715</v>
      </c>
      <c r="C1196" s="1" t="n">
        <v>45837</v>
      </c>
      <c r="D1196" t="inlineStr">
        <is>
          <t>DALARNAS LÄN</t>
        </is>
      </c>
      <c r="E1196" t="inlineStr">
        <is>
          <t>MORA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9554-2025</t>
        </is>
      </c>
      <c r="B1197" s="1" t="n">
        <v>45715</v>
      </c>
      <c r="C1197" s="1" t="n">
        <v>45837</v>
      </c>
      <c r="D1197" t="inlineStr">
        <is>
          <t>DALARNAS LÄN</t>
        </is>
      </c>
      <c r="E1197" t="inlineStr">
        <is>
          <t>MORA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10777-2025</t>
        </is>
      </c>
      <c r="B1198" s="1" t="n">
        <v>45722</v>
      </c>
      <c r="C1198" s="1" t="n">
        <v>45837</v>
      </c>
      <c r="D1198" t="inlineStr">
        <is>
          <t>DALARNAS LÄN</t>
        </is>
      </c>
      <c r="E1198" t="inlineStr">
        <is>
          <t>MORA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11193-2025</t>
        </is>
      </c>
      <c r="B1199" s="1" t="n">
        <v>45725</v>
      </c>
      <c r="C1199" s="1" t="n">
        <v>45837</v>
      </c>
      <c r="D1199" t="inlineStr">
        <is>
          <t>DALARNAS LÄN</t>
        </is>
      </c>
      <c r="E1199" t="inlineStr">
        <is>
          <t>MORA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12478-2025</t>
        </is>
      </c>
      <c r="B1200" s="1" t="n">
        <v>45730</v>
      </c>
      <c r="C1200" s="1" t="n">
        <v>45837</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12490-2025</t>
        </is>
      </c>
      <c r="B1201" s="1" t="n">
        <v>45730</v>
      </c>
      <c r="C1201" s="1" t="n">
        <v>45837</v>
      </c>
      <c r="D1201" t="inlineStr">
        <is>
          <t>DALARNAS LÄN</t>
        </is>
      </c>
      <c r="E1201" t="inlineStr">
        <is>
          <t>MORA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14017-2025</t>
        </is>
      </c>
      <c r="B1202" s="1" t="n">
        <v>45740</v>
      </c>
      <c r="C1202" s="1" t="n">
        <v>45837</v>
      </c>
      <c r="D1202" t="inlineStr">
        <is>
          <t>DALARNAS LÄN</t>
        </is>
      </c>
      <c r="E1202" t="inlineStr">
        <is>
          <t>MORA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14372-2025</t>
        </is>
      </c>
      <c r="B1203" s="1" t="n">
        <v>45741</v>
      </c>
      <c r="C1203" s="1" t="n">
        <v>45837</v>
      </c>
      <c r="D1203" t="inlineStr">
        <is>
          <t>DALARNAS LÄN</t>
        </is>
      </c>
      <c r="E1203" t="inlineStr">
        <is>
          <t>MORA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14378-2025</t>
        </is>
      </c>
      <c r="B1204" s="1" t="n">
        <v>45741</v>
      </c>
      <c r="C1204" s="1" t="n">
        <v>45837</v>
      </c>
      <c r="D1204" t="inlineStr">
        <is>
          <t>DALARNAS LÄN</t>
        </is>
      </c>
      <c r="E1204" t="inlineStr">
        <is>
          <t>MORA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14479-2025</t>
        </is>
      </c>
      <c r="B1205" s="1" t="n">
        <v>45741</v>
      </c>
      <c r="C1205" s="1" t="n">
        <v>45837</v>
      </c>
      <c r="D1205" t="inlineStr">
        <is>
          <t>DALARNAS LÄN</t>
        </is>
      </c>
      <c r="E1205" t="inlineStr">
        <is>
          <t>MORA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14735-2025</t>
        </is>
      </c>
      <c r="B1206" s="1" t="n">
        <v>45742</v>
      </c>
      <c r="C1206" s="1" t="n">
        <v>45837</v>
      </c>
      <c r="D1206" t="inlineStr">
        <is>
          <t>DALARNAS LÄN</t>
        </is>
      </c>
      <c r="E1206" t="inlineStr">
        <is>
          <t>MORA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14611-2025</t>
        </is>
      </c>
      <c r="B1207" s="1" t="n">
        <v>45742</v>
      </c>
      <c r="C1207" s="1" t="n">
        <v>45837</v>
      </c>
      <c r="D1207" t="inlineStr">
        <is>
          <t>DALARNAS LÄN</t>
        </is>
      </c>
      <c r="E1207" t="inlineStr">
        <is>
          <t>MORA</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14936-2025</t>
        </is>
      </c>
      <c r="B1208" s="1" t="n">
        <v>45743</v>
      </c>
      <c r="C1208" s="1" t="n">
        <v>45837</v>
      </c>
      <c r="D1208" t="inlineStr">
        <is>
          <t>DALARNAS LÄN</t>
        </is>
      </c>
      <c r="E1208" t="inlineStr">
        <is>
          <t>MORA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15172-2025</t>
        </is>
      </c>
      <c r="B1209" s="1" t="n">
        <v>45744</v>
      </c>
      <c r="C1209" s="1" t="n">
        <v>45837</v>
      </c>
      <c r="D1209" t="inlineStr">
        <is>
          <t>DALARNAS LÄN</t>
        </is>
      </c>
      <c r="E1209" t="inlineStr">
        <is>
          <t>MORA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15443-2025</t>
        </is>
      </c>
      <c r="B1210" s="1" t="n">
        <v>45747</v>
      </c>
      <c r="C1210" s="1" t="n">
        <v>45837</v>
      </c>
      <c r="D1210" t="inlineStr">
        <is>
          <t>DALARNAS LÄN</t>
        </is>
      </c>
      <c r="E1210" t="inlineStr">
        <is>
          <t>MORA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15643-2025</t>
        </is>
      </c>
      <c r="B1211" s="1" t="n">
        <v>45748</v>
      </c>
      <c r="C1211" s="1" t="n">
        <v>45837</v>
      </c>
      <c r="D1211" t="inlineStr">
        <is>
          <t>DALARNAS LÄN</t>
        </is>
      </c>
      <c r="E1211" t="inlineStr">
        <is>
          <t>MORA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15993-2025</t>
        </is>
      </c>
      <c r="B1212" s="1" t="n">
        <v>45749</v>
      </c>
      <c r="C1212" s="1" t="n">
        <v>45837</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16174-2025</t>
        </is>
      </c>
      <c r="B1213" s="1" t="n">
        <v>45750</v>
      </c>
      <c r="C1213" s="1" t="n">
        <v>45837</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16637-2025</t>
        </is>
      </c>
      <c r="B1214" s="1" t="n">
        <v>45754</v>
      </c>
      <c r="C1214" s="1" t="n">
        <v>45837</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16961-2025</t>
        </is>
      </c>
      <c r="B1215" s="1" t="n">
        <v>45755</v>
      </c>
      <c r="C1215" s="1" t="n">
        <v>45837</v>
      </c>
      <c r="D1215" t="inlineStr">
        <is>
          <t>DALARNAS LÄN</t>
        </is>
      </c>
      <c r="E1215" t="inlineStr">
        <is>
          <t>MORA</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16965-2025</t>
        </is>
      </c>
      <c r="B1216" s="1" t="n">
        <v>45755</v>
      </c>
      <c r="C1216" s="1" t="n">
        <v>45837</v>
      </c>
      <c r="D1216" t="inlineStr">
        <is>
          <t>DALARNAS LÄN</t>
        </is>
      </c>
      <c r="E1216" t="inlineStr">
        <is>
          <t>MORA</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16967-2025</t>
        </is>
      </c>
      <c r="B1217" s="1" t="n">
        <v>45755</v>
      </c>
      <c r="C1217" s="1" t="n">
        <v>45837</v>
      </c>
      <c r="D1217" t="inlineStr">
        <is>
          <t>DALARNAS LÄN</t>
        </is>
      </c>
      <c r="E1217" t="inlineStr">
        <is>
          <t>MORA</t>
        </is>
      </c>
      <c r="F1217" t="inlineStr">
        <is>
          <t>Bergvik skog öst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17278-2025</t>
        </is>
      </c>
      <c r="B1218" s="1" t="n">
        <v>45756</v>
      </c>
      <c r="C1218" s="1" t="n">
        <v>45837</v>
      </c>
      <c r="D1218" t="inlineStr">
        <is>
          <t>DALARNAS LÄN</t>
        </is>
      </c>
      <c r="E1218" t="inlineStr">
        <is>
          <t>MORA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17176-2025</t>
        </is>
      </c>
      <c r="B1219" s="1" t="n">
        <v>45756</v>
      </c>
      <c r="C1219" s="1" t="n">
        <v>45837</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17268-2025</t>
        </is>
      </c>
      <c r="B1220" s="1" t="n">
        <v>45756</v>
      </c>
      <c r="C1220" s="1" t="n">
        <v>45837</v>
      </c>
      <c r="D1220" t="inlineStr">
        <is>
          <t>DALARNAS LÄN</t>
        </is>
      </c>
      <c r="E1220" t="inlineStr">
        <is>
          <t>MORA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17280-2025</t>
        </is>
      </c>
      <c r="B1221" s="1" t="n">
        <v>45756</v>
      </c>
      <c r="C1221" s="1" t="n">
        <v>45837</v>
      </c>
      <c r="D1221" t="inlineStr">
        <is>
          <t>DALARNAS LÄN</t>
        </is>
      </c>
      <c r="E1221" t="inlineStr">
        <is>
          <t>MORA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17163-2025</t>
        </is>
      </c>
      <c r="B1222" s="1" t="n">
        <v>45756</v>
      </c>
      <c r="C1222" s="1" t="n">
        <v>45837</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17167-2025</t>
        </is>
      </c>
      <c r="B1223" s="1" t="n">
        <v>45756</v>
      </c>
      <c r="C1223" s="1" t="n">
        <v>45837</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17288-2025</t>
        </is>
      </c>
      <c r="B1224" s="1" t="n">
        <v>45756</v>
      </c>
      <c r="C1224" s="1" t="n">
        <v>45837</v>
      </c>
      <c r="D1224" t="inlineStr">
        <is>
          <t>DALARNAS LÄN</t>
        </is>
      </c>
      <c r="E1224" t="inlineStr">
        <is>
          <t>MORA</t>
        </is>
      </c>
      <c r="F1224" t="inlineStr">
        <is>
          <t>Kyrkan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17164-2025</t>
        </is>
      </c>
      <c r="B1225" s="1" t="n">
        <v>45756</v>
      </c>
      <c r="C1225" s="1" t="n">
        <v>45837</v>
      </c>
      <c r="D1225" t="inlineStr">
        <is>
          <t>DALARNAS LÄN</t>
        </is>
      </c>
      <c r="E1225" t="inlineStr">
        <is>
          <t>MORA</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17172-2025</t>
        </is>
      </c>
      <c r="B1226" s="1" t="n">
        <v>45756</v>
      </c>
      <c r="C1226" s="1" t="n">
        <v>45837</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17494-2025</t>
        </is>
      </c>
      <c r="B1227" s="1" t="n">
        <v>45757</v>
      </c>
      <c r="C1227" s="1" t="n">
        <v>45837</v>
      </c>
      <c r="D1227" t="inlineStr">
        <is>
          <t>DALARNAS LÄN</t>
        </is>
      </c>
      <c r="E1227" t="inlineStr">
        <is>
          <t>MORA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17393-2025</t>
        </is>
      </c>
      <c r="B1228" s="1" t="n">
        <v>45757</v>
      </c>
      <c r="C1228" s="1" t="n">
        <v>45837</v>
      </c>
      <c r="D1228" t="inlineStr">
        <is>
          <t>DALARNAS LÄN</t>
        </is>
      </c>
      <c r="E1228" t="inlineStr">
        <is>
          <t>MORA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17674-2025</t>
        </is>
      </c>
      <c r="B1229" s="1" t="n">
        <v>45758</v>
      </c>
      <c r="C1229" s="1" t="n">
        <v>45837</v>
      </c>
      <c r="D1229" t="inlineStr">
        <is>
          <t>DALARNAS LÄN</t>
        </is>
      </c>
      <c r="E1229" t="inlineStr">
        <is>
          <t>MORA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17737-2025</t>
        </is>
      </c>
      <c r="B1230" s="1" t="n">
        <v>45758</v>
      </c>
      <c r="C1230" s="1" t="n">
        <v>45837</v>
      </c>
      <c r="D1230" t="inlineStr">
        <is>
          <t>DALARNAS LÄN</t>
        </is>
      </c>
      <c r="E1230" t="inlineStr">
        <is>
          <t>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17865-2025</t>
        </is>
      </c>
      <c r="B1231" s="1" t="n">
        <v>45758</v>
      </c>
      <c r="C1231" s="1" t="n">
        <v>45837</v>
      </c>
      <c r="D1231" t="inlineStr">
        <is>
          <t>DALARNAS LÄN</t>
        </is>
      </c>
      <c r="E1231" t="inlineStr">
        <is>
          <t>MORA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18122-2025</t>
        </is>
      </c>
      <c r="B1232" s="1" t="n">
        <v>45761</v>
      </c>
      <c r="C1232" s="1" t="n">
        <v>45837</v>
      </c>
      <c r="D1232" t="inlineStr">
        <is>
          <t>DALARNAS LÄN</t>
        </is>
      </c>
      <c r="E1232" t="inlineStr">
        <is>
          <t>MORA</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18127-2025</t>
        </is>
      </c>
      <c r="B1233" s="1" t="n">
        <v>45761</v>
      </c>
      <c r="C1233" s="1" t="n">
        <v>45837</v>
      </c>
      <c r="D1233" t="inlineStr">
        <is>
          <t>DALARNAS LÄN</t>
        </is>
      </c>
      <c r="E1233" t="inlineStr">
        <is>
          <t>MORA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18134-2025</t>
        </is>
      </c>
      <c r="B1234" s="1" t="n">
        <v>45761</v>
      </c>
      <c r="C1234" s="1" t="n">
        <v>45837</v>
      </c>
      <c r="D1234" t="inlineStr">
        <is>
          <t>DALARNAS LÄN</t>
        </is>
      </c>
      <c r="E1234" t="inlineStr">
        <is>
          <t>MORA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18139-2025</t>
        </is>
      </c>
      <c r="B1235" s="1" t="n">
        <v>45761</v>
      </c>
      <c r="C1235" s="1" t="n">
        <v>45837</v>
      </c>
      <c r="D1235" t="inlineStr">
        <is>
          <t>DALARNAS LÄN</t>
        </is>
      </c>
      <c r="E1235" t="inlineStr">
        <is>
          <t>MORA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18120-2025</t>
        </is>
      </c>
      <c r="B1236" s="1" t="n">
        <v>45761</v>
      </c>
      <c r="C1236" s="1" t="n">
        <v>45837</v>
      </c>
      <c r="D1236" t="inlineStr">
        <is>
          <t>DALARNAS LÄN</t>
        </is>
      </c>
      <c r="E1236" t="inlineStr">
        <is>
          <t>MORA</t>
        </is>
      </c>
      <c r="F1236" t="inlineStr">
        <is>
          <t>Bergvik skog väst AB</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18580-2025</t>
        </is>
      </c>
      <c r="B1237" s="1" t="n">
        <v>45763</v>
      </c>
      <c r="C1237" s="1" t="n">
        <v>45837</v>
      </c>
      <c r="D1237" t="inlineStr">
        <is>
          <t>DALARNAS LÄN</t>
        </is>
      </c>
      <c r="E1237" t="inlineStr">
        <is>
          <t>MORA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18702-2025</t>
        </is>
      </c>
      <c r="B1238" s="1" t="n">
        <v>45763</v>
      </c>
      <c r="C1238" s="1" t="n">
        <v>45837</v>
      </c>
      <c r="D1238" t="inlineStr">
        <is>
          <t>DALARNAS LÄN</t>
        </is>
      </c>
      <c r="E1238" t="inlineStr">
        <is>
          <t>MORA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18806-2025</t>
        </is>
      </c>
      <c r="B1239" s="1" t="n">
        <v>45764</v>
      </c>
      <c r="C1239" s="1" t="n">
        <v>45837</v>
      </c>
      <c r="D1239" t="inlineStr">
        <is>
          <t>DALARNAS LÄN</t>
        </is>
      </c>
      <c r="E1239" t="inlineStr">
        <is>
          <t>MORA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19193-2025</t>
        </is>
      </c>
      <c r="B1240" s="1" t="n">
        <v>45769</v>
      </c>
      <c r="C1240" s="1" t="n">
        <v>45837</v>
      </c>
      <c r="D1240" t="inlineStr">
        <is>
          <t>DALARNAS LÄN</t>
        </is>
      </c>
      <c r="E1240" t="inlineStr">
        <is>
          <t>MORA</t>
        </is>
      </c>
      <c r="F1240" t="inlineStr">
        <is>
          <t>Bergvik skog öst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19183-2025</t>
        </is>
      </c>
      <c r="B1241" s="1" t="n">
        <v>45769</v>
      </c>
      <c r="C1241" s="1" t="n">
        <v>45837</v>
      </c>
      <c r="D1241" t="inlineStr">
        <is>
          <t>DALARNAS LÄN</t>
        </is>
      </c>
      <c r="E1241" t="inlineStr">
        <is>
          <t>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19814-2025</t>
        </is>
      </c>
      <c r="B1242" s="1" t="n">
        <v>45771</v>
      </c>
      <c r="C1242" s="1" t="n">
        <v>45837</v>
      </c>
      <c r="D1242" t="inlineStr">
        <is>
          <t>DALARNAS LÄN</t>
        </is>
      </c>
      <c r="E1242" t="inlineStr">
        <is>
          <t>MORA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19842-2025</t>
        </is>
      </c>
      <c r="B1243" s="1" t="n">
        <v>45771</v>
      </c>
      <c r="C1243" s="1" t="n">
        <v>45837</v>
      </c>
      <c r="D1243" t="inlineStr">
        <is>
          <t>DALARNAS LÄN</t>
        </is>
      </c>
      <c r="E1243" t="inlineStr">
        <is>
          <t>MORA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19906-2025</t>
        </is>
      </c>
      <c r="B1244" s="1" t="n">
        <v>45771</v>
      </c>
      <c r="C1244" s="1" t="n">
        <v>45837</v>
      </c>
      <c r="D1244" t="inlineStr">
        <is>
          <t>DALARNAS LÄN</t>
        </is>
      </c>
      <c r="E1244" t="inlineStr">
        <is>
          <t>MORA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20126-2025</t>
        </is>
      </c>
      <c r="B1245" s="1" t="n">
        <v>45772</v>
      </c>
      <c r="C1245" s="1" t="n">
        <v>45837</v>
      </c>
      <c r="D1245" t="inlineStr">
        <is>
          <t>DALARNAS LÄN</t>
        </is>
      </c>
      <c r="E1245" t="inlineStr">
        <is>
          <t>MORA</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20544-2025</t>
        </is>
      </c>
      <c r="B1246" s="1" t="n">
        <v>45775</v>
      </c>
      <c r="C1246" s="1" t="n">
        <v>45837</v>
      </c>
      <c r="D1246" t="inlineStr">
        <is>
          <t>DALARNAS LÄN</t>
        </is>
      </c>
      <c r="E1246" t="inlineStr">
        <is>
          <t>MORA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20377-2025</t>
        </is>
      </c>
      <c r="B1247" s="1" t="n">
        <v>45775</v>
      </c>
      <c r="C1247" s="1" t="n">
        <v>45837</v>
      </c>
      <c r="D1247" t="inlineStr">
        <is>
          <t>DALARNAS LÄN</t>
        </is>
      </c>
      <c r="E1247" t="inlineStr">
        <is>
          <t>MORA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20549-2025</t>
        </is>
      </c>
      <c r="B1248" s="1" t="n">
        <v>45775</v>
      </c>
      <c r="C1248" s="1" t="n">
        <v>45837</v>
      </c>
      <c r="D1248" t="inlineStr">
        <is>
          <t>DALARNAS LÄN</t>
        </is>
      </c>
      <c r="E1248" t="inlineStr">
        <is>
          <t>MORA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20538-2025</t>
        </is>
      </c>
      <c r="B1249" s="1" t="n">
        <v>45775</v>
      </c>
      <c r="C1249" s="1" t="n">
        <v>45837</v>
      </c>
      <c r="D1249" t="inlineStr">
        <is>
          <t>DALARNAS LÄN</t>
        </is>
      </c>
      <c r="E1249" t="inlineStr">
        <is>
          <t>MORA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20531-2025</t>
        </is>
      </c>
      <c r="B1250" s="1" t="n">
        <v>45775</v>
      </c>
      <c r="C1250" s="1" t="n">
        <v>45837</v>
      </c>
      <c r="D1250" t="inlineStr">
        <is>
          <t>DALARNAS LÄN</t>
        </is>
      </c>
      <c r="E1250" t="inlineStr">
        <is>
          <t>MORA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20594-2025</t>
        </is>
      </c>
      <c r="B1251" s="1" t="n">
        <v>45775</v>
      </c>
      <c r="C1251" s="1" t="n">
        <v>45837</v>
      </c>
      <c r="D1251" t="inlineStr">
        <is>
          <t>DALARNAS LÄN</t>
        </is>
      </c>
      <c r="E1251" t="inlineStr">
        <is>
          <t>MORA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21890-2025</t>
        </is>
      </c>
      <c r="B1252" s="1" t="n">
        <v>45784</v>
      </c>
      <c r="C1252" s="1" t="n">
        <v>45837</v>
      </c>
      <c r="D1252" t="inlineStr">
        <is>
          <t>DALARNAS LÄN</t>
        </is>
      </c>
      <c r="E1252" t="inlineStr">
        <is>
          <t>MORA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21895-2025</t>
        </is>
      </c>
      <c r="B1253" s="1" t="n">
        <v>45784</v>
      </c>
      <c r="C1253" s="1" t="n">
        <v>45837</v>
      </c>
      <c r="D1253" t="inlineStr">
        <is>
          <t>DALARNAS LÄN</t>
        </is>
      </c>
      <c r="E1253" t="inlineStr">
        <is>
          <t>MORA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21877-2025</t>
        </is>
      </c>
      <c r="B1254" s="1" t="n">
        <v>45784</v>
      </c>
      <c r="C1254" s="1" t="n">
        <v>45837</v>
      </c>
      <c r="D1254" t="inlineStr">
        <is>
          <t>DALARNAS LÄN</t>
        </is>
      </c>
      <c r="E1254" t="inlineStr">
        <is>
          <t>MORA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21894-2025</t>
        </is>
      </c>
      <c r="B1255" s="1" t="n">
        <v>45784</v>
      </c>
      <c r="C1255" s="1" t="n">
        <v>45837</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22185-2025</t>
        </is>
      </c>
      <c r="B1256" s="1" t="n">
        <v>45785</v>
      </c>
      <c r="C1256" s="1" t="n">
        <v>45837</v>
      </c>
      <c r="D1256" t="inlineStr">
        <is>
          <t>DALARNAS LÄN</t>
        </is>
      </c>
      <c r="E1256" t="inlineStr">
        <is>
          <t>MORA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22354-2025</t>
        </is>
      </c>
      <c r="B1257" s="1" t="n">
        <v>45786</v>
      </c>
      <c r="C1257" s="1" t="n">
        <v>45837</v>
      </c>
      <c r="D1257" t="inlineStr">
        <is>
          <t>DALARNAS LÄN</t>
        </is>
      </c>
      <c r="E1257" t="inlineStr">
        <is>
          <t>MORA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22409-2025</t>
        </is>
      </c>
      <c r="B1258" s="1" t="n">
        <v>45786</v>
      </c>
      <c r="C1258" s="1" t="n">
        <v>45837</v>
      </c>
      <c r="D1258" t="inlineStr">
        <is>
          <t>DALARNAS LÄN</t>
        </is>
      </c>
      <c r="E1258" t="inlineStr">
        <is>
          <t>MORA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22753-2025</t>
        </is>
      </c>
      <c r="B1259" s="1" t="n">
        <v>45789</v>
      </c>
      <c r="C1259" s="1" t="n">
        <v>45837</v>
      </c>
      <c r="D1259" t="inlineStr">
        <is>
          <t>DALARNAS LÄN</t>
        </is>
      </c>
      <c r="E1259" t="inlineStr">
        <is>
          <t>MORA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23368-2025</t>
        </is>
      </c>
      <c r="B1260" s="1" t="n">
        <v>45791</v>
      </c>
      <c r="C1260" s="1" t="n">
        <v>45837</v>
      </c>
      <c r="D1260" t="inlineStr">
        <is>
          <t>DALARNAS LÄN</t>
        </is>
      </c>
      <c r="E1260" t="inlineStr">
        <is>
          <t>MORA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23229-2025</t>
        </is>
      </c>
      <c r="B1261" s="1" t="n">
        <v>45791</v>
      </c>
      <c r="C1261" s="1" t="n">
        <v>45837</v>
      </c>
      <c r="D1261" t="inlineStr">
        <is>
          <t>DALARNAS LÄN</t>
        </is>
      </c>
      <c r="E1261" t="inlineStr">
        <is>
          <t>MORA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24126-2025</t>
        </is>
      </c>
      <c r="B1262" s="1" t="n">
        <v>45796</v>
      </c>
      <c r="C1262" s="1" t="n">
        <v>45837</v>
      </c>
      <c r="D1262" t="inlineStr">
        <is>
          <t>DALARNAS LÄN</t>
        </is>
      </c>
      <c r="E1262" t="inlineStr">
        <is>
          <t>MORA</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24127-2025</t>
        </is>
      </c>
      <c r="B1263" s="1" t="n">
        <v>45796</v>
      </c>
      <c r="C1263" s="1" t="n">
        <v>45837</v>
      </c>
      <c r="D1263" t="inlineStr">
        <is>
          <t>DALARNAS LÄN</t>
        </is>
      </c>
      <c r="E1263" t="inlineStr">
        <is>
          <t>MORA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45837</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45837</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45837</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24222-2025</t>
        </is>
      </c>
      <c r="B1267" s="1" t="n">
        <v>45797</v>
      </c>
      <c r="C1267" s="1" t="n">
        <v>45837</v>
      </c>
      <c r="D1267" t="inlineStr">
        <is>
          <t>DALARNAS LÄN</t>
        </is>
      </c>
      <c r="E1267" t="inlineStr">
        <is>
          <t>MORA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24249-2025</t>
        </is>
      </c>
      <c r="B1268" s="1" t="n">
        <v>45797</v>
      </c>
      <c r="C1268" s="1" t="n">
        <v>45837</v>
      </c>
      <c r="D1268" t="inlineStr">
        <is>
          <t>DALARNAS LÄN</t>
        </is>
      </c>
      <c r="E1268" t="inlineStr">
        <is>
          <t>MORA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24220-2025</t>
        </is>
      </c>
      <c r="B1269" s="1" t="n">
        <v>45797</v>
      </c>
      <c r="C1269" s="1" t="n">
        <v>45837</v>
      </c>
      <c r="D1269" t="inlineStr">
        <is>
          <t>DALARNAS LÄN</t>
        </is>
      </c>
      <c r="E1269" t="inlineStr">
        <is>
          <t>MORA</t>
        </is>
      </c>
      <c r="F1269" t="inlineStr">
        <is>
          <t>Bergvik skog öst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45837</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24620-2025</t>
        </is>
      </c>
      <c r="B1271" s="1" t="n">
        <v>45798</v>
      </c>
      <c r="C1271" s="1" t="n">
        <v>45837</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45837</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24653-2025</t>
        </is>
      </c>
      <c r="B1273" s="1" t="n">
        <v>45798</v>
      </c>
      <c r="C1273" s="1" t="n">
        <v>45837</v>
      </c>
      <c r="D1273" t="inlineStr">
        <is>
          <t>DALARNAS LÄN</t>
        </is>
      </c>
      <c r="E1273" t="inlineStr">
        <is>
          <t>MORA</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24640-2025</t>
        </is>
      </c>
      <c r="B1274" s="1" t="n">
        <v>45798</v>
      </c>
      <c r="C1274" s="1" t="n">
        <v>45837</v>
      </c>
      <c r="D1274" t="inlineStr">
        <is>
          <t>DALARNAS LÄN</t>
        </is>
      </c>
      <c r="E1274" t="inlineStr">
        <is>
          <t>MORA</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24947-2025</t>
        </is>
      </c>
      <c r="B1275" s="1" t="n">
        <v>45799</v>
      </c>
      <c r="C1275" s="1" t="n">
        <v>45837</v>
      </c>
      <c r="D1275" t="inlineStr">
        <is>
          <t>DALARNAS LÄN</t>
        </is>
      </c>
      <c r="E1275" t="inlineStr">
        <is>
          <t>MORA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24960-2025</t>
        </is>
      </c>
      <c r="B1276" s="1" t="n">
        <v>45799</v>
      </c>
      <c r="C1276" s="1" t="n">
        <v>45837</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25345-2025</t>
        </is>
      </c>
      <c r="B1277" s="1" t="n">
        <v>45799</v>
      </c>
      <c r="C1277" s="1" t="n">
        <v>45837</v>
      </c>
      <c r="D1277" t="inlineStr">
        <is>
          <t>DALARNAS LÄN</t>
        </is>
      </c>
      <c r="E1277" t="inlineStr">
        <is>
          <t>MORA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25737-2025</t>
        </is>
      </c>
      <c r="B1278" s="1" t="n">
        <v>45800</v>
      </c>
      <c r="C1278" s="1" t="n">
        <v>45837</v>
      </c>
      <c r="D1278" t="inlineStr">
        <is>
          <t>DALARNAS LÄN</t>
        </is>
      </c>
      <c r="E1278" t="inlineStr">
        <is>
          <t>MORA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26577-2025</t>
        </is>
      </c>
      <c r="B1279" s="1" t="n">
        <v>45807</v>
      </c>
      <c r="C1279" s="1" t="n">
        <v>45837</v>
      </c>
      <c r="D1279" t="inlineStr">
        <is>
          <t>DALARNAS LÄN</t>
        </is>
      </c>
      <c r="E1279" t="inlineStr">
        <is>
          <t>MORA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26545-2025</t>
        </is>
      </c>
      <c r="B1280" s="1" t="n">
        <v>45807</v>
      </c>
      <c r="C1280" s="1" t="n">
        <v>45837</v>
      </c>
      <c r="D1280" t="inlineStr">
        <is>
          <t>DALARNAS LÄN</t>
        </is>
      </c>
      <c r="E1280" t="inlineStr">
        <is>
          <t>MORA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26546-2025</t>
        </is>
      </c>
      <c r="B1281" s="1" t="n">
        <v>45807</v>
      </c>
      <c r="C1281" s="1" t="n">
        <v>45837</v>
      </c>
      <c r="D1281" t="inlineStr">
        <is>
          <t>DALARNAS LÄN</t>
        </is>
      </c>
      <c r="E1281" t="inlineStr">
        <is>
          <t>MORA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26573-2025</t>
        </is>
      </c>
      <c r="B1282" s="1" t="n">
        <v>45807</v>
      </c>
      <c r="C1282" s="1" t="n">
        <v>45837</v>
      </c>
      <c r="D1282" t="inlineStr">
        <is>
          <t>DALARNAS LÄN</t>
        </is>
      </c>
      <c r="E1282" t="inlineStr">
        <is>
          <t>MORA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26532-2025</t>
        </is>
      </c>
      <c r="B1283" s="1" t="n">
        <v>45807</v>
      </c>
      <c r="C1283" s="1" t="n">
        <v>45837</v>
      </c>
      <c r="D1283" t="inlineStr">
        <is>
          <t>DALARNAS LÄN</t>
        </is>
      </c>
      <c r="E1283" t="inlineStr">
        <is>
          <t>MORA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26630-2025</t>
        </is>
      </c>
      <c r="B1284" s="1" t="n">
        <v>45809</v>
      </c>
      <c r="C1284" s="1" t="n">
        <v>45837</v>
      </c>
      <c r="D1284" t="inlineStr">
        <is>
          <t>DALARNAS LÄN</t>
        </is>
      </c>
      <c r="E1284" t="inlineStr">
        <is>
          <t>MORA</t>
        </is>
      </c>
      <c r="G1284" t="n">
        <v>32.1</v>
      </c>
      <c r="H1284" t="n">
        <v>0</v>
      </c>
      <c r="I1284" t="n">
        <v>0</v>
      </c>
      <c r="J1284" t="n">
        <v>0</v>
      </c>
      <c r="K1284" t="n">
        <v>0</v>
      </c>
      <c r="L1284" t="n">
        <v>0</v>
      </c>
      <c r="M1284" t="n">
        <v>0</v>
      </c>
      <c r="N1284" t="n">
        <v>0</v>
      </c>
      <c r="O1284" t="n">
        <v>0</v>
      </c>
      <c r="P1284" t="n">
        <v>0</v>
      </c>
      <c r="Q1284" t="n">
        <v>0</v>
      </c>
      <c r="R1284" s="2" t="inlineStr"/>
    </row>
    <row r="1285" ht="15" customHeight="1">
      <c r="A1285" t="inlineStr">
        <is>
          <t>A 26647-2025</t>
        </is>
      </c>
      <c r="B1285" s="1" t="n">
        <v>45810</v>
      </c>
      <c r="C1285" s="1" t="n">
        <v>45837</v>
      </c>
      <c r="D1285" t="inlineStr">
        <is>
          <t>DALARNAS LÄN</t>
        </is>
      </c>
      <c r="E1285" t="inlineStr">
        <is>
          <t>MORA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26711-2025</t>
        </is>
      </c>
      <c r="B1286" s="1" t="n">
        <v>45810</v>
      </c>
      <c r="C1286" s="1" t="n">
        <v>45837</v>
      </c>
      <c r="D1286" t="inlineStr">
        <is>
          <t>DALARNAS LÄN</t>
        </is>
      </c>
      <c r="E1286" t="inlineStr">
        <is>
          <t>MORA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26854-2025</t>
        </is>
      </c>
      <c r="B1287" s="1" t="n">
        <v>45810</v>
      </c>
      <c r="C1287" s="1" t="n">
        <v>45837</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26731-2025</t>
        </is>
      </c>
      <c r="B1288" s="1" t="n">
        <v>45810</v>
      </c>
      <c r="C1288" s="1" t="n">
        <v>45837</v>
      </c>
      <c r="D1288" t="inlineStr">
        <is>
          <t>DALARNAS LÄN</t>
        </is>
      </c>
      <c r="E1288" t="inlineStr">
        <is>
          <t>MORA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45837</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27177-2025</t>
        </is>
      </c>
      <c r="B1290" s="1" t="n">
        <v>45812</v>
      </c>
      <c r="C1290" s="1" t="n">
        <v>45837</v>
      </c>
      <c r="D1290" t="inlineStr">
        <is>
          <t>DALARNAS LÄN</t>
        </is>
      </c>
      <c r="E1290" t="inlineStr">
        <is>
          <t>MORA</t>
        </is>
      </c>
      <c r="F1290" t="inlineStr">
        <is>
          <t>Bergvik skog öst AB</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45837</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27175-2025</t>
        </is>
      </c>
      <c r="B1292" s="1" t="n">
        <v>45812</v>
      </c>
      <c r="C1292" s="1" t="n">
        <v>45837</v>
      </c>
      <c r="D1292" t="inlineStr">
        <is>
          <t>DALARNAS LÄN</t>
        </is>
      </c>
      <c r="E1292" t="inlineStr">
        <is>
          <t>MORA</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27642-2025</t>
        </is>
      </c>
      <c r="B1293" s="1" t="n">
        <v>45813</v>
      </c>
      <c r="C1293" s="1" t="n">
        <v>45837</v>
      </c>
      <c r="D1293" t="inlineStr">
        <is>
          <t>DALARNAS LÄN</t>
        </is>
      </c>
      <c r="E1293" t="inlineStr">
        <is>
          <t>MORA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28033-2025</t>
        </is>
      </c>
      <c r="B1294" s="1" t="n">
        <v>45817</v>
      </c>
      <c r="C1294" s="1" t="n">
        <v>45837</v>
      </c>
      <c r="D1294" t="inlineStr">
        <is>
          <t>DALARNAS LÄN</t>
        </is>
      </c>
      <c r="E1294" t="inlineStr">
        <is>
          <t>MORA</t>
        </is>
      </c>
      <c r="F1294" t="inlineStr">
        <is>
          <t>Bergvik skog öst AB</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28927-2025</t>
        </is>
      </c>
      <c r="B1295" s="1" t="n">
        <v>45820</v>
      </c>
      <c r="C1295" s="1" t="n">
        <v>45837</v>
      </c>
      <c r="D1295" t="inlineStr">
        <is>
          <t>DALARNAS LÄN</t>
        </is>
      </c>
      <c r="E1295" t="inlineStr">
        <is>
          <t>MORA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28924-2025</t>
        </is>
      </c>
      <c r="B1296" s="1" t="n">
        <v>45820</v>
      </c>
      <c r="C1296" s="1" t="n">
        <v>45837</v>
      </c>
      <c r="D1296" t="inlineStr">
        <is>
          <t>DALARNAS LÄN</t>
        </is>
      </c>
      <c r="E1296" t="inlineStr">
        <is>
          <t>MORA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28751-2025</t>
        </is>
      </c>
      <c r="B1297" s="1" t="n">
        <v>45820</v>
      </c>
      <c r="C1297" s="1" t="n">
        <v>45837</v>
      </c>
      <c r="D1297" t="inlineStr">
        <is>
          <t>DALARNAS LÄN</t>
        </is>
      </c>
      <c r="E1297" t="inlineStr">
        <is>
          <t>MORA</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45837</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45837</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45837</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45837</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29392-2025</t>
        </is>
      </c>
      <c r="B1302" s="1" t="n">
        <v>45824</v>
      </c>
      <c r="C1302" s="1" t="n">
        <v>45837</v>
      </c>
      <c r="D1302" t="inlineStr">
        <is>
          <t>DALARNAS LÄN</t>
        </is>
      </c>
      <c r="E1302" t="inlineStr">
        <is>
          <t>MORA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29380-2025</t>
        </is>
      </c>
      <c r="B1303" s="1" t="n">
        <v>45824</v>
      </c>
      <c r="C1303" s="1" t="n">
        <v>45837</v>
      </c>
      <c r="D1303" t="inlineStr">
        <is>
          <t>DALARNAS LÄN</t>
        </is>
      </c>
      <c r="E1303" t="inlineStr">
        <is>
          <t>MORA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45837</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45837</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45837</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45837</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45837</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29934-2025</t>
        </is>
      </c>
      <c r="B1309" s="1" t="n">
        <v>45826</v>
      </c>
      <c r="C1309" s="1" t="n">
        <v>45837</v>
      </c>
      <c r="D1309" t="inlineStr">
        <is>
          <t>DALARNAS LÄN</t>
        </is>
      </c>
      <c r="E1309" t="inlineStr">
        <is>
          <t>MORA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45837</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45837</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45837</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45837</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45837</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45837</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45837</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45837</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45837</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45837</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45837</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45837</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45837</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c r="A1323" t="inlineStr">
        <is>
          <t>A 31842-2025</t>
        </is>
      </c>
      <c r="B1323" s="1" t="n">
        <v>45834</v>
      </c>
      <c r="C1323" s="1" t="n">
        <v>45837</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2025-06-29T19:20:54Z</dcterms:created>
  <dcterms:modified xmlns:dcterms="http://purl.org/dc/terms/" xmlns:xsi="http://www.w3.org/2001/XMLSchema-instance" xsi:type="dcterms:W3CDTF">2025-06-29T19:20:55Z</dcterms:modified>
</cp:coreProperties>
</file>