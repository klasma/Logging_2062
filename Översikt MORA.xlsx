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46089</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46089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46089</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46089</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46089</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46089</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46089</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46089</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46089</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46089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46089</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46089</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46089</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46089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46089</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46089</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46089</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46089</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46089</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46089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21041-2023</t>
        </is>
      </c>
      <c r="B35" s="1" t="n">
        <v>45061.58952546296</v>
      </c>
      <c r="C35" s="1" t="n">
        <v>46089</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46089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46089</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46089</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46089</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46089</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46089</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46089</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46089</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46089</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62154-2025</t>
        </is>
      </c>
      <c r="B48" s="1" t="n">
        <v>46006.48664351852</v>
      </c>
      <c r="C48" s="1" t="n">
        <v>46089</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58169-2025</t>
        </is>
      </c>
      <c r="B49" s="1" t="n">
        <v>45982.72690972222</v>
      </c>
      <c r="C49" s="1" t="n">
        <v>46089</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8760-2025</t>
        </is>
      </c>
      <c r="B50" s="1" t="n">
        <v>45712.57467592593</v>
      </c>
      <c r="C50" s="1" t="n">
        <v>46089</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46089</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46089</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46089</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46089</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46089</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46089</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46089</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46089</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46089</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46089</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11973-2026</t>
        </is>
      </c>
      <c r="B61" s="1" t="n">
        <v>46085.62635416666</v>
      </c>
      <c r="C61" s="1" t="n">
        <v>46089</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46089</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14293-2024</t>
        </is>
      </c>
      <c r="B63" s="1" t="n">
        <v>45393.63902777778</v>
      </c>
      <c r="C63" s="1" t="n">
        <v>46089</v>
      </c>
      <c r="D63" t="inlineStr">
        <is>
          <t>DALARNAS LÄN</t>
        </is>
      </c>
      <c r="E63" t="inlineStr">
        <is>
          <t>MORA</t>
        </is>
      </c>
      <c r="G63" t="n">
        <v>7.4</v>
      </c>
      <c r="H63" t="n">
        <v>2</v>
      </c>
      <c r="I63" t="n">
        <v>1</v>
      </c>
      <c r="J63" t="n">
        <v>2</v>
      </c>
      <c r="K63" t="n">
        <v>0</v>
      </c>
      <c r="L63" t="n">
        <v>0</v>
      </c>
      <c r="M63" t="n">
        <v>0</v>
      </c>
      <c r="N63" t="n">
        <v>0</v>
      </c>
      <c r="O63" t="n">
        <v>2</v>
      </c>
      <c r="P63" t="n">
        <v>0</v>
      </c>
      <c r="Q63" t="n">
        <v>4</v>
      </c>
      <c r="R63" s="2" t="inlineStr">
        <is>
          <t>Garnlav
Talltita
Dropptaggsvamp
Tjäder</t>
        </is>
      </c>
      <c r="S63">
        <f>HYPERLINK("https://klasma.github.io/Logging_2062/artfynd/A 14293-2024 artfynd.xlsx", "A 14293-2024")</f>
        <v/>
      </c>
      <c r="T63">
        <f>HYPERLINK("https://klasma.github.io/Logging_2062/kartor/A 14293-2024 karta.png", "A 14293-2024")</f>
        <v/>
      </c>
      <c r="V63">
        <f>HYPERLINK("https://klasma.github.io/Logging_2062/klagomål/A 14293-2024 FSC-klagomål.docx", "A 14293-2024")</f>
        <v/>
      </c>
      <c r="W63">
        <f>HYPERLINK("https://klasma.github.io/Logging_2062/klagomålsmail/A 14293-2024 FSC-klagomål mail.docx", "A 14293-2024")</f>
        <v/>
      </c>
      <c r="X63">
        <f>HYPERLINK("https://klasma.github.io/Logging_2062/tillsyn/A 14293-2024 tillsynsbegäran.docx", "A 14293-2024")</f>
        <v/>
      </c>
      <c r="Y63">
        <f>HYPERLINK("https://klasma.github.io/Logging_2062/tillsynsmail/A 14293-2024 tillsynsbegäran mail.docx", "A 14293-2024")</f>
        <v/>
      </c>
      <c r="Z63">
        <f>HYPERLINK("https://klasma.github.io/Logging_2062/fåglar/A 14293-2024 prioriterade fågelarter.docx", "A 14293-2024")</f>
        <v/>
      </c>
    </row>
    <row r="64" ht="15" customHeight="1">
      <c r="A64" t="inlineStr">
        <is>
          <t>A 17648-2024</t>
        </is>
      </c>
      <c r="B64" s="1" t="n">
        <v>45418.39261574074</v>
      </c>
      <c r="C64" s="1" t="n">
        <v>46089</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39481-2025</t>
        </is>
      </c>
      <c r="B65" s="1" t="n">
        <v>45890.35545138889</v>
      </c>
      <c r="C65" s="1" t="n">
        <v>46089</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29392-2025</t>
        </is>
      </c>
      <c r="B66" s="1" t="n">
        <v>45824.60537037037</v>
      </c>
      <c r="C66" s="1" t="n">
        <v>46089</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8878-2026</t>
        </is>
      </c>
      <c r="B67" s="1" t="n">
        <v>46067.50817129629</v>
      </c>
      <c r="C67" s="1" t="n">
        <v>46089</v>
      </c>
      <c r="D67" t="inlineStr">
        <is>
          <t>DALARNAS LÄN</t>
        </is>
      </c>
      <c r="E67" t="inlineStr">
        <is>
          <t>MORA</t>
        </is>
      </c>
      <c r="G67" t="n">
        <v>2.3</v>
      </c>
      <c r="H67" t="n">
        <v>3</v>
      </c>
      <c r="I67" t="n">
        <v>0</v>
      </c>
      <c r="J67" t="n">
        <v>1</v>
      </c>
      <c r="K67" t="n">
        <v>0</v>
      </c>
      <c r="L67" t="n">
        <v>0</v>
      </c>
      <c r="M67" t="n">
        <v>0</v>
      </c>
      <c r="N67" t="n">
        <v>0</v>
      </c>
      <c r="O67" t="n">
        <v>1</v>
      </c>
      <c r="P67" t="n">
        <v>0</v>
      </c>
      <c r="Q67" t="n">
        <v>3</v>
      </c>
      <c r="R67" s="2" t="inlineStr">
        <is>
          <t>Järpe
Tjäder
Revlummer</t>
        </is>
      </c>
      <c r="S67">
        <f>HYPERLINK("https://klasma.github.io/Logging_2062/artfynd/A 8878-2026 artfynd.xlsx", "A 8878-2026")</f>
        <v/>
      </c>
      <c r="T67">
        <f>HYPERLINK("https://klasma.github.io/Logging_2062/kartor/A 8878-2026 karta.png", "A 8878-2026")</f>
        <v/>
      </c>
      <c r="V67">
        <f>HYPERLINK("https://klasma.github.io/Logging_2062/klagomål/A 8878-2026 FSC-klagomål.docx", "A 8878-2026")</f>
        <v/>
      </c>
      <c r="W67">
        <f>HYPERLINK("https://klasma.github.io/Logging_2062/klagomålsmail/A 8878-2026 FSC-klagomål mail.docx", "A 8878-2026")</f>
        <v/>
      </c>
      <c r="X67">
        <f>HYPERLINK("https://klasma.github.io/Logging_2062/tillsyn/A 8878-2026 tillsynsbegäran.docx", "A 8878-2026")</f>
        <v/>
      </c>
      <c r="Y67">
        <f>HYPERLINK("https://klasma.github.io/Logging_2062/tillsynsmail/A 8878-2026 tillsynsbegäran mail.docx", "A 8878-2026")</f>
        <v/>
      </c>
      <c r="Z67">
        <f>HYPERLINK("https://klasma.github.io/Logging_2062/fåglar/A 8878-2026 prioriterade fågelarter.docx", "A 8878-2026")</f>
        <v/>
      </c>
    </row>
    <row r="68" ht="15" customHeight="1">
      <c r="A68" t="inlineStr">
        <is>
          <t>A 49695-2025</t>
        </is>
      </c>
      <c r="B68" s="1" t="n">
        <v>45939.67418981482</v>
      </c>
      <c r="C68" s="1" t="n">
        <v>46089</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46089</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23163-2025</t>
        </is>
      </c>
      <c r="B70" s="1" t="n">
        <v>45791.41832175926</v>
      </c>
      <c r="C70" s="1" t="n">
        <v>46089</v>
      </c>
      <c r="D70" t="inlineStr">
        <is>
          <t>DALARNAS LÄN</t>
        </is>
      </c>
      <c r="E70" t="inlineStr">
        <is>
          <t>MORA</t>
        </is>
      </c>
      <c r="G70" t="n">
        <v>4.2</v>
      </c>
      <c r="H70" t="n">
        <v>2</v>
      </c>
      <c r="I70" t="n">
        <v>0</v>
      </c>
      <c r="J70" t="n">
        <v>3</v>
      </c>
      <c r="K70" t="n">
        <v>0</v>
      </c>
      <c r="L70" t="n">
        <v>0</v>
      </c>
      <c r="M70" t="n">
        <v>0</v>
      </c>
      <c r="N70" t="n">
        <v>0</v>
      </c>
      <c r="O70" t="n">
        <v>3</v>
      </c>
      <c r="P70" t="n">
        <v>0</v>
      </c>
      <c r="Q70" t="n">
        <v>3</v>
      </c>
      <c r="R70" s="2" t="inlineStr">
        <is>
          <t>Garnlav
Spillkråka
Talltita</t>
        </is>
      </c>
      <c r="S70">
        <f>HYPERLINK("https://klasma.github.io/Logging_2062/artfynd/A 23163-2025 artfynd.xlsx", "A 23163-2025")</f>
        <v/>
      </c>
      <c r="T70">
        <f>HYPERLINK("https://klasma.github.io/Logging_2062/kartor/A 23163-2025 karta.png", "A 23163-2025")</f>
        <v/>
      </c>
      <c r="U70">
        <f>HYPERLINK("https://klasma.github.io/Logging_2062/knärot/A 23163-2025 karta knärot.png", "A 23163-2025")</f>
        <v/>
      </c>
      <c r="V70">
        <f>HYPERLINK("https://klasma.github.io/Logging_2062/klagomål/A 23163-2025 FSC-klagomål.docx", "A 23163-2025")</f>
        <v/>
      </c>
      <c r="W70">
        <f>HYPERLINK("https://klasma.github.io/Logging_2062/klagomålsmail/A 23163-2025 FSC-klagomål mail.docx", "A 23163-2025")</f>
        <v/>
      </c>
      <c r="X70">
        <f>HYPERLINK("https://klasma.github.io/Logging_2062/tillsyn/A 23163-2025 tillsynsbegäran.docx", "A 23163-2025")</f>
        <v/>
      </c>
      <c r="Y70">
        <f>HYPERLINK("https://klasma.github.io/Logging_2062/tillsynsmail/A 23163-2025 tillsynsbegäran mail.docx", "A 23163-2025")</f>
        <v/>
      </c>
      <c r="Z70">
        <f>HYPERLINK("https://klasma.github.io/Logging_2062/fåglar/A 23163-2025 prioriterade fågelarter.docx", "A 23163-2025")</f>
        <v/>
      </c>
    </row>
    <row r="71" ht="15" customHeight="1">
      <c r="A71" t="inlineStr">
        <is>
          <t>A 42028-2023</t>
        </is>
      </c>
      <c r="B71" s="1" t="n">
        <v>45177.49715277777</v>
      </c>
      <c r="C71" s="1" t="n">
        <v>46089</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35068-2025</t>
        </is>
      </c>
      <c r="B72" s="1" t="n">
        <v>45852.45686342593</v>
      </c>
      <c r="C72" s="1" t="n">
        <v>46089</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37552-2023</t>
        </is>
      </c>
      <c r="B73" s="1" t="n">
        <v>45159.32799768518</v>
      </c>
      <c r="C73" s="1" t="n">
        <v>46089</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2729-2026</t>
        </is>
      </c>
      <c r="B74" s="1" t="n">
        <v>46037.84224537037</v>
      </c>
      <c r="C74" s="1" t="n">
        <v>46089</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36058-2024</t>
        </is>
      </c>
      <c r="B75" s="1" t="n">
        <v>45533</v>
      </c>
      <c r="C75" s="1" t="n">
        <v>46089</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46089</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5304-2023</t>
        </is>
      </c>
      <c r="B77" s="1" t="n">
        <v>44959.55116898148</v>
      </c>
      <c r="C77" s="1" t="n">
        <v>46089</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27113-2024</t>
        </is>
      </c>
      <c r="B78" s="1" t="n">
        <v>45471</v>
      </c>
      <c r="C78" s="1" t="n">
        <v>46089</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831-2025</t>
        </is>
      </c>
      <c r="B79" s="1" t="n">
        <v>45665.58001157407</v>
      </c>
      <c r="C79" s="1" t="n">
        <v>46089</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68415-2021</t>
        </is>
      </c>
      <c r="B80" s="1" t="n">
        <v>44529</v>
      </c>
      <c r="C80" s="1" t="n">
        <v>46089</v>
      </c>
      <c r="D80" t="inlineStr">
        <is>
          <t>DALARNAS LÄN</t>
        </is>
      </c>
      <c r="E80" t="inlineStr">
        <is>
          <t>MORA</t>
        </is>
      </c>
      <c r="G80" t="n">
        <v>1.2</v>
      </c>
      <c r="H80" t="n">
        <v>1</v>
      </c>
      <c r="I80" t="n">
        <v>0</v>
      </c>
      <c r="J80" t="n">
        <v>0</v>
      </c>
      <c r="K80" t="n">
        <v>0</v>
      </c>
      <c r="L80" t="n">
        <v>0</v>
      </c>
      <c r="M80" t="n">
        <v>0</v>
      </c>
      <c r="N80" t="n">
        <v>0</v>
      </c>
      <c r="O80" t="n">
        <v>0</v>
      </c>
      <c r="P80" t="n">
        <v>0</v>
      </c>
      <c r="Q80" t="n">
        <v>1</v>
      </c>
      <c r="R80" s="2" t="inlineStr">
        <is>
          <t>Sparvuggla</t>
        </is>
      </c>
      <c r="S80">
        <f>HYPERLINK("https://klasma.github.io/Logging_2062/artfynd/A 68415-2021 artfynd.xlsx", "A 68415-2021")</f>
        <v/>
      </c>
      <c r="T80">
        <f>HYPERLINK("https://klasma.github.io/Logging_2062/kartor/A 68415-2021 karta.png", "A 68415-2021")</f>
        <v/>
      </c>
      <c r="V80">
        <f>HYPERLINK("https://klasma.github.io/Logging_2062/klagomål/A 68415-2021 FSC-klagomål.docx", "A 68415-2021")</f>
        <v/>
      </c>
      <c r="W80">
        <f>HYPERLINK("https://klasma.github.io/Logging_2062/klagomålsmail/A 68415-2021 FSC-klagomål mail.docx", "A 68415-2021")</f>
        <v/>
      </c>
      <c r="X80">
        <f>HYPERLINK("https://klasma.github.io/Logging_2062/tillsyn/A 68415-2021 tillsynsbegäran.docx", "A 68415-2021")</f>
        <v/>
      </c>
      <c r="Y80">
        <f>HYPERLINK("https://klasma.github.io/Logging_2062/tillsynsmail/A 68415-2021 tillsynsbegäran mail.docx", "A 68415-2021")</f>
        <v/>
      </c>
      <c r="Z80">
        <f>HYPERLINK("https://klasma.github.io/Logging_2062/fåglar/A 68415-2021 prioriterade fågelarter.docx", "A 68415-2021")</f>
        <v/>
      </c>
    </row>
    <row r="81" ht="15" customHeight="1">
      <c r="A81" t="inlineStr">
        <is>
          <t>A 57669-2022</t>
        </is>
      </c>
      <c r="B81" s="1" t="n">
        <v>44897</v>
      </c>
      <c r="C81" s="1" t="n">
        <v>46089</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23736-2023</t>
        </is>
      </c>
      <c r="B82" s="1" t="n">
        <v>45077</v>
      </c>
      <c r="C82" s="1" t="n">
        <v>46089</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62096-2025</t>
        </is>
      </c>
      <c r="B83" s="1" t="n">
        <v>46006.38961805555</v>
      </c>
      <c r="C83" s="1" t="n">
        <v>46089</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45344-2024</t>
        </is>
      </c>
      <c r="B84" s="1" t="n">
        <v>45576</v>
      </c>
      <c r="C84" s="1" t="n">
        <v>46089</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46089</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46089</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46089</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38769-2021</t>
        </is>
      </c>
      <c r="B88" s="1" t="n">
        <v>44410</v>
      </c>
      <c r="C88" s="1" t="n">
        <v>46089</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46089</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42505-2021</t>
        </is>
      </c>
      <c r="B90" s="1" t="n">
        <v>44427</v>
      </c>
      <c r="C90" s="1" t="n">
        <v>46089</v>
      </c>
      <c r="D90" t="inlineStr">
        <is>
          <t>DALARNAS LÄN</t>
        </is>
      </c>
      <c r="E90" t="inlineStr">
        <is>
          <t>MORA</t>
        </is>
      </c>
      <c r="G90" t="n">
        <v>0.9</v>
      </c>
      <c r="H90" t="n">
        <v>0</v>
      </c>
      <c r="I90" t="n">
        <v>0</v>
      </c>
      <c r="J90" t="n">
        <v>0</v>
      </c>
      <c r="K90" t="n">
        <v>0</v>
      </c>
      <c r="L90" t="n">
        <v>0</v>
      </c>
      <c r="M90" t="n">
        <v>0</v>
      </c>
      <c r="N90" t="n">
        <v>0</v>
      </c>
      <c r="O90" t="n">
        <v>0</v>
      </c>
      <c r="P90" t="n">
        <v>0</v>
      </c>
      <c r="Q90" t="n">
        <v>0</v>
      </c>
      <c r="R90" s="2" t="inlineStr"/>
    </row>
    <row r="91" ht="15" customHeight="1">
      <c r="A91" t="inlineStr">
        <is>
          <t>A 34897-2022</t>
        </is>
      </c>
      <c r="B91" s="1" t="n">
        <v>44796</v>
      </c>
      <c r="C91" s="1" t="n">
        <v>46089</v>
      </c>
      <c r="D91" t="inlineStr">
        <is>
          <t>DALARNAS LÄN</t>
        </is>
      </c>
      <c r="E91" t="inlineStr">
        <is>
          <t>MORA</t>
        </is>
      </c>
      <c r="F91" t="inlineStr">
        <is>
          <t>Bergvik skog väst AB</t>
        </is>
      </c>
      <c r="G91" t="n">
        <v>8</v>
      </c>
      <c r="H91" t="n">
        <v>0</v>
      </c>
      <c r="I91" t="n">
        <v>0</v>
      </c>
      <c r="J91" t="n">
        <v>0</v>
      </c>
      <c r="K91" t="n">
        <v>0</v>
      </c>
      <c r="L91" t="n">
        <v>0</v>
      </c>
      <c r="M91" t="n">
        <v>0</v>
      </c>
      <c r="N91" t="n">
        <v>0</v>
      </c>
      <c r="O91" t="n">
        <v>0</v>
      </c>
      <c r="P91" t="n">
        <v>0</v>
      </c>
      <c r="Q91" t="n">
        <v>0</v>
      </c>
      <c r="R91" s="2" t="inlineStr"/>
    </row>
    <row r="92" ht="15" customHeight="1">
      <c r="A92" t="inlineStr">
        <is>
          <t>A 66158-2021</t>
        </is>
      </c>
      <c r="B92" s="1" t="n">
        <v>44517.934375</v>
      </c>
      <c r="C92" s="1" t="n">
        <v>46089</v>
      </c>
      <c r="D92" t="inlineStr">
        <is>
          <t>DALARNAS LÄN</t>
        </is>
      </c>
      <c r="E92" t="inlineStr">
        <is>
          <t>MORA</t>
        </is>
      </c>
      <c r="G92" t="n">
        <v>3.3</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46089</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46089</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46089</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46089</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46089</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46089</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46089</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46089</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46089</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46089</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46089</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46089</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46089</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46089</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46089</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46089</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46089</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46089</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46089</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46089</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30905-2021</t>
        </is>
      </c>
      <c r="B114" s="1" t="n">
        <v>44365</v>
      </c>
      <c r="C114" s="1" t="n">
        <v>46089</v>
      </c>
      <c r="D114" t="inlineStr">
        <is>
          <t>DALARNAS LÄN</t>
        </is>
      </c>
      <c r="E114" t="inlineStr">
        <is>
          <t>MORA</t>
        </is>
      </c>
      <c r="G114" t="n">
        <v>2.6</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46089</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46089</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46089</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46089</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46089</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46089</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46089</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46089</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46089</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46089</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46089</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46089</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46089</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46089</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46089</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46089</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46089</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46089</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46089</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46089</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46089</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46089</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46089</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46089</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46089</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46089</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46089</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46089</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46089</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46089</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46089</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46089</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46089</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46089</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46089</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46089</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46089</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46089</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46089</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35287-2024</t>
        </is>
      </c>
      <c r="B154" s="1" t="n">
        <v>45530</v>
      </c>
      <c r="C154" s="1" t="n">
        <v>46089</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8068-2024</t>
        </is>
      </c>
      <c r="B155" s="1" t="n">
        <v>45351.41524305556</v>
      </c>
      <c r="C155" s="1" t="n">
        <v>46089</v>
      </c>
      <c r="D155" t="inlineStr">
        <is>
          <t>DALARNAS LÄN</t>
        </is>
      </c>
      <c r="E155" t="inlineStr">
        <is>
          <t>MORA</t>
        </is>
      </c>
      <c r="G155" t="n">
        <v>6.4</v>
      </c>
      <c r="H155" t="n">
        <v>0</v>
      </c>
      <c r="I155" t="n">
        <v>0</v>
      </c>
      <c r="J155" t="n">
        <v>0</v>
      </c>
      <c r="K155" t="n">
        <v>0</v>
      </c>
      <c r="L155" t="n">
        <v>0</v>
      </c>
      <c r="M155" t="n">
        <v>0</v>
      </c>
      <c r="N155" t="n">
        <v>0</v>
      </c>
      <c r="O155" t="n">
        <v>0</v>
      </c>
      <c r="P155" t="n">
        <v>0</v>
      </c>
      <c r="Q155" t="n">
        <v>0</v>
      </c>
      <c r="R155" s="2" t="inlineStr"/>
    </row>
    <row r="156" ht="15" customHeight="1">
      <c r="A156" t="inlineStr">
        <is>
          <t>A 8100-2024</t>
        </is>
      </c>
      <c r="B156" s="1" t="n">
        <v>45351.46583333334</v>
      </c>
      <c r="C156" s="1" t="n">
        <v>46089</v>
      </c>
      <c r="D156" t="inlineStr">
        <is>
          <t>DALARNAS LÄN</t>
        </is>
      </c>
      <c r="E156" t="inlineStr">
        <is>
          <t>MORA</t>
        </is>
      </c>
      <c r="G156" t="n">
        <v>3.2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46089</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46089</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46089</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46089</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46089</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46089</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20594-2025</t>
        </is>
      </c>
      <c r="B163" s="1" t="n">
        <v>45775.74009259259</v>
      </c>
      <c r="C163" s="1" t="n">
        <v>46089</v>
      </c>
      <c r="D163" t="inlineStr">
        <is>
          <t>DALARNAS LÄN</t>
        </is>
      </c>
      <c r="E163" t="inlineStr">
        <is>
          <t>MORA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43874-2024</t>
        </is>
      </c>
      <c r="B164" s="1" t="n">
        <v>45572.38476851852</v>
      </c>
      <c r="C164" s="1" t="n">
        <v>46089</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46089</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46089</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46089</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46089</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46089</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46089</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46089</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46089</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46089</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18702-2025</t>
        </is>
      </c>
      <c r="B174" s="1" t="n">
        <v>45763.63166666667</v>
      </c>
      <c r="C174" s="1" t="n">
        <v>46089</v>
      </c>
      <c r="D174" t="inlineStr">
        <is>
          <t>DALARNAS LÄN</t>
        </is>
      </c>
      <c r="E174" t="inlineStr">
        <is>
          <t>MORA</t>
        </is>
      </c>
      <c r="G174" t="n">
        <v>3.6</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46089</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30998-2022</t>
        </is>
      </c>
      <c r="B176" s="1" t="n">
        <v>44768</v>
      </c>
      <c r="C176" s="1" t="n">
        <v>46089</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47143-2022</t>
        </is>
      </c>
      <c r="B177" s="1" t="n">
        <v>44852</v>
      </c>
      <c r="C177" s="1" t="n">
        <v>46089</v>
      </c>
      <c r="D177" t="inlineStr">
        <is>
          <t>DALARNAS LÄN</t>
        </is>
      </c>
      <c r="E177" t="inlineStr">
        <is>
          <t>MORA</t>
        </is>
      </c>
      <c r="G177" t="n">
        <v>3.9</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46089</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46089</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46089</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61405-2023</t>
        </is>
      </c>
      <c r="B181" s="1" t="n">
        <v>45264.65987268519</v>
      </c>
      <c r="C181" s="1" t="n">
        <v>46089</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23229-2025</t>
        </is>
      </c>
      <c r="B182" s="1" t="n">
        <v>45791</v>
      </c>
      <c r="C182" s="1" t="n">
        <v>46089</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62854-2023</t>
        </is>
      </c>
      <c r="B183" s="1" t="n">
        <v>45272</v>
      </c>
      <c r="C183" s="1" t="n">
        <v>46089</v>
      </c>
      <c r="D183" t="inlineStr">
        <is>
          <t>DALARNAS LÄN</t>
        </is>
      </c>
      <c r="E183" t="inlineStr">
        <is>
          <t>MORA</t>
        </is>
      </c>
      <c r="G183" t="n">
        <v>11.3</v>
      </c>
      <c r="H183" t="n">
        <v>0</v>
      </c>
      <c r="I183" t="n">
        <v>0</v>
      </c>
      <c r="J183" t="n">
        <v>0</v>
      </c>
      <c r="K183" t="n">
        <v>0</v>
      </c>
      <c r="L183" t="n">
        <v>0</v>
      </c>
      <c r="M183" t="n">
        <v>0</v>
      </c>
      <c r="N183" t="n">
        <v>0</v>
      </c>
      <c r="O183" t="n">
        <v>0</v>
      </c>
      <c r="P183" t="n">
        <v>0</v>
      </c>
      <c r="Q183" t="n">
        <v>0</v>
      </c>
      <c r="R183" s="2" t="inlineStr"/>
    </row>
    <row r="184" ht="15" customHeight="1">
      <c r="A184" t="inlineStr">
        <is>
          <t>A 24127-2025</t>
        </is>
      </c>
      <c r="B184" s="1" t="n">
        <v>45796.63137731481</v>
      </c>
      <c r="C184" s="1" t="n">
        <v>46089</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14832-2025</t>
        </is>
      </c>
      <c r="B185" s="1" t="n">
        <v>45743</v>
      </c>
      <c r="C185" s="1" t="n">
        <v>46089</v>
      </c>
      <c r="D185" t="inlineStr">
        <is>
          <t>DALARNAS LÄN</t>
        </is>
      </c>
      <c r="E185" t="inlineStr">
        <is>
          <t>MORA</t>
        </is>
      </c>
      <c r="G185" t="n">
        <v>9.1</v>
      </c>
      <c r="H185" t="n">
        <v>0</v>
      </c>
      <c r="I185" t="n">
        <v>0</v>
      </c>
      <c r="J185" t="n">
        <v>0</v>
      </c>
      <c r="K185" t="n">
        <v>0</v>
      </c>
      <c r="L185" t="n">
        <v>0</v>
      </c>
      <c r="M185" t="n">
        <v>0</v>
      </c>
      <c r="N185" t="n">
        <v>0</v>
      </c>
      <c r="O185" t="n">
        <v>0</v>
      </c>
      <c r="P185" t="n">
        <v>0</v>
      </c>
      <c r="Q185" t="n">
        <v>0</v>
      </c>
      <c r="R185" s="2" t="inlineStr"/>
    </row>
    <row r="186" ht="15" customHeight="1">
      <c r="A186" t="inlineStr">
        <is>
          <t>A 57475-2022</t>
        </is>
      </c>
      <c r="B186" s="1" t="n">
        <v>44896</v>
      </c>
      <c r="C186" s="1" t="n">
        <v>46089</v>
      </c>
      <c r="D186" t="inlineStr">
        <is>
          <t>DALARNAS LÄN</t>
        </is>
      </c>
      <c r="E186" t="inlineStr">
        <is>
          <t>MORA</t>
        </is>
      </c>
      <c r="G186" t="n">
        <v>5.7</v>
      </c>
      <c r="H186" t="n">
        <v>0</v>
      </c>
      <c r="I186" t="n">
        <v>0</v>
      </c>
      <c r="J186" t="n">
        <v>0</v>
      </c>
      <c r="K186" t="n">
        <v>0</v>
      </c>
      <c r="L186" t="n">
        <v>0</v>
      </c>
      <c r="M186" t="n">
        <v>0</v>
      </c>
      <c r="N186" t="n">
        <v>0</v>
      </c>
      <c r="O186" t="n">
        <v>0</v>
      </c>
      <c r="P186" t="n">
        <v>0</v>
      </c>
      <c r="Q186" t="n">
        <v>0</v>
      </c>
      <c r="R186" s="2" t="inlineStr"/>
    </row>
    <row r="187" ht="15" customHeight="1">
      <c r="A187" t="inlineStr">
        <is>
          <t>A 24249-2025</t>
        </is>
      </c>
      <c r="B187" s="1" t="n">
        <v>45797.40260416667</v>
      </c>
      <c r="C187" s="1" t="n">
        <v>46089</v>
      </c>
      <c r="D187" t="inlineStr">
        <is>
          <t>DALARNAS LÄN</t>
        </is>
      </c>
      <c r="E187" t="inlineStr">
        <is>
          <t>MORA</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7418-2026</t>
        </is>
      </c>
      <c r="B188" s="1" t="n">
        <v>46059.42018518518</v>
      </c>
      <c r="C188" s="1" t="n">
        <v>46089</v>
      </c>
      <c r="D188" t="inlineStr">
        <is>
          <t>DALARNAS LÄN</t>
        </is>
      </c>
      <c r="E188" t="inlineStr">
        <is>
          <t>MORA</t>
        </is>
      </c>
      <c r="G188" t="n">
        <v>4</v>
      </c>
      <c r="H188" t="n">
        <v>0</v>
      </c>
      <c r="I188" t="n">
        <v>0</v>
      </c>
      <c r="J188" t="n">
        <v>0</v>
      </c>
      <c r="K188" t="n">
        <v>0</v>
      </c>
      <c r="L188" t="n">
        <v>0</v>
      </c>
      <c r="M188" t="n">
        <v>0</v>
      </c>
      <c r="N188" t="n">
        <v>0</v>
      </c>
      <c r="O188" t="n">
        <v>0</v>
      </c>
      <c r="P188" t="n">
        <v>0</v>
      </c>
      <c r="Q188" t="n">
        <v>0</v>
      </c>
      <c r="R188" s="2" t="inlineStr"/>
    </row>
    <row r="189" ht="15" customHeight="1">
      <c r="A189" t="inlineStr">
        <is>
          <t>A 35363-2024</t>
        </is>
      </c>
      <c r="B189" s="1" t="n">
        <v>45531.34050925926</v>
      </c>
      <c r="C189" s="1" t="n">
        <v>46089</v>
      </c>
      <c r="D189" t="inlineStr">
        <is>
          <t>DALARNAS LÄN</t>
        </is>
      </c>
      <c r="E189" t="inlineStr">
        <is>
          <t>MORA</t>
        </is>
      </c>
      <c r="G189" t="n">
        <v>2.5</v>
      </c>
      <c r="H189" t="n">
        <v>0</v>
      </c>
      <c r="I189" t="n">
        <v>0</v>
      </c>
      <c r="J189" t="n">
        <v>0</v>
      </c>
      <c r="K189" t="n">
        <v>0</v>
      </c>
      <c r="L189" t="n">
        <v>0</v>
      </c>
      <c r="M189" t="n">
        <v>0</v>
      </c>
      <c r="N189" t="n">
        <v>0</v>
      </c>
      <c r="O189" t="n">
        <v>0</v>
      </c>
      <c r="P189" t="n">
        <v>0</v>
      </c>
      <c r="Q189" t="n">
        <v>0</v>
      </c>
      <c r="R189" s="2" t="inlineStr"/>
    </row>
    <row r="190" ht="15" customHeight="1">
      <c r="A190" t="inlineStr">
        <is>
          <t>A 44307-2021</t>
        </is>
      </c>
      <c r="B190" s="1" t="n">
        <v>44435</v>
      </c>
      <c r="C190" s="1" t="n">
        <v>46089</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9461-2025</t>
        </is>
      </c>
      <c r="B191" s="1" t="n">
        <v>45715.45341435185</v>
      </c>
      <c r="C191" s="1" t="n">
        <v>46089</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34928-2022</t>
        </is>
      </c>
      <c r="B192" s="1" t="n">
        <v>44796.60479166666</v>
      </c>
      <c r="C192" s="1" t="n">
        <v>46089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19286-2023</t>
        </is>
      </c>
      <c r="B193" s="1" t="n">
        <v>45049</v>
      </c>
      <c r="C193" s="1" t="n">
        <v>46089</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24230-2025</t>
        </is>
      </c>
      <c r="B194" s="1" t="n">
        <v>45797.37607638889</v>
      </c>
      <c r="C194" s="1" t="n">
        <v>46089</v>
      </c>
      <c r="D194" t="inlineStr">
        <is>
          <t>DALARNAS LÄN</t>
        </is>
      </c>
      <c r="E194" t="inlineStr">
        <is>
          <t>MORA</t>
        </is>
      </c>
      <c r="G194" t="n">
        <v>6.8</v>
      </c>
      <c r="H194" t="n">
        <v>0</v>
      </c>
      <c r="I194" t="n">
        <v>0</v>
      </c>
      <c r="J194" t="n">
        <v>0</v>
      </c>
      <c r="K194" t="n">
        <v>0</v>
      </c>
      <c r="L194" t="n">
        <v>0</v>
      </c>
      <c r="M194" t="n">
        <v>0</v>
      </c>
      <c r="N194" t="n">
        <v>0</v>
      </c>
      <c r="O194" t="n">
        <v>0</v>
      </c>
      <c r="P194" t="n">
        <v>0</v>
      </c>
      <c r="Q194" t="n">
        <v>0</v>
      </c>
      <c r="R194" s="2" t="inlineStr"/>
    </row>
    <row r="195" ht="15" customHeight="1">
      <c r="A195" t="inlineStr">
        <is>
          <t>A 24280-2025</t>
        </is>
      </c>
      <c r="B195" s="1" t="n">
        <v>45797.45581018519</v>
      </c>
      <c r="C195" s="1" t="n">
        <v>46089</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34923-2022</t>
        </is>
      </c>
      <c r="B196" s="1" t="n">
        <v>44796</v>
      </c>
      <c r="C196" s="1" t="n">
        <v>46089</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19183-2025</t>
        </is>
      </c>
      <c r="B197" s="1" t="n">
        <v>45769</v>
      </c>
      <c r="C197" s="1" t="n">
        <v>46089</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5922-2025</t>
        </is>
      </c>
      <c r="B198" s="1" t="n">
        <v>45695.42762731481</v>
      </c>
      <c r="C198" s="1" t="n">
        <v>46089</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24640-2025</t>
        </is>
      </c>
      <c r="B199" s="1" t="n">
        <v>45798.62243055556</v>
      </c>
      <c r="C199" s="1" t="n">
        <v>46089</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43533-2023</t>
        </is>
      </c>
      <c r="B200" s="1" t="n">
        <v>45184.53412037037</v>
      </c>
      <c r="C200" s="1" t="n">
        <v>46089</v>
      </c>
      <c r="D200" t="inlineStr">
        <is>
          <t>DALARNAS LÄN</t>
        </is>
      </c>
      <c r="E200" t="inlineStr">
        <is>
          <t>MORA</t>
        </is>
      </c>
      <c r="F200" t="inlineStr">
        <is>
          <t>Bergvik skog väst AB</t>
        </is>
      </c>
      <c r="G200" t="n">
        <v>10.3</v>
      </c>
      <c r="H200" t="n">
        <v>0</v>
      </c>
      <c r="I200" t="n">
        <v>0</v>
      </c>
      <c r="J200" t="n">
        <v>0</v>
      </c>
      <c r="K200" t="n">
        <v>0</v>
      </c>
      <c r="L200" t="n">
        <v>0</v>
      </c>
      <c r="M200" t="n">
        <v>0</v>
      </c>
      <c r="N200" t="n">
        <v>0</v>
      </c>
      <c r="O200" t="n">
        <v>0</v>
      </c>
      <c r="P200" t="n">
        <v>0</v>
      </c>
      <c r="Q200" t="n">
        <v>0</v>
      </c>
      <c r="R200" s="2" t="inlineStr"/>
    </row>
    <row r="201" ht="15" customHeight="1">
      <c r="A201" t="inlineStr">
        <is>
          <t>A 37774-2022</t>
        </is>
      </c>
      <c r="B201" s="1" t="n">
        <v>44810.64164351852</v>
      </c>
      <c r="C201" s="1" t="n">
        <v>46089</v>
      </c>
      <c r="D201" t="inlineStr">
        <is>
          <t>DALARNAS LÄN</t>
        </is>
      </c>
      <c r="E201" t="inlineStr">
        <is>
          <t>MORA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8007-2026</t>
        </is>
      </c>
      <c r="B202" s="1" t="n">
        <v>46063.52565972223</v>
      </c>
      <c r="C202" s="1" t="n">
        <v>46089</v>
      </c>
      <c r="D202" t="inlineStr">
        <is>
          <t>DALARNAS LÄN</t>
        </is>
      </c>
      <c r="E202" t="inlineStr">
        <is>
          <t>MORA</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7951-2026</t>
        </is>
      </c>
      <c r="B203" s="1" t="n">
        <v>46063.42481481482</v>
      </c>
      <c r="C203" s="1" t="n">
        <v>46089</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64327-2023</t>
        </is>
      </c>
      <c r="B204" s="1" t="n">
        <v>45280</v>
      </c>
      <c r="C204" s="1" t="n">
        <v>46089</v>
      </c>
      <c r="D204" t="inlineStr">
        <is>
          <t>DALARNAS LÄN</t>
        </is>
      </c>
      <c r="E204" t="inlineStr">
        <is>
          <t>MORA</t>
        </is>
      </c>
      <c r="G204" t="n">
        <v>0.8</v>
      </c>
      <c r="H204" t="n">
        <v>0</v>
      </c>
      <c r="I204" t="n">
        <v>0</v>
      </c>
      <c r="J204" t="n">
        <v>0</v>
      </c>
      <c r="K204" t="n">
        <v>0</v>
      </c>
      <c r="L204" t="n">
        <v>0</v>
      </c>
      <c r="M204" t="n">
        <v>0</v>
      </c>
      <c r="N204" t="n">
        <v>0</v>
      </c>
      <c r="O204" t="n">
        <v>0</v>
      </c>
      <c r="P204" t="n">
        <v>0</v>
      </c>
      <c r="Q204" t="n">
        <v>0</v>
      </c>
      <c r="R204" s="2" t="inlineStr"/>
    </row>
    <row r="205" ht="15" customHeight="1">
      <c r="A205" t="inlineStr">
        <is>
          <t>A 17145-2024</t>
        </is>
      </c>
      <c r="B205" s="1" t="n">
        <v>45412</v>
      </c>
      <c r="C205" s="1" t="n">
        <v>46089</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48728-2022</t>
        </is>
      </c>
      <c r="B206" s="1" t="n">
        <v>44859.52145833334</v>
      </c>
      <c r="C206" s="1" t="n">
        <v>46089</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24947-2025</t>
        </is>
      </c>
      <c r="B207" s="1" t="n">
        <v>45799.56524305556</v>
      </c>
      <c r="C207" s="1" t="n">
        <v>46089</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24630-2025</t>
        </is>
      </c>
      <c r="B208" s="1" t="n">
        <v>45798.6003587963</v>
      </c>
      <c r="C208" s="1" t="n">
        <v>46089</v>
      </c>
      <c r="D208" t="inlineStr">
        <is>
          <t>DALARNAS LÄN</t>
        </is>
      </c>
      <c r="E208" t="inlineStr">
        <is>
          <t>MORA</t>
        </is>
      </c>
      <c r="F208" t="inlineStr">
        <is>
          <t>Bergvik skog väst AB</t>
        </is>
      </c>
      <c r="G208" t="n">
        <v>10.4</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46089</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24642-2025</t>
        </is>
      </c>
      <c r="B210" s="1" t="n">
        <v>45798.62894675926</v>
      </c>
      <c r="C210" s="1" t="n">
        <v>46089</v>
      </c>
      <c r="D210" t="inlineStr">
        <is>
          <t>DALARNAS LÄN</t>
        </is>
      </c>
      <c r="E210" t="inlineStr">
        <is>
          <t>MORA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32410-2024</t>
        </is>
      </c>
      <c r="B211" s="1" t="n">
        <v>45512.70077546296</v>
      </c>
      <c r="C211" s="1" t="n">
        <v>46089</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63964-2025</t>
        </is>
      </c>
      <c r="B212" s="1" t="n">
        <v>46020</v>
      </c>
      <c r="C212" s="1" t="n">
        <v>46089</v>
      </c>
      <c r="D212" t="inlineStr">
        <is>
          <t>DALARNAS LÄN</t>
        </is>
      </c>
      <c r="E212" t="inlineStr">
        <is>
          <t>MORA</t>
        </is>
      </c>
      <c r="G212" t="n">
        <v>6.1</v>
      </c>
      <c r="H212" t="n">
        <v>0</v>
      </c>
      <c r="I212" t="n">
        <v>0</v>
      </c>
      <c r="J212" t="n">
        <v>0</v>
      </c>
      <c r="K212" t="n">
        <v>0</v>
      </c>
      <c r="L212" t="n">
        <v>0</v>
      </c>
      <c r="M212" t="n">
        <v>0</v>
      </c>
      <c r="N212" t="n">
        <v>0</v>
      </c>
      <c r="O212" t="n">
        <v>0</v>
      </c>
      <c r="P212" t="n">
        <v>0</v>
      </c>
      <c r="Q212" t="n">
        <v>0</v>
      </c>
      <c r="R212" s="2" t="inlineStr"/>
    </row>
    <row r="213" ht="15" customHeight="1">
      <c r="A213" t="inlineStr">
        <is>
          <t>A 4994-2025</t>
        </is>
      </c>
      <c r="B213" s="1" t="n">
        <v>45691.35427083333</v>
      </c>
      <c r="C213" s="1" t="n">
        <v>46089</v>
      </c>
      <c r="D213" t="inlineStr">
        <is>
          <t>DALARNAS LÄN</t>
        </is>
      </c>
      <c r="E213" t="inlineStr">
        <is>
          <t>MORA</t>
        </is>
      </c>
      <c r="G213" t="n">
        <v>4.6</v>
      </c>
      <c r="H213" t="n">
        <v>0</v>
      </c>
      <c r="I213" t="n">
        <v>0</v>
      </c>
      <c r="J213" t="n">
        <v>0</v>
      </c>
      <c r="K213" t="n">
        <v>0</v>
      </c>
      <c r="L213" t="n">
        <v>0</v>
      </c>
      <c r="M213" t="n">
        <v>0</v>
      </c>
      <c r="N213" t="n">
        <v>0</v>
      </c>
      <c r="O213" t="n">
        <v>0</v>
      </c>
      <c r="P213" t="n">
        <v>0</v>
      </c>
      <c r="Q213" t="n">
        <v>0</v>
      </c>
      <c r="R213" s="2" t="inlineStr"/>
    </row>
    <row r="214" ht="15" customHeight="1">
      <c r="A214" t="inlineStr">
        <is>
          <t>A 15993-2025</t>
        </is>
      </c>
      <c r="B214" s="1" t="n">
        <v>45749.58428240741</v>
      </c>
      <c r="C214" s="1" t="n">
        <v>46089</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46089</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51253-2023</t>
        </is>
      </c>
      <c r="B216" s="1" t="n">
        <v>45219</v>
      </c>
      <c r="C216" s="1" t="n">
        <v>46089</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46089</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11857-2023</t>
        </is>
      </c>
      <c r="B218" s="1" t="n">
        <v>44995</v>
      </c>
      <c r="C218" s="1" t="n">
        <v>46089</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39456-2025</t>
        </is>
      </c>
      <c r="B219" s="1" t="n">
        <v>45889.76200231481</v>
      </c>
      <c r="C219" s="1" t="n">
        <v>46089</v>
      </c>
      <c r="D219" t="inlineStr">
        <is>
          <t>DALARNAS LÄN</t>
        </is>
      </c>
      <c r="E219" t="inlineStr">
        <is>
          <t>MORA</t>
        </is>
      </c>
      <c r="F219" t="inlineStr">
        <is>
          <t>Bergvik skog öst AB</t>
        </is>
      </c>
      <c r="G219" t="n">
        <v>16.7</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46089</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39787-2025</t>
        </is>
      </c>
      <c r="B221" s="1" t="n">
        <v>45891</v>
      </c>
      <c r="C221" s="1" t="n">
        <v>46089</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56012-2023</t>
        </is>
      </c>
      <c r="B222" s="1" t="n">
        <v>45240</v>
      </c>
      <c r="C222" s="1" t="n">
        <v>46089</v>
      </c>
      <c r="D222" t="inlineStr">
        <is>
          <t>DALARNAS LÄN</t>
        </is>
      </c>
      <c r="E222" t="inlineStr">
        <is>
          <t>MORA</t>
        </is>
      </c>
      <c r="G222" t="n">
        <v>0.3</v>
      </c>
      <c r="H222" t="n">
        <v>0</v>
      </c>
      <c r="I222" t="n">
        <v>0</v>
      </c>
      <c r="J222" t="n">
        <v>0</v>
      </c>
      <c r="K222" t="n">
        <v>0</v>
      </c>
      <c r="L222" t="n">
        <v>0</v>
      </c>
      <c r="M222" t="n">
        <v>0</v>
      </c>
      <c r="N222" t="n">
        <v>0</v>
      </c>
      <c r="O222" t="n">
        <v>0</v>
      </c>
      <c r="P222" t="n">
        <v>0</v>
      </c>
      <c r="Q222" t="n">
        <v>0</v>
      </c>
      <c r="R222" s="2" t="inlineStr"/>
    </row>
    <row r="223" ht="15" customHeight="1">
      <c r="A223" t="inlineStr">
        <is>
          <t>A 60674-2023</t>
        </is>
      </c>
      <c r="B223" s="1" t="n">
        <v>45260.46609953704</v>
      </c>
      <c r="C223" s="1" t="n">
        <v>46089</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5298-2023</t>
        </is>
      </c>
      <c r="B224" s="1" t="n">
        <v>44959.54355324074</v>
      </c>
      <c r="C224" s="1" t="n">
        <v>46089</v>
      </c>
      <c r="D224" t="inlineStr">
        <is>
          <t>DALARNAS LÄN</t>
        </is>
      </c>
      <c r="E224" t="inlineStr">
        <is>
          <t>MORA</t>
        </is>
      </c>
      <c r="F224" t="inlineStr">
        <is>
          <t>Bergvik skog väst AB</t>
        </is>
      </c>
      <c r="G224" t="n">
        <v>6.2</v>
      </c>
      <c r="H224" t="n">
        <v>0</v>
      </c>
      <c r="I224" t="n">
        <v>0</v>
      </c>
      <c r="J224" t="n">
        <v>0</v>
      </c>
      <c r="K224" t="n">
        <v>0</v>
      </c>
      <c r="L224" t="n">
        <v>0</v>
      </c>
      <c r="M224" t="n">
        <v>0</v>
      </c>
      <c r="N224" t="n">
        <v>0</v>
      </c>
      <c r="O224" t="n">
        <v>0</v>
      </c>
      <c r="P224" t="n">
        <v>0</v>
      </c>
      <c r="Q224" t="n">
        <v>0</v>
      </c>
      <c r="R224" s="2" t="inlineStr"/>
    </row>
    <row r="225" ht="15" customHeight="1">
      <c r="A225" t="inlineStr">
        <is>
          <t>A 57859-2022</t>
        </is>
      </c>
      <c r="B225" s="1" t="n">
        <v>44898</v>
      </c>
      <c r="C225" s="1" t="n">
        <v>46089</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40471-2025</t>
        </is>
      </c>
      <c r="B226" s="1" t="n">
        <v>45895.67356481482</v>
      </c>
      <c r="C226" s="1" t="n">
        <v>46089</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61249-2023</t>
        </is>
      </c>
      <c r="B227" s="1" t="n">
        <v>45264</v>
      </c>
      <c r="C227" s="1" t="n">
        <v>46089</v>
      </c>
      <c r="D227" t="inlineStr">
        <is>
          <t>DALARNAS LÄN</t>
        </is>
      </c>
      <c r="E227" t="inlineStr">
        <is>
          <t>MORA</t>
        </is>
      </c>
      <c r="F227" t="inlineStr">
        <is>
          <t>Allmännings- och besparingsskogar</t>
        </is>
      </c>
      <c r="G227" t="n">
        <v>1.7</v>
      </c>
      <c r="H227" t="n">
        <v>0</v>
      </c>
      <c r="I227" t="n">
        <v>0</v>
      </c>
      <c r="J227" t="n">
        <v>0</v>
      </c>
      <c r="K227" t="n">
        <v>0</v>
      </c>
      <c r="L227" t="n">
        <v>0</v>
      </c>
      <c r="M227" t="n">
        <v>0</v>
      </c>
      <c r="N227" t="n">
        <v>0</v>
      </c>
      <c r="O227" t="n">
        <v>0</v>
      </c>
      <c r="P227" t="n">
        <v>0</v>
      </c>
      <c r="Q227" t="n">
        <v>0</v>
      </c>
      <c r="R227" s="2" t="inlineStr"/>
    </row>
    <row r="228" ht="15" customHeight="1">
      <c r="A228" t="inlineStr">
        <is>
          <t>A 25737-2025</t>
        </is>
      </c>
      <c r="B228" s="1" t="n">
        <v>45800</v>
      </c>
      <c r="C228" s="1" t="n">
        <v>46089</v>
      </c>
      <c r="D228" t="inlineStr">
        <is>
          <t>DALARNAS LÄN</t>
        </is>
      </c>
      <c r="E228" t="inlineStr">
        <is>
          <t>MORA</t>
        </is>
      </c>
      <c r="G228" t="n">
        <v>9.6</v>
      </c>
      <c r="H228" t="n">
        <v>0</v>
      </c>
      <c r="I228" t="n">
        <v>0</v>
      </c>
      <c r="J228" t="n">
        <v>0</v>
      </c>
      <c r="K228" t="n">
        <v>0</v>
      </c>
      <c r="L228" t="n">
        <v>0</v>
      </c>
      <c r="M228" t="n">
        <v>0</v>
      </c>
      <c r="N228" t="n">
        <v>0</v>
      </c>
      <c r="O228" t="n">
        <v>0</v>
      </c>
      <c r="P228" t="n">
        <v>0</v>
      </c>
      <c r="Q228" t="n">
        <v>0</v>
      </c>
      <c r="R228" s="2" t="inlineStr"/>
    </row>
    <row r="229" ht="15" customHeight="1">
      <c r="A229" t="inlineStr">
        <is>
          <t>A 25935-2023</t>
        </is>
      </c>
      <c r="B229" s="1" t="n">
        <v>45090.68675925926</v>
      </c>
      <c r="C229" s="1" t="n">
        <v>46089</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40140-2025</t>
        </is>
      </c>
      <c r="B230" s="1" t="n">
        <v>45894.57016203704</v>
      </c>
      <c r="C230" s="1" t="n">
        <v>46089</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40142-2025</t>
        </is>
      </c>
      <c r="B231" s="1" t="n">
        <v>45894.57202546296</v>
      </c>
      <c r="C231" s="1" t="n">
        <v>46089</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23057-2024</t>
        </is>
      </c>
      <c r="B232" s="1" t="n">
        <v>45450</v>
      </c>
      <c r="C232" s="1" t="n">
        <v>46089</v>
      </c>
      <c r="D232" t="inlineStr">
        <is>
          <t>DALARNAS LÄN</t>
        </is>
      </c>
      <c r="E232" t="inlineStr">
        <is>
          <t>MORA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40147-2025</t>
        </is>
      </c>
      <c r="B233" s="1" t="n">
        <v>45894.57918981482</v>
      </c>
      <c r="C233" s="1" t="n">
        <v>46089</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51168-2024</t>
        </is>
      </c>
      <c r="B234" s="1" t="n">
        <v>45603.58619212963</v>
      </c>
      <c r="C234" s="1" t="n">
        <v>46089</v>
      </c>
      <c r="D234" t="inlineStr">
        <is>
          <t>DALARNAS LÄN</t>
        </is>
      </c>
      <c r="E234" t="inlineStr">
        <is>
          <t>MORA</t>
        </is>
      </c>
      <c r="G234" t="n">
        <v>3</v>
      </c>
      <c r="H234" t="n">
        <v>0</v>
      </c>
      <c r="I234" t="n">
        <v>0</v>
      </c>
      <c r="J234" t="n">
        <v>0</v>
      </c>
      <c r="K234" t="n">
        <v>0</v>
      </c>
      <c r="L234" t="n">
        <v>0</v>
      </c>
      <c r="M234" t="n">
        <v>0</v>
      </c>
      <c r="N234" t="n">
        <v>0</v>
      </c>
      <c r="O234" t="n">
        <v>0</v>
      </c>
      <c r="P234" t="n">
        <v>0</v>
      </c>
      <c r="Q234" t="n">
        <v>0</v>
      </c>
      <c r="R234" s="2" t="inlineStr"/>
    </row>
    <row r="235" ht="15" customHeight="1">
      <c r="A235" t="inlineStr">
        <is>
          <t>A 59182-2023</t>
        </is>
      </c>
      <c r="B235" s="1" t="n">
        <v>45253</v>
      </c>
      <c r="C235" s="1" t="n">
        <v>46089</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36600-2023</t>
        </is>
      </c>
      <c r="B236" s="1" t="n">
        <v>45153</v>
      </c>
      <c r="C236" s="1" t="n">
        <v>46089</v>
      </c>
      <c r="D236" t="inlineStr">
        <is>
          <t>DALARNAS LÄN</t>
        </is>
      </c>
      <c r="E236" t="inlineStr">
        <is>
          <t>MORA</t>
        </is>
      </c>
      <c r="G236" t="n">
        <v>7.3</v>
      </c>
      <c r="H236" t="n">
        <v>0</v>
      </c>
      <c r="I236" t="n">
        <v>0</v>
      </c>
      <c r="J236" t="n">
        <v>0</v>
      </c>
      <c r="K236" t="n">
        <v>0</v>
      </c>
      <c r="L236" t="n">
        <v>0</v>
      </c>
      <c r="M236" t="n">
        <v>0</v>
      </c>
      <c r="N236" t="n">
        <v>0</v>
      </c>
      <c r="O236" t="n">
        <v>0</v>
      </c>
      <c r="P236" t="n">
        <v>0</v>
      </c>
      <c r="Q236" t="n">
        <v>0</v>
      </c>
      <c r="R236" s="2" t="inlineStr"/>
    </row>
    <row r="237" ht="15" customHeight="1">
      <c r="A237" t="inlineStr">
        <is>
          <t>A 40660-2025</t>
        </is>
      </c>
      <c r="B237" s="1" t="n">
        <v>45896.64631944444</v>
      </c>
      <c r="C237" s="1" t="n">
        <v>46089</v>
      </c>
      <c r="D237" t="inlineStr">
        <is>
          <t>DALARNAS LÄN</t>
        </is>
      </c>
      <c r="E237" t="inlineStr">
        <is>
          <t>MORA</t>
        </is>
      </c>
      <c r="F237" t="inlineStr">
        <is>
          <t>Bergvik skog väst AB</t>
        </is>
      </c>
      <c r="G237" t="n">
        <v>5.4</v>
      </c>
      <c r="H237" t="n">
        <v>0</v>
      </c>
      <c r="I237" t="n">
        <v>0</v>
      </c>
      <c r="J237" t="n">
        <v>0</v>
      </c>
      <c r="K237" t="n">
        <v>0</v>
      </c>
      <c r="L237" t="n">
        <v>0</v>
      </c>
      <c r="M237" t="n">
        <v>0</v>
      </c>
      <c r="N237" t="n">
        <v>0</v>
      </c>
      <c r="O237" t="n">
        <v>0</v>
      </c>
      <c r="P237" t="n">
        <v>0</v>
      </c>
      <c r="Q237" t="n">
        <v>0</v>
      </c>
      <c r="R237" s="2" t="inlineStr"/>
    </row>
    <row r="238" ht="15" customHeight="1">
      <c r="A238" t="inlineStr">
        <is>
          <t>A 8361-2026</t>
        </is>
      </c>
      <c r="B238" s="1" t="n">
        <v>46064.6643287037</v>
      </c>
      <c r="C238" s="1" t="n">
        <v>46089</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40805-2025</t>
        </is>
      </c>
      <c r="B239" s="1" t="n">
        <v>45897.46659722222</v>
      </c>
      <c r="C239" s="1" t="n">
        <v>46089</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40661-2025</t>
        </is>
      </c>
      <c r="B240" s="1" t="n">
        <v>45896.64715277778</v>
      </c>
      <c r="C240" s="1" t="n">
        <v>46089</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35325-2024</t>
        </is>
      </c>
      <c r="B241" s="1" t="n">
        <v>45530.71158564815</v>
      </c>
      <c r="C241" s="1" t="n">
        <v>46089</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26532-2025</t>
        </is>
      </c>
      <c r="B242" s="1" t="n">
        <v>45807</v>
      </c>
      <c r="C242" s="1" t="n">
        <v>46089</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66232-2021</t>
        </is>
      </c>
      <c r="B243" s="1" t="n">
        <v>44518.39234953704</v>
      </c>
      <c r="C243" s="1" t="n">
        <v>46089</v>
      </c>
      <c r="D243" t="inlineStr">
        <is>
          <t>DALARNAS LÄN</t>
        </is>
      </c>
      <c r="E243" t="inlineStr">
        <is>
          <t>MORA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25345-2025</t>
        </is>
      </c>
      <c r="B244" s="1" t="n">
        <v>45799</v>
      </c>
      <c r="C244" s="1" t="n">
        <v>46089</v>
      </c>
      <c r="D244" t="inlineStr">
        <is>
          <t>DALARNAS LÄN</t>
        </is>
      </c>
      <c r="E244" t="inlineStr">
        <is>
          <t>MORA</t>
        </is>
      </c>
      <c r="G244" t="n">
        <v>3.1</v>
      </c>
      <c r="H244" t="n">
        <v>0</v>
      </c>
      <c r="I244" t="n">
        <v>0</v>
      </c>
      <c r="J244" t="n">
        <v>0</v>
      </c>
      <c r="K244" t="n">
        <v>0</v>
      </c>
      <c r="L244" t="n">
        <v>0</v>
      </c>
      <c r="M244" t="n">
        <v>0</v>
      </c>
      <c r="N244" t="n">
        <v>0</v>
      </c>
      <c r="O244" t="n">
        <v>0</v>
      </c>
      <c r="P244" t="n">
        <v>0</v>
      </c>
      <c r="Q244" t="n">
        <v>0</v>
      </c>
      <c r="R244" s="2" t="inlineStr"/>
    </row>
    <row r="245" ht="15" customHeight="1">
      <c r="A245" t="inlineStr">
        <is>
          <t>A 8470-2026</t>
        </is>
      </c>
      <c r="B245" s="1" t="n">
        <v>46065.4490162037</v>
      </c>
      <c r="C245" s="1" t="n">
        <v>46089</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30819-2024</t>
        </is>
      </c>
      <c r="B246" s="1" t="n">
        <v>45497</v>
      </c>
      <c r="C246" s="1" t="n">
        <v>46089</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45562-2023</t>
        </is>
      </c>
      <c r="B247" s="1" t="n">
        <v>45194.59378472222</v>
      </c>
      <c r="C247" s="1" t="n">
        <v>46089</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51570-2023</t>
        </is>
      </c>
      <c r="B248" s="1" t="n">
        <v>45222</v>
      </c>
      <c r="C248" s="1" t="n">
        <v>46089</v>
      </c>
      <c r="D248" t="inlineStr">
        <is>
          <t>DALARNAS LÄN</t>
        </is>
      </c>
      <c r="E248" t="inlineStr">
        <is>
          <t>MORA</t>
        </is>
      </c>
      <c r="G248" t="n">
        <v>10.1</v>
      </c>
      <c r="H248" t="n">
        <v>0</v>
      </c>
      <c r="I248" t="n">
        <v>0</v>
      </c>
      <c r="J248" t="n">
        <v>0</v>
      </c>
      <c r="K248" t="n">
        <v>0</v>
      </c>
      <c r="L248" t="n">
        <v>0</v>
      </c>
      <c r="M248" t="n">
        <v>0</v>
      </c>
      <c r="N248" t="n">
        <v>0</v>
      </c>
      <c r="O248" t="n">
        <v>0</v>
      </c>
      <c r="P248" t="n">
        <v>0</v>
      </c>
      <c r="Q248" t="n">
        <v>0</v>
      </c>
      <c r="R248" s="2" t="inlineStr"/>
    </row>
    <row r="249" ht="15" customHeight="1">
      <c r="A249" t="inlineStr">
        <is>
          <t>A 26731-2025</t>
        </is>
      </c>
      <c r="B249" s="1" t="n">
        <v>45810.50702546296</v>
      </c>
      <c r="C249" s="1" t="n">
        <v>46089</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5309-2023</t>
        </is>
      </c>
      <c r="B250" s="1" t="n">
        <v>44956</v>
      </c>
      <c r="C250" s="1" t="n">
        <v>46089</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41200-2025</t>
        </is>
      </c>
      <c r="B251" s="1" t="n">
        <v>45898.5738425926</v>
      </c>
      <c r="C251" s="1" t="n">
        <v>46089</v>
      </c>
      <c r="D251" t="inlineStr">
        <is>
          <t>DALARNAS LÄN</t>
        </is>
      </c>
      <c r="E251" t="inlineStr">
        <is>
          <t>MORA</t>
        </is>
      </c>
      <c r="G251" t="n">
        <v>8.9</v>
      </c>
      <c r="H251" t="n">
        <v>0</v>
      </c>
      <c r="I251" t="n">
        <v>0</v>
      </c>
      <c r="J251" t="n">
        <v>0</v>
      </c>
      <c r="K251" t="n">
        <v>0</v>
      </c>
      <c r="L251" t="n">
        <v>0</v>
      </c>
      <c r="M251" t="n">
        <v>0</v>
      </c>
      <c r="N251" t="n">
        <v>0</v>
      </c>
      <c r="O251" t="n">
        <v>0</v>
      </c>
      <c r="P251" t="n">
        <v>0</v>
      </c>
      <c r="Q251" t="n">
        <v>0</v>
      </c>
      <c r="R251" s="2" t="inlineStr"/>
    </row>
    <row r="252" ht="15" customHeight="1">
      <c r="A252" t="inlineStr">
        <is>
          <t>A 20885-2024</t>
        </is>
      </c>
      <c r="B252" s="1" t="n">
        <v>45439.45527777778</v>
      </c>
      <c r="C252" s="1" t="n">
        <v>46089</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56425-2024</t>
        </is>
      </c>
      <c r="B253" s="1" t="n">
        <v>45625.38677083333</v>
      </c>
      <c r="C253" s="1" t="n">
        <v>46089</v>
      </c>
      <c r="D253" t="inlineStr">
        <is>
          <t>DALARNAS LÄN</t>
        </is>
      </c>
      <c r="E253" t="inlineStr">
        <is>
          <t>MORA</t>
        </is>
      </c>
      <c r="G253" t="n">
        <v>2.1</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46089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41175-2025</t>
        </is>
      </c>
      <c r="B255" s="1" t="n">
        <v>45898.55165509259</v>
      </c>
      <c r="C255" s="1" t="n">
        <v>46089</v>
      </c>
      <c r="D255" t="inlineStr">
        <is>
          <t>DALARNAS LÄN</t>
        </is>
      </c>
      <c r="E255" t="inlineStr">
        <is>
          <t>MORA</t>
        </is>
      </c>
      <c r="G255" t="n">
        <v>4.5</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46089</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26854-2025</t>
        </is>
      </c>
      <c r="B257" s="1" t="n">
        <v>45810.67462962963</v>
      </c>
      <c r="C257" s="1" t="n">
        <v>46089</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59995-2023</t>
        </is>
      </c>
      <c r="B258" s="1" t="n">
        <v>45254</v>
      </c>
      <c r="C258" s="1" t="n">
        <v>46089</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46089</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41614-2025</t>
        </is>
      </c>
      <c r="B260" s="1" t="n">
        <v>45901.68267361111</v>
      </c>
      <c r="C260" s="1" t="n">
        <v>46089</v>
      </c>
      <c r="D260" t="inlineStr">
        <is>
          <t>DALARNAS LÄN</t>
        </is>
      </c>
      <c r="E260" t="inlineStr">
        <is>
          <t>MORA</t>
        </is>
      </c>
      <c r="F260" t="inlineStr">
        <is>
          <t>Bergvik skog väst AB</t>
        </is>
      </c>
      <c r="G260" t="n">
        <v>13.8</v>
      </c>
      <c r="H260" t="n">
        <v>0</v>
      </c>
      <c r="I260" t="n">
        <v>0</v>
      </c>
      <c r="J260" t="n">
        <v>0</v>
      </c>
      <c r="K260" t="n">
        <v>0</v>
      </c>
      <c r="L260" t="n">
        <v>0</v>
      </c>
      <c r="M260" t="n">
        <v>0</v>
      </c>
      <c r="N260" t="n">
        <v>0</v>
      </c>
      <c r="O260" t="n">
        <v>0</v>
      </c>
      <c r="P260" t="n">
        <v>0</v>
      </c>
      <c r="Q260" t="n">
        <v>0</v>
      </c>
      <c r="R260" s="2" t="inlineStr"/>
    </row>
    <row r="261" ht="15" customHeight="1">
      <c r="A261" t="inlineStr">
        <is>
          <t>A 2879-2022</t>
        </is>
      </c>
      <c r="B261" s="1" t="n">
        <v>44581</v>
      </c>
      <c r="C261" s="1" t="n">
        <v>46089</v>
      </c>
      <c r="D261" t="inlineStr">
        <is>
          <t>DALARNAS LÄN</t>
        </is>
      </c>
      <c r="E261" t="inlineStr">
        <is>
          <t>MORA</t>
        </is>
      </c>
      <c r="G261" t="n">
        <v>2.3</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46089</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60673-2023</t>
        </is>
      </c>
      <c r="B263" s="1" t="n">
        <v>45260.46438657407</v>
      </c>
      <c r="C263" s="1" t="n">
        <v>46089</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46089</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26630-2025</t>
        </is>
      </c>
      <c r="B265" s="1" t="n">
        <v>45809</v>
      </c>
      <c r="C265" s="1" t="n">
        <v>46089</v>
      </c>
      <c r="D265" t="inlineStr">
        <is>
          <t>DALARNAS LÄN</t>
        </is>
      </c>
      <c r="E265" t="inlineStr">
        <is>
          <t>MORA</t>
        </is>
      </c>
      <c r="G265" t="n">
        <v>32.1</v>
      </c>
      <c r="H265" t="n">
        <v>0</v>
      </c>
      <c r="I265" t="n">
        <v>0</v>
      </c>
      <c r="J265" t="n">
        <v>0</v>
      </c>
      <c r="K265" t="n">
        <v>0</v>
      </c>
      <c r="L265" t="n">
        <v>0</v>
      </c>
      <c r="M265" t="n">
        <v>0</v>
      </c>
      <c r="N265" t="n">
        <v>0</v>
      </c>
      <c r="O265" t="n">
        <v>0</v>
      </c>
      <c r="P265" t="n">
        <v>0</v>
      </c>
      <c r="Q265" t="n">
        <v>0</v>
      </c>
      <c r="R265" s="2" t="inlineStr"/>
    </row>
    <row r="266" ht="15" customHeight="1">
      <c r="A266" t="inlineStr">
        <is>
          <t>A 41783-2025</t>
        </is>
      </c>
      <c r="B266" s="1" t="n">
        <v>45902.58721064815</v>
      </c>
      <c r="C266" s="1" t="n">
        <v>46089</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27194-2025</t>
        </is>
      </c>
      <c r="B267" s="1" t="n">
        <v>45812.37965277778</v>
      </c>
      <c r="C267" s="1" t="n">
        <v>46089</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17268-2025</t>
        </is>
      </c>
      <c r="B268" s="1" t="n">
        <v>45756</v>
      </c>
      <c r="C268" s="1" t="n">
        <v>46089</v>
      </c>
      <c r="D268" t="inlineStr">
        <is>
          <t>DALARNAS LÄN</t>
        </is>
      </c>
      <c r="E268" t="inlineStr">
        <is>
          <t>MORA</t>
        </is>
      </c>
      <c r="G268" t="n">
        <v>6.8</v>
      </c>
      <c r="H268" t="n">
        <v>0</v>
      </c>
      <c r="I268" t="n">
        <v>0</v>
      </c>
      <c r="J268" t="n">
        <v>0</v>
      </c>
      <c r="K268" t="n">
        <v>0</v>
      </c>
      <c r="L268" t="n">
        <v>0</v>
      </c>
      <c r="M268" t="n">
        <v>0</v>
      </c>
      <c r="N268" t="n">
        <v>0</v>
      </c>
      <c r="O268" t="n">
        <v>0</v>
      </c>
      <c r="P268" t="n">
        <v>0</v>
      </c>
      <c r="Q268" t="n">
        <v>0</v>
      </c>
      <c r="R268" s="2" t="inlineStr"/>
    </row>
    <row r="269" ht="15" customHeight="1">
      <c r="A269" t="inlineStr">
        <is>
          <t>A 24465-2021</t>
        </is>
      </c>
      <c r="B269" s="1" t="n">
        <v>44337</v>
      </c>
      <c r="C269" s="1" t="n">
        <v>46089</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27642-2025</t>
        </is>
      </c>
      <c r="B270" s="1" t="n">
        <v>45813.59405092592</v>
      </c>
      <c r="C270" s="1" t="n">
        <v>46089</v>
      </c>
      <c r="D270" t="inlineStr">
        <is>
          <t>DALARNAS LÄN</t>
        </is>
      </c>
      <c r="E270" t="inlineStr">
        <is>
          <t>MORA</t>
        </is>
      </c>
      <c r="G270" t="n">
        <v>2.5</v>
      </c>
      <c r="H270" t="n">
        <v>0</v>
      </c>
      <c r="I270" t="n">
        <v>0</v>
      </c>
      <c r="J270" t="n">
        <v>0</v>
      </c>
      <c r="K270" t="n">
        <v>0</v>
      </c>
      <c r="L270" t="n">
        <v>0</v>
      </c>
      <c r="M270" t="n">
        <v>0</v>
      </c>
      <c r="N270" t="n">
        <v>0</v>
      </c>
      <c r="O270" t="n">
        <v>0</v>
      </c>
      <c r="P270" t="n">
        <v>0</v>
      </c>
      <c r="Q270" t="n">
        <v>0</v>
      </c>
      <c r="R270" s="2" t="inlineStr"/>
    </row>
    <row r="271" ht="15" customHeight="1">
      <c r="A271" t="inlineStr">
        <is>
          <t>A 61270-2024</t>
        </is>
      </c>
      <c r="B271" s="1" t="n">
        <v>45645.74694444444</v>
      </c>
      <c r="C271" s="1" t="n">
        <v>46089</v>
      </c>
      <c r="D271" t="inlineStr">
        <is>
          <t>DALARNAS LÄN</t>
        </is>
      </c>
      <c r="E271" t="inlineStr">
        <is>
          <t>MORA</t>
        </is>
      </c>
      <c r="G271" t="n">
        <v>5.1</v>
      </c>
      <c r="H271" t="n">
        <v>0</v>
      </c>
      <c r="I271" t="n">
        <v>0</v>
      </c>
      <c r="J271" t="n">
        <v>0</v>
      </c>
      <c r="K271" t="n">
        <v>0</v>
      </c>
      <c r="L271" t="n">
        <v>0</v>
      </c>
      <c r="M271" t="n">
        <v>0</v>
      </c>
      <c r="N271" t="n">
        <v>0</v>
      </c>
      <c r="O271" t="n">
        <v>0</v>
      </c>
      <c r="P271" t="n">
        <v>0</v>
      </c>
      <c r="Q271" t="n">
        <v>0</v>
      </c>
      <c r="R271" s="2" t="inlineStr"/>
    </row>
    <row r="272" ht="15" customHeight="1">
      <c r="A272" t="inlineStr">
        <is>
          <t>A 41855-2025</t>
        </is>
      </c>
      <c r="B272" s="1" t="n">
        <v>45902.93693287037</v>
      </c>
      <c r="C272" s="1" t="n">
        <v>46089</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27184-2025</t>
        </is>
      </c>
      <c r="B273" s="1" t="n">
        <v>45812.36133101852</v>
      </c>
      <c r="C273" s="1" t="n">
        <v>46089</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42319-2025</t>
        </is>
      </c>
      <c r="B274" s="1" t="n">
        <v>45903</v>
      </c>
      <c r="C274" s="1" t="n">
        <v>46089</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27177-2025</t>
        </is>
      </c>
      <c r="B275" s="1" t="n">
        <v>45812.3533912037</v>
      </c>
      <c r="C275" s="1" t="n">
        <v>46089</v>
      </c>
      <c r="D275" t="inlineStr">
        <is>
          <t>DALARNAS LÄN</t>
        </is>
      </c>
      <c r="E275" t="inlineStr">
        <is>
          <t>MORA</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46089</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27175-2025</t>
        </is>
      </c>
      <c r="B277" s="1" t="n">
        <v>45812.35072916667</v>
      </c>
      <c r="C277" s="1" t="n">
        <v>46089</v>
      </c>
      <c r="D277" t="inlineStr">
        <is>
          <t>DALARNAS LÄN</t>
        </is>
      </c>
      <c r="E277" t="inlineStr">
        <is>
          <t>MORA</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20930-2024</t>
        </is>
      </c>
      <c r="B278" s="1" t="n">
        <v>45439.51907407407</v>
      </c>
      <c r="C278" s="1" t="n">
        <v>46089</v>
      </c>
      <c r="D278" t="inlineStr">
        <is>
          <t>DALARNAS LÄN</t>
        </is>
      </c>
      <c r="E278" t="inlineStr">
        <is>
          <t>MORA</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42611-2022</t>
        </is>
      </c>
      <c r="B279" s="1" t="n">
        <v>44831.81482638889</v>
      </c>
      <c r="C279" s="1" t="n">
        <v>46089</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28033-2025</t>
        </is>
      </c>
      <c r="B280" s="1" t="n">
        <v>45817.6325462963</v>
      </c>
      <c r="C280" s="1" t="n">
        <v>46089</v>
      </c>
      <c r="D280" t="inlineStr">
        <is>
          <t>DALARNAS LÄN</t>
        </is>
      </c>
      <c r="E280" t="inlineStr">
        <is>
          <t>MORA</t>
        </is>
      </c>
      <c r="F280" t="inlineStr">
        <is>
          <t>Bergvik skog öst AB</t>
        </is>
      </c>
      <c r="G280" t="n">
        <v>12.8</v>
      </c>
      <c r="H280" t="n">
        <v>0</v>
      </c>
      <c r="I280" t="n">
        <v>0</v>
      </c>
      <c r="J280" t="n">
        <v>0</v>
      </c>
      <c r="K280" t="n">
        <v>0</v>
      </c>
      <c r="L280" t="n">
        <v>0</v>
      </c>
      <c r="M280" t="n">
        <v>0</v>
      </c>
      <c r="N280" t="n">
        <v>0</v>
      </c>
      <c r="O280" t="n">
        <v>0</v>
      </c>
      <c r="P280" t="n">
        <v>0</v>
      </c>
      <c r="Q280" t="n">
        <v>0</v>
      </c>
      <c r="R280" s="2" t="inlineStr"/>
    </row>
    <row r="281" ht="15" customHeight="1">
      <c r="A281" t="inlineStr">
        <is>
          <t>A 42112-2025</t>
        </is>
      </c>
      <c r="B281" s="1" t="n">
        <v>45904.32134259259</v>
      </c>
      <c r="C281" s="1" t="n">
        <v>46089</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17865-2025</t>
        </is>
      </c>
      <c r="B282" s="1" t="n">
        <v>45758.62951388889</v>
      </c>
      <c r="C282" s="1" t="n">
        <v>46089</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33676-2023</t>
        </is>
      </c>
      <c r="B283" s="1" t="n">
        <v>45132.6291550926</v>
      </c>
      <c r="C283" s="1" t="n">
        <v>46089</v>
      </c>
      <c r="D283" t="inlineStr">
        <is>
          <t>DALARNAS LÄN</t>
        </is>
      </c>
      <c r="E283" t="inlineStr">
        <is>
          <t>MORA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42813-2025</t>
        </is>
      </c>
      <c r="B284" s="1" t="n">
        <v>45908.56168981481</v>
      </c>
      <c r="C284" s="1" t="n">
        <v>46089</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61188-2024</t>
        </is>
      </c>
      <c r="B285" s="1" t="n">
        <v>45645.62282407407</v>
      </c>
      <c r="C285" s="1" t="n">
        <v>46089</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37710-2023</t>
        </is>
      </c>
      <c r="B286" s="1" t="n">
        <v>45159.59186342593</v>
      </c>
      <c r="C286" s="1" t="n">
        <v>46089</v>
      </c>
      <c r="D286" t="inlineStr">
        <is>
          <t>DALARNAS LÄN</t>
        </is>
      </c>
      <c r="E286" t="inlineStr">
        <is>
          <t>MORA</t>
        </is>
      </c>
      <c r="G286" t="n">
        <v>1.9</v>
      </c>
      <c r="H286" t="n">
        <v>0</v>
      </c>
      <c r="I286" t="n">
        <v>0</v>
      </c>
      <c r="J286" t="n">
        <v>0</v>
      </c>
      <c r="K286" t="n">
        <v>0</v>
      </c>
      <c r="L286" t="n">
        <v>0</v>
      </c>
      <c r="M286" t="n">
        <v>0</v>
      </c>
      <c r="N286" t="n">
        <v>0</v>
      </c>
      <c r="O286" t="n">
        <v>0</v>
      </c>
      <c r="P286" t="n">
        <v>0</v>
      </c>
      <c r="Q286" t="n">
        <v>0</v>
      </c>
      <c r="R286" s="2" t="inlineStr"/>
    </row>
    <row r="287" ht="15" customHeight="1">
      <c r="A287" t="inlineStr">
        <is>
          <t>A 42947-2025</t>
        </is>
      </c>
      <c r="B287" s="1" t="n">
        <v>45909.34799768519</v>
      </c>
      <c r="C287" s="1" t="n">
        <v>46089</v>
      </c>
      <c r="D287" t="inlineStr">
        <is>
          <t>DALARNAS LÄN</t>
        </is>
      </c>
      <c r="E287" t="inlineStr">
        <is>
          <t>MORA</t>
        </is>
      </c>
      <c r="F287" t="inlineStr">
        <is>
          <t>Allmännings- och besparingsskogar</t>
        </is>
      </c>
      <c r="G287" t="n">
        <v>6.2</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46089</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45355-2024</t>
        </is>
      </c>
      <c r="B289" s="1" t="n">
        <v>45576</v>
      </c>
      <c r="C289" s="1" t="n">
        <v>46089</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37695-2024</t>
        </is>
      </c>
      <c r="B290" s="1" t="n">
        <v>45541.61094907407</v>
      </c>
      <c r="C290" s="1" t="n">
        <v>46089</v>
      </c>
      <c r="D290" t="inlineStr">
        <is>
          <t>DALARNAS LÄN</t>
        </is>
      </c>
      <c r="E290" t="inlineStr">
        <is>
          <t>MORA</t>
        </is>
      </c>
      <c r="G290" t="n">
        <v>19.7</v>
      </c>
      <c r="H290" t="n">
        <v>0</v>
      </c>
      <c r="I290" t="n">
        <v>0</v>
      </c>
      <c r="J290" t="n">
        <v>0</v>
      </c>
      <c r="K290" t="n">
        <v>0</v>
      </c>
      <c r="L290" t="n">
        <v>0</v>
      </c>
      <c r="M290" t="n">
        <v>0</v>
      </c>
      <c r="N290" t="n">
        <v>0</v>
      </c>
      <c r="O290" t="n">
        <v>0</v>
      </c>
      <c r="P290" t="n">
        <v>0</v>
      </c>
      <c r="Q290" t="n">
        <v>0</v>
      </c>
      <c r="R290" s="2" t="inlineStr"/>
    </row>
    <row r="291" ht="15" customHeight="1">
      <c r="A291" t="inlineStr">
        <is>
          <t>A 28934-2023</t>
        </is>
      </c>
      <c r="B291" s="1" t="n">
        <v>45104</v>
      </c>
      <c r="C291" s="1" t="n">
        <v>46089</v>
      </c>
      <c r="D291" t="inlineStr">
        <is>
          <t>DALARNAS LÄN</t>
        </is>
      </c>
      <c r="E291" t="inlineStr">
        <is>
          <t>MORA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42954-2025</t>
        </is>
      </c>
      <c r="B292" s="1" t="n">
        <v>45909.3578125</v>
      </c>
      <c r="C292" s="1" t="n">
        <v>46089</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46089</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29068-2025</t>
        </is>
      </c>
      <c r="B294" s="1" t="n">
        <v>45821.50900462963</v>
      </c>
      <c r="C294" s="1" t="n">
        <v>46089</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28976-2025</t>
        </is>
      </c>
      <c r="B295" s="1" t="n">
        <v>45821.34855324074</v>
      </c>
      <c r="C295" s="1" t="n">
        <v>46089</v>
      </c>
      <c r="D295" t="inlineStr">
        <is>
          <t>DALARNAS LÄN</t>
        </is>
      </c>
      <c r="E295" t="inlineStr">
        <is>
          <t>MORA</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15416-2023</t>
        </is>
      </c>
      <c r="B296" s="1" t="n">
        <v>45019.71342592593</v>
      </c>
      <c r="C296" s="1" t="n">
        <v>46089</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43157-2025</t>
        </is>
      </c>
      <c r="B297" s="1" t="n">
        <v>45910.34953703704</v>
      </c>
      <c r="C297" s="1" t="n">
        <v>46089</v>
      </c>
      <c r="D297" t="inlineStr">
        <is>
          <t>DALARNAS LÄN</t>
        </is>
      </c>
      <c r="E297" t="inlineStr">
        <is>
          <t>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28925-2025</t>
        </is>
      </c>
      <c r="B298" s="1" t="n">
        <v>45820.67107638889</v>
      </c>
      <c r="C298" s="1" t="n">
        <v>46089</v>
      </c>
      <c r="D298" t="inlineStr">
        <is>
          <t>DALARNAS LÄN</t>
        </is>
      </c>
      <c r="E298" t="inlineStr">
        <is>
          <t>MORA</t>
        </is>
      </c>
      <c r="G298" t="n">
        <v>3.7</v>
      </c>
      <c r="H298" t="n">
        <v>0</v>
      </c>
      <c r="I298" t="n">
        <v>0</v>
      </c>
      <c r="J298" t="n">
        <v>0</v>
      </c>
      <c r="K298" t="n">
        <v>0</v>
      </c>
      <c r="L298" t="n">
        <v>0</v>
      </c>
      <c r="M298" t="n">
        <v>0</v>
      </c>
      <c r="N298" t="n">
        <v>0</v>
      </c>
      <c r="O298" t="n">
        <v>0</v>
      </c>
      <c r="P298" t="n">
        <v>0</v>
      </c>
      <c r="Q298" t="n">
        <v>0</v>
      </c>
      <c r="R298" s="2" t="inlineStr"/>
    </row>
    <row r="299" ht="15" customHeight="1">
      <c r="A299" t="inlineStr">
        <is>
          <t>A 28927-2025</t>
        </is>
      </c>
      <c r="B299" s="1" t="n">
        <v>45820.67221064815</v>
      </c>
      <c r="C299" s="1" t="n">
        <v>46089</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43569-2025</t>
        </is>
      </c>
      <c r="B300" s="1" t="n">
        <v>45911.63363425926</v>
      </c>
      <c r="C300" s="1" t="n">
        <v>46089</v>
      </c>
      <c r="D300" t="inlineStr">
        <is>
          <t>DALARNAS LÄN</t>
        </is>
      </c>
      <c r="E300" t="inlineStr">
        <is>
          <t>MORA</t>
        </is>
      </c>
      <c r="G300" t="n">
        <v>4.7</v>
      </c>
      <c r="H300" t="n">
        <v>0</v>
      </c>
      <c r="I300" t="n">
        <v>0</v>
      </c>
      <c r="J300" t="n">
        <v>0</v>
      </c>
      <c r="K300" t="n">
        <v>0</v>
      </c>
      <c r="L300" t="n">
        <v>0</v>
      </c>
      <c r="M300" t="n">
        <v>0</v>
      </c>
      <c r="N300" t="n">
        <v>0</v>
      </c>
      <c r="O300" t="n">
        <v>0</v>
      </c>
      <c r="P300" t="n">
        <v>0</v>
      </c>
      <c r="Q300" t="n">
        <v>0</v>
      </c>
      <c r="R300" s="2" t="inlineStr"/>
    </row>
    <row r="301" ht="15" customHeight="1">
      <c r="A301" t="inlineStr">
        <is>
          <t>A 28924-2025</t>
        </is>
      </c>
      <c r="B301" s="1" t="n">
        <v>45820.66846064815</v>
      </c>
      <c r="C301" s="1" t="n">
        <v>46089</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5769-2025</t>
        </is>
      </c>
      <c r="B302" s="1" t="n">
        <v>45694.59288194445</v>
      </c>
      <c r="C302" s="1" t="n">
        <v>46089</v>
      </c>
      <c r="D302" t="inlineStr">
        <is>
          <t>DALARNAS LÄN</t>
        </is>
      </c>
      <c r="E302" t="inlineStr">
        <is>
          <t>MORA</t>
        </is>
      </c>
      <c r="G302" t="n">
        <v>15.7</v>
      </c>
      <c r="H302" t="n">
        <v>0</v>
      </c>
      <c r="I302" t="n">
        <v>0</v>
      </c>
      <c r="J302" t="n">
        <v>0</v>
      </c>
      <c r="K302" t="n">
        <v>0</v>
      </c>
      <c r="L302" t="n">
        <v>0</v>
      </c>
      <c r="M302" t="n">
        <v>0</v>
      </c>
      <c r="N302" t="n">
        <v>0</v>
      </c>
      <c r="O302" t="n">
        <v>0</v>
      </c>
      <c r="P302" t="n">
        <v>0</v>
      </c>
      <c r="Q302" t="n">
        <v>0</v>
      </c>
      <c r="R302" s="2" t="inlineStr"/>
    </row>
    <row r="303" ht="15" customHeight="1">
      <c r="A303" t="inlineStr">
        <is>
          <t>A 28751-2025</t>
        </is>
      </c>
      <c r="B303" s="1" t="n">
        <v>45820.40034722222</v>
      </c>
      <c r="C303" s="1" t="n">
        <v>46089</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54253-2023</t>
        </is>
      </c>
      <c r="B304" s="1" t="n">
        <v>45232.63217592592</v>
      </c>
      <c r="C304" s="1" t="n">
        <v>46089</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43153-2025</t>
        </is>
      </c>
      <c r="B305" s="1" t="n">
        <v>45910.34449074074</v>
      </c>
      <c r="C305" s="1" t="n">
        <v>46089</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46089</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43474-2025</t>
        </is>
      </c>
      <c r="B307" s="1" t="n">
        <v>45911.48967592593</v>
      </c>
      <c r="C307" s="1" t="n">
        <v>46089</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8549-2026</t>
        </is>
      </c>
      <c r="B308" s="1" t="n">
        <v>46065.61790509259</v>
      </c>
      <c r="C308" s="1" t="n">
        <v>46089</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29528-2025</t>
        </is>
      </c>
      <c r="B309" s="1" t="n">
        <v>45825.34322916667</v>
      </c>
      <c r="C309" s="1" t="n">
        <v>46089</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17393-2025</t>
        </is>
      </c>
      <c r="B310" s="1" t="n">
        <v>45757.34350694445</v>
      </c>
      <c r="C310" s="1" t="n">
        <v>46089</v>
      </c>
      <c r="D310" t="inlineStr">
        <is>
          <t>DALARNAS LÄN</t>
        </is>
      </c>
      <c r="E310" t="inlineStr">
        <is>
          <t>MORA</t>
        </is>
      </c>
      <c r="G310" t="n">
        <v>10.1</v>
      </c>
      <c r="H310" t="n">
        <v>0</v>
      </c>
      <c r="I310" t="n">
        <v>0</v>
      </c>
      <c r="J310" t="n">
        <v>0</v>
      </c>
      <c r="K310" t="n">
        <v>0</v>
      </c>
      <c r="L310" t="n">
        <v>0</v>
      </c>
      <c r="M310" t="n">
        <v>0</v>
      </c>
      <c r="N310" t="n">
        <v>0</v>
      </c>
      <c r="O310" t="n">
        <v>0</v>
      </c>
      <c r="P310" t="n">
        <v>0</v>
      </c>
      <c r="Q310" t="n">
        <v>0</v>
      </c>
      <c r="R310" s="2" t="inlineStr"/>
    </row>
    <row r="311" ht="15" customHeight="1">
      <c r="A311" t="inlineStr">
        <is>
          <t>A 29440-2025</t>
        </is>
      </c>
      <c r="B311" s="1" t="n">
        <v>45824.65862268519</v>
      </c>
      <c r="C311" s="1" t="n">
        <v>46089</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43811-2025</t>
        </is>
      </c>
      <c r="B312" s="1" t="n">
        <v>45912.58710648148</v>
      </c>
      <c r="C312" s="1" t="n">
        <v>46089</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29425-2025</t>
        </is>
      </c>
      <c r="B313" s="1" t="n">
        <v>45824.64524305556</v>
      </c>
      <c r="C313" s="1" t="n">
        <v>46089</v>
      </c>
      <c r="D313" t="inlineStr">
        <is>
          <t>DALARNAS LÄN</t>
        </is>
      </c>
      <c r="E313" t="inlineStr">
        <is>
          <t>MORA</t>
        </is>
      </c>
      <c r="G313" t="n">
        <v>4.4</v>
      </c>
      <c r="H313" t="n">
        <v>0</v>
      </c>
      <c r="I313" t="n">
        <v>0</v>
      </c>
      <c r="J313" t="n">
        <v>0</v>
      </c>
      <c r="K313" t="n">
        <v>0</v>
      </c>
      <c r="L313" t="n">
        <v>0</v>
      </c>
      <c r="M313" t="n">
        <v>0</v>
      </c>
      <c r="N313" t="n">
        <v>0</v>
      </c>
      <c r="O313" t="n">
        <v>0</v>
      </c>
      <c r="P313" t="n">
        <v>0</v>
      </c>
      <c r="Q313" t="n">
        <v>0</v>
      </c>
      <c r="R313" s="2" t="inlineStr"/>
    </row>
    <row r="314" ht="15" customHeight="1">
      <c r="A314" t="inlineStr">
        <is>
          <t>A 25887-2023</t>
        </is>
      </c>
      <c r="B314" s="1" t="n">
        <v>45090.62493055555</v>
      </c>
      <c r="C314" s="1" t="n">
        <v>46089</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46089</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56767-2024</t>
        </is>
      </c>
      <c r="B316" s="1" t="n">
        <v>45628.41274305555</v>
      </c>
      <c r="C316" s="1" t="n">
        <v>46089</v>
      </c>
      <c r="D316" t="inlineStr">
        <is>
          <t>DALARNAS LÄN</t>
        </is>
      </c>
      <c r="E316" t="inlineStr">
        <is>
          <t>MORA</t>
        </is>
      </c>
      <c r="G316" t="n">
        <v>5</v>
      </c>
      <c r="H316" t="n">
        <v>0</v>
      </c>
      <c r="I316" t="n">
        <v>0</v>
      </c>
      <c r="J316" t="n">
        <v>0</v>
      </c>
      <c r="K316" t="n">
        <v>0</v>
      </c>
      <c r="L316" t="n">
        <v>0</v>
      </c>
      <c r="M316" t="n">
        <v>0</v>
      </c>
      <c r="N316" t="n">
        <v>0</v>
      </c>
      <c r="O316" t="n">
        <v>0</v>
      </c>
      <c r="P316" t="n">
        <v>0</v>
      </c>
      <c r="Q316" t="n">
        <v>0</v>
      </c>
      <c r="R316" s="2" t="inlineStr"/>
    </row>
    <row r="317" ht="15" customHeight="1">
      <c r="A317" t="inlineStr">
        <is>
          <t>A 8762-2026</t>
        </is>
      </c>
      <c r="B317" s="1" t="n">
        <v>46066.55876157407</v>
      </c>
      <c r="C317" s="1" t="n">
        <v>46089</v>
      </c>
      <c r="D317" t="inlineStr">
        <is>
          <t>DALARNAS LÄN</t>
        </is>
      </c>
      <c r="E317" t="inlineStr">
        <is>
          <t>MORA</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30087-2025</t>
        </is>
      </c>
      <c r="B318" s="1" t="n">
        <v>45826.6575</v>
      </c>
      <c r="C318" s="1" t="n">
        <v>46089</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64099-2023</t>
        </is>
      </c>
      <c r="B319" s="1" t="n">
        <v>45279.46009259259</v>
      </c>
      <c r="C319" s="1" t="n">
        <v>46089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46089</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45181-2025</t>
        </is>
      </c>
      <c r="B321" s="1" t="n">
        <v>45919.53329861111</v>
      </c>
      <c r="C321" s="1" t="n">
        <v>46089</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46089</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46089</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46089</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19910-2024</t>
        </is>
      </c>
      <c r="B325" s="1" t="n">
        <v>45433.5741087963</v>
      </c>
      <c r="C325" s="1" t="n">
        <v>46089</v>
      </c>
      <c r="D325" t="inlineStr">
        <is>
          <t>DALARNAS LÄN</t>
        </is>
      </c>
      <c r="E325" t="inlineStr">
        <is>
          <t>MORA</t>
        </is>
      </c>
      <c r="G325" t="n">
        <v>0.9</v>
      </c>
      <c r="H325" t="n">
        <v>0</v>
      </c>
      <c r="I325" t="n">
        <v>0</v>
      </c>
      <c r="J325" t="n">
        <v>0</v>
      </c>
      <c r="K325" t="n">
        <v>0</v>
      </c>
      <c r="L325" t="n">
        <v>0</v>
      </c>
      <c r="M325" t="n">
        <v>0</v>
      </c>
      <c r="N325" t="n">
        <v>0</v>
      </c>
      <c r="O325" t="n">
        <v>0</v>
      </c>
      <c r="P325" t="n">
        <v>0</v>
      </c>
      <c r="Q325" t="n">
        <v>0</v>
      </c>
      <c r="R325" s="2" t="inlineStr"/>
    </row>
    <row r="326" ht="15" customHeight="1">
      <c r="A326" t="inlineStr">
        <is>
          <t>A 23300-2024</t>
        </is>
      </c>
      <c r="B326" s="1" t="n">
        <v>45453.43695601852</v>
      </c>
      <c r="C326" s="1" t="n">
        <v>46089</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45191-2025</t>
        </is>
      </c>
      <c r="B327" s="1" t="n">
        <v>45919.54811342592</v>
      </c>
      <c r="C327" s="1" t="n">
        <v>46089</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30507-2025</t>
        </is>
      </c>
      <c r="B328" s="1" t="n">
        <v>45831.24760416667</v>
      </c>
      <c r="C328" s="1" t="n">
        <v>46089</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30509-2025</t>
        </is>
      </c>
      <c r="B329" s="1" t="n">
        <v>45831.25519675926</v>
      </c>
      <c r="C329" s="1" t="n">
        <v>46089</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19896-2021</t>
        </is>
      </c>
      <c r="B330" s="1" t="n">
        <v>44313.54942129629</v>
      </c>
      <c r="C330" s="1" t="n">
        <v>46089</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9599-2022</t>
        </is>
      </c>
      <c r="B331" s="1" t="n">
        <v>44617.48909722222</v>
      </c>
      <c r="C331" s="1" t="n">
        <v>46089</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30989-2025</t>
        </is>
      </c>
      <c r="B332" s="1" t="n">
        <v>45832.48185185185</v>
      </c>
      <c r="C332" s="1" t="n">
        <v>46089</v>
      </c>
      <c r="D332" t="inlineStr">
        <is>
          <t>DALARNAS LÄN</t>
        </is>
      </c>
      <c r="E332" t="inlineStr">
        <is>
          <t>MORA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35521-2023</t>
        </is>
      </c>
      <c r="B333" s="1" t="n">
        <v>45147.33251157407</v>
      </c>
      <c r="C333" s="1" t="n">
        <v>46089</v>
      </c>
      <c r="D333" t="inlineStr">
        <is>
          <t>DALARNAS LÄN</t>
        </is>
      </c>
      <c r="E333" t="inlineStr">
        <is>
          <t>MORA</t>
        </is>
      </c>
      <c r="G333" t="n">
        <v>3.7</v>
      </c>
      <c r="H333" t="n">
        <v>0</v>
      </c>
      <c r="I333" t="n">
        <v>0</v>
      </c>
      <c r="J333" t="n">
        <v>0</v>
      </c>
      <c r="K333" t="n">
        <v>0</v>
      </c>
      <c r="L333" t="n">
        <v>0</v>
      </c>
      <c r="M333" t="n">
        <v>0</v>
      </c>
      <c r="N333" t="n">
        <v>0</v>
      </c>
      <c r="O333" t="n">
        <v>0</v>
      </c>
      <c r="P333" t="n">
        <v>0</v>
      </c>
      <c r="Q333" t="n">
        <v>0</v>
      </c>
      <c r="R333" s="2" t="inlineStr"/>
    </row>
    <row r="334" ht="15" customHeight="1">
      <c r="A334" t="inlineStr">
        <is>
          <t>A 60715-2023</t>
        </is>
      </c>
      <c r="B334" s="1" t="n">
        <v>45260.52684027778</v>
      </c>
      <c r="C334" s="1" t="n">
        <v>46089</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54257-2023</t>
        </is>
      </c>
      <c r="B335" s="1" t="n">
        <v>45232.64195601852</v>
      </c>
      <c r="C335" s="1" t="n">
        <v>46089</v>
      </c>
      <c r="D335" t="inlineStr">
        <is>
          <t>DALARNAS LÄN</t>
        </is>
      </c>
      <c r="E335" t="inlineStr">
        <is>
          <t>MORA</t>
        </is>
      </c>
      <c r="G335" t="n">
        <v>4</v>
      </c>
      <c r="H335" t="n">
        <v>0</v>
      </c>
      <c r="I335" t="n">
        <v>0</v>
      </c>
      <c r="J335" t="n">
        <v>0</v>
      </c>
      <c r="K335" t="n">
        <v>0</v>
      </c>
      <c r="L335" t="n">
        <v>0</v>
      </c>
      <c r="M335" t="n">
        <v>0</v>
      </c>
      <c r="N335" t="n">
        <v>0</v>
      </c>
      <c r="O335" t="n">
        <v>0</v>
      </c>
      <c r="P335" t="n">
        <v>0</v>
      </c>
      <c r="Q335" t="n">
        <v>0</v>
      </c>
      <c r="R335" s="2" t="inlineStr"/>
    </row>
    <row r="336" ht="15" customHeight="1">
      <c r="A336" t="inlineStr">
        <is>
          <t>A 30858-2025</t>
        </is>
      </c>
      <c r="B336" s="1" t="n">
        <v>45831.92416666666</v>
      </c>
      <c r="C336" s="1" t="n">
        <v>46089</v>
      </c>
      <c r="D336" t="inlineStr">
        <is>
          <t>DALARNAS LÄN</t>
        </is>
      </c>
      <c r="E336" t="inlineStr">
        <is>
          <t>MORA</t>
        </is>
      </c>
      <c r="G336" t="n">
        <v>2.9</v>
      </c>
      <c r="H336" t="n">
        <v>0</v>
      </c>
      <c r="I336" t="n">
        <v>0</v>
      </c>
      <c r="J336" t="n">
        <v>0</v>
      </c>
      <c r="K336" t="n">
        <v>0</v>
      </c>
      <c r="L336" t="n">
        <v>0</v>
      </c>
      <c r="M336" t="n">
        <v>0</v>
      </c>
      <c r="N336" t="n">
        <v>0</v>
      </c>
      <c r="O336" t="n">
        <v>0</v>
      </c>
      <c r="P336" t="n">
        <v>0</v>
      </c>
      <c r="Q336" t="n">
        <v>0</v>
      </c>
      <c r="R336" s="2" t="inlineStr"/>
    </row>
    <row r="337" ht="15" customHeight="1">
      <c r="A337" t="inlineStr">
        <is>
          <t>A 30859-2025</t>
        </is>
      </c>
      <c r="B337" s="1" t="n">
        <v>45831.93105324074</v>
      </c>
      <c r="C337" s="1" t="n">
        <v>46089</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25499-2024</t>
        </is>
      </c>
      <c r="B338" s="1" t="n">
        <v>45463</v>
      </c>
      <c r="C338" s="1" t="n">
        <v>46089</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46089</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46089</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58958-2022</t>
        </is>
      </c>
      <c r="B341" s="1" t="n">
        <v>44903.6605324074</v>
      </c>
      <c r="C341" s="1" t="n">
        <v>46089</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46090-2025</t>
        </is>
      </c>
      <c r="B342" s="1" t="n">
        <v>45924.5253125</v>
      </c>
      <c r="C342" s="1" t="n">
        <v>46089</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46091-2025</t>
        </is>
      </c>
      <c r="B343" s="1" t="n">
        <v>45924.52871527777</v>
      </c>
      <c r="C343" s="1" t="n">
        <v>46089</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46283-2025</t>
        </is>
      </c>
      <c r="B344" s="1" t="n">
        <v>45925</v>
      </c>
      <c r="C344" s="1" t="n">
        <v>46089</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31842-2025</t>
        </is>
      </c>
      <c r="B345" s="1" t="n">
        <v>45834.59822916667</v>
      </c>
      <c r="C345" s="1" t="n">
        <v>46089</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52908-2023</t>
        </is>
      </c>
      <c r="B346" s="1" t="n">
        <v>45226.49950231481</v>
      </c>
      <c r="C346" s="1" t="n">
        <v>46089</v>
      </c>
      <c r="D346" t="inlineStr">
        <is>
          <t>DALARNAS LÄN</t>
        </is>
      </c>
      <c r="E346" t="inlineStr">
        <is>
          <t>MORA</t>
        </is>
      </c>
      <c r="G346" t="n">
        <v>3.3</v>
      </c>
      <c r="H346" t="n">
        <v>0</v>
      </c>
      <c r="I346" t="n">
        <v>0</v>
      </c>
      <c r="J346" t="n">
        <v>0</v>
      </c>
      <c r="K346" t="n">
        <v>0</v>
      </c>
      <c r="L346" t="n">
        <v>0</v>
      </c>
      <c r="M346" t="n">
        <v>0</v>
      </c>
      <c r="N346" t="n">
        <v>0</v>
      </c>
      <c r="O346" t="n">
        <v>0</v>
      </c>
      <c r="P346" t="n">
        <v>0</v>
      </c>
      <c r="Q346" t="n">
        <v>0</v>
      </c>
      <c r="R346" s="2" t="inlineStr"/>
    </row>
    <row r="347" ht="15" customHeight="1">
      <c r="A347" t="inlineStr">
        <is>
          <t>A 18214-2024</t>
        </is>
      </c>
      <c r="B347" s="1" t="n">
        <v>45420</v>
      </c>
      <c r="C347" s="1" t="n">
        <v>46089</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46089</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60465-2023</t>
        </is>
      </c>
      <c r="B349" s="1" t="n">
        <v>45259.57872685185</v>
      </c>
      <c r="C349" s="1" t="n">
        <v>46089</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32852-2025</t>
        </is>
      </c>
      <c r="B350" s="1" t="n">
        <v>45839.57559027777</v>
      </c>
      <c r="C350" s="1" t="n">
        <v>46089</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61654-2024</t>
        </is>
      </c>
      <c r="B351" s="1" t="n">
        <v>45646.74988425926</v>
      </c>
      <c r="C351" s="1" t="n">
        <v>46089</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46537-2025</t>
        </is>
      </c>
      <c r="B352" s="1" t="n">
        <v>45926.34195601852</v>
      </c>
      <c r="C352" s="1" t="n">
        <v>46089</v>
      </c>
      <c r="D352" t="inlineStr">
        <is>
          <t>DALARNAS LÄN</t>
        </is>
      </c>
      <c r="E352" t="inlineStr">
        <is>
          <t>MORA</t>
        </is>
      </c>
      <c r="G352" t="n">
        <v>10.6</v>
      </c>
      <c r="H352" t="n">
        <v>0</v>
      </c>
      <c r="I352" t="n">
        <v>0</v>
      </c>
      <c r="J352" t="n">
        <v>0</v>
      </c>
      <c r="K352" t="n">
        <v>0</v>
      </c>
      <c r="L352" t="n">
        <v>0</v>
      </c>
      <c r="M352" t="n">
        <v>0</v>
      </c>
      <c r="N352" t="n">
        <v>0</v>
      </c>
      <c r="O352" t="n">
        <v>0</v>
      </c>
      <c r="P352" t="n">
        <v>0</v>
      </c>
      <c r="Q352" t="n">
        <v>0</v>
      </c>
      <c r="R352" s="2" t="inlineStr"/>
    </row>
    <row r="353" ht="15" customHeight="1">
      <c r="A353" t="inlineStr">
        <is>
          <t>A 47140-2025</t>
        </is>
      </c>
      <c r="B353" s="1" t="n">
        <v>45929</v>
      </c>
      <c r="C353" s="1" t="n">
        <v>46089</v>
      </c>
      <c r="D353" t="inlineStr">
        <is>
          <t>DALARNAS LÄN</t>
        </is>
      </c>
      <c r="E353" t="inlineStr">
        <is>
          <t>MORA</t>
        </is>
      </c>
      <c r="G353" t="n">
        <v>6.7</v>
      </c>
      <c r="H353" t="n">
        <v>0</v>
      </c>
      <c r="I353" t="n">
        <v>0</v>
      </c>
      <c r="J353" t="n">
        <v>0</v>
      </c>
      <c r="K353" t="n">
        <v>0</v>
      </c>
      <c r="L353" t="n">
        <v>0</v>
      </c>
      <c r="M353" t="n">
        <v>0</v>
      </c>
      <c r="N353" t="n">
        <v>0</v>
      </c>
      <c r="O353" t="n">
        <v>0</v>
      </c>
      <c r="P353" t="n">
        <v>0</v>
      </c>
      <c r="Q353" t="n">
        <v>0</v>
      </c>
      <c r="R353" s="2" t="inlineStr"/>
    </row>
    <row r="354" ht="15" customHeight="1">
      <c r="A354" t="inlineStr">
        <is>
          <t>A 60428-2023</t>
        </is>
      </c>
      <c r="B354" s="1" t="n">
        <v>45259.50996527778</v>
      </c>
      <c r="C354" s="1" t="n">
        <v>46089</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46089</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2308-2023</t>
        </is>
      </c>
      <c r="B356" s="1" t="n">
        <v>44942.57987268519</v>
      </c>
      <c r="C356" s="1" t="n">
        <v>46089</v>
      </c>
      <c r="D356" t="inlineStr">
        <is>
          <t>DALARNAS LÄN</t>
        </is>
      </c>
      <c r="E356" t="inlineStr">
        <is>
          <t>MORA</t>
        </is>
      </c>
      <c r="G356" t="n">
        <v>2.2</v>
      </c>
      <c r="H356" t="n">
        <v>0</v>
      </c>
      <c r="I356" t="n">
        <v>0</v>
      </c>
      <c r="J356" t="n">
        <v>0</v>
      </c>
      <c r="K356" t="n">
        <v>0</v>
      </c>
      <c r="L356" t="n">
        <v>0</v>
      </c>
      <c r="M356" t="n">
        <v>0</v>
      </c>
      <c r="N356" t="n">
        <v>0</v>
      </c>
      <c r="O356" t="n">
        <v>0</v>
      </c>
      <c r="P356" t="n">
        <v>0</v>
      </c>
      <c r="Q356" t="n">
        <v>0</v>
      </c>
      <c r="R356" s="2" t="inlineStr"/>
    </row>
    <row r="357" ht="15" customHeight="1">
      <c r="A357" t="inlineStr">
        <is>
          <t>A 47072-2025</t>
        </is>
      </c>
      <c r="B357" s="1" t="n">
        <v>45929.6365162037</v>
      </c>
      <c r="C357" s="1" t="n">
        <v>46089</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53159-2024</t>
        </is>
      </c>
      <c r="B358" s="1" t="n">
        <v>45611.63849537037</v>
      </c>
      <c r="C358" s="1" t="n">
        <v>46089</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29754-2022</t>
        </is>
      </c>
      <c r="B359" s="1" t="n">
        <v>44755.59188657408</v>
      </c>
      <c r="C359" s="1" t="n">
        <v>46089</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239-2026</t>
        </is>
      </c>
      <c r="B360" s="1" t="n">
        <v>46027</v>
      </c>
      <c r="C360" s="1" t="n">
        <v>46089</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27188-2023</t>
        </is>
      </c>
      <c r="B361" s="1" t="n">
        <v>45096</v>
      </c>
      <c r="C361" s="1" t="n">
        <v>46089</v>
      </c>
      <c r="D361" t="inlineStr">
        <is>
          <t>DALARNAS LÄN</t>
        </is>
      </c>
      <c r="E361" t="inlineStr">
        <is>
          <t>MORA</t>
        </is>
      </c>
      <c r="G361" t="n">
        <v>4.8</v>
      </c>
      <c r="H361" t="n">
        <v>0</v>
      </c>
      <c r="I361" t="n">
        <v>0</v>
      </c>
      <c r="J361" t="n">
        <v>0</v>
      </c>
      <c r="K361" t="n">
        <v>0</v>
      </c>
      <c r="L361" t="n">
        <v>0</v>
      </c>
      <c r="M361" t="n">
        <v>0</v>
      </c>
      <c r="N361" t="n">
        <v>0</v>
      </c>
      <c r="O361" t="n">
        <v>0</v>
      </c>
      <c r="P361" t="n">
        <v>0</v>
      </c>
      <c r="Q361" t="n">
        <v>0</v>
      </c>
      <c r="R361" s="2" t="inlineStr"/>
    </row>
    <row r="362" ht="15" customHeight="1">
      <c r="A362" t="inlineStr">
        <is>
          <t>A 56268-2024</t>
        </is>
      </c>
      <c r="B362" s="1" t="n">
        <v>45624.65785879629</v>
      </c>
      <c r="C362" s="1" t="n">
        <v>46089</v>
      </c>
      <c r="D362" t="inlineStr">
        <is>
          <t>DALARNAS LÄN</t>
        </is>
      </c>
      <c r="E362" t="inlineStr">
        <is>
          <t>MORA</t>
        </is>
      </c>
      <c r="G362" t="n">
        <v>2.7</v>
      </c>
      <c r="H362" t="n">
        <v>0</v>
      </c>
      <c r="I362" t="n">
        <v>0</v>
      </c>
      <c r="J362" t="n">
        <v>0</v>
      </c>
      <c r="K362" t="n">
        <v>0</v>
      </c>
      <c r="L362" t="n">
        <v>0</v>
      </c>
      <c r="M362" t="n">
        <v>0</v>
      </c>
      <c r="N362" t="n">
        <v>0</v>
      </c>
      <c r="O362" t="n">
        <v>0</v>
      </c>
      <c r="P362" t="n">
        <v>0</v>
      </c>
      <c r="Q362" t="n">
        <v>0</v>
      </c>
      <c r="R362" s="2" t="inlineStr"/>
    </row>
    <row r="363" ht="15" customHeight="1">
      <c r="A363" t="inlineStr">
        <is>
          <t>A 47414-2025</t>
        </is>
      </c>
      <c r="B363" s="1" t="n">
        <v>45930.61896990741</v>
      </c>
      <c r="C363" s="1" t="n">
        <v>46089</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33443-2025</t>
        </is>
      </c>
      <c r="B364" s="1" t="n">
        <v>45841</v>
      </c>
      <c r="C364" s="1" t="n">
        <v>46089</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47765-2025</t>
        </is>
      </c>
      <c r="B365" s="1" t="n">
        <v>45931.69100694444</v>
      </c>
      <c r="C365" s="1" t="n">
        <v>46089</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47769-2025</t>
        </is>
      </c>
      <c r="B366" s="1" t="n">
        <v>45931.70715277778</v>
      </c>
      <c r="C366" s="1" t="n">
        <v>46089</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14641-2023</t>
        </is>
      </c>
      <c r="B367" s="1" t="n">
        <v>45013</v>
      </c>
      <c r="C367" s="1" t="n">
        <v>46089</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48376-2025</t>
        </is>
      </c>
      <c r="B368" s="1" t="n">
        <v>45933.71648148148</v>
      </c>
      <c r="C368" s="1" t="n">
        <v>46089</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47860-2025</t>
        </is>
      </c>
      <c r="B369" s="1" t="n">
        <v>45932.42298611111</v>
      </c>
      <c r="C369" s="1" t="n">
        <v>46089</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141-2026</t>
        </is>
      </c>
      <c r="B370" s="1" t="n">
        <v>46024.62364583334</v>
      </c>
      <c r="C370" s="1" t="n">
        <v>46089</v>
      </c>
      <c r="D370" t="inlineStr">
        <is>
          <t>DALARNAS LÄN</t>
        </is>
      </c>
      <c r="E370" t="inlineStr">
        <is>
          <t>MORA</t>
        </is>
      </c>
      <c r="G370" t="n">
        <v>4.4</v>
      </c>
      <c r="H370" t="n">
        <v>0</v>
      </c>
      <c r="I370" t="n">
        <v>0</v>
      </c>
      <c r="J370" t="n">
        <v>0</v>
      </c>
      <c r="K370" t="n">
        <v>0</v>
      </c>
      <c r="L370" t="n">
        <v>0</v>
      </c>
      <c r="M370" t="n">
        <v>0</v>
      </c>
      <c r="N370" t="n">
        <v>0</v>
      </c>
      <c r="O370" t="n">
        <v>0</v>
      </c>
      <c r="P370" t="n">
        <v>0</v>
      </c>
      <c r="Q370" t="n">
        <v>0</v>
      </c>
      <c r="R370" s="2" t="inlineStr"/>
    </row>
    <row r="371" ht="15" customHeight="1">
      <c r="A371" t="inlineStr">
        <is>
          <t>A 57408-2024</t>
        </is>
      </c>
      <c r="B371" s="1" t="n">
        <v>45629</v>
      </c>
      <c r="C371" s="1" t="n">
        <v>46089</v>
      </c>
      <c r="D371" t="inlineStr">
        <is>
          <t>DALARNAS LÄN</t>
        </is>
      </c>
      <c r="E371" t="inlineStr">
        <is>
          <t>MORA</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34182-2025</t>
        </is>
      </c>
      <c r="B372" s="1" t="n">
        <v>45845.60520833333</v>
      </c>
      <c r="C372" s="1" t="n">
        <v>46089</v>
      </c>
      <c r="D372" t="inlineStr">
        <is>
          <t>DALARNAS LÄN</t>
        </is>
      </c>
      <c r="E372" t="inlineStr">
        <is>
          <t>MORA</t>
        </is>
      </c>
      <c r="G372" t="n">
        <v>3.4</v>
      </c>
      <c r="H372" t="n">
        <v>0</v>
      </c>
      <c r="I372" t="n">
        <v>0</v>
      </c>
      <c r="J372" t="n">
        <v>0</v>
      </c>
      <c r="K372" t="n">
        <v>0</v>
      </c>
      <c r="L372" t="n">
        <v>0</v>
      </c>
      <c r="M372" t="n">
        <v>0</v>
      </c>
      <c r="N372" t="n">
        <v>0</v>
      </c>
      <c r="O372" t="n">
        <v>0</v>
      </c>
      <c r="P372" t="n">
        <v>0</v>
      </c>
      <c r="Q372" t="n">
        <v>0</v>
      </c>
      <c r="R372" s="2" t="inlineStr"/>
    </row>
    <row r="373" ht="15" customHeight="1">
      <c r="A373" t="inlineStr">
        <is>
          <t>A 1252-2025</t>
        </is>
      </c>
      <c r="B373" s="1" t="n">
        <v>45667.46648148148</v>
      </c>
      <c r="C373" s="1" t="n">
        <v>46089</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34005-2025</t>
        </is>
      </c>
      <c r="B374" s="1" t="n">
        <v>45844.58890046296</v>
      </c>
      <c r="C374" s="1" t="n">
        <v>46089</v>
      </c>
      <c r="D374" t="inlineStr">
        <is>
          <t>DALARNAS LÄN</t>
        </is>
      </c>
      <c r="E374" t="inlineStr">
        <is>
          <t>MORA</t>
        </is>
      </c>
      <c r="G374" t="n">
        <v>7.2</v>
      </c>
      <c r="H374" t="n">
        <v>0</v>
      </c>
      <c r="I374" t="n">
        <v>0</v>
      </c>
      <c r="J374" t="n">
        <v>0</v>
      </c>
      <c r="K374" t="n">
        <v>0</v>
      </c>
      <c r="L374" t="n">
        <v>0</v>
      </c>
      <c r="M374" t="n">
        <v>0</v>
      </c>
      <c r="N374" t="n">
        <v>0</v>
      </c>
      <c r="O374" t="n">
        <v>0</v>
      </c>
      <c r="P374" t="n">
        <v>0</v>
      </c>
      <c r="Q374" t="n">
        <v>0</v>
      </c>
      <c r="R374" s="2" t="inlineStr"/>
    </row>
    <row r="375" ht="15" customHeight="1">
      <c r="A375" t="inlineStr">
        <is>
          <t>A 48377-2025</t>
        </is>
      </c>
      <c r="B375" s="1" t="n">
        <v>45933.71896990741</v>
      </c>
      <c r="C375" s="1" t="n">
        <v>46089</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34482-2025</t>
        </is>
      </c>
      <c r="B376" s="1" t="n">
        <v>45847.38469907407</v>
      </c>
      <c r="C376" s="1" t="n">
        <v>46089</v>
      </c>
      <c r="D376" t="inlineStr">
        <is>
          <t>DALARNAS LÄN</t>
        </is>
      </c>
      <c r="E376" t="inlineStr">
        <is>
          <t>MORA</t>
        </is>
      </c>
      <c r="G376" t="n">
        <v>1.5</v>
      </c>
      <c r="H376" t="n">
        <v>0</v>
      </c>
      <c r="I376" t="n">
        <v>0</v>
      </c>
      <c r="J376" t="n">
        <v>0</v>
      </c>
      <c r="K376" t="n">
        <v>0</v>
      </c>
      <c r="L376" t="n">
        <v>0</v>
      </c>
      <c r="M376" t="n">
        <v>0</v>
      </c>
      <c r="N376" t="n">
        <v>0</v>
      </c>
      <c r="O376" t="n">
        <v>0</v>
      </c>
      <c r="P376" t="n">
        <v>0</v>
      </c>
      <c r="Q376" t="n">
        <v>0</v>
      </c>
      <c r="R376" s="2" t="inlineStr"/>
    </row>
    <row r="377" ht="15" customHeight="1">
      <c r="A377" t="inlineStr">
        <is>
          <t>A 9554-2025</t>
        </is>
      </c>
      <c r="B377" s="1" t="n">
        <v>45715.59936342593</v>
      </c>
      <c r="C377" s="1" t="n">
        <v>46089</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34382-2025</t>
        </is>
      </c>
      <c r="B378" s="1" t="n">
        <v>45846</v>
      </c>
      <c r="C378" s="1" t="n">
        <v>46089</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571-2024</t>
        </is>
      </c>
      <c r="B379" s="1" t="n">
        <v>45299</v>
      </c>
      <c r="C379" s="1" t="n">
        <v>46089</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20549-2025</t>
        </is>
      </c>
      <c r="B380" s="1" t="n">
        <v>45775.63459490741</v>
      </c>
      <c r="C380" s="1" t="n">
        <v>46089</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12478-2025</t>
        </is>
      </c>
      <c r="B381" s="1" t="n">
        <v>45730.57429398148</v>
      </c>
      <c r="C381" s="1" t="n">
        <v>46089</v>
      </c>
      <c r="D381" t="inlineStr">
        <is>
          <t>DALARNAS LÄN</t>
        </is>
      </c>
      <c r="E381" t="inlineStr">
        <is>
          <t>MORA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47716-2025</t>
        </is>
      </c>
      <c r="B382" s="1" t="n">
        <v>45931</v>
      </c>
      <c r="C382" s="1" t="n">
        <v>46089</v>
      </c>
      <c r="D382" t="inlineStr">
        <is>
          <t>DALARNAS LÄN</t>
        </is>
      </c>
      <c r="E382" t="inlineStr">
        <is>
          <t>MORA</t>
        </is>
      </c>
      <c r="G382" t="n">
        <v>8.9</v>
      </c>
      <c r="H382" t="n">
        <v>0</v>
      </c>
      <c r="I382" t="n">
        <v>0</v>
      </c>
      <c r="J382" t="n">
        <v>0</v>
      </c>
      <c r="K382" t="n">
        <v>0</v>
      </c>
      <c r="L382" t="n">
        <v>0</v>
      </c>
      <c r="M382" t="n">
        <v>0</v>
      </c>
      <c r="N382" t="n">
        <v>0</v>
      </c>
      <c r="O382" t="n">
        <v>0</v>
      </c>
      <c r="P382" t="n">
        <v>0</v>
      </c>
      <c r="Q382" t="n">
        <v>0</v>
      </c>
      <c r="R382" s="2" t="inlineStr"/>
    </row>
    <row r="383" ht="15" customHeight="1">
      <c r="A383" t="inlineStr">
        <is>
          <t>A 34933-2025</t>
        </is>
      </c>
      <c r="B383" s="1" t="n">
        <v>45849.57297453703</v>
      </c>
      <c r="C383" s="1" t="n">
        <v>46089</v>
      </c>
      <c r="D383" t="inlineStr">
        <is>
          <t>DALARNAS LÄN</t>
        </is>
      </c>
      <c r="E383" t="inlineStr">
        <is>
          <t>MORA</t>
        </is>
      </c>
      <c r="F383" t="inlineStr">
        <is>
          <t>Bergvik skog väst AB</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48927-2025</t>
        </is>
      </c>
      <c r="B384" s="1" t="n">
        <v>45931</v>
      </c>
      <c r="C384" s="1" t="n">
        <v>46089</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8983-2026</t>
        </is>
      </c>
      <c r="B385" s="1" t="n">
        <v>46069</v>
      </c>
      <c r="C385" s="1" t="n">
        <v>46089</v>
      </c>
      <c r="D385" t="inlineStr">
        <is>
          <t>DALARNAS LÄN</t>
        </is>
      </c>
      <c r="E385" t="inlineStr">
        <is>
          <t>MORA</t>
        </is>
      </c>
      <c r="G385" t="n">
        <v>4.8</v>
      </c>
      <c r="H385" t="n">
        <v>0</v>
      </c>
      <c r="I385" t="n">
        <v>0</v>
      </c>
      <c r="J385" t="n">
        <v>0</v>
      </c>
      <c r="K385" t="n">
        <v>0</v>
      </c>
      <c r="L385" t="n">
        <v>0</v>
      </c>
      <c r="M385" t="n">
        <v>0</v>
      </c>
      <c r="N385" t="n">
        <v>0</v>
      </c>
      <c r="O385" t="n">
        <v>0</v>
      </c>
      <c r="P385" t="n">
        <v>0</v>
      </c>
      <c r="Q385" t="n">
        <v>0</v>
      </c>
      <c r="R385" s="2" t="inlineStr"/>
    </row>
    <row r="386" ht="15" customHeight="1">
      <c r="A386" t="inlineStr">
        <is>
          <t>A 4744-2026</t>
        </is>
      </c>
      <c r="B386" s="1" t="n">
        <v>46048</v>
      </c>
      <c r="C386" s="1" t="n">
        <v>46089</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46089</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46089</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48929-2025</t>
        </is>
      </c>
      <c r="B389" s="1" t="n">
        <v>45937.51315972222</v>
      </c>
      <c r="C389" s="1" t="n">
        <v>46089</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49404-2025</t>
        </is>
      </c>
      <c r="B390" s="1" t="n">
        <v>45938.67662037037</v>
      </c>
      <c r="C390" s="1" t="n">
        <v>46089</v>
      </c>
      <c r="D390" t="inlineStr">
        <is>
          <t>DALARNAS LÄN</t>
        </is>
      </c>
      <c r="E390" t="inlineStr">
        <is>
          <t>MORA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9083-2026</t>
        </is>
      </c>
      <c r="B391" s="1" t="n">
        <v>46069</v>
      </c>
      <c r="C391" s="1" t="n">
        <v>46089</v>
      </c>
      <c r="D391" t="inlineStr">
        <is>
          <t>DALARNAS LÄN</t>
        </is>
      </c>
      <c r="E391" t="inlineStr">
        <is>
          <t>MORA</t>
        </is>
      </c>
      <c r="G391" t="n">
        <v>10.1</v>
      </c>
      <c r="H391" t="n">
        <v>0</v>
      </c>
      <c r="I391" t="n">
        <v>0</v>
      </c>
      <c r="J391" t="n">
        <v>0</v>
      </c>
      <c r="K391" t="n">
        <v>0</v>
      </c>
      <c r="L391" t="n">
        <v>0</v>
      </c>
      <c r="M391" t="n">
        <v>0</v>
      </c>
      <c r="N391" t="n">
        <v>0</v>
      </c>
      <c r="O391" t="n">
        <v>0</v>
      </c>
      <c r="P391" t="n">
        <v>0</v>
      </c>
      <c r="Q391" t="n">
        <v>0</v>
      </c>
      <c r="R391" s="2" t="inlineStr"/>
    </row>
    <row r="392" ht="15" customHeight="1">
      <c r="A392" t="inlineStr">
        <is>
          <t>A 35121-2025</t>
        </is>
      </c>
      <c r="B392" s="1" t="n">
        <v>45852.60936342592</v>
      </c>
      <c r="C392" s="1" t="n">
        <v>46089</v>
      </c>
      <c r="D392" t="inlineStr">
        <is>
          <t>DALARNAS LÄN</t>
        </is>
      </c>
      <c r="E392" t="inlineStr">
        <is>
          <t>MORA</t>
        </is>
      </c>
      <c r="F392" t="inlineStr">
        <is>
          <t>Bergvik skog öst AB</t>
        </is>
      </c>
      <c r="G392" t="n">
        <v>15.9</v>
      </c>
      <c r="H392" t="n">
        <v>0</v>
      </c>
      <c r="I392" t="n">
        <v>0</v>
      </c>
      <c r="J392" t="n">
        <v>0</v>
      </c>
      <c r="K392" t="n">
        <v>0</v>
      </c>
      <c r="L392" t="n">
        <v>0</v>
      </c>
      <c r="M392" t="n">
        <v>0</v>
      </c>
      <c r="N392" t="n">
        <v>0</v>
      </c>
      <c r="O392" t="n">
        <v>0</v>
      </c>
      <c r="P392" t="n">
        <v>0</v>
      </c>
      <c r="Q392" t="n">
        <v>0</v>
      </c>
      <c r="R392" s="2" t="inlineStr"/>
    </row>
    <row r="393" ht="15" customHeight="1">
      <c r="A393" t="inlineStr">
        <is>
          <t>A 49401-2025</t>
        </is>
      </c>
      <c r="B393" s="1" t="n">
        <v>45938.66932870371</v>
      </c>
      <c r="C393" s="1" t="n">
        <v>46089</v>
      </c>
      <c r="D393" t="inlineStr">
        <is>
          <t>DALARNAS LÄN</t>
        </is>
      </c>
      <c r="E393" t="inlineStr">
        <is>
          <t>MORA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18806-2025</t>
        </is>
      </c>
      <c r="B394" s="1" t="n">
        <v>45764.35269675926</v>
      </c>
      <c r="C394" s="1" t="n">
        <v>46089</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54628-2024</t>
        </is>
      </c>
      <c r="B395" s="1" t="n">
        <v>45617.83969907407</v>
      </c>
      <c r="C395" s="1" t="n">
        <v>46089</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35407-2025</t>
        </is>
      </c>
      <c r="B396" s="1" t="n">
        <v>45855.35989583333</v>
      </c>
      <c r="C396" s="1" t="n">
        <v>46089</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49574-2025</t>
        </is>
      </c>
      <c r="B397" s="1" t="n">
        <v>45939.49045138889</v>
      </c>
      <c r="C397" s="1" t="n">
        <v>46089</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9277-2024</t>
        </is>
      </c>
      <c r="B398" s="1" t="n">
        <v>45358.63265046296</v>
      </c>
      <c r="C398" s="1" t="n">
        <v>46089</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35611-2025</t>
        </is>
      </c>
      <c r="B399" s="1" t="n">
        <v>45859.35384259259</v>
      </c>
      <c r="C399" s="1" t="n">
        <v>46089</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9412-2026</t>
        </is>
      </c>
      <c r="B400" s="1" t="n">
        <v>46071.42309027778</v>
      </c>
      <c r="C400" s="1" t="n">
        <v>46089</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46089</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7849-2026</t>
        </is>
      </c>
      <c r="B402" s="1" t="n">
        <v>46062</v>
      </c>
      <c r="C402" s="1" t="n">
        <v>46089</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35734-2025</t>
        </is>
      </c>
      <c r="B403" s="1" t="n">
        <v>45860.471875</v>
      </c>
      <c r="C403" s="1" t="n">
        <v>46089</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35623-2025</t>
        </is>
      </c>
      <c r="B404" s="1" t="n">
        <v>45859</v>
      </c>
      <c r="C404" s="1" t="n">
        <v>46089</v>
      </c>
      <c r="D404" t="inlineStr">
        <is>
          <t>DALARNAS LÄN</t>
        </is>
      </c>
      <c r="E404" t="inlineStr">
        <is>
          <t>MORA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35622-2025</t>
        </is>
      </c>
      <c r="B405" s="1" t="n">
        <v>45859</v>
      </c>
      <c r="C405" s="1" t="n">
        <v>46089</v>
      </c>
      <c r="D405" t="inlineStr">
        <is>
          <t>DALARNAS LÄN</t>
        </is>
      </c>
      <c r="E405" t="inlineStr">
        <is>
          <t>MORA</t>
        </is>
      </c>
      <c r="F405" t="inlineStr">
        <is>
          <t>Bergvik skog öst AB</t>
        </is>
      </c>
      <c r="G405" t="n">
        <v>5.8</v>
      </c>
      <c r="H405" t="n">
        <v>0</v>
      </c>
      <c r="I405" t="n">
        <v>0</v>
      </c>
      <c r="J405" t="n">
        <v>0</v>
      </c>
      <c r="K405" t="n">
        <v>0</v>
      </c>
      <c r="L405" t="n">
        <v>0</v>
      </c>
      <c r="M405" t="n">
        <v>0</v>
      </c>
      <c r="N405" t="n">
        <v>0</v>
      </c>
      <c r="O405" t="n">
        <v>0</v>
      </c>
      <c r="P405" t="n">
        <v>0</v>
      </c>
      <c r="Q405" t="n">
        <v>0</v>
      </c>
      <c r="R405" s="2" t="inlineStr"/>
    </row>
    <row r="406" ht="15" customHeight="1">
      <c r="A406" t="inlineStr">
        <is>
          <t>A 35624-2025</t>
        </is>
      </c>
      <c r="B406" s="1" t="n">
        <v>45859</v>
      </c>
      <c r="C406" s="1" t="n">
        <v>46089</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46089</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57319-2023</t>
        </is>
      </c>
      <c r="B408" s="1" t="n">
        <v>45245.64877314815</v>
      </c>
      <c r="C408" s="1" t="n">
        <v>46089</v>
      </c>
      <c r="D408" t="inlineStr">
        <is>
          <t>DALARNAS LÄN</t>
        </is>
      </c>
      <c r="E408" t="inlineStr">
        <is>
          <t>MORA</t>
        </is>
      </c>
      <c r="G408" t="n">
        <v>2</v>
      </c>
      <c r="H408" t="n">
        <v>0</v>
      </c>
      <c r="I408" t="n">
        <v>0</v>
      </c>
      <c r="J408" t="n">
        <v>0</v>
      </c>
      <c r="K408" t="n">
        <v>0</v>
      </c>
      <c r="L408" t="n">
        <v>0</v>
      </c>
      <c r="M408" t="n">
        <v>0</v>
      </c>
      <c r="N408" t="n">
        <v>0</v>
      </c>
      <c r="O408" t="n">
        <v>0</v>
      </c>
      <c r="P408" t="n">
        <v>0</v>
      </c>
      <c r="Q408" t="n">
        <v>0</v>
      </c>
      <c r="R408" s="2" t="inlineStr"/>
    </row>
    <row r="409" ht="15" customHeight="1">
      <c r="A409" t="inlineStr">
        <is>
          <t>A 43498-2023</t>
        </is>
      </c>
      <c r="B409" s="1" t="n">
        <v>45184</v>
      </c>
      <c r="C409" s="1" t="n">
        <v>46089</v>
      </c>
      <c r="D409" t="inlineStr">
        <is>
          <t>DALARNAS LÄN</t>
        </is>
      </c>
      <c r="E409" t="inlineStr">
        <is>
          <t>MORA</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46089</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46089</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60962-2025</t>
        </is>
      </c>
      <c r="B412" s="1" t="n">
        <v>45999.66488425926</v>
      </c>
      <c r="C412" s="1" t="n">
        <v>46089</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35381-2024</t>
        </is>
      </c>
      <c r="B413" s="1" t="n">
        <v>45531.38372685185</v>
      </c>
      <c r="C413" s="1" t="n">
        <v>46089</v>
      </c>
      <c r="D413" t="inlineStr">
        <is>
          <t>DALARNAS LÄN</t>
        </is>
      </c>
      <c r="E413" t="inlineStr">
        <is>
          <t>MORA</t>
        </is>
      </c>
      <c r="G413" t="n">
        <v>3.7</v>
      </c>
      <c r="H413" t="n">
        <v>0</v>
      </c>
      <c r="I413" t="n">
        <v>0</v>
      </c>
      <c r="J413" t="n">
        <v>0</v>
      </c>
      <c r="K413" t="n">
        <v>0</v>
      </c>
      <c r="L413" t="n">
        <v>0</v>
      </c>
      <c r="M413" t="n">
        <v>0</v>
      </c>
      <c r="N413" t="n">
        <v>0</v>
      </c>
      <c r="O413" t="n">
        <v>0</v>
      </c>
      <c r="P413" t="n">
        <v>0</v>
      </c>
      <c r="Q413" t="n">
        <v>0</v>
      </c>
      <c r="R413" s="2" t="inlineStr"/>
    </row>
    <row r="414" ht="15" customHeight="1">
      <c r="A414" t="inlineStr">
        <is>
          <t>A 13479-2024</t>
        </is>
      </c>
      <c r="B414" s="1" t="n">
        <v>45387.5900925926</v>
      </c>
      <c r="C414" s="1" t="n">
        <v>46089</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36041-2025</t>
        </is>
      </c>
      <c r="B415" s="1" t="n">
        <v>45866.34385416667</v>
      </c>
      <c r="C415" s="1" t="n">
        <v>46089</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7446-2026</t>
        </is>
      </c>
      <c r="B416" s="1" t="n">
        <v>46059</v>
      </c>
      <c r="C416" s="1" t="n">
        <v>46089</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46089</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36586-2025</t>
        </is>
      </c>
      <c r="B418" s="1" t="n">
        <v>45869</v>
      </c>
      <c r="C418" s="1" t="n">
        <v>46089</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36760-2025</t>
        </is>
      </c>
      <c r="B419" s="1" t="n">
        <v>45873.57319444444</v>
      </c>
      <c r="C419" s="1" t="n">
        <v>46089</v>
      </c>
      <c r="D419" t="inlineStr">
        <is>
          <t>DALARNAS LÄN</t>
        </is>
      </c>
      <c r="E419" t="inlineStr">
        <is>
          <t>MORA</t>
        </is>
      </c>
      <c r="G419" t="n">
        <v>4.6</v>
      </c>
      <c r="H419" t="n">
        <v>0</v>
      </c>
      <c r="I419" t="n">
        <v>0</v>
      </c>
      <c r="J419" t="n">
        <v>0</v>
      </c>
      <c r="K419" t="n">
        <v>0</v>
      </c>
      <c r="L419" t="n">
        <v>0</v>
      </c>
      <c r="M419" t="n">
        <v>0</v>
      </c>
      <c r="N419" t="n">
        <v>0</v>
      </c>
      <c r="O419" t="n">
        <v>0</v>
      </c>
      <c r="P419" t="n">
        <v>0</v>
      </c>
      <c r="Q419" t="n">
        <v>0</v>
      </c>
      <c r="R419" s="2" t="inlineStr"/>
    </row>
    <row r="420" ht="15" customHeight="1">
      <c r="A420" t="inlineStr">
        <is>
          <t>A 20299-2023</t>
        </is>
      </c>
      <c r="B420" s="1" t="n">
        <v>45056</v>
      </c>
      <c r="C420" s="1" t="n">
        <v>46089</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51771-2025</t>
        </is>
      </c>
      <c r="B421" s="1" t="n">
        <v>45951.64653935185</v>
      </c>
      <c r="C421" s="1" t="n">
        <v>46089</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28487-2024</t>
        </is>
      </c>
      <c r="B422" s="1" t="n">
        <v>45477.75744212963</v>
      </c>
      <c r="C422" s="1" t="n">
        <v>46089</v>
      </c>
      <c r="D422" t="inlineStr">
        <is>
          <t>DALARNAS LÄN</t>
        </is>
      </c>
      <c r="E422" t="inlineStr">
        <is>
          <t>MORA</t>
        </is>
      </c>
      <c r="G422" t="n">
        <v>3.1</v>
      </c>
      <c r="H422" t="n">
        <v>0</v>
      </c>
      <c r="I422" t="n">
        <v>0</v>
      </c>
      <c r="J422" t="n">
        <v>0</v>
      </c>
      <c r="K422" t="n">
        <v>0</v>
      </c>
      <c r="L422" t="n">
        <v>0</v>
      </c>
      <c r="M422" t="n">
        <v>0</v>
      </c>
      <c r="N422" t="n">
        <v>0</v>
      </c>
      <c r="O422" t="n">
        <v>0</v>
      </c>
      <c r="P422" t="n">
        <v>0</v>
      </c>
      <c r="Q422" t="n">
        <v>0</v>
      </c>
      <c r="R422" s="2" t="inlineStr"/>
    </row>
    <row r="423" ht="15" customHeight="1">
      <c r="A423" t="inlineStr">
        <is>
          <t>A 23586-2023</t>
        </is>
      </c>
      <c r="B423" s="1" t="n">
        <v>45077</v>
      </c>
      <c r="C423" s="1" t="n">
        <v>46089</v>
      </c>
      <c r="D423" t="inlineStr">
        <is>
          <t>DALARNAS LÄN</t>
        </is>
      </c>
      <c r="E423" t="inlineStr">
        <is>
          <t>MORA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4752-2026</t>
        </is>
      </c>
      <c r="B424" s="1" t="n">
        <v>46048</v>
      </c>
      <c r="C424" s="1" t="n">
        <v>46089</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36846-2025</t>
        </is>
      </c>
      <c r="B425" s="1" t="n">
        <v>45874.38655092593</v>
      </c>
      <c r="C425" s="1" t="n">
        <v>46089</v>
      </c>
      <c r="D425" t="inlineStr">
        <is>
          <t>DALARNAS LÄN</t>
        </is>
      </c>
      <c r="E425" t="inlineStr">
        <is>
          <t>MORA</t>
        </is>
      </c>
      <c r="G425" t="n">
        <v>10.7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46089</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58972-2023</t>
        </is>
      </c>
      <c r="B427" s="1" t="n">
        <v>45252</v>
      </c>
      <c r="C427" s="1" t="n">
        <v>46089</v>
      </c>
      <c r="D427" t="inlineStr">
        <is>
          <t>DALARNAS LÄN</t>
        </is>
      </c>
      <c r="E427" t="inlineStr">
        <is>
          <t>MORA</t>
        </is>
      </c>
      <c r="G427" t="n">
        <v>0.5</v>
      </c>
      <c r="H427" t="n">
        <v>0</v>
      </c>
      <c r="I427" t="n">
        <v>0</v>
      </c>
      <c r="J427" t="n">
        <v>0</v>
      </c>
      <c r="K427" t="n">
        <v>0</v>
      </c>
      <c r="L427" t="n">
        <v>0</v>
      </c>
      <c r="M427" t="n">
        <v>0</v>
      </c>
      <c r="N427" t="n">
        <v>0</v>
      </c>
      <c r="O427" t="n">
        <v>0</v>
      </c>
      <c r="P427" t="n">
        <v>0</v>
      </c>
      <c r="Q427" t="n">
        <v>0</v>
      </c>
      <c r="R427" s="2" t="inlineStr"/>
    </row>
    <row r="428" ht="15" customHeight="1">
      <c r="A428" t="inlineStr">
        <is>
          <t>A 37070-2025</t>
        </is>
      </c>
      <c r="B428" s="1" t="n">
        <v>45875.39822916667</v>
      </c>
      <c r="C428" s="1" t="n">
        <v>46089</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52110-2025</t>
        </is>
      </c>
      <c r="B429" s="1" t="n">
        <v>45952.69306712963</v>
      </c>
      <c r="C429" s="1" t="n">
        <v>46089</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37268-2025</t>
        </is>
      </c>
      <c r="B430" s="1" t="n">
        <v>45876.46681712963</v>
      </c>
      <c r="C430" s="1" t="n">
        <v>46089</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44847.518125</v>
      </c>
      <c r="C431" s="1" t="n">
        <v>46089</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52804-2025</t>
        </is>
      </c>
      <c r="B432" s="1" t="n">
        <v>45957.44552083333</v>
      </c>
      <c r="C432" s="1" t="n">
        <v>46089</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42035-2022</t>
        </is>
      </c>
      <c r="B433" s="1" t="n">
        <v>44830</v>
      </c>
      <c r="C433" s="1" t="n">
        <v>46089</v>
      </c>
      <c r="D433" t="inlineStr">
        <is>
          <t>DALARNAS LÄN</t>
        </is>
      </c>
      <c r="E433" t="inlineStr">
        <is>
          <t>MORA</t>
        </is>
      </c>
      <c r="G433" t="n">
        <v>2.7</v>
      </c>
      <c r="H433" t="n">
        <v>0</v>
      </c>
      <c r="I433" t="n">
        <v>0</v>
      </c>
      <c r="J433" t="n">
        <v>0</v>
      </c>
      <c r="K433" t="n">
        <v>0</v>
      </c>
      <c r="L433" t="n">
        <v>0</v>
      </c>
      <c r="M433" t="n">
        <v>0</v>
      </c>
      <c r="N433" t="n">
        <v>0</v>
      </c>
      <c r="O433" t="n">
        <v>0</v>
      </c>
      <c r="P433" t="n">
        <v>0</v>
      </c>
      <c r="Q433" t="n">
        <v>0</v>
      </c>
      <c r="R433" s="2" t="inlineStr"/>
    </row>
    <row r="434" ht="15" customHeight="1">
      <c r="A434" t="inlineStr">
        <is>
          <t>A 665-2026</t>
        </is>
      </c>
      <c r="B434" s="1" t="n">
        <v>46029</v>
      </c>
      <c r="C434" s="1" t="n">
        <v>46089</v>
      </c>
      <c r="D434" t="inlineStr">
        <is>
          <t>DALARNAS LÄN</t>
        </is>
      </c>
      <c r="E434" t="inlineStr">
        <is>
          <t>MORA</t>
        </is>
      </c>
      <c r="F434" t="inlineStr">
        <is>
          <t>Kommuner</t>
        </is>
      </c>
      <c r="G434" t="n">
        <v>20.9</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46089</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46089</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53527-2024</t>
        </is>
      </c>
      <c r="B437" s="1" t="n">
        <v>45614.61569444444</v>
      </c>
      <c r="C437" s="1" t="n">
        <v>46089</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38073-2025</t>
        </is>
      </c>
      <c r="B438" s="1" t="n">
        <v>45882</v>
      </c>
      <c r="C438" s="1" t="n">
        <v>46089</v>
      </c>
      <c r="D438" t="inlineStr">
        <is>
          <t>DALARNAS LÄN</t>
        </is>
      </c>
      <c r="E438" t="inlineStr">
        <is>
          <t>MORA</t>
        </is>
      </c>
      <c r="G438" t="n">
        <v>2.5</v>
      </c>
      <c r="H438" t="n">
        <v>0</v>
      </c>
      <c r="I438" t="n">
        <v>0</v>
      </c>
      <c r="J438" t="n">
        <v>0</v>
      </c>
      <c r="K438" t="n">
        <v>0</v>
      </c>
      <c r="L438" t="n">
        <v>0</v>
      </c>
      <c r="M438" t="n">
        <v>0</v>
      </c>
      <c r="N438" t="n">
        <v>0</v>
      </c>
      <c r="O438" t="n">
        <v>0</v>
      </c>
      <c r="P438" t="n">
        <v>0</v>
      </c>
      <c r="Q438" t="n">
        <v>0</v>
      </c>
      <c r="R438" s="2" t="inlineStr"/>
    </row>
    <row r="439" ht="15" customHeight="1">
      <c r="A439" t="inlineStr">
        <is>
          <t>A 53151-2025</t>
        </is>
      </c>
      <c r="B439" s="1" t="n">
        <v>45958.48611111111</v>
      </c>
      <c r="C439" s="1" t="n">
        <v>46089</v>
      </c>
      <c r="D439" t="inlineStr">
        <is>
          <t>DALARNAS LÄN</t>
        </is>
      </c>
      <c r="E439" t="inlineStr">
        <is>
          <t>MORA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53150-2025</t>
        </is>
      </c>
      <c r="B440" s="1" t="n">
        <v>45958.48280092593</v>
      </c>
      <c r="C440" s="1" t="n">
        <v>46089</v>
      </c>
      <c r="D440" t="inlineStr">
        <is>
          <t>DALARNAS LÄN</t>
        </is>
      </c>
      <c r="E440" t="inlineStr">
        <is>
          <t>MORA</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15817-2024</t>
        </is>
      </c>
      <c r="B441" s="1" t="n">
        <v>45404.67387731482</v>
      </c>
      <c r="C441" s="1" t="n">
        <v>46089</v>
      </c>
      <c r="D441" t="inlineStr">
        <is>
          <t>DALARNAS LÄN</t>
        </is>
      </c>
      <c r="E441" t="inlineStr">
        <is>
          <t>MORA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16967-2025</t>
        </is>
      </c>
      <c r="B442" s="1" t="n">
        <v>45755.46106481482</v>
      </c>
      <c r="C442" s="1" t="n">
        <v>46089</v>
      </c>
      <c r="D442" t="inlineStr">
        <is>
          <t>DALARNAS LÄN</t>
        </is>
      </c>
      <c r="E442" t="inlineStr">
        <is>
          <t>MORA</t>
        </is>
      </c>
      <c r="F442" t="inlineStr">
        <is>
          <t>Bergvik skog öst AB</t>
        </is>
      </c>
      <c r="G442" t="n">
        <v>2.9</v>
      </c>
      <c r="H442" t="n">
        <v>0</v>
      </c>
      <c r="I442" t="n">
        <v>0</v>
      </c>
      <c r="J442" t="n">
        <v>0</v>
      </c>
      <c r="K442" t="n">
        <v>0</v>
      </c>
      <c r="L442" t="n">
        <v>0</v>
      </c>
      <c r="M442" t="n">
        <v>0</v>
      </c>
      <c r="N442" t="n">
        <v>0</v>
      </c>
      <c r="O442" t="n">
        <v>0</v>
      </c>
      <c r="P442" t="n">
        <v>0</v>
      </c>
      <c r="Q442" t="n">
        <v>0</v>
      </c>
      <c r="R442" s="2" t="inlineStr"/>
    </row>
    <row r="443" ht="15" customHeight="1">
      <c r="A443" t="inlineStr">
        <is>
          <t>A 1174-2026</t>
        </is>
      </c>
      <c r="B443" s="1" t="n">
        <v>46031</v>
      </c>
      <c r="C443" s="1" t="n">
        <v>46089</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61278-2024</t>
        </is>
      </c>
      <c r="B444" s="1" t="n">
        <v>45645.76561342592</v>
      </c>
      <c r="C444" s="1" t="n">
        <v>46089</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58116-2022</t>
        </is>
      </c>
      <c r="B445" s="1" t="n">
        <v>44900.65716435185</v>
      </c>
      <c r="C445" s="1" t="n">
        <v>46089</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53982-2025</t>
        </is>
      </c>
      <c r="B446" s="1" t="n">
        <v>45961.57019675926</v>
      </c>
      <c r="C446" s="1" t="n">
        <v>46089</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53565-2025</t>
        </is>
      </c>
      <c r="B447" s="1" t="n">
        <v>45960.40711805555</v>
      </c>
      <c r="C447" s="1" t="n">
        <v>46089</v>
      </c>
      <c r="D447" t="inlineStr">
        <is>
          <t>DALARNAS LÄN</t>
        </is>
      </c>
      <c r="E447" t="inlineStr">
        <is>
          <t>MORA</t>
        </is>
      </c>
      <c r="G447" t="n">
        <v>5.1</v>
      </c>
      <c r="H447" t="n">
        <v>0</v>
      </c>
      <c r="I447" t="n">
        <v>0</v>
      </c>
      <c r="J447" t="n">
        <v>0</v>
      </c>
      <c r="K447" t="n">
        <v>0</v>
      </c>
      <c r="L447" t="n">
        <v>0</v>
      </c>
      <c r="M447" t="n">
        <v>0</v>
      </c>
      <c r="N447" t="n">
        <v>0</v>
      </c>
      <c r="O447" t="n">
        <v>0</v>
      </c>
      <c r="P447" t="n">
        <v>0</v>
      </c>
      <c r="Q447" t="n">
        <v>0</v>
      </c>
      <c r="R447" s="2" t="inlineStr"/>
    </row>
    <row r="448" ht="15" customHeight="1">
      <c r="A448" t="inlineStr">
        <is>
          <t>A 53632-2025</t>
        </is>
      </c>
      <c r="B448" s="1" t="n">
        <v>45960.49972222222</v>
      </c>
      <c r="C448" s="1" t="n">
        <v>46089</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18992-2024</t>
        </is>
      </c>
      <c r="B449" s="1" t="n">
        <v>45427.61516203704</v>
      </c>
      <c r="C449" s="1" t="n">
        <v>46089</v>
      </c>
      <c r="D449" t="inlineStr">
        <is>
          <t>DALARNAS LÄN</t>
        </is>
      </c>
      <c r="E449" t="inlineStr">
        <is>
          <t>MORA</t>
        </is>
      </c>
      <c r="G449" t="n">
        <v>9.9</v>
      </c>
      <c r="H449" t="n">
        <v>0</v>
      </c>
      <c r="I449" t="n">
        <v>0</v>
      </c>
      <c r="J449" t="n">
        <v>0</v>
      </c>
      <c r="K449" t="n">
        <v>0</v>
      </c>
      <c r="L449" t="n">
        <v>0</v>
      </c>
      <c r="M449" t="n">
        <v>0</v>
      </c>
      <c r="N449" t="n">
        <v>0</v>
      </c>
      <c r="O449" t="n">
        <v>0</v>
      </c>
      <c r="P449" t="n">
        <v>0</v>
      </c>
      <c r="Q449" t="n">
        <v>0</v>
      </c>
      <c r="R449" s="2" t="inlineStr"/>
    </row>
    <row r="450" ht="15" customHeight="1">
      <c r="A450" t="inlineStr">
        <is>
          <t>A 60647-2022</t>
        </is>
      </c>
      <c r="B450" s="1" t="n">
        <v>44911</v>
      </c>
      <c r="C450" s="1" t="n">
        <v>46089</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53560-2025</t>
        </is>
      </c>
      <c r="B451" s="1" t="n">
        <v>45960.39960648148</v>
      </c>
      <c r="C451" s="1" t="n">
        <v>46089</v>
      </c>
      <c r="D451" t="inlineStr">
        <is>
          <t>DALARNAS LÄN</t>
        </is>
      </c>
      <c r="E451" t="inlineStr">
        <is>
          <t>MORA</t>
        </is>
      </c>
      <c r="G451" t="n">
        <v>5.2</v>
      </c>
      <c r="H451" t="n">
        <v>0</v>
      </c>
      <c r="I451" t="n">
        <v>0</v>
      </c>
      <c r="J451" t="n">
        <v>0</v>
      </c>
      <c r="K451" t="n">
        <v>0</v>
      </c>
      <c r="L451" t="n">
        <v>0</v>
      </c>
      <c r="M451" t="n">
        <v>0</v>
      </c>
      <c r="N451" t="n">
        <v>0</v>
      </c>
      <c r="O451" t="n">
        <v>0</v>
      </c>
      <c r="P451" t="n">
        <v>0</v>
      </c>
      <c r="Q451" t="n">
        <v>0</v>
      </c>
      <c r="R451" s="2" t="inlineStr"/>
    </row>
    <row r="452" ht="15" customHeight="1">
      <c r="A452" t="inlineStr">
        <is>
          <t>A 53562-2025</t>
        </is>
      </c>
      <c r="B452" s="1" t="n">
        <v>45960.40662037037</v>
      </c>
      <c r="C452" s="1" t="n">
        <v>46089</v>
      </c>
      <c r="D452" t="inlineStr">
        <is>
          <t>DALARNAS LÄN</t>
        </is>
      </c>
      <c r="E452" t="inlineStr">
        <is>
          <t>MORA</t>
        </is>
      </c>
      <c r="G452" t="n">
        <v>5.1</v>
      </c>
      <c r="H452" t="n">
        <v>0</v>
      </c>
      <c r="I452" t="n">
        <v>0</v>
      </c>
      <c r="J452" t="n">
        <v>0</v>
      </c>
      <c r="K452" t="n">
        <v>0</v>
      </c>
      <c r="L452" t="n">
        <v>0</v>
      </c>
      <c r="M452" t="n">
        <v>0</v>
      </c>
      <c r="N452" t="n">
        <v>0</v>
      </c>
      <c r="O452" t="n">
        <v>0</v>
      </c>
      <c r="P452" t="n">
        <v>0</v>
      </c>
      <c r="Q452" t="n">
        <v>0</v>
      </c>
      <c r="R452" s="2" t="inlineStr"/>
    </row>
    <row r="453" ht="15" customHeight="1">
      <c r="A453" t="inlineStr">
        <is>
          <t>A 53591-2025</t>
        </is>
      </c>
      <c r="B453" s="1" t="n">
        <v>45960.43893518519</v>
      </c>
      <c r="C453" s="1" t="n">
        <v>46089</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53418-2025</t>
        </is>
      </c>
      <c r="B454" s="1" t="n">
        <v>45959</v>
      </c>
      <c r="C454" s="1" t="n">
        <v>46089</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902-2026</t>
        </is>
      </c>
      <c r="B455" s="1" t="n">
        <v>46030.46954861111</v>
      </c>
      <c r="C455" s="1" t="n">
        <v>46089</v>
      </c>
      <c r="D455" t="inlineStr">
        <is>
          <t>DALARNAS LÄN</t>
        </is>
      </c>
      <c r="E455" t="inlineStr">
        <is>
          <t>MORA</t>
        </is>
      </c>
      <c r="G455" t="n">
        <v>4.2</v>
      </c>
      <c r="H455" t="n">
        <v>0</v>
      </c>
      <c r="I455" t="n">
        <v>0</v>
      </c>
      <c r="J455" t="n">
        <v>0</v>
      </c>
      <c r="K455" t="n">
        <v>0</v>
      </c>
      <c r="L455" t="n">
        <v>0</v>
      </c>
      <c r="M455" t="n">
        <v>0</v>
      </c>
      <c r="N455" t="n">
        <v>0</v>
      </c>
      <c r="O455" t="n">
        <v>0</v>
      </c>
      <c r="P455" t="n">
        <v>0</v>
      </c>
      <c r="Q455" t="n">
        <v>0</v>
      </c>
      <c r="R455" s="2" t="inlineStr"/>
    </row>
    <row r="456" ht="15" customHeight="1">
      <c r="A456" t="inlineStr">
        <is>
          <t>A 53556-2025</t>
        </is>
      </c>
      <c r="B456" s="1" t="n">
        <v>45960.3921875</v>
      </c>
      <c r="C456" s="1" t="n">
        <v>46089</v>
      </c>
      <c r="D456" t="inlineStr">
        <is>
          <t>DALARNAS LÄN</t>
        </is>
      </c>
      <c r="E456" t="inlineStr">
        <is>
          <t>MORA</t>
        </is>
      </c>
      <c r="G456" t="n">
        <v>3.3</v>
      </c>
      <c r="H456" t="n">
        <v>0</v>
      </c>
      <c r="I456" t="n">
        <v>0</v>
      </c>
      <c r="J456" t="n">
        <v>0</v>
      </c>
      <c r="K456" t="n">
        <v>0</v>
      </c>
      <c r="L456" t="n">
        <v>0</v>
      </c>
      <c r="M456" t="n">
        <v>0</v>
      </c>
      <c r="N456" t="n">
        <v>0</v>
      </c>
      <c r="O456" t="n">
        <v>0</v>
      </c>
      <c r="P456" t="n">
        <v>0</v>
      </c>
      <c r="Q456" t="n">
        <v>0</v>
      </c>
      <c r="R456" s="2" t="inlineStr"/>
    </row>
    <row r="457" ht="15" customHeight="1">
      <c r="A457" t="inlineStr">
        <is>
          <t>A 54508-2025</t>
        </is>
      </c>
      <c r="B457" s="1" t="n">
        <v>45965.61844907407</v>
      </c>
      <c r="C457" s="1" t="n">
        <v>46089</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56460-2022</t>
        </is>
      </c>
      <c r="B458" s="1" t="n">
        <v>44893</v>
      </c>
      <c r="C458" s="1" t="n">
        <v>46089</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9421-2026</t>
        </is>
      </c>
      <c r="B459" s="1" t="n">
        <v>46071.44172453704</v>
      </c>
      <c r="C459" s="1" t="n">
        <v>46089</v>
      </c>
      <c r="D459" t="inlineStr">
        <is>
          <t>DALARNAS LÄN</t>
        </is>
      </c>
      <c r="E459" t="inlineStr">
        <is>
          <t>MORA</t>
        </is>
      </c>
      <c r="G459" t="n">
        <v>8.1</v>
      </c>
      <c r="H459" t="n">
        <v>0</v>
      </c>
      <c r="I459" t="n">
        <v>0</v>
      </c>
      <c r="J459" t="n">
        <v>0</v>
      </c>
      <c r="K459" t="n">
        <v>0</v>
      </c>
      <c r="L459" t="n">
        <v>0</v>
      </c>
      <c r="M459" t="n">
        <v>0</v>
      </c>
      <c r="N459" t="n">
        <v>0</v>
      </c>
      <c r="O459" t="n">
        <v>0</v>
      </c>
      <c r="P459" t="n">
        <v>0</v>
      </c>
      <c r="Q459" t="n">
        <v>0</v>
      </c>
      <c r="R459" s="2" t="inlineStr"/>
    </row>
    <row r="460" ht="15" customHeight="1">
      <c r="A460" t="inlineStr">
        <is>
          <t>A 437-2024</t>
        </is>
      </c>
      <c r="B460" s="1" t="n">
        <v>45296</v>
      </c>
      <c r="C460" s="1" t="n">
        <v>46089</v>
      </c>
      <c r="D460" t="inlineStr">
        <is>
          <t>DALARNAS LÄN</t>
        </is>
      </c>
      <c r="E460" t="inlineStr">
        <is>
          <t>MORA</t>
        </is>
      </c>
      <c r="G460" t="n">
        <v>1.6</v>
      </c>
      <c r="H460" t="n">
        <v>0</v>
      </c>
      <c r="I460" t="n">
        <v>0</v>
      </c>
      <c r="J460" t="n">
        <v>0</v>
      </c>
      <c r="K460" t="n">
        <v>0</v>
      </c>
      <c r="L460" t="n">
        <v>0</v>
      </c>
      <c r="M460" t="n">
        <v>0</v>
      </c>
      <c r="N460" t="n">
        <v>0</v>
      </c>
      <c r="O460" t="n">
        <v>0</v>
      </c>
      <c r="P460" t="n">
        <v>0</v>
      </c>
      <c r="Q460" t="n">
        <v>0</v>
      </c>
      <c r="R460" s="2" t="inlineStr"/>
    </row>
    <row r="461" ht="15" customHeight="1">
      <c r="A461" t="inlineStr">
        <is>
          <t>A 54518-2025</t>
        </is>
      </c>
      <c r="B461" s="1" t="n">
        <v>45965.62608796296</v>
      </c>
      <c r="C461" s="1" t="n">
        <v>46089</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54099-2025</t>
        </is>
      </c>
      <c r="B462" s="1" t="n">
        <v>45964.41665509259</v>
      </c>
      <c r="C462" s="1" t="n">
        <v>46089</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54367-2025</t>
        </is>
      </c>
      <c r="B463" s="1" t="n">
        <v>45965.4031712963</v>
      </c>
      <c r="C463" s="1" t="n">
        <v>46089</v>
      </c>
      <c r="D463" t="inlineStr">
        <is>
          <t>DALARNAS LÄN</t>
        </is>
      </c>
      <c r="E463" t="inlineStr">
        <is>
          <t>MORA</t>
        </is>
      </c>
      <c r="G463" t="n">
        <v>7</v>
      </c>
      <c r="H463" t="n">
        <v>0</v>
      </c>
      <c r="I463" t="n">
        <v>0</v>
      </c>
      <c r="J463" t="n">
        <v>0</v>
      </c>
      <c r="K463" t="n">
        <v>0</v>
      </c>
      <c r="L463" t="n">
        <v>0</v>
      </c>
      <c r="M463" t="n">
        <v>0</v>
      </c>
      <c r="N463" t="n">
        <v>0</v>
      </c>
      <c r="O463" t="n">
        <v>0</v>
      </c>
      <c r="P463" t="n">
        <v>0</v>
      </c>
      <c r="Q463" t="n">
        <v>0</v>
      </c>
      <c r="R463" s="2" t="inlineStr"/>
    </row>
    <row r="464" ht="15" customHeight="1">
      <c r="A464" t="inlineStr">
        <is>
          <t>A 54504-2025</t>
        </is>
      </c>
      <c r="B464" s="1" t="n">
        <v>45965.61686342592</v>
      </c>
      <c r="C464" s="1" t="n">
        <v>46089</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54868-2025</t>
        </is>
      </c>
      <c r="B465" s="1" t="n">
        <v>45966.85649305556</v>
      </c>
      <c r="C465" s="1" t="n">
        <v>46089</v>
      </c>
      <c r="D465" t="inlineStr">
        <is>
          <t>DALARNAS LÄN</t>
        </is>
      </c>
      <c r="E465" t="inlineStr">
        <is>
          <t>MORA</t>
        </is>
      </c>
      <c r="F465" t="inlineStr">
        <is>
          <t>Bergvik skog väst AB</t>
        </is>
      </c>
      <c r="G465" t="n">
        <v>5.6</v>
      </c>
      <c r="H465" t="n">
        <v>0</v>
      </c>
      <c r="I465" t="n">
        <v>0</v>
      </c>
      <c r="J465" t="n">
        <v>0</v>
      </c>
      <c r="K465" t="n">
        <v>0</v>
      </c>
      <c r="L465" t="n">
        <v>0</v>
      </c>
      <c r="M465" t="n">
        <v>0</v>
      </c>
      <c r="N465" t="n">
        <v>0</v>
      </c>
      <c r="O465" t="n">
        <v>0</v>
      </c>
      <c r="P465" t="n">
        <v>0</v>
      </c>
      <c r="Q465" t="n">
        <v>0</v>
      </c>
      <c r="R465" s="2" t="inlineStr"/>
    </row>
    <row r="466" ht="15" customHeight="1">
      <c r="A466" t="inlineStr">
        <is>
          <t>A 54862-2025</t>
        </is>
      </c>
      <c r="B466" s="1" t="n">
        <v>45966.76542824074</v>
      </c>
      <c r="C466" s="1" t="n">
        <v>46089</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31395-2024</t>
        </is>
      </c>
      <c r="B467" s="1" t="n">
        <v>45505.47716435185</v>
      </c>
      <c r="C467" s="1" t="n">
        <v>46089</v>
      </c>
      <c r="D467" t="inlineStr">
        <is>
          <t>DALARNAS LÄN</t>
        </is>
      </c>
      <c r="E467" t="inlineStr">
        <is>
          <t>MORA</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5473-2026</t>
        </is>
      </c>
      <c r="B468" s="1" t="n">
        <v>46050</v>
      </c>
      <c r="C468" s="1" t="n">
        <v>46089</v>
      </c>
      <c r="D468" t="inlineStr">
        <is>
          <t>DALARNAS LÄN</t>
        </is>
      </c>
      <c r="E468" t="inlineStr">
        <is>
          <t>MORA</t>
        </is>
      </c>
      <c r="G468" t="n">
        <v>10.2</v>
      </c>
      <c r="H468" t="n">
        <v>0</v>
      </c>
      <c r="I468" t="n">
        <v>0</v>
      </c>
      <c r="J468" t="n">
        <v>0</v>
      </c>
      <c r="K468" t="n">
        <v>0</v>
      </c>
      <c r="L468" t="n">
        <v>0</v>
      </c>
      <c r="M468" t="n">
        <v>0</v>
      </c>
      <c r="N468" t="n">
        <v>0</v>
      </c>
      <c r="O468" t="n">
        <v>0</v>
      </c>
      <c r="P468" t="n">
        <v>0</v>
      </c>
      <c r="Q468" t="n">
        <v>0</v>
      </c>
      <c r="R468" s="2" t="inlineStr"/>
    </row>
    <row r="469" ht="15" customHeight="1">
      <c r="A469" t="inlineStr">
        <is>
          <t>A 54909-2025</t>
        </is>
      </c>
      <c r="B469" s="1" t="n">
        <v>45967.374375</v>
      </c>
      <c r="C469" s="1" t="n">
        <v>46089</v>
      </c>
      <c r="D469" t="inlineStr">
        <is>
          <t>DALARNAS LÄN</t>
        </is>
      </c>
      <c r="E469" t="inlineStr">
        <is>
          <t>MORA</t>
        </is>
      </c>
      <c r="G469" t="n">
        <v>1.7</v>
      </c>
      <c r="H469" t="n">
        <v>0</v>
      </c>
      <c r="I469" t="n">
        <v>0</v>
      </c>
      <c r="J469" t="n">
        <v>0</v>
      </c>
      <c r="K469" t="n">
        <v>0</v>
      </c>
      <c r="L469" t="n">
        <v>0</v>
      </c>
      <c r="M469" t="n">
        <v>0</v>
      </c>
      <c r="N469" t="n">
        <v>0</v>
      </c>
      <c r="O469" t="n">
        <v>0</v>
      </c>
      <c r="P469" t="n">
        <v>0</v>
      </c>
      <c r="Q469" t="n">
        <v>0</v>
      </c>
      <c r="R469" s="2" t="inlineStr"/>
    </row>
    <row r="470" ht="15" customHeight="1">
      <c r="A470" t="inlineStr">
        <is>
          <t>A 54919-2025</t>
        </is>
      </c>
      <c r="B470" s="1" t="n">
        <v>45967.38884259259</v>
      </c>
      <c r="C470" s="1" t="n">
        <v>46089</v>
      </c>
      <c r="D470" t="inlineStr">
        <is>
          <t>DALARNAS LÄN</t>
        </is>
      </c>
      <c r="E470" t="inlineStr">
        <is>
          <t>MORA</t>
        </is>
      </c>
      <c r="F470" t="inlineStr">
        <is>
          <t>Bergvik skog väst AB</t>
        </is>
      </c>
      <c r="G470" t="n">
        <v>5.6</v>
      </c>
      <c r="H470" t="n">
        <v>0</v>
      </c>
      <c r="I470" t="n">
        <v>0</v>
      </c>
      <c r="J470" t="n">
        <v>0</v>
      </c>
      <c r="K470" t="n">
        <v>0</v>
      </c>
      <c r="L470" t="n">
        <v>0</v>
      </c>
      <c r="M470" t="n">
        <v>0</v>
      </c>
      <c r="N470" t="n">
        <v>0</v>
      </c>
      <c r="O470" t="n">
        <v>0</v>
      </c>
      <c r="P470" t="n">
        <v>0</v>
      </c>
      <c r="Q470" t="n">
        <v>0</v>
      </c>
      <c r="R470" s="2" t="inlineStr"/>
    </row>
    <row r="471" ht="15" customHeight="1">
      <c r="A471" t="inlineStr">
        <is>
          <t>A 60847-2021</t>
        </is>
      </c>
      <c r="B471" s="1" t="n">
        <v>44497</v>
      </c>
      <c r="C471" s="1" t="n">
        <v>46089</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1068-2026</t>
        </is>
      </c>
      <c r="B472" s="1" t="n">
        <v>46030</v>
      </c>
      <c r="C472" s="1" t="n">
        <v>46089</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54905-2025</t>
        </is>
      </c>
      <c r="B473" s="1" t="n">
        <v>45967.3700462963</v>
      </c>
      <c r="C473" s="1" t="n">
        <v>46089</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54910-2025</t>
        </is>
      </c>
      <c r="B474" s="1" t="n">
        <v>45967.37679398148</v>
      </c>
      <c r="C474" s="1" t="n">
        <v>46089</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1102-2026</t>
        </is>
      </c>
      <c r="B475" s="1" t="n">
        <v>46030.66743055556</v>
      </c>
      <c r="C475" s="1" t="n">
        <v>46089</v>
      </c>
      <c r="D475" t="inlineStr">
        <is>
          <t>DALARNAS LÄN</t>
        </is>
      </c>
      <c r="E475" t="inlineStr">
        <is>
          <t>MORA</t>
        </is>
      </c>
      <c r="G475" t="n">
        <v>1.5</v>
      </c>
      <c r="H475" t="n">
        <v>0</v>
      </c>
      <c r="I475" t="n">
        <v>0</v>
      </c>
      <c r="J475" t="n">
        <v>0</v>
      </c>
      <c r="K475" t="n">
        <v>0</v>
      </c>
      <c r="L475" t="n">
        <v>0</v>
      </c>
      <c r="M475" t="n">
        <v>0</v>
      </c>
      <c r="N475" t="n">
        <v>0</v>
      </c>
      <c r="O475" t="n">
        <v>0</v>
      </c>
      <c r="P475" t="n">
        <v>0</v>
      </c>
      <c r="Q475" t="n">
        <v>0</v>
      </c>
      <c r="R475" s="2" t="inlineStr"/>
    </row>
    <row r="476" ht="15" customHeight="1">
      <c r="A476" t="inlineStr">
        <is>
          <t>A 15435-2024</t>
        </is>
      </c>
      <c r="B476" s="1" t="n">
        <v>45401.40806712963</v>
      </c>
      <c r="C476" s="1" t="n">
        <v>46089</v>
      </c>
      <c r="D476" t="inlineStr">
        <is>
          <t>DALARNAS LÄN</t>
        </is>
      </c>
      <c r="E476" t="inlineStr">
        <is>
          <t>MORA</t>
        </is>
      </c>
      <c r="G476" t="n">
        <v>2.1</v>
      </c>
      <c r="H476" t="n">
        <v>0</v>
      </c>
      <c r="I476" t="n">
        <v>0</v>
      </c>
      <c r="J476" t="n">
        <v>0</v>
      </c>
      <c r="K476" t="n">
        <v>0</v>
      </c>
      <c r="L476" t="n">
        <v>0</v>
      </c>
      <c r="M476" t="n">
        <v>0</v>
      </c>
      <c r="N476" t="n">
        <v>0</v>
      </c>
      <c r="O476" t="n">
        <v>0</v>
      </c>
      <c r="P476" t="n">
        <v>0</v>
      </c>
      <c r="Q476" t="n">
        <v>0</v>
      </c>
      <c r="R476" s="2" t="inlineStr"/>
    </row>
    <row r="477" ht="15" customHeight="1">
      <c r="A477" t="inlineStr">
        <is>
          <t>A 31085-2024</t>
        </is>
      </c>
      <c r="B477" s="1" t="n">
        <v>45502.48047453703</v>
      </c>
      <c r="C477" s="1" t="n">
        <v>46089</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43863-2023</t>
        </is>
      </c>
      <c r="B478" s="1" t="n">
        <v>45187.62532407408</v>
      </c>
      <c r="C478" s="1" t="n">
        <v>46089</v>
      </c>
      <c r="D478" t="inlineStr">
        <is>
          <t>DALARNAS LÄN</t>
        </is>
      </c>
      <c r="E478" t="inlineStr">
        <is>
          <t>MORA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8474-2026</t>
        </is>
      </c>
      <c r="B479" s="1" t="n">
        <v>46065</v>
      </c>
      <c r="C479" s="1" t="n">
        <v>46089</v>
      </c>
      <c r="D479" t="inlineStr">
        <is>
          <t>DALARNAS LÄN</t>
        </is>
      </c>
      <c r="E479" t="inlineStr">
        <is>
          <t>MORA</t>
        </is>
      </c>
      <c r="G479" t="n">
        <v>4.7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44909.52385416667</v>
      </c>
      <c r="C480" s="1" t="n">
        <v>46089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13262-2022</t>
        </is>
      </c>
      <c r="B481" s="1" t="n">
        <v>44644.70184027778</v>
      </c>
      <c r="C481" s="1" t="n">
        <v>46089</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55123-2025</t>
        </is>
      </c>
      <c r="B482" s="1" t="n">
        <v>45968.40056712963</v>
      </c>
      <c r="C482" s="1" t="n">
        <v>46089</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55262-2025</t>
        </is>
      </c>
      <c r="B483" s="1" t="n">
        <v>45968.64847222222</v>
      </c>
      <c r="C483" s="1" t="n">
        <v>46089</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56767-2023</t>
        </is>
      </c>
      <c r="B484" s="1" t="n">
        <v>45244</v>
      </c>
      <c r="C484" s="1" t="n">
        <v>46089</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55284-2025</t>
        </is>
      </c>
      <c r="B485" s="1" t="n">
        <v>45968.8227662037</v>
      </c>
      <c r="C485" s="1" t="n">
        <v>46089</v>
      </c>
      <c r="D485" t="inlineStr">
        <is>
          <t>DALARNAS LÄN</t>
        </is>
      </c>
      <c r="E485" t="inlineStr">
        <is>
          <t>MORA</t>
        </is>
      </c>
      <c r="G485" t="n">
        <v>2</v>
      </c>
      <c r="H485" t="n">
        <v>0</v>
      </c>
      <c r="I485" t="n">
        <v>0</v>
      </c>
      <c r="J485" t="n">
        <v>0</v>
      </c>
      <c r="K485" t="n">
        <v>0</v>
      </c>
      <c r="L485" t="n">
        <v>0</v>
      </c>
      <c r="M485" t="n">
        <v>0</v>
      </c>
      <c r="N485" t="n">
        <v>0</v>
      </c>
      <c r="O485" t="n">
        <v>0</v>
      </c>
      <c r="P485" t="n">
        <v>0</v>
      </c>
      <c r="Q485" t="n">
        <v>0</v>
      </c>
      <c r="R485" s="2" t="inlineStr"/>
    </row>
    <row r="486" ht="15" customHeight="1">
      <c r="A486" t="inlineStr">
        <is>
          <t>A 1881-2026</t>
        </is>
      </c>
      <c r="B486" s="1" t="n">
        <v>46035.4731712963</v>
      </c>
      <c r="C486" s="1" t="n">
        <v>46089</v>
      </c>
      <c r="D486" t="inlineStr">
        <is>
          <t>DALARNAS LÄN</t>
        </is>
      </c>
      <c r="E486" t="inlineStr">
        <is>
          <t>MORA</t>
        </is>
      </c>
      <c r="G486" t="n">
        <v>5.2</v>
      </c>
      <c r="H486" t="n">
        <v>0</v>
      </c>
      <c r="I486" t="n">
        <v>0</v>
      </c>
      <c r="J486" t="n">
        <v>0</v>
      </c>
      <c r="K486" t="n">
        <v>0</v>
      </c>
      <c r="L486" t="n">
        <v>0</v>
      </c>
      <c r="M486" t="n">
        <v>0</v>
      </c>
      <c r="N486" t="n">
        <v>0</v>
      </c>
      <c r="O486" t="n">
        <v>0</v>
      </c>
      <c r="P486" t="n">
        <v>0</v>
      </c>
      <c r="Q486" t="n">
        <v>0</v>
      </c>
      <c r="R486" s="2" t="inlineStr"/>
    </row>
    <row r="487" ht="15" customHeight="1">
      <c r="A487" t="inlineStr">
        <is>
          <t>A 55124-2025</t>
        </is>
      </c>
      <c r="B487" s="1" t="n">
        <v>45968.40621527778</v>
      </c>
      <c r="C487" s="1" t="n">
        <v>46089</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50056-2022</t>
        </is>
      </c>
      <c r="B488" s="1" t="n">
        <v>44865</v>
      </c>
      <c r="C488" s="1" t="n">
        <v>46089</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15499-2024</t>
        </is>
      </c>
      <c r="B489" s="1" t="n">
        <v>45401.53798611111</v>
      </c>
      <c r="C489" s="1" t="n">
        <v>46089</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15643-2025</t>
        </is>
      </c>
      <c r="B490" s="1" t="n">
        <v>45748.39222222222</v>
      </c>
      <c r="C490" s="1" t="n">
        <v>46089</v>
      </c>
      <c r="D490" t="inlineStr">
        <is>
          <t>DALARNAS LÄN</t>
        </is>
      </c>
      <c r="E490" t="inlineStr">
        <is>
          <t>MORA</t>
        </is>
      </c>
      <c r="G490" t="n">
        <v>7.6</v>
      </c>
      <c r="H490" t="n">
        <v>0</v>
      </c>
      <c r="I490" t="n">
        <v>0</v>
      </c>
      <c r="J490" t="n">
        <v>0</v>
      </c>
      <c r="K490" t="n">
        <v>0</v>
      </c>
      <c r="L490" t="n">
        <v>0</v>
      </c>
      <c r="M490" t="n">
        <v>0</v>
      </c>
      <c r="N490" t="n">
        <v>0</v>
      </c>
      <c r="O490" t="n">
        <v>0</v>
      </c>
      <c r="P490" t="n">
        <v>0</v>
      </c>
      <c r="Q490" t="n">
        <v>0</v>
      </c>
      <c r="R490" s="2" t="inlineStr"/>
    </row>
    <row r="491" ht="15" customHeight="1">
      <c r="A491" t="inlineStr">
        <is>
          <t>A 46755-2023</t>
        </is>
      </c>
      <c r="B491" s="1" t="n">
        <v>45198.61314814815</v>
      </c>
      <c r="C491" s="1" t="n">
        <v>46089</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18122-2025</t>
        </is>
      </c>
      <c r="B492" s="1" t="n">
        <v>45761.59221064814</v>
      </c>
      <c r="C492" s="1" t="n">
        <v>46089</v>
      </c>
      <c r="D492" t="inlineStr">
        <is>
          <t>DALARNAS LÄN</t>
        </is>
      </c>
      <c r="E492" t="inlineStr">
        <is>
          <t>MORA</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56702-2025</t>
        </is>
      </c>
      <c r="B493" s="1" t="n">
        <v>45977.45586805556</v>
      </c>
      <c r="C493" s="1" t="n">
        <v>46089</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57097-2025</t>
        </is>
      </c>
      <c r="B494" s="1" t="n">
        <v>45979.43388888889</v>
      </c>
      <c r="C494" s="1" t="n">
        <v>46089</v>
      </c>
      <c r="D494" t="inlineStr">
        <is>
          <t>DALARNAS LÄN</t>
        </is>
      </c>
      <c r="E494" t="inlineStr">
        <is>
          <t>MORA</t>
        </is>
      </c>
      <c r="G494" t="n">
        <v>7.5</v>
      </c>
      <c r="H494" t="n">
        <v>0</v>
      </c>
      <c r="I494" t="n">
        <v>0</v>
      </c>
      <c r="J494" t="n">
        <v>0</v>
      </c>
      <c r="K494" t="n">
        <v>0</v>
      </c>
      <c r="L494" t="n">
        <v>0</v>
      </c>
      <c r="M494" t="n">
        <v>0</v>
      </c>
      <c r="N494" t="n">
        <v>0</v>
      </c>
      <c r="O494" t="n">
        <v>0</v>
      </c>
      <c r="P494" t="n">
        <v>0</v>
      </c>
      <c r="Q494" t="n">
        <v>0</v>
      </c>
      <c r="R494" s="2" t="inlineStr"/>
    </row>
    <row r="495" ht="15" customHeight="1">
      <c r="A495" t="inlineStr">
        <is>
          <t>A 57101-2025</t>
        </is>
      </c>
      <c r="B495" s="1" t="n">
        <v>45979.44006944444</v>
      </c>
      <c r="C495" s="1" t="n">
        <v>46089</v>
      </c>
      <c r="D495" t="inlineStr">
        <is>
          <t>DALARNAS LÄN</t>
        </is>
      </c>
      <c r="E495" t="inlineStr">
        <is>
          <t>MORA</t>
        </is>
      </c>
      <c r="G495" t="n">
        <v>7.5</v>
      </c>
      <c r="H495" t="n">
        <v>0</v>
      </c>
      <c r="I495" t="n">
        <v>0</v>
      </c>
      <c r="J495" t="n">
        <v>0</v>
      </c>
      <c r="K495" t="n">
        <v>0</v>
      </c>
      <c r="L495" t="n">
        <v>0</v>
      </c>
      <c r="M495" t="n">
        <v>0</v>
      </c>
      <c r="N495" t="n">
        <v>0</v>
      </c>
      <c r="O495" t="n">
        <v>0</v>
      </c>
      <c r="P495" t="n">
        <v>0</v>
      </c>
      <c r="Q495" t="n">
        <v>0</v>
      </c>
      <c r="R495" s="2" t="inlineStr"/>
    </row>
    <row r="496" ht="15" customHeight="1">
      <c r="A496" t="inlineStr">
        <is>
          <t>A 44817-2023</t>
        </is>
      </c>
      <c r="B496" s="1" t="n">
        <v>45190.51887731482</v>
      </c>
      <c r="C496" s="1" t="n">
        <v>46089</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39511-2024</t>
        </is>
      </c>
      <c r="B497" s="1" t="n">
        <v>45551.68347222222</v>
      </c>
      <c r="C497" s="1" t="n">
        <v>46089</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5936-2026</t>
        </is>
      </c>
      <c r="B498" s="1" t="n">
        <v>46052.47197916666</v>
      </c>
      <c r="C498" s="1" t="n">
        <v>46089</v>
      </c>
      <c r="D498" t="inlineStr">
        <is>
          <t>DALARNAS LÄN</t>
        </is>
      </c>
      <c r="E498" t="inlineStr">
        <is>
          <t>MORA</t>
        </is>
      </c>
      <c r="G498" t="n">
        <v>11.1</v>
      </c>
      <c r="H498" t="n">
        <v>0</v>
      </c>
      <c r="I498" t="n">
        <v>0</v>
      </c>
      <c r="J498" t="n">
        <v>0</v>
      </c>
      <c r="K498" t="n">
        <v>0</v>
      </c>
      <c r="L498" t="n">
        <v>0</v>
      </c>
      <c r="M498" t="n">
        <v>0</v>
      </c>
      <c r="N498" t="n">
        <v>0</v>
      </c>
      <c r="O498" t="n">
        <v>0</v>
      </c>
      <c r="P498" t="n">
        <v>0</v>
      </c>
      <c r="Q498" t="n">
        <v>0</v>
      </c>
      <c r="R498" s="2" t="inlineStr"/>
    </row>
    <row r="499" ht="15" customHeight="1">
      <c r="A499" t="inlineStr">
        <is>
          <t>A 57797-2022</t>
        </is>
      </c>
      <c r="B499" s="1" t="n">
        <v>44897</v>
      </c>
      <c r="C499" s="1" t="n">
        <v>46089</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10693-2026</t>
        </is>
      </c>
      <c r="B500" s="1" t="n">
        <v>46078.43366898148</v>
      </c>
      <c r="C500" s="1" t="n">
        <v>46089</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57659-2025</t>
        </is>
      </c>
      <c r="B501" s="1" t="n">
        <v>45981.41228009259</v>
      </c>
      <c r="C501" s="1" t="n">
        <v>46089</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57647-2025</t>
        </is>
      </c>
      <c r="B502" s="1" t="n">
        <v>45981.37621527778</v>
      </c>
      <c r="C502" s="1" t="n">
        <v>46089</v>
      </c>
      <c r="D502" t="inlineStr">
        <is>
          <t>DALARNAS LÄN</t>
        </is>
      </c>
      <c r="E502" t="inlineStr">
        <is>
          <t>MORA</t>
        </is>
      </c>
      <c r="G502" t="n">
        <v>3.9</v>
      </c>
      <c r="H502" t="n">
        <v>0</v>
      </c>
      <c r="I502" t="n">
        <v>0</v>
      </c>
      <c r="J502" t="n">
        <v>0</v>
      </c>
      <c r="K502" t="n">
        <v>0</v>
      </c>
      <c r="L502" t="n">
        <v>0</v>
      </c>
      <c r="M502" t="n">
        <v>0</v>
      </c>
      <c r="N502" t="n">
        <v>0</v>
      </c>
      <c r="O502" t="n">
        <v>0</v>
      </c>
      <c r="P502" t="n">
        <v>0</v>
      </c>
      <c r="Q502" t="n">
        <v>0</v>
      </c>
      <c r="R502" s="2" t="inlineStr"/>
    </row>
    <row r="503" ht="15" customHeight="1">
      <c r="A503" t="inlineStr">
        <is>
          <t>A 27125-2024</t>
        </is>
      </c>
      <c r="B503" s="1" t="n">
        <v>45471</v>
      </c>
      <c r="C503" s="1" t="n">
        <v>46089</v>
      </c>
      <c r="D503" t="inlineStr">
        <is>
          <t>DALARNAS LÄN</t>
        </is>
      </c>
      <c r="E503" t="inlineStr">
        <is>
          <t>MORA</t>
        </is>
      </c>
      <c r="G503" t="n">
        <v>2.3</v>
      </c>
      <c r="H503" t="n">
        <v>0</v>
      </c>
      <c r="I503" t="n">
        <v>0</v>
      </c>
      <c r="J503" t="n">
        <v>0</v>
      </c>
      <c r="K503" t="n">
        <v>0</v>
      </c>
      <c r="L503" t="n">
        <v>0</v>
      </c>
      <c r="M503" t="n">
        <v>0</v>
      </c>
      <c r="N503" t="n">
        <v>0</v>
      </c>
      <c r="O503" t="n">
        <v>0</v>
      </c>
      <c r="P503" t="n">
        <v>0</v>
      </c>
      <c r="Q503" t="n">
        <v>0</v>
      </c>
      <c r="R503" s="2" t="inlineStr"/>
    </row>
    <row r="504" ht="15" customHeight="1">
      <c r="A504" t="inlineStr">
        <is>
          <t>A 2637-2026</t>
        </is>
      </c>
      <c r="B504" s="1" t="n">
        <v>46037.61490740741</v>
      </c>
      <c r="C504" s="1" t="n">
        <v>46089</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57843-2025</t>
        </is>
      </c>
      <c r="B505" s="1" t="n">
        <v>45981.62792824074</v>
      </c>
      <c r="C505" s="1" t="n">
        <v>46089</v>
      </c>
      <c r="D505" t="inlineStr">
        <is>
          <t>DALARNAS LÄN</t>
        </is>
      </c>
      <c r="E505" t="inlineStr">
        <is>
          <t>MORA</t>
        </is>
      </c>
      <c r="G505" t="n">
        <v>4.5</v>
      </c>
      <c r="H505" t="n">
        <v>0</v>
      </c>
      <c r="I505" t="n">
        <v>0</v>
      </c>
      <c r="J505" t="n">
        <v>0</v>
      </c>
      <c r="K505" t="n">
        <v>0</v>
      </c>
      <c r="L505" t="n">
        <v>0</v>
      </c>
      <c r="M505" t="n">
        <v>0</v>
      </c>
      <c r="N505" t="n">
        <v>0</v>
      </c>
      <c r="O505" t="n">
        <v>0</v>
      </c>
      <c r="P505" t="n">
        <v>0</v>
      </c>
      <c r="Q505" t="n">
        <v>0</v>
      </c>
      <c r="R505" s="2" t="inlineStr"/>
    </row>
    <row r="506" ht="15" customHeight="1">
      <c r="A506" t="inlineStr">
        <is>
          <t>A 30822-2024</t>
        </is>
      </c>
      <c r="B506" s="1" t="n">
        <v>45497</v>
      </c>
      <c r="C506" s="1" t="n">
        <v>46089</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57855-2025</t>
        </is>
      </c>
      <c r="B507" s="1" t="n">
        <v>45981.63909722222</v>
      </c>
      <c r="C507" s="1" t="n">
        <v>46089</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57453-2025</t>
        </is>
      </c>
      <c r="B508" s="1" t="n">
        <v>45980.5122337963</v>
      </c>
      <c r="C508" s="1" t="n">
        <v>46089</v>
      </c>
      <c r="D508" t="inlineStr">
        <is>
          <t>DALARNAS LÄN</t>
        </is>
      </c>
      <c r="E508" t="inlineStr">
        <is>
          <t>MORA</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6371-2022</t>
        </is>
      </c>
      <c r="B509" s="1" t="n">
        <v>44600</v>
      </c>
      <c r="C509" s="1" t="n">
        <v>46089</v>
      </c>
      <c r="D509" t="inlineStr">
        <is>
          <t>DALARNAS LÄN</t>
        </is>
      </c>
      <c r="E509" t="inlineStr">
        <is>
          <t>MORA</t>
        </is>
      </c>
      <c r="G509" t="n">
        <v>4.6</v>
      </c>
      <c r="H509" t="n">
        <v>0</v>
      </c>
      <c r="I509" t="n">
        <v>0</v>
      </c>
      <c r="J509" t="n">
        <v>0</v>
      </c>
      <c r="K509" t="n">
        <v>0</v>
      </c>
      <c r="L509" t="n">
        <v>0</v>
      </c>
      <c r="M509" t="n">
        <v>0</v>
      </c>
      <c r="N509" t="n">
        <v>0</v>
      </c>
      <c r="O509" t="n">
        <v>0</v>
      </c>
      <c r="P509" t="n">
        <v>0</v>
      </c>
      <c r="Q509" t="n">
        <v>0</v>
      </c>
      <c r="R509" s="2" t="inlineStr"/>
    </row>
    <row r="510" ht="15" customHeight="1">
      <c r="A510" t="inlineStr">
        <is>
          <t>A 61350-2024</t>
        </is>
      </c>
      <c r="B510" s="1" t="n">
        <v>45646.37872685185</v>
      </c>
      <c r="C510" s="1" t="n">
        <v>46089</v>
      </c>
      <c r="D510" t="inlineStr">
        <is>
          <t>DALARNAS LÄN</t>
        </is>
      </c>
      <c r="E510" t="inlineStr">
        <is>
          <t>MORA</t>
        </is>
      </c>
      <c r="G510" t="n">
        <v>1.4</v>
      </c>
      <c r="H510" t="n">
        <v>0</v>
      </c>
      <c r="I510" t="n">
        <v>0</v>
      </c>
      <c r="J510" t="n">
        <v>0</v>
      </c>
      <c r="K510" t="n">
        <v>0</v>
      </c>
      <c r="L510" t="n">
        <v>0</v>
      </c>
      <c r="M510" t="n">
        <v>0</v>
      </c>
      <c r="N510" t="n">
        <v>0</v>
      </c>
      <c r="O510" t="n">
        <v>0</v>
      </c>
      <c r="P510" t="n">
        <v>0</v>
      </c>
      <c r="Q510" t="n">
        <v>0</v>
      </c>
      <c r="R510" s="2" t="inlineStr"/>
    </row>
    <row r="511" ht="15" customHeight="1">
      <c r="A511" t="inlineStr">
        <is>
          <t>A 58473-2025</t>
        </is>
      </c>
      <c r="B511" s="1" t="n">
        <v>45985.63859953704</v>
      </c>
      <c r="C511" s="1" t="n">
        <v>46089</v>
      </c>
      <c r="D511" t="inlineStr">
        <is>
          <t>DALARNAS LÄN</t>
        </is>
      </c>
      <c r="E511" t="inlineStr">
        <is>
          <t>MORA</t>
        </is>
      </c>
      <c r="G511" t="n">
        <v>2.3</v>
      </c>
      <c r="H511" t="n">
        <v>0</v>
      </c>
      <c r="I511" t="n">
        <v>0</v>
      </c>
      <c r="J511" t="n">
        <v>0</v>
      </c>
      <c r="K511" t="n">
        <v>0</v>
      </c>
      <c r="L511" t="n">
        <v>0</v>
      </c>
      <c r="M511" t="n">
        <v>0</v>
      </c>
      <c r="N511" t="n">
        <v>0</v>
      </c>
      <c r="O511" t="n">
        <v>0</v>
      </c>
      <c r="P511" t="n">
        <v>0</v>
      </c>
      <c r="Q511" t="n">
        <v>0</v>
      </c>
      <c r="R511" s="2" t="inlineStr"/>
    </row>
    <row r="512" ht="15" customHeight="1">
      <c r="A512" t="inlineStr">
        <is>
          <t>A 58001-2025</t>
        </is>
      </c>
      <c r="B512" s="1" t="n">
        <v>45982.43615740741</v>
      </c>
      <c r="C512" s="1" t="n">
        <v>46089</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57976-2025</t>
        </is>
      </c>
      <c r="B513" s="1" t="n">
        <v>45982.39435185185</v>
      </c>
      <c r="C513" s="1" t="n">
        <v>46089</v>
      </c>
      <c r="D513" t="inlineStr">
        <is>
          <t>DALARNAS LÄN</t>
        </is>
      </c>
      <c r="E513" t="inlineStr">
        <is>
          <t>MORA</t>
        </is>
      </c>
      <c r="G513" t="n">
        <v>7.4</v>
      </c>
      <c r="H513" t="n">
        <v>0</v>
      </c>
      <c r="I513" t="n">
        <v>0</v>
      </c>
      <c r="J513" t="n">
        <v>0</v>
      </c>
      <c r="K513" t="n">
        <v>0</v>
      </c>
      <c r="L513" t="n">
        <v>0</v>
      </c>
      <c r="M513" t="n">
        <v>0</v>
      </c>
      <c r="N513" t="n">
        <v>0</v>
      </c>
      <c r="O513" t="n">
        <v>0</v>
      </c>
      <c r="P513" t="n">
        <v>0</v>
      </c>
      <c r="Q513" t="n">
        <v>0</v>
      </c>
      <c r="R513" s="2" t="inlineStr"/>
    </row>
    <row r="514" ht="15" customHeight="1">
      <c r="A514" t="inlineStr">
        <is>
          <t>A 20126-2025</t>
        </is>
      </c>
      <c r="B514" s="1" t="n">
        <v>45772.49640046297</v>
      </c>
      <c r="C514" s="1" t="n">
        <v>46089</v>
      </c>
      <c r="D514" t="inlineStr">
        <is>
          <t>DALARNAS LÄN</t>
        </is>
      </c>
      <c r="E514" t="inlineStr">
        <is>
          <t>MORA</t>
        </is>
      </c>
      <c r="G514" t="n">
        <v>12.1</v>
      </c>
      <c r="H514" t="n">
        <v>0</v>
      </c>
      <c r="I514" t="n">
        <v>0</v>
      </c>
      <c r="J514" t="n">
        <v>0</v>
      </c>
      <c r="K514" t="n">
        <v>0</v>
      </c>
      <c r="L514" t="n">
        <v>0</v>
      </c>
      <c r="M514" t="n">
        <v>0</v>
      </c>
      <c r="N514" t="n">
        <v>0</v>
      </c>
      <c r="O514" t="n">
        <v>0</v>
      </c>
      <c r="P514" t="n">
        <v>0</v>
      </c>
      <c r="Q514" t="n">
        <v>0</v>
      </c>
      <c r="R514" s="2" t="inlineStr"/>
    </row>
    <row r="515" ht="15" customHeight="1">
      <c r="A515" t="inlineStr">
        <is>
          <t>A 6971-2026</t>
        </is>
      </c>
      <c r="B515" s="1" t="n">
        <v>46057</v>
      </c>
      <c r="C515" s="1" t="n">
        <v>46089</v>
      </c>
      <c r="D515" t="inlineStr">
        <is>
          <t>DALARNAS LÄN</t>
        </is>
      </c>
      <c r="E515" t="inlineStr">
        <is>
          <t>MORA</t>
        </is>
      </c>
      <c r="G515" t="n">
        <v>1.9</v>
      </c>
      <c r="H515" t="n">
        <v>0</v>
      </c>
      <c r="I515" t="n">
        <v>0</v>
      </c>
      <c r="J515" t="n">
        <v>0</v>
      </c>
      <c r="K515" t="n">
        <v>0</v>
      </c>
      <c r="L515" t="n">
        <v>0</v>
      </c>
      <c r="M515" t="n">
        <v>0</v>
      </c>
      <c r="N515" t="n">
        <v>0</v>
      </c>
      <c r="O515" t="n">
        <v>0</v>
      </c>
      <c r="P515" t="n">
        <v>0</v>
      </c>
      <c r="Q515" t="n">
        <v>0</v>
      </c>
      <c r="R515" s="2" t="inlineStr"/>
    </row>
    <row r="516" ht="15" customHeight="1">
      <c r="A516" t="inlineStr">
        <is>
          <t>A 27420-2024</t>
        </is>
      </c>
      <c r="B516" s="1" t="n">
        <v>45474.37850694444</v>
      </c>
      <c r="C516" s="1" t="n">
        <v>46089</v>
      </c>
      <c r="D516" t="inlineStr">
        <is>
          <t>DALARNAS LÄN</t>
        </is>
      </c>
      <c r="E516" t="inlineStr">
        <is>
          <t>MORA</t>
        </is>
      </c>
      <c r="G516" t="n">
        <v>7.3</v>
      </c>
      <c r="H516" t="n">
        <v>0</v>
      </c>
      <c r="I516" t="n">
        <v>0</v>
      </c>
      <c r="J516" t="n">
        <v>0</v>
      </c>
      <c r="K516" t="n">
        <v>0</v>
      </c>
      <c r="L516" t="n">
        <v>0</v>
      </c>
      <c r="M516" t="n">
        <v>0</v>
      </c>
      <c r="N516" t="n">
        <v>0</v>
      </c>
      <c r="O516" t="n">
        <v>0</v>
      </c>
      <c r="P516" t="n">
        <v>0</v>
      </c>
      <c r="Q516" t="n">
        <v>0</v>
      </c>
      <c r="R516" s="2" t="inlineStr"/>
    </row>
    <row r="517" ht="15" customHeight="1">
      <c r="A517" t="inlineStr">
        <is>
          <t>A 39344-2024</t>
        </is>
      </c>
      <c r="B517" s="1" t="n">
        <v>45551.44503472222</v>
      </c>
      <c r="C517" s="1" t="n">
        <v>46089</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24590-2024</t>
        </is>
      </c>
      <c r="B518" s="1" t="n">
        <v>45460</v>
      </c>
      <c r="C518" s="1" t="n">
        <v>46089</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54548-2025</t>
        </is>
      </c>
      <c r="B519" s="1" t="n">
        <v>45965.6534837963</v>
      </c>
      <c r="C519" s="1" t="n">
        <v>46089</v>
      </c>
      <c r="D519" t="inlineStr">
        <is>
          <t>DALARNAS LÄN</t>
        </is>
      </c>
      <c r="E519" t="inlineStr">
        <is>
          <t>MORA</t>
        </is>
      </c>
      <c r="G519" t="n">
        <v>2.3</v>
      </c>
      <c r="H519" t="n">
        <v>0</v>
      </c>
      <c r="I519" t="n">
        <v>0</v>
      </c>
      <c r="J519" t="n">
        <v>0</v>
      </c>
      <c r="K519" t="n">
        <v>0</v>
      </c>
      <c r="L519" t="n">
        <v>0</v>
      </c>
      <c r="M519" t="n">
        <v>0</v>
      </c>
      <c r="N519" t="n">
        <v>0</v>
      </c>
      <c r="O519" t="n">
        <v>0</v>
      </c>
      <c r="P519" t="n">
        <v>0</v>
      </c>
      <c r="Q519" t="n">
        <v>0</v>
      </c>
      <c r="R519" s="2" t="inlineStr"/>
    </row>
    <row r="520" ht="15" customHeight="1">
      <c r="A520" t="inlineStr">
        <is>
          <t>A 24169-2022</t>
        </is>
      </c>
      <c r="B520" s="1" t="n">
        <v>44725.50280092593</v>
      </c>
      <c r="C520" s="1" t="n">
        <v>46089</v>
      </c>
      <c r="D520" t="inlineStr">
        <is>
          <t>DALARNAS LÄN</t>
        </is>
      </c>
      <c r="E520" t="inlineStr">
        <is>
          <t>MORA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55135-2025</t>
        </is>
      </c>
      <c r="B521" s="1" t="n">
        <v>45968.42591435185</v>
      </c>
      <c r="C521" s="1" t="n">
        <v>46089</v>
      </c>
      <c r="D521" t="inlineStr">
        <is>
          <t>DALARNAS LÄN</t>
        </is>
      </c>
      <c r="E521" t="inlineStr">
        <is>
          <t>MORA</t>
        </is>
      </c>
      <c r="G521" t="n">
        <v>5.1</v>
      </c>
      <c r="H521" t="n">
        <v>0</v>
      </c>
      <c r="I521" t="n">
        <v>0</v>
      </c>
      <c r="J521" t="n">
        <v>0</v>
      </c>
      <c r="K521" t="n">
        <v>0</v>
      </c>
      <c r="L521" t="n">
        <v>0</v>
      </c>
      <c r="M521" t="n">
        <v>0</v>
      </c>
      <c r="N521" t="n">
        <v>0</v>
      </c>
      <c r="O521" t="n">
        <v>0</v>
      </c>
      <c r="P521" t="n">
        <v>0</v>
      </c>
      <c r="Q521" t="n">
        <v>0</v>
      </c>
      <c r="R521" s="2" t="inlineStr"/>
    </row>
    <row r="522" ht="15" customHeight="1">
      <c r="A522" t="inlineStr">
        <is>
          <t>A 9536-2026</t>
        </is>
      </c>
      <c r="B522" s="1" t="n">
        <v>46071</v>
      </c>
      <c r="C522" s="1" t="n">
        <v>46089</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2110-2026</t>
        </is>
      </c>
      <c r="B523" s="1" t="n">
        <v>46036</v>
      </c>
      <c r="C523" s="1" t="n">
        <v>46089</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43641-2022</t>
        </is>
      </c>
      <c r="B524" s="1" t="n">
        <v>44837</v>
      </c>
      <c r="C524" s="1" t="n">
        <v>46089</v>
      </c>
      <c r="D524" t="inlineStr">
        <is>
          <t>DALARNAS LÄN</t>
        </is>
      </c>
      <c r="E524" t="inlineStr">
        <is>
          <t>MORA</t>
        </is>
      </c>
      <c r="G524" t="n">
        <v>1.8</v>
      </c>
      <c r="H524" t="n">
        <v>0</v>
      </c>
      <c r="I524" t="n">
        <v>0</v>
      </c>
      <c r="J524" t="n">
        <v>0</v>
      </c>
      <c r="K524" t="n">
        <v>0</v>
      </c>
      <c r="L524" t="n">
        <v>0</v>
      </c>
      <c r="M524" t="n">
        <v>0</v>
      </c>
      <c r="N524" t="n">
        <v>0</v>
      </c>
      <c r="O524" t="n">
        <v>0</v>
      </c>
      <c r="P524" t="n">
        <v>0</v>
      </c>
      <c r="Q524" t="n">
        <v>0</v>
      </c>
      <c r="R524" s="2" t="inlineStr"/>
    </row>
    <row r="525" ht="15" customHeight="1">
      <c r="A525" t="inlineStr">
        <is>
          <t>A 5709-2026</t>
        </is>
      </c>
      <c r="B525" s="1" t="n">
        <v>46051</v>
      </c>
      <c r="C525" s="1" t="n">
        <v>46089</v>
      </c>
      <c r="D525" t="inlineStr">
        <is>
          <t>DALARNAS LÄN</t>
        </is>
      </c>
      <c r="E525" t="inlineStr">
        <is>
          <t>MORA</t>
        </is>
      </c>
      <c r="G525" t="n">
        <v>2.7</v>
      </c>
      <c r="H525" t="n">
        <v>0</v>
      </c>
      <c r="I525" t="n">
        <v>0</v>
      </c>
      <c r="J525" t="n">
        <v>0</v>
      </c>
      <c r="K525" t="n">
        <v>0</v>
      </c>
      <c r="L525" t="n">
        <v>0</v>
      </c>
      <c r="M525" t="n">
        <v>0</v>
      </c>
      <c r="N525" t="n">
        <v>0</v>
      </c>
      <c r="O525" t="n">
        <v>0</v>
      </c>
      <c r="P525" t="n">
        <v>0</v>
      </c>
      <c r="Q525" t="n">
        <v>0</v>
      </c>
      <c r="R525" s="2" t="inlineStr"/>
    </row>
    <row r="526" ht="15" customHeight="1">
      <c r="A526" t="inlineStr">
        <is>
          <t>A 673-2026</t>
        </is>
      </c>
      <c r="B526" s="1" t="n">
        <v>46029</v>
      </c>
      <c r="C526" s="1" t="n">
        <v>46089</v>
      </c>
      <c r="D526" t="inlineStr">
        <is>
          <t>DALARNAS LÄN</t>
        </is>
      </c>
      <c r="E526" t="inlineStr">
        <is>
          <t>MORA</t>
        </is>
      </c>
      <c r="F526" t="inlineStr">
        <is>
          <t>Kommuner</t>
        </is>
      </c>
      <c r="G526" t="n">
        <v>25.8</v>
      </c>
      <c r="H526" t="n">
        <v>0</v>
      </c>
      <c r="I526" t="n">
        <v>0</v>
      </c>
      <c r="J526" t="n">
        <v>0</v>
      </c>
      <c r="K526" t="n">
        <v>0</v>
      </c>
      <c r="L526" t="n">
        <v>0</v>
      </c>
      <c r="M526" t="n">
        <v>0</v>
      </c>
      <c r="N526" t="n">
        <v>0</v>
      </c>
      <c r="O526" t="n">
        <v>0</v>
      </c>
      <c r="P526" t="n">
        <v>0</v>
      </c>
      <c r="Q526" t="n">
        <v>0</v>
      </c>
      <c r="R526" s="2" t="inlineStr"/>
    </row>
    <row r="527" ht="15" customHeight="1">
      <c r="A527" t="inlineStr">
        <is>
          <t>A 53750-2024</t>
        </is>
      </c>
      <c r="B527" s="1" t="n">
        <v>45615.48465277778</v>
      </c>
      <c r="C527" s="1" t="n">
        <v>46089</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59094-2025</t>
        </is>
      </c>
      <c r="B528" s="1" t="n">
        <v>45988.45105324074</v>
      </c>
      <c r="C528" s="1" t="n">
        <v>46089</v>
      </c>
      <c r="D528" t="inlineStr">
        <is>
          <t>DALARNAS LÄN</t>
        </is>
      </c>
      <c r="E528" t="inlineStr">
        <is>
          <t>MORA</t>
        </is>
      </c>
      <c r="G528" t="n">
        <v>10</v>
      </c>
      <c r="H528" t="n">
        <v>0</v>
      </c>
      <c r="I528" t="n">
        <v>0</v>
      </c>
      <c r="J528" t="n">
        <v>0</v>
      </c>
      <c r="K528" t="n">
        <v>0</v>
      </c>
      <c r="L528" t="n">
        <v>0</v>
      </c>
      <c r="M528" t="n">
        <v>0</v>
      </c>
      <c r="N528" t="n">
        <v>0</v>
      </c>
      <c r="O528" t="n">
        <v>0</v>
      </c>
      <c r="P528" t="n">
        <v>0</v>
      </c>
      <c r="Q528" t="n">
        <v>0</v>
      </c>
      <c r="R528" s="2" t="inlineStr"/>
    </row>
    <row r="529" ht="15" customHeight="1">
      <c r="A529" t="inlineStr">
        <is>
          <t>A 59805-2025</t>
        </is>
      </c>
      <c r="B529" s="1" t="n">
        <v>45992.62635416666</v>
      </c>
      <c r="C529" s="1" t="n">
        <v>46089</v>
      </c>
      <c r="D529" t="inlineStr">
        <is>
          <t>DALARNAS LÄN</t>
        </is>
      </c>
      <c r="E529" t="inlineStr">
        <is>
          <t>MORA</t>
        </is>
      </c>
      <c r="G529" t="n">
        <v>4.2</v>
      </c>
      <c r="H529" t="n">
        <v>0</v>
      </c>
      <c r="I529" t="n">
        <v>0</v>
      </c>
      <c r="J529" t="n">
        <v>0</v>
      </c>
      <c r="K529" t="n">
        <v>0</v>
      </c>
      <c r="L529" t="n">
        <v>0</v>
      </c>
      <c r="M529" t="n">
        <v>0</v>
      </c>
      <c r="N529" t="n">
        <v>0</v>
      </c>
      <c r="O529" t="n">
        <v>0</v>
      </c>
      <c r="P529" t="n">
        <v>0</v>
      </c>
      <c r="Q529" t="n">
        <v>0</v>
      </c>
      <c r="R529" s="2" t="inlineStr"/>
    </row>
    <row r="530" ht="15" customHeight="1">
      <c r="A530" t="inlineStr">
        <is>
          <t>A 10777-2025</t>
        </is>
      </c>
      <c r="B530" s="1" t="n">
        <v>45722.47743055555</v>
      </c>
      <c r="C530" s="1" t="n">
        <v>46089</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59768-2025</t>
        </is>
      </c>
      <c r="B531" s="1" t="n">
        <v>45992</v>
      </c>
      <c r="C531" s="1" t="n">
        <v>46089</v>
      </c>
      <c r="D531" t="inlineStr">
        <is>
          <t>DALARNAS LÄN</t>
        </is>
      </c>
      <c r="E531" t="inlineStr">
        <is>
          <t>MORA</t>
        </is>
      </c>
      <c r="G531" t="n">
        <v>4</v>
      </c>
      <c r="H531" t="n">
        <v>0</v>
      </c>
      <c r="I531" t="n">
        <v>0</v>
      </c>
      <c r="J531" t="n">
        <v>0</v>
      </c>
      <c r="K531" t="n">
        <v>0</v>
      </c>
      <c r="L531" t="n">
        <v>0</v>
      </c>
      <c r="M531" t="n">
        <v>0</v>
      </c>
      <c r="N531" t="n">
        <v>0</v>
      </c>
      <c r="O531" t="n">
        <v>0</v>
      </c>
      <c r="P531" t="n">
        <v>0</v>
      </c>
      <c r="Q531" t="n">
        <v>0</v>
      </c>
      <c r="R531" s="2" t="inlineStr"/>
    </row>
    <row r="532" ht="15" customHeight="1">
      <c r="A532" t="inlineStr">
        <is>
          <t>A 59669-2025</t>
        </is>
      </c>
      <c r="B532" s="1" t="n">
        <v>45992.45640046296</v>
      </c>
      <c r="C532" s="1" t="n">
        <v>46089</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19842-2025</t>
        </is>
      </c>
      <c r="B533" s="1" t="n">
        <v>45771.47938657407</v>
      </c>
      <c r="C533" s="1" t="n">
        <v>46089</v>
      </c>
      <c r="D533" t="inlineStr">
        <is>
          <t>DALARNAS LÄN</t>
        </is>
      </c>
      <c r="E533" t="inlineStr">
        <is>
          <t>MORA</t>
        </is>
      </c>
      <c r="G533" t="n">
        <v>1.9</v>
      </c>
      <c r="H533" t="n">
        <v>0</v>
      </c>
      <c r="I533" t="n">
        <v>0</v>
      </c>
      <c r="J533" t="n">
        <v>0</v>
      </c>
      <c r="K533" t="n">
        <v>0</v>
      </c>
      <c r="L533" t="n">
        <v>0</v>
      </c>
      <c r="M533" t="n">
        <v>0</v>
      </c>
      <c r="N533" t="n">
        <v>0</v>
      </c>
      <c r="O533" t="n">
        <v>0</v>
      </c>
      <c r="P533" t="n">
        <v>0</v>
      </c>
      <c r="Q533" t="n">
        <v>0</v>
      </c>
      <c r="R533" s="2" t="inlineStr"/>
    </row>
    <row r="534" ht="15" customHeight="1">
      <c r="A534" t="inlineStr">
        <is>
          <t>A 44177-2023</t>
        </is>
      </c>
      <c r="B534" s="1" t="n">
        <v>45188.51439814815</v>
      </c>
      <c r="C534" s="1" t="n">
        <v>46089</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2521-2026</t>
        </is>
      </c>
      <c r="B535" s="1" t="n">
        <v>46037.42600694444</v>
      </c>
      <c r="C535" s="1" t="n">
        <v>46089</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316-2026</t>
        </is>
      </c>
      <c r="B536" s="1" t="n">
        <v>46027</v>
      </c>
      <c r="C536" s="1" t="n">
        <v>46089</v>
      </c>
      <c r="D536" t="inlineStr">
        <is>
          <t>DALARNAS LÄN</t>
        </is>
      </c>
      <c r="E536" t="inlineStr">
        <is>
          <t>MORA</t>
        </is>
      </c>
      <c r="G536" t="n">
        <v>2.8</v>
      </c>
      <c r="H536" t="n">
        <v>0</v>
      </c>
      <c r="I536" t="n">
        <v>0</v>
      </c>
      <c r="J536" t="n">
        <v>0</v>
      </c>
      <c r="K536" t="n">
        <v>0</v>
      </c>
      <c r="L536" t="n">
        <v>0</v>
      </c>
      <c r="M536" t="n">
        <v>0</v>
      </c>
      <c r="N536" t="n">
        <v>0</v>
      </c>
      <c r="O536" t="n">
        <v>0</v>
      </c>
      <c r="P536" t="n">
        <v>0</v>
      </c>
      <c r="Q536" t="n">
        <v>0</v>
      </c>
      <c r="R536" s="2" t="inlineStr"/>
    </row>
    <row r="537" ht="15" customHeight="1">
      <c r="A537" t="inlineStr">
        <is>
          <t>A 18134-2025</t>
        </is>
      </c>
      <c r="B537" s="1" t="n">
        <v>45761.60189814815</v>
      </c>
      <c r="C537" s="1" t="n">
        <v>46089</v>
      </c>
      <c r="D537" t="inlineStr">
        <is>
          <t>DALARNAS LÄN</t>
        </is>
      </c>
      <c r="E537" t="inlineStr">
        <is>
          <t>MORA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11176-2026</t>
        </is>
      </c>
      <c r="B538" s="1" t="n">
        <v>46080.38643518519</v>
      </c>
      <c r="C538" s="1" t="n">
        <v>46089</v>
      </c>
      <c r="D538" t="inlineStr">
        <is>
          <t>DALARNAS LÄN</t>
        </is>
      </c>
      <c r="E538" t="inlineStr">
        <is>
          <t>MORA</t>
        </is>
      </c>
      <c r="G538" t="n">
        <v>1.3</v>
      </c>
      <c r="H538" t="n">
        <v>0</v>
      </c>
      <c r="I538" t="n">
        <v>0</v>
      </c>
      <c r="J538" t="n">
        <v>0</v>
      </c>
      <c r="K538" t="n">
        <v>0</v>
      </c>
      <c r="L538" t="n">
        <v>0</v>
      </c>
      <c r="M538" t="n">
        <v>0</v>
      </c>
      <c r="N538" t="n">
        <v>0</v>
      </c>
      <c r="O538" t="n">
        <v>0</v>
      </c>
      <c r="P538" t="n">
        <v>0</v>
      </c>
      <c r="Q538" t="n">
        <v>0</v>
      </c>
      <c r="R538" s="2" t="inlineStr"/>
    </row>
    <row r="539" ht="15" customHeight="1">
      <c r="A539" t="inlineStr">
        <is>
          <t>A 9350-2026</t>
        </is>
      </c>
      <c r="B539" s="1" t="n">
        <v>46070</v>
      </c>
      <c r="C539" s="1" t="n">
        <v>46089</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10181-2026</t>
        </is>
      </c>
      <c r="B540" s="1" t="n">
        <v>46076</v>
      </c>
      <c r="C540" s="1" t="n">
        <v>46089</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48522-2024</t>
        </is>
      </c>
      <c r="B541" s="1" t="n">
        <v>45593.32924768519</v>
      </c>
      <c r="C541" s="1" t="n">
        <v>46089</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48342-2023</t>
        </is>
      </c>
      <c r="B542" s="1" t="n">
        <v>45205</v>
      </c>
      <c r="C542" s="1" t="n">
        <v>46089</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60957-2025</t>
        </is>
      </c>
      <c r="B543" s="1" t="n">
        <v>45999.65799768519</v>
      </c>
      <c r="C543" s="1" t="n">
        <v>46089</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3260-2026</t>
        </is>
      </c>
      <c r="B544" s="1" t="n">
        <v>46041</v>
      </c>
      <c r="C544" s="1" t="n">
        <v>46089</v>
      </c>
      <c r="D544" t="inlineStr">
        <is>
          <t>DALARNAS LÄN</t>
        </is>
      </c>
      <c r="E544" t="inlineStr">
        <is>
          <t>MORA</t>
        </is>
      </c>
      <c r="G544" t="n">
        <v>27.1</v>
      </c>
      <c r="H544" t="n">
        <v>0</v>
      </c>
      <c r="I544" t="n">
        <v>0</v>
      </c>
      <c r="J544" t="n">
        <v>0</v>
      </c>
      <c r="K544" t="n">
        <v>0</v>
      </c>
      <c r="L544" t="n">
        <v>0</v>
      </c>
      <c r="M544" t="n">
        <v>0</v>
      </c>
      <c r="N544" t="n">
        <v>0</v>
      </c>
      <c r="O544" t="n">
        <v>0</v>
      </c>
      <c r="P544" t="n">
        <v>0</v>
      </c>
      <c r="Q544" t="n">
        <v>0</v>
      </c>
      <c r="R544" s="2" t="inlineStr"/>
    </row>
    <row r="545" ht="15" customHeight="1">
      <c r="A545" t="inlineStr">
        <is>
          <t>A 55691-2023</t>
        </is>
      </c>
      <c r="B545" s="1" t="n">
        <v>45239.36509259259</v>
      </c>
      <c r="C545" s="1" t="n">
        <v>46089</v>
      </c>
      <c r="D545" t="inlineStr">
        <is>
          <t>DALARNAS LÄN</t>
        </is>
      </c>
      <c r="E545" t="inlineStr">
        <is>
          <t>MORA</t>
        </is>
      </c>
      <c r="G545" t="n">
        <v>2.2</v>
      </c>
      <c r="H545" t="n">
        <v>0</v>
      </c>
      <c r="I545" t="n">
        <v>0</v>
      </c>
      <c r="J545" t="n">
        <v>0</v>
      </c>
      <c r="K545" t="n">
        <v>0</v>
      </c>
      <c r="L545" t="n">
        <v>0</v>
      </c>
      <c r="M545" t="n">
        <v>0</v>
      </c>
      <c r="N545" t="n">
        <v>0</v>
      </c>
      <c r="O545" t="n">
        <v>0</v>
      </c>
      <c r="P545" t="n">
        <v>0</v>
      </c>
      <c r="Q545" t="n">
        <v>0</v>
      </c>
      <c r="R545" s="2" t="inlineStr"/>
    </row>
    <row r="546" ht="15" customHeight="1">
      <c r="A546" t="inlineStr">
        <is>
          <t>A 63958-2023</t>
        </is>
      </c>
      <c r="B546" s="1" t="n">
        <v>45278</v>
      </c>
      <c r="C546" s="1" t="n">
        <v>46089</v>
      </c>
      <c r="D546" t="inlineStr">
        <is>
          <t>DALARNAS LÄN</t>
        </is>
      </c>
      <c r="E546" t="inlineStr">
        <is>
          <t>MORA</t>
        </is>
      </c>
      <c r="G546" t="n">
        <v>1.9</v>
      </c>
      <c r="H546" t="n">
        <v>0</v>
      </c>
      <c r="I546" t="n">
        <v>0</v>
      </c>
      <c r="J546" t="n">
        <v>0</v>
      </c>
      <c r="K546" t="n">
        <v>0</v>
      </c>
      <c r="L546" t="n">
        <v>0</v>
      </c>
      <c r="M546" t="n">
        <v>0</v>
      </c>
      <c r="N546" t="n">
        <v>0</v>
      </c>
      <c r="O546" t="n">
        <v>0</v>
      </c>
      <c r="P546" t="n">
        <v>0</v>
      </c>
      <c r="Q546" t="n">
        <v>0</v>
      </c>
      <c r="R546" s="2" t="inlineStr"/>
    </row>
    <row r="547" ht="15" customHeight="1">
      <c r="A547" t="inlineStr">
        <is>
          <t>A 5803-2026</t>
        </is>
      </c>
      <c r="B547" s="1" t="n">
        <v>46051</v>
      </c>
      <c r="C547" s="1" t="n">
        <v>46089</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25494-2024</t>
        </is>
      </c>
      <c r="B548" s="1" t="n">
        <v>45463</v>
      </c>
      <c r="C548" s="1" t="n">
        <v>46089</v>
      </c>
      <c r="D548" t="inlineStr">
        <is>
          <t>DALARNAS LÄN</t>
        </is>
      </c>
      <c r="E548" t="inlineStr">
        <is>
          <t>MORA</t>
        </is>
      </c>
      <c r="G548" t="n">
        <v>4.9</v>
      </c>
      <c r="H548" t="n">
        <v>0</v>
      </c>
      <c r="I548" t="n">
        <v>0</v>
      </c>
      <c r="J548" t="n">
        <v>0</v>
      </c>
      <c r="K548" t="n">
        <v>0</v>
      </c>
      <c r="L548" t="n">
        <v>0</v>
      </c>
      <c r="M548" t="n">
        <v>0</v>
      </c>
      <c r="N548" t="n">
        <v>0</v>
      </c>
      <c r="O548" t="n">
        <v>0</v>
      </c>
      <c r="P548" t="n">
        <v>0</v>
      </c>
      <c r="Q548" t="n">
        <v>0</v>
      </c>
      <c r="R548" s="2" t="inlineStr"/>
    </row>
    <row r="549" ht="15" customHeight="1">
      <c r="A549" t="inlineStr">
        <is>
          <t>A 35327-2024</t>
        </is>
      </c>
      <c r="B549" s="1" t="n">
        <v>45530.71334490741</v>
      </c>
      <c r="C549" s="1" t="n">
        <v>46089</v>
      </c>
      <c r="D549" t="inlineStr">
        <is>
          <t>DALARNAS LÄN</t>
        </is>
      </c>
      <c r="E549" t="inlineStr">
        <is>
          <t>MORA</t>
        </is>
      </c>
      <c r="G549" t="n">
        <v>5</v>
      </c>
      <c r="H549" t="n">
        <v>0</v>
      </c>
      <c r="I549" t="n">
        <v>0</v>
      </c>
      <c r="J549" t="n">
        <v>0</v>
      </c>
      <c r="K549" t="n">
        <v>0</v>
      </c>
      <c r="L549" t="n">
        <v>0</v>
      </c>
      <c r="M549" t="n">
        <v>0</v>
      </c>
      <c r="N549" t="n">
        <v>0</v>
      </c>
      <c r="O549" t="n">
        <v>0</v>
      </c>
      <c r="P549" t="n">
        <v>0</v>
      </c>
      <c r="Q549" t="n">
        <v>0</v>
      </c>
      <c r="R549" s="2" t="inlineStr"/>
    </row>
    <row r="550" ht="15" customHeight="1">
      <c r="A550" t="inlineStr">
        <is>
          <t>A 3247-2026</t>
        </is>
      </c>
      <c r="B550" s="1" t="n">
        <v>46041</v>
      </c>
      <c r="C550" s="1" t="n">
        <v>46089</v>
      </c>
      <c r="D550" t="inlineStr">
        <is>
          <t>DALARNAS LÄN</t>
        </is>
      </c>
      <c r="E550" t="inlineStr">
        <is>
          <t>MORA</t>
        </is>
      </c>
      <c r="G550" t="n">
        <v>1</v>
      </c>
      <c r="H550" t="n">
        <v>0</v>
      </c>
      <c r="I550" t="n">
        <v>0</v>
      </c>
      <c r="J550" t="n">
        <v>0</v>
      </c>
      <c r="K550" t="n">
        <v>0</v>
      </c>
      <c r="L550" t="n">
        <v>0</v>
      </c>
      <c r="M550" t="n">
        <v>0</v>
      </c>
      <c r="N550" t="n">
        <v>0</v>
      </c>
      <c r="O550" t="n">
        <v>0</v>
      </c>
      <c r="P550" t="n">
        <v>0</v>
      </c>
      <c r="Q550" t="n">
        <v>0</v>
      </c>
      <c r="R550" s="2" t="inlineStr"/>
    </row>
    <row r="551" ht="15" customHeight="1">
      <c r="A551" t="inlineStr">
        <is>
          <t>A 2995-2026</t>
        </is>
      </c>
      <c r="B551" s="1" t="n">
        <v>46038</v>
      </c>
      <c r="C551" s="1" t="n">
        <v>46089</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2786-2026</t>
        </is>
      </c>
      <c r="B552" s="1" t="n">
        <v>46038.39023148148</v>
      </c>
      <c r="C552" s="1" t="n">
        <v>46089</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31112-2024</t>
        </is>
      </c>
      <c r="B553" s="1" t="n">
        <v>45502.55185185185</v>
      </c>
      <c r="C553" s="1" t="n">
        <v>46089</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442-2024</t>
        </is>
      </c>
      <c r="B554" s="1" t="n">
        <v>45296.60353009259</v>
      </c>
      <c r="C554" s="1" t="n">
        <v>46089</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501-2024</t>
        </is>
      </c>
      <c r="B555" s="1" t="n">
        <v>45299</v>
      </c>
      <c r="C555" s="1" t="n">
        <v>46089</v>
      </c>
      <c r="D555" t="inlineStr">
        <is>
          <t>DALARNAS LÄN</t>
        </is>
      </c>
      <c r="E555" t="inlineStr">
        <is>
          <t>MORA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46089</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19814-2025</t>
        </is>
      </c>
      <c r="B557" s="1" t="n">
        <v>45771.45686342593</v>
      </c>
      <c r="C557" s="1" t="n">
        <v>46089</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60526-2023</t>
        </is>
      </c>
      <c r="B558" s="1" t="n">
        <v>45259</v>
      </c>
      <c r="C558" s="1" t="n">
        <v>46089</v>
      </c>
      <c r="D558" t="inlineStr">
        <is>
          <t>DALARNAS LÄN</t>
        </is>
      </c>
      <c r="E558" t="inlineStr">
        <is>
          <t>MORA</t>
        </is>
      </c>
      <c r="G558" t="n">
        <v>6.7</v>
      </c>
      <c r="H558" t="n">
        <v>0</v>
      </c>
      <c r="I558" t="n">
        <v>0</v>
      </c>
      <c r="J558" t="n">
        <v>0</v>
      </c>
      <c r="K558" t="n">
        <v>0</v>
      </c>
      <c r="L558" t="n">
        <v>0</v>
      </c>
      <c r="M558" t="n">
        <v>0</v>
      </c>
      <c r="N558" t="n">
        <v>0</v>
      </c>
      <c r="O558" t="n">
        <v>0</v>
      </c>
      <c r="P558" t="n">
        <v>0</v>
      </c>
      <c r="Q558" t="n">
        <v>0</v>
      </c>
      <c r="R558" s="2" t="inlineStr"/>
    </row>
    <row r="559" ht="15" customHeight="1">
      <c r="A559" t="inlineStr">
        <is>
          <t>A 11452-2026</t>
        </is>
      </c>
      <c r="B559" s="1" t="n">
        <v>46083.56024305556</v>
      </c>
      <c r="C559" s="1" t="n">
        <v>46089</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53341-2023</t>
        </is>
      </c>
      <c r="B560" s="1" t="n">
        <v>45229</v>
      </c>
      <c r="C560" s="1" t="n">
        <v>46089</v>
      </c>
      <c r="D560" t="inlineStr">
        <is>
          <t>DALARNAS LÄN</t>
        </is>
      </c>
      <c r="E560" t="inlineStr">
        <is>
          <t>MORA</t>
        </is>
      </c>
      <c r="G560" t="n">
        <v>2.1</v>
      </c>
      <c r="H560" t="n">
        <v>0</v>
      </c>
      <c r="I560" t="n">
        <v>0</v>
      </c>
      <c r="J560" t="n">
        <v>0</v>
      </c>
      <c r="K560" t="n">
        <v>0</v>
      </c>
      <c r="L560" t="n">
        <v>0</v>
      </c>
      <c r="M560" t="n">
        <v>0</v>
      </c>
      <c r="N560" t="n">
        <v>0</v>
      </c>
      <c r="O560" t="n">
        <v>0</v>
      </c>
      <c r="P560" t="n">
        <v>0</v>
      </c>
      <c r="Q560" t="n">
        <v>0</v>
      </c>
      <c r="R560" s="2" t="inlineStr"/>
    </row>
    <row r="561" ht="15" customHeight="1">
      <c r="A561" t="inlineStr">
        <is>
          <t>A 61412-2025</t>
        </is>
      </c>
      <c r="B561" s="1" t="n">
        <v>46001.5266087963</v>
      </c>
      <c r="C561" s="1" t="n">
        <v>46089</v>
      </c>
      <c r="D561" t="inlineStr">
        <is>
          <t>DALARNAS LÄN</t>
        </is>
      </c>
      <c r="E561" t="inlineStr">
        <is>
          <t>MORA</t>
        </is>
      </c>
      <c r="G561" t="n">
        <v>2.9</v>
      </c>
      <c r="H561" t="n">
        <v>0</v>
      </c>
      <c r="I561" t="n">
        <v>0</v>
      </c>
      <c r="J561" t="n">
        <v>0</v>
      </c>
      <c r="K561" t="n">
        <v>0</v>
      </c>
      <c r="L561" t="n">
        <v>0</v>
      </c>
      <c r="M561" t="n">
        <v>0</v>
      </c>
      <c r="N561" t="n">
        <v>0</v>
      </c>
      <c r="O561" t="n">
        <v>0</v>
      </c>
      <c r="P561" t="n">
        <v>0</v>
      </c>
      <c r="Q561" t="n">
        <v>0</v>
      </c>
      <c r="R561" s="2" t="inlineStr"/>
    </row>
    <row r="562" ht="15" customHeight="1">
      <c r="A562" t="inlineStr">
        <is>
          <t>A 12828-2023</t>
        </is>
      </c>
      <c r="B562" s="1" t="n">
        <v>45001</v>
      </c>
      <c r="C562" s="1" t="n">
        <v>46089</v>
      </c>
      <c r="D562" t="inlineStr">
        <is>
          <t>DALARNAS LÄN</t>
        </is>
      </c>
      <c r="E562" t="inlineStr">
        <is>
          <t>MORA</t>
        </is>
      </c>
      <c r="F562" t="inlineStr">
        <is>
          <t>Bergvik skog väst AB</t>
        </is>
      </c>
      <c r="G562" t="n">
        <v>5.4</v>
      </c>
      <c r="H562" t="n">
        <v>0</v>
      </c>
      <c r="I562" t="n">
        <v>0</v>
      </c>
      <c r="J562" t="n">
        <v>0</v>
      </c>
      <c r="K562" t="n">
        <v>0</v>
      </c>
      <c r="L562" t="n">
        <v>0</v>
      </c>
      <c r="M562" t="n">
        <v>0</v>
      </c>
      <c r="N562" t="n">
        <v>0</v>
      </c>
      <c r="O562" t="n">
        <v>0</v>
      </c>
      <c r="P562" t="n">
        <v>0</v>
      </c>
      <c r="Q562" t="n">
        <v>0</v>
      </c>
      <c r="R562" s="2" t="inlineStr"/>
    </row>
    <row r="563" ht="15" customHeight="1">
      <c r="A563" t="inlineStr">
        <is>
          <t>A 61455-2025</t>
        </is>
      </c>
      <c r="B563" s="1" t="n">
        <v>46001.58590277778</v>
      </c>
      <c r="C563" s="1" t="n">
        <v>46089</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3145-2026</t>
        </is>
      </c>
      <c r="B564" s="1" t="n">
        <v>46041.41971064815</v>
      </c>
      <c r="C564" s="1" t="n">
        <v>46089</v>
      </c>
      <c r="D564" t="inlineStr">
        <is>
          <t>DALARNAS LÄN</t>
        </is>
      </c>
      <c r="E564" t="inlineStr">
        <is>
          <t>MORA</t>
        </is>
      </c>
      <c r="G564" t="n">
        <v>4.3</v>
      </c>
      <c r="H564" t="n">
        <v>0</v>
      </c>
      <c r="I564" t="n">
        <v>0</v>
      </c>
      <c r="J564" t="n">
        <v>0</v>
      </c>
      <c r="K564" t="n">
        <v>0</v>
      </c>
      <c r="L564" t="n">
        <v>0</v>
      </c>
      <c r="M564" t="n">
        <v>0</v>
      </c>
      <c r="N564" t="n">
        <v>0</v>
      </c>
      <c r="O564" t="n">
        <v>0</v>
      </c>
      <c r="P564" t="n">
        <v>0</v>
      </c>
      <c r="Q564" t="n">
        <v>0</v>
      </c>
      <c r="R564" s="2" t="inlineStr"/>
    </row>
    <row r="565" ht="15" customHeight="1">
      <c r="A565" t="inlineStr">
        <is>
          <t>A 3149-2026</t>
        </is>
      </c>
      <c r="B565" s="1" t="n">
        <v>46041.42416666666</v>
      </c>
      <c r="C565" s="1" t="n">
        <v>46089</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3854-2026</t>
        </is>
      </c>
      <c r="B566" s="1" t="n">
        <v>46043</v>
      </c>
      <c r="C566" s="1" t="n">
        <v>46089</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11819-2026</t>
        </is>
      </c>
      <c r="B567" s="1" t="n">
        <v>46085.38835648148</v>
      </c>
      <c r="C567" s="1" t="n">
        <v>46089</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3440-2026</t>
        </is>
      </c>
      <c r="B568" s="1" t="n">
        <v>46042.475625</v>
      </c>
      <c r="C568" s="1" t="n">
        <v>46089</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11875-2026</t>
        </is>
      </c>
      <c r="B569" s="1" t="n">
        <v>46085</v>
      </c>
      <c r="C569" s="1" t="n">
        <v>46089</v>
      </c>
      <c r="D569" t="inlineStr">
        <is>
          <t>DALARNAS LÄN</t>
        </is>
      </c>
      <c r="E569" t="inlineStr">
        <is>
          <t>MORA</t>
        </is>
      </c>
      <c r="G569" t="n">
        <v>3.7</v>
      </c>
      <c r="H569" t="n">
        <v>0</v>
      </c>
      <c r="I569" t="n">
        <v>0</v>
      </c>
      <c r="J569" t="n">
        <v>0</v>
      </c>
      <c r="K569" t="n">
        <v>0</v>
      </c>
      <c r="L569" t="n">
        <v>0</v>
      </c>
      <c r="M569" t="n">
        <v>0</v>
      </c>
      <c r="N569" t="n">
        <v>0</v>
      </c>
      <c r="O569" t="n">
        <v>0</v>
      </c>
      <c r="P569" t="n">
        <v>0</v>
      </c>
      <c r="Q569" t="n">
        <v>0</v>
      </c>
      <c r="R569" s="2" t="inlineStr"/>
    </row>
    <row r="570" ht="15" customHeight="1">
      <c r="A570" t="inlineStr">
        <is>
          <t>A 21410-2023</t>
        </is>
      </c>
      <c r="B570" s="1" t="n">
        <v>45063</v>
      </c>
      <c r="C570" s="1" t="n">
        <v>46089</v>
      </c>
      <c r="D570" t="inlineStr">
        <is>
          <t>DALARNAS LÄN</t>
        </is>
      </c>
      <c r="E570" t="inlineStr">
        <is>
          <t>MORA</t>
        </is>
      </c>
      <c r="G570" t="n">
        <v>7</v>
      </c>
      <c r="H570" t="n">
        <v>0</v>
      </c>
      <c r="I570" t="n">
        <v>0</v>
      </c>
      <c r="J570" t="n">
        <v>0</v>
      </c>
      <c r="K570" t="n">
        <v>0</v>
      </c>
      <c r="L570" t="n">
        <v>0</v>
      </c>
      <c r="M570" t="n">
        <v>0</v>
      </c>
      <c r="N570" t="n">
        <v>0</v>
      </c>
      <c r="O570" t="n">
        <v>0</v>
      </c>
      <c r="P570" t="n">
        <v>0</v>
      </c>
      <c r="Q570" t="n">
        <v>0</v>
      </c>
      <c r="R570" s="2" t="inlineStr"/>
    </row>
    <row r="571" ht="15" customHeight="1">
      <c r="A571" t="inlineStr">
        <is>
          <t>A 3876-2026</t>
        </is>
      </c>
      <c r="B571" s="1" t="n">
        <v>46043.64811342592</v>
      </c>
      <c r="C571" s="1" t="n">
        <v>46089</v>
      </c>
      <c r="D571" t="inlineStr">
        <is>
          <t>DALARNAS LÄN</t>
        </is>
      </c>
      <c r="E571" t="inlineStr">
        <is>
          <t>MORA</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61606-2025</t>
        </is>
      </c>
      <c r="B572" s="1" t="n">
        <v>46002.37662037037</v>
      </c>
      <c r="C572" s="1" t="n">
        <v>46089</v>
      </c>
      <c r="D572" t="inlineStr">
        <is>
          <t>DALARNAS LÄN</t>
        </is>
      </c>
      <c r="E572" t="inlineStr">
        <is>
          <t>MORA</t>
        </is>
      </c>
      <c r="G572" t="n">
        <v>6.1</v>
      </c>
      <c r="H572" t="n">
        <v>0</v>
      </c>
      <c r="I572" t="n">
        <v>0</v>
      </c>
      <c r="J572" t="n">
        <v>0</v>
      </c>
      <c r="K572" t="n">
        <v>0</v>
      </c>
      <c r="L572" t="n">
        <v>0</v>
      </c>
      <c r="M572" t="n">
        <v>0</v>
      </c>
      <c r="N572" t="n">
        <v>0</v>
      </c>
      <c r="O572" t="n">
        <v>0</v>
      </c>
      <c r="P572" t="n">
        <v>0</v>
      </c>
      <c r="Q572" t="n">
        <v>0</v>
      </c>
      <c r="R572" s="2" t="inlineStr"/>
    </row>
    <row r="573" ht="15" customHeight="1">
      <c r="A573" t="inlineStr">
        <is>
          <t>A 61624-2025</t>
        </is>
      </c>
      <c r="B573" s="1" t="n">
        <v>46002.39755787037</v>
      </c>
      <c r="C573" s="1" t="n">
        <v>46089</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61620-2025</t>
        </is>
      </c>
      <c r="B574" s="1" t="n">
        <v>46002.39347222223</v>
      </c>
      <c r="C574" s="1" t="n">
        <v>46089</v>
      </c>
      <c r="D574" t="inlineStr">
        <is>
          <t>DALARNAS LÄN</t>
        </is>
      </c>
      <c r="E574" t="inlineStr">
        <is>
          <t>MORA</t>
        </is>
      </c>
      <c r="G574" t="n">
        <v>3</v>
      </c>
      <c r="H574" t="n">
        <v>0</v>
      </c>
      <c r="I574" t="n">
        <v>0</v>
      </c>
      <c r="J574" t="n">
        <v>0</v>
      </c>
      <c r="K574" t="n">
        <v>0</v>
      </c>
      <c r="L574" t="n">
        <v>0</v>
      </c>
      <c r="M574" t="n">
        <v>0</v>
      </c>
      <c r="N574" t="n">
        <v>0</v>
      </c>
      <c r="O574" t="n">
        <v>0</v>
      </c>
      <c r="P574" t="n">
        <v>0</v>
      </c>
      <c r="Q574" t="n">
        <v>0</v>
      </c>
      <c r="R574" s="2" t="inlineStr"/>
    </row>
    <row r="575" ht="15" customHeight="1">
      <c r="A575" t="inlineStr">
        <is>
          <t>A 61995-2025</t>
        </is>
      </c>
      <c r="B575" s="1" t="n">
        <v>46003.63954861111</v>
      </c>
      <c r="C575" s="1" t="n">
        <v>46089</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3531-2024</t>
        </is>
      </c>
      <c r="B576" s="1" t="n">
        <v>45320</v>
      </c>
      <c r="C576" s="1" t="n">
        <v>46089</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c r="U576">
        <f>HYPERLINK("https://klasma.github.io/Logging_2062/knärot/A 3531-2024 karta knärot.png", "A 3531-2024")</f>
        <v/>
      </c>
      <c r="V576">
        <f>HYPERLINK("https://klasma.github.io/Logging_2062/klagomål/A 3531-2024 FSC-klagomål.docx", "A 3531-2024")</f>
        <v/>
      </c>
      <c r="W576">
        <f>HYPERLINK("https://klasma.github.io/Logging_2062/klagomålsmail/A 3531-2024 FSC-klagomål mail.docx", "A 3531-2024")</f>
        <v/>
      </c>
      <c r="X576">
        <f>HYPERLINK("https://klasma.github.io/Logging_2062/tillsyn/A 3531-2024 tillsynsbegäran.docx", "A 3531-2024")</f>
        <v/>
      </c>
      <c r="Y576">
        <f>HYPERLINK("https://klasma.github.io/Logging_2062/tillsynsmail/A 3531-2024 tillsynsbegäran mail.docx", "A 3531-2024")</f>
        <v/>
      </c>
    </row>
    <row r="577" ht="15" customHeight="1">
      <c r="A577" t="inlineStr">
        <is>
          <t>A 45475-2023</t>
        </is>
      </c>
      <c r="B577" s="1" t="n">
        <v>45188</v>
      </c>
      <c r="C577" s="1" t="n">
        <v>46089</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44071-2024</t>
        </is>
      </c>
      <c r="B578" s="1" t="n">
        <v>45572.60915509259</v>
      </c>
      <c r="C578" s="1" t="n">
        <v>46089</v>
      </c>
      <c r="D578" t="inlineStr">
        <is>
          <t>DALARNAS LÄN</t>
        </is>
      </c>
      <c r="E578" t="inlineStr">
        <is>
          <t>MORA</t>
        </is>
      </c>
      <c r="G578" t="n">
        <v>4.5</v>
      </c>
      <c r="H578" t="n">
        <v>0</v>
      </c>
      <c r="I578" t="n">
        <v>0</v>
      </c>
      <c r="J578" t="n">
        <v>0</v>
      </c>
      <c r="K578" t="n">
        <v>0</v>
      </c>
      <c r="L578" t="n">
        <v>0</v>
      </c>
      <c r="M578" t="n">
        <v>0</v>
      </c>
      <c r="N578" t="n">
        <v>0</v>
      </c>
      <c r="O578" t="n">
        <v>0</v>
      </c>
      <c r="P578" t="n">
        <v>0</v>
      </c>
      <c r="Q578" t="n">
        <v>0</v>
      </c>
      <c r="R578" s="2" t="inlineStr"/>
    </row>
    <row r="579" ht="15" customHeight="1">
      <c r="A579" t="inlineStr">
        <is>
          <t>A 11463-2024</t>
        </is>
      </c>
      <c r="B579" s="1" t="n">
        <v>45372.58969907407</v>
      </c>
      <c r="C579" s="1" t="n">
        <v>46089</v>
      </c>
      <c r="D579" t="inlineStr">
        <is>
          <t>DALARNAS LÄN</t>
        </is>
      </c>
      <c r="E579" t="inlineStr">
        <is>
          <t>MORA</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62055-2025</t>
        </is>
      </c>
      <c r="B580" s="1" t="n">
        <v>46006.3365625</v>
      </c>
      <c r="C580" s="1" t="n">
        <v>46089</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46089</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57903-2022</t>
        </is>
      </c>
      <c r="B582" s="1" t="n">
        <v>44900.3521412037</v>
      </c>
      <c r="C582" s="1" t="n">
        <v>46089</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46129-2024</t>
        </is>
      </c>
      <c r="B583" s="1" t="n">
        <v>45581.43337962963</v>
      </c>
      <c r="C583" s="1" t="n">
        <v>46089</v>
      </c>
      <c r="D583" t="inlineStr">
        <is>
          <t>DALARNAS LÄN</t>
        </is>
      </c>
      <c r="E583" t="inlineStr">
        <is>
          <t>MORA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11705-2026</t>
        </is>
      </c>
      <c r="B584" s="1" t="n">
        <v>46084.61635416667</v>
      </c>
      <c r="C584" s="1" t="n">
        <v>46089</v>
      </c>
      <c r="D584" t="inlineStr">
        <is>
          <t>DALARNAS LÄN</t>
        </is>
      </c>
      <c r="E584" t="inlineStr">
        <is>
          <t>MORA</t>
        </is>
      </c>
      <c r="G584" t="n">
        <v>4.2</v>
      </c>
      <c r="H584" t="n">
        <v>0</v>
      </c>
      <c r="I584" t="n">
        <v>0</v>
      </c>
      <c r="J584" t="n">
        <v>0</v>
      </c>
      <c r="K584" t="n">
        <v>0</v>
      </c>
      <c r="L584" t="n">
        <v>0</v>
      </c>
      <c r="M584" t="n">
        <v>0</v>
      </c>
      <c r="N584" t="n">
        <v>0</v>
      </c>
      <c r="O584" t="n">
        <v>0</v>
      </c>
      <c r="P584" t="n">
        <v>0</v>
      </c>
      <c r="Q584" t="n">
        <v>0</v>
      </c>
      <c r="R584" s="2" t="inlineStr"/>
    </row>
    <row r="585" ht="15" customHeight="1">
      <c r="A585" t="inlineStr">
        <is>
          <t>A 62054-2025</t>
        </is>
      </c>
      <c r="B585" s="1" t="n">
        <v>46006.33462962963</v>
      </c>
      <c r="C585" s="1" t="n">
        <v>46089</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19193-2025</t>
        </is>
      </c>
      <c r="B586" s="1" t="n">
        <v>45769.42203703704</v>
      </c>
      <c r="C586" s="1" t="n">
        <v>46089</v>
      </c>
      <c r="D586" t="inlineStr">
        <is>
          <t>DALARNAS LÄN</t>
        </is>
      </c>
      <c r="E586" t="inlineStr">
        <is>
          <t>MORA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4906-2026</t>
        </is>
      </c>
      <c r="B587" s="1" t="n">
        <v>46048.70013888889</v>
      </c>
      <c r="C587" s="1" t="n">
        <v>46089</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62548-2025</t>
        </is>
      </c>
      <c r="B588" s="1" t="n">
        <v>46007.66275462963</v>
      </c>
      <c r="C588" s="1" t="n">
        <v>46089</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6183-2024</t>
        </is>
      </c>
      <c r="B589" s="1" t="n">
        <v>45337.54135416666</v>
      </c>
      <c r="C589" s="1" t="n">
        <v>46089</v>
      </c>
      <c r="D589" t="inlineStr">
        <is>
          <t>DALARNAS LÄN</t>
        </is>
      </c>
      <c r="E589" t="inlineStr">
        <is>
          <t>MORA</t>
        </is>
      </c>
      <c r="G589" t="n">
        <v>7.9</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46089</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11716-2026</t>
        </is>
      </c>
      <c r="B591" s="1" t="n">
        <v>46084.62465277778</v>
      </c>
      <c r="C591" s="1" t="n">
        <v>46089</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46089</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62965-2025</t>
        </is>
      </c>
      <c r="B593" s="1" t="n">
        <v>46009.46129629629</v>
      </c>
      <c r="C593" s="1" t="n">
        <v>46089</v>
      </c>
      <c r="D593" t="inlineStr">
        <is>
          <t>DALARNAS LÄN</t>
        </is>
      </c>
      <c r="E593" t="inlineStr">
        <is>
          <t>MORA</t>
        </is>
      </c>
      <c r="G593" t="n">
        <v>9.1</v>
      </c>
      <c r="H593" t="n">
        <v>0</v>
      </c>
      <c r="I593" t="n">
        <v>0</v>
      </c>
      <c r="J593" t="n">
        <v>0</v>
      </c>
      <c r="K593" t="n">
        <v>0</v>
      </c>
      <c r="L593" t="n">
        <v>0</v>
      </c>
      <c r="M593" t="n">
        <v>0</v>
      </c>
      <c r="N593" t="n">
        <v>0</v>
      </c>
      <c r="O593" t="n">
        <v>0</v>
      </c>
      <c r="P593" t="n">
        <v>0</v>
      </c>
      <c r="Q593" t="n">
        <v>0</v>
      </c>
      <c r="R593" s="2" t="inlineStr"/>
    </row>
    <row r="594" ht="15" customHeight="1">
      <c r="A594" t="inlineStr">
        <is>
          <t>A 3742-2026</t>
        </is>
      </c>
      <c r="B594" s="1" t="n">
        <v>46043</v>
      </c>
      <c r="C594" s="1" t="n">
        <v>46089</v>
      </c>
      <c r="D594" t="inlineStr">
        <is>
          <t>DALARNAS LÄN</t>
        </is>
      </c>
      <c r="E594" t="inlineStr">
        <is>
          <t>MORA</t>
        </is>
      </c>
      <c r="G594" t="n">
        <v>1.7</v>
      </c>
      <c r="H594" t="n">
        <v>0</v>
      </c>
      <c r="I594" t="n">
        <v>0</v>
      </c>
      <c r="J594" t="n">
        <v>0</v>
      </c>
      <c r="K594" t="n">
        <v>0</v>
      </c>
      <c r="L594" t="n">
        <v>0</v>
      </c>
      <c r="M594" t="n">
        <v>0</v>
      </c>
      <c r="N594" t="n">
        <v>0</v>
      </c>
      <c r="O594" t="n">
        <v>0</v>
      </c>
      <c r="P594" t="n">
        <v>0</v>
      </c>
      <c r="Q594" t="n">
        <v>0</v>
      </c>
      <c r="R594" s="2" t="inlineStr"/>
    </row>
    <row r="595" ht="15" customHeight="1">
      <c r="A595" t="inlineStr">
        <is>
          <t>A 63030-2025</t>
        </is>
      </c>
      <c r="B595" s="1" t="n">
        <v>46009.60133101852</v>
      </c>
      <c r="C595" s="1" t="n">
        <v>46089</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5763-2026</t>
        </is>
      </c>
      <c r="B596" s="1" t="n">
        <v>46051.63380787037</v>
      </c>
      <c r="C596" s="1" t="n">
        <v>46089</v>
      </c>
      <c r="D596" t="inlineStr">
        <is>
          <t>DALARNAS LÄN</t>
        </is>
      </c>
      <c r="E596" t="inlineStr">
        <is>
          <t>MORA</t>
        </is>
      </c>
      <c r="G596" t="n">
        <v>0.3</v>
      </c>
      <c r="H596" t="n">
        <v>0</v>
      </c>
      <c r="I596" t="n">
        <v>0</v>
      </c>
      <c r="J596" t="n">
        <v>0</v>
      </c>
      <c r="K596" t="n">
        <v>0</v>
      </c>
      <c r="L596" t="n">
        <v>0</v>
      </c>
      <c r="M596" t="n">
        <v>0</v>
      </c>
      <c r="N596" t="n">
        <v>0</v>
      </c>
      <c r="O596" t="n">
        <v>0</v>
      </c>
      <c r="P596" t="n">
        <v>0</v>
      </c>
      <c r="Q596" t="n">
        <v>0</v>
      </c>
      <c r="R596" s="2" t="inlineStr"/>
    </row>
    <row r="597" ht="15" customHeight="1">
      <c r="A597" t="inlineStr">
        <is>
          <t>A 62619-2025</t>
        </is>
      </c>
      <c r="B597" s="1" t="n">
        <v>46008.33967592593</v>
      </c>
      <c r="C597" s="1" t="n">
        <v>46089</v>
      </c>
      <c r="D597" t="inlineStr">
        <is>
          <t>DALARNAS LÄN</t>
        </is>
      </c>
      <c r="E597" t="inlineStr">
        <is>
          <t>MORA</t>
        </is>
      </c>
      <c r="G597" t="n">
        <v>3.3</v>
      </c>
      <c r="H597" t="n">
        <v>0</v>
      </c>
      <c r="I597" t="n">
        <v>0</v>
      </c>
      <c r="J597" t="n">
        <v>0</v>
      </c>
      <c r="K597" t="n">
        <v>0</v>
      </c>
      <c r="L597" t="n">
        <v>0</v>
      </c>
      <c r="M597" t="n">
        <v>0</v>
      </c>
      <c r="N597" t="n">
        <v>0</v>
      </c>
      <c r="O597" t="n">
        <v>0</v>
      </c>
      <c r="P597" t="n">
        <v>0</v>
      </c>
      <c r="Q597" t="n">
        <v>0</v>
      </c>
      <c r="R597" s="2" t="inlineStr"/>
    </row>
    <row r="598" ht="15" customHeight="1">
      <c r="A598" t="inlineStr">
        <is>
          <t>A 62853-2025</t>
        </is>
      </c>
      <c r="B598" s="1" t="n">
        <v>46008.72493055555</v>
      </c>
      <c r="C598" s="1" t="n">
        <v>46089</v>
      </c>
      <c r="D598" t="inlineStr">
        <is>
          <t>DALARNAS LÄN</t>
        </is>
      </c>
      <c r="E598" t="inlineStr">
        <is>
          <t>MORA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9788-2026</t>
        </is>
      </c>
      <c r="B599" s="1" t="n">
        <v>46072</v>
      </c>
      <c r="C599" s="1" t="n">
        <v>46089</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62628-2025</t>
        </is>
      </c>
      <c r="B600" s="1" t="n">
        <v>46008.35011574074</v>
      </c>
      <c r="C600" s="1" t="n">
        <v>46089</v>
      </c>
      <c r="D600" t="inlineStr">
        <is>
          <t>DALARNAS LÄN</t>
        </is>
      </c>
      <c r="E600" t="inlineStr">
        <is>
          <t>MORA</t>
        </is>
      </c>
      <c r="G600" t="n">
        <v>5.7</v>
      </c>
      <c r="H600" t="n">
        <v>0</v>
      </c>
      <c r="I600" t="n">
        <v>0</v>
      </c>
      <c r="J600" t="n">
        <v>0</v>
      </c>
      <c r="K600" t="n">
        <v>0</v>
      </c>
      <c r="L600" t="n">
        <v>0</v>
      </c>
      <c r="M600" t="n">
        <v>0</v>
      </c>
      <c r="N600" t="n">
        <v>0</v>
      </c>
      <c r="O600" t="n">
        <v>0</v>
      </c>
      <c r="P600" t="n">
        <v>0</v>
      </c>
      <c r="Q600" t="n">
        <v>0</v>
      </c>
      <c r="R600" s="2" t="inlineStr"/>
    </row>
    <row r="601" ht="15" customHeight="1">
      <c r="A601" t="inlineStr">
        <is>
          <t>A 6595-2026</t>
        </is>
      </c>
      <c r="B601" s="1" t="n">
        <v>46056</v>
      </c>
      <c r="C601" s="1" t="n">
        <v>46089</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62626-2025</t>
        </is>
      </c>
      <c r="B602" s="1" t="n">
        <v>46008.34541666666</v>
      </c>
      <c r="C602" s="1" t="n">
        <v>46089</v>
      </c>
      <c r="D602" t="inlineStr">
        <is>
          <t>DALARNAS LÄN</t>
        </is>
      </c>
      <c r="E602" t="inlineStr">
        <is>
          <t>MORA</t>
        </is>
      </c>
      <c r="G602" t="n">
        <v>6.7</v>
      </c>
      <c r="H602" t="n">
        <v>0</v>
      </c>
      <c r="I602" t="n">
        <v>0</v>
      </c>
      <c r="J602" t="n">
        <v>0</v>
      </c>
      <c r="K602" t="n">
        <v>0</v>
      </c>
      <c r="L602" t="n">
        <v>0</v>
      </c>
      <c r="M602" t="n">
        <v>0</v>
      </c>
      <c r="N602" t="n">
        <v>0</v>
      </c>
      <c r="O602" t="n">
        <v>0</v>
      </c>
      <c r="P602" t="n">
        <v>0</v>
      </c>
      <c r="Q602" t="n">
        <v>0</v>
      </c>
      <c r="R602" s="2" t="inlineStr"/>
    </row>
    <row r="603" ht="15" customHeight="1">
      <c r="A603" t="inlineStr">
        <is>
          <t>A 4155-2026</t>
        </is>
      </c>
      <c r="B603" s="1" t="n">
        <v>46044.6533449074</v>
      </c>
      <c r="C603" s="1" t="n">
        <v>46089</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46152-2023</t>
        </is>
      </c>
      <c r="B604" s="1" t="n">
        <v>45196.58278935185</v>
      </c>
      <c r="C604" s="1" t="n">
        <v>46089</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28832-2023</t>
        </is>
      </c>
      <c r="B605" s="1" t="n">
        <v>45104.40493055555</v>
      </c>
      <c r="C605" s="1" t="n">
        <v>46089</v>
      </c>
      <c r="D605" t="inlineStr">
        <is>
          <t>DALARNAS LÄN</t>
        </is>
      </c>
      <c r="E605" t="inlineStr">
        <is>
          <t>MORA</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5836-2026</t>
        </is>
      </c>
      <c r="B606" s="1" t="n">
        <v>46052.33809027778</v>
      </c>
      <c r="C606" s="1" t="n">
        <v>46089</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26546-2025</t>
        </is>
      </c>
      <c r="B607" s="1" t="n">
        <v>45807</v>
      </c>
      <c r="C607" s="1" t="n">
        <v>46089</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26573-2025</t>
        </is>
      </c>
      <c r="B608" s="1" t="n">
        <v>45807</v>
      </c>
      <c r="C608" s="1" t="n">
        <v>46089</v>
      </c>
      <c r="D608" t="inlineStr">
        <is>
          <t>DALARNAS LÄN</t>
        </is>
      </c>
      <c r="E608" t="inlineStr">
        <is>
          <t>MORA</t>
        </is>
      </c>
      <c r="G608" t="n">
        <v>4.3</v>
      </c>
      <c r="H608" t="n">
        <v>0</v>
      </c>
      <c r="I608" t="n">
        <v>0</v>
      </c>
      <c r="J608" t="n">
        <v>0</v>
      </c>
      <c r="K608" t="n">
        <v>0</v>
      </c>
      <c r="L608" t="n">
        <v>0</v>
      </c>
      <c r="M608" t="n">
        <v>0</v>
      </c>
      <c r="N608" t="n">
        <v>0</v>
      </c>
      <c r="O608" t="n">
        <v>0</v>
      </c>
      <c r="P608" t="n">
        <v>0</v>
      </c>
      <c r="Q608" t="n">
        <v>0</v>
      </c>
      <c r="R608" s="2" t="inlineStr"/>
    </row>
    <row r="609" ht="15" customHeight="1">
      <c r="A609" t="inlineStr">
        <is>
          <t>A 26577-2025</t>
        </is>
      </c>
      <c r="B609" s="1" t="n">
        <v>45807</v>
      </c>
      <c r="C609" s="1" t="n">
        <v>46089</v>
      </c>
      <c r="D609" t="inlineStr">
        <is>
          <t>DALARNAS LÄN</t>
        </is>
      </c>
      <c r="E609" t="inlineStr">
        <is>
          <t>MORA</t>
        </is>
      </c>
      <c r="G609" t="n">
        <v>2.8</v>
      </c>
      <c r="H609" t="n">
        <v>0</v>
      </c>
      <c r="I609" t="n">
        <v>0</v>
      </c>
      <c r="J609" t="n">
        <v>0</v>
      </c>
      <c r="K609" t="n">
        <v>0</v>
      </c>
      <c r="L609" t="n">
        <v>0</v>
      </c>
      <c r="M609" t="n">
        <v>0</v>
      </c>
      <c r="N609" t="n">
        <v>0</v>
      </c>
      <c r="O609" t="n">
        <v>0</v>
      </c>
      <c r="P609" t="n">
        <v>0</v>
      </c>
      <c r="Q609" t="n">
        <v>0</v>
      </c>
      <c r="R609" s="2" t="inlineStr"/>
    </row>
    <row r="610" ht="15" customHeight="1">
      <c r="A610" t="inlineStr">
        <is>
          <t>A 26545-2025</t>
        </is>
      </c>
      <c r="B610" s="1" t="n">
        <v>45807</v>
      </c>
      <c r="C610" s="1" t="n">
        <v>46089</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63434-2025</t>
        </is>
      </c>
      <c r="B611" s="1" t="n">
        <v>46013.36556712963</v>
      </c>
      <c r="C611" s="1" t="n">
        <v>46089</v>
      </c>
      <c r="D611" t="inlineStr">
        <is>
          <t>DALARNAS LÄN</t>
        </is>
      </c>
      <c r="E611" t="inlineStr">
        <is>
          <t>MORA</t>
        </is>
      </c>
      <c r="F611" t="inlineStr">
        <is>
          <t>Allmännings- och besparingsskogar</t>
        </is>
      </c>
      <c r="G611" t="n">
        <v>3.6</v>
      </c>
      <c r="H611" t="n">
        <v>0</v>
      </c>
      <c r="I611" t="n">
        <v>0</v>
      </c>
      <c r="J611" t="n">
        <v>0</v>
      </c>
      <c r="K611" t="n">
        <v>0</v>
      </c>
      <c r="L611" t="n">
        <v>0</v>
      </c>
      <c r="M611" t="n">
        <v>0</v>
      </c>
      <c r="N611" t="n">
        <v>0</v>
      </c>
      <c r="O611" t="n">
        <v>0</v>
      </c>
      <c r="P611" t="n">
        <v>0</v>
      </c>
      <c r="Q611" t="n">
        <v>0</v>
      </c>
      <c r="R611" s="2" t="inlineStr"/>
    </row>
    <row r="612" ht="15" customHeight="1">
      <c r="A612" t="inlineStr">
        <is>
          <t>A 8075-2026</t>
        </is>
      </c>
      <c r="B612" s="1" t="n">
        <v>46063</v>
      </c>
      <c r="C612" s="1" t="n">
        <v>46089</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6182-2026</t>
        </is>
      </c>
      <c r="B613" s="1" t="n">
        <v>46055.36231481482</v>
      </c>
      <c r="C613" s="1" t="n">
        <v>46089</v>
      </c>
      <c r="D613" t="inlineStr">
        <is>
          <t>DALARNAS LÄN</t>
        </is>
      </c>
      <c r="E613" t="inlineStr">
        <is>
          <t>MORA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5959-2026</t>
        </is>
      </c>
      <c r="B614" s="1" t="n">
        <v>46052.50533564815</v>
      </c>
      <c r="C614" s="1" t="n">
        <v>46089</v>
      </c>
      <c r="D614" t="inlineStr">
        <is>
          <t>DALARNAS LÄN</t>
        </is>
      </c>
      <c r="E614" t="inlineStr">
        <is>
          <t>MORA</t>
        </is>
      </c>
      <c r="G614" t="n">
        <v>9.5</v>
      </c>
      <c r="H614" t="n">
        <v>0</v>
      </c>
      <c r="I614" t="n">
        <v>0</v>
      </c>
      <c r="J614" t="n">
        <v>0</v>
      </c>
      <c r="K614" t="n">
        <v>0</v>
      </c>
      <c r="L614" t="n">
        <v>0</v>
      </c>
      <c r="M614" t="n">
        <v>0</v>
      </c>
      <c r="N614" t="n">
        <v>0</v>
      </c>
      <c r="O614" t="n">
        <v>0</v>
      </c>
      <c r="P614" t="n">
        <v>0</v>
      </c>
      <c r="Q614" t="n">
        <v>0</v>
      </c>
      <c r="R614" s="2" t="inlineStr"/>
    </row>
    <row r="615" ht="15" customHeight="1">
      <c r="A615" t="inlineStr">
        <is>
          <t>A 63431-2025</t>
        </is>
      </c>
      <c r="B615" s="1" t="n">
        <v>46013.36268518519</v>
      </c>
      <c r="C615" s="1" t="n">
        <v>46089</v>
      </c>
      <c r="D615" t="inlineStr">
        <is>
          <t>DALARNAS LÄN</t>
        </is>
      </c>
      <c r="E615" t="inlineStr">
        <is>
          <t>MORA</t>
        </is>
      </c>
      <c r="F615" t="inlineStr">
        <is>
          <t>Allmännings- och besparingsskogar</t>
        </is>
      </c>
      <c r="G615" t="n">
        <v>5.7</v>
      </c>
      <c r="H615" t="n">
        <v>0</v>
      </c>
      <c r="I615" t="n">
        <v>0</v>
      </c>
      <c r="J615" t="n">
        <v>0</v>
      </c>
      <c r="K615" t="n">
        <v>0</v>
      </c>
      <c r="L615" t="n">
        <v>0</v>
      </c>
      <c r="M615" t="n">
        <v>0</v>
      </c>
      <c r="N615" t="n">
        <v>0</v>
      </c>
      <c r="O615" t="n">
        <v>0</v>
      </c>
      <c r="P615" t="n">
        <v>0</v>
      </c>
      <c r="Q615" t="n">
        <v>0</v>
      </c>
      <c r="R615" s="2" t="inlineStr"/>
    </row>
    <row r="616" ht="15" customHeight="1">
      <c r="A616" t="inlineStr">
        <is>
          <t>A 63457-2025</t>
        </is>
      </c>
      <c r="B616" s="1" t="n">
        <v>46013.42269675926</v>
      </c>
      <c r="C616" s="1" t="n">
        <v>46089</v>
      </c>
      <c r="D616" t="inlineStr">
        <is>
          <t>DALARNAS LÄN</t>
        </is>
      </c>
      <c r="E616" t="inlineStr">
        <is>
          <t>MORA</t>
        </is>
      </c>
      <c r="F616" t="inlineStr">
        <is>
          <t>Allmännings- och besparingsskogar</t>
        </is>
      </c>
      <c r="G616" t="n">
        <v>34.4</v>
      </c>
      <c r="H616" t="n">
        <v>0</v>
      </c>
      <c r="I616" t="n">
        <v>0</v>
      </c>
      <c r="J616" t="n">
        <v>0</v>
      </c>
      <c r="K616" t="n">
        <v>0</v>
      </c>
      <c r="L616" t="n">
        <v>0</v>
      </c>
      <c r="M616" t="n">
        <v>0</v>
      </c>
      <c r="N616" t="n">
        <v>0</v>
      </c>
      <c r="O616" t="n">
        <v>0</v>
      </c>
      <c r="P616" t="n">
        <v>0</v>
      </c>
      <c r="Q616" t="n">
        <v>0</v>
      </c>
      <c r="R616" s="2" t="inlineStr"/>
    </row>
    <row r="617" ht="15" customHeight="1">
      <c r="A617" t="inlineStr">
        <is>
          <t>A 48824-2023</t>
        </is>
      </c>
      <c r="B617" s="1" t="n">
        <v>45203</v>
      </c>
      <c r="C617" s="1" t="n">
        <v>46089</v>
      </c>
      <c r="D617" t="inlineStr">
        <is>
          <t>DALARNAS LÄN</t>
        </is>
      </c>
      <c r="E617" t="inlineStr">
        <is>
          <t>MORA</t>
        </is>
      </c>
      <c r="G617" t="n">
        <v>3.3</v>
      </c>
      <c r="H617" t="n">
        <v>0</v>
      </c>
      <c r="I617" t="n">
        <v>0</v>
      </c>
      <c r="J617" t="n">
        <v>0</v>
      </c>
      <c r="K617" t="n">
        <v>0</v>
      </c>
      <c r="L617" t="n">
        <v>0</v>
      </c>
      <c r="M617" t="n">
        <v>0</v>
      </c>
      <c r="N617" t="n">
        <v>0</v>
      </c>
      <c r="O617" t="n">
        <v>0</v>
      </c>
      <c r="P617" t="n">
        <v>0</v>
      </c>
      <c r="Q617" t="n">
        <v>0</v>
      </c>
      <c r="R617" s="2" t="inlineStr"/>
    </row>
    <row r="618" ht="15" customHeight="1">
      <c r="A618" t="inlineStr">
        <is>
          <t>A 6947-2026</t>
        </is>
      </c>
      <c r="B618" s="1" t="n">
        <v>46057.56855324074</v>
      </c>
      <c r="C618" s="1" t="n">
        <v>46089</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6802-2026</t>
        </is>
      </c>
      <c r="B619" s="1" t="n">
        <v>46057.35288194445</v>
      </c>
      <c r="C619" s="1" t="n">
        <v>46089</v>
      </c>
      <c r="D619" t="inlineStr">
        <is>
          <t>DALARNAS LÄN</t>
        </is>
      </c>
      <c r="E619" t="inlineStr">
        <is>
          <t>MORA</t>
        </is>
      </c>
      <c r="G619" t="n">
        <v>5.8</v>
      </c>
      <c r="H619" t="n">
        <v>0</v>
      </c>
      <c r="I619" t="n">
        <v>0</v>
      </c>
      <c r="J619" t="n">
        <v>0</v>
      </c>
      <c r="K619" t="n">
        <v>0</v>
      </c>
      <c r="L619" t="n">
        <v>0</v>
      </c>
      <c r="M619" t="n">
        <v>0</v>
      </c>
      <c r="N619" t="n">
        <v>0</v>
      </c>
      <c r="O619" t="n">
        <v>0</v>
      </c>
      <c r="P619" t="n">
        <v>0</v>
      </c>
      <c r="Q619" t="n">
        <v>0</v>
      </c>
      <c r="R619" s="2" t="inlineStr"/>
    </row>
    <row r="620" ht="15" customHeight="1">
      <c r="A620" t="inlineStr">
        <is>
          <t>A 6967-2026</t>
        </is>
      </c>
      <c r="B620" s="1" t="n">
        <v>46057.58777777778</v>
      </c>
      <c r="C620" s="1" t="n">
        <v>46089</v>
      </c>
      <c r="D620" t="inlineStr">
        <is>
          <t>DALARNAS LÄN</t>
        </is>
      </c>
      <c r="E620" t="inlineStr">
        <is>
          <t>MORA</t>
        </is>
      </c>
      <c r="G620" t="n">
        <v>5</v>
      </c>
      <c r="H620" t="n">
        <v>0</v>
      </c>
      <c r="I620" t="n">
        <v>0</v>
      </c>
      <c r="J620" t="n">
        <v>0</v>
      </c>
      <c r="K620" t="n">
        <v>0</v>
      </c>
      <c r="L620" t="n">
        <v>0</v>
      </c>
      <c r="M620" t="n">
        <v>0</v>
      </c>
      <c r="N620" t="n">
        <v>0</v>
      </c>
      <c r="O620" t="n">
        <v>0</v>
      </c>
      <c r="P620" t="n">
        <v>0</v>
      </c>
      <c r="Q620" t="n">
        <v>0</v>
      </c>
      <c r="R620" s="2" t="inlineStr"/>
    </row>
    <row r="621" ht="15" customHeight="1">
      <c r="A621" t="inlineStr">
        <is>
          <t>A 52599-2025</t>
        </is>
      </c>
      <c r="B621" s="1" t="n">
        <v>45954.65564814815</v>
      </c>
      <c r="C621" s="1" t="n">
        <v>46089</v>
      </c>
      <c r="D621" t="inlineStr">
        <is>
          <t>DALARNAS LÄN</t>
        </is>
      </c>
      <c r="E621" t="inlineStr">
        <is>
          <t>MORA</t>
        </is>
      </c>
      <c r="G621" t="n">
        <v>10.8</v>
      </c>
      <c r="H621" t="n">
        <v>0</v>
      </c>
      <c r="I621" t="n">
        <v>0</v>
      </c>
      <c r="J621" t="n">
        <v>0</v>
      </c>
      <c r="K621" t="n">
        <v>0</v>
      </c>
      <c r="L621" t="n">
        <v>0</v>
      </c>
      <c r="M621" t="n">
        <v>0</v>
      </c>
      <c r="N621" t="n">
        <v>0</v>
      </c>
      <c r="O621" t="n">
        <v>0</v>
      </c>
      <c r="P621" t="n">
        <v>0</v>
      </c>
      <c r="Q621" t="n">
        <v>0</v>
      </c>
      <c r="R621" s="2" t="inlineStr"/>
    </row>
    <row r="622" ht="15" customHeight="1">
      <c r="A622" t="inlineStr">
        <is>
          <t>A 63596-2025</t>
        </is>
      </c>
      <c r="B622" s="1" t="n">
        <v>46013.96362268519</v>
      </c>
      <c r="C622" s="1" t="n">
        <v>46089</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9733-2026</t>
        </is>
      </c>
      <c r="B623" s="1" t="n">
        <v>46072</v>
      </c>
      <c r="C623" s="1" t="n">
        <v>46089</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63692-2025</t>
        </is>
      </c>
      <c r="B624" s="1" t="n">
        <v>46014.54496527778</v>
      </c>
      <c r="C624" s="1" t="n">
        <v>46089</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6892-2026</t>
        </is>
      </c>
      <c r="B625" s="1" t="n">
        <v>46057.47490740741</v>
      </c>
      <c r="C625" s="1" t="n">
        <v>46089</v>
      </c>
      <c r="D625" t="inlineStr">
        <is>
          <t>DALARNAS LÄN</t>
        </is>
      </c>
      <c r="E625" t="inlineStr">
        <is>
          <t>MORA</t>
        </is>
      </c>
      <c r="G625" t="n">
        <v>9</v>
      </c>
      <c r="H625" t="n">
        <v>0</v>
      </c>
      <c r="I625" t="n">
        <v>0</v>
      </c>
      <c r="J625" t="n">
        <v>0</v>
      </c>
      <c r="K625" t="n">
        <v>0</v>
      </c>
      <c r="L625" t="n">
        <v>0</v>
      </c>
      <c r="M625" t="n">
        <v>0</v>
      </c>
      <c r="N625" t="n">
        <v>0</v>
      </c>
      <c r="O625" t="n">
        <v>0</v>
      </c>
      <c r="P625" t="n">
        <v>0</v>
      </c>
      <c r="Q625" t="n">
        <v>0</v>
      </c>
      <c r="R625" s="2" t="inlineStr"/>
    </row>
    <row r="626" ht="15" customHeight="1">
      <c r="A626" t="inlineStr">
        <is>
          <t>A 8343-2025</t>
        </is>
      </c>
      <c r="B626" s="1" t="n">
        <v>45708.67253472222</v>
      </c>
      <c r="C626" s="1" t="n">
        <v>46089</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6690-2026</t>
        </is>
      </c>
      <c r="B627" s="1" t="n">
        <v>46056.6352662037</v>
      </c>
      <c r="C627" s="1" t="n">
        <v>46089</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17163-2025</t>
        </is>
      </c>
      <c r="B628" s="1" t="n">
        <v>45756.35998842592</v>
      </c>
      <c r="C628" s="1" t="n">
        <v>46089</v>
      </c>
      <c r="D628" t="inlineStr">
        <is>
          <t>DALARNAS LÄN</t>
        </is>
      </c>
      <c r="E628" t="inlineStr">
        <is>
          <t>MORA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34272-2024</t>
        </is>
      </c>
      <c r="B629" s="1" t="n">
        <v>45524.61752314815</v>
      </c>
      <c r="C629" s="1" t="n">
        <v>46089</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6619-2026</t>
        </is>
      </c>
      <c r="B630" s="1" t="n">
        <v>46056.49622685185</v>
      </c>
      <c r="C630" s="1" t="n">
        <v>46089</v>
      </c>
      <c r="D630" t="inlineStr">
        <is>
          <t>DALARNAS LÄN</t>
        </is>
      </c>
      <c r="E630" t="inlineStr">
        <is>
          <t>MORA</t>
        </is>
      </c>
      <c r="G630" t="n">
        <v>0.9</v>
      </c>
      <c r="H630" t="n">
        <v>0</v>
      </c>
      <c r="I630" t="n">
        <v>0</v>
      </c>
      <c r="J630" t="n">
        <v>0</v>
      </c>
      <c r="K630" t="n">
        <v>0</v>
      </c>
      <c r="L630" t="n">
        <v>0</v>
      </c>
      <c r="M630" t="n">
        <v>0</v>
      </c>
      <c r="N630" t="n">
        <v>0</v>
      </c>
      <c r="O630" t="n">
        <v>0</v>
      </c>
      <c r="P630" t="n">
        <v>0</v>
      </c>
      <c r="Q630" t="n">
        <v>0</v>
      </c>
      <c r="R630" s="2" t="inlineStr"/>
    </row>
    <row r="631" ht="15" customHeight="1">
      <c r="A631" t="inlineStr">
        <is>
          <t>A 6674-2026</t>
        </is>
      </c>
      <c r="B631" s="1" t="n">
        <v>46056.60297453704</v>
      </c>
      <c r="C631" s="1" t="n">
        <v>46089</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6719-2026</t>
        </is>
      </c>
      <c r="B632" s="1" t="n">
        <v>46056.66945601852</v>
      </c>
      <c r="C632" s="1" t="n">
        <v>46089</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63689-2025</t>
        </is>
      </c>
      <c r="B633" s="1" t="n">
        <v>46014.539375</v>
      </c>
      <c r="C633" s="1" t="n">
        <v>46089</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6923-2026</t>
        </is>
      </c>
      <c r="B634" s="1" t="n">
        <v>46057.53868055555</v>
      </c>
      <c r="C634" s="1" t="n">
        <v>46089</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9740-2026</t>
        </is>
      </c>
      <c r="B635" s="1" t="n">
        <v>46072</v>
      </c>
      <c r="C635" s="1" t="n">
        <v>46089</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36579-2022</t>
        </is>
      </c>
      <c r="B636" s="1" t="n">
        <v>44804.61636574074</v>
      </c>
      <c r="C636" s="1" t="n">
        <v>46089</v>
      </c>
      <c r="D636" t="inlineStr">
        <is>
          <t>DALARNAS LÄN</t>
        </is>
      </c>
      <c r="E636" t="inlineStr">
        <is>
          <t>MORA</t>
        </is>
      </c>
      <c r="G636" t="n">
        <v>2.3</v>
      </c>
      <c r="H636" t="n">
        <v>0</v>
      </c>
      <c r="I636" t="n">
        <v>0</v>
      </c>
      <c r="J636" t="n">
        <v>0</v>
      </c>
      <c r="K636" t="n">
        <v>0</v>
      </c>
      <c r="L636" t="n">
        <v>0</v>
      </c>
      <c r="M636" t="n">
        <v>0</v>
      </c>
      <c r="N636" t="n">
        <v>0</v>
      </c>
      <c r="O636" t="n">
        <v>0</v>
      </c>
      <c r="P636" t="n">
        <v>0</v>
      </c>
      <c r="Q636" t="n">
        <v>0</v>
      </c>
      <c r="R636" s="2" t="inlineStr"/>
    </row>
    <row r="637" ht="15" customHeight="1">
      <c r="A637" t="inlineStr">
        <is>
          <t>A 30030-2021</t>
        </is>
      </c>
      <c r="B637" s="1" t="n">
        <v>44363</v>
      </c>
      <c r="C637" s="1" t="n">
        <v>46089</v>
      </c>
      <c r="D637" t="inlineStr">
        <is>
          <t>DALARNAS LÄN</t>
        </is>
      </c>
      <c r="E637" t="inlineStr">
        <is>
          <t>MORA</t>
        </is>
      </c>
      <c r="G637" t="n">
        <v>7.1</v>
      </c>
      <c r="H637" t="n">
        <v>0</v>
      </c>
      <c r="I637" t="n">
        <v>0</v>
      </c>
      <c r="J637" t="n">
        <v>0</v>
      </c>
      <c r="K637" t="n">
        <v>0</v>
      </c>
      <c r="L637" t="n">
        <v>0</v>
      </c>
      <c r="M637" t="n">
        <v>0</v>
      </c>
      <c r="N637" t="n">
        <v>0</v>
      </c>
      <c r="O637" t="n">
        <v>0</v>
      </c>
      <c r="P637" t="n">
        <v>0</v>
      </c>
      <c r="Q637" t="n">
        <v>0</v>
      </c>
      <c r="R637" s="2" t="inlineStr"/>
    </row>
    <row r="638" ht="15" customHeight="1">
      <c r="A638" t="inlineStr">
        <is>
          <t>A 4213-2026</t>
        </is>
      </c>
      <c r="B638" s="1" t="n">
        <v>46044.741875</v>
      </c>
      <c r="C638" s="1" t="n">
        <v>46089</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33531-2024</t>
        </is>
      </c>
      <c r="B639" s="1" t="n">
        <v>45519.67503472222</v>
      </c>
      <c r="C639" s="1" t="n">
        <v>46089</v>
      </c>
      <c r="D639" t="inlineStr">
        <is>
          <t>DALARNAS LÄN</t>
        </is>
      </c>
      <c r="E639" t="inlineStr">
        <is>
          <t>MORA</t>
        </is>
      </c>
      <c r="G639" t="n">
        <v>14.8</v>
      </c>
      <c r="H639" t="n">
        <v>0</v>
      </c>
      <c r="I639" t="n">
        <v>0</v>
      </c>
      <c r="J639" t="n">
        <v>0</v>
      </c>
      <c r="K639" t="n">
        <v>0</v>
      </c>
      <c r="L639" t="n">
        <v>0</v>
      </c>
      <c r="M639" t="n">
        <v>0</v>
      </c>
      <c r="N639" t="n">
        <v>0</v>
      </c>
      <c r="O639" t="n">
        <v>0</v>
      </c>
      <c r="P639" t="n">
        <v>0</v>
      </c>
      <c r="Q639" t="n">
        <v>0</v>
      </c>
      <c r="R639" s="2" t="inlineStr"/>
    </row>
    <row r="640" ht="15" customHeight="1">
      <c r="A640" t="inlineStr">
        <is>
          <t>A 51780-2023</t>
        </is>
      </c>
      <c r="B640" s="1" t="n">
        <v>45222</v>
      </c>
      <c r="C640" s="1" t="n">
        <v>46089</v>
      </c>
      <c r="D640" t="inlineStr">
        <is>
          <t>DALARNAS LÄN</t>
        </is>
      </c>
      <c r="E640" t="inlineStr">
        <is>
          <t>MORA</t>
        </is>
      </c>
      <c r="G640" t="n">
        <v>9.9</v>
      </c>
      <c r="H640" t="n">
        <v>0</v>
      </c>
      <c r="I640" t="n">
        <v>0</v>
      </c>
      <c r="J640" t="n">
        <v>0</v>
      </c>
      <c r="K640" t="n">
        <v>0</v>
      </c>
      <c r="L640" t="n">
        <v>0</v>
      </c>
      <c r="M640" t="n">
        <v>0</v>
      </c>
      <c r="N640" t="n">
        <v>0</v>
      </c>
      <c r="O640" t="n">
        <v>0</v>
      </c>
      <c r="P640" t="n">
        <v>0</v>
      </c>
      <c r="Q640" t="n">
        <v>0</v>
      </c>
      <c r="R640" s="2" t="inlineStr"/>
    </row>
    <row r="641" ht="15" customHeight="1">
      <c r="A641" t="inlineStr">
        <is>
          <t>A 15818-2024</t>
        </is>
      </c>
      <c r="B641" s="1" t="n">
        <v>45404.67442129629</v>
      </c>
      <c r="C641" s="1" t="n">
        <v>46089</v>
      </c>
      <c r="D641" t="inlineStr">
        <is>
          <t>DALARNAS LÄN</t>
        </is>
      </c>
      <c r="E641" t="inlineStr">
        <is>
          <t>MORA</t>
        </is>
      </c>
      <c r="G641" t="n">
        <v>7</v>
      </c>
      <c r="H641" t="n">
        <v>0</v>
      </c>
      <c r="I641" t="n">
        <v>0</v>
      </c>
      <c r="J641" t="n">
        <v>0</v>
      </c>
      <c r="K641" t="n">
        <v>0</v>
      </c>
      <c r="L641" t="n">
        <v>0</v>
      </c>
      <c r="M641" t="n">
        <v>0</v>
      </c>
      <c r="N641" t="n">
        <v>0</v>
      </c>
      <c r="O641" t="n">
        <v>0</v>
      </c>
      <c r="P641" t="n">
        <v>0</v>
      </c>
      <c r="Q641" t="n">
        <v>0</v>
      </c>
      <c r="R641" s="2" t="inlineStr"/>
    </row>
    <row r="642" ht="15" customHeight="1">
      <c r="A642" t="inlineStr">
        <is>
          <t>A 33513-2024</t>
        </is>
      </c>
      <c r="B642" s="1" t="n">
        <v>45519.644375</v>
      </c>
      <c r="C642" s="1" t="n">
        <v>46089</v>
      </c>
      <c r="D642" t="inlineStr">
        <is>
          <t>DALARNAS LÄN</t>
        </is>
      </c>
      <c r="E642" t="inlineStr">
        <is>
          <t>MORA</t>
        </is>
      </c>
      <c r="G642" t="n">
        <v>5.9</v>
      </c>
      <c r="H642" t="n">
        <v>0</v>
      </c>
      <c r="I642" t="n">
        <v>0</v>
      </c>
      <c r="J642" t="n">
        <v>0</v>
      </c>
      <c r="K642" t="n">
        <v>0</v>
      </c>
      <c r="L642" t="n">
        <v>0</v>
      </c>
      <c r="M642" t="n">
        <v>0</v>
      </c>
      <c r="N642" t="n">
        <v>0</v>
      </c>
      <c r="O642" t="n">
        <v>0</v>
      </c>
      <c r="P642" t="n">
        <v>0</v>
      </c>
      <c r="Q642" t="n">
        <v>0</v>
      </c>
      <c r="R642" s="2" t="inlineStr"/>
    </row>
    <row r="643" ht="15" customHeight="1">
      <c r="A643" t="inlineStr">
        <is>
          <t>A 35040-2023</t>
        </is>
      </c>
      <c r="B643" s="1" t="n">
        <v>45145.36853009259</v>
      </c>
      <c r="C643" s="1" t="n">
        <v>46089</v>
      </c>
      <c r="D643" t="inlineStr">
        <is>
          <t>DALARNAS LÄN</t>
        </is>
      </c>
      <c r="E643" t="inlineStr">
        <is>
          <t>MORA</t>
        </is>
      </c>
      <c r="G643" t="n">
        <v>2.1</v>
      </c>
      <c r="H643" t="n">
        <v>0</v>
      </c>
      <c r="I643" t="n">
        <v>0</v>
      </c>
      <c r="J643" t="n">
        <v>0</v>
      </c>
      <c r="K643" t="n">
        <v>0</v>
      </c>
      <c r="L643" t="n">
        <v>0</v>
      </c>
      <c r="M643" t="n">
        <v>0</v>
      </c>
      <c r="N643" t="n">
        <v>0</v>
      </c>
      <c r="O643" t="n">
        <v>0</v>
      </c>
      <c r="P643" t="n">
        <v>0</v>
      </c>
      <c r="Q643" t="n">
        <v>0</v>
      </c>
      <c r="R643" s="2" t="inlineStr"/>
    </row>
    <row r="644" ht="15" customHeight="1">
      <c r="A644" t="inlineStr">
        <is>
          <t>A 44595-2024</t>
        </is>
      </c>
      <c r="B644" s="1" t="n">
        <v>45574.51053240741</v>
      </c>
      <c r="C644" s="1" t="n">
        <v>46089</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61293-2022</t>
        </is>
      </c>
      <c r="B645" s="1" t="n">
        <v>44915.62751157407</v>
      </c>
      <c r="C645" s="1" t="n">
        <v>46089</v>
      </c>
      <c r="D645" t="inlineStr">
        <is>
          <t>DALARNAS LÄN</t>
        </is>
      </c>
      <c r="E645" t="inlineStr">
        <is>
          <t>MORA</t>
        </is>
      </c>
      <c r="G645" t="n">
        <v>0.3</v>
      </c>
      <c r="H645" t="n">
        <v>0</v>
      </c>
      <c r="I645" t="n">
        <v>0</v>
      </c>
      <c r="J645" t="n">
        <v>0</v>
      </c>
      <c r="K645" t="n">
        <v>0</v>
      </c>
      <c r="L645" t="n">
        <v>0</v>
      </c>
      <c r="M645" t="n">
        <v>0</v>
      </c>
      <c r="N645" t="n">
        <v>0</v>
      </c>
      <c r="O645" t="n">
        <v>0</v>
      </c>
      <c r="P645" t="n">
        <v>0</v>
      </c>
      <c r="Q645" t="n">
        <v>0</v>
      </c>
      <c r="R645" s="2" t="inlineStr"/>
    </row>
    <row r="646" ht="15" customHeight="1">
      <c r="A646" t="inlineStr">
        <is>
          <t>A 46412-2024</t>
        </is>
      </c>
      <c r="B646" s="1" t="n">
        <v>45582.44894675926</v>
      </c>
      <c r="C646" s="1" t="n">
        <v>46089</v>
      </c>
      <c r="D646" t="inlineStr">
        <is>
          <t>DALARNAS LÄN</t>
        </is>
      </c>
      <c r="E646" t="inlineStr">
        <is>
          <t>MORA</t>
        </is>
      </c>
      <c r="G646" t="n">
        <v>4.1</v>
      </c>
      <c r="H646" t="n">
        <v>0</v>
      </c>
      <c r="I646" t="n">
        <v>0</v>
      </c>
      <c r="J646" t="n">
        <v>0</v>
      </c>
      <c r="K646" t="n">
        <v>0</v>
      </c>
      <c r="L646" t="n">
        <v>0</v>
      </c>
      <c r="M646" t="n">
        <v>0</v>
      </c>
      <c r="N646" t="n">
        <v>0</v>
      </c>
      <c r="O646" t="n">
        <v>0</v>
      </c>
      <c r="P646" t="n">
        <v>0</v>
      </c>
      <c r="Q646" t="n">
        <v>0</v>
      </c>
      <c r="R646" s="2" t="inlineStr"/>
    </row>
    <row r="647" ht="15" customHeight="1">
      <c r="A647" t="inlineStr">
        <is>
          <t>A 57091-2021</t>
        </is>
      </c>
      <c r="B647" s="1" t="n">
        <v>44482</v>
      </c>
      <c r="C647" s="1" t="n">
        <v>46089</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50685-2023</t>
        </is>
      </c>
      <c r="B648" s="1" t="n">
        <v>45210</v>
      </c>
      <c r="C648" s="1" t="n">
        <v>46089</v>
      </c>
      <c r="D648" t="inlineStr">
        <is>
          <t>DALARNAS LÄN</t>
        </is>
      </c>
      <c r="E648" t="inlineStr">
        <is>
          <t>MORA</t>
        </is>
      </c>
      <c r="G648" t="n">
        <v>1.7</v>
      </c>
      <c r="H648" t="n">
        <v>0</v>
      </c>
      <c r="I648" t="n">
        <v>0</v>
      </c>
      <c r="J648" t="n">
        <v>0</v>
      </c>
      <c r="K648" t="n">
        <v>0</v>
      </c>
      <c r="L648" t="n">
        <v>0</v>
      </c>
      <c r="M648" t="n">
        <v>0</v>
      </c>
      <c r="N648" t="n">
        <v>0</v>
      </c>
      <c r="O648" t="n">
        <v>0</v>
      </c>
      <c r="P648" t="n">
        <v>0</v>
      </c>
      <c r="Q648" t="n">
        <v>0</v>
      </c>
      <c r="R648" s="2" t="inlineStr"/>
    </row>
    <row r="649" ht="15" customHeight="1">
      <c r="A649" t="inlineStr">
        <is>
          <t>A 36740-2023</t>
        </is>
      </c>
      <c r="B649" s="1" t="n">
        <v>45153</v>
      </c>
      <c r="C649" s="1" t="n">
        <v>46089</v>
      </c>
      <c r="D649" t="inlineStr">
        <is>
          <t>DALARNAS LÄN</t>
        </is>
      </c>
      <c r="E649" t="inlineStr">
        <is>
          <t>MORA</t>
        </is>
      </c>
      <c r="G649" t="n">
        <v>0.2</v>
      </c>
      <c r="H649" t="n">
        <v>0</v>
      </c>
      <c r="I649" t="n">
        <v>0</v>
      </c>
      <c r="J649" t="n">
        <v>0</v>
      </c>
      <c r="K649" t="n">
        <v>0</v>
      </c>
      <c r="L649" t="n">
        <v>0</v>
      </c>
      <c r="M649" t="n">
        <v>0</v>
      </c>
      <c r="N649" t="n">
        <v>0</v>
      </c>
      <c r="O649" t="n">
        <v>0</v>
      </c>
      <c r="P649" t="n">
        <v>0</v>
      </c>
      <c r="Q649" t="n">
        <v>0</v>
      </c>
      <c r="R649" s="2" t="inlineStr"/>
    </row>
    <row r="650" ht="15" customHeight="1">
      <c r="A650" t="inlineStr">
        <is>
          <t>A 31177-2021</t>
        </is>
      </c>
      <c r="B650" s="1" t="n">
        <v>44368</v>
      </c>
      <c r="C650" s="1" t="n">
        <v>46089</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65186-2021</t>
        </is>
      </c>
      <c r="B651" s="1" t="n">
        <v>44515</v>
      </c>
      <c r="C651" s="1" t="n">
        <v>46089</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row>
    <row r="652" ht="15" customHeight="1">
      <c r="A652" t="inlineStr">
        <is>
          <t>A 58171-2024</t>
        </is>
      </c>
      <c r="B652" s="1" t="n">
        <v>45632.46545138889</v>
      </c>
      <c r="C652" s="1" t="n">
        <v>46089</v>
      </c>
      <c r="D652" t="inlineStr">
        <is>
          <t>DALARNAS LÄN</t>
        </is>
      </c>
      <c r="E652" t="inlineStr">
        <is>
          <t>MORA</t>
        </is>
      </c>
      <c r="G652" t="n">
        <v>0.5</v>
      </c>
      <c r="H652" t="n">
        <v>0</v>
      </c>
      <c r="I652" t="n">
        <v>0</v>
      </c>
      <c r="J652" t="n">
        <v>0</v>
      </c>
      <c r="K652" t="n">
        <v>0</v>
      </c>
      <c r="L652" t="n">
        <v>0</v>
      </c>
      <c r="M652" t="n">
        <v>0</v>
      </c>
      <c r="N652" t="n">
        <v>0</v>
      </c>
      <c r="O652" t="n">
        <v>0</v>
      </c>
      <c r="P652" t="n">
        <v>0</v>
      </c>
      <c r="Q652" t="n">
        <v>0</v>
      </c>
      <c r="R652" s="2" t="inlineStr"/>
    </row>
    <row r="653" ht="15" customHeight="1">
      <c r="A653" t="inlineStr">
        <is>
          <t>A 17167-2025</t>
        </is>
      </c>
      <c r="B653" s="1" t="n">
        <v>45756.36844907407</v>
      </c>
      <c r="C653" s="1" t="n">
        <v>46089</v>
      </c>
      <c r="D653" t="inlineStr">
        <is>
          <t>DALARNAS LÄN</t>
        </is>
      </c>
      <c r="E653" t="inlineStr">
        <is>
          <t>MORA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20504-2023</t>
        </is>
      </c>
      <c r="B654" s="1" t="n">
        <v>45057</v>
      </c>
      <c r="C654" s="1" t="n">
        <v>46089</v>
      </c>
      <c r="D654" t="inlineStr">
        <is>
          <t>DALARNAS LÄN</t>
        </is>
      </c>
      <c r="E654" t="inlineStr">
        <is>
          <t>MORA</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36184-2021</t>
        </is>
      </c>
      <c r="B655" s="1" t="n">
        <v>44389</v>
      </c>
      <c r="C655" s="1" t="n">
        <v>46089</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17529-2023</t>
        </is>
      </c>
      <c r="B656" s="1" t="n">
        <v>45036.46804398148</v>
      </c>
      <c r="C656" s="1" t="n">
        <v>46089</v>
      </c>
      <c r="D656" t="inlineStr">
        <is>
          <t>DALARNAS LÄN</t>
        </is>
      </c>
      <c r="E656" t="inlineStr">
        <is>
          <t>MORA</t>
        </is>
      </c>
      <c r="G656" t="n">
        <v>6</v>
      </c>
      <c r="H656" t="n">
        <v>0</v>
      </c>
      <c r="I656" t="n">
        <v>0</v>
      </c>
      <c r="J656" t="n">
        <v>0</v>
      </c>
      <c r="K656" t="n">
        <v>0</v>
      </c>
      <c r="L656" t="n">
        <v>0</v>
      </c>
      <c r="M656" t="n">
        <v>0</v>
      </c>
      <c r="N656" t="n">
        <v>0</v>
      </c>
      <c r="O656" t="n">
        <v>0</v>
      </c>
      <c r="P656" t="n">
        <v>0</v>
      </c>
      <c r="Q656" t="n">
        <v>0</v>
      </c>
      <c r="R656" s="2" t="inlineStr"/>
    </row>
    <row r="657" ht="15" customHeight="1">
      <c r="A657" t="inlineStr">
        <is>
          <t>A 44201-2023</t>
        </is>
      </c>
      <c r="B657" s="1" t="n">
        <v>45188</v>
      </c>
      <c r="C657" s="1" t="n">
        <v>46089</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16522-2024</t>
        </is>
      </c>
      <c r="B658" s="1" t="n">
        <v>45408.41166666667</v>
      </c>
      <c r="C658" s="1" t="n">
        <v>46089</v>
      </c>
      <c r="D658" t="inlineStr">
        <is>
          <t>DALARNAS LÄN</t>
        </is>
      </c>
      <c r="E658" t="inlineStr">
        <is>
          <t>MORA</t>
        </is>
      </c>
      <c r="G658" t="n">
        <v>11.2</v>
      </c>
      <c r="H658" t="n">
        <v>0</v>
      </c>
      <c r="I658" t="n">
        <v>0</v>
      </c>
      <c r="J658" t="n">
        <v>0</v>
      </c>
      <c r="K658" t="n">
        <v>0</v>
      </c>
      <c r="L658" t="n">
        <v>0</v>
      </c>
      <c r="M658" t="n">
        <v>0</v>
      </c>
      <c r="N658" t="n">
        <v>0</v>
      </c>
      <c r="O658" t="n">
        <v>0</v>
      </c>
      <c r="P658" t="n">
        <v>0</v>
      </c>
      <c r="Q658" t="n">
        <v>0</v>
      </c>
      <c r="R658" s="2" t="inlineStr"/>
    </row>
    <row r="659" ht="15" customHeight="1">
      <c r="A659" t="inlineStr">
        <is>
          <t>A 36038-2024</t>
        </is>
      </c>
      <c r="B659" s="1" t="n">
        <v>45533</v>
      </c>
      <c r="C659" s="1" t="n">
        <v>46089</v>
      </c>
      <c r="D659" t="inlineStr">
        <is>
          <t>DALARNAS LÄN</t>
        </is>
      </c>
      <c r="E659" t="inlineStr">
        <is>
          <t>MORA</t>
        </is>
      </c>
      <c r="G659" t="n">
        <v>5.1</v>
      </c>
      <c r="H659" t="n">
        <v>0</v>
      </c>
      <c r="I659" t="n">
        <v>0</v>
      </c>
      <c r="J659" t="n">
        <v>0</v>
      </c>
      <c r="K659" t="n">
        <v>0</v>
      </c>
      <c r="L659" t="n">
        <v>0</v>
      </c>
      <c r="M659" t="n">
        <v>0</v>
      </c>
      <c r="N659" t="n">
        <v>0</v>
      </c>
      <c r="O659" t="n">
        <v>0</v>
      </c>
      <c r="P659" t="n">
        <v>0</v>
      </c>
      <c r="Q659" t="n">
        <v>0</v>
      </c>
      <c r="R659" s="2" t="inlineStr"/>
    </row>
    <row r="660" ht="15" customHeight="1">
      <c r="A660" t="inlineStr">
        <is>
          <t>A 2865-2022</t>
        </is>
      </c>
      <c r="B660" s="1" t="n">
        <v>44581</v>
      </c>
      <c r="C660" s="1" t="n">
        <v>46089</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56834-2024</t>
        </is>
      </c>
      <c r="B661" s="1" t="n">
        <v>45628.49931712963</v>
      </c>
      <c r="C661" s="1" t="n">
        <v>46089</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46089</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20544-2025</t>
        </is>
      </c>
      <c r="B663" s="1" t="n">
        <v>45775.63119212963</v>
      </c>
      <c r="C663" s="1" t="n">
        <v>46089</v>
      </c>
      <c r="D663" t="inlineStr">
        <is>
          <t>DALARNAS LÄN</t>
        </is>
      </c>
      <c r="E663" t="inlineStr">
        <is>
          <t>MORA</t>
        </is>
      </c>
      <c r="G663" t="n">
        <v>3.6</v>
      </c>
      <c r="H663" t="n">
        <v>0</v>
      </c>
      <c r="I663" t="n">
        <v>0</v>
      </c>
      <c r="J663" t="n">
        <v>0</v>
      </c>
      <c r="K663" t="n">
        <v>0</v>
      </c>
      <c r="L663" t="n">
        <v>0</v>
      </c>
      <c r="M663" t="n">
        <v>0</v>
      </c>
      <c r="N663" t="n">
        <v>0</v>
      </c>
      <c r="O663" t="n">
        <v>0</v>
      </c>
      <c r="P663" t="n">
        <v>0</v>
      </c>
      <c r="Q663" t="n">
        <v>0</v>
      </c>
      <c r="R663" s="2" t="inlineStr"/>
    </row>
    <row r="664" ht="15" customHeight="1">
      <c r="A664" t="inlineStr">
        <is>
          <t>A 51965-2024</t>
        </is>
      </c>
      <c r="B664" s="1" t="n">
        <v>45607.65123842593</v>
      </c>
      <c r="C664" s="1" t="n">
        <v>46089</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20401-2022</t>
        </is>
      </c>
      <c r="B665" s="1" t="n">
        <v>44699</v>
      </c>
      <c r="C665" s="1" t="n">
        <v>46089</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38627-2023</t>
        </is>
      </c>
      <c r="B666" s="1" t="n">
        <v>45162.68787037037</v>
      </c>
      <c r="C666" s="1" t="n">
        <v>46089</v>
      </c>
      <c r="D666" t="inlineStr">
        <is>
          <t>DALARNAS LÄN</t>
        </is>
      </c>
      <c r="E666" t="inlineStr">
        <is>
          <t>MORA</t>
        </is>
      </c>
      <c r="G666" t="n">
        <v>6.5</v>
      </c>
      <c r="H666" t="n">
        <v>0</v>
      </c>
      <c r="I666" t="n">
        <v>0</v>
      </c>
      <c r="J666" t="n">
        <v>0</v>
      </c>
      <c r="K666" t="n">
        <v>0</v>
      </c>
      <c r="L666" t="n">
        <v>0</v>
      </c>
      <c r="M666" t="n">
        <v>0</v>
      </c>
      <c r="N666" t="n">
        <v>0</v>
      </c>
      <c r="O666" t="n">
        <v>0</v>
      </c>
      <c r="P666" t="n">
        <v>0</v>
      </c>
      <c r="Q666" t="n">
        <v>0</v>
      </c>
      <c r="R666" s="2" t="inlineStr"/>
    </row>
    <row r="667" ht="15" customHeight="1">
      <c r="A667" t="inlineStr">
        <is>
          <t>A 64088-2023</t>
        </is>
      </c>
      <c r="B667" s="1" t="n">
        <v>45279.43570601852</v>
      </c>
      <c r="C667" s="1" t="n">
        <v>46089</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2830-2023</t>
        </is>
      </c>
      <c r="B668" s="1" t="n">
        <v>44945.32997685186</v>
      </c>
      <c r="C668" s="1" t="n">
        <v>46089</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39882-2024</t>
        </is>
      </c>
      <c r="B669" s="1" t="n">
        <v>45553</v>
      </c>
      <c r="C669" s="1" t="n">
        <v>46089</v>
      </c>
      <c r="D669" t="inlineStr">
        <is>
          <t>DALARNAS LÄN</t>
        </is>
      </c>
      <c r="E669" t="inlineStr">
        <is>
          <t>MORA</t>
        </is>
      </c>
      <c r="G669" t="n">
        <v>14.6</v>
      </c>
      <c r="H669" t="n">
        <v>0</v>
      </c>
      <c r="I669" t="n">
        <v>0</v>
      </c>
      <c r="J669" t="n">
        <v>0</v>
      </c>
      <c r="K669" t="n">
        <v>0</v>
      </c>
      <c r="L669" t="n">
        <v>0</v>
      </c>
      <c r="M669" t="n">
        <v>0</v>
      </c>
      <c r="N669" t="n">
        <v>0</v>
      </c>
      <c r="O669" t="n">
        <v>0</v>
      </c>
      <c r="P669" t="n">
        <v>0</v>
      </c>
      <c r="Q669" t="n">
        <v>0</v>
      </c>
      <c r="R669" s="2" t="inlineStr"/>
    </row>
    <row r="670" ht="15" customHeight="1">
      <c r="A670" t="inlineStr">
        <is>
          <t>A 43566-2023</t>
        </is>
      </c>
      <c r="B670" s="1" t="n">
        <v>45184.58199074074</v>
      </c>
      <c r="C670" s="1" t="n">
        <v>46089</v>
      </c>
      <c r="D670" t="inlineStr">
        <is>
          <t>DALARNAS LÄN</t>
        </is>
      </c>
      <c r="E670" t="inlineStr">
        <is>
          <t>MORA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46414-2024</t>
        </is>
      </c>
      <c r="B671" s="1" t="n">
        <v>45582.45226851852</v>
      </c>
      <c r="C671" s="1" t="n">
        <v>46089</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46417-2024</t>
        </is>
      </c>
      <c r="B672" s="1" t="n">
        <v>45582.45449074074</v>
      </c>
      <c r="C672" s="1" t="n">
        <v>46089</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5491-2023</t>
        </is>
      </c>
      <c r="B673" s="1" t="n">
        <v>44957</v>
      </c>
      <c r="C673" s="1" t="n">
        <v>46089</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5493-2023</t>
        </is>
      </c>
      <c r="B674" s="1" t="n">
        <v>44957</v>
      </c>
      <c r="C674" s="1" t="n">
        <v>46089</v>
      </c>
      <c r="D674" t="inlineStr">
        <is>
          <t>DALARNAS LÄN</t>
        </is>
      </c>
      <c r="E674" t="inlineStr">
        <is>
          <t>MORA</t>
        </is>
      </c>
      <c r="F674" t="inlineStr">
        <is>
          <t>Allmännings- och besparingsskogar</t>
        </is>
      </c>
      <c r="G674" t="n">
        <v>14.9</v>
      </c>
      <c r="H674" t="n">
        <v>0</v>
      </c>
      <c r="I674" t="n">
        <v>0</v>
      </c>
      <c r="J674" t="n">
        <v>0</v>
      </c>
      <c r="K674" t="n">
        <v>0</v>
      </c>
      <c r="L674" t="n">
        <v>0</v>
      </c>
      <c r="M674" t="n">
        <v>0</v>
      </c>
      <c r="N674" t="n">
        <v>0</v>
      </c>
      <c r="O674" t="n">
        <v>0</v>
      </c>
      <c r="P674" t="n">
        <v>0</v>
      </c>
      <c r="Q674" t="n">
        <v>0</v>
      </c>
      <c r="R674" s="2" t="inlineStr"/>
    </row>
    <row r="675" ht="15" customHeight="1">
      <c r="A675" t="inlineStr">
        <is>
          <t>A 48825-2023</t>
        </is>
      </c>
      <c r="B675" s="1" t="n">
        <v>45203</v>
      </c>
      <c r="C675" s="1" t="n">
        <v>46089</v>
      </c>
      <c r="D675" t="inlineStr">
        <is>
          <t>DALARNAS LÄN</t>
        </is>
      </c>
      <c r="E675" t="inlineStr">
        <is>
          <t>MORA</t>
        </is>
      </c>
      <c r="G675" t="n">
        <v>7.9</v>
      </c>
      <c r="H675" t="n">
        <v>0</v>
      </c>
      <c r="I675" t="n">
        <v>0</v>
      </c>
      <c r="J675" t="n">
        <v>0</v>
      </c>
      <c r="K675" t="n">
        <v>0</v>
      </c>
      <c r="L675" t="n">
        <v>0</v>
      </c>
      <c r="M675" t="n">
        <v>0</v>
      </c>
      <c r="N675" t="n">
        <v>0</v>
      </c>
      <c r="O675" t="n">
        <v>0</v>
      </c>
      <c r="P675" t="n">
        <v>0</v>
      </c>
      <c r="Q675" t="n">
        <v>0</v>
      </c>
      <c r="R675" s="2" t="inlineStr"/>
    </row>
    <row r="676" ht="15" customHeight="1">
      <c r="A676" t="inlineStr">
        <is>
          <t>A 29193-2023</t>
        </is>
      </c>
      <c r="B676" s="1" t="n">
        <v>45105.54791666667</v>
      </c>
      <c r="C676" s="1" t="n">
        <v>46089</v>
      </c>
      <c r="D676" t="inlineStr">
        <is>
          <t>DALARNAS LÄN</t>
        </is>
      </c>
      <c r="E676" t="inlineStr">
        <is>
          <t>MORA</t>
        </is>
      </c>
      <c r="G676" t="n">
        <v>0.4</v>
      </c>
      <c r="H676" t="n">
        <v>0</v>
      </c>
      <c r="I676" t="n">
        <v>0</v>
      </c>
      <c r="J676" t="n">
        <v>0</v>
      </c>
      <c r="K676" t="n">
        <v>0</v>
      </c>
      <c r="L676" t="n">
        <v>0</v>
      </c>
      <c r="M676" t="n">
        <v>0</v>
      </c>
      <c r="N676" t="n">
        <v>0</v>
      </c>
      <c r="O676" t="n">
        <v>0</v>
      </c>
      <c r="P676" t="n">
        <v>0</v>
      </c>
      <c r="Q676" t="n">
        <v>0</v>
      </c>
      <c r="R676" s="2" t="inlineStr"/>
    </row>
    <row r="677" ht="15" customHeight="1">
      <c r="A677" t="inlineStr">
        <is>
          <t>A 18444-2024</t>
        </is>
      </c>
      <c r="B677" s="1" t="n">
        <v>45425.45568287037</v>
      </c>
      <c r="C677" s="1" t="n">
        <v>46089</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47784-2024</t>
        </is>
      </c>
      <c r="B678" s="1" t="n">
        <v>45588.59290509259</v>
      </c>
      <c r="C678" s="1" t="n">
        <v>46089</v>
      </c>
      <c r="D678" t="inlineStr">
        <is>
          <t>DALARNAS LÄN</t>
        </is>
      </c>
      <c r="E678" t="inlineStr">
        <is>
          <t>MORA</t>
        </is>
      </c>
      <c r="G678" t="n">
        <v>15.3</v>
      </c>
      <c r="H678" t="n">
        <v>0</v>
      </c>
      <c r="I678" t="n">
        <v>0</v>
      </c>
      <c r="J678" t="n">
        <v>0</v>
      </c>
      <c r="K678" t="n">
        <v>0</v>
      </c>
      <c r="L678" t="n">
        <v>0</v>
      </c>
      <c r="M678" t="n">
        <v>0</v>
      </c>
      <c r="N678" t="n">
        <v>0</v>
      </c>
      <c r="O678" t="n">
        <v>0</v>
      </c>
      <c r="P678" t="n">
        <v>0</v>
      </c>
      <c r="Q678" t="n">
        <v>0</v>
      </c>
      <c r="R678" s="2" t="inlineStr"/>
    </row>
    <row r="679" ht="15" customHeight="1">
      <c r="A679" t="inlineStr">
        <is>
          <t>A 35551-2023</t>
        </is>
      </c>
      <c r="B679" s="1" t="n">
        <v>45147.3934837963</v>
      </c>
      <c r="C679" s="1" t="n">
        <v>46089</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59174-2023</t>
        </is>
      </c>
      <c r="B680" s="1" t="n">
        <v>45253.43202546296</v>
      </c>
      <c r="C680" s="1" t="n">
        <v>46089</v>
      </c>
      <c r="D680" t="inlineStr">
        <is>
          <t>DALARNAS LÄN</t>
        </is>
      </c>
      <c r="E680" t="inlineStr">
        <is>
          <t>MORA</t>
        </is>
      </c>
      <c r="G680" t="n">
        <v>2.5</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46089</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42085-2024</t>
        </is>
      </c>
      <c r="B682" s="1" t="n">
        <v>45562.33179398148</v>
      </c>
      <c r="C682" s="1" t="n">
        <v>46089</v>
      </c>
      <c r="D682" t="inlineStr">
        <is>
          <t>DALARNAS LÄN</t>
        </is>
      </c>
      <c r="E682" t="inlineStr">
        <is>
          <t>MORA</t>
        </is>
      </c>
      <c r="G682" t="n">
        <v>4.9</v>
      </c>
      <c r="H682" t="n">
        <v>0</v>
      </c>
      <c r="I682" t="n">
        <v>0</v>
      </c>
      <c r="J682" t="n">
        <v>0</v>
      </c>
      <c r="K682" t="n">
        <v>0</v>
      </c>
      <c r="L682" t="n">
        <v>0</v>
      </c>
      <c r="M682" t="n">
        <v>0</v>
      </c>
      <c r="N682" t="n">
        <v>0</v>
      </c>
      <c r="O682" t="n">
        <v>0</v>
      </c>
      <c r="P682" t="n">
        <v>0</v>
      </c>
      <c r="Q682" t="n">
        <v>0</v>
      </c>
      <c r="R682" s="2" t="inlineStr"/>
    </row>
    <row r="683" ht="15" customHeight="1">
      <c r="A683" t="inlineStr">
        <is>
          <t>A 60187-2024</t>
        </is>
      </c>
      <c r="B683" s="1" t="n">
        <v>45642.64803240741</v>
      </c>
      <c r="C683" s="1" t="n">
        <v>46089</v>
      </c>
      <c r="D683" t="inlineStr">
        <is>
          <t>DALARNAS LÄN</t>
        </is>
      </c>
      <c r="E683" t="inlineStr">
        <is>
          <t>MORA</t>
        </is>
      </c>
      <c r="F683" t="inlineStr">
        <is>
          <t>Allmännings- och besparingsskogar</t>
        </is>
      </c>
      <c r="G683" t="n">
        <v>24.6</v>
      </c>
      <c r="H683" t="n">
        <v>0</v>
      </c>
      <c r="I683" t="n">
        <v>0</v>
      </c>
      <c r="J683" t="n">
        <v>0</v>
      </c>
      <c r="K683" t="n">
        <v>0</v>
      </c>
      <c r="L683" t="n">
        <v>0</v>
      </c>
      <c r="M683" t="n">
        <v>0</v>
      </c>
      <c r="N683" t="n">
        <v>0</v>
      </c>
      <c r="O683" t="n">
        <v>0</v>
      </c>
      <c r="P683" t="n">
        <v>0</v>
      </c>
      <c r="Q683" t="n">
        <v>0</v>
      </c>
      <c r="R683" s="2" t="inlineStr"/>
    </row>
    <row r="684" ht="15" customHeight="1">
      <c r="A684" t="inlineStr">
        <is>
          <t>A 61222-2023</t>
        </is>
      </c>
      <c r="B684" s="1" t="n">
        <v>45264</v>
      </c>
      <c r="C684" s="1" t="n">
        <v>46089</v>
      </c>
      <c r="D684" t="inlineStr">
        <is>
          <t>DALARNAS LÄN</t>
        </is>
      </c>
      <c r="E684" t="inlineStr">
        <is>
          <t>MORA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40949-2023</t>
        </is>
      </c>
      <c r="B685" s="1" t="n">
        <v>45173</v>
      </c>
      <c r="C685" s="1" t="n">
        <v>46089</v>
      </c>
      <c r="D685" t="inlineStr">
        <is>
          <t>DALARNAS LÄN</t>
        </is>
      </c>
      <c r="E685" t="inlineStr">
        <is>
          <t>MORA</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5216-2025</t>
        </is>
      </c>
      <c r="B686" s="1" t="n">
        <v>45691.69671296296</v>
      </c>
      <c r="C686" s="1" t="n">
        <v>46089</v>
      </c>
      <c r="D686" t="inlineStr">
        <is>
          <t>DALARNAS LÄN</t>
        </is>
      </c>
      <c r="E686" t="inlineStr">
        <is>
          <t>MORA</t>
        </is>
      </c>
      <c r="G686" t="n">
        <v>2.5</v>
      </c>
      <c r="H686" t="n">
        <v>0</v>
      </c>
      <c r="I686" t="n">
        <v>0</v>
      </c>
      <c r="J686" t="n">
        <v>0</v>
      </c>
      <c r="K686" t="n">
        <v>0</v>
      </c>
      <c r="L686" t="n">
        <v>0</v>
      </c>
      <c r="M686" t="n">
        <v>0</v>
      </c>
      <c r="N686" t="n">
        <v>0</v>
      </c>
      <c r="O686" t="n">
        <v>0</v>
      </c>
      <c r="P686" t="n">
        <v>0</v>
      </c>
      <c r="Q686" t="n">
        <v>0</v>
      </c>
      <c r="R686" s="2" t="inlineStr"/>
    </row>
    <row r="687" ht="15" customHeight="1">
      <c r="A687" t="inlineStr">
        <is>
          <t>A 45674-2024</t>
        </is>
      </c>
      <c r="B687" s="1" t="n">
        <v>45573</v>
      </c>
      <c r="C687" s="1" t="n">
        <v>46089</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18139-2025</t>
        </is>
      </c>
      <c r="B688" s="1" t="n">
        <v>45761.60459490741</v>
      </c>
      <c r="C688" s="1" t="n">
        <v>46089</v>
      </c>
      <c r="D688" t="inlineStr">
        <is>
          <t>DALARNAS LÄN</t>
        </is>
      </c>
      <c r="E688" t="inlineStr">
        <is>
          <t>MORA</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57999-2023</t>
        </is>
      </c>
      <c r="B689" s="1" t="n">
        <v>45247</v>
      </c>
      <c r="C689" s="1" t="n">
        <v>46089</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24335-2022</t>
        </is>
      </c>
      <c r="B690" s="1" t="n">
        <v>44725</v>
      </c>
      <c r="C690" s="1" t="n">
        <v>46089</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46089</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34660-2021</t>
        </is>
      </c>
      <c r="B692" s="1" t="n">
        <v>44382.57981481482</v>
      </c>
      <c r="C692" s="1" t="n">
        <v>46089</v>
      </c>
      <c r="D692" t="inlineStr">
        <is>
          <t>DALARNAS LÄN</t>
        </is>
      </c>
      <c r="E692" t="inlineStr">
        <is>
          <t>MORA</t>
        </is>
      </c>
      <c r="G692" t="n">
        <v>7.5</v>
      </c>
      <c r="H692" t="n">
        <v>0</v>
      </c>
      <c r="I692" t="n">
        <v>0</v>
      </c>
      <c r="J692" t="n">
        <v>0</v>
      </c>
      <c r="K692" t="n">
        <v>0</v>
      </c>
      <c r="L692" t="n">
        <v>0</v>
      </c>
      <c r="M692" t="n">
        <v>0</v>
      </c>
      <c r="N692" t="n">
        <v>0</v>
      </c>
      <c r="O692" t="n">
        <v>0</v>
      </c>
      <c r="P692" t="n">
        <v>0</v>
      </c>
      <c r="Q692" t="n">
        <v>0</v>
      </c>
      <c r="R692" s="2" t="inlineStr"/>
    </row>
    <row r="693" ht="15" customHeight="1">
      <c r="A693" t="inlineStr">
        <is>
          <t>A 42934-2024</t>
        </is>
      </c>
      <c r="B693" s="1" t="n">
        <v>45567.33655092592</v>
      </c>
      <c r="C693" s="1" t="n">
        <v>46089</v>
      </c>
      <c r="D693" t="inlineStr">
        <is>
          <t>DALARNAS LÄN</t>
        </is>
      </c>
      <c r="E693" t="inlineStr">
        <is>
          <t>MORA</t>
        </is>
      </c>
      <c r="G693" t="n">
        <v>0.7</v>
      </c>
      <c r="H693" t="n">
        <v>0</v>
      </c>
      <c r="I693" t="n">
        <v>0</v>
      </c>
      <c r="J693" t="n">
        <v>0</v>
      </c>
      <c r="K693" t="n">
        <v>0</v>
      </c>
      <c r="L693" t="n">
        <v>0</v>
      </c>
      <c r="M693" t="n">
        <v>0</v>
      </c>
      <c r="N693" t="n">
        <v>0</v>
      </c>
      <c r="O693" t="n">
        <v>0</v>
      </c>
      <c r="P693" t="n">
        <v>0</v>
      </c>
      <c r="Q693" t="n">
        <v>0</v>
      </c>
      <c r="R693" s="2" t="inlineStr"/>
    </row>
    <row r="694" ht="15" customHeight="1">
      <c r="A694" t="inlineStr">
        <is>
          <t>A 17516-2024</t>
        </is>
      </c>
      <c r="B694" s="1" t="n">
        <v>45415.58502314815</v>
      </c>
      <c r="C694" s="1" t="n">
        <v>46089</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49159-2023</t>
        </is>
      </c>
      <c r="B695" s="1" t="n">
        <v>45210</v>
      </c>
      <c r="C695" s="1" t="n">
        <v>46089</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29188-2023</t>
        </is>
      </c>
      <c r="B696" s="1" t="n">
        <v>45105.54270833333</v>
      </c>
      <c r="C696" s="1" t="n">
        <v>46089</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12151-2021</t>
        </is>
      </c>
      <c r="B697" s="1" t="n">
        <v>44266</v>
      </c>
      <c r="C697" s="1" t="n">
        <v>46089</v>
      </c>
      <c r="D697" t="inlineStr">
        <is>
          <t>DALARNAS LÄN</t>
        </is>
      </c>
      <c r="E697" t="inlineStr">
        <is>
          <t>MORA</t>
        </is>
      </c>
      <c r="G697" t="n">
        <v>0.5</v>
      </c>
      <c r="H697" t="n">
        <v>0</v>
      </c>
      <c r="I697" t="n">
        <v>0</v>
      </c>
      <c r="J697" t="n">
        <v>0</v>
      </c>
      <c r="K697" t="n">
        <v>0</v>
      </c>
      <c r="L697" t="n">
        <v>0</v>
      </c>
      <c r="M697" t="n">
        <v>0</v>
      </c>
      <c r="N697" t="n">
        <v>0</v>
      </c>
      <c r="O697" t="n">
        <v>0</v>
      </c>
      <c r="P697" t="n">
        <v>0</v>
      </c>
      <c r="Q697" t="n">
        <v>0</v>
      </c>
      <c r="R697" s="2" t="inlineStr"/>
    </row>
    <row r="698" ht="15" customHeight="1">
      <c r="A698" t="inlineStr">
        <is>
          <t>A 26314-2021</t>
        </is>
      </c>
      <c r="B698" s="1" t="n">
        <v>44347</v>
      </c>
      <c r="C698" s="1" t="n">
        <v>46089</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30985-2024</t>
        </is>
      </c>
      <c r="B699" s="1" t="n">
        <v>45499.51721064815</v>
      </c>
      <c r="C699" s="1" t="n">
        <v>46089</v>
      </c>
      <c r="D699" t="inlineStr">
        <is>
          <t>DALARNAS LÄN</t>
        </is>
      </c>
      <c r="E699" t="inlineStr">
        <is>
          <t>MORA</t>
        </is>
      </c>
      <c r="G699" t="n">
        <v>0.7</v>
      </c>
      <c r="H699" t="n">
        <v>0</v>
      </c>
      <c r="I699" t="n">
        <v>0</v>
      </c>
      <c r="J699" t="n">
        <v>0</v>
      </c>
      <c r="K699" t="n">
        <v>0</v>
      </c>
      <c r="L699" t="n">
        <v>0</v>
      </c>
      <c r="M699" t="n">
        <v>0</v>
      </c>
      <c r="N699" t="n">
        <v>0</v>
      </c>
      <c r="O699" t="n">
        <v>0</v>
      </c>
      <c r="P699" t="n">
        <v>0</v>
      </c>
      <c r="Q699" t="n">
        <v>0</v>
      </c>
      <c r="R699" s="2" t="inlineStr"/>
    </row>
    <row r="700" ht="15" customHeight="1">
      <c r="A700" t="inlineStr">
        <is>
          <t>A 18202-2024</t>
        </is>
      </c>
      <c r="B700" s="1" t="n">
        <v>45420.68172453704</v>
      </c>
      <c r="C700" s="1" t="n">
        <v>46089</v>
      </c>
      <c r="D700" t="inlineStr">
        <is>
          <t>DALARNAS LÄN</t>
        </is>
      </c>
      <c r="E700" t="inlineStr">
        <is>
          <t>MORA</t>
        </is>
      </c>
      <c r="G700" t="n">
        <v>2</v>
      </c>
      <c r="H700" t="n">
        <v>0</v>
      </c>
      <c r="I700" t="n">
        <v>0</v>
      </c>
      <c r="J700" t="n">
        <v>0</v>
      </c>
      <c r="K700" t="n">
        <v>0</v>
      </c>
      <c r="L700" t="n">
        <v>0</v>
      </c>
      <c r="M700" t="n">
        <v>0</v>
      </c>
      <c r="N700" t="n">
        <v>0</v>
      </c>
      <c r="O700" t="n">
        <v>0</v>
      </c>
      <c r="P700" t="n">
        <v>0</v>
      </c>
      <c r="Q700" t="n">
        <v>0</v>
      </c>
      <c r="R700" s="2" t="inlineStr"/>
    </row>
    <row r="701" ht="15" customHeight="1">
      <c r="A701" t="inlineStr">
        <is>
          <t>A 40286-2024</t>
        </is>
      </c>
      <c r="B701" s="1" t="n">
        <v>45554.6687037037</v>
      </c>
      <c r="C701" s="1" t="n">
        <v>46089</v>
      </c>
      <c r="D701" t="inlineStr">
        <is>
          <t>DALARNAS LÄN</t>
        </is>
      </c>
      <c r="E701" t="inlineStr">
        <is>
          <t>MORA</t>
        </is>
      </c>
      <c r="G701" t="n">
        <v>0.4</v>
      </c>
      <c r="H701" t="n">
        <v>0</v>
      </c>
      <c r="I701" t="n">
        <v>0</v>
      </c>
      <c r="J701" t="n">
        <v>0</v>
      </c>
      <c r="K701" t="n">
        <v>0</v>
      </c>
      <c r="L701" t="n">
        <v>0</v>
      </c>
      <c r="M701" t="n">
        <v>0</v>
      </c>
      <c r="N701" t="n">
        <v>0</v>
      </c>
      <c r="O701" t="n">
        <v>0</v>
      </c>
      <c r="P701" t="n">
        <v>0</v>
      </c>
      <c r="Q701" t="n">
        <v>0</v>
      </c>
      <c r="R701" s="2" t="inlineStr"/>
    </row>
    <row r="702" ht="15" customHeight="1">
      <c r="A702" t="inlineStr">
        <is>
          <t>A 41169-2023</t>
        </is>
      </c>
      <c r="B702" s="1" t="n">
        <v>45174.34662037037</v>
      </c>
      <c r="C702" s="1" t="n">
        <v>46089</v>
      </c>
      <c r="D702" t="inlineStr">
        <is>
          <t>DALARNAS LÄN</t>
        </is>
      </c>
      <c r="E702" t="inlineStr">
        <is>
          <t>MORA</t>
        </is>
      </c>
      <c r="G702" t="n">
        <v>3</v>
      </c>
      <c r="H702" t="n">
        <v>0</v>
      </c>
      <c r="I702" t="n">
        <v>0</v>
      </c>
      <c r="J702" t="n">
        <v>0</v>
      </c>
      <c r="K702" t="n">
        <v>0</v>
      </c>
      <c r="L702" t="n">
        <v>0</v>
      </c>
      <c r="M702" t="n">
        <v>0</v>
      </c>
      <c r="N702" t="n">
        <v>0</v>
      </c>
      <c r="O702" t="n">
        <v>0</v>
      </c>
      <c r="P702" t="n">
        <v>0</v>
      </c>
      <c r="Q702" t="n">
        <v>0</v>
      </c>
      <c r="R702" s="2" t="inlineStr"/>
    </row>
    <row r="703" ht="15" customHeight="1">
      <c r="A703" t="inlineStr">
        <is>
          <t>A 43826-2022</t>
        </is>
      </c>
      <c r="B703" s="1" t="n">
        <v>44838</v>
      </c>
      <c r="C703" s="1" t="n">
        <v>46089</v>
      </c>
      <c r="D703" t="inlineStr">
        <is>
          <t>DALARNAS LÄN</t>
        </is>
      </c>
      <c r="E703" t="inlineStr">
        <is>
          <t>MORA</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46089</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59002-2024</t>
        </is>
      </c>
      <c r="B705" s="1" t="n">
        <v>45636</v>
      </c>
      <c r="C705" s="1" t="n">
        <v>46089</v>
      </c>
      <c r="D705" t="inlineStr">
        <is>
          <t>DALARNAS LÄN</t>
        </is>
      </c>
      <c r="E705" t="inlineStr">
        <is>
          <t>MORA</t>
        </is>
      </c>
      <c r="F705" t="inlineStr">
        <is>
          <t>Bergvik skog väst AB</t>
        </is>
      </c>
      <c r="G705" t="n">
        <v>24.8</v>
      </c>
      <c r="H705" t="n">
        <v>0</v>
      </c>
      <c r="I705" t="n">
        <v>0</v>
      </c>
      <c r="J705" t="n">
        <v>0</v>
      </c>
      <c r="K705" t="n">
        <v>0</v>
      </c>
      <c r="L705" t="n">
        <v>0</v>
      </c>
      <c r="M705" t="n">
        <v>0</v>
      </c>
      <c r="N705" t="n">
        <v>0</v>
      </c>
      <c r="O705" t="n">
        <v>0</v>
      </c>
      <c r="P705" t="n">
        <v>0</v>
      </c>
      <c r="Q705" t="n">
        <v>0</v>
      </c>
      <c r="R705" s="2" t="inlineStr"/>
    </row>
    <row r="706" ht="15" customHeight="1">
      <c r="A706" t="inlineStr">
        <is>
          <t>A 5980-2025</t>
        </is>
      </c>
      <c r="B706" s="1" t="n">
        <v>45695.54651620371</v>
      </c>
      <c r="C706" s="1" t="n">
        <v>46089</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5527-2024</t>
        </is>
      </c>
      <c r="B707" s="1" t="n">
        <v>45334.38981481481</v>
      </c>
      <c r="C707" s="1" t="n">
        <v>46089</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39856-2024</t>
        </is>
      </c>
      <c r="B708" s="1" t="n">
        <v>45553.44084490741</v>
      </c>
      <c r="C708" s="1" t="n">
        <v>46089</v>
      </c>
      <c r="D708" t="inlineStr">
        <is>
          <t>DALARNAS LÄN</t>
        </is>
      </c>
      <c r="E708" t="inlineStr">
        <is>
          <t>MORA</t>
        </is>
      </c>
      <c r="G708" t="n">
        <v>4.8</v>
      </c>
      <c r="H708" t="n">
        <v>0</v>
      </c>
      <c r="I708" t="n">
        <v>0</v>
      </c>
      <c r="J708" t="n">
        <v>0</v>
      </c>
      <c r="K708" t="n">
        <v>0</v>
      </c>
      <c r="L708" t="n">
        <v>0</v>
      </c>
      <c r="M708" t="n">
        <v>0</v>
      </c>
      <c r="N708" t="n">
        <v>0</v>
      </c>
      <c r="O708" t="n">
        <v>0</v>
      </c>
      <c r="P708" t="n">
        <v>0</v>
      </c>
      <c r="Q708" t="n">
        <v>0</v>
      </c>
      <c r="R708" s="2" t="inlineStr"/>
    </row>
    <row r="709" ht="15" customHeight="1">
      <c r="A709" t="inlineStr">
        <is>
          <t>A 52288-2024</t>
        </is>
      </c>
      <c r="B709" s="1" t="n">
        <v>45608.69395833334</v>
      </c>
      <c r="C709" s="1" t="n">
        <v>46089</v>
      </c>
      <c r="D709" t="inlineStr">
        <is>
          <t>DALARNAS LÄN</t>
        </is>
      </c>
      <c r="E709" t="inlineStr">
        <is>
          <t>MORA</t>
        </is>
      </c>
      <c r="G709" t="n">
        <v>2</v>
      </c>
      <c r="H709" t="n">
        <v>0</v>
      </c>
      <c r="I709" t="n">
        <v>0</v>
      </c>
      <c r="J709" t="n">
        <v>0</v>
      </c>
      <c r="K709" t="n">
        <v>0</v>
      </c>
      <c r="L709" t="n">
        <v>0</v>
      </c>
      <c r="M709" t="n">
        <v>0</v>
      </c>
      <c r="N709" t="n">
        <v>0</v>
      </c>
      <c r="O709" t="n">
        <v>0</v>
      </c>
      <c r="P709" t="n">
        <v>0</v>
      </c>
      <c r="Q709" t="n">
        <v>0</v>
      </c>
      <c r="R709" s="2" t="inlineStr"/>
    </row>
    <row r="710" ht="15" customHeight="1">
      <c r="A710" t="inlineStr">
        <is>
          <t>A 43879-2022</t>
        </is>
      </c>
      <c r="B710" s="1" t="n">
        <v>44838.46721064814</v>
      </c>
      <c r="C710" s="1" t="n">
        <v>46089</v>
      </c>
      <c r="D710" t="inlineStr">
        <is>
          <t>DALARNAS LÄN</t>
        </is>
      </c>
      <c r="E710" t="inlineStr">
        <is>
          <t>MORA</t>
        </is>
      </c>
      <c r="G710" t="n">
        <v>3.4</v>
      </c>
      <c r="H710" t="n">
        <v>0</v>
      </c>
      <c r="I710" t="n">
        <v>0</v>
      </c>
      <c r="J710" t="n">
        <v>0</v>
      </c>
      <c r="K710" t="n">
        <v>0</v>
      </c>
      <c r="L710" t="n">
        <v>0</v>
      </c>
      <c r="M710" t="n">
        <v>0</v>
      </c>
      <c r="N710" t="n">
        <v>0</v>
      </c>
      <c r="O710" t="n">
        <v>0</v>
      </c>
      <c r="P710" t="n">
        <v>0</v>
      </c>
      <c r="Q710" t="n">
        <v>0</v>
      </c>
      <c r="R710" s="2" t="inlineStr"/>
    </row>
    <row r="711" ht="15" customHeight="1">
      <c r="A711" t="inlineStr">
        <is>
          <t>A 12920-2022</t>
        </is>
      </c>
      <c r="B711" s="1" t="n">
        <v>44642.65418981481</v>
      </c>
      <c r="C711" s="1" t="n">
        <v>46089</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17280-2025</t>
        </is>
      </c>
      <c r="B712" s="1" t="n">
        <v>45756</v>
      </c>
      <c r="C712" s="1" t="n">
        <v>46089</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34282-2024</t>
        </is>
      </c>
      <c r="B713" s="1" t="n">
        <v>45524.62600694445</v>
      </c>
      <c r="C713" s="1" t="n">
        <v>46089</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38055-2024</t>
        </is>
      </c>
      <c r="B714" s="1" t="n">
        <v>45544</v>
      </c>
      <c r="C714" s="1" t="n">
        <v>46089</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7116-2024</t>
        </is>
      </c>
      <c r="B715" s="1" t="n">
        <v>45343.95445601852</v>
      </c>
      <c r="C715" s="1" t="n">
        <v>46089</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22785-2023</t>
        </is>
      </c>
      <c r="B716" s="1" t="n">
        <v>45072.34796296297</v>
      </c>
      <c r="C716" s="1" t="n">
        <v>46089</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60718-2023</t>
        </is>
      </c>
      <c r="B717" s="1" t="n">
        <v>45260.5284375</v>
      </c>
      <c r="C717" s="1" t="n">
        <v>46089</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7972-2024</t>
        </is>
      </c>
      <c r="B718" s="1" t="n">
        <v>45350</v>
      </c>
      <c r="C718" s="1" t="n">
        <v>46089</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16637-2025</t>
        </is>
      </c>
      <c r="B719" s="1" t="n">
        <v>45754.36738425926</v>
      </c>
      <c r="C719" s="1" t="n">
        <v>46089</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49991-2023</t>
        </is>
      </c>
      <c r="B720" s="1" t="n">
        <v>45215.43879629629</v>
      </c>
      <c r="C720" s="1" t="n">
        <v>46089</v>
      </c>
      <c r="D720" t="inlineStr">
        <is>
          <t>DALARNAS LÄN</t>
        </is>
      </c>
      <c r="E720" t="inlineStr">
        <is>
          <t>MORA</t>
        </is>
      </c>
      <c r="G720" t="n">
        <v>1.8</v>
      </c>
      <c r="H720" t="n">
        <v>0</v>
      </c>
      <c r="I720" t="n">
        <v>0</v>
      </c>
      <c r="J720" t="n">
        <v>0</v>
      </c>
      <c r="K720" t="n">
        <v>0</v>
      </c>
      <c r="L720" t="n">
        <v>0</v>
      </c>
      <c r="M720" t="n">
        <v>0</v>
      </c>
      <c r="N720" t="n">
        <v>0</v>
      </c>
      <c r="O720" t="n">
        <v>0</v>
      </c>
      <c r="P720" t="n">
        <v>0</v>
      </c>
      <c r="Q720" t="n">
        <v>0</v>
      </c>
      <c r="R720" s="2" t="inlineStr"/>
    </row>
    <row r="721" ht="15" customHeight="1">
      <c r="A721" t="inlineStr">
        <is>
          <t>A 28131-2024</t>
        </is>
      </c>
      <c r="B721" s="1" t="n">
        <v>45476.68435185185</v>
      </c>
      <c r="C721" s="1" t="n">
        <v>46089</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28132-2024</t>
        </is>
      </c>
      <c r="B722" s="1" t="n">
        <v>45476.68616898148</v>
      </c>
      <c r="C722" s="1" t="n">
        <v>46089</v>
      </c>
      <c r="D722" t="inlineStr">
        <is>
          <t>DALARNAS LÄN</t>
        </is>
      </c>
      <c r="E722" t="inlineStr">
        <is>
          <t>MORA</t>
        </is>
      </c>
      <c r="G722" t="n">
        <v>0.2</v>
      </c>
      <c r="H722" t="n">
        <v>0</v>
      </c>
      <c r="I722" t="n">
        <v>0</v>
      </c>
      <c r="J722" t="n">
        <v>0</v>
      </c>
      <c r="K722" t="n">
        <v>0</v>
      </c>
      <c r="L722" t="n">
        <v>0</v>
      </c>
      <c r="M722" t="n">
        <v>0</v>
      </c>
      <c r="N722" t="n">
        <v>0</v>
      </c>
      <c r="O722" t="n">
        <v>0</v>
      </c>
      <c r="P722" t="n">
        <v>0</v>
      </c>
      <c r="Q722" t="n">
        <v>0</v>
      </c>
      <c r="R722" s="2" t="inlineStr"/>
    </row>
    <row r="723" ht="15" customHeight="1">
      <c r="A723" t="inlineStr">
        <is>
          <t>A 12987-2024</t>
        </is>
      </c>
      <c r="B723" s="1" t="n">
        <v>45385.55375</v>
      </c>
      <c r="C723" s="1" t="n">
        <v>46089</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48170-2024</t>
        </is>
      </c>
      <c r="B724" s="1" t="n">
        <v>45589.76975694444</v>
      </c>
      <c r="C724" s="1" t="n">
        <v>46089</v>
      </c>
      <c r="D724" t="inlineStr">
        <is>
          <t>DALARNAS LÄN</t>
        </is>
      </c>
      <c r="E724" t="inlineStr">
        <is>
          <t>MORA</t>
        </is>
      </c>
      <c r="G724" t="n">
        <v>2.4</v>
      </c>
      <c r="H724" t="n">
        <v>0</v>
      </c>
      <c r="I724" t="n">
        <v>0</v>
      </c>
      <c r="J724" t="n">
        <v>0</v>
      </c>
      <c r="K724" t="n">
        <v>0</v>
      </c>
      <c r="L724" t="n">
        <v>0</v>
      </c>
      <c r="M724" t="n">
        <v>0</v>
      </c>
      <c r="N724" t="n">
        <v>0</v>
      </c>
      <c r="O724" t="n">
        <v>0</v>
      </c>
      <c r="P724" t="n">
        <v>0</v>
      </c>
      <c r="Q724" t="n">
        <v>0</v>
      </c>
      <c r="R724" s="2" t="inlineStr"/>
    </row>
    <row r="725" ht="15" customHeight="1">
      <c r="A725" t="inlineStr">
        <is>
          <t>A 58892-2023</t>
        </is>
      </c>
      <c r="B725" s="1" t="n">
        <v>45252.48592592592</v>
      </c>
      <c r="C725" s="1" t="n">
        <v>46089</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27975-2023</t>
        </is>
      </c>
      <c r="B726" s="1" t="n">
        <v>45098</v>
      </c>
      <c r="C726" s="1" t="n">
        <v>46089</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45237.60775462963</v>
      </c>
      <c r="C727" s="1" t="n">
        <v>46089</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24772-2024</t>
        </is>
      </c>
      <c r="B728" s="1" t="n">
        <v>45460.70204861111</v>
      </c>
      <c r="C728" s="1" t="n">
        <v>46089</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5486-2023</t>
        </is>
      </c>
      <c r="B729" s="1" t="n">
        <v>44957</v>
      </c>
      <c r="C729" s="1" t="n">
        <v>46089</v>
      </c>
      <c r="D729" t="inlineStr">
        <is>
          <t>DALARNAS LÄN</t>
        </is>
      </c>
      <c r="E729" t="inlineStr">
        <is>
          <t>MORA</t>
        </is>
      </c>
      <c r="G729" t="n">
        <v>3.2</v>
      </c>
      <c r="H729" t="n">
        <v>0</v>
      </c>
      <c r="I729" t="n">
        <v>0</v>
      </c>
      <c r="J729" t="n">
        <v>0</v>
      </c>
      <c r="K729" t="n">
        <v>0</v>
      </c>
      <c r="L729" t="n">
        <v>0</v>
      </c>
      <c r="M729" t="n">
        <v>0</v>
      </c>
      <c r="N729" t="n">
        <v>0</v>
      </c>
      <c r="O729" t="n">
        <v>0</v>
      </c>
      <c r="P729" t="n">
        <v>0</v>
      </c>
      <c r="Q729" t="n">
        <v>0</v>
      </c>
      <c r="R729" s="2" t="inlineStr"/>
    </row>
    <row r="730" ht="15" customHeight="1">
      <c r="A730" t="inlineStr">
        <is>
          <t>A 42943-2024</t>
        </is>
      </c>
      <c r="B730" s="1" t="n">
        <v>45567.35359953704</v>
      </c>
      <c r="C730" s="1" t="n">
        <v>46089</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9855-2024</t>
        </is>
      </c>
      <c r="B731" s="1" t="n">
        <v>45363.40368055556</v>
      </c>
      <c r="C731" s="1" t="n">
        <v>46089</v>
      </c>
      <c r="D731" t="inlineStr">
        <is>
          <t>DALARNAS LÄN</t>
        </is>
      </c>
      <c r="E731" t="inlineStr">
        <is>
          <t>MORA</t>
        </is>
      </c>
      <c r="G731" t="n">
        <v>8.6</v>
      </c>
      <c r="H731" t="n">
        <v>0</v>
      </c>
      <c r="I731" t="n">
        <v>0</v>
      </c>
      <c r="J731" t="n">
        <v>0</v>
      </c>
      <c r="K731" t="n">
        <v>0</v>
      </c>
      <c r="L731" t="n">
        <v>0</v>
      </c>
      <c r="M731" t="n">
        <v>0</v>
      </c>
      <c r="N731" t="n">
        <v>0</v>
      </c>
      <c r="O731" t="n">
        <v>0</v>
      </c>
      <c r="P731" t="n">
        <v>0</v>
      </c>
      <c r="Q731" t="n">
        <v>0</v>
      </c>
      <c r="R731" s="2" t="inlineStr"/>
    </row>
    <row r="732" ht="15" customHeight="1">
      <c r="A732" t="inlineStr">
        <is>
          <t>A 21244-2024</t>
        </is>
      </c>
      <c r="B732" s="1" t="n">
        <v>45440.59936342593</v>
      </c>
      <c r="C732" s="1" t="n">
        <v>46089</v>
      </c>
      <c r="D732" t="inlineStr">
        <is>
          <t>DALARNAS LÄN</t>
        </is>
      </c>
      <c r="E732" t="inlineStr">
        <is>
          <t>MORA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28964-2024</t>
        </is>
      </c>
      <c r="B733" s="1" t="n">
        <v>45481.42923611111</v>
      </c>
      <c r="C733" s="1" t="n">
        <v>46089</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30194-2024</t>
        </is>
      </c>
      <c r="B734" s="1" t="n">
        <v>45490.33387731481</v>
      </c>
      <c r="C734" s="1" t="n">
        <v>46089</v>
      </c>
      <c r="D734" t="inlineStr">
        <is>
          <t>DALARNAS LÄN</t>
        </is>
      </c>
      <c r="E734" t="inlineStr">
        <is>
          <t>MORA</t>
        </is>
      </c>
      <c r="G734" t="n">
        <v>3.1</v>
      </c>
      <c r="H734" t="n">
        <v>0</v>
      </c>
      <c r="I734" t="n">
        <v>0</v>
      </c>
      <c r="J734" t="n">
        <v>0</v>
      </c>
      <c r="K734" t="n">
        <v>0</v>
      </c>
      <c r="L734" t="n">
        <v>0</v>
      </c>
      <c r="M734" t="n">
        <v>0</v>
      </c>
      <c r="N734" t="n">
        <v>0</v>
      </c>
      <c r="O734" t="n">
        <v>0</v>
      </c>
      <c r="P734" t="n">
        <v>0</v>
      </c>
      <c r="Q734" t="n">
        <v>0</v>
      </c>
      <c r="R734" s="2" t="inlineStr"/>
    </row>
    <row r="735" ht="15" customHeight="1">
      <c r="A735" t="inlineStr">
        <is>
          <t>A 58177-2024</t>
        </is>
      </c>
      <c r="B735" s="1" t="n">
        <v>45632.46821759259</v>
      </c>
      <c r="C735" s="1" t="n">
        <v>46089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45390-2024</t>
        </is>
      </c>
      <c r="B736" s="1" t="n">
        <v>45576.54820601852</v>
      </c>
      <c r="C736" s="1" t="n">
        <v>46089</v>
      </c>
      <c r="D736" t="inlineStr">
        <is>
          <t>DALARNAS LÄN</t>
        </is>
      </c>
      <c r="E736" t="inlineStr">
        <is>
          <t>MORA</t>
        </is>
      </c>
      <c r="F736" t="inlineStr">
        <is>
          <t>Bergvik skog väst AB</t>
        </is>
      </c>
      <c r="G736" t="n">
        <v>5.6</v>
      </c>
      <c r="H736" t="n">
        <v>0</v>
      </c>
      <c r="I736" t="n">
        <v>0</v>
      </c>
      <c r="J736" t="n">
        <v>0</v>
      </c>
      <c r="K736" t="n">
        <v>0</v>
      </c>
      <c r="L736" t="n">
        <v>0</v>
      </c>
      <c r="M736" t="n">
        <v>0</v>
      </c>
      <c r="N736" t="n">
        <v>0</v>
      </c>
      <c r="O736" t="n">
        <v>0</v>
      </c>
      <c r="P736" t="n">
        <v>0</v>
      </c>
      <c r="Q736" t="n">
        <v>0</v>
      </c>
      <c r="R736" s="2" t="inlineStr"/>
    </row>
    <row r="737" ht="15" customHeight="1">
      <c r="A737" t="inlineStr">
        <is>
          <t>A 58089-2024</t>
        </is>
      </c>
      <c r="B737" s="1" t="n">
        <v>45632.34984953704</v>
      </c>
      <c r="C737" s="1" t="n">
        <v>46089</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4208-2023</t>
        </is>
      </c>
      <c r="B738" s="1" t="n">
        <v>44953</v>
      </c>
      <c r="C738" s="1" t="n">
        <v>46089</v>
      </c>
      <c r="D738" t="inlineStr">
        <is>
          <t>DALARNAS LÄN</t>
        </is>
      </c>
      <c r="E738" t="inlineStr">
        <is>
          <t>MORA</t>
        </is>
      </c>
      <c r="G738" t="n">
        <v>2.4</v>
      </c>
      <c r="H738" t="n">
        <v>0</v>
      </c>
      <c r="I738" t="n">
        <v>0</v>
      </c>
      <c r="J738" t="n">
        <v>0</v>
      </c>
      <c r="K738" t="n">
        <v>0</v>
      </c>
      <c r="L738" t="n">
        <v>0</v>
      </c>
      <c r="M738" t="n">
        <v>0</v>
      </c>
      <c r="N738" t="n">
        <v>0</v>
      </c>
      <c r="O738" t="n">
        <v>0</v>
      </c>
      <c r="P738" t="n">
        <v>0</v>
      </c>
      <c r="Q738" t="n">
        <v>0</v>
      </c>
      <c r="R738" s="2" t="inlineStr"/>
    </row>
    <row r="739" ht="15" customHeight="1">
      <c r="A739" t="inlineStr">
        <is>
          <t>A 4210-2023</t>
        </is>
      </c>
      <c r="B739" s="1" t="n">
        <v>44953.44965277778</v>
      </c>
      <c r="C739" s="1" t="n">
        <v>46089</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44769-2021</t>
        </is>
      </c>
      <c r="B740" s="1" t="n">
        <v>44438</v>
      </c>
      <c r="C740" s="1" t="n">
        <v>46089</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58036-2024</t>
        </is>
      </c>
      <c r="B741" s="1" t="n">
        <v>45631.71893518518</v>
      </c>
      <c r="C741" s="1" t="n">
        <v>46089</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3430-2023</t>
        </is>
      </c>
      <c r="B742" s="1" t="n">
        <v>44949.57856481482</v>
      </c>
      <c r="C742" s="1" t="n">
        <v>46089</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15172-2025</t>
        </is>
      </c>
      <c r="B743" s="1" t="n">
        <v>45744.50722222222</v>
      </c>
      <c r="C743" s="1" t="n">
        <v>46089</v>
      </c>
      <c r="D743" t="inlineStr">
        <is>
          <t>DALARNAS LÄN</t>
        </is>
      </c>
      <c r="E743" t="inlineStr">
        <is>
          <t>MORA</t>
        </is>
      </c>
      <c r="G743" t="n">
        <v>3.2</v>
      </c>
      <c r="H743" t="n">
        <v>0</v>
      </c>
      <c r="I743" t="n">
        <v>0</v>
      </c>
      <c r="J743" t="n">
        <v>0</v>
      </c>
      <c r="K743" t="n">
        <v>0</v>
      </c>
      <c r="L743" t="n">
        <v>0</v>
      </c>
      <c r="M743" t="n">
        <v>0</v>
      </c>
      <c r="N743" t="n">
        <v>0</v>
      </c>
      <c r="O743" t="n">
        <v>0</v>
      </c>
      <c r="P743" t="n">
        <v>0</v>
      </c>
      <c r="Q743" t="n">
        <v>0</v>
      </c>
      <c r="R743" s="2" t="inlineStr"/>
    </row>
    <row r="744" ht="15" customHeight="1">
      <c r="A744" t="inlineStr">
        <is>
          <t>A 39897-2022</t>
        </is>
      </c>
      <c r="B744" s="1" t="n">
        <v>44819.66083333334</v>
      </c>
      <c r="C744" s="1" t="n">
        <v>46089</v>
      </c>
      <c r="D744" t="inlineStr">
        <is>
          <t>DALARNAS LÄN</t>
        </is>
      </c>
      <c r="E744" t="inlineStr">
        <is>
          <t>MORA</t>
        </is>
      </c>
      <c r="G744" t="n">
        <v>15.8</v>
      </c>
      <c r="H744" t="n">
        <v>0</v>
      </c>
      <c r="I744" t="n">
        <v>0</v>
      </c>
      <c r="J744" t="n">
        <v>0</v>
      </c>
      <c r="K744" t="n">
        <v>0</v>
      </c>
      <c r="L744" t="n">
        <v>0</v>
      </c>
      <c r="M744" t="n">
        <v>0</v>
      </c>
      <c r="N744" t="n">
        <v>0</v>
      </c>
      <c r="O744" t="n">
        <v>0</v>
      </c>
      <c r="P744" t="n">
        <v>0</v>
      </c>
      <c r="Q744" t="n">
        <v>0</v>
      </c>
      <c r="R744" s="2" t="inlineStr"/>
    </row>
    <row r="745" ht="15" customHeight="1">
      <c r="A745" t="inlineStr">
        <is>
          <t>A 62853-2023</t>
        </is>
      </c>
      <c r="B745" s="1" t="n">
        <v>45272</v>
      </c>
      <c r="C745" s="1" t="n">
        <v>46089</v>
      </c>
      <c r="D745" t="inlineStr">
        <is>
          <t>DALARNAS LÄN</t>
        </is>
      </c>
      <c r="E745" t="inlineStr">
        <is>
          <t>MORA</t>
        </is>
      </c>
      <c r="G745" t="n">
        <v>13.6</v>
      </c>
      <c r="H745" t="n">
        <v>0</v>
      </c>
      <c r="I745" t="n">
        <v>0</v>
      </c>
      <c r="J745" t="n">
        <v>0</v>
      </c>
      <c r="K745" t="n">
        <v>0</v>
      </c>
      <c r="L745" t="n">
        <v>0</v>
      </c>
      <c r="M745" t="n">
        <v>0</v>
      </c>
      <c r="N745" t="n">
        <v>0</v>
      </c>
      <c r="O745" t="n">
        <v>0</v>
      </c>
      <c r="P745" t="n">
        <v>0</v>
      </c>
      <c r="Q745" t="n">
        <v>0</v>
      </c>
      <c r="R745" s="2" t="inlineStr"/>
    </row>
    <row r="746" ht="15" customHeight="1">
      <c r="A746" t="inlineStr">
        <is>
          <t>A 11919-2024</t>
        </is>
      </c>
      <c r="B746" s="1" t="n">
        <v>45376.61019675926</v>
      </c>
      <c r="C746" s="1" t="n">
        <v>46089</v>
      </c>
      <c r="D746" t="inlineStr">
        <is>
          <t>DALARNAS LÄN</t>
        </is>
      </c>
      <c r="E746" t="inlineStr">
        <is>
          <t>MORA</t>
        </is>
      </c>
      <c r="G746" t="n">
        <v>3.5</v>
      </c>
      <c r="H746" t="n">
        <v>0</v>
      </c>
      <c r="I746" t="n">
        <v>0</v>
      </c>
      <c r="J746" t="n">
        <v>0</v>
      </c>
      <c r="K746" t="n">
        <v>0</v>
      </c>
      <c r="L746" t="n">
        <v>0</v>
      </c>
      <c r="M746" t="n">
        <v>0</v>
      </c>
      <c r="N746" t="n">
        <v>0</v>
      </c>
      <c r="O746" t="n">
        <v>0</v>
      </c>
      <c r="P746" t="n">
        <v>0</v>
      </c>
      <c r="Q746" t="n">
        <v>0</v>
      </c>
      <c r="R746" s="2" t="inlineStr"/>
    </row>
    <row r="747" ht="15" customHeight="1">
      <c r="A747" t="inlineStr">
        <is>
          <t>A 1897-2023</t>
        </is>
      </c>
      <c r="B747" s="1" t="n">
        <v>44937</v>
      </c>
      <c r="C747" s="1" t="n">
        <v>46089</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37385-2022</t>
        </is>
      </c>
      <c r="B748" s="1" t="n">
        <v>44806</v>
      </c>
      <c r="C748" s="1" t="n">
        <v>46089</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42391-2023</t>
        </is>
      </c>
      <c r="B749" s="1" t="n">
        <v>45180</v>
      </c>
      <c r="C749" s="1" t="n">
        <v>46089</v>
      </c>
      <c r="D749" t="inlineStr">
        <is>
          <t>DALARNAS LÄN</t>
        </is>
      </c>
      <c r="E749" t="inlineStr">
        <is>
          <t>MORA</t>
        </is>
      </c>
      <c r="F749" t="inlineStr">
        <is>
          <t>Kommuner</t>
        </is>
      </c>
      <c r="G749" t="n">
        <v>0.3</v>
      </c>
      <c r="H749" t="n">
        <v>0</v>
      </c>
      <c r="I749" t="n">
        <v>0</v>
      </c>
      <c r="J749" t="n">
        <v>0</v>
      </c>
      <c r="K749" t="n">
        <v>0</v>
      </c>
      <c r="L749" t="n">
        <v>0</v>
      </c>
      <c r="M749" t="n">
        <v>0</v>
      </c>
      <c r="N749" t="n">
        <v>0</v>
      </c>
      <c r="O749" t="n">
        <v>0</v>
      </c>
      <c r="P749" t="n">
        <v>0</v>
      </c>
      <c r="Q749" t="n">
        <v>0</v>
      </c>
      <c r="R749" s="2" t="inlineStr"/>
    </row>
    <row r="750" ht="15" customHeight="1">
      <c r="A750" t="inlineStr">
        <is>
          <t>A 70141-2021</t>
        </is>
      </c>
      <c r="B750" s="1" t="n">
        <v>44533</v>
      </c>
      <c r="C750" s="1" t="n">
        <v>46089</v>
      </c>
      <c r="D750" t="inlineStr">
        <is>
          <t>DALARNAS LÄN</t>
        </is>
      </c>
      <c r="E750" t="inlineStr">
        <is>
          <t>MORA</t>
        </is>
      </c>
      <c r="G750" t="n">
        <v>4.1</v>
      </c>
      <c r="H750" t="n">
        <v>0</v>
      </c>
      <c r="I750" t="n">
        <v>0</v>
      </c>
      <c r="J750" t="n">
        <v>0</v>
      </c>
      <c r="K750" t="n">
        <v>0</v>
      </c>
      <c r="L750" t="n">
        <v>0</v>
      </c>
      <c r="M750" t="n">
        <v>0</v>
      </c>
      <c r="N750" t="n">
        <v>0</v>
      </c>
      <c r="O750" t="n">
        <v>0</v>
      </c>
      <c r="P750" t="n">
        <v>0</v>
      </c>
      <c r="Q750" t="n">
        <v>0</v>
      </c>
      <c r="R750" s="2" t="inlineStr"/>
    </row>
    <row r="751" ht="15" customHeight="1">
      <c r="A751" t="inlineStr">
        <is>
          <t>A 64093-2023</t>
        </is>
      </c>
      <c r="B751" s="1" t="n">
        <v>45279</v>
      </c>
      <c r="C751" s="1" t="n">
        <v>46089</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37471-2024</t>
        </is>
      </c>
      <c r="B752" s="1" t="n">
        <v>45540.85054398148</v>
      </c>
      <c r="C752" s="1" t="n">
        <v>46089</v>
      </c>
      <c r="D752" t="inlineStr">
        <is>
          <t>DALARNAS LÄN</t>
        </is>
      </c>
      <c r="E752" t="inlineStr">
        <is>
          <t>MORA</t>
        </is>
      </c>
      <c r="G752" t="n">
        <v>3.5</v>
      </c>
      <c r="H752" t="n">
        <v>0</v>
      </c>
      <c r="I752" t="n">
        <v>0</v>
      </c>
      <c r="J752" t="n">
        <v>0</v>
      </c>
      <c r="K752" t="n">
        <v>0</v>
      </c>
      <c r="L752" t="n">
        <v>0</v>
      </c>
      <c r="M752" t="n">
        <v>0</v>
      </c>
      <c r="N752" t="n">
        <v>0</v>
      </c>
      <c r="O752" t="n">
        <v>0</v>
      </c>
      <c r="P752" t="n">
        <v>0</v>
      </c>
      <c r="Q752" t="n">
        <v>0</v>
      </c>
      <c r="R752" s="2" t="inlineStr"/>
    </row>
    <row r="753" ht="15" customHeight="1">
      <c r="A753" t="inlineStr">
        <is>
          <t>A 14936-2025</t>
        </is>
      </c>
      <c r="B753" s="1" t="n">
        <v>45743.55756944444</v>
      </c>
      <c r="C753" s="1" t="n">
        <v>46089</v>
      </c>
      <c r="D753" t="inlineStr">
        <is>
          <t>DALARNAS LÄN</t>
        </is>
      </c>
      <c r="E753" t="inlineStr">
        <is>
          <t>MORA</t>
        </is>
      </c>
      <c r="G753" t="n">
        <v>2.4</v>
      </c>
      <c r="H753" t="n">
        <v>0</v>
      </c>
      <c r="I753" t="n">
        <v>0</v>
      </c>
      <c r="J753" t="n">
        <v>0</v>
      </c>
      <c r="K753" t="n">
        <v>0</v>
      </c>
      <c r="L753" t="n">
        <v>0</v>
      </c>
      <c r="M753" t="n">
        <v>0</v>
      </c>
      <c r="N753" t="n">
        <v>0</v>
      </c>
      <c r="O753" t="n">
        <v>0</v>
      </c>
      <c r="P753" t="n">
        <v>0</v>
      </c>
      <c r="Q753" t="n">
        <v>0</v>
      </c>
      <c r="R753" s="2" t="inlineStr"/>
    </row>
    <row r="754" ht="15" customHeight="1">
      <c r="A754" t="inlineStr">
        <is>
          <t>A 53344-2023</t>
        </is>
      </c>
      <c r="B754" s="1" t="n">
        <v>45229</v>
      </c>
      <c r="C754" s="1" t="n">
        <v>46089</v>
      </c>
      <c r="D754" t="inlineStr">
        <is>
          <t>DALARNAS LÄN</t>
        </is>
      </c>
      <c r="E754" t="inlineStr">
        <is>
          <t>MORA</t>
        </is>
      </c>
      <c r="G754" t="n">
        <v>2.4</v>
      </c>
      <c r="H754" t="n">
        <v>0</v>
      </c>
      <c r="I754" t="n">
        <v>0</v>
      </c>
      <c r="J754" t="n">
        <v>0</v>
      </c>
      <c r="K754" t="n">
        <v>0</v>
      </c>
      <c r="L754" t="n">
        <v>0</v>
      </c>
      <c r="M754" t="n">
        <v>0</v>
      </c>
      <c r="N754" t="n">
        <v>0</v>
      </c>
      <c r="O754" t="n">
        <v>0</v>
      </c>
      <c r="P754" t="n">
        <v>0</v>
      </c>
      <c r="Q754" t="n">
        <v>0</v>
      </c>
      <c r="R754" s="2" t="inlineStr"/>
    </row>
    <row r="755" ht="15" customHeight="1">
      <c r="A755" t="inlineStr">
        <is>
          <t>A 53754-2024</t>
        </is>
      </c>
      <c r="B755" s="1" t="n">
        <v>45615.49371527778</v>
      </c>
      <c r="C755" s="1" t="n">
        <v>46089</v>
      </c>
      <c r="D755" t="inlineStr">
        <is>
          <t>DALARNAS LÄN</t>
        </is>
      </c>
      <c r="E755" t="inlineStr">
        <is>
          <t>MORA</t>
        </is>
      </c>
      <c r="G755" t="n">
        <v>4.8</v>
      </c>
      <c r="H755" t="n">
        <v>0</v>
      </c>
      <c r="I755" t="n">
        <v>0</v>
      </c>
      <c r="J755" t="n">
        <v>0</v>
      </c>
      <c r="K755" t="n">
        <v>0</v>
      </c>
      <c r="L755" t="n">
        <v>0</v>
      </c>
      <c r="M755" t="n">
        <v>0</v>
      </c>
      <c r="N755" t="n">
        <v>0</v>
      </c>
      <c r="O755" t="n">
        <v>0</v>
      </c>
      <c r="P755" t="n">
        <v>0</v>
      </c>
      <c r="Q755" t="n">
        <v>0</v>
      </c>
      <c r="R755" s="2" t="inlineStr"/>
    </row>
    <row r="756" ht="15" customHeight="1">
      <c r="A756" t="inlineStr">
        <is>
          <t>A 14040-2023</t>
        </is>
      </c>
      <c r="B756" s="1" t="n">
        <v>45008.64575231481</v>
      </c>
      <c r="C756" s="1" t="n">
        <v>46089</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56770-2024</t>
        </is>
      </c>
      <c r="B757" s="1" t="n">
        <v>45628.41587962963</v>
      </c>
      <c r="C757" s="1" t="n">
        <v>46089</v>
      </c>
      <c r="D757" t="inlineStr">
        <is>
          <t>DALARNAS LÄN</t>
        </is>
      </c>
      <c r="E757" t="inlineStr">
        <is>
          <t>MORA</t>
        </is>
      </c>
      <c r="G757" t="n">
        <v>1.1</v>
      </c>
      <c r="H757" t="n">
        <v>0</v>
      </c>
      <c r="I757" t="n">
        <v>0</v>
      </c>
      <c r="J757" t="n">
        <v>0</v>
      </c>
      <c r="K757" t="n">
        <v>0</v>
      </c>
      <c r="L757" t="n">
        <v>0</v>
      </c>
      <c r="M757" t="n">
        <v>0</v>
      </c>
      <c r="N757" t="n">
        <v>0</v>
      </c>
      <c r="O757" t="n">
        <v>0</v>
      </c>
      <c r="P757" t="n">
        <v>0</v>
      </c>
      <c r="Q757" t="n">
        <v>0</v>
      </c>
      <c r="R757" s="2" t="inlineStr"/>
    </row>
    <row r="758" ht="15" customHeight="1">
      <c r="A758" t="inlineStr">
        <is>
          <t>A 18120-2025</t>
        </is>
      </c>
      <c r="B758" s="1" t="n">
        <v>45761</v>
      </c>
      <c r="C758" s="1" t="n">
        <v>46089</v>
      </c>
      <c r="D758" t="inlineStr">
        <is>
          <t>DALARNAS LÄN</t>
        </is>
      </c>
      <c r="E758" t="inlineStr">
        <is>
          <t>MORA</t>
        </is>
      </c>
      <c r="F758" t="inlineStr">
        <is>
          <t>Bergvik skog väst AB</t>
        </is>
      </c>
      <c r="G758" t="n">
        <v>6.4</v>
      </c>
      <c r="H758" t="n">
        <v>0</v>
      </c>
      <c r="I758" t="n">
        <v>0</v>
      </c>
      <c r="J758" t="n">
        <v>0</v>
      </c>
      <c r="K758" t="n">
        <v>0</v>
      </c>
      <c r="L758" t="n">
        <v>0</v>
      </c>
      <c r="M758" t="n">
        <v>0</v>
      </c>
      <c r="N758" t="n">
        <v>0</v>
      </c>
      <c r="O758" t="n">
        <v>0</v>
      </c>
      <c r="P758" t="n">
        <v>0</v>
      </c>
      <c r="Q758" t="n">
        <v>0</v>
      </c>
      <c r="R758" s="2" t="inlineStr"/>
    </row>
    <row r="759" ht="15" customHeight="1">
      <c r="A759" t="inlineStr">
        <is>
          <t>A 18127-2025</t>
        </is>
      </c>
      <c r="B759" s="1" t="n">
        <v>45761.59523148148</v>
      </c>
      <c r="C759" s="1" t="n">
        <v>46089</v>
      </c>
      <c r="D759" t="inlineStr">
        <is>
          <t>DALARNAS LÄN</t>
        </is>
      </c>
      <c r="E759" t="inlineStr">
        <is>
          <t>MORA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4489-2022</t>
        </is>
      </c>
      <c r="B760" s="1" t="n">
        <v>44589</v>
      </c>
      <c r="C760" s="1" t="n">
        <v>46089</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45574-2023</t>
        </is>
      </c>
      <c r="B761" s="1" t="n">
        <v>45194</v>
      </c>
      <c r="C761" s="1" t="n">
        <v>46089</v>
      </c>
      <c r="D761" t="inlineStr">
        <is>
          <t>DALARNAS LÄN</t>
        </is>
      </c>
      <c r="E761" t="inlineStr">
        <is>
          <t>MORA</t>
        </is>
      </c>
      <c r="G761" t="n">
        <v>6.3</v>
      </c>
      <c r="H761" t="n">
        <v>0</v>
      </c>
      <c r="I761" t="n">
        <v>0</v>
      </c>
      <c r="J761" t="n">
        <v>0</v>
      </c>
      <c r="K761" t="n">
        <v>0</v>
      </c>
      <c r="L761" t="n">
        <v>0</v>
      </c>
      <c r="M761" t="n">
        <v>0</v>
      </c>
      <c r="N761" t="n">
        <v>0</v>
      </c>
      <c r="O761" t="n">
        <v>0</v>
      </c>
      <c r="P761" t="n">
        <v>0</v>
      </c>
      <c r="Q761" t="n">
        <v>0</v>
      </c>
      <c r="R761" s="2" t="inlineStr"/>
    </row>
    <row r="762" ht="15" customHeight="1">
      <c r="A762" t="inlineStr">
        <is>
          <t>A 45315-2024</t>
        </is>
      </c>
      <c r="B762" s="1" t="n">
        <v>45576.43782407408</v>
      </c>
      <c r="C762" s="1" t="n">
        <v>46089</v>
      </c>
      <c r="D762" t="inlineStr">
        <is>
          <t>DALARNAS LÄN</t>
        </is>
      </c>
      <c r="E762" t="inlineStr">
        <is>
          <t>MORA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17172-2025</t>
        </is>
      </c>
      <c r="B763" s="1" t="n">
        <v>45756.37201388889</v>
      </c>
      <c r="C763" s="1" t="n">
        <v>46089</v>
      </c>
      <c r="D763" t="inlineStr">
        <is>
          <t>DALARNAS LÄN</t>
        </is>
      </c>
      <c r="E763" t="inlineStr">
        <is>
          <t>MORA</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39009-2023</t>
        </is>
      </c>
      <c r="B764" s="1" t="n">
        <v>45162</v>
      </c>
      <c r="C764" s="1" t="n">
        <v>46089</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56532-2024</t>
        </is>
      </c>
      <c r="B765" s="1" t="n">
        <v>45625.55440972222</v>
      </c>
      <c r="C765" s="1" t="n">
        <v>46089</v>
      </c>
      <c r="D765" t="inlineStr">
        <is>
          <t>DALARNAS LÄN</t>
        </is>
      </c>
      <c r="E765" t="inlineStr">
        <is>
          <t>MORA</t>
        </is>
      </c>
      <c r="G765" t="n">
        <v>6.9</v>
      </c>
      <c r="H765" t="n">
        <v>0</v>
      </c>
      <c r="I765" t="n">
        <v>0</v>
      </c>
      <c r="J765" t="n">
        <v>0</v>
      </c>
      <c r="K765" t="n">
        <v>0</v>
      </c>
      <c r="L765" t="n">
        <v>0</v>
      </c>
      <c r="M765" t="n">
        <v>0</v>
      </c>
      <c r="N765" t="n">
        <v>0</v>
      </c>
      <c r="O765" t="n">
        <v>0</v>
      </c>
      <c r="P765" t="n">
        <v>0</v>
      </c>
      <c r="Q765" t="n">
        <v>0</v>
      </c>
      <c r="R765" s="2" t="inlineStr"/>
    </row>
    <row r="766" ht="15" customHeight="1">
      <c r="A766" t="inlineStr">
        <is>
          <t>A 5001-2025</t>
        </is>
      </c>
      <c r="B766" s="1" t="n">
        <v>45691.36403935185</v>
      </c>
      <c r="C766" s="1" t="n">
        <v>46089</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60360-2023</t>
        </is>
      </c>
      <c r="B767" s="1" t="n">
        <v>45259</v>
      </c>
      <c r="C767" s="1" t="n">
        <v>46089</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17164-2025</t>
        </is>
      </c>
      <c r="B768" s="1" t="n">
        <v>45756.36403935185</v>
      </c>
      <c r="C768" s="1" t="n">
        <v>46089</v>
      </c>
      <c r="D768" t="inlineStr">
        <is>
          <t>DALARNAS LÄN</t>
        </is>
      </c>
      <c r="E768" t="inlineStr">
        <is>
          <t>MORA</t>
        </is>
      </c>
      <c r="F768" t="inlineStr">
        <is>
          <t>Bergvik skog öst AB</t>
        </is>
      </c>
      <c r="G768" t="n">
        <v>0.3</v>
      </c>
      <c r="H768" t="n">
        <v>0</v>
      </c>
      <c r="I768" t="n">
        <v>0</v>
      </c>
      <c r="J768" t="n">
        <v>0</v>
      </c>
      <c r="K768" t="n">
        <v>0</v>
      </c>
      <c r="L768" t="n">
        <v>0</v>
      </c>
      <c r="M768" t="n">
        <v>0</v>
      </c>
      <c r="N768" t="n">
        <v>0</v>
      </c>
      <c r="O768" t="n">
        <v>0</v>
      </c>
      <c r="P768" t="n">
        <v>0</v>
      </c>
      <c r="Q768" t="n">
        <v>0</v>
      </c>
      <c r="R768" s="2" t="inlineStr"/>
    </row>
    <row r="769" ht="15" customHeight="1">
      <c r="A769" t="inlineStr">
        <is>
          <t>A 24768-2024</t>
        </is>
      </c>
      <c r="B769" s="1" t="n">
        <v>45460.69545138889</v>
      </c>
      <c r="C769" s="1" t="n">
        <v>46089</v>
      </c>
      <c r="D769" t="inlineStr">
        <is>
          <t>DALARNAS LÄN</t>
        </is>
      </c>
      <c r="E769" t="inlineStr">
        <is>
          <t>MORA</t>
        </is>
      </c>
      <c r="G769" t="n">
        <v>2.4</v>
      </c>
      <c r="H769" t="n">
        <v>0</v>
      </c>
      <c r="I769" t="n">
        <v>0</v>
      </c>
      <c r="J769" t="n">
        <v>0</v>
      </c>
      <c r="K769" t="n">
        <v>0</v>
      </c>
      <c r="L769" t="n">
        <v>0</v>
      </c>
      <c r="M769" t="n">
        <v>0</v>
      </c>
      <c r="N769" t="n">
        <v>0</v>
      </c>
      <c r="O769" t="n">
        <v>0</v>
      </c>
      <c r="P769" t="n">
        <v>0</v>
      </c>
      <c r="Q769" t="n">
        <v>0</v>
      </c>
      <c r="R769" s="2" t="inlineStr"/>
    </row>
    <row r="770" ht="15" customHeight="1">
      <c r="A770" t="inlineStr">
        <is>
          <t>A 17278-2025</t>
        </is>
      </c>
      <c r="B770" s="1" t="n">
        <v>45756.56131944444</v>
      </c>
      <c r="C770" s="1" t="n">
        <v>46089</v>
      </c>
      <c r="D770" t="inlineStr">
        <is>
          <t>DALARNAS LÄN</t>
        </is>
      </c>
      <c r="E770" t="inlineStr">
        <is>
          <t>MORA</t>
        </is>
      </c>
      <c r="G770" t="n">
        <v>3</v>
      </c>
      <c r="H770" t="n">
        <v>0</v>
      </c>
      <c r="I770" t="n">
        <v>0</v>
      </c>
      <c r="J770" t="n">
        <v>0</v>
      </c>
      <c r="K770" t="n">
        <v>0</v>
      </c>
      <c r="L770" t="n">
        <v>0</v>
      </c>
      <c r="M770" t="n">
        <v>0</v>
      </c>
      <c r="N770" t="n">
        <v>0</v>
      </c>
      <c r="O770" t="n">
        <v>0</v>
      </c>
      <c r="P770" t="n">
        <v>0</v>
      </c>
      <c r="Q770" t="n">
        <v>0</v>
      </c>
      <c r="R770" s="2" t="inlineStr"/>
    </row>
    <row r="771" ht="15" customHeight="1">
      <c r="A771" t="inlineStr">
        <is>
          <t>A 4209-2023</t>
        </is>
      </c>
      <c r="B771" s="1" t="n">
        <v>44953</v>
      </c>
      <c r="C771" s="1" t="n">
        <v>46089</v>
      </c>
      <c r="D771" t="inlineStr">
        <is>
          <t>DALARNAS LÄN</t>
        </is>
      </c>
      <c r="E771" t="inlineStr">
        <is>
          <t>MORA</t>
        </is>
      </c>
      <c r="G771" t="n">
        <v>1</v>
      </c>
      <c r="H771" t="n">
        <v>0</v>
      </c>
      <c r="I771" t="n">
        <v>0</v>
      </c>
      <c r="J771" t="n">
        <v>0</v>
      </c>
      <c r="K771" t="n">
        <v>0</v>
      </c>
      <c r="L771" t="n">
        <v>0</v>
      </c>
      <c r="M771" t="n">
        <v>0</v>
      </c>
      <c r="N771" t="n">
        <v>0</v>
      </c>
      <c r="O771" t="n">
        <v>0</v>
      </c>
      <c r="P771" t="n">
        <v>0</v>
      </c>
      <c r="Q771" t="n">
        <v>0</v>
      </c>
      <c r="R771" s="2" t="inlineStr"/>
    </row>
    <row r="772" ht="15" customHeight="1">
      <c r="A772" t="inlineStr">
        <is>
          <t>A 44205-2023</t>
        </is>
      </c>
      <c r="B772" s="1" t="n">
        <v>45188</v>
      </c>
      <c r="C772" s="1" t="n">
        <v>46089</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22732-2024</t>
        </is>
      </c>
      <c r="B773" s="1" t="n">
        <v>45448.38677083333</v>
      </c>
      <c r="C773" s="1" t="n">
        <v>46089</v>
      </c>
      <c r="D773" t="inlineStr">
        <is>
          <t>DALARNAS LÄN</t>
        </is>
      </c>
      <c r="E773" t="inlineStr">
        <is>
          <t>MORA</t>
        </is>
      </c>
      <c r="G773" t="n">
        <v>3.6</v>
      </c>
      <c r="H773" t="n">
        <v>0</v>
      </c>
      <c r="I773" t="n">
        <v>0</v>
      </c>
      <c r="J773" t="n">
        <v>0</v>
      </c>
      <c r="K773" t="n">
        <v>0</v>
      </c>
      <c r="L773" t="n">
        <v>0</v>
      </c>
      <c r="M773" t="n">
        <v>0</v>
      </c>
      <c r="N773" t="n">
        <v>0</v>
      </c>
      <c r="O773" t="n">
        <v>0</v>
      </c>
      <c r="P773" t="n">
        <v>0</v>
      </c>
      <c r="Q773" t="n">
        <v>0</v>
      </c>
      <c r="R773" s="2" t="inlineStr"/>
    </row>
    <row r="774" ht="15" customHeight="1">
      <c r="A774" t="inlineStr">
        <is>
          <t>A 19756-2022</t>
        </is>
      </c>
      <c r="B774" s="1" t="n">
        <v>44694.62913194444</v>
      </c>
      <c r="C774" s="1" t="n">
        <v>46089</v>
      </c>
      <c r="D774" t="inlineStr">
        <is>
          <t>DALARNAS LÄN</t>
        </is>
      </c>
      <c r="E774" t="inlineStr">
        <is>
          <t>MORA</t>
        </is>
      </c>
      <c r="G774" t="n">
        <v>1</v>
      </c>
      <c r="H774" t="n">
        <v>0</v>
      </c>
      <c r="I774" t="n">
        <v>0</v>
      </c>
      <c r="J774" t="n">
        <v>0</v>
      </c>
      <c r="K774" t="n">
        <v>0</v>
      </c>
      <c r="L774" t="n">
        <v>0</v>
      </c>
      <c r="M774" t="n">
        <v>0</v>
      </c>
      <c r="N774" t="n">
        <v>0</v>
      </c>
      <c r="O774" t="n">
        <v>0</v>
      </c>
      <c r="P774" t="n">
        <v>0</v>
      </c>
      <c r="Q774" t="n">
        <v>0</v>
      </c>
      <c r="R774" s="2" t="inlineStr"/>
    </row>
    <row r="775" ht="15" customHeight="1">
      <c r="A775" t="inlineStr">
        <is>
          <t>A 46801-2022</t>
        </is>
      </c>
      <c r="B775" s="1" t="n">
        <v>44851</v>
      </c>
      <c r="C775" s="1" t="n">
        <v>46089</v>
      </c>
      <c r="D775" t="inlineStr">
        <is>
          <t>DALARNAS LÄN</t>
        </is>
      </c>
      <c r="E775" t="inlineStr">
        <is>
          <t>MORA</t>
        </is>
      </c>
      <c r="G775" t="n">
        <v>1.5</v>
      </c>
      <c r="H775" t="n">
        <v>0</v>
      </c>
      <c r="I775" t="n">
        <v>0</v>
      </c>
      <c r="J775" t="n">
        <v>0</v>
      </c>
      <c r="K775" t="n">
        <v>0</v>
      </c>
      <c r="L775" t="n">
        <v>0</v>
      </c>
      <c r="M775" t="n">
        <v>0</v>
      </c>
      <c r="N775" t="n">
        <v>0</v>
      </c>
      <c r="O775" t="n">
        <v>0</v>
      </c>
      <c r="P775" t="n">
        <v>0</v>
      </c>
      <c r="Q775" t="n">
        <v>0</v>
      </c>
      <c r="R775" s="2" t="inlineStr"/>
    </row>
    <row r="776" ht="15" customHeight="1">
      <c r="A776" t="inlineStr">
        <is>
          <t>A 5644-2024</t>
        </is>
      </c>
      <c r="B776" s="1" t="n">
        <v>45334</v>
      </c>
      <c r="C776" s="1" t="n">
        <v>46089</v>
      </c>
      <c r="D776" t="inlineStr">
        <is>
          <t>DALARNAS LÄN</t>
        </is>
      </c>
      <c r="E776" t="inlineStr">
        <is>
          <t>MORA</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33627-2024</t>
        </is>
      </c>
      <c r="B777" s="1" t="n">
        <v>45520</v>
      </c>
      <c r="C777" s="1" t="n">
        <v>46089</v>
      </c>
      <c r="D777" t="inlineStr">
        <is>
          <t>DALARNAS LÄN</t>
        </is>
      </c>
      <c r="E777" t="inlineStr">
        <is>
          <t>MORA</t>
        </is>
      </c>
      <c r="G777" t="n">
        <v>1.1</v>
      </c>
      <c r="H777" t="n">
        <v>0</v>
      </c>
      <c r="I777" t="n">
        <v>0</v>
      </c>
      <c r="J777" t="n">
        <v>0</v>
      </c>
      <c r="K777" t="n">
        <v>0</v>
      </c>
      <c r="L777" t="n">
        <v>0</v>
      </c>
      <c r="M777" t="n">
        <v>0</v>
      </c>
      <c r="N777" t="n">
        <v>0</v>
      </c>
      <c r="O777" t="n">
        <v>0</v>
      </c>
      <c r="P777" t="n">
        <v>0</v>
      </c>
      <c r="Q777" t="n">
        <v>0</v>
      </c>
      <c r="R777" s="2" t="inlineStr"/>
    </row>
    <row r="778" ht="15" customHeight="1">
      <c r="A778" t="inlineStr">
        <is>
          <t>A 46923-2024</t>
        </is>
      </c>
      <c r="B778" s="1" t="n">
        <v>45584.42887731481</v>
      </c>
      <c r="C778" s="1" t="n">
        <v>46089</v>
      </c>
      <c r="D778" t="inlineStr">
        <is>
          <t>DALARNAS LÄN</t>
        </is>
      </c>
      <c r="E778" t="inlineStr">
        <is>
          <t>MORA</t>
        </is>
      </c>
      <c r="G778" t="n">
        <v>3.4</v>
      </c>
      <c r="H778" t="n">
        <v>0</v>
      </c>
      <c r="I778" t="n">
        <v>0</v>
      </c>
      <c r="J778" t="n">
        <v>0</v>
      </c>
      <c r="K778" t="n">
        <v>0</v>
      </c>
      <c r="L778" t="n">
        <v>0</v>
      </c>
      <c r="M778" t="n">
        <v>0</v>
      </c>
      <c r="N778" t="n">
        <v>0</v>
      </c>
      <c r="O778" t="n">
        <v>0</v>
      </c>
      <c r="P778" t="n">
        <v>0</v>
      </c>
      <c r="Q778" t="n">
        <v>0</v>
      </c>
      <c r="R778" s="2" t="inlineStr"/>
    </row>
    <row r="779" ht="15" customHeight="1">
      <c r="A779" t="inlineStr">
        <is>
          <t>A 39888-2024</t>
        </is>
      </c>
      <c r="B779" s="1" t="n">
        <v>45553.47538194444</v>
      </c>
      <c r="C779" s="1" t="n">
        <v>46089</v>
      </c>
      <c r="D779" t="inlineStr">
        <is>
          <t>DALARNAS LÄN</t>
        </is>
      </c>
      <c r="E779" t="inlineStr">
        <is>
          <t>MORA</t>
        </is>
      </c>
      <c r="G779" t="n">
        <v>5.4</v>
      </c>
      <c r="H779" t="n">
        <v>0</v>
      </c>
      <c r="I779" t="n">
        <v>0</v>
      </c>
      <c r="J779" t="n">
        <v>0</v>
      </c>
      <c r="K779" t="n">
        <v>0</v>
      </c>
      <c r="L779" t="n">
        <v>0</v>
      </c>
      <c r="M779" t="n">
        <v>0</v>
      </c>
      <c r="N779" t="n">
        <v>0</v>
      </c>
      <c r="O779" t="n">
        <v>0</v>
      </c>
      <c r="P779" t="n">
        <v>0</v>
      </c>
      <c r="Q779" t="n">
        <v>0</v>
      </c>
      <c r="R779" s="2" t="inlineStr"/>
    </row>
    <row r="780" ht="15" customHeight="1">
      <c r="A780" t="inlineStr">
        <is>
          <t>A 33666-2024</t>
        </is>
      </c>
      <c r="B780" s="1" t="n">
        <v>45520.48304398148</v>
      </c>
      <c r="C780" s="1" t="n">
        <v>46089</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20989-2024</t>
        </is>
      </c>
      <c r="B781" s="1" t="n">
        <v>45439</v>
      </c>
      <c r="C781" s="1" t="n">
        <v>46089</v>
      </c>
      <c r="D781" t="inlineStr">
        <is>
          <t>DALARNAS LÄN</t>
        </is>
      </c>
      <c r="E781" t="inlineStr">
        <is>
          <t>MORA</t>
        </is>
      </c>
      <c r="F781" t="inlineStr">
        <is>
          <t>Bergvik skog öst AB</t>
        </is>
      </c>
      <c r="G781" t="n">
        <v>14.7</v>
      </c>
      <c r="H781" t="n">
        <v>0</v>
      </c>
      <c r="I781" t="n">
        <v>0</v>
      </c>
      <c r="J781" t="n">
        <v>0</v>
      </c>
      <c r="K781" t="n">
        <v>0</v>
      </c>
      <c r="L781" t="n">
        <v>0</v>
      </c>
      <c r="M781" t="n">
        <v>0</v>
      </c>
      <c r="N781" t="n">
        <v>0</v>
      </c>
      <c r="O781" t="n">
        <v>0</v>
      </c>
      <c r="P781" t="n">
        <v>0</v>
      </c>
      <c r="Q781" t="n">
        <v>0</v>
      </c>
      <c r="R781" s="2" t="inlineStr"/>
    </row>
    <row r="782" ht="15" customHeight="1">
      <c r="A782" t="inlineStr">
        <is>
          <t>A 41812-2024</t>
        </is>
      </c>
      <c r="B782" s="1" t="n">
        <v>45561.3771412037</v>
      </c>
      <c r="C782" s="1" t="n">
        <v>46089</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51888-2024</t>
        </is>
      </c>
      <c r="B783" s="1" t="n">
        <v>45607.57142361111</v>
      </c>
      <c r="C783" s="1" t="n">
        <v>46089</v>
      </c>
      <c r="D783" t="inlineStr">
        <is>
          <t>DALARNAS LÄN</t>
        </is>
      </c>
      <c r="E783" t="inlineStr">
        <is>
          <t>MORA</t>
        </is>
      </c>
      <c r="G783" t="n">
        <v>0.9</v>
      </c>
      <c r="H783" t="n">
        <v>0</v>
      </c>
      <c r="I783" t="n">
        <v>0</v>
      </c>
      <c r="J783" t="n">
        <v>0</v>
      </c>
      <c r="K783" t="n">
        <v>0</v>
      </c>
      <c r="L783" t="n">
        <v>0</v>
      </c>
      <c r="M783" t="n">
        <v>0</v>
      </c>
      <c r="N783" t="n">
        <v>0</v>
      </c>
      <c r="O783" t="n">
        <v>0</v>
      </c>
      <c r="P783" t="n">
        <v>0</v>
      </c>
      <c r="Q783" t="n">
        <v>0</v>
      </c>
      <c r="R783" s="2" t="inlineStr"/>
    </row>
    <row r="784" ht="15" customHeight="1">
      <c r="A784" t="inlineStr">
        <is>
          <t>A 32721-2024</t>
        </is>
      </c>
      <c r="B784" s="1" t="n">
        <v>45516.40261574074</v>
      </c>
      <c r="C784" s="1" t="n">
        <v>46089</v>
      </c>
      <c r="D784" t="inlineStr">
        <is>
          <t>DALARNAS LÄN</t>
        </is>
      </c>
      <c r="E784" t="inlineStr">
        <is>
          <t>MORA</t>
        </is>
      </c>
      <c r="G784" t="n">
        <v>4.2</v>
      </c>
      <c r="H784" t="n">
        <v>0</v>
      </c>
      <c r="I784" t="n">
        <v>0</v>
      </c>
      <c r="J784" t="n">
        <v>0</v>
      </c>
      <c r="K784" t="n">
        <v>0</v>
      </c>
      <c r="L784" t="n">
        <v>0</v>
      </c>
      <c r="M784" t="n">
        <v>0</v>
      </c>
      <c r="N784" t="n">
        <v>0</v>
      </c>
      <c r="O784" t="n">
        <v>0</v>
      </c>
      <c r="P784" t="n">
        <v>0</v>
      </c>
      <c r="Q784" t="n">
        <v>0</v>
      </c>
      <c r="R784" s="2" t="inlineStr"/>
    </row>
    <row r="785" ht="15" customHeight="1">
      <c r="A785" t="inlineStr">
        <is>
          <t>A 25749-2023</t>
        </is>
      </c>
      <c r="B785" s="1" t="n">
        <v>45090</v>
      </c>
      <c r="C785" s="1" t="n">
        <v>46089</v>
      </c>
      <c r="D785" t="inlineStr">
        <is>
          <t>DALARNAS LÄN</t>
        </is>
      </c>
      <c r="E785" t="inlineStr">
        <is>
          <t>MORA</t>
        </is>
      </c>
      <c r="G785" t="n">
        <v>2.4</v>
      </c>
      <c r="H785" t="n">
        <v>0</v>
      </c>
      <c r="I785" t="n">
        <v>0</v>
      </c>
      <c r="J785" t="n">
        <v>0</v>
      </c>
      <c r="K785" t="n">
        <v>0</v>
      </c>
      <c r="L785" t="n">
        <v>0</v>
      </c>
      <c r="M785" t="n">
        <v>0</v>
      </c>
      <c r="N785" t="n">
        <v>0</v>
      </c>
      <c r="O785" t="n">
        <v>0</v>
      </c>
      <c r="P785" t="n">
        <v>0</v>
      </c>
      <c r="Q785" t="n">
        <v>0</v>
      </c>
      <c r="R785" s="2" t="inlineStr"/>
    </row>
    <row r="786" ht="15" customHeight="1">
      <c r="A786" t="inlineStr">
        <is>
          <t>A 40325-2024</t>
        </is>
      </c>
      <c r="B786" s="1" t="n">
        <v>45554.88538194444</v>
      </c>
      <c r="C786" s="1" t="n">
        <v>46089</v>
      </c>
      <c r="D786" t="inlineStr">
        <is>
          <t>DALARNAS LÄN</t>
        </is>
      </c>
      <c r="E786" t="inlineStr">
        <is>
          <t>MORA</t>
        </is>
      </c>
      <c r="G786" t="n">
        <v>2.8</v>
      </c>
      <c r="H786" t="n">
        <v>0</v>
      </c>
      <c r="I786" t="n">
        <v>0</v>
      </c>
      <c r="J786" t="n">
        <v>0</v>
      </c>
      <c r="K786" t="n">
        <v>0</v>
      </c>
      <c r="L786" t="n">
        <v>0</v>
      </c>
      <c r="M786" t="n">
        <v>0</v>
      </c>
      <c r="N786" t="n">
        <v>0</v>
      </c>
      <c r="O786" t="n">
        <v>0</v>
      </c>
      <c r="P786" t="n">
        <v>0</v>
      </c>
      <c r="Q786" t="n">
        <v>0</v>
      </c>
      <c r="R786" s="2" t="inlineStr"/>
    </row>
    <row r="787" ht="15" customHeight="1">
      <c r="A787" t="inlineStr">
        <is>
          <t>A 43964-2024</t>
        </is>
      </c>
      <c r="B787" s="1" t="n">
        <v>45572.48407407408</v>
      </c>
      <c r="C787" s="1" t="n">
        <v>46089</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51883-2024</t>
        </is>
      </c>
      <c r="B788" s="1" t="n">
        <v>45607</v>
      </c>
      <c r="C788" s="1" t="n">
        <v>46089</v>
      </c>
      <c r="D788" t="inlineStr">
        <is>
          <t>DALARNAS LÄN</t>
        </is>
      </c>
      <c r="E788" t="inlineStr">
        <is>
          <t>MORA</t>
        </is>
      </c>
      <c r="G788" t="n">
        <v>0.2</v>
      </c>
      <c r="H788" t="n">
        <v>0</v>
      </c>
      <c r="I788" t="n">
        <v>0</v>
      </c>
      <c r="J788" t="n">
        <v>0</v>
      </c>
      <c r="K788" t="n">
        <v>0</v>
      </c>
      <c r="L788" t="n">
        <v>0</v>
      </c>
      <c r="M788" t="n">
        <v>0</v>
      </c>
      <c r="N788" t="n">
        <v>0</v>
      </c>
      <c r="O788" t="n">
        <v>0</v>
      </c>
      <c r="P788" t="n">
        <v>0</v>
      </c>
      <c r="Q788" t="n">
        <v>0</v>
      </c>
      <c r="R788" s="2" t="inlineStr"/>
    </row>
    <row r="789" ht="15" customHeight="1">
      <c r="A789" t="inlineStr">
        <is>
          <t>A 42941-2024</t>
        </is>
      </c>
      <c r="B789" s="1" t="n">
        <v>45567.3515162037</v>
      </c>
      <c r="C789" s="1" t="n">
        <v>46089</v>
      </c>
      <c r="D789" t="inlineStr">
        <is>
          <t>DALARNAS LÄN</t>
        </is>
      </c>
      <c r="E789" t="inlineStr">
        <is>
          <t>MORA</t>
        </is>
      </c>
      <c r="G789" t="n">
        <v>1.6</v>
      </c>
      <c r="H789" t="n">
        <v>0</v>
      </c>
      <c r="I789" t="n">
        <v>0</v>
      </c>
      <c r="J789" t="n">
        <v>0</v>
      </c>
      <c r="K789" t="n">
        <v>0</v>
      </c>
      <c r="L789" t="n">
        <v>0</v>
      </c>
      <c r="M789" t="n">
        <v>0</v>
      </c>
      <c r="N789" t="n">
        <v>0</v>
      </c>
      <c r="O789" t="n">
        <v>0</v>
      </c>
      <c r="P789" t="n">
        <v>0</v>
      </c>
      <c r="Q789" t="n">
        <v>0</v>
      </c>
      <c r="R789" s="2" t="inlineStr"/>
    </row>
    <row r="790" ht="15" customHeight="1">
      <c r="A790" t="inlineStr">
        <is>
          <t>A 43873-2024</t>
        </is>
      </c>
      <c r="B790" s="1" t="n">
        <v>45572.38429398148</v>
      </c>
      <c r="C790" s="1" t="n">
        <v>46089</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14372-2025</t>
        </is>
      </c>
      <c r="B791" s="1" t="n">
        <v>45741.4050462963</v>
      </c>
      <c r="C791" s="1" t="n">
        <v>46089</v>
      </c>
      <c r="D791" t="inlineStr">
        <is>
          <t>DALARNAS LÄN</t>
        </is>
      </c>
      <c r="E791" t="inlineStr">
        <is>
          <t>MORA</t>
        </is>
      </c>
      <c r="G791" t="n">
        <v>5.1</v>
      </c>
      <c r="H791" t="n">
        <v>0</v>
      </c>
      <c r="I791" t="n">
        <v>0</v>
      </c>
      <c r="J791" t="n">
        <v>0</v>
      </c>
      <c r="K791" t="n">
        <v>0</v>
      </c>
      <c r="L791" t="n">
        <v>0</v>
      </c>
      <c r="M791" t="n">
        <v>0</v>
      </c>
      <c r="N791" t="n">
        <v>0</v>
      </c>
      <c r="O791" t="n">
        <v>0</v>
      </c>
      <c r="P791" t="n">
        <v>0</v>
      </c>
      <c r="Q791" t="n">
        <v>0</v>
      </c>
      <c r="R791" s="2" t="inlineStr"/>
    </row>
    <row r="792" ht="15" customHeight="1">
      <c r="A792" t="inlineStr">
        <is>
          <t>A 14378-2025</t>
        </is>
      </c>
      <c r="B792" s="1" t="n">
        <v>45741</v>
      </c>
      <c r="C792" s="1" t="n">
        <v>46089</v>
      </c>
      <c r="D792" t="inlineStr">
        <is>
          <t>DALARNAS LÄN</t>
        </is>
      </c>
      <c r="E792" t="inlineStr">
        <is>
          <t>MORA</t>
        </is>
      </c>
      <c r="G792" t="n">
        <v>5.2</v>
      </c>
      <c r="H792" t="n">
        <v>0</v>
      </c>
      <c r="I792" t="n">
        <v>0</v>
      </c>
      <c r="J792" t="n">
        <v>0</v>
      </c>
      <c r="K792" t="n">
        <v>0</v>
      </c>
      <c r="L792" t="n">
        <v>0</v>
      </c>
      <c r="M792" t="n">
        <v>0</v>
      </c>
      <c r="N792" t="n">
        <v>0</v>
      </c>
      <c r="O792" t="n">
        <v>0</v>
      </c>
      <c r="P792" t="n">
        <v>0</v>
      </c>
      <c r="Q792" t="n">
        <v>0</v>
      </c>
      <c r="R792" s="2" t="inlineStr"/>
    </row>
    <row r="793" ht="15" customHeight="1">
      <c r="A793" t="inlineStr">
        <is>
          <t>A 16733-2024</t>
        </is>
      </c>
      <c r="B793" s="1" t="n">
        <v>45410.78502314815</v>
      </c>
      <c r="C793" s="1" t="n">
        <v>46089</v>
      </c>
      <c r="D793" t="inlineStr">
        <is>
          <t>DALARNAS LÄN</t>
        </is>
      </c>
      <c r="E793" t="inlineStr">
        <is>
          <t>MORA</t>
        </is>
      </c>
      <c r="G793" t="n">
        <v>6.3</v>
      </c>
      <c r="H793" t="n">
        <v>0</v>
      </c>
      <c r="I793" t="n">
        <v>0</v>
      </c>
      <c r="J793" t="n">
        <v>0</v>
      </c>
      <c r="K793" t="n">
        <v>0</v>
      </c>
      <c r="L793" t="n">
        <v>0</v>
      </c>
      <c r="M793" t="n">
        <v>0</v>
      </c>
      <c r="N793" t="n">
        <v>0</v>
      </c>
      <c r="O793" t="n">
        <v>0</v>
      </c>
      <c r="P793" t="n">
        <v>0</v>
      </c>
      <c r="Q793" t="n">
        <v>0</v>
      </c>
      <c r="R793" s="2" t="inlineStr"/>
    </row>
    <row r="794" ht="15" customHeight="1">
      <c r="A794" t="inlineStr">
        <is>
          <t>A 61217-2023</t>
        </is>
      </c>
      <c r="B794" s="1" t="n">
        <v>45264.43802083333</v>
      </c>
      <c r="C794" s="1" t="n">
        <v>46089</v>
      </c>
      <c r="D794" t="inlineStr">
        <is>
          <t>DALARNAS LÄN</t>
        </is>
      </c>
      <c r="E794" t="inlineStr">
        <is>
          <t>MORA</t>
        </is>
      </c>
      <c r="F794" t="inlineStr">
        <is>
          <t>Allmännings- och besparingsskogar</t>
        </is>
      </c>
      <c r="G794" t="n">
        <v>2</v>
      </c>
      <c r="H794" t="n">
        <v>0</v>
      </c>
      <c r="I794" t="n">
        <v>0</v>
      </c>
      <c r="J794" t="n">
        <v>0</v>
      </c>
      <c r="K794" t="n">
        <v>0</v>
      </c>
      <c r="L794" t="n">
        <v>0</v>
      </c>
      <c r="M794" t="n">
        <v>0</v>
      </c>
      <c r="N794" t="n">
        <v>0</v>
      </c>
      <c r="O794" t="n">
        <v>0</v>
      </c>
      <c r="P794" t="n">
        <v>0</v>
      </c>
      <c r="Q794" t="n">
        <v>0</v>
      </c>
      <c r="R794" s="2" t="inlineStr"/>
    </row>
    <row r="795" ht="15" customHeight="1">
      <c r="A795" t="inlineStr">
        <is>
          <t>A 61218-2023</t>
        </is>
      </c>
      <c r="B795" s="1" t="n">
        <v>45264</v>
      </c>
      <c r="C795" s="1" t="n">
        <v>46089</v>
      </c>
      <c r="D795" t="inlineStr">
        <is>
          <t>DALARNAS LÄN</t>
        </is>
      </c>
      <c r="E795" t="inlineStr">
        <is>
          <t>MORA</t>
        </is>
      </c>
      <c r="F795" t="inlineStr">
        <is>
          <t>Allmännings- och besparingsskogar</t>
        </is>
      </c>
      <c r="G795" t="n">
        <v>2.6</v>
      </c>
      <c r="H795" t="n">
        <v>0</v>
      </c>
      <c r="I795" t="n">
        <v>0</v>
      </c>
      <c r="J795" t="n">
        <v>0</v>
      </c>
      <c r="K795" t="n">
        <v>0</v>
      </c>
      <c r="L795" t="n">
        <v>0</v>
      </c>
      <c r="M795" t="n">
        <v>0</v>
      </c>
      <c r="N795" t="n">
        <v>0</v>
      </c>
      <c r="O795" t="n">
        <v>0</v>
      </c>
      <c r="P795" t="n">
        <v>0</v>
      </c>
      <c r="Q795" t="n">
        <v>0</v>
      </c>
      <c r="R795" s="2" t="inlineStr"/>
    </row>
    <row r="796" ht="15" customHeight="1">
      <c r="A796" t="inlineStr">
        <is>
          <t>A 39348-2024</t>
        </is>
      </c>
      <c r="B796" s="1" t="n">
        <v>45551.45322916667</v>
      </c>
      <c r="C796" s="1" t="n">
        <v>46089</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54903-2024</t>
        </is>
      </c>
      <c r="B797" s="1" t="n">
        <v>45618</v>
      </c>
      <c r="C797" s="1" t="n">
        <v>46089</v>
      </c>
      <c r="D797" t="inlineStr">
        <is>
          <t>DALARNAS LÄN</t>
        </is>
      </c>
      <c r="E797" t="inlineStr">
        <is>
          <t>MORA</t>
        </is>
      </c>
      <c r="G797" t="n">
        <v>28.2</v>
      </c>
      <c r="H797" t="n">
        <v>0</v>
      </c>
      <c r="I797" t="n">
        <v>0</v>
      </c>
      <c r="J797" t="n">
        <v>0</v>
      </c>
      <c r="K797" t="n">
        <v>0</v>
      </c>
      <c r="L797" t="n">
        <v>0</v>
      </c>
      <c r="M797" t="n">
        <v>0</v>
      </c>
      <c r="N797" t="n">
        <v>0</v>
      </c>
      <c r="O797" t="n">
        <v>0</v>
      </c>
      <c r="P797" t="n">
        <v>0</v>
      </c>
      <c r="Q797" t="n">
        <v>0</v>
      </c>
      <c r="R797" s="2" t="inlineStr"/>
    </row>
    <row r="798" ht="15" customHeight="1">
      <c r="A798" t="inlineStr">
        <is>
          <t>A 23302-2024</t>
        </is>
      </c>
      <c r="B798" s="1" t="n">
        <v>45453.44091435185</v>
      </c>
      <c r="C798" s="1" t="n">
        <v>46089</v>
      </c>
      <c r="D798" t="inlineStr">
        <is>
          <t>DALARNAS LÄN</t>
        </is>
      </c>
      <c r="E798" t="inlineStr">
        <is>
          <t>MORA</t>
        </is>
      </c>
      <c r="G798" t="n">
        <v>1.3</v>
      </c>
      <c r="H798" t="n">
        <v>0</v>
      </c>
      <c r="I798" t="n">
        <v>0</v>
      </c>
      <c r="J798" t="n">
        <v>0</v>
      </c>
      <c r="K798" t="n">
        <v>0</v>
      </c>
      <c r="L798" t="n">
        <v>0</v>
      </c>
      <c r="M798" t="n">
        <v>0</v>
      </c>
      <c r="N798" t="n">
        <v>0</v>
      </c>
      <c r="O798" t="n">
        <v>0</v>
      </c>
      <c r="P798" t="n">
        <v>0</v>
      </c>
      <c r="Q798" t="n">
        <v>0</v>
      </c>
      <c r="R798" s="2" t="inlineStr"/>
    </row>
    <row r="799" ht="15" customHeight="1">
      <c r="A799" t="inlineStr">
        <is>
          <t>A 16573-2024</t>
        </is>
      </c>
      <c r="B799" s="1" t="n">
        <v>45408.46980324074</v>
      </c>
      <c r="C799" s="1" t="n">
        <v>46089</v>
      </c>
      <c r="D799" t="inlineStr">
        <is>
          <t>DALARNAS LÄN</t>
        </is>
      </c>
      <c r="E799" t="inlineStr">
        <is>
          <t>MORA</t>
        </is>
      </c>
      <c r="G799" t="n">
        <v>4.5</v>
      </c>
      <c r="H799" t="n">
        <v>0</v>
      </c>
      <c r="I799" t="n">
        <v>0</v>
      </c>
      <c r="J799" t="n">
        <v>0</v>
      </c>
      <c r="K799" t="n">
        <v>0</v>
      </c>
      <c r="L799" t="n">
        <v>0</v>
      </c>
      <c r="M799" t="n">
        <v>0</v>
      </c>
      <c r="N799" t="n">
        <v>0</v>
      </c>
      <c r="O799" t="n">
        <v>0</v>
      </c>
      <c r="P799" t="n">
        <v>0</v>
      </c>
      <c r="Q799" t="n">
        <v>0</v>
      </c>
      <c r="R799" s="2" t="inlineStr"/>
    </row>
    <row r="800" ht="15" customHeight="1">
      <c r="A800" t="inlineStr">
        <is>
          <t>A 21894-2025</t>
        </is>
      </c>
      <c r="B800" s="1" t="n">
        <v>45784.45060185185</v>
      </c>
      <c r="C800" s="1" t="n">
        <v>46089</v>
      </c>
      <c r="D800" t="inlineStr">
        <is>
          <t>DALARNAS LÄN</t>
        </is>
      </c>
      <c r="E800" t="inlineStr">
        <is>
          <t>MORA</t>
        </is>
      </c>
      <c r="G800" t="n">
        <v>0.7</v>
      </c>
      <c r="H800" t="n">
        <v>0</v>
      </c>
      <c r="I800" t="n">
        <v>0</v>
      </c>
      <c r="J800" t="n">
        <v>0</v>
      </c>
      <c r="K800" t="n">
        <v>0</v>
      </c>
      <c r="L800" t="n">
        <v>0</v>
      </c>
      <c r="M800" t="n">
        <v>0</v>
      </c>
      <c r="N800" t="n">
        <v>0</v>
      </c>
      <c r="O800" t="n">
        <v>0</v>
      </c>
      <c r="P800" t="n">
        <v>0</v>
      </c>
      <c r="Q800" t="n">
        <v>0</v>
      </c>
      <c r="R800" s="2" t="inlineStr"/>
    </row>
    <row r="801" ht="15" customHeight="1">
      <c r="A801" t="inlineStr">
        <is>
          <t>A 21890-2025</t>
        </is>
      </c>
      <c r="B801" s="1" t="n">
        <v>45784.44481481481</v>
      </c>
      <c r="C801" s="1" t="n">
        <v>46089</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21895-2025</t>
        </is>
      </c>
      <c r="B802" s="1" t="n">
        <v>45784.45273148148</v>
      </c>
      <c r="C802" s="1" t="n">
        <v>46089</v>
      </c>
      <c r="D802" t="inlineStr">
        <is>
          <t>DALARNAS LÄN</t>
        </is>
      </c>
      <c r="E802" t="inlineStr">
        <is>
          <t>MORA</t>
        </is>
      </c>
      <c r="G802" t="n">
        <v>0.4</v>
      </c>
      <c r="H802" t="n">
        <v>0</v>
      </c>
      <c r="I802" t="n">
        <v>0</v>
      </c>
      <c r="J802" t="n">
        <v>0</v>
      </c>
      <c r="K802" t="n">
        <v>0</v>
      </c>
      <c r="L802" t="n">
        <v>0</v>
      </c>
      <c r="M802" t="n">
        <v>0</v>
      </c>
      <c r="N802" t="n">
        <v>0</v>
      </c>
      <c r="O802" t="n">
        <v>0</v>
      </c>
      <c r="P802" t="n">
        <v>0</v>
      </c>
      <c r="Q802" t="n">
        <v>0</v>
      </c>
      <c r="R802" s="2" t="inlineStr"/>
    </row>
    <row r="803" ht="15" customHeight="1">
      <c r="A803" t="inlineStr">
        <is>
          <t>A 22354-2025</t>
        </is>
      </c>
      <c r="B803" s="1" t="n">
        <v>45786.45721064815</v>
      </c>
      <c r="C803" s="1" t="n">
        <v>46089</v>
      </c>
      <c r="D803" t="inlineStr">
        <is>
          <t>DALARNAS LÄN</t>
        </is>
      </c>
      <c r="E803" t="inlineStr">
        <is>
          <t>MORA</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22409-2025</t>
        </is>
      </c>
      <c r="B804" s="1" t="n">
        <v>45786.54940972223</v>
      </c>
      <c r="C804" s="1" t="n">
        <v>46089</v>
      </c>
      <c r="D804" t="inlineStr">
        <is>
          <t>DALARNAS LÄN</t>
        </is>
      </c>
      <c r="E804" t="inlineStr">
        <is>
          <t>MORA</t>
        </is>
      </c>
      <c r="F804" t="inlineStr">
        <is>
          <t>Bergvik skog öst AB</t>
        </is>
      </c>
      <c r="G804" t="n">
        <v>5</v>
      </c>
      <c r="H804" t="n">
        <v>0</v>
      </c>
      <c r="I804" t="n">
        <v>0</v>
      </c>
      <c r="J804" t="n">
        <v>0</v>
      </c>
      <c r="K804" t="n">
        <v>0</v>
      </c>
      <c r="L804" t="n">
        <v>0</v>
      </c>
      <c r="M804" t="n">
        <v>0</v>
      </c>
      <c r="N804" t="n">
        <v>0</v>
      </c>
      <c r="O804" t="n">
        <v>0</v>
      </c>
      <c r="P804" t="n">
        <v>0</v>
      </c>
      <c r="Q804" t="n">
        <v>0</v>
      </c>
      <c r="R804" s="2" t="inlineStr"/>
    </row>
    <row r="805" ht="15" customHeight="1">
      <c r="A805" t="inlineStr">
        <is>
          <t>A 23368-2025</t>
        </is>
      </c>
      <c r="B805" s="1" t="n">
        <v>45791.70299768518</v>
      </c>
      <c r="C805" s="1" t="n">
        <v>46089</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row>
    <row r="806" ht="15" customHeight="1">
      <c r="A806" t="inlineStr">
        <is>
          <t>A 56935-2024</t>
        </is>
      </c>
      <c r="B806" s="1" t="n">
        <v>45625</v>
      </c>
      <c r="C806" s="1" t="n">
        <v>46089</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56927-2024</t>
        </is>
      </c>
      <c r="B807" s="1" t="n">
        <v>45625</v>
      </c>
      <c r="C807" s="1" t="n">
        <v>46089</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22185-2025</t>
        </is>
      </c>
      <c r="B808" s="1" t="n">
        <v>45785</v>
      </c>
      <c r="C808" s="1" t="n">
        <v>46089</v>
      </c>
      <c r="D808" t="inlineStr">
        <is>
          <t>DALARNAS LÄN</t>
        </is>
      </c>
      <c r="E808" t="inlineStr">
        <is>
          <t>MORA</t>
        </is>
      </c>
      <c r="G808" t="n">
        <v>2.4</v>
      </c>
      <c r="H808" t="n">
        <v>0</v>
      </c>
      <c r="I808" t="n">
        <v>0</v>
      </c>
      <c r="J808" t="n">
        <v>0</v>
      </c>
      <c r="K808" t="n">
        <v>0</v>
      </c>
      <c r="L808" t="n">
        <v>0</v>
      </c>
      <c r="M808" t="n">
        <v>0</v>
      </c>
      <c r="N808" t="n">
        <v>0</v>
      </c>
      <c r="O808" t="n">
        <v>0</v>
      </c>
      <c r="P808" t="n">
        <v>0</v>
      </c>
      <c r="Q808" t="n">
        <v>0</v>
      </c>
      <c r="R808" s="2" t="inlineStr"/>
    </row>
    <row r="809" ht="15" customHeight="1">
      <c r="A809" t="inlineStr">
        <is>
          <t>A 59404-2024</t>
        </is>
      </c>
      <c r="B809" s="1" t="n">
        <v>45638</v>
      </c>
      <c r="C809" s="1" t="n">
        <v>46089</v>
      </c>
      <c r="D809" t="inlineStr">
        <is>
          <t>DALARNAS LÄN</t>
        </is>
      </c>
      <c r="E809" t="inlineStr">
        <is>
          <t>MORA</t>
        </is>
      </c>
      <c r="G809" t="n">
        <v>2.6</v>
      </c>
      <c r="H809" t="n">
        <v>0</v>
      </c>
      <c r="I809" t="n">
        <v>0</v>
      </c>
      <c r="J809" t="n">
        <v>0</v>
      </c>
      <c r="K809" t="n">
        <v>0</v>
      </c>
      <c r="L809" t="n">
        <v>0</v>
      </c>
      <c r="M809" t="n">
        <v>0</v>
      </c>
      <c r="N809" t="n">
        <v>0</v>
      </c>
      <c r="O809" t="n">
        <v>0</v>
      </c>
      <c r="P809" t="n">
        <v>0</v>
      </c>
      <c r="Q809" t="n">
        <v>0</v>
      </c>
      <c r="R809" s="2" t="inlineStr"/>
    </row>
    <row r="810" ht="15" customHeight="1">
      <c r="A810" t="inlineStr">
        <is>
          <t>A 11193-2025</t>
        </is>
      </c>
      <c r="B810" s="1" t="n">
        <v>45725</v>
      </c>
      <c r="C810" s="1" t="n">
        <v>46089</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56900-2024</t>
        </is>
      </c>
      <c r="B811" s="1" t="n">
        <v>45625</v>
      </c>
      <c r="C811" s="1" t="n">
        <v>46089</v>
      </c>
      <c r="D811" t="inlineStr">
        <is>
          <t>DALARNAS LÄN</t>
        </is>
      </c>
      <c r="E811" t="inlineStr">
        <is>
          <t>MORA</t>
        </is>
      </c>
      <c r="G811" t="n">
        <v>2.7</v>
      </c>
      <c r="H811" t="n">
        <v>0</v>
      </c>
      <c r="I811" t="n">
        <v>0</v>
      </c>
      <c r="J811" t="n">
        <v>0</v>
      </c>
      <c r="K811" t="n">
        <v>0</v>
      </c>
      <c r="L811" t="n">
        <v>0</v>
      </c>
      <c r="M811" t="n">
        <v>0</v>
      </c>
      <c r="N811" t="n">
        <v>0</v>
      </c>
      <c r="O811" t="n">
        <v>0</v>
      </c>
      <c r="P811" t="n">
        <v>0</v>
      </c>
      <c r="Q811" t="n">
        <v>0</v>
      </c>
      <c r="R811" s="2" t="inlineStr"/>
    </row>
    <row r="812" ht="15" customHeight="1">
      <c r="A812" t="inlineStr">
        <is>
          <t>A 23354-2022</t>
        </is>
      </c>
      <c r="B812" s="1" t="n">
        <v>44720</v>
      </c>
      <c r="C812" s="1" t="n">
        <v>46089</v>
      </c>
      <c r="D812" t="inlineStr">
        <is>
          <t>DALARNAS LÄN</t>
        </is>
      </c>
      <c r="E812" t="inlineStr">
        <is>
          <t>MORA</t>
        </is>
      </c>
      <c r="G812" t="n">
        <v>5.2</v>
      </c>
      <c r="H812" t="n">
        <v>0</v>
      </c>
      <c r="I812" t="n">
        <v>0</v>
      </c>
      <c r="J812" t="n">
        <v>0</v>
      </c>
      <c r="K812" t="n">
        <v>0</v>
      </c>
      <c r="L812" t="n">
        <v>0</v>
      </c>
      <c r="M812" t="n">
        <v>0</v>
      </c>
      <c r="N812" t="n">
        <v>0</v>
      </c>
      <c r="O812" t="n">
        <v>0</v>
      </c>
      <c r="P812" t="n">
        <v>0</v>
      </c>
      <c r="Q812" t="n">
        <v>0</v>
      </c>
      <c r="R812" s="2" t="inlineStr"/>
    </row>
    <row r="813">
      <c r="A813" t="inlineStr">
        <is>
          <t>A 54192-2023</t>
        </is>
      </c>
      <c r="B813" s="1" t="n">
        <v>45232.53052083333</v>
      </c>
      <c r="C813" s="1" t="n">
        <v>46089</v>
      </c>
      <c r="D813" t="inlineStr">
        <is>
          <t>DALARNAS LÄN</t>
        </is>
      </c>
      <c r="E813" t="inlineStr">
        <is>
          <t>MORA</t>
        </is>
      </c>
      <c r="G813" t="n">
        <v>3.4</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2026-03-08T11:17:41Z</dcterms:created>
  <dcterms:modified xmlns:dcterms="http://purl.org/dc/terms/" xmlns:xsi="http://www.w3.org/2001/XMLSchema-instance" xsi:type="dcterms:W3CDTF">2026-03-08T11:17:42Z</dcterms:modified>
</cp:coreProperties>
</file>