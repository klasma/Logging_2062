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45585</v>
      </c>
      <c r="D4" t="inlineStr">
        <is>
          <t>DALARNAS LÄN</t>
        </is>
      </c>
      <c r="E4" t="inlineStr">
        <is>
          <t>MORA</t>
        </is>
      </c>
      <c r="G4" t="n">
        <v>9</v>
      </c>
      <c r="H4" t="n">
        <v>2</v>
      </c>
      <c r="I4" t="n">
        <v>6</v>
      </c>
      <c r="J4" t="n">
        <v>17</v>
      </c>
      <c r="K4" t="n">
        <v>2</v>
      </c>
      <c r="L4" t="n">
        <v>0</v>
      </c>
      <c r="M4" t="n">
        <v>0</v>
      </c>
      <c r="N4" t="n">
        <v>0</v>
      </c>
      <c r="O4" t="n">
        <v>19</v>
      </c>
      <c r="P4" t="n">
        <v>2</v>
      </c>
      <c r="Q4" t="n">
        <v>25</v>
      </c>
      <c r="R4" s="2" t="inlineStr">
        <is>
          <t>Knärot
Rynkskinn
Blågrå svartspik
Dvärgbägarlav
Garnlav
Gropticka
Gränsticka
Kortskaftad ärgspik
Mörk kolflarnlav
Rosenticka
Stjärntagging
Tallticka
Talltita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45585</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45585</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45585</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45585</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45585</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45585</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45585</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45585</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45585</v>
      </c>
      <c r="D13" t="inlineStr">
        <is>
          <t>DALARNAS LÄN</t>
        </is>
      </c>
      <c r="E13" t="inlineStr">
        <is>
          <t>MORA</t>
        </is>
      </c>
      <c r="G13" t="n">
        <v>2</v>
      </c>
      <c r="H13" t="n">
        <v>0</v>
      </c>
      <c r="I13" t="n">
        <v>2</v>
      </c>
      <c r="J13" t="n">
        <v>6</v>
      </c>
      <c r="K13" t="n">
        <v>0</v>
      </c>
      <c r="L13" t="n">
        <v>0</v>
      </c>
      <c r="M13" t="n">
        <v>0</v>
      </c>
      <c r="N13" t="n">
        <v>0</v>
      </c>
      <c r="O13" t="n">
        <v>6</v>
      </c>
      <c r="P13" t="n">
        <v>0</v>
      </c>
      <c r="Q13" t="n">
        <v>8</v>
      </c>
      <c r="R13" s="2" t="inlineStr">
        <is>
          <t>Blå taggsvamp
Dvärgbägarlav
Garnlav
Reliktbock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row>
    <row r="14" ht="15" customHeight="1">
      <c r="A14" t="inlineStr">
        <is>
          <t>A 54028-2020</t>
        </is>
      </c>
      <c r="B14" s="1" t="n">
        <v>44125</v>
      </c>
      <c r="C14" s="1" t="n">
        <v>45585</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45585</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45585</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45585</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45585</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45585</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45585</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45585</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45585</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45585</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45585</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45585</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45585</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45585</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45585</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45585</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45585</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45585</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45585</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45585</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45585</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45585</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45585</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45585</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45585</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45585</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45585</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45585</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45344-2024</t>
        </is>
      </c>
      <c r="B42" s="1" t="n">
        <v>45576</v>
      </c>
      <c r="C42" s="1" t="n">
        <v>45585</v>
      </c>
      <c r="D42" t="inlineStr">
        <is>
          <t>DALARNAS LÄN</t>
        </is>
      </c>
      <c r="E42" t="inlineStr">
        <is>
          <t>MORA</t>
        </is>
      </c>
      <c r="G42" t="n">
        <v>0.9</v>
      </c>
      <c r="H42" t="n">
        <v>0</v>
      </c>
      <c r="I42" t="n">
        <v>0</v>
      </c>
      <c r="J42" t="n">
        <v>1</v>
      </c>
      <c r="K42" t="n">
        <v>0</v>
      </c>
      <c r="L42" t="n">
        <v>0</v>
      </c>
      <c r="M42" t="n">
        <v>0</v>
      </c>
      <c r="N42" t="n">
        <v>0</v>
      </c>
      <c r="O42" t="n">
        <v>1</v>
      </c>
      <c r="P42" t="n">
        <v>0</v>
      </c>
      <c r="Q42" t="n">
        <v>1</v>
      </c>
      <c r="R42" s="2" t="inlineStr">
        <is>
          <t>Garnlav</t>
        </is>
      </c>
      <c r="S42">
        <f>HYPERLINK("https://klasma.github.io/Logging_2062/artfynd/A 45344-2024 artfynd.xlsx", "A 45344-2024")</f>
        <v/>
      </c>
      <c r="T42">
        <f>HYPERLINK("https://klasma.github.io/Logging_2062/kartor/A 45344-2024 karta.png", "A 45344-2024")</f>
        <v/>
      </c>
      <c r="V42">
        <f>HYPERLINK("https://klasma.github.io/Logging_2062/klagomål/A 45344-2024 FSC-klagomål.docx", "A 45344-2024")</f>
        <v/>
      </c>
      <c r="W42">
        <f>HYPERLINK("https://klasma.github.io/Logging_2062/klagomålsmail/A 45344-2024 FSC-klagomål mail.docx", "A 45344-2024")</f>
        <v/>
      </c>
      <c r="X42">
        <f>HYPERLINK("https://klasma.github.io/Logging_2062/tillsyn/A 45344-2024 tillsynsbegäran.docx", "A 45344-2024")</f>
        <v/>
      </c>
      <c r="Y42">
        <f>HYPERLINK("https://klasma.github.io/Logging_2062/tillsynsmail/A 45344-2024 tillsynsbegäran mail.docx", "A 45344-2024")</f>
        <v/>
      </c>
    </row>
    <row r="43" ht="15" customHeight="1">
      <c r="A43" t="inlineStr">
        <is>
          <t>A 45410-2024</t>
        </is>
      </c>
      <c r="B43" s="1" t="n">
        <v>45576</v>
      </c>
      <c r="C43" s="1" t="n">
        <v>45585</v>
      </c>
      <c r="D43" t="inlineStr">
        <is>
          <t>DALARNAS LÄN</t>
        </is>
      </c>
      <c r="E43" t="inlineStr">
        <is>
          <t>MORA</t>
        </is>
      </c>
      <c r="G43" t="n">
        <v>1.1</v>
      </c>
      <c r="H43" t="n">
        <v>0</v>
      </c>
      <c r="I43" t="n">
        <v>0</v>
      </c>
      <c r="J43" t="n">
        <v>1</v>
      </c>
      <c r="K43" t="n">
        <v>0</v>
      </c>
      <c r="L43" t="n">
        <v>0</v>
      </c>
      <c r="M43" t="n">
        <v>0</v>
      </c>
      <c r="N43" t="n">
        <v>0</v>
      </c>
      <c r="O43" t="n">
        <v>1</v>
      </c>
      <c r="P43" t="n">
        <v>0</v>
      </c>
      <c r="Q43" t="n">
        <v>1</v>
      </c>
      <c r="R43" s="2" t="inlineStr">
        <is>
          <t>Tallticka</t>
        </is>
      </c>
      <c r="S43">
        <f>HYPERLINK("https://klasma.github.io/Logging_2062/artfynd/A 45410-2024 artfynd.xlsx", "A 45410-2024")</f>
        <v/>
      </c>
      <c r="T43">
        <f>HYPERLINK("https://klasma.github.io/Logging_2062/kartor/A 45410-2024 karta.png", "A 45410-2024")</f>
        <v/>
      </c>
      <c r="V43">
        <f>HYPERLINK("https://klasma.github.io/Logging_2062/klagomål/A 45410-2024 FSC-klagomål.docx", "A 45410-2024")</f>
        <v/>
      </c>
      <c r="W43">
        <f>HYPERLINK("https://klasma.github.io/Logging_2062/klagomålsmail/A 45410-2024 FSC-klagomål mail.docx", "A 45410-2024")</f>
        <v/>
      </c>
      <c r="X43">
        <f>HYPERLINK("https://klasma.github.io/Logging_2062/tillsyn/A 45410-2024 tillsynsbegäran.docx", "A 45410-2024")</f>
        <v/>
      </c>
      <c r="Y43">
        <f>HYPERLINK("https://klasma.github.io/Logging_2062/tillsynsmail/A 45410-2024 tillsynsbegäran mail.docx", "A 45410-2024")</f>
        <v/>
      </c>
    </row>
    <row r="44" ht="15" customHeight="1">
      <c r="A44" t="inlineStr">
        <is>
          <t>A 20226-2019</t>
        </is>
      </c>
      <c r="B44" s="1" t="n">
        <v>43570</v>
      </c>
      <c r="C44" s="1" t="n">
        <v>45585</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45585</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45585</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45585</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45585</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45585</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45585</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45585</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45585</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45585</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45585</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45585</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45585</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45585</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45585</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45585</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45585</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45585</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45585</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45585</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45585</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45585</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45585</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45585</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45585</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45585</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45585</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45585</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45585</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45585</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45585</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45585</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45585</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45585</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45585</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45585</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45585</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45585</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45585</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45585</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45585</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45585</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45585</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45585</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45585</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45585</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45585</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45585</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45585</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45585</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45585</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45585</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45585</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45585</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45585</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45585</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45585</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45585</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45585</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45585</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45585</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45585</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45585</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45585</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45585</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45585</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45585</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45585</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45585</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45585</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45585</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45585</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45585</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45585</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45585</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45585</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45585</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45585</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45585</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45585</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45585</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45585</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45585</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45585</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45585</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45585</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45585</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45585</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45585</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45585</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45585</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45585</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45585</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45585</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45585</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45585</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45585</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45585</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45585</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45585</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45585</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45585</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45585</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45585</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45585</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45585</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45585</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45585</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45585</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45585</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45585</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45585</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45585</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45585</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45585</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45585</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45585</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45585</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45585</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45585</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45585</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45585</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45585</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45585</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45585</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45585</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45585</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45585</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45585</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45585</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45585</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45585</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45585</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45585</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45585</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45585</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45585</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45585</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45585</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45585</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45585</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45585</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45585</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45585</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45585</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45585</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45585</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45585</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45585</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45585</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45585</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45585</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45585</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45585</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45585</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45585</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45585</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45585</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45585</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45585</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45585</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45585</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45585</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45585</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45585</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45585</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45585</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45585</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45585</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45585</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45585</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45585</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45585</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45585</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45585</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45585</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45585</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45585</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45585</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45585</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45585</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45585</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45585</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45585</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45585</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45585</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45585</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45585</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45585</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45585</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45585</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45585</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45585</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45585</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45585</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45585</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45585</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45585</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45585</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45585</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45585</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45585</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45585</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45585</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45585</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45585</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45585</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45585</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45585</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45585</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45585</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45585</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45585</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45585</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45585</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45585</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45585</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45585</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45585</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45585</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45585</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45585</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45585</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45585</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45585</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45585</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45585</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45585</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45585</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45585</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45585</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45585</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45585</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45585</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45585</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45585</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45585</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45585</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45585</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45585</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45585</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45585</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45585</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45585</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45585</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45585</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45585</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45585</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45585</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45585</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45585</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45585</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45585</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45585</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45585</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45585</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45585</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45585</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45585</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45585</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45585</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45585</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45585</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45585</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45585</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45585</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45585</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45585</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45585</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45585</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45585</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45585</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45585</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45585</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45585</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45585</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45585</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45585</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45585</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45585</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45585</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45585</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45585</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45585</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45585</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45585</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45585</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45585</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45585</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45585</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45585</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45585</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45585</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45585</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45585</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45585</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45585</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45585</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45585</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45585</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45585</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45585</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45585</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45585</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45585</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45585</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45585</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45585</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45585</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45585</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45585</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45585</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45585</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45585</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45585</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45585</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45585</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45585</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45585</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45585</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45585</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45585</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45585</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45585</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45585</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45585</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45585</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45585</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45585</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45585</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45585</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45585</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45585</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45585</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45585</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45585</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45585</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45585</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45585</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45585</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45585</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45585</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45585</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45585</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45585</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45585</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45585</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45585</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45585</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45585</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45585</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45585</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45585</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45585</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45585</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45585</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45585</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45585</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45585</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45585</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45585</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45585</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45585</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45585</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45585</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45585</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45585</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45585</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45585</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45585</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45585</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45585</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45585</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45585</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45585</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45585</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45585</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45585</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45585</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45585</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45585</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45585</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45585</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45585</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45585</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45585</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45585</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45585</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45585</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45585</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45585</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45585</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45585</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45585</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45585</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45585</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45585</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45585</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45585</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45585</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45585</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45585</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45585</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45585</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45585</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45585</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45585</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45585</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45585</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45585</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45585</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45585</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45585</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45585</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45585</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45585</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45585</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45585</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45585</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45585</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45585</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45585</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45585</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45585</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45585</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45585</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45585</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45585</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45585</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45585</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45585</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45585</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45585</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45585</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45585</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45585</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45585</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45585</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45585</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45585</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45585</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45585</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45585</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45585</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45585</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45585</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45585</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45585</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45585</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45585</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45585</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45585</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45585</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45585</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45585</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45585</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45585</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45585</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45585</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45585</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45585</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45585</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45585</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45585</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45585</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45585</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45585</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45585</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45585</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45585</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45585</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45585</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45585</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45585</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45585</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45585</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45585</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45585</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45585</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45585</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45585</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45585</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45585</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45585</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45585</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45585</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45585</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45585</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45585</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45585</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45585</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45585</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45585</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45585</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45585</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45585</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45585</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45585</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45585</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45585</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45585</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45585</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45585</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45585</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45585</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45585</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45585</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45585</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45585</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45585</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45585</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45585</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45585</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45585</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45585</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45585</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45585</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45585</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45585</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45585</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45585</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45585</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45585</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45585</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45585</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45585</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45585</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45585</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45585</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45585</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45585</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45585</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45585</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45585</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45585</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45585</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45585</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45585</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45585</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45585</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45585</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45585</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45585</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45585</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45585</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45585</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45585</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45585</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45585</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45585</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45585</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45585</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45585</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45585</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45585</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45585</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45585</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45585</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45585</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45585</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45585</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45585</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45585</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45585</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45585</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45585</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45585</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45585</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45585</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45585</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45585</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45585</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45585</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45585</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45585</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45585</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45585</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45585</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45585</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45585</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45585</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45585</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45585</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45585</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45585</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45585</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45585</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45585</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45585</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45585</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45585</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45585</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45585</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45585</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45585</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45585</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45585</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45585</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45585</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45585</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45585</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45585</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45585</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45585</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45585</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45585</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45585</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45585</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45585</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45585</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45585</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45585</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45585</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45585</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45585</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45585</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45585</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45585</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45585</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45585</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45585</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45585</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45585</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45585</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45585</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45585</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45585</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45585</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45585</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45585</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45585</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45585</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45585</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45585</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45585</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45585</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45585</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45585</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45585</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45585</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45585</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45585</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45585</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45585</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45585</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45585</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45585</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45585</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45585</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45585</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45585</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45585</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45585</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45585</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45585</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45585</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45585</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45585</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45585</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45585</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45585</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45585</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45585</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45585</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45585</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45585</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45585</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45585</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45585</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45585</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45585</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45585</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45585</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45585</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45585</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45585</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45585</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45585</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45585</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45585</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45585</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45585</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45585</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45585</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45585</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45585</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45585</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45585</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45585</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45585</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45585</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45585</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45585</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45585</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45585</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45585</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45585</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45585</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45585</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45585</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45585</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45585</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45585</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45585</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45585</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45585</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45585</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45585</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45585</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45585</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45585</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45585</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45585</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45585</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45585</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45585</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45585</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45585</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45585</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45585</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45585</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45585</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45585</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45585</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45585</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45585</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45585</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45585</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45585</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45585</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45585</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45585</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45585</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45585</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45585</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45585</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45585</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45585</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45585</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45585</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45585</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45585</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45585</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45585</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45585</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45585</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45585</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45585</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45585</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45585</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45585</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45585</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45585</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45585</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45585</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45585</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45585</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45585</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45585</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45585</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45585</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45585</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45585</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45585</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45585</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45585</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45585</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45585</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45585</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45585</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45585</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45585</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45585</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45585</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45585</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45585</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45585</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45585</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45585</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45585</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45585</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45585</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45585</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45585</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45585</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45585</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45585</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45585</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45585</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45585</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45585</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45585</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45585</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45585</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45585</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45585</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45585</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45585</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45585</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45585</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45585</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45585</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45585</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45585</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45585</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45585</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45585</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45585</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45585</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45585</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45585</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45585</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45585</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45585</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45585</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45585</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45585</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45585</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45585</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45585</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45585</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45585</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45585</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45585</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45585</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45585</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45585</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45585</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45585</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45585</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45585</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45585</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45585</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45585</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45585</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45585</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45585</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45585</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45585</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45585</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45585</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45585</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45585</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45585</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45585</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45585</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45585</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45585</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45585</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45585</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45585</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45585</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45585</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45585</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45585</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45585</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45585</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45585</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45585</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45585</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45585</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45585</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45585</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45585</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45585</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45585</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45585</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45585</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45585</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45585</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45585</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45585</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45585</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45585</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45585</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45585</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45585</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45585</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45585</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45585</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45585</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45585</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45585</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45585</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45585</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45585</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45585</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45585</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45585</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45585</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45585</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45585</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45585</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45585</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45585</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45585</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45585</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45585</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45585</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45585</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45585</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45585</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45585</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45585</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45585</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45585</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45585</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45585</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45585</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45585</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45585</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45585</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45585</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45585</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45585</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45585</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45585</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45585</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45585</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45585</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45585</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45585</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45585</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45585</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45585</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45585</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45585</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45585</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45585</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45585</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45585</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45585</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45585</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45585</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45585</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45585</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45585</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45585</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45585</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45585</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45585</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45585</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45585</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45585</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45585</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45585</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45585</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45585</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45585</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45585</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45585</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45585</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45585</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45585</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45585</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45585</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45585</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45585</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45585</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45585</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45585</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45585</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45585</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45585</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45585</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45585</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45585</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45585</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45585</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45585</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45585</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45585</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45585</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45585</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45585</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45585</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45585</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42943-2024</t>
        </is>
      </c>
      <c r="B1027" s="1" t="n">
        <v>45567</v>
      </c>
      <c r="C1027" s="1" t="n">
        <v>45585</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42941-2024</t>
        </is>
      </c>
      <c r="B1028" s="1" t="n">
        <v>45567</v>
      </c>
      <c r="C1028" s="1" t="n">
        <v>45585</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45585</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42930-2024</t>
        </is>
      </c>
      <c r="B1030" s="1" t="n">
        <v>45567</v>
      </c>
      <c r="C1030" s="1" t="n">
        <v>45585</v>
      </c>
      <c r="D1030" t="inlineStr">
        <is>
          <t>DALARNAS LÄN</t>
        </is>
      </c>
      <c r="E1030" t="inlineStr">
        <is>
          <t>MORA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42934-2024</t>
        </is>
      </c>
      <c r="B1031" s="1" t="n">
        <v>45567</v>
      </c>
      <c r="C1031" s="1" t="n">
        <v>45585</v>
      </c>
      <c r="D1031" t="inlineStr">
        <is>
          <t>DALARNAS LÄN</t>
        </is>
      </c>
      <c r="E1031" t="inlineStr">
        <is>
          <t>MORA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45585</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45585</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45585</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43335-2024</t>
        </is>
      </c>
      <c r="B1035" s="1" t="n">
        <v>45568</v>
      </c>
      <c r="C1035" s="1" t="n">
        <v>45585</v>
      </c>
      <c r="D1035" t="inlineStr">
        <is>
          <t>DALARNAS LÄN</t>
        </is>
      </c>
      <c r="E1035" t="inlineStr">
        <is>
          <t>MORA</t>
        </is>
      </c>
      <c r="F1035" t="inlineStr">
        <is>
          <t>Bergvik skog öst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45585</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45585</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43873-2024</t>
        </is>
      </c>
      <c r="B1038" s="1" t="n">
        <v>45572</v>
      </c>
      <c r="C1038" s="1" t="n">
        <v>45585</v>
      </c>
      <c r="D1038" t="inlineStr">
        <is>
          <t>DALARNAS LÄN</t>
        </is>
      </c>
      <c r="E1038" t="inlineStr">
        <is>
          <t>MORA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43964-2024</t>
        </is>
      </c>
      <c r="B1039" s="1" t="n">
        <v>45572</v>
      </c>
      <c r="C1039" s="1" t="n">
        <v>45585</v>
      </c>
      <c r="D1039" t="inlineStr">
        <is>
          <t>DALARNAS LÄN</t>
        </is>
      </c>
      <c r="E1039" t="inlineStr">
        <is>
          <t>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44071-2024</t>
        </is>
      </c>
      <c r="B1040" s="1" t="n">
        <v>45572</v>
      </c>
      <c r="C1040" s="1" t="n">
        <v>45585</v>
      </c>
      <c r="D1040" t="inlineStr">
        <is>
          <t>DALARNAS LÄN</t>
        </is>
      </c>
      <c r="E1040" t="inlineStr">
        <is>
          <t>MORA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45585</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45585</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45674-2024</t>
        </is>
      </c>
      <c r="B1043" s="1" t="n">
        <v>45573</v>
      </c>
      <c r="C1043" s="1" t="n">
        <v>45585</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45585</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45585</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45291-2024</t>
        </is>
      </c>
      <c r="B1046" s="1" t="n">
        <v>45576</v>
      </c>
      <c r="C1046" s="1" t="n">
        <v>45585</v>
      </c>
      <c r="D1046" t="inlineStr">
        <is>
          <t>DALARNAS LÄN</t>
        </is>
      </c>
      <c r="E1046" t="inlineStr">
        <is>
          <t>MORA</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45335-2024</t>
        </is>
      </c>
      <c r="B1047" s="1" t="n">
        <v>45576</v>
      </c>
      <c r="C1047" s="1" t="n">
        <v>45585</v>
      </c>
      <c r="D1047" t="inlineStr">
        <is>
          <t>DALARNAS LÄN</t>
        </is>
      </c>
      <c r="E1047" t="inlineStr">
        <is>
          <t>MORA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45339-2024</t>
        </is>
      </c>
      <c r="B1048" s="1" t="n">
        <v>45576</v>
      </c>
      <c r="C1048" s="1" t="n">
        <v>45585</v>
      </c>
      <c r="D1048" t="inlineStr">
        <is>
          <t>DALARNAS LÄN</t>
        </is>
      </c>
      <c r="E1048" t="inlineStr">
        <is>
          <t>MORA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45378-2024</t>
        </is>
      </c>
      <c r="B1049" s="1" t="n">
        <v>45576</v>
      </c>
      <c r="C1049" s="1" t="n">
        <v>45585</v>
      </c>
      <c r="D1049" t="inlineStr">
        <is>
          <t>DALARNAS LÄN</t>
        </is>
      </c>
      <c r="E1049" t="inlineStr">
        <is>
          <t>MORA</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45390-2024</t>
        </is>
      </c>
      <c r="B1050" s="1" t="n">
        <v>45576</v>
      </c>
      <c r="C1050" s="1" t="n">
        <v>45585</v>
      </c>
      <c r="D1050" t="inlineStr">
        <is>
          <t>DALARNAS LÄN</t>
        </is>
      </c>
      <c r="E1050" t="inlineStr">
        <is>
          <t>MORA</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45315-2024</t>
        </is>
      </c>
      <c r="B1051" s="1" t="n">
        <v>45576</v>
      </c>
      <c r="C1051" s="1" t="n">
        <v>45585</v>
      </c>
      <c r="D1051" t="inlineStr">
        <is>
          <t>DALARNAS LÄN</t>
        </is>
      </c>
      <c r="E1051" t="inlineStr">
        <is>
          <t>MORA</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45585</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45585</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45585</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46417-2024</t>
        </is>
      </c>
      <c r="B1055" s="1" t="n">
        <v>45582</v>
      </c>
      <c r="C1055" s="1" t="n">
        <v>45585</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46414-2024</t>
        </is>
      </c>
      <c r="B1056" s="1" t="n">
        <v>45582</v>
      </c>
      <c r="C1056" s="1" t="n">
        <v>45585</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46412-2024</t>
        </is>
      </c>
      <c r="B1057" s="1" t="n">
        <v>45582</v>
      </c>
      <c r="C1057" s="1" t="n">
        <v>45585</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c r="A1058" t="inlineStr">
        <is>
          <t>A 46923-2024</t>
        </is>
      </c>
      <c r="B1058" s="1" t="n">
        <v>45584</v>
      </c>
      <c r="C1058" s="1" t="n">
        <v>45585</v>
      </c>
      <c r="D1058" t="inlineStr">
        <is>
          <t>DALARNAS LÄN</t>
        </is>
      </c>
      <c r="E1058" t="inlineStr">
        <is>
          <t>MORA</t>
        </is>
      </c>
      <c r="G1058" t="n">
        <v>3.4</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2024-10-20T12:17:31Z</dcterms:created>
  <dcterms:modified xmlns:dcterms="http://purl.org/dc/terms/" xmlns:xsi="http://www.w3.org/2001/XMLSchema-instance" xsi:type="dcterms:W3CDTF">2024-10-20T12:17:32Z</dcterms:modified>
</cp:coreProperties>
</file>