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45908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45908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45908</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45908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45908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45908</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45908</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45908</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45908</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45908</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45908</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45908</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45908</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45908</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45908</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45908</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45908</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45908</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29934-2025</t>
        </is>
      </c>
      <c r="B20" s="1" t="n">
        <v>45826.44267361111</v>
      </c>
      <c r="C20" s="1" t="n">
        <v>45908</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45908</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35944-2024</t>
        </is>
      </c>
      <c r="B22" s="1" t="n">
        <v>45533.45853009259</v>
      </c>
      <c r="C22" s="1" t="n">
        <v>45908</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21041-2023</t>
        </is>
      </c>
      <c r="B23" s="1" t="n">
        <v>45061.58952546296</v>
      </c>
      <c r="C23" s="1" t="n">
        <v>45908</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45908</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45908</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45908</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45908</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29520-2025</t>
        </is>
      </c>
      <c r="B28" s="1" t="n">
        <v>45825.3303125</v>
      </c>
      <c r="C28" s="1" t="n">
        <v>45908</v>
      </c>
      <c r="D28" t="inlineStr">
        <is>
          <t>DALARNAS LÄN</t>
        </is>
      </c>
      <c r="E28" t="inlineStr">
        <is>
          <t>MORA</t>
        </is>
      </c>
      <c r="G28" t="n">
        <v>20.5</v>
      </c>
      <c r="H28" t="n">
        <v>1</v>
      </c>
      <c r="I28" t="n">
        <v>2</v>
      </c>
      <c r="J28" t="n">
        <v>5</v>
      </c>
      <c r="K28" t="n">
        <v>0</v>
      </c>
      <c r="L28" t="n">
        <v>0</v>
      </c>
      <c r="M28" t="n">
        <v>0</v>
      </c>
      <c r="N28" t="n">
        <v>0</v>
      </c>
      <c r="O28" t="n">
        <v>5</v>
      </c>
      <c r="P28" t="n">
        <v>0</v>
      </c>
      <c r="Q28" t="n">
        <v>7</v>
      </c>
      <c r="R28" s="2" t="inlineStr">
        <is>
          <t>Garnlav
Granticka
Mörk kolflarnlav
Tretåig hackspett
Vedskivlav
Korallblylav
Mindre märgborre</t>
        </is>
      </c>
      <c r="S28">
        <f>HYPERLINK("https://klasma.github.io/Logging_2062/artfynd/A 29520-2025 artfynd.xlsx", "A 29520-2025")</f>
        <v/>
      </c>
      <c r="T28">
        <f>HYPERLINK("https://klasma.github.io/Logging_2062/kartor/A 29520-2025 karta.png", "A 29520-2025")</f>
        <v/>
      </c>
      <c r="V28">
        <f>HYPERLINK("https://klasma.github.io/Logging_2062/klagomål/A 29520-2025 FSC-klagomål.docx", "A 29520-2025")</f>
        <v/>
      </c>
      <c r="W28">
        <f>HYPERLINK("https://klasma.github.io/Logging_2062/klagomålsmail/A 29520-2025 FSC-klagomål mail.docx", "A 29520-2025")</f>
        <v/>
      </c>
      <c r="X28">
        <f>HYPERLINK("https://klasma.github.io/Logging_2062/tillsyn/A 29520-2025 tillsynsbegäran.docx", "A 29520-2025")</f>
        <v/>
      </c>
      <c r="Y28">
        <f>HYPERLINK("https://klasma.github.io/Logging_2062/tillsynsmail/A 29520-2025 tillsynsbegäran mail.docx", "A 29520-2025")</f>
        <v/>
      </c>
      <c r="Z28">
        <f>HYPERLINK("https://klasma.github.io/Logging_2062/fåglar/A 29520-2025 prioriterade fågelarter.docx", "A 29520-2025")</f>
        <v/>
      </c>
    </row>
    <row r="29" ht="15" customHeight="1">
      <c r="A29" t="inlineStr">
        <is>
          <t>A 29380-2025</t>
        </is>
      </c>
      <c r="B29" s="1" t="n">
        <v>45824.59025462963</v>
      </c>
      <c r="C29" s="1" t="n">
        <v>45908</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61259-2023</t>
        </is>
      </c>
      <c r="B30" s="1" t="n">
        <v>45264</v>
      </c>
      <c r="C30" s="1" t="n">
        <v>45908</v>
      </c>
      <c r="D30" t="inlineStr">
        <is>
          <t>DALARNAS LÄN</t>
        </is>
      </c>
      <c r="E30" t="inlineStr">
        <is>
          <t>MORA</t>
        </is>
      </c>
      <c r="F30" t="inlineStr">
        <is>
          <t>Allmännings- och besparingsskogar</t>
        </is>
      </c>
      <c r="G30" t="n">
        <v>1</v>
      </c>
      <c r="H30" t="n">
        <v>1</v>
      </c>
      <c r="I30" t="n">
        <v>3</v>
      </c>
      <c r="J30" t="n">
        <v>3</v>
      </c>
      <c r="K30" t="n">
        <v>1</v>
      </c>
      <c r="L30" t="n">
        <v>0</v>
      </c>
      <c r="M30" t="n">
        <v>0</v>
      </c>
      <c r="N30" t="n">
        <v>0</v>
      </c>
      <c r="O30" t="n">
        <v>4</v>
      </c>
      <c r="P30" t="n">
        <v>1</v>
      </c>
      <c r="Q30" t="n">
        <v>7</v>
      </c>
      <c r="R30" s="2" t="inlineStr">
        <is>
          <t>Knärot
Brunpudrad nållav
Garnlav
Vitgrynig nållav
Bronshjon
Thomsons trägnagare
Vågbandad barkbock</t>
        </is>
      </c>
      <c r="S30">
        <f>HYPERLINK("https://klasma.github.io/Logging_2062/artfynd/A 61259-2023 artfynd.xlsx", "A 61259-2023")</f>
        <v/>
      </c>
      <c r="T30">
        <f>HYPERLINK("https://klasma.github.io/Logging_2062/kartor/A 61259-2023 karta.png", "A 61259-2023")</f>
        <v/>
      </c>
      <c r="U30">
        <f>HYPERLINK("https://klasma.github.io/Logging_2062/knärot/A 61259-2023 karta knärot.png", "A 61259-2023")</f>
        <v/>
      </c>
      <c r="V30">
        <f>HYPERLINK("https://klasma.github.io/Logging_2062/klagomål/A 61259-2023 FSC-klagomål.docx", "A 61259-2023")</f>
        <v/>
      </c>
      <c r="W30">
        <f>HYPERLINK("https://klasma.github.io/Logging_2062/klagomålsmail/A 61259-2023 FSC-klagomål mail.docx", "A 61259-2023")</f>
        <v/>
      </c>
      <c r="X30">
        <f>HYPERLINK("https://klasma.github.io/Logging_2062/tillsyn/A 61259-2023 tillsynsbegäran.docx", "A 61259-2023")</f>
        <v/>
      </c>
      <c r="Y30">
        <f>HYPERLINK("https://klasma.github.io/Logging_2062/tillsynsmail/A 61259-2023 tillsynsbegäran mail.docx", "A 61259-2023")</f>
        <v/>
      </c>
    </row>
    <row r="31" ht="15" customHeight="1">
      <c r="A31" t="inlineStr">
        <is>
          <t>A 34447-2024</t>
        </is>
      </c>
      <c r="B31" s="1" t="n">
        <v>45525</v>
      </c>
      <c r="C31" s="1" t="n">
        <v>45908</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45908</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35487-2025</t>
        </is>
      </c>
      <c r="B33" s="1" t="n">
        <v>45855.75481481481</v>
      </c>
      <c r="C33" s="1" t="n">
        <v>45908</v>
      </c>
      <c r="D33" t="inlineStr">
        <is>
          <t>DALARNAS LÄN</t>
        </is>
      </c>
      <c r="E33" t="inlineStr">
        <is>
          <t>MORA</t>
        </is>
      </c>
      <c r="F33" t="inlineStr">
        <is>
          <t>Allmännings- och besparingsskogar</t>
        </is>
      </c>
      <c r="G33" t="n">
        <v>0.7</v>
      </c>
      <c r="H33" t="n">
        <v>2</v>
      </c>
      <c r="I33" t="n">
        <v>0</v>
      </c>
      <c r="J33" t="n">
        <v>3</v>
      </c>
      <c r="K33" t="n">
        <v>0</v>
      </c>
      <c r="L33" t="n">
        <v>0</v>
      </c>
      <c r="M33" t="n">
        <v>0</v>
      </c>
      <c r="N33" t="n">
        <v>0</v>
      </c>
      <c r="O33" t="n">
        <v>3</v>
      </c>
      <c r="P33" t="n">
        <v>0</v>
      </c>
      <c r="Q33" t="n">
        <v>5</v>
      </c>
      <c r="R33" s="2" t="inlineStr">
        <is>
          <t>Dvärgbägarlav
Garnlav
Vedskivlav
Tjäder
Revlummer</t>
        </is>
      </c>
      <c r="S33">
        <f>HYPERLINK("https://klasma.github.io/Logging_2062/artfynd/A 35487-2025 artfynd.xlsx", "A 35487-2025")</f>
        <v/>
      </c>
      <c r="T33">
        <f>HYPERLINK("https://klasma.github.io/Logging_2062/kartor/A 35487-2025 karta.png", "A 35487-2025")</f>
        <v/>
      </c>
      <c r="V33">
        <f>HYPERLINK("https://klasma.github.io/Logging_2062/klagomål/A 35487-2025 FSC-klagomål.docx", "A 35487-2025")</f>
        <v/>
      </c>
      <c r="W33">
        <f>HYPERLINK("https://klasma.github.io/Logging_2062/klagomålsmail/A 35487-2025 FSC-klagomål mail.docx", "A 35487-2025")</f>
        <v/>
      </c>
      <c r="X33">
        <f>HYPERLINK("https://klasma.github.io/Logging_2062/tillsyn/A 35487-2025 tillsynsbegäran.docx", "A 35487-2025")</f>
        <v/>
      </c>
      <c r="Y33">
        <f>HYPERLINK("https://klasma.github.io/Logging_2062/tillsynsmail/A 35487-2025 tillsynsbegäran mail.docx", "A 35487-2025")</f>
        <v/>
      </c>
      <c r="Z33">
        <f>HYPERLINK("https://klasma.github.io/Logging_2062/fåglar/A 35487-2025 prioriterade fågelarter.docx", "A 35487-2025")</f>
        <v/>
      </c>
    </row>
    <row r="34" ht="15" customHeight="1">
      <c r="A34" t="inlineStr">
        <is>
          <t>A 25750-2021</t>
        </is>
      </c>
      <c r="B34" s="1" t="n">
        <v>44343</v>
      </c>
      <c r="C34" s="1" t="n">
        <v>45908</v>
      </c>
      <c r="D34" t="inlineStr">
        <is>
          <t>DALARNAS LÄN</t>
        </is>
      </c>
      <c r="E34" t="inlineStr">
        <is>
          <t>MORA</t>
        </is>
      </c>
      <c r="G34" t="n">
        <v>3.4</v>
      </c>
      <c r="H34" t="n">
        <v>2</v>
      </c>
      <c r="I34" t="n">
        <v>0</v>
      </c>
      <c r="J34" t="n">
        <v>4</v>
      </c>
      <c r="K34" t="n">
        <v>1</v>
      </c>
      <c r="L34" t="n">
        <v>0</v>
      </c>
      <c r="M34" t="n">
        <v>0</v>
      </c>
      <c r="N34" t="n">
        <v>0</v>
      </c>
      <c r="O34" t="n">
        <v>5</v>
      </c>
      <c r="P34" t="n">
        <v>1</v>
      </c>
      <c r="Q34" t="n">
        <v>5</v>
      </c>
      <c r="R34" s="2" t="inlineStr">
        <is>
          <t>Knärot
Garnlav
Kolflarnlav
Mörk kolflarnlav
Spillkråka</t>
        </is>
      </c>
      <c r="S34">
        <f>HYPERLINK("https://klasma.github.io/Logging_2062/artfynd/A 25750-2021 artfynd.xlsx", "A 25750-2021")</f>
        <v/>
      </c>
      <c r="T34">
        <f>HYPERLINK("https://klasma.github.io/Logging_2062/kartor/A 25750-2021 karta.png", "A 25750-2021")</f>
        <v/>
      </c>
      <c r="U34">
        <f>HYPERLINK("https://klasma.github.io/Logging_2062/knärot/A 25750-2021 karta knärot.png", "A 25750-2021")</f>
        <v/>
      </c>
      <c r="V34">
        <f>HYPERLINK("https://klasma.github.io/Logging_2062/klagomål/A 25750-2021 FSC-klagomål.docx", "A 25750-2021")</f>
        <v/>
      </c>
      <c r="W34">
        <f>HYPERLINK("https://klasma.github.io/Logging_2062/klagomålsmail/A 25750-2021 FSC-klagomål mail.docx", "A 25750-2021")</f>
        <v/>
      </c>
      <c r="X34">
        <f>HYPERLINK("https://klasma.github.io/Logging_2062/tillsyn/A 25750-2021 tillsynsbegäran.docx", "A 25750-2021")</f>
        <v/>
      </c>
      <c r="Y34">
        <f>HYPERLINK("https://klasma.github.io/Logging_2062/tillsynsmail/A 25750-2021 tillsynsbegäran mail.docx", "A 25750-2021")</f>
        <v/>
      </c>
      <c r="Z34">
        <f>HYPERLINK("https://klasma.github.io/Logging_2062/fåglar/A 25750-2021 prioriterade fågelarter.docx", "A 25750-2021")</f>
        <v/>
      </c>
    </row>
    <row r="35" ht="15" customHeight="1">
      <c r="A35" t="inlineStr">
        <is>
          <t>A 31539-2025</t>
        </is>
      </c>
      <c r="B35" s="1" t="n">
        <v>45833</v>
      </c>
      <c r="C35" s="1" t="n">
        <v>45908</v>
      </c>
      <c r="D35" t="inlineStr">
        <is>
          <t>DALARNAS LÄN</t>
        </is>
      </c>
      <c r="E35" t="inlineStr">
        <is>
          <t>MORA</t>
        </is>
      </c>
      <c r="G35" t="n">
        <v>5.3</v>
      </c>
      <c r="H35" t="n">
        <v>2</v>
      </c>
      <c r="I35" t="n">
        <v>2</v>
      </c>
      <c r="J35" t="n">
        <v>2</v>
      </c>
      <c r="K35" t="n">
        <v>1</v>
      </c>
      <c r="L35" t="n">
        <v>0</v>
      </c>
      <c r="M35" t="n">
        <v>0</v>
      </c>
      <c r="N35" t="n">
        <v>0</v>
      </c>
      <c r="O35" t="n">
        <v>3</v>
      </c>
      <c r="P35" t="n">
        <v>1</v>
      </c>
      <c r="Q35" t="n">
        <v>5</v>
      </c>
      <c r="R35" s="2" t="inlineStr">
        <is>
          <t>Knärot
Tallticka
Talltita
Bollvitmossa
Kattfotslav</t>
        </is>
      </c>
      <c r="S35">
        <f>HYPERLINK("https://klasma.github.io/Logging_2062/artfynd/A 31539-2025 artfynd.xlsx", "A 31539-2025")</f>
        <v/>
      </c>
      <c r="T35">
        <f>HYPERLINK("https://klasma.github.io/Logging_2062/kartor/A 31539-2025 karta.png", "A 31539-2025")</f>
        <v/>
      </c>
      <c r="U35">
        <f>HYPERLINK("https://klasma.github.io/Logging_2062/knärot/A 31539-2025 karta knärot.png", "A 31539-2025")</f>
        <v/>
      </c>
      <c r="V35">
        <f>HYPERLINK("https://klasma.github.io/Logging_2062/klagomål/A 31539-2025 FSC-klagomål.docx", "A 31539-2025")</f>
        <v/>
      </c>
      <c r="W35">
        <f>HYPERLINK("https://klasma.github.io/Logging_2062/klagomålsmail/A 31539-2025 FSC-klagomål mail.docx", "A 31539-2025")</f>
        <v/>
      </c>
      <c r="X35">
        <f>HYPERLINK("https://klasma.github.io/Logging_2062/tillsyn/A 31539-2025 tillsynsbegäran.docx", "A 31539-2025")</f>
        <v/>
      </c>
      <c r="Y35">
        <f>HYPERLINK("https://klasma.github.io/Logging_2062/tillsynsmail/A 31539-2025 tillsynsbegäran mail.docx", "A 31539-2025")</f>
        <v/>
      </c>
      <c r="Z35">
        <f>HYPERLINK("https://klasma.github.io/Logging_2062/fåglar/A 31539-2025 prioriterade fågelarter.docx", "A 31539-2025")</f>
        <v/>
      </c>
    </row>
    <row r="36" ht="15" customHeight="1">
      <c r="A36" t="inlineStr">
        <is>
          <t>A 8760-2025</t>
        </is>
      </c>
      <c r="B36" s="1" t="n">
        <v>45712.57467592593</v>
      </c>
      <c r="C36" s="1" t="n">
        <v>45908</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32222-2025</t>
        </is>
      </c>
      <c r="B37" s="1" t="n">
        <v>45835.59140046296</v>
      </c>
      <c r="C37" s="1" t="n">
        <v>45908</v>
      </c>
      <c r="D37" t="inlineStr">
        <is>
          <t>DALARNAS LÄN</t>
        </is>
      </c>
      <c r="E37" t="inlineStr">
        <is>
          <t>MORA</t>
        </is>
      </c>
      <c r="G37" t="n">
        <v>11.5</v>
      </c>
      <c r="H37" t="n">
        <v>1</v>
      </c>
      <c r="I37" t="n">
        <v>0</v>
      </c>
      <c r="J37" t="n">
        <v>4</v>
      </c>
      <c r="K37" t="n">
        <v>0</v>
      </c>
      <c r="L37" t="n">
        <v>0</v>
      </c>
      <c r="M37" t="n">
        <v>0</v>
      </c>
      <c r="N37" t="n">
        <v>0</v>
      </c>
      <c r="O37" t="n">
        <v>4</v>
      </c>
      <c r="P37" t="n">
        <v>0</v>
      </c>
      <c r="Q37" t="n">
        <v>4</v>
      </c>
      <c r="R37" s="2" t="inlineStr">
        <is>
          <t>Garnlav
Reliktbock
Tallticka
Tretåig hackspett</t>
        </is>
      </c>
      <c r="S37">
        <f>HYPERLINK("https://klasma.github.io/Logging_2062/artfynd/A 32222-2025 artfynd.xlsx", "A 32222-2025")</f>
        <v/>
      </c>
      <c r="T37">
        <f>HYPERLINK("https://klasma.github.io/Logging_2062/kartor/A 32222-2025 karta.png", "A 32222-2025")</f>
        <v/>
      </c>
      <c r="V37">
        <f>HYPERLINK("https://klasma.github.io/Logging_2062/klagomål/A 32222-2025 FSC-klagomål.docx", "A 32222-2025")</f>
        <v/>
      </c>
      <c r="W37">
        <f>HYPERLINK("https://klasma.github.io/Logging_2062/klagomålsmail/A 32222-2025 FSC-klagomål mail.docx", "A 32222-2025")</f>
        <v/>
      </c>
      <c r="X37">
        <f>HYPERLINK("https://klasma.github.io/Logging_2062/tillsyn/A 32222-2025 tillsynsbegäran.docx", "A 32222-2025")</f>
        <v/>
      </c>
      <c r="Y37">
        <f>HYPERLINK("https://klasma.github.io/Logging_2062/tillsynsmail/A 32222-2025 tillsynsbegäran mail.docx", "A 32222-2025")</f>
        <v/>
      </c>
      <c r="Z37">
        <f>HYPERLINK("https://klasma.github.io/Logging_2062/fåglar/A 32222-2025 prioriterade fågelarter.docx", "A 32222-2025")</f>
        <v/>
      </c>
    </row>
    <row r="38" ht="15" customHeight="1">
      <c r="A38" t="inlineStr">
        <is>
          <t>A 14293-2024</t>
        </is>
      </c>
      <c r="B38" s="1" t="n">
        <v>45393.63902777778</v>
      </c>
      <c r="C38" s="1" t="n">
        <v>45908</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17648-2024</t>
        </is>
      </c>
      <c r="B39" s="1" t="n">
        <v>45418.39261574074</v>
      </c>
      <c r="C39" s="1" t="n">
        <v>45908</v>
      </c>
      <c r="D39" t="inlineStr">
        <is>
          <t>DALARNAS LÄN</t>
        </is>
      </c>
      <c r="E39" t="inlineStr">
        <is>
          <t>MORA</t>
        </is>
      </c>
      <c r="G39" t="n">
        <v>1.7</v>
      </c>
      <c r="H39" t="n">
        <v>4</v>
      </c>
      <c r="I39" t="n">
        <v>0</v>
      </c>
      <c r="J39" t="n">
        <v>2</v>
      </c>
      <c r="K39" t="n">
        <v>0</v>
      </c>
      <c r="L39" t="n">
        <v>0</v>
      </c>
      <c r="M39" t="n">
        <v>0</v>
      </c>
      <c r="N39" t="n">
        <v>0</v>
      </c>
      <c r="O39" t="n">
        <v>2</v>
      </c>
      <c r="P39" t="n">
        <v>0</v>
      </c>
      <c r="Q39" t="n">
        <v>4</v>
      </c>
      <c r="R39" s="2" t="inlineStr">
        <is>
          <t>Brunlångöra
Nordfladdermus
Dvärgpipistrell
Vattenfladdermus</t>
        </is>
      </c>
      <c r="S39">
        <f>HYPERLINK("https://klasma.github.io/Logging_2062/artfynd/A 17648-2024 artfynd.xlsx", "A 17648-2024")</f>
        <v/>
      </c>
      <c r="T39">
        <f>HYPERLINK("https://klasma.github.io/Logging_2062/kartor/A 17648-2024 karta.png", "A 17648-2024")</f>
        <v/>
      </c>
      <c r="V39">
        <f>HYPERLINK("https://klasma.github.io/Logging_2062/klagomål/A 17648-2024 FSC-klagomål.docx", "A 17648-2024")</f>
        <v/>
      </c>
      <c r="W39">
        <f>HYPERLINK("https://klasma.github.io/Logging_2062/klagomålsmail/A 17648-2024 FSC-klagomål mail.docx", "A 17648-2024")</f>
        <v/>
      </c>
      <c r="X39">
        <f>HYPERLINK("https://klasma.github.io/Logging_2062/tillsyn/A 17648-2024 tillsynsbegäran.docx", "A 17648-2024")</f>
        <v/>
      </c>
      <c r="Y39">
        <f>HYPERLINK("https://klasma.github.io/Logging_2062/tillsynsmail/A 17648-2024 tillsynsbegäran mail.docx", "A 17648-2024")</f>
        <v/>
      </c>
    </row>
    <row r="40" ht="15" customHeight="1">
      <c r="A40" t="inlineStr">
        <is>
          <t>A 14829-2025</t>
        </is>
      </c>
      <c r="B40" s="1" t="n">
        <v>45743.36951388889</v>
      </c>
      <c r="C40" s="1" t="n">
        <v>45908</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20067-2025</t>
        </is>
      </c>
      <c r="B41" s="1" t="n">
        <v>45772.43609953704</v>
      </c>
      <c r="C41" s="1" t="n">
        <v>45908</v>
      </c>
      <c r="D41" t="inlineStr">
        <is>
          <t>DALARNAS LÄN</t>
        </is>
      </c>
      <c r="E41" t="inlineStr">
        <is>
          <t>MORA</t>
        </is>
      </c>
      <c r="G41" t="n">
        <v>4.3</v>
      </c>
      <c r="H41" t="n">
        <v>0</v>
      </c>
      <c r="I41" t="n">
        <v>0</v>
      </c>
      <c r="J41" t="n">
        <v>3</v>
      </c>
      <c r="K41" t="n">
        <v>0</v>
      </c>
      <c r="L41" t="n">
        <v>0</v>
      </c>
      <c r="M41" t="n">
        <v>0</v>
      </c>
      <c r="N41" t="n">
        <v>0</v>
      </c>
      <c r="O41" t="n">
        <v>3</v>
      </c>
      <c r="P41" t="n">
        <v>0</v>
      </c>
      <c r="Q41" t="n">
        <v>3</v>
      </c>
      <c r="R41" s="2" t="inlineStr">
        <is>
          <t>Dvärgbägarlav
Garnlav
Vedskivlav</t>
        </is>
      </c>
      <c r="S41">
        <f>HYPERLINK("https://klasma.github.io/Logging_2062/artfynd/A 20067-2025 artfynd.xlsx", "A 20067-2025")</f>
        <v/>
      </c>
      <c r="T41">
        <f>HYPERLINK("https://klasma.github.io/Logging_2062/kartor/A 20067-2025 karta.png", "A 20067-2025")</f>
        <v/>
      </c>
      <c r="V41">
        <f>HYPERLINK("https://klasma.github.io/Logging_2062/klagomål/A 20067-2025 FSC-klagomål.docx", "A 20067-2025")</f>
        <v/>
      </c>
      <c r="W41">
        <f>HYPERLINK("https://klasma.github.io/Logging_2062/klagomålsmail/A 20067-2025 FSC-klagomål mail.docx", "A 20067-2025")</f>
        <v/>
      </c>
      <c r="X41">
        <f>HYPERLINK("https://klasma.github.io/Logging_2062/tillsyn/A 20067-2025 tillsynsbegäran.docx", "A 20067-2025")</f>
        <v/>
      </c>
      <c r="Y41">
        <f>HYPERLINK("https://klasma.github.io/Logging_2062/tillsynsmail/A 20067-2025 tillsynsbegäran mail.docx", "A 20067-2025")</f>
        <v/>
      </c>
    </row>
    <row r="42" ht="15" customHeight="1">
      <c r="A42" t="inlineStr">
        <is>
          <t>A 29392-2025</t>
        </is>
      </c>
      <c r="B42" s="1" t="n">
        <v>45824.60537037037</v>
      </c>
      <c r="C42" s="1" t="n">
        <v>45908</v>
      </c>
      <c r="D42" t="inlineStr">
        <is>
          <t>DALARNAS LÄN</t>
        </is>
      </c>
      <c r="E42" t="inlineStr">
        <is>
          <t>MORA</t>
        </is>
      </c>
      <c r="G42" t="n">
        <v>1</v>
      </c>
      <c r="H42" t="n">
        <v>1</v>
      </c>
      <c r="I42" t="n">
        <v>2</v>
      </c>
      <c r="J42" t="n">
        <v>1</v>
      </c>
      <c r="K42" t="n">
        <v>0</v>
      </c>
      <c r="L42" t="n">
        <v>0</v>
      </c>
      <c r="M42" t="n">
        <v>0</v>
      </c>
      <c r="N42" t="n">
        <v>0</v>
      </c>
      <c r="O42" t="n">
        <v>1</v>
      </c>
      <c r="P42" t="n">
        <v>0</v>
      </c>
      <c r="Q42" t="n">
        <v>3</v>
      </c>
      <c r="R42" s="2" t="inlineStr">
        <is>
          <t>Garnlav
Mindre märgborre
Plattlummer</t>
        </is>
      </c>
      <c r="S42">
        <f>HYPERLINK("https://klasma.github.io/Logging_2062/artfynd/A 29392-2025 artfynd.xlsx", "A 29392-2025")</f>
        <v/>
      </c>
      <c r="T42">
        <f>HYPERLINK("https://klasma.github.io/Logging_2062/kartor/A 29392-2025 karta.png", "A 29392-2025")</f>
        <v/>
      </c>
      <c r="V42">
        <f>HYPERLINK("https://klasma.github.io/Logging_2062/klagomål/A 29392-2025 FSC-klagomål.docx", "A 29392-2025")</f>
        <v/>
      </c>
      <c r="W42">
        <f>HYPERLINK("https://klasma.github.io/Logging_2062/klagomålsmail/A 29392-2025 FSC-klagomål mail.docx", "A 29392-2025")</f>
        <v/>
      </c>
      <c r="X42">
        <f>HYPERLINK("https://klasma.github.io/Logging_2062/tillsyn/A 29392-2025 tillsynsbegäran.docx", "A 29392-2025")</f>
        <v/>
      </c>
      <c r="Y42">
        <f>HYPERLINK("https://klasma.github.io/Logging_2062/tillsynsmail/A 29392-2025 tillsynsbegäran mail.docx", "A 29392-2025")</f>
        <v/>
      </c>
    </row>
    <row r="43" ht="15" customHeight="1">
      <c r="A43" t="inlineStr">
        <is>
          <t>A 33380-2025</t>
        </is>
      </c>
      <c r="B43" s="1" t="n">
        <v>45841.40309027778</v>
      </c>
      <c r="C43" s="1" t="n">
        <v>45908</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45908</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45908</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45908</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45908</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45908</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45908</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45908</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16094-2024</t>
        </is>
      </c>
      <c r="B51" s="1" t="n">
        <v>45406.41648148148</v>
      </c>
      <c r="C51" s="1" t="n">
        <v>45908</v>
      </c>
      <c r="D51" t="inlineStr">
        <is>
          <t>DALARNAS LÄN</t>
        </is>
      </c>
      <c r="E51" t="inlineStr">
        <is>
          <t>MORA</t>
        </is>
      </c>
      <c r="F51" t="inlineStr">
        <is>
          <t>Bergvik skog väst AB</t>
        </is>
      </c>
      <c r="G51" t="n">
        <v>22.6</v>
      </c>
      <c r="H51" t="n">
        <v>0</v>
      </c>
      <c r="I51" t="n">
        <v>0</v>
      </c>
      <c r="J51" t="n">
        <v>1</v>
      </c>
      <c r="K51" t="n">
        <v>0</v>
      </c>
      <c r="L51" t="n">
        <v>0</v>
      </c>
      <c r="M51" t="n">
        <v>0</v>
      </c>
      <c r="N51" t="n">
        <v>0</v>
      </c>
      <c r="O51" t="n">
        <v>1</v>
      </c>
      <c r="P51" t="n">
        <v>0</v>
      </c>
      <c r="Q51" t="n">
        <v>1</v>
      </c>
      <c r="R51" s="2" t="inlineStr">
        <is>
          <t>Reliktbock</t>
        </is>
      </c>
      <c r="S51">
        <f>HYPERLINK("https://klasma.github.io/Logging_2062/artfynd/A 16094-2024 artfynd.xlsx", "A 16094-2024")</f>
        <v/>
      </c>
      <c r="T51">
        <f>HYPERLINK("https://klasma.github.io/Logging_2062/kartor/A 16094-2024 karta.png", "A 16094-2024")</f>
        <v/>
      </c>
      <c r="V51">
        <f>HYPERLINK("https://klasma.github.io/Logging_2062/klagomål/A 16094-2024 FSC-klagomål.docx", "A 16094-2024")</f>
        <v/>
      </c>
      <c r="W51">
        <f>HYPERLINK("https://klasma.github.io/Logging_2062/klagomålsmail/A 16094-2024 FSC-klagomål mail.docx", "A 16094-2024")</f>
        <v/>
      </c>
      <c r="X51">
        <f>HYPERLINK("https://klasma.github.io/Logging_2062/tillsyn/A 16094-2024 tillsynsbegäran.docx", "A 16094-2024")</f>
        <v/>
      </c>
      <c r="Y51">
        <f>HYPERLINK("https://klasma.github.io/Logging_2062/tillsynsmail/A 16094-2024 tillsynsbegäran mail.docx", "A 16094-2024")</f>
        <v/>
      </c>
    </row>
    <row r="52" ht="15" customHeight="1">
      <c r="A52" t="inlineStr">
        <is>
          <t>A 5304-2023</t>
        </is>
      </c>
      <c r="B52" s="1" t="n">
        <v>44959.55116898148</v>
      </c>
      <c r="C52" s="1" t="n">
        <v>45908</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27113-2024</t>
        </is>
      </c>
      <c r="B53" s="1" t="n">
        <v>45471</v>
      </c>
      <c r="C53" s="1" t="n">
        <v>45908</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831-2025</t>
        </is>
      </c>
      <c r="B54" s="1" t="n">
        <v>45665.58001157407</v>
      </c>
      <c r="C54" s="1" t="n">
        <v>45908</v>
      </c>
      <c r="D54" t="inlineStr">
        <is>
          <t>DALARNAS LÄN</t>
        </is>
      </c>
      <c r="E54" t="inlineStr">
        <is>
          <t>MORA</t>
        </is>
      </c>
      <c r="G54" t="n">
        <v>2.5</v>
      </c>
      <c r="H54" t="n">
        <v>0</v>
      </c>
      <c r="I54" t="n">
        <v>1</v>
      </c>
      <c r="J54" t="n">
        <v>0</v>
      </c>
      <c r="K54" t="n">
        <v>0</v>
      </c>
      <c r="L54" t="n">
        <v>0</v>
      </c>
      <c r="M54" t="n">
        <v>0</v>
      </c>
      <c r="N54" t="n">
        <v>0</v>
      </c>
      <c r="O54" t="n">
        <v>0</v>
      </c>
      <c r="P54" t="n">
        <v>0</v>
      </c>
      <c r="Q54" t="n">
        <v>1</v>
      </c>
      <c r="R54" s="2" t="inlineStr">
        <is>
          <t>Stekelbock</t>
        </is>
      </c>
      <c r="S54">
        <f>HYPERLINK("https://klasma.github.io/Logging_2062/artfynd/A 831-2025 artfynd.xlsx", "A 831-2025")</f>
        <v/>
      </c>
      <c r="T54">
        <f>HYPERLINK("https://klasma.github.io/Logging_2062/kartor/A 831-2025 karta.png", "A 831-2025")</f>
        <v/>
      </c>
      <c r="V54">
        <f>HYPERLINK("https://klasma.github.io/Logging_2062/klagomål/A 831-2025 FSC-klagomål.docx", "A 831-2025")</f>
        <v/>
      </c>
      <c r="W54">
        <f>HYPERLINK("https://klasma.github.io/Logging_2062/klagomålsmail/A 831-2025 FSC-klagomål mail.docx", "A 831-2025")</f>
        <v/>
      </c>
      <c r="X54">
        <f>HYPERLINK("https://klasma.github.io/Logging_2062/tillsyn/A 831-2025 tillsynsbegäran.docx", "A 831-2025")</f>
        <v/>
      </c>
      <c r="Y54">
        <f>HYPERLINK("https://klasma.github.io/Logging_2062/tillsynsmail/A 831-2025 tillsynsbegäran mail.docx", "A 831-2025")</f>
        <v/>
      </c>
    </row>
    <row r="55" ht="15" customHeight="1">
      <c r="A55" t="inlineStr">
        <is>
          <t>A 45344-2024</t>
        </is>
      </c>
      <c r="B55" s="1" t="n">
        <v>45576</v>
      </c>
      <c r="C55" s="1" t="n">
        <v>45908</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30328-2021</t>
        </is>
      </c>
      <c r="B56" s="1" t="n">
        <v>44364</v>
      </c>
      <c r="C56" s="1" t="n">
        <v>45908</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57669-2022</t>
        </is>
      </c>
      <c r="B57" s="1" t="n">
        <v>44897</v>
      </c>
      <c r="C57" s="1" t="n">
        <v>45908</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23736-2023</t>
        </is>
      </c>
      <c r="B58" s="1" t="n">
        <v>45077</v>
      </c>
      <c r="C58" s="1" t="n">
        <v>45908</v>
      </c>
      <c r="D58" t="inlineStr">
        <is>
          <t>DALARNAS LÄN</t>
        </is>
      </c>
      <c r="E58" t="inlineStr">
        <is>
          <t>MORA</t>
        </is>
      </c>
      <c r="G58" t="n">
        <v>7.2</v>
      </c>
      <c r="H58" t="n">
        <v>0</v>
      </c>
      <c r="I58" t="n">
        <v>0</v>
      </c>
      <c r="J58" t="n">
        <v>1</v>
      </c>
      <c r="K58" t="n">
        <v>0</v>
      </c>
      <c r="L58" t="n">
        <v>0</v>
      </c>
      <c r="M58" t="n">
        <v>0</v>
      </c>
      <c r="N58" t="n">
        <v>0</v>
      </c>
      <c r="O58" t="n">
        <v>1</v>
      </c>
      <c r="P58" t="n">
        <v>0</v>
      </c>
      <c r="Q58" t="n">
        <v>1</v>
      </c>
      <c r="R58" s="2" t="inlineStr">
        <is>
          <t>Reliktbock</t>
        </is>
      </c>
      <c r="S58">
        <f>HYPERLINK("https://klasma.github.io/Logging_2062/artfynd/A 23736-2023 artfynd.xlsx", "A 23736-2023")</f>
        <v/>
      </c>
      <c r="T58">
        <f>HYPERLINK("https://klasma.github.io/Logging_2062/kartor/A 23736-2023 karta.png", "A 23736-2023")</f>
        <v/>
      </c>
      <c r="V58">
        <f>HYPERLINK("https://klasma.github.io/Logging_2062/klagomål/A 23736-2023 FSC-klagomål.docx", "A 23736-2023")</f>
        <v/>
      </c>
      <c r="W58">
        <f>HYPERLINK("https://klasma.github.io/Logging_2062/klagomålsmail/A 23736-2023 FSC-klagomål mail.docx", "A 23736-2023")</f>
        <v/>
      </c>
      <c r="X58">
        <f>HYPERLINK("https://klasma.github.io/Logging_2062/tillsyn/A 23736-2023 tillsynsbegäran.docx", "A 23736-2023")</f>
        <v/>
      </c>
      <c r="Y58">
        <f>HYPERLINK("https://klasma.github.io/Logging_2062/tillsynsmail/A 23736-2023 tillsynsbegäran mail.docx", "A 23736-2023")</f>
        <v/>
      </c>
    </row>
    <row r="59" ht="15" customHeight="1">
      <c r="A59" t="inlineStr">
        <is>
          <t>A 13717-2023</t>
        </is>
      </c>
      <c r="B59" s="1" t="n">
        <v>45007</v>
      </c>
      <c r="C59" s="1" t="n">
        <v>45908</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20538-2025</t>
        </is>
      </c>
      <c r="B60" s="1" t="n">
        <v>45775.62283564815</v>
      </c>
      <c r="C60" s="1" t="n">
        <v>45908</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20538-2025 artfynd.xlsx", "A 20538-2025")</f>
        <v/>
      </c>
      <c r="T60">
        <f>HYPERLINK("https://klasma.github.io/Logging_2062/kartor/A 20538-2025 karta.png", "A 20538-2025")</f>
        <v/>
      </c>
      <c r="V60">
        <f>HYPERLINK("https://klasma.github.io/Logging_2062/klagomål/A 20538-2025 FSC-klagomål.docx", "A 20538-2025")</f>
        <v/>
      </c>
      <c r="W60">
        <f>HYPERLINK("https://klasma.github.io/Logging_2062/klagomålsmail/A 20538-2025 FSC-klagomål mail.docx", "A 20538-2025")</f>
        <v/>
      </c>
      <c r="X60">
        <f>HYPERLINK("https://klasma.github.io/Logging_2062/tillsyn/A 20538-2025 tillsynsbegäran.docx", "A 20538-2025")</f>
        <v/>
      </c>
      <c r="Y60">
        <f>HYPERLINK("https://klasma.github.io/Logging_2062/tillsynsmail/A 20538-2025 tillsynsbegäran mail.docx", "A 20538-2025")</f>
        <v/>
      </c>
    </row>
    <row r="61" ht="15" customHeight="1">
      <c r="A61" t="inlineStr">
        <is>
          <t>A 66990-2020</t>
        </is>
      </c>
      <c r="B61" s="1" t="n">
        <v>44180</v>
      </c>
      <c r="C61" s="1" t="n">
        <v>45908</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45908</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45908</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52732-2020</t>
        </is>
      </c>
      <c r="B64" s="1" t="n">
        <v>44118</v>
      </c>
      <c r="C64" s="1" t="n">
        <v>45908</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45908</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45908</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45908</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45908</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34897-2022</t>
        </is>
      </c>
      <c r="B69" s="1" t="n">
        <v>44796</v>
      </c>
      <c r="C69" s="1" t="n">
        <v>45908</v>
      </c>
      <c r="D69" t="inlineStr">
        <is>
          <t>DALARNAS LÄN</t>
        </is>
      </c>
      <c r="E69" t="inlineStr">
        <is>
          <t>MORA</t>
        </is>
      </c>
      <c r="F69" t="inlineStr">
        <is>
          <t>Bergvik skog väst AB</t>
        </is>
      </c>
      <c r="G69" t="n">
        <v>8</v>
      </c>
      <c r="H69" t="n">
        <v>0</v>
      </c>
      <c r="I69" t="n">
        <v>0</v>
      </c>
      <c r="J69" t="n">
        <v>0</v>
      </c>
      <c r="K69" t="n">
        <v>0</v>
      </c>
      <c r="L69" t="n">
        <v>0</v>
      </c>
      <c r="M69" t="n">
        <v>0</v>
      </c>
      <c r="N69" t="n">
        <v>0</v>
      </c>
      <c r="O69" t="n">
        <v>0</v>
      </c>
      <c r="P69" t="n">
        <v>0</v>
      </c>
      <c r="Q69" t="n">
        <v>0</v>
      </c>
      <c r="R69" s="2" t="inlineStr"/>
    </row>
    <row r="70" ht="15" customHeight="1">
      <c r="A70" t="inlineStr">
        <is>
          <t>A 72648-2021</t>
        </is>
      </c>
      <c r="B70" s="1" t="n">
        <v>44546.5862037037</v>
      </c>
      <c r="C70" s="1" t="n">
        <v>45908</v>
      </c>
      <c r="D70" t="inlineStr">
        <is>
          <t>DALARNAS LÄN</t>
        </is>
      </c>
      <c r="E70" t="inlineStr">
        <is>
          <t>MORA</t>
        </is>
      </c>
      <c r="G70" t="n">
        <v>0.2</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45908</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45908</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45908</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45908</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45908</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45908</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45908</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54239-2021</t>
        </is>
      </c>
      <c r="B78" s="1" t="n">
        <v>44470.63695601852</v>
      </c>
      <c r="C78" s="1" t="n">
        <v>45908</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45908</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45908</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45908</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45908</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45908</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45908</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49583-2021</t>
        </is>
      </c>
      <c r="B85" s="1" t="n">
        <v>44455</v>
      </c>
      <c r="C85" s="1" t="n">
        <v>45908</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41022-2021</t>
        </is>
      </c>
      <c r="B86" s="1" t="n">
        <v>44421</v>
      </c>
      <c r="C86" s="1" t="n">
        <v>45908</v>
      </c>
      <c r="D86" t="inlineStr">
        <is>
          <t>DALARNAS LÄN</t>
        </is>
      </c>
      <c r="E86" t="inlineStr">
        <is>
          <t>MORA</t>
        </is>
      </c>
      <c r="G86" t="n">
        <v>11.9</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45908</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45908</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45908</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45908</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28344-2022</t>
        </is>
      </c>
      <c r="B91" s="1" t="n">
        <v>44747</v>
      </c>
      <c r="C91" s="1" t="n">
        <v>45908</v>
      </c>
      <c r="D91" t="inlineStr">
        <is>
          <t>DALARNAS LÄN</t>
        </is>
      </c>
      <c r="E91" t="inlineStr">
        <is>
          <t>MORA</t>
        </is>
      </c>
      <c r="F91" t="inlineStr">
        <is>
          <t>Kyrkan</t>
        </is>
      </c>
      <c r="G91" t="n">
        <v>6.4</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45908</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45908</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45908</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45908</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45908</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45908</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45908</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45908</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45908</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45908</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45908</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45908</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45908</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45908</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45908</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45908</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45908</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45908</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45908</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45908</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45908</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45908</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45908</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45908</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36168-2021</t>
        </is>
      </c>
      <c r="B116" s="1" t="n">
        <v>44389.62159722222</v>
      </c>
      <c r="C116" s="1" t="n">
        <v>45908</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45908</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34927-2022</t>
        </is>
      </c>
      <c r="B118" s="1" t="n">
        <v>44796.60181712963</v>
      </c>
      <c r="C118" s="1" t="n">
        <v>45908</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15127-2022</t>
        </is>
      </c>
      <c r="B119" s="1" t="n">
        <v>44658</v>
      </c>
      <c r="C119" s="1" t="n">
        <v>45908</v>
      </c>
      <c r="D119" t="inlineStr">
        <is>
          <t>DALARNAS LÄN</t>
        </is>
      </c>
      <c r="E119" t="inlineStr">
        <is>
          <t>MORA</t>
        </is>
      </c>
      <c r="G119" t="n">
        <v>4.9</v>
      </c>
      <c r="H119" t="n">
        <v>0</v>
      </c>
      <c r="I119" t="n">
        <v>0</v>
      </c>
      <c r="J119" t="n">
        <v>0</v>
      </c>
      <c r="K119" t="n">
        <v>0</v>
      </c>
      <c r="L119" t="n">
        <v>0</v>
      </c>
      <c r="M119" t="n">
        <v>0</v>
      </c>
      <c r="N119" t="n">
        <v>0</v>
      </c>
      <c r="O119" t="n">
        <v>0</v>
      </c>
      <c r="P119" t="n">
        <v>0</v>
      </c>
      <c r="Q119" t="n">
        <v>0</v>
      </c>
      <c r="R119" s="2" t="inlineStr"/>
    </row>
    <row r="120" ht="15" customHeight="1">
      <c r="A120" t="inlineStr">
        <is>
          <t>A 72659-2021</t>
        </is>
      </c>
      <c r="B120" s="1" t="n">
        <v>44546.60960648148</v>
      </c>
      <c r="C120" s="1" t="n">
        <v>45908</v>
      </c>
      <c r="D120" t="inlineStr">
        <is>
          <t>DALARNAS LÄN</t>
        </is>
      </c>
      <c r="E120" t="inlineStr">
        <is>
          <t>MORA</t>
        </is>
      </c>
      <c r="G120" t="n">
        <v>0.5</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45908</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68966-2021</t>
        </is>
      </c>
      <c r="B122" s="1" t="n">
        <v>44530</v>
      </c>
      <c r="C122" s="1" t="n">
        <v>45908</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45908</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62301-2020</t>
        </is>
      </c>
      <c r="B124" s="1" t="n">
        <v>44160</v>
      </c>
      <c r="C124" s="1" t="n">
        <v>45908</v>
      </c>
      <c r="D124" t="inlineStr">
        <is>
          <t>DALARNAS LÄN</t>
        </is>
      </c>
      <c r="E124" t="inlineStr">
        <is>
          <t>MORA</t>
        </is>
      </c>
      <c r="G124" t="n">
        <v>2.1</v>
      </c>
      <c r="H124" t="n">
        <v>0</v>
      </c>
      <c r="I124" t="n">
        <v>0</v>
      </c>
      <c r="J124" t="n">
        <v>0</v>
      </c>
      <c r="K124" t="n">
        <v>0</v>
      </c>
      <c r="L124" t="n">
        <v>0</v>
      </c>
      <c r="M124" t="n">
        <v>0</v>
      </c>
      <c r="N124" t="n">
        <v>0</v>
      </c>
      <c r="O124" t="n">
        <v>0</v>
      </c>
      <c r="P124" t="n">
        <v>0</v>
      </c>
      <c r="Q124" t="n">
        <v>0</v>
      </c>
      <c r="R124" s="2" t="inlineStr"/>
    </row>
    <row r="125" ht="15" customHeight="1">
      <c r="A125" t="inlineStr">
        <is>
          <t>A 56501-2021</t>
        </is>
      </c>
      <c r="B125" s="1" t="n">
        <v>44480.57549768518</v>
      </c>
      <c r="C125" s="1" t="n">
        <v>45908</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60250-2020</t>
        </is>
      </c>
      <c r="B126" s="1" t="n">
        <v>44152</v>
      </c>
      <c r="C126" s="1" t="n">
        <v>45908</v>
      </c>
      <c r="D126" t="inlineStr">
        <is>
          <t>DALARNAS LÄN</t>
        </is>
      </c>
      <c r="E126" t="inlineStr">
        <is>
          <t>MORA</t>
        </is>
      </c>
      <c r="F126" t="inlineStr">
        <is>
          <t>Bergvik skog öst AB</t>
        </is>
      </c>
      <c r="G126" t="n">
        <v>0.8</v>
      </c>
      <c r="H126" t="n">
        <v>0</v>
      </c>
      <c r="I126" t="n">
        <v>0</v>
      </c>
      <c r="J126" t="n">
        <v>0</v>
      </c>
      <c r="K126" t="n">
        <v>0</v>
      </c>
      <c r="L126" t="n">
        <v>0</v>
      </c>
      <c r="M126" t="n">
        <v>0</v>
      </c>
      <c r="N126" t="n">
        <v>0</v>
      </c>
      <c r="O126" t="n">
        <v>0</v>
      </c>
      <c r="P126" t="n">
        <v>0</v>
      </c>
      <c r="Q126" t="n">
        <v>0</v>
      </c>
      <c r="R126" s="2" t="inlineStr"/>
    </row>
    <row r="127" ht="15" customHeight="1">
      <c r="A127" t="inlineStr">
        <is>
          <t>A 67045-2021</t>
        </is>
      </c>
      <c r="B127" s="1" t="n">
        <v>44522</v>
      </c>
      <c r="C127" s="1" t="n">
        <v>45908</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48065-2020</t>
        </is>
      </c>
      <c r="B128" s="1" t="n">
        <v>44100</v>
      </c>
      <c r="C128" s="1" t="n">
        <v>45908</v>
      </c>
      <c r="D128" t="inlineStr">
        <is>
          <t>DALARNAS LÄN</t>
        </is>
      </c>
      <c r="E128" t="inlineStr">
        <is>
          <t>MORA</t>
        </is>
      </c>
      <c r="G128" t="n">
        <v>8.6</v>
      </c>
      <c r="H128" t="n">
        <v>0</v>
      </c>
      <c r="I128" t="n">
        <v>0</v>
      </c>
      <c r="J128" t="n">
        <v>0</v>
      </c>
      <c r="K128" t="n">
        <v>0</v>
      </c>
      <c r="L128" t="n">
        <v>0</v>
      </c>
      <c r="M128" t="n">
        <v>0</v>
      </c>
      <c r="N128" t="n">
        <v>0</v>
      </c>
      <c r="O128" t="n">
        <v>0</v>
      </c>
      <c r="P128" t="n">
        <v>0</v>
      </c>
      <c r="Q128" t="n">
        <v>0</v>
      </c>
      <c r="R128" s="2" t="inlineStr"/>
    </row>
    <row r="129" ht="15" customHeight="1">
      <c r="A129" t="inlineStr">
        <is>
          <t>A 55249-2020</t>
        </is>
      </c>
      <c r="B129" s="1" t="n">
        <v>44130</v>
      </c>
      <c r="C129" s="1" t="n">
        <v>45908</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14744-2022</t>
        </is>
      </c>
      <c r="B130" s="1" t="n">
        <v>44656.37616898148</v>
      </c>
      <c r="C130" s="1" t="n">
        <v>45908</v>
      </c>
      <c r="D130" t="inlineStr">
        <is>
          <t>DALARNAS LÄN</t>
        </is>
      </c>
      <c r="E130" t="inlineStr">
        <is>
          <t>MORA</t>
        </is>
      </c>
      <c r="G130" t="n">
        <v>1.9</v>
      </c>
      <c r="H130" t="n">
        <v>0</v>
      </c>
      <c r="I130" t="n">
        <v>0</v>
      </c>
      <c r="J130" t="n">
        <v>0</v>
      </c>
      <c r="K130" t="n">
        <v>0</v>
      </c>
      <c r="L130" t="n">
        <v>0</v>
      </c>
      <c r="M130" t="n">
        <v>0</v>
      </c>
      <c r="N130" t="n">
        <v>0</v>
      </c>
      <c r="O130" t="n">
        <v>0</v>
      </c>
      <c r="P130" t="n">
        <v>0</v>
      </c>
      <c r="Q130" t="n">
        <v>0</v>
      </c>
      <c r="R130" s="2" t="inlineStr"/>
    </row>
    <row r="131" ht="15" customHeight="1">
      <c r="A131" t="inlineStr">
        <is>
          <t>A 8546-2022</t>
        </is>
      </c>
      <c r="B131" s="1" t="n">
        <v>44613</v>
      </c>
      <c r="C131" s="1" t="n">
        <v>45908</v>
      </c>
      <c r="D131" t="inlineStr">
        <is>
          <t>DALARNAS LÄN</t>
        </is>
      </c>
      <c r="E131" t="inlineStr">
        <is>
          <t>MORA</t>
        </is>
      </c>
      <c r="G131" t="n">
        <v>2.6</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45908</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45908</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45908</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45908</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24393-2022</t>
        </is>
      </c>
      <c r="B136" s="1" t="n">
        <v>44726</v>
      </c>
      <c r="C136" s="1" t="n">
        <v>45908</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43284-2020</t>
        </is>
      </c>
      <c r="B137" s="1" t="n">
        <v>44081</v>
      </c>
      <c r="C137" s="1" t="n">
        <v>45908</v>
      </c>
      <c r="D137" t="inlineStr">
        <is>
          <t>DALARNAS LÄN</t>
        </is>
      </c>
      <c r="E137" t="inlineStr">
        <is>
          <t>MORA</t>
        </is>
      </c>
      <c r="G137" t="n">
        <v>2</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45908</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45908</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45908</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45908</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45908</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27461-2022</t>
        </is>
      </c>
      <c r="B143" s="1" t="n">
        <v>44742.58386574074</v>
      </c>
      <c r="C143" s="1" t="n">
        <v>45908</v>
      </c>
      <c r="D143" t="inlineStr">
        <is>
          <t>DALARNAS LÄN</t>
        </is>
      </c>
      <c r="E143" t="inlineStr">
        <is>
          <t>MORA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43874-2024</t>
        </is>
      </c>
      <c r="B144" s="1" t="n">
        <v>45572.38476851852</v>
      </c>
      <c r="C144" s="1" t="n">
        <v>45908</v>
      </c>
      <c r="D144" t="inlineStr">
        <is>
          <t>DALARNAS LÄN</t>
        </is>
      </c>
      <c r="E144" t="inlineStr">
        <is>
          <t>MORA</t>
        </is>
      </c>
      <c r="G144" t="n">
        <v>3.6</v>
      </c>
      <c r="H144" t="n">
        <v>0</v>
      </c>
      <c r="I144" t="n">
        <v>0</v>
      </c>
      <c r="J144" t="n">
        <v>0</v>
      </c>
      <c r="K144" t="n">
        <v>0</v>
      </c>
      <c r="L144" t="n">
        <v>0</v>
      </c>
      <c r="M144" t="n">
        <v>0</v>
      </c>
      <c r="N144" t="n">
        <v>0</v>
      </c>
      <c r="O144" t="n">
        <v>0</v>
      </c>
      <c r="P144" t="n">
        <v>0</v>
      </c>
      <c r="Q144" t="n">
        <v>0</v>
      </c>
      <c r="R144" s="2" t="inlineStr"/>
    </row>
    <row r="145" ht="15" customHeight="1">
      <c r="A145" t="inlineStr">
        <is>
          <t>A 66157-2021</t>
        </is>
      </c>
      <c r="B145" s="1" t="n">
        <v>44517.92888888889</v>
      </c>
      <c r="C145" s="1" t="n">
        <v>45908</v>
      </c>
      <c r="D145" t="inlineStr">
        <is>
          <t>DALARNAS LÄN</t>
        </is>
      </c>
      <c r="E145" t="inlineStr">
        <is>
          <t>MORA</t>
        </is>
      </c>
      <c r="G145" t="n">
        <v>2.9</v>
      </c>
      <c r="H145" t="n">
        <v>0</v>
      </c>
      <c r="I145" t="n">
        <v>0</v>
      </c>
      <c r="J145" t="n">
        <v>0</v>
      </c>
      <c r="K145" t="n">
        <v>0</v>
      </c>
      <c r="L145" t="n">
        <v>0</v>
      </c>
      <c r="M145" t="n">
        <v>0</v>
      </c>
      <c r="N145" t="n">
        <v>0</v>
      </c>
      <c r="O145" t="n">
        <v>0</v>
      </c>
      <c r="P145" t="n">
        <v>0</v>
      </c>
      <c r="Q145" t="n">
        <v>0</v>
      </c>
      <c r="R145" s="2" t="inlineStr"/>
    </row>
    <row r="146" ht="15" customHeight="1">
      <c r="A146" t="inlineStr">
        <is>
          <t>A 60099-2024</t>
        </is>
      </c>
      <c r="B146" s="1" t="n">
        <v>45642.55645833333</v>
      </c>
      <c r="C146" s="1" t="n">
        <v>45908</v>
      </c>
      <c r="D146" t="inlineStr">
        <is>
          <t>DALARNAS LÄN</t>
        </is>
      </c>
      <c r="E146" t="inlineStr">
        <is>
          <t>MORA</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63958-2023</t>
        </is>
      </c>
      <c r="B147" s="1" t="n">
        <v>45278</v>
      </c>
      <c r="C147" s="1" t="n">
        <v>45908</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45908</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46152-2023</t>
        </is>
      </c>
      <c r="B149" s="1" t="n">
        <v>45196.58278935185</v>
      </c>
      <c r="C149" s="1" t="n">
        <v>45908</v>
      </c>
      <c r="D149" t="inlineStr">
        <is>
          <t>DALARNAS LÄN</t>
        </is>
      </c>
      <c r="E149" t="inlineStr">
        <is>
          <t>MORA</t>
        </is>
      </c>
      <c r="G149" t="n">
        <v>2</v>
      </c>
      <c r="H149" t="n">
        <v>0</v>
      </c>
      <c r="I149" t="n">
        <v>0</v>
      </c>
      <c r="J149" t="n">
        <v>0</v>
      </c>
      <c r="K149" t="n">
        <v>0</v>
      </c>
      <c r="L149" t="n">
        <v>0</v>
      </c>
      <c r="M149" t="n">
        <v>0</v>
      </c>
      <c r="N149" t="n">
        <v>0</v>
      </c>
      <c r="O149" t="n">
        <v>0</v>
      </c>
      <c r="P149" t="n">
        <v>0</v>
      </c>
      <c r="Q149" t="n">
        <v>0</v>
      </c>
      <c r="R149" s="2" t="inlineStr"/>
    </row>
    <row r="150" ht="15" customHeight="1">
      <c r="A150" t="inlineStr">
        <is>
          <t>A 15443-2025</t>
        </is>
      </c>
      <c r="B150" s="1" t="n">
        <v>45747.48371527778</v>
      </c>
      <c r="C150" s="1" t="n">
        <v>45908</v>
      </c>
      <c r="D150" t="inlineStr">
        <is>
          <t>DALARNAS LÄN</t>
        </is>
      </c>
      <c r="E150" t="inlineStr">
        <is>
          <t>MORA</t>
        </is>
      </c>
      <c r="G150" t="n">
        <v>1.8</v>
      </c>
      <c r="H150" t="n">
        <v>0</v>
      </c>
      <c r="I150" t="n">
        <v>0</v>
      </c>
      <c r="J150" t="n">
        <v>0</v>
      </c>
      <c r="K150" t="n">
        <v>0</v>
      </c>
      <c r="L150" t="n">
        <v>0</v>
      </c>
      <c r="M150" t="n">
        <v>0</v>
      </c>
      <c r="N150" t="n">
        <v>0</v>
      </c>
      <c r="O150" t="n">
        <v>0</v>
      </c>
      <c r="P150" t="n">
        <v>0</v>
      </c>
      <c r="Q150" t="n">
        <v>0</v>
      </c>
      <c r="R150" s="2" t="inlineStr"/>
    </row>
    <row r="151" ht="15" customHeight="1">
      <c r="A151" t="inlineStr">
        <is>
          <t>A 28832-2023</t>
        </is>
      </c>
      <c r="B151" s="1" t="n">
        <v>45104.40493055555</v>
      </c>
      <c r="C151" s="1" t="n">
        <v>45908</v>
      </c>
      <c r="D151" t="inlineStr">
        <is>
          <t>DALARNAS LÄN</t>
        </is>
      </c>
      <c r="E151" t="inlineStr">
        <is>
          <t>MORA</t>
        </is>
      </c>
      <c r="F151" t="inlineStr">
        <is>
          <t>Bergvik skog öst AB</t>
        </is>
      </c>
      <c r="G151" t="n">
        <v>2</v>
      </c>
      <c r="H151" t="n">
        <v>0</v>
      </c>
      <c r="I151" t="n">
        <v>0</v>
      </c>
      <c r="J151" t="n">
        <v>0</v>
      </c>
      <c r="K151" t="n">
        <v>0</v>
      </c>
      <c r="L151" t="n">
        <v>0</v>
      </c>
      <c r="M151" t="n">
        <v>0</v>
      </c>
      <c r="N151" t="n">
        <v>0</v>
      </c>
      <c r="O151" t="n">
        <v>0</v>
      </c>
      <c r="P151" t="n">
        <v>0</v>
      </c>
      <c r="Q151" t="n">
        <v>0</v>
      </c>
      <c r="R151" s="2" t="inlineStr"/>
    </row>
    <row r="152" ht="15" customHeight="1">
      <c r="A152" t="inlineStr">
        <is>
          <t>A 39348-2024</t>
        </is>
      </c>
      <c r="B152" s="1" t="n">
        <v>45551.45322916667</v>
      </c>
      <c r="C152" s="1" t="n">
        <v>45908</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20594-2025</t>
        </is>
      </c>
      <c r="B153" s="1" t="n">
        <v>45775.74009259259</v>
      </c>
      <c r="C153" s="1" t="n">
        <v>45908</v>
      </c>
      <c r="D153" t="inlineStr">
        <is>
          <t>DALARNAS LÄN</t>
        </is>
      </c>
      <c r="E153" t="inlineStr">
        <is>
          <t>MORA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54903-2024</t>
        </is>
      </c>
      <c r="B154" s="1" t="n">
        <v>45618</v>
      </c>
      <c r="C154" s="1" t="n">
        <v>45908</v>
      </c>
      <c r="D154" t="inlineStr">
        <is>
          <t>DALARNAS LÄN</t>
        </is>
      </c>
      <c r="E154" t="inlineStr">
        <is>
          <t>MORA</t>
        </is>
      </c>
      <c r="G154" t="n">
        <v>28.2</v>
      </c>
      <c r="H154" t="n">
        <v>0</v>
      </c>
      <c r="I154" t="n">
        <v>0</v>
      </c>
      <c r="J154" t="n">
        <v>0</v>
      </c>
      <c r="K154" t="n">
        <v>0</v>
      </c>
      <c r="L154" t="n">
        <v>0</v>
      </c>
      <c r="M154" t="n">
        <v>0</v>
      </c>
      <c r="N154" t="n">
        <v>0</v>
      </c>
      <c r="O154" t="n">
        <v>0</v>
      </c>
      <c r="P154" t="n">
        <v>0</v>
      </c>
      <c r="Q154" t="n">
        <v>0</v>
      </c>
      <c r="R154" s="2" t="inlineStr"/>
    </row>
    <row r="155" ht="15" customHeight="1">
      <c r="A155" t="inlineStr">
        <is>
          <t>A 23302-2024</t>
        </is>
      </c>
      <c r="B155" s="1" t="n">
        <v>45453.44091435185</v>
      </c>
      <c r="C155" s="1" t="n">
        <v>45908</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48824-2023</t>
        </is>
      </c>
      <c r="B156" s="1" t="n">
        <v>45203</v>
      </c>
      <c r="C156" s="1" t="n">
        <v>45908</v>
      </c>
      <c r="D156" t="inlineStr">
        <is>
          <t>DALARNAS LÄN</t>
        </is>
      </c>
      <c r="E156" t="inlineStr">
        <is>
          <t>MORA</t>
        </is>
      </c>
      <c r="G156" t="n">
        <v>3.3</v>
      </c>
      <c r="H156" t="n">
        <v>0</v>
      </c>
      <c r="I156" t="n">
        <v>0</v>
      </c>
      <c r="J156" t="n">
        <v>0</v>
      </c>
      <c r="K156" t="n">
        <v>0</v>
      </c>
      <c r="L156" t="n">
        <v>0</v>
      </c>
      <c r="M156" t="n">
        <v>0</v>
      </c>
      <c r="N156" t="n">
        <v>0</v>
      </c>
      <c r="O156" t="n">
        <v>0</v>
      </c>
      <c r="P156" t="n">
        <v>0</v>
      </c>
      <c r="Q156" t="n">
        <v>0</v>
      </c>
      <c r="R156" s="2" t="inlineStr"/>
    </row>
    <row r="157" ht="15" customHeight="1">
      <c r="A157" t="inlineStr">
        <is>
          <t>A 8343-2025</t>
        </is>
      </c>
      <c r="B157" s="1" t="n">
        <v>45708.67253472222</v>
      </c>
      <c r="C157" s="1" t="n">
        <v>45908</v>
      </c>
      <c r="D157" t="inlineStr">
        <is>
          <t>DALARNAS LÄN</t>
        </is>
      </c>
      <c r="E157" t="inlineStr">
        <is>
          <t>MORA</t>
        </is>
      </c>
      <c r="G157" t="n">
        <v>3.4</v>
      </c>
      <c r="H157" t="n">
        <v>0</v>
      </c>
      <c r="I157" t="n">
        <v>0</v>
      </c>
      <c r="J157" t="n">
        <v>0</v>
      </c>
      <c r="K157" t="n">
        <v>0</v>
      </c>
      <c r="L157" t="n">
        <v>0</v>
      </c>
      <c r="M157" t="n">
        <v>0</v>
      </c>
      <c r="N157" t="n">
        <v>0</v>
      </c>
      <c r="O157" t="n">
        <v>0</v>
      </c>
      <c r="P157" t="n">
        <v>0</v>
      </c>
      <c r="Q157" t="n">
        <v>0</v>
      </c>
      <c r="R157" s="2" t="inlineStr"/>
    </row>
    <row r="158" ht="15" customHeight="1">
      <c r="A158" t="inlineStr">
        <is>
          <t>A 31929-2024</t>
        </is>
      </c>
      <c r="B158" s="1" t="n">
        <v>45510.40587962963</v>
      </c>
      <c r="C158" s="1" t="n">
        <v>45908</v>
      </c>
      <c r="D158" t="inlineStr">
        <is>
          <t>DALARNAS LÄN</t>
        </is>
      </c>
      <c r="E158" t="inlineStr">
        <is>
          <t>MORA</t>
        </is>
      </c>
      <c r="G158" t="n">
        <v>10.8</v>
      </c>
      <c r="H158" t="n">
        <v>0</v>
      </c>
      <c r="I158" t="n">
        <v>0</v>
      </c>
      <c r="J158" t="n">
        <v>0</v>
      </c>
      <c r="K158" t="n">
        <v>0</v>
      </c>
      <c r="L158" t="n">
        <v>0</v>
      </c>
      <c r="M158" t="n">
        <v>0</v>
      </c>
      <c r="N158" t="n">
        <v>0</v>
      </c>
      <c r="O158" t="n">
        <v>0</v>
      </c>
      <c r="P158" t="n">
        <v>0</v>
      </c>
      <c r="Q158" t="n">
        <v>0</v>
      </c>
      <c r="R158" s="2" t="inlineStr"/>
    </row>
    <row r="159" ht="15" customHeight="1">
      <c r="A159" t="inlineStr">
        <is>
          <t>A 17163-2025</t>
        </is>
      </c>
      <c r="B159" s="1" t="n">
        <v>45756.35998842592</v>
      </c>
      <c r="C159" s="1" t="n">
        <v>45908</v>
      </c>
      <c r="D159" t="inlineStr">
        <is>
          <t>DALARNAS LÄN</t>
        </is>
      </c>
      <c r="E159" t="inlineStr">
        <is>
          <t>MORA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34272-2024</t>
        </is>
      </c>
      <c r="B160" s="1" t="n">
        <v>45524.61752314815</v>
      </c>
      <c r="C160" s="1" t="n">
        <v>45908</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61405-2023</t>
        </is>
      </c>
      <c r="B161" s="1" t="n">
        <v>45264.65987268519</v>
      </c>
      <c r="C161" s="1" t="n">
        <v>45908</v>
      </c>
      <c r="D161" t="inlineStr">
        <is>
          <t>DALARNAS LÄN</t>
        </is>
      </c>
      <c r="E161" t="inlineStr">
        <is>
          <t>MORA</t>
        </is>
      </c>
      <c r="G161" t="n">
        <v>0.4</v>
      </c>
      <c r="H161" t="n">
        <v>0</v>
      </c>
      <c r="I161" t="n">
        <v>0</v>
      </c>
      <c r="J161" t="n">
        <v>0</v>
      </c>
      <c r="K161" t="n">
        <v>0</v>
      </c>
      <c r="L161" t="n">
        <v>0</v>
      </c>
      <c r="M161" t="n">
        <v>0</v>
      </c>
      <c r="N161" t="n">
        <v>0</v>
      </c>
      <c r="O161" t="n">
        <v>0</v>
      </c>
      <c r="P161" t="n">
        <v>0</v>
      </c>
      <c r="Q161" t="n">
        <v>0</v>
      </c>
      <c r="R161" s="2" t="inlineStr"/>
    </row>
    <row r="162" ht="15" customHeight="1">
      <c r="A162" t="inlineStr">
        <is>
          <t>A 14832-2025</t>
        </is>
      </c>
      <c r="B162" s="1" t="n">
        <v>45743</v>
      </c>
      <c r="C162" s="1" t="n">
        <v>45908</v>
      </c>
      <c r="D162" t="inlineStr">
        <is>
          <t>DALARNAS LÄN</t>
        </is>
      </c>
      <c r="E162" t="inlineStr">
        <is>
          <t>MORA</t>
        </is>
      </c>
      <c r="G162" t="n">
        <v>9.1</v>
      </c>
      <c r="H162" t="n">
        <v>0</v>
      </c>
      <c r="I162" t="n">
        <v>0</v>
      </c>
      <c r="J162" t="n">
        <v>0</v>
      </c>
      <c r="K162" t="n">
        <v>0</v>
      </c>
      <c r="L162" t="n">
        <v>0</v>
      </c>
      <c r="M162" t="n">
        <v>0</v>
      </c>
      <c r="N162" t="n">
        <v>0</v>
      </c>
      <c r="O162" t="n">
        <v>0</v>
      </c>
      <c r="P162" t="n">
        <v>0</v>
      </c>
      <c r="Q162" t="n">
        <v>0</v>
      </c>
      <c r="R162" s="2" t="inlineStr"/>
    </row>
    <row r="163" ht="15" customHeight="1">
      <c r="A163" t="inlineStr">
        <is>
          <t>A 53026-2023</t>
        </is>
      </c>
      <c r="B163" s="1" t="n">
        <v>45226.6987037037</v>
      </c>
      <c r="C163" s="1" t="n">
        <v>45908</v>
      </c>
      <c r="D163" t="inlineStr">
        <is>
          <t>DALARNAS LÄN</t>
        </is>
      </c>
      <c r="E163" t="inlineStr">
        <is>
          <t>MORA</t>
        </is>
      </c>
      <c r="F163" t="inlineStr">
        <is>
          <t>Bergvik skog väst AB</t>
        </is>
      </c>
      <c r="G163" t="n">
        <v>5.3</v>
      </c>
      <c r="H163" t="n">
        <v>0</v>
      </c>
      <c r="I163" t="n">
        <v>0</v>
      </c>
      <c r="J163" t="n">
        <v>0</v>
      </c>
      <c r="K163" t="n">
        <v>0</v>
      </c>
      <c r="L163" t="n">
        <v>0</v>
      </c>
      <c r="M163" t="n">
        <v>0</v>
      </c>
      <c r="N163" t="n">
        <v>0</v>
      </c>
      <c r="O163" t="n">
        <v>0</v>
      </c>
      <c r="P163" t="n">
        <v>0</v>
      </c>
      <c r="Q163" t="n">
        <v>0</v>
      </c>
      <c r="R163" s="2" t="inlineStr"/>
    </row>
    <row r="164" ht="15" customHeight="1">
      <c r="A164" t="inlineStr">
        <is>
          <t>A 21877-2025</t>
        </is>
      </c>
      <c r="B164" s="1" t="n">
        <v>45784.40041666666</v>
      </c>
      <c r="C164" s="1" t="n">
        <v>45908</v>
      </c>
      <c r="D164" t="inlineStr">
        <is>
          <t>DALARNAS LÄN</t>
        </is>
      </c>
      <c r="E164" t="inlineStr">
        <is>
          <t>MORA</t>
        </is>
      </c>
      <c r="G164" t="n">
        <v>5.9</v>
      </c>
      <c r="H164" t="n">
        <v>0</v>
      </c>
      <c r="I164" t="n">
        <v>0</v>
      </c>
      <c r="J164" t="n">
        <v>0</v>
      </c>
      <c r="K164" t="n">
        <v>0</v>
      </c>
      <c r="L164" t="n">
        <v>0</v>
      </c>
      <c r="M164" t="n">
        <v>0</v>
      </c>
      <c r="N164" t="n">
        <v>0</v>
      </c>
      <c r="O164" t="n">
        <v>0</v>
      </c>
      <c r="P164" t="n">
        <v>0</v>
      </c>
      <c r="Q164" t="n">
        <v>0</v>
      </c>
      <c r="R164" s="2" t="inlineStr"/>
    </row>
    <row r="165" ht="15" customHeight="1">
      <c r="A165" t="inlineStr">
        <is>
          <t>A 16573-2024</t>
        </is>
      </c>
      <c r="B165" s="1" t="n">
        <v>45408.46980324074</v>
      </c>
      <c r="C165" s="1" t="n">
        <v>45908</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21894-2025</t>
        </is>
      </c>
      <c r="B166" s="1" t="n">
        <v>45784.45060185185</v>
      </c>
      <c r="C166" s="1" t="n">
        <v>45908</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39674-2023</t>
        </is>
      </c>
      <c r="B167" s="1" t="n">
        <v>45167</v>
      </c>
      <c r="C167" s="1" t="n">
        <v>45908</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36579-2022</t>
        </is>
      </c>
      <c r="B168" s="1" t="n">
        <v>44804.61636574074</v>
      </c>
      <c r="C168" s="1" t="n">
        <v>45908</v>
      </c>
      <c r="D168" t="inlineStr">
        <is>
          <t>DALARNAS LÄN</t>
        </is>
      </c>
      <c r="E168" t="inlineStr">
        <is>
          <t>MORA</t>
        </is>
      </c>
      <c r="G168" t="n">
        <v>2.3</v>
      </c>
      <c r="H168" t="n">
        <v>0</v>
      </c>
      <c r="I168" t="n">
        <v>0</v>
      </c>
      <c r="J168" t="n">
        <v>0</v>
      </c>
      <c r="K168" t="n">
        <v>0</v>
      </c>
      <c r="L168" t="n">
        <v>0</v>
      </c>
      <c r="M168" t="n">
        <v>0</v>
      </c>
      <c r="N168" t="n">
        <v>0</v>
      </c>
      <c r="O168" t="n">
        <v>0</v>
      </c>
      <c r="P168" t="n">
        <v>0</v>
      </c>
      <c r="Q168" t="n">
        <v>0</v>
      </c>
      <c r="R168" s="2" t="inlineStr"/>
    </row>
    <row r="169" ht="15" customHeight="1">
      <c r="A169" t="inlineStr">
        <is>
          <t>A 30030-2021</t>
        </is>
      </c>
      <c r="B169" s="1" t="n">
        <v>44363</v>
      </c>
      <c r="C169" s="1" t="n">
        <v>45908</v>
      </c>
      <c r="D169" t="inlineStr">
        <is>
          <t>DALARNAS LÄN</t>
        </is>
      </c>
      <c r="E169" t="inlineStr">
        <is>
          <t>MORA</t>
        </is>
      </c>
      <c r="G169" t="n">
        <v>7.1</v>
      </c>
      <c r="H169" t="n">
        <v>0</v>
      </c>
      <c r="I169" t="n">
        <v>0</v>
      </c>
      <c r="J169" t="n">
        <v>0</v>
      </c>
      <c r="K169" t="n">
        <v>0</v>
      </c>
      <c r="L169" t="n">
        <v>0</v>
      </c>
      <c r="M169" t="n">
        <v>0</v>
      </c>
      <c r="N169" t="n">
        <v>0</v>
      </c>
      <c r="O169" t="n">
        <v>0</v>
      </c>
      <c r="P169" t="n">
        <v>0</v>
      </c>
      <c r="Q169" t="n">
        <v>0</v>
      </c>
      <c r="R169" s="2" t="inlineStr"/>
    </row>
    <row r="170" ht="15" customHeight="1">
      <c r="A170" t="inlineStr">
        <is>
          <t>A 21890-2025</t>
        </is>
      </c>
      <c r="B170" s="1" t="n">
        <v>45784.44481481481</v>
      </c>
      <c r="C170" s="1" t="n">
        <v>45908</v>
      </c>
      <c r="D170" t="inlineStr">
        <is>
          <t>DALARNAS LÄN</t>
        </is>
      </c>
      <c r="E170" t="inlineStr">
        <is>
          <t>MORA</t>
        </is>
      </c>
      <c r="G170" t="n">
        <v>3.8</v>
      </c>
      <c r="H170" t="n">
        <v>0</v>
      </c>
      <c r="I170" t="n">
        <v>0</v>
      </c>
      <c r="J170" t="n">
        <v>0</v>
      </c>
      <c r="K170" t="n">
        <v>0</v>
      </c>
      <c r="L170" t="n">
        <v>0</v>
      </c>
      <c r="M170" t="n">
        <v>0</v>
      </c>
      <c r="N170" t="n">
        <v>0</v>
      </c>
      <c r="O170" t="n">
        <v>0</v>
      </c>
      <c r="P170" t="n">
        <v>0</v>
      </c>
      <c r="Q170" t="n">
        <v>0</v>
      </c>
      <c r="R170" s="2" t="inlineStr"/>
    </row>
    <row r="171" ht="15" customHeight="1">
      <c r="A171" t="inlineStr">
        <is>
          <t>A 21895-2025</t>
        </is>
      </c>
      <c r="B171" s="1" t="n">
        <v>45784.45273148148</v>
      </c>
      <c r="C171" s="1" t="n">
        <v>45908</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18559-2024</t>
        </is>
      </c>
      <c r="B172" s="1" t="n">
        <v>45425.66265046296</v>
      </c>
      <c r="C172" s="1" t="n">
        <v>45908</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35287-2024</t>
        </is>
      </c>
      <c r="B173" s="1" t="n">
        <v>45530</v>
      </c>
      <c r="C173" s="1" t="n">
        <v>45908</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33531-2024</t>
        </is>
      </c>
      <c r="B174" s="1" t="n">
        <v>45519.67503472222</v>
      </c>
      <c r="C174" s="1" t="n">
        <v>45908</v>
      </c>
      <c r="D174" t="inlineStr">
        <is>
          <t>DALARNAS LÄN</t>
        </is>
      </c>
      <c r="E174" t="inlineStr">
        <is>
          <t>MORA</t>
        </is>
      </c>
      <c r="G174" t="n">
        <v>14.8</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45908</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45908</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8068-2024</t>
        </is>
      </c>
      <c r="B177" s="1" t="n">
        <v>45351.41524305556</v>
      </c>
      <c r="C177" s="1" t="n">
        <v>45908</v>
      </c>
      <c r="D177" t="inlineStr">
        <is>
          <t>DALARNAS LÄN</t>
        </is>
      </c>
      <c r="E177" t="inlineStr">
        <is>
          <t>MORA</t>
        </is>
      </c>
      <c r="G177" t="n">
        <v>6.4</v>
      </c>
      <c r="H177" t="n">
        <v>0</v>
      </c>
      <c r="I177" t="n">
        <v>0</v>
      </c>
      <c r="J177" t="n">
        <v>0</v>
      </c>
      <c r="K177" t="n">
        <v>0</v>
      </c>
      <c r="L177" t="n">
        <v>0</v>
      </c>
      <c r="M177" t="n">
        <v>0</v>
      </c>
      <c r="N177" t="n">
        <v>0</v>
      </c>
      <c r="O177" t="n">
        <v>0</v>
      </c>
      <c r="P177" t="n">
        <v>0</v>
      </c>
      <c r="Q177" t="n">
        <v>0</v>
      </c>
      <c r="R177" s="2" t="inlineStr"/>
    </row>
    <row r="178" ht="15" customHeight="1">
      <c r="A178" t="inlineStr">
        <is>
          <t>A 8100-2024</t>
        </is>
      </c>
      <c r="B178" s="1" t="n">
        <v>45351.46583333334</v>
      </c>
      <c r="C178" s="1" t="n">
        <v>45908</v>
      </c>
      <c r="D178" t="inlineStr">
        <is>
          <t>DALARNAS LÄN</t>
        </is>
      </c>
      <c r="E178" t="inlineStr">
        <is>
          <t>MORA</t>
        </is>
      </c>
      <c r="G178" t="n">
        <v>3.2</v>
      </c>
      <c r="H178" t="n">
        <v>0</v>
      </c>
      <c r="I178" t="n">
        <v>0</v>
      </c>
      <c r="J178" t="n">
        <v>0</v>
      </c>
      <c r="K178" t="n">
        <v>0</v>
      </c>
      <c r="L178" t="n">
        <v>0</v>
      </c>
      <c r="M178" t="n">
        <v>0</v>
      </c>
      <c r="N178" t="n">
        <v>0</v>
      </c>
      <c r="O178" t="n">
        <v>0</v>
      </c>
      <c r="P178" t="n">
        <v>0</v>
      </c>
      <c r="Q178" t="n">
        <v>0</v>
      </c>
      <c r="R178" s="2" t="inlineStr"/>
    </row>
    <row r="179" ht="15" customHeight="1">
      <c r="A179" t="inlineStr">
        <is>
          <t>A 36058-2024</t>
        </is>
      </c>
      <c r="B179" s="1" t="n">
        <v>45533</v>
      </c>
      <c r="C179" s="1" t="n">
        <v>45908</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48342-2023</t>
        </is>
      </c>
      <c r="B180" s="1" t="n">
        <v>45205</v>
      </c>
      <c r="C180" s="1" t="n">
        <v>45908</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37971-2024</t>
        </is>
      </c>
      <c r="B181" s="1" t="n">
        <v>45544</v>
      </c>
      <c r="C181" s="1" t="n">
        <v>45908</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12490-2025</t>
        </is>
      </c>
      <c r="B182" s="1" t="n">
        <v>45730.59239583334</v>
      </c>
      <c r="C182" s="1" t="n">
        <v>45908</v>
      </c>
      <c r="D182" t="inlineStr">
        <is>
          <t>DALARNAS LÄN</t>
        </is>
      </c>
      <c r="E182" t="inlineStr">
        <is>
          <t>MORA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59101-2024</t>
        </is>
      </c>
      <c r="B183" s="1" t="n">
        <v>45637.34074074074</v>
      </c>
      <c r="C183" s="1" t="n">
        <v>45908</v>
      </c>
      <c r="D183" t="inlineStr">
        <is>
          <t>DALARNAS LÄN</t>
        </is>
      </c>
      <c r="E183" t="inlineStr">
        <is>
          <t>MORA</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5418-2025</t>
        </is>
      </c>
      <c r="B184" s="1" t="n">
        <v>45692.68561342593</v>
      </c>
      <c r="C184" s="1" t="n">
        <v>45908</v>
      </c>
      <c r="D184" t="inlineStr">
        <is>
          <t>DALARNAS LÄN</t>
        </is>
      </c>
      <c r="E184" t="inlineStr">
        <is>
          <t>MORA</t>
        </is>
      </c>
      <c r="G184" t="n">
        <v>0.9</v>
      </c>
      <c r="H184" t="n">
        <v>0</v>
      </c>
      <c r="I184" t="n">
        <v>0</v>
      </c>
      <c r="J184" t="n">
        <v>0</v>
      </c>
      <c r="K184" t="n">
        <v>0</v>
      </c>
      <c r="L184" t="n">
        <v>0</v>
      </c>
      <c r="M184" t="n">
        <v>0</v>
      </c>
      <c r="N184" t="n">
        <v>0</v>
      </c>
      <c r="O184" t="n">
        <v>0</v>
      </c>
      <c r="P184" t="n">
        <v>0</v>
      </c>
      <c r="Q184" t="n">
        <v>0</v>
      </c>
      <c r="R184" s="2" t="inlineStr"/>
    </row>
    <row r="185" ht="15" customHeight="1">
      <c r="A185" t="inlineStr">
        <is>
          <t>A 51780-2023</t>
        </is>
      </c>
      <c r="B185" s="1" t="n">
        <v>45222</v>
      </c>
      <c r="C185" s="1" t="n">
        <v>45908</v>
      </c>
      <c r="D185" t="inlineStr">
        <is>
          <t>DALARNAS LÄN</t>
        </is>
      </c>
      <c r="E185" t="inlineStr">
        <is>
          <t>MORA</t>
        </is>
      </c>
      <c r="G185" t="n">
        <v>9.9</v>
      </c>
      <c r="H185" t="n">
        <v>0</v>
      </c>
      <c r="I185" t="n">
        <v>0</v>
      </c>
      <c r="J185" t="n">
        <v>0</v>
      </c>
      <c r="K185" t="n">
        <v>0</v>
      </c>
      <c r="L185" t="n">
        <v>0</v>
      </c>
      <c r="M185" t="n">
        <v>0</v>
      </c>
      <c r="N185" t="n">
        <v>0</v>
      </c>
      <c r="O185" t="n">
        <v>0</v>
      </c>
      <c r="P185" t="n">
        <v>0</v>
      </c>
      <c r="Q185" t="n">
        <v>0</v>
      </c>
      <c r="R185" s="2" t="inlineStr"/>
    </row>
    <row r="186" ht="15" customHeight="1">
      <c r="A186" t="inlineStr">
        <is>
          <t>A 55671-2024</t>
        </is>
      </c>
      <c r="B186" s="1" t="n">
        <v>45622.65269675926</v>
      </c>
      <c r="C186" s="1" t="n">
        <v>45908</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15818-2024</t>
        </is>
      </c>
      <c r="B187" s="1" t="n">
        <v>45404.67442129629</v>
      </c>
      <c r="C187" s="1" t="n">
        <v>45908</v>
      </c>
      <c r="D187" t="inlineStr">
        <is>
          <t>DALARNAS LÄN</t>
        </is>
      </c>
      <c r="E187" t="inlineStr">
        <is>
          <t>MORA</t>
        </is>
      </c>
      <c r="G187" t="n">
        <v>7</v>
      </c>
      <c r="H187" t="n">
        <v>0</v>
      </c>
      <c r="I187" t="n">
        <v>0</v>
      </c>
      <c r="J187" t="n">
        <v>0</v>
      </c>
      <c r="K187" t="n">
        <v>0</v>
      </c>
      <c r="L187" t="n">
        <v>0</v>
      </c>
      <c r="M187" t="n">
        <v>0</v>
      </c>
      <c r="N187" t="n">
        <v>0</v>
      </c>
      <c r="O187" t="n">
        <v>0</v>
      </c>
      <c r="P187" t="n">
        <v>0</v>
      </c>
      <c r="Q187" t="n">
        <v>0</v>
      </c>
      <c r="R187" s="2" t="inlineStr"/>
    </row>
    <row r="188" ht="15" customHeight="1">
      <c r="A188" t="inlineStr">
        <is>
          <t>A 22354-2025</t>
        </is>
      </c>
      <c r="B188" s="1" t="n">
        <v>45786.45721064815</v>
      </c>
      <c r="C188" s="1" t="n">
        <v>45908</v>
      </c>
      <c r="D188" t="inlineStr">
        <is>
          <t>DALARNAS LÄN</t>
        </is>
      </c>
      <c r="E188" t="inlineStr">
        <is>
          <t>MORA</t>
        </is>
      </c>
      <c r="F188" t="inlineStr">
        <is>
          <t>Bergvik skog öst AB</t>
        </is>
      </c>
      <c r="G188" t="n">
        <v>2</v>
      </c>
      <c r="H188" t="n">
        <v>0</v>
      </c>
      <c r="I188" t="n">
        <v>0</v>
      </c>
      <c r="J188" t="n">
        <v>0</v>
      </c>
      <c r="K188" t="n">
        <v>0</v>
      </c>
      <c r="L188" t="n">
        <v>0</v>
      </c>
      <c r="M188" t="n">
        <v>0</v>
      </c>
      <c r="N188" t="n">
        <v>0</v>
      </c>
      <c r="O188" t="n">
        <v>0</v>
      </c>
      <c r="P188" t="n">
        <v>0</v>
      </c>
      <c r="Q188" t="n">
        <v>0</v>
      </c>
      <c r="R188" s="2" t="inlineStr"/>
    </row>
    <row r="189" ht="15" customHeight="1">
      <c r="A189" t="inlineStr">
        <is>
          <t>A 17176-2025</t>
        </is>
      </c>
      <c r="B189" s="1" t="n">
        <v>45756.37520833333</v>
      </c>
      <c r="C189" s="1" t="n">
        <v>45908</v>
      </c>
      <c r="D189" t="inlineStr">
        <is>
          <t>DALARNAS LÄN</t>
        </is>
      </c>
      <c r="E189" t="inlineStr">
        <is>
          <t>MORA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33513-2024</t>
        </is>
      </c>
      <c r="B190" s="1" t="n">
        <v>45519.644375</v>
      </c>
      <c r="C190" s="1" t="n">
        <v>45908</v>
      </c>
      <c r="D190" t="inlineStr">
        <is>
          <t>DALARNAS LÄN</t>
        </is>
      </c>
      <c r="E190" t="inlineStr">
        <is>
          <t>MORA</t>
        </is>
      </c>
      <c r="G190" t="n">
        <v>5.9</v>
      </c>
      <c r="H190" t="n">
        <v>0</v>
      </c>
      <c r="I190" t="n">
        <v>0</v>
      </c>
      <c r="J190" t="n">
        <v>0</v>
      </c>
      <c r="K190" t="n">
        <v>0</v>
      </c>
      <c r="L190" t="n">
        <v>0</v>
      </c>
      <c r="M190" t="n">
        <v>0</v>
      </c>
      <c r="N190" t="n">
        <v>0</v>
      </c>
      <c r="O190" t="n">
        <v>0</v>
      </c>
      <c r="P190" t="n">
        <v>0</v>
      </c>
      <c r="Q190" t="n">
        <v>0</v>
      </c>
      <c r="R190" s="2" t="inlineStr"/>
    </row>
    <row r="191" ht="15" customHeight="1">
      <c r="A191" t="inlineStr">
        <is>
          <t>A 35040-2023</t>
        </is>
      </c>
      <c r="B191" s="1" t="n">
        <v>45145.36853009259</v>
      </c>
      <c r="C191" s="1" t="n">
        <v>45908</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53527-2024</t>
        </is>
      </c>
      <c r="B192" s="1" t="n">
        <v>45614.61569444444</v>
      </c>
      <c r="C192" s="1" t="n">
        <v>45908</v>
      </c>
      <c r="D192" t="inlineStr">
        <is>
          <t>DALARNAS LÄN</t>
        </is>
      </c>
      <c r="E192" t="inlineStr">
        <is>
          <t>MORA</t>
        </is>
      </c>
      <c r="G192" t="n">
        <v>3.3</v>
      </c>
      <c r="H192" t="n">
        <v>0</v>
      </c>
      <c r="I192" t="n">
        <v>0</v>
      </c>
      <c r="J192" t="n">
        <v>0</v>
      </c>
      <c r="K192" t="n">
        <v>0</v>
      </c>
      <c r="L192" t="n">
        <v>0</v>
      </c>
      <c r="M192" t="n">
        <v>0</v>
      </c>
      <c r="N192" t="n">
        <v>0</v>
      </c>
      <c r="O192" t="n">
        <v>0</v>
      </c>
      <c r="P192" t="n">
        <v>0</v>
      </c>
      <c r="Q192" t="n">
        <v>0</v>
      </c>
      <c r="R192" s="2" t="inlineStr"/>
    </row>
    <row r="193" ht="15" customHeight="1">
      <c r="A193" t="inlineStr">
        <is>
          <t>A 16961-2025</t>
        </is>
      </c>
      <c r="B193" s="1" t="n">
        <v>45755.45269675926</v>
      </c>
      <c r="C193" s="1" t="n">
        <v>45908</v>
      </c>
      <c r="D193" t="inlineStr">
        <is>
          <t>DALARNAS LÄN</t>
        </is>
      </c>
      <c r="E193" t="inlineStr">
        <is>
          <t>MORA</t>
        </is>
      </c>
      <c r="F193" t="inlineStr">
        <is>
          <t>Bergvik skog öst AB</t>
        </is>
      </c>
      <c r="G193" t="n">
        <v>1.1</v>
      </c>
      <c r="H193" t="n">
        <v>0</v>
      </c>
      <c r="I193" t="n">
        <v>0</v>
      </c>
      <c r="J193" t="n">
        <v>0</v>
      </c>
      <c r="K193" t="n">
        <v>0</v>
      </c>
      <c r="L193" t="n">
        <v>0</v>
      </c>
      <c r="M193" t="n">
        <v>0</v>
      </c>
      <c r="N193" t="n">
        <v>0</v>
      </c>
      <c r="O193" t="n">
        <v>0</v>
      </c>
      <c r="P193" t="n">
        <v>0</v>
      </c>
      <c r="Q193" t="n">
        <v>0</v>
      </c>
      <c r="R193" s="2" t="inlineStr"/>
    </row>
    <row r="194" ht="15" customHeight="1">
      <c r="A194" t="inlineStr">
        <is>
          <t>A 45349-2024</t>
        </is>
      </c>
      <c r="B194" s="1" t="n">
        <v>45576</v>
      </c>
      <c r="C194" s="1" t="n">
        <v>45908</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22409-2025</t>
        </is>
      </c>
      <c r="B195" s="1" t="n">
        <v>45786.54940972223</v>
      </c>
      <c r="C195" s="1" t="n">
        <v>45908</v>
      </c>
      <c r="D195" t="inlineStr">
        <is>
          <t>DALARNAS LÄN</t>
        </is>
      </c>
      <c r="E195" t="inlineStr">
        <is>
          <t>MORA</t>
        </is>
      </c>
      <c r="F195" t="inlineStr">
        <is>
          <t>Bergvik skog öst AB</t>
        </is>
      </c>
      <c r="G195" t="n">
        <v>5</v>
      </c>
      <c r="H195" t="n">
        <v>0</v>
      </c>
      <c r="I195" t="n">
        <v>0</v>
      </c>
      <c r="J195" t="n">
        <v>0</v>
      </c>
      <c r="K195" t="n">
        <v>0</v>
      </c>
      <c r="L195" t="n">
        <v>0</v>
      </c>
      <c r="M195" t="n">
        <v>0</v>
      </c>
      <c r="N195" t="n">
        <v>0</v>
      </c>
      <c r="O195" t="n">
        <v>0</v>
      </c>
      <c r="P195" t="n">
        <v>0</v>
      </c>
      <c r="Q195" t="n">
        <v>0</v>
      </c>
      <c r="R195" s="2" t="inlineStr"/>
    </row>
    <row r="196" ht="15" customHeight="1">
      <c r="A196" t="inlineStr">
        <is>
          <t>A 11442-2022</t>
        </is>
      </c>
      <c r="B196" s="1" t="n">
        <v>44630.62788194444</v>
      </c>
      <c r="C196" s="1" t="n">
        <v>45908</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52525-2022</t>
        </is>
      </c>
      <c r="B197" s="1" t="n">
        <v>44874</v>
      </c>
      <c r="C197" s="1" t="n">
        <v>45908</v>
      </c>
      <c r="D197" t="inlineStr">
        <is>
          <t>DALARNAS LÄN</t>
        </is>
      </c>
      <c r="E197" t="inlineStr">
        <is>
          <t>MORA</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69483-2021</t>
        </is>
      </c>
      <c r="B198" s="1" t="n">
        <v>44531</v>
      </c>
      <c r="C198" s="1" t="n">
        <v>45908</v>
      </c>
      <c r="D198" t="inlineStr">
        <is>
          <t>DALARNAS LÄN</t>
        </is>
      </c>
      <c r="E198" t="inlineStr">
        <is>
          <t>MORA</t>
        </is>
      </c>
      <c r="G198" t="n">
        <v>1.5</v>
      </c>
      <c r="H198" t="n">
        <v>0</v>
      </c>
      <c r="I198" t="n">
        <v>0</v>
      </c>
      <c r="J198" t="n">
        <v>0</v>
      </c>
      <c r="K198" t="n">
        <v>0</v>
      </c>
      <c r="L198" t="n">
        <v>0</v>
      </c>
      <c r="M198" t="n">
        <v>0</v>
      </c>
      <c r="N198" t="n">
        <v>0</v>
      </c>
      <c r="O198" t="n">
        <v>0</v>
      </c>
      <c r="P198" t="n">
        <v>0</v>
      </c>
      <c r="Q198" t="n">
        <v>0</v>
      </c>
      <c r="R198" s="2" t="inlineStr"/>
    </row>
    <row r="199" ht="15" customHeight="1">
      <c r="A199" t="inlineStr">
        <is>
          <t>A 23368-2025</t>
        </is>
      </c>
      <c r="B199" s="1" t="n">
        <v>45791.70299768518</v>
      </c>
      <c r="C199" s="1" t="n">
        <v>45908</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48390-2024</t>
        </is>
      </c>
      <c r="B200" s="1" t="n">
        <v>45590.60216435185</v>
      </c>
      <c r="C200" s="1" t="n">
        <v>45908</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56935-2024</t>
        </is>
      </c>
      <c r="B201" s="1" t="n">
        <v>45625</v>
      </c>
      <c r="C201" s="1" t="n">
        <v>45908</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56927-2024</t>
        </is>
      </c>
      <c r="B202" s="1" t="n">
        <v>45625</v>
      </c>
      <c r="C202" s="1" t="n">
        <v>45908</v>
      </c>
      <c r="D202" t="inlineStr">
        <is>
          <t>DALARNAS LÄN</t>
        </is>
      </c>
      <c r="E202" t="inlineStr">
        <is>
          <t>MORA</t>
        </is>
      </c>
      <c r="G202" t="n">
        <v>2.8</v>
      </c>
      <c r="H202" t="n">
        <v>0</v>
      </c>
      <c r="I202" t="n">
        <v>0</v>
      </c>
      <c r="J202" t="n">
        <v>0</v>
      </c>
      <c r="K202" t="n">
        <v>0</v>
      </c>
      <c r="L202" t="n">
        <v>0</v>
      </c>
      <c r="M202" t="n">
        <v>0</v>
      </c>
      <c r="N202" t="n">
        <v>0</v>
      </c>
      <c r="O202" t="n">
        <v>0</v>
      </c>
      <c r="P202" t="n">
        <v>0</v>
      </c>
      <c r="Q202" t="n">
        <v>0</v>
      </c>
      <c r="R202" s="2" t="inlineStr"/>
    </row>
    <row r="203" ht="15" customHeight="1">
      <c r="A203" t="inlineStr">
        <is>
          <t>A 5309-2023</t>
        </is>
      </c>
      <c r="B203" s="1" t="n">
        <v>44956</v>
      </c>
      <c r="C203" s="1" t="n">
        <v>45908</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17494-2025</t>
        </is>
      </c>
      <c r="B204" s="1" t="n">
        <v>45757.52033564815</v>
      </c>
      <c r="C204" s="1" t="n">
        <v>45908</v>
      </c>
      <c r="D204" t="inlineStr">
        <is>
          <t>DALARNAS LÄN</t>
        </is>
      </c>
      <c r="E204" t="inlineStr">
        <is>
          <t>MORA</t>
        </is>
      </c>
      <c r="G204" t="n">
        <v>5.3</v>
      </c>
      <c r="H204" t="n">
        <v>0</v>
      </c>
      <c r="I204" t="n">
        <v>0</v>
      </c>
      <c r="J204" t="n">
        <v>0</v>
      </c>
      <c r="K204" t="n">
        <v>0</v>
      </c>
      <c r="L204" t="n">
        <v>0</v>
      </c>
      <c r="M204" t="n">
        <v>0</v>
      </c>
      <c r="N204" t="n">
        <v>0</v>
      </c>
      <c r="O204" t="n">
        <v>0</v>
      </c>
      <c r="P204" t="n">
        <v>0</v>
      </c>
      <c r="Q204" t="n">
        <v>0</v>
      </c>
      <c r="R204" s="2" t="inlineStr"/>
    </row>
    <row r="205" ht="15" customHeight="1">
      <c r="A205" t="inlineStr">
        <is>
          <t>A 22185-2025</t>
        </is>
      </c>
      <c r="B205" s="1" t="n">
        <v>45785</v>
      </c>
      <c r="C205" s="1" t="n">
        <v>45908</v>
      </c>
      <c r="D205" t="inlineStr">
        <is>
          <t>DALARNAS LÄN</t>
        </is>
      </c>
      <c r="E205" t="inlineStr">
        <is>
          <t>MORA</t>
        </is>
      </c>
      <c r="G205" t="n">
        <v>2.4</v>
      </c>
      <c r="H205" t="n">
        <v>0</v>
      </c>
      <c r="I205" t="n">
        <v>0</v>
      </c>
      <c r="J205" t="n">
        <v>0</v>
      </c>
      <c r="K205" t="n">
        <v>0</v>
      </c>
      <c r="L205" t="n">
        <v>0</v>
      </c>
      <c r="M205" t="n">
        <v>0</v>
      </c>
      <c r="N205" t="n">
        <v>0</v>
      </c>
      <c r="O205" t="n">
        <v>0</v>
      </c>
      <c r="P205" t="n">
        <v>0</v>
      </c>
      <c r="Q205" t="n">
        <v>0</v>
      </c>
      <c r="R205" s="2" t="inlineStr"/>
    </row>
    <row r="206" ht="15" customHeight="1">
      <c r="A206" t="inlineStr">
        <is>
          <t>A 44595-2024</t>
        </is>
      </c>
      <c r="B206" s="1" t="n">
        <v>45574.51053240741</v>
      </c>
      <c r="C206" s="1" t="n">
        <v>45908</v>
      </c>
      <c r="D206" t="inlineStr">
        <is>
          <t>DALARNAS LÄN</t>
        </is>
      </c>
      <c r="E206" t="inlineStr">
        <is>
          <t>MORA</t>
        </is>
      </c>
      <c r="G206" t="n">
        <v>0.8</v>
      </c>
      <c r="H206" t="n">
        <v>0</v>
      </c>
      <c r="I206" t="n">
        <v>0</v>
      </c>
      <c r="J206" t="n">
        <v>0</v>
      </c>
      <c r="K206" t="n">
        <v>0</v>
      </c>
      <c r="L206" t="n">
        <v>0</v>
      </c>
      <c r="M206" t="n">
        <v>0</v>
      </c>
      <c r="N206" t="n">
        <v>0</v>
      </c>
      <c r="O206" t="n">
        <v>0</v>
      </c>
      <c r="P206" t="n">
        <v>0</v>
      </c>
      <c r="Q206" t="n">
        <v>0</v>
      </c>
      <c r="R206" s="2" t="inlineStr"/>
    </row>
    <row r="207" ht="15" customHeight="1">
      <c r="A207" t="inlineStr">
        <is>
          <t>A 59404-2024</t>
        </is>
      </c>
      <c r="B207" s="1" t="n">
        <v>45638</v>
      </c>
      <c r="C207" s="1" t="n">
        <v>45908</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61293-2022</t>
        </is>
      </c>
      <c r="B208" s="1" t="n">
        <v>44915.62751157407</v>
      </c>
      <c r="C208" s="1" t="n">
        <v>45908</v>
      </c>
      <c r="D208" t="inlineStr">
        <is>
          <t>DALARNAS LÄN</t>
        </is>
      </c>
      <c r="E208" t="inlineStr">
        <is>
          <t>MORA</t>
        </is>
      </c>
      <c r="G208" t="n">
        <v>0.3</v>
      </c>
      <c r="H208" t="n">
        <v>0</v>
      </c>
      <c r="I208" t="n">
        <v>0</v>
      </c>
      <c r="J208" t="n">
        <v>0</v>
      </c>
      <c r="K208" t="n">
        <v>0</v>
      </c>
      <c r="L208" t="n">
        <v>0</v>
      </c>
      <c r="M208" t="n">
        <v>0</v>
      </c>
      <c r="N208" t="n">
        <v>0</v>
      </c>
      <c r="O208" t="n">
        <v>0</v>
      </c>
      <c r="P208" t="n">
        <v>0</v>
      </c>
      <c r="Q208" t="n">
        <v>0</v>
      </c>
      <c r="R208" s="2" t="inlineStr"/>
    </row>
    <row r="209" ht="15" customHeight="1">
      <c r="A209" t="inlineStr">
        <is>
          <t>A 30998-2022</t>
        </is>
      </c>
      <c r="B209" s="1" t="n">
        <v>44768</v>
      </c>
      <c r="C209" s="1" t="n">
        <v>45908</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47143-2022</t>
        </is>
      </c>
      <c r="B210" s="1" t="n">
        <v>44852</v>
      </c>
      <c r="C210" s="1" t="n">
        <v>45908</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11193-2025</t>
        </is>
      </c>
      <c r="B211" s="1" t="n">
        <v>45725</v>
      </c>
      <c r="C211" s="1" t="n">
        <v>45908</v>
      </c>
      <c r="D211" t="inlineStr">
        <is>
          <t>DALARNAS LÄN</t>
        </is>
      </c>
      <c r="E211" t="inlineStr">
        <is>
          <t>MORA</t>
        </is>
      </c>
      <c r="G211" t="n">
        <v>4.1</v>
      </c>
      <c r="H211" t="n">
        <v>0</v>
      </c>
      <c r="I211" t="n">
        <v>0</v>
      </c>
      <c r="J211" t="n">
        <v>0</v>
      </c>
      <c r="K211" t="n">
        <v>0</v>
      </c>
      <c r="L211" t="n">
        <v>0</v>
      </c>
      <c r="M211" t="n">
        <v>0</v>
      </c>
      <c r="N211" t="n">
        <v>0</v>
      </c>
      <c r="O211" t="n">
        <v>0</v>
      </c>
      <c r="P211" t="n">
        <v>0</v>
      </c>
      <c r="Q211" t="n">
        <v>0</v>
      </c>
      <c r="R211" s="2" t="inlineStr"/>
    </row>
    <row r="212" ht="15" customHeight="1">
      <c r="A212" t="inlineStr">
        <is>
          <t>A 55691-2023</t>
        </is>
      </c>
      <c r="B212" s="1" t="n">
        <v>45239.36509259259</v>
      </c>
      <c r="C212" s="1" t="n">
        <v>45908</v>
      </c>
      <c r="D212" t="inlineStr">
        <is>
          <t>DALARNAS LÄN</t>
        </is>
      </c>
      <c r="E212" t="inlineStr">
        <is>
          <t>MORA</t>
        </is>
      </c>
      <c r="G212" t="n">
        <v>2.2</v>
      </c>
      <c r="H212" t="n">
        <v>0</v>
      </c>
      <c r="I212" t="n">
        <v>0</v>
      </c>
      <c r="J212" t="n">
        <v>0</v>
      </c>
      <c r="K212" t="n">
        <v>0</v>
      </c>
      <c r="L212" t="n">
        <v>0</v>
      </c>
      <c r="M212" t="n">
        <v>0</v>
      </c>
      <c r="N212" t="n">
        <v>0</v>
      </c>
      <c r="O212" t="n">
        <v>0</v>
      </c>
      <c r="P212" t="n">
        <v>0</v>
      </c>
      <c r="Q212" t="n">
        <v>0</v>
      </c>
      <c r="R212" s="2" t="inlineStr"/>
    </row>
    <row r="213" ht="15" customHeight="1">
      <c r="A213" t="inlineStr">
        <is>
          <t>A 46412-2024</t>
        </is>
      </c>
      <c r="B213" s="1" t="n">
        <v>45582.44894675926</v>
      </c>
      <c r="C213" s="1" t="n">
        <v>45908</v>
      </c>
      <c r="D213" t="inlineStr">
        <is>
          <t>DALARNAS LÄN</t>
        </is>
      </c>
      <c r="E213" t="inlineStr">
        <is>
          <t>MORA</t>
        </is>
      </c>
      <c r="G213" t="n">
        <v>4.1</v>
      </c>
      <c r="H213" t="n">
        <v>0</v>
      </c>
      <c r="I213" t="n">
        <v>0</v>
      </c>
      <c r="J213" t="n">
        <v>0</v>
      </c>
      <c r="K213" t="n">
        <v>0</v>
      </c>
      <c r="L213" t="n">
        <v>0</v>
      </c>
      <c r="M213" t="n">
        <v>0</v>
      </c>
      <c r="N213" t="n">
        <v>0</v>
      </c>
      <c r="O213" t="n">
        <v>0</v>
      </c>
      <c r="P213" t="n">
        <v>0</v>
      </c>
      <c r="Q213" t="n">
        <v>0</v>
      </c>
      <c r="R213" s="2" t="inlineStr"/>
    </row>
    <row r="214" ht="15" customHeight="1">
      <c r="A214" t="inlineStr">
        <is>
          <t>A 56900-2024</t>
        </is>
      </c>
      <c r="B214" s="1" t="n">
        <v>45625</v>
      </c>
      <c r="C214" s="1" t="n">
        <v>45908</v>
      </c>
      <c r="D214" t="inlineStr">
        <is>
          <t>DALARNAS LÄN</t>
        </is>
      </c>
      <c r="E214" t="inlineStr">
        <is>
          <t>MORA</t>
        </is>
      </c>
      <c r="G214" t="n">
        <v>2.7</v>
      </c>
      <c r="H214" t="n">
        <v>0</v>
      </c>
      <c r="I214" t="n">
        <v>0</v>
      </c>
      <c r="J214" t="n">
        <v>0</v>
      </c>
      <c r="K214" t="n">
        <v>0</v>
      </c>
      <c r="L214" t="n">
        <v>0</v>
      </c>
      <c r="M214" t="n">
        <v>0</v>
      </c>
      <c r="N214" t="n">
        <v>0</v>
      </c>
      <c r="O214" t="n">
        <v>0</v>
      </c>
      <c r="P214" t="n">
        <v>0</v>
      </c>
      <c r="Q214" t="n">
        <v>0</v>
      </c>
      <c r="R214" s="2" t="inlineStr"/>
    </row>
    <row r="215" ht="15" customHeight="1">
      <c r="A215" t="inlineStr">
        <is>
          <t>A 57091-2021</t>
        </is>
      </c>
      <c r="B215" s="1" t="n">
        <v>44482</v>
      </c>
      <c r="C215" s="1" t="n">
        <v>45908</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50685-2023</t>
        </is>
      </c>
      <c r="B216" s="1" t="n">
        <v>45210</v>
      </c>
      <c r="C216" s="1" t="n">
        <v>45908</v>
      </c>
      <c r="D216" t="inlineStr">
        <is>
          <t>DALARNAS LÄN</t>
        </is>
      </c>
      <c r="E216" t="inlineStr">
        <is>
          <t>MORA</t>
        </is>
      </c>
      <c r="G216" t="n">
        <v>1.7</v>
      </c>
      <c r="H216" t="n">
        <v>0</v>
      </c>
      <c r="I216" t="n">
        <v>0</v>
      </c>
      <c r="J216" t="n">
        <v>0</v>
      </c>
      <c r="K216" t="n">
        <v>0</v>
      </c>
      <c r="L216" t="n">
        <v>0</v>
      </c>
      <c r="M216" t="n">
        <v>0</v>
      </c>
      <c r="N216" t="n">
        <v>0</v>
      </c>
      <c r="O216" t="n">
        <v>0</v>
      </c>
      <c r="P216" t="n">
        <v>0</v>
      </c>
      <c r="Q216" t="n">
        <v>0</v>
      </c>
      <c r="R216" s="2" t="inlineStr"/>
    </row>
    <row r="217" ht="15" customHeight="1">
      <c r="A217" t="inlineStr">
        <is>
          <t>A 36740-2023</t>
        </is>
      </c>
      <c r="B217" s="1" t="n">
        <v>45153</v>
      </c>
      <c r="C217" s="1" t="n">
        <v>45908</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50759-2023</t>
        </is>
      </c>
      <c r="B218" s="1" t="n">
        <v>45217.60914351852</v>
      </c>
      <c r="C218" s="1" t="n">
        <v>45908</v>
      </c>
      <c r="D218" t="inlineStr">
        <is>
          <t>DALARNAS LÄN</t>
        </is>
      </c>
      <c r="E218" t="inlineStr">
        <is>
          <t>MORA</t>
        </is>
      </c>
      <c r="G218" t="n">
        <v>5.3</v>
      </c>
      <c r="H218" t="n">
        <v>0</v>
      </c>
      <c r="I218" t="n">
        <v>0</v>
      </c>
      <c r="J218" t="n">
        <v>0</v>
      </c>
      <c r="K218" t="n">
        <v>0</v>
      </c>
      <c r="L218" t="n">
        <v>0</v>
      </c>
      <c r="M218" t="n">
        <v>0</v>
      </c>
      <c r="N218" t="n">
        <v>0</v>
      </c>
      <c r="O218" t="n">
        <v>0</v>
      </c>
      <c r="P218" t="n">
        <v>0</v>
      </c>
      <c r="Q218" t="n">
        <v>0</v>
      </c>
      <c r="R218" s="2" t="inlineStr"/>
    </row>
    <row r="219" ht="15" customHeight="1">
      <c r="A219" t="inlineStr">
        <is>
          <t>A 50911-2024</t>
        </is>
      </c>
      <c r="B219" s="1" t="n">
        <v>45602.7022337963</v>
      </c>
      <c r="C219" s="1" t="n">
        <v>45908</v>
      </c>
      <c r="D219" t="inlineStr">
        <is>
          <t>DALARNAS LÄN</t>
        </is>
      </c>
      <c r="E219" t="inlineStr">
        <is>
          <t>MORA</t>
        </is>
      </c>
      <c r="G219" t="n">
        <v>1.7</v>
      </c>
      <c r="H219" t="n">
        <v>0</v>
      </c>
      <c r="I219" t="n">
        <v>0</v>
      </c>
      <c r="J219" t="n">
        <v>0</v>
      </c>
      <c r="K219" t="n">
        <v>0</v>
      </c>
      <c r="L219" t="n">
        <v>0</v>
      </c>
      <c r="M219" t="n">
        <v>0</v>
      </c>
      <c r="N219" t="n">
        <v>0</v>
      </c>
      <c r="O219" t="n">
        <v>0</v>
      </c>
      <c r="P219" t="n">
        <v>0</v>
      </c>
      <c r="Q219" t="n">
        <v>0</v>
      </c>
      <c r="R219" s="2" t="inlineStr"/>
    </row>
    <row r="220" ht="15" customHeight="1">
      <c r="A220" t="inlineStr">
        <is>
          <t>A 15440-2024</t>
        </is>
      </c>
      <c r="B220" s="1" t="n">
        <v>45401.4194212963</v>
      </c>
      <c r="C220" s="1" t="n">
        <v>45908</v>
      </c>
      <c r="D220" t="inlineStr">
        <is>
          <t>DALARNAS LÄN</t>
        </is>
      </c>
      <c r="E220" t="inlineStr">
        <is>
          <t>MORA</t>
        </is>
      </c>
      <c r="G220" t="n">
        <v>1.1</v>
      </c>
      <c r="H220" t="n">
        <v>0</v>
      </c>
      <c r="I220" t="n">
        <v>0</v>
      </c>
      <c r="J220" t="n">
        <v>0</v>
      </c>
      <c r="K220" t="n">
        <v>0</v>
      </c>
      <c r="L220" t="n">
        <v>0</v>
      </c>
      <c r="M220" t="n">
        <v>0</v>
      </c>
      <c r="N220" t="n">
        <v>0</v>
      </c>
      <c r="O220" t="n">
        <v>0</v>
      </c>
      <c r="P220" t="n">
        <v>0</v>
      </c>
      <c r="Q220" t="n">
        <v>0</v>
      </c>
      <c r="R220" s="2" t="inlineStr"/>
    </row>
    <row r="221" ht="15" customHeight="1">
      <c r="A221" t="inlineStr">
        <is>
          <t>A 31177-2021</t>
        </is>
      </c>
      <c r="B221" s="1" t="n">
        <v>44368</v>
      </c>
      <c r="C221" s="1" t="n">
        <v>45908</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65186-2021</t>
        </is>
      </c>
      <c r="B222" s="1" t="n">
        <v>44515</v>
      </c>
      <c r="C222" s="1" t="n">
        <v>45908</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23354-2022</t>
        </is>
      </c>
      <c r="B223" s="1" t="n">
        <v>44720</v>
      </c>
      <c r="C223" s="1" t="n">
        <v>45908</v>
      </c>
      <c r="D223" t="inlineStr">
        <is>
          <t>DALARNAS LÄN</t>
        </is>
      </c>
      <c r="E223" t="inlineStr">
        <is>
          <t>MORA</t>
        </is>
      </c>
      <c r="G223" t="n">
        <v>5.2</v>
      </c>
      <c r="H223" t="n">
        <v>0</v>
      </c>
      <c r="I223" t="n">
        <v>0</v>
      </c>
      <c r="J223" t="n">
        <v>0</v>
      </c>
      <c r="K223" t="n">
        <v>0</v>
      </c>
      <c r="L223" t="n">
        <v>0</v>
      </c>
      <c r="M223" t="n">
        <v>0</v>
      </c>
      <c r="N223" t="n">
        <v>0</v>
      </c>
      <c r="O223" t="n">
        <v>0</v>
      </c>
      <c r="P223" t="n">
        <v>0</v>
      </c>
      <c r="Q223" t="n">
        <v>0</v>
      </c>
      <c r="R223" s="2" t="inlineStr"/>
    </row>
    <row r="224" ht="15" customHeight="1">
      <c r="A224" t="inlineStr">
        <is>
          <t>A 54192-2023</t>
        </is>
      </c>
      <c r="B224" s="1" t="n">
        <v>45232.53052083333</v>
      </c>
      <c r="C224" s="1" t="n">
        <v>45908</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57475-2022</t>
        </is>
      </c>
      <c r="B225" s="1" t="n">
        <v>44896</v>
      </c>
      <c r="C225" s="1" t="n">
        <v>45908</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58171-2024</t>
        </is>
      </c>
      <c r="B226" s="1" t="n">
        <v>45632.46545138889</v>
      </c>
      <c r="C226" s="1" t="n">
        <v>45908</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23229-2025</t>
        </is>
      </c>
      <c r="B227" s="1" t="n">
        <v>45791</v>
      </c>
      <c r="C227" s="1" t="n">
        <v>45908</v>
      </c>
      <c r="D227" t="inlineStr">
        <is>
          <t>DALARNAS LÄN</t>
        </is>
      </c>
      <c r="E227" t="inlineStr">
        <is>
          <t>MORA</t>
        </is>
      </c>
      <c r="G227" t="n">
        <v>2.2</v>
      </c>
      <c r="H227" t="n">
        <v>0</v>
      </c>
      <c r="I227" t="n">
        <v>0</v>
      </c>
      <c r="J227" t="n">
        <v>0</v>
      </c>
      <c r="K227" t="n">
        <v>0</v>
      </c>
      <c r="L227" t="n">
        <v>0</v>
      </c>
      <c r="M227" t="n">
        <v>0</v>
      </c>
      <c r="N227" t="n">
        <v>0</v>
      </c>
      <c r="O227" t="n">
        <v>0</v>
      </c>
      <c r="P227" t="n">
        <v>0</v>
      </c>
      <c r="Q227" t="n">
        <v>0</v>
      </c>
      <c r="R227" s="2" t="inlineStr"/>
    </row>
    <row r="228" ht="15" customHeight="1">
      <c r="A228" t="inlineStr">
        <is>
          <t>A 35363-2024</t>
        </is>
      </c>
      <c r="B228" s="1" t="n">
        <v>45531.34050925926</v>
      </c>
      <c r="C228" s="1" t="n">
        <v>45908</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44307-2021</t>
        </is>
      </c>
      <c r="B229" s="1" t="n">
        <v>44435</v>
      </c>
      <c r="C229" s="1" t="n">
        <v>45908</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62854-2023</t>
        </is>
      </c>
      <c r="B230" s="1" t="n">
        <v>45272</v>
      </c>
      <c r="C230" s="1" t="n">
        <v>45908</v>
      </c>
      <c r="D230" t="inlineStr">
        <is>
          <t>DALARNAS LÄN</t>
        </is>
      </c>
      <c r="E230" t="inlineStr">
        <is>
          <t>MORA</t>
        </is>
      </c>
      <c r="G230" t="n">
        <v>11.3</v>
      </c>
      <c r="H230" t="n">
        <v>0</v>
      </c>
      <c r="I230" t="n">
        <v>0</v>
      </c>
      <c r="J230" t="n">
        <v>0</v>
      </c>
      <c r="K230" t="n">
        <v>0</v>
      </c>
      <c r="L230" t="n">
        <v>0</v>
      </c>
      <c r="M230" t="n">
        <v>0</v>
      </c>
      <c r="N230" t="n">
        <v>0</v>
      </c>
      <c r="O230" t="n">
        <v>0</v>
      </c>
      <c r="P230" t="n">
        <v>0</v>
      </c>
      <c r="Q230" t="n">
        <v>0</v>
      </c>
      <c r="R230" s="2" t="inlineStr"/>
    </row>
    <row r="231" ht="15" customHeight="1">
      <c r="A231" t="inlineStr">
        <is>
          <t>A 24127-2025</t>
        </is>
      </c>
      <c r="B231" s="1" t="n">
        <v>45796.63137731481</v>
      </c>
      <c r="C231" s="1" t="n">
        <v>45908</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17167-2025</t>
        </is>
      </c>
      <c r="B232" s="1" t="n">
        <v>45756.36844907407</v>
      </c>
      <c r="C232" s="1" t="n">
        <v>45908</v>
      </c>
      <c r="D232" t="inlineStr">
        <is>
          <t>DALARNAS LÄN</t>
        </is>
      </c>
      <c r="E232" t="inlineStr">
        <is>
          <t>MORA</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24249-2025</t>
        </is>
      </c>
      <c r="B233" s="1" t="n">
        <v>45797.40260416667</v>
      </c>
      <c r="C233" s="1" t="n">
        <v>45908</v>
      </c>
      <c r="D233" t="inlineStr">
        <is>
          <t>DALARNAS LÄN</t>
        </is>
      </c>
      <c r="E233" t="inlineStr">
        <is>
          <t>MORA</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20504-2023</t>
        </is>
      </c>
      <c r="B234" s="1" t="n">
        <v>45057</v>
      </c>
      <c r="C234" s="1" t="n">
        <v>45908</v>
      </c>
      <c r="D234" t="inlineStr">
        <is>
          <t>DALARNAS LÄN</t>
        </is>
      </c>
      <c r="E234" t="inlineStr">
        <is>
          <t>MORA</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34923-2022</t>
        </is>
      </c>
      <c r="B235" s="1" t="n">
        <v>44796</v>
      </c>
      <c r="C235" s="1" t="n">
        <v>45908</v>
      </c>
      <c r="D235" t="inlineStr">
        <is>
          <t>DALARNAS LÄN</t>
        </is>
      </c>
      <c r="E235" t="inlineStr">
        <is>
          <t>MORA</t>
        </is>
      </c>
      <c r="G235" t="n">
        <v>5</v>
      </c>
      <c r="H235" t="n">
        <v>0</v>
      </c>
      <c r="I235" t="n">
        <v>0</v>
      </c>
      <c r="J235" t="n">
        <v>0</v>
      </c>
      <c r="K235" t="n">
        <v>0</v>
      </c>
      <c r="L235" t="n">
        <v>0</v>
      </c>
      <c r="M235" t="n">
        <v>0</v>
      </c>
      <c r="N235" t="n">
        <v>0</v>
      </c>
      <c r="O235" t="n">
        <v>0</v>
      </c>
      <c r="P235" t="n">
        <v>0</v>
      </c>
      <c r="Q235" t="n">
        <v>0</v>
      </c>
      <c r="R235" s="2" t="inlineStr"/>
    </row>
    <row r="236" ht="15" customHeight="1">
      <c r="A236" t="inlineStr">
        <is>
          <t>A 9461-2025</t>
        </is>
      </c>
      <c r="B236" s="1" t="n">
        <v>45715.45341435185</v>
      </c>
      <c r="C236" s="1" t="n">
        <v>45908</v>
      </c>
      <c r="D236" t="inlineStr">
        <is>
          <t>DALARNAS LÄN</t>
        </is>
      </c>
      <c r="E236" t="inlineStr">
        <is>
          <t>MORA</t>
        </is>
      </c>
      <c r="G236" t="n">
        <v>1.8</v>
      </c>
      <c r="H236" t="n">
        <v>0</v>
      </c>
      <c r="I236" t="n">
        <v>0</v>
      </c>
      <c r="J236" t="n">
        <v>0</v>
      </c>
      <c r="K236" t="n">
        <v>0</v>
      </c>
      <c r="L236" t="n">
        <v>0</v>
      </c>
      <c r="M236" t="n">
        <v>0</v>
      </c>
      <c r="N236" t="n">
        <v>0</v>
      </c>
      <c r="O236" t="n">
        <v>0</v>
      </c>
      <c r="P236" t="n">
        <v>0</v>
      </c>
      <c r="Q236" t="n">
        <v>0</v>
      </c>
      <c r="R236" s="2" t="inlineStr"/>
    </row>
    <row r="237" ht="15" customHeight="1">
      <c r="A237" t="inlineStr">
        <is>
          <t>A 34928-2022</t>
        </is>
      </c>
      <c r="B237" s="1" t="n">
        <v>44796.60479166666</v>
      </c>
      <c r="C237" s="1" t="n">
        <v>45908</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45908</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17529-2023</t>
        </is>
      </c>
      <c r="B239" s="1" t="n">
        <v>45036.46804398148</v>
      </c>
      <c r="C239" s="1" t="n">
        <v>45908</v>
      </c>
      <c r="D239" t="inlineStr">
        <is>
          <t>DALARNAS LÄN</t>
        </is>
      </c>
      <c r="E239" t="inlineStr">
        <is>
          <t>MORA</t>
        </is>
      </c>
      <c r="G239" t="n">
        <v>6</v>
      </c>
      <c r="H239" t="n">
        <v>0</v>
      </c>
      <c r="I239" t="n">
        <v>0</v>
      </c>
      <c r="J239" t="n">
        <v>0</v>
      </c>
      <c r="K239" t="n">
        <v>0</v>
      </c>
      <c r="L239" t="n">
        <v>0</v>
      </c>
      <c r="M239" t="n">
        <v>0</v>
      </c>
      <c r="N239" t="n">
        <v>0</v>
      </c>
      <c r="O239" t="n">
        <v>0</v>
      </c>
      <c r="P239" t="n">
        <v>0</v>
      </c>
      <c r="Q239" t="n">
        <v>0</v>
      </c>
      <c r="R239" s="2" t="inlineStr"/>
    </row>
    <row r="240" ht="15" customHeight="1">
      <c r="A240" t="inlineStr">
        <is>
          <t>A 44201-2023</t>
        </is>
      </c>
      <c r="B240" s="1" t="n">
        <v>45188</v>
      </c>
      <c r="C240" s="1" t="n">
        <v>45908</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19286-2023</t>
        </is>
      </c>
      <c r="B241" s="1" t="n">
        <v>45049</v>
      </c>
      <c r="C241" s="1" t="n">
        <v>45908</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16522-2024</t>
        </is>
      </c>
      <c r="B242" s="1" t="n">
        <v>45408.41166666667</v>
      </c>
      <c r="C242" s="1" t="n">
        <v>45908</v>
      </c>
      <c r="D242" t="inlineStr">
        <is>
          <t>DALARNAS LÄN</t>
        </is>
      </c>
      <c r="E242" t="inlineStr">
        <is>
          <t>MORA</t>
        </is>
      </c>
      <c r="G242" t="n">
        <v>11.2</v>
      </c>
      <c r="H242" t="n">
        <v>0</v>
      </c>
      <c r="I242" t="n">
        <v>0</v>
      </c>
      <c r="J242" t="n">
        <v>0</v>
      </c>
      <c r="K242" t="n">
        <v>0</v>
      </c>
      <c r="L242" t="n">
        <v>0</v>
      </c>
      <c r="M242" t="n">
        <v>0</v>
      </c>
      <c r="N242" t="n">
        <v>0</v>
      </c>
      <c r="O242" t="n">
        <v>0</v>
      </c>
      <c r="P242" t="n">
        <v>0</v>
      </c>
      <c r="Q242" t="n">
        <v>0</v>
      </c>
      <c r="R242" s="2" t="inlineStr"/>
    </row>
    <row r="243" ht="15" customHeight="1">
      <c r="A243" t="inlineStr">
        <is>
          <t>A 24230-2025</t>
        </is>
      </c>
      <c r="B243" s="1" t="n">
        <v>45797.37607638889</v>
      </c>
      <c r="C243" s="1" t="n">
        <v>45908</v>
      </c>
      <c r="D243" t="inlineStr">
        <is>
          <t>DALARNAS LÄN</t>
        </is>
      </c>
      <c r="E243" t="inlineStr">
        <is>
          <t>MORA</t>
        </is>
      </c>
      <c r="G243" t="n">
        <v>6.8</v>
      </c>
      <c r="H243" t="n">
        <v>0</v>
      </c>
      <c r="I243" t="n">
        <v>0</v>
      </c>
      <c r="J243" t="n">
        <v>0</v>
      </c>
      <c r="K243" t="n">
        <v>0</v>
      </c>
      <c r="L243" t="n">
        <v>0</v>
      </c>
      <c r="M243" t="n">
        <v>0</v>
      </c>
      <c r="N243" t="n">
        <v>0</v>
      </c>
      <c r="O243" t="n">
        <v>0</v>
      </c>
      <c r="P243" t="n">
        <v>0</v>
      </c>
      <c r="Q243" t="n">
        <v>0</v>
      </c>
      <c r="R243" s="2" t="inlineStr"/>
    </row>
    <row r="244" ht="15" customHeight="1">
      <c r="A244" t="inlineStr">
        <is>
          <t>A 24277-2025</t>
        </is>
      </c>
      <c r="B244" s="1" t="n">
        <v>45797.4530787037</v>
      </c>
      <c r="C244" s="1" t="n">
        <v>45908</v>
      </c>
      <c r="D244" t="inlineStr">
        <is>
          <t>DALARNAS LÄN</t>
        </is>
      </c>
      <c r="E244" t="inlineStr">
        <is>
          <t>MORA</t>
        </is>
      </c>
      <c r="G244" t="n">
        <v>1.9</v>
      </c>
      <c r="H244" t="n">
        <v>0</v>
      </c>
      <c r="I244" t="n">
        <v>0</v>
      </c>
      <c r="J244" t="n">
        <v>0</v>
      </c>
      <c r="K244" t="n">
        <v>0</v>
      </c>
      <c r="L244" t="n">
        <v>0</v>
      </c>
      <c r="M244" t="n">
        <v>0</v>
      </c>
      <c r="N244" t="n">
        <v>0</v>
      </c>
      <c r="O244" t="n">
        <v>0</v>
      </c>
      <c r="P244" t="n">
        <v>0</v>
      </c>
      <c r="Q244" t="n">
        <v>0</v>
      </c>
      <c r="R244" s="2" t="inlineStr"/>
    </row>
    <row r="245" ht="15" customHeight="1">
      <c r="A245" t="inlineStr">
        <is>
          <t>A 24280-2025</t>
        </is>
      </c>
      <c r="B245" s="1" t="n">
        <v>45797.45581018519</v>
      </c>
      <c r="C245" s="1" t="n">
        <v>45908</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36038-2024</t>
        </is>
      </c>
      <c r="B246" s="1" t="n">
        <v>45533</v>
      </c>
      <c r="C246" s="1" t="n">
        <v>45908</v>
      </c>
      <c r="D246" t="inlineStr">
        <is>
          <t>DALARNAS LÄN</t>
        </is>
      </c>
      <c r="E246" t="inlineStr">
        <is>
          <t>MORA</t>
        </is>
      </c>
      <c r="G246" t="n">
        <v>5.1</v>
      </c>
      <c r="H246" t="n">
        <v>0</v>
      </c>
      <c r="I246" t="n">
        <v>0</v>
      </c>
      <c r="J246" t="n">
        <v>0</v>
      </c>
      <c r="K246" t="n">
        <v>0</v>
      </c>
      <c r="L246" t="n">
        <v>0</v>
      </c>
      <c r="M246" t="n">
        <v>0</v>
      </c>
      <c r="N246" t="n">
        <v>0</v>
      </c>
      <c r="O246" t="n">
        <v>0</v>
      </c>
      <c r="P246" t="n">
        <v>0</v>
      </c>
      <c r="Q246" t="n">
        <v>0</v>
      </c>
      <c r="R246" s="2" t="inlineStr"/>
    </row>
    <row r="247" ht="15" customHeight="1">
      <c r="A247" t="inlineStr">
        <is>
          <t>A 2865-2022</t>
        </is>
      </c>
      <c r="B247" s="1" t="n">
        <v>44581</v>
      </c>
      <c r="C247" s="1" t="n">
        <v>45908</v>
      </c>
      <c r="D247" t="inlineStr">
        <is>
          <t>DALARNAS LÄN</t>
        </is>
      </c>
      <c r="E247" t="inlineStr">
        <is>
          <t>MORA</t>
        </is>
      </c>
      <c r="G247" t="n">
        <v>2</v>
      </c>
      <c r="H247" t="n">
        <v>0</v>
      </c>
      <c r="I247" t="n">
        <v>0</v>
      </c>
      <c r="J247" t="n">
        <v>0</v>
      </c>
      <c r="K247" t="n">
        <v>0</v>
      </c>
      <c r="L247" t="n">
        <v>0</v>
      </c>
      <c r="M247" t="n">
        <v>0</v>
      </c>
      <c r="N247" t="n">
        <v>0</v>
      </c>
      <c r="O247" t="n">
        <v>0</v>
      </c>
      <c r="P247" t="n">
        <v>0</v>
      </c>
      <c r="Q247" t="n">
        <v>0</v>
      </c>
      <c r="R247" s="2" t="inlineStr"/>
    </row>
    <row r="248" ht="15" customHeight="1">
      <c r="A248" t="inlineStr">
        <is>
          <t>A 5922-2025</t>
        </is>
      </c>
      <c r="B248" s="1" t="n">
        <v>45695.42762731481</v>
      </c>
      <c r="C248" s="1" t="n">
        <v>45908</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56834-2024</t>
        </is>
      </c>
      <c r="B249" s="1" t="n">
        <v>45628.49931712963</v>
      </c>
      <c r="C249" s="1" t="n">
        <v>45908</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43533-2023</t>
        </is>
      </c>
      <c r="B250" s="1" t="n">
        <v>45184.53412037037</v>
      </c>
      <c r="C250" s="1" t="n">
        <v>45908</v>
      </c>
      <c r="D250" t="inlineStr">
        <is>
          <t>DALARNAS LÄN</t>
        </is>
      </c>
      <c r="E250" t="inlineStr">
        <is>
          <t>MORA</t>
        </is>
      </c>
      <c r="F250" t="inlineStr">
        <is>
          <t>Bergvik skog väst AB</t>
        </is>
      </c>
      <c r="G250" t="n">
        <v>10.3</v>
      </c>
      <c r="H250" t="n">
        <v>0</v>
      </c>
      <c r="I250" t="n">
        <v>0</v>
      </c>
      <c r="J250" t="n">
        <v>0</v>
      </c>
      <c r="K250" t="n">
        <v>0</v>
      </c>
      <c r="L250" t="n">
        <v>0</v>
      </c>
      <c r="M250" t="n">
        <v>0</v>
      </c>
      <c r="N250" t="n">
        <v>0</v>
      </c>
      <c r="O250" t="n">
        <v>0</v>
      </c>
      <c r="P250" t="n">
        <v>0</v>
      </c>
      <c r="Q250" t="n">
        <v>0</v>
      </c>
      <c r="R250" s="2" t="inlineStr"/>
    </row>
    <row r="251" ht="15" customHeight="1">
      <c r="A251" t="inlineStr">
        <is>
          <t>A 37774-2022</t>
        </is>
      </c>
      <c r="B251" s="1" t="n">
        <v>44810.64164351852</v>
      </c>
      <c r="C251" s="1" t="n">
        <v>45908</v>
      </c>
      <c r="D251" t="inlineStr">
        <is>
          <t>DALARNAS LÄN</t>
        </is>
      </c>
      <c r="E251" t="inlineStr">
        <is>
          <t>MORA</t>
        </is>
      </c>
      <c r="F251" t="inlineStr">
        <is>
          <t>Bergvik skog väst AB</t>
        </is>
      </c>
      <c r="G251" t="n">
        <v>8.5</v>
      </c>
      <c r="H251" t="n">
        <v>0</v>
      </c>
      <c r="I251" t="n">
        <v>0</v>
      </c>
      <c r="J251" t="n">
        <v>0</v>
      </c>
      <c r="K251" t="n">
        <v>0</v>
      </c>
      <c r="L251" t="n">
        <v>0</v>
      </c>
      <c r="M251" t="n">
        <v>0</v>
      </c>
      <c r="N251" t="n">
        <v>0</v>
      </c>
      <c r="O251" t="n">
        <v>0</v>
      </c>
      <c r="P251" t="n">
        <v>0</v>
      </c>
      <c r="Q251" t="n">
        <v>0</v>
      </c>
      <c r="R251" s="2" t="inlineStr"/>
    </row>
    <row r="252" ht="15" customHeight="1">
      <c r="A252" t="inlineStr">
        <is>
          <t>A 47036-2023</t>
        </is>
      </c>
      <c r="B252" s="1" t="n">
        <v>45196</v>
      </c>
      <c r="C252" s="1" t="n">
        <v>45908</v>
      </c>
      <c r="D252" t="inlineStr">
        <is>
          <t>DALARNAS LÄN</t>
        </is>
      </c>
      <c r="E252" t="inlineStr">
        <is>
          <t>MORA</t>
        </is>
      </c>
      <c r="G252" t="n">
        <v>2.7</v>
      </c>
      <c r="H252" t="n">
        <v>0</v>
      </c>
      <c r="I252" t="n">
        <v>0</v>
      </c>
      <c r="J252" t="n">
        <v>0</v>
      </c>
      <c r="K252" t="n">
        <v>0</v>
      </c>
      <c r="L252" t="n">
        <v>0</v>
      </c>
      <c r="M252" t="n">
        <v>0</v>
      </c>
      <c r="N252" t="n">
        <v>0</v>
      </c>
      <c r="O252" t="n">
        <v>0</v>
      </c>
      <c r="P252" t="n">
        <v>0</v>
      </c>
      <c r="Q252" t="n">
        <v>0</v>
      </c>
      <c r="R252" s="2" t="inlineStr"/>
    </row>
    <row r="253" ht="15" customHeight="1">
      <c r="A253" t="inlineStr">
        <is>
          <t>A 64327-2023</t>
        </is>
      </c>
      <c r="B253" s="1" t="n">
        <v>45280</v>
      </c>
      <c r="C253" s="1" t="n">
        <v>45908</v>
      </c>
      <c r="D253" t="inlineStr">
        <is>
          <t>DALARNAS LÄN</t>
        </is>
      </c>
      <c r="E253" t="inlineStr">
        <is>
          <t>MORA</t>
        </is>
      </c>
      <c r="G253" t="n">
        <v>0.8</v>
      </c>
      <c r="H253" t="n">
        <v>0</v>
      </c>
      <c r="I253" t="n">
        <v>0</v>
      </c>
      <c r="J253" t="n">
        <v>0</v>
      </c>
      <c r="K253" t="n">
        <v>0</v>
      </c>
      <c r="L253" t="n">
        <v>0</v>
      </c>
      <c r="M253" t="n">
        <v>0</v>
      </c>
      <c r="N253" t="n">
        <v>0</v>
      </c>
      <c r="O253" t="n">
        <v>0</v>
      </c>
      <c r="P253" t="n">
        <v>0</v>
      </c>
      <c r="Q253" t="n">
        <v>0</v>
      </c>
      <c r="R253" s="2" t="inlineStr"/>
    </row>
    <row r="254" ht="15" customHeight="1">
      <c r="A254" t="inlineStr">
        <is>
          <t>A 17145-2024</t>
        </is>
      </c>
      <c r="B254" s="1" t="n">
        <v>45412</v>
      </c>
      <c r="C254" s="1" t="n">
        <v>45908</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19183-2025</t>
        </is>
      </c>
      <c r="B255" s="1" t="n">
        <v>45769</v>
      </c>
      <c r="C255" s="1" t="n">
        <v>45908</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20544-2025</t>
        </is>
      </c>
      <c r="B256" s="1" t="n">
        <v>45775.63119212963</v>
      </c>
      <c r="C256" s="1" t="n">
        <v>45908</v>
      </c>
      <c r="D256" t="inlineStr">
        <is>
          <t>DALARNAS LÄN</t>
        </is>
      </c>
      <c r="E256" t="inlineStr">
        <is>
          <t>MORA</t>
        </is>
      </c>
      <c r="G256" t="n">
        <v>3.6</v>
      </c>
      <c r="H256" t="n">
        <v>0</v>
      </c>
      <c r="I256" t="n">
        <v>0</v>
      </c>
      <c r="J256" t="n">
        <v>0</v>
      </c>
      <c r="K256" t="n">
        <v>0</v>
      </c>
      <c r="L256" t="n">
        <v>0</v>
      </c>
      <c r="M256" t="n">
        <v>0</v>
      </c>
      <c r="N256" t="n">
        <v>0</v>
      </c>
      <c r="O256" t="n">
        <v>0</v>
      </c>
      <c r="P256" t="n">
        <v>0</v>
      </c>
      <c r="Q256" t="n">
        <v>0</v>
      </c>
      <c r="R256" s="2" t="inlineStr"/>
    </row>
    <row r="257" ht="15" customHeight="1">
      <c r="A257" t="inlineStr">
        <is>
          <t>A 48728-2022</t>
        </is>
      </c>
      <c r="B257" s="1" t="n">
        <v>44859.52145833334</v>
      </c>
      <c r="C257" s="1" t="n">
        <v>45908</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24640-2025</t>
        </is>
      </c>
      <c r="B258" s="1" t="n">
        <v>45798.62243055556</v>
      </c>
      <c r="C258" s="1" t="n">
        <v>45908</v>
      </c>
      <c r="D258" t="inlineStr">
        <is>
          <t>DALARNAS LÄN</t>
        </is>
      </c>
      <c r="E258" t="inlineStr">
        <is>
          <t>MORA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51965-2024</t>
        </is>
      </c>
      <c r="B259" s="1" t="n">
        <v>45607.65123842593</v>
      </c>
      <c r="C259" s="1" t="n">
        <v>45908</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32410-2024</t>
        </is>
      </c>
      <c r="B260" s="1" t="n">
        <v>45512.70077546296</v>
      </c>
      <c r="C260" s="1" t="n">
        <v>45908</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4994-2025</t>
        </is>
      </c>
      <c r="B261" s="1" t="n">
        <v>45691.35427083333</v>
      </c>
      <c r="C261" s="1" t="n">
        <v>45908</v>
      </c>
      <c r="D261" t="inlineStr">
        <is>
          <t>DALARNAS LÄN</t>
        </is>
      </c>
      <c r="E261" t="inlineStr">
        <is>
          <t>MORA</t>
        </is>
      </c>
      <c r="G261" t="n">
        <v>4.6</v>
      </c>
      <c r="H261" t="n">
        <v>0</v>
      </c>
      <c r="I261" t="n">
        <v>0</v>
      </c>
      <c r="J261" t="n">
        <v>0</v>
      </c>
      <c r="K261" t="n">
        <v>0</v>
      </c>
      <c r="L261" t="n">
        <v>0</v>
      </c>
      <c r="M261" t="n">
        <v>0</v>
      </c>
      <c r="N261" t="n">
        <v>0</v>
      </c>
      <c r="O261" t="n">
        <v>0</v>
      </c>
      <c r="P261" t="n">
        <v>0</v>
      </c>
      <c r="Q261" t="n">
        <v>0</v>
      </c>
      <c r="R261" s="2" t="inlineStr"/>
    </row>
    <row r="262" ht="15" customHeight="1">
      <c r="A262" t="inlineStr">
        <is>
          <t>A 15993-2025</t>
        </is>
      </c>
      <c r="B262" s="1" t="n">
        <v>45749.58428240741</v>
      </c>
      <c r="C262" s="1" t="n">
        <v>45908</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51253-2023</t>
        </is>
      </c>
      <c r="B263" s="1" t="n">
        <v>45219</v>
      </c>
      <c r="C263" s="1" t="n">
        <v>45908</v>
      </c>
      <c r="D263" t="inlineStr">
        <is>
          <t>DALARNAS LÄN</t>
        </is>
      </c>
      <c r="E263" t="inlineStr">
        <is>
          <t>MORA</t>
        </is>
      </c>
      <c r="G263" t="n">
        <v>5</v>
      </c>
      <c r="H263" t="n">
        <v>0</v>
      </c>
      <c r="I263" t="n">
        <v>0</v>
      </c>
      <c r="J263" t="n">
        <v>0</v>
      </c>
      <c r="K263" t="n">
        <v>0</v>
      </c>
      <c r="L263" t="n">
        <v>0</v>
      </c>
      <c r="M263" t="n">
        <v>0</v>
      </c>
      <c r="N263" t="n">
        <v>0</v>
      </c>
      <c r="O263" t="n">
        <v>0</v>
      </c>
      <c r="P263" t="n">
        <v>0</v>
      </c>
      <c r="Q263" t="n">
        <v>0</v>
      </c>
      <c r="R263" s="2" t="inlineStr"/>
    </row>
    <row r="264" ht="15" customHeight="1">
      <c r="A264" t="inlineStr">
        <is>
          <t>A 57110-2021</t>
        </is>
      </c>
      <c r="B264" s="1" t="n">
        <v>44482</v>
      </c>
      <c r="C264" s="1" t="n">
        <v>45908</v>
      </c>
      <c r="D264" t="inlineStr">
        <is>
          <t>DALARNAS LÄN</t>
        </is>
      </c>
      <c r="E264" t="inlineStr">
        <is>
          <t>MORA</t>
        </is>
      </c>
      <c r="G264" t="n">
        <v>5.4</v>
      </c>
      <c r="H264" t="n">
        <v>0</v>
      </c>
      <c r="I264" t="n">
        <v>0</v>
      </c>
      <c r="J264" t="n">
        <v>0</v>
      </c>
      <c r="K264" t="n">
        <v>0</v>
      </c>
      <c r="L264" t="n">
        <v>0</v>
      </c>
      <c r="M264" t="n">
        <v>0</v>
      </c>
      <c r="N264" t="n">
        <v>0</v>
      </c>
      <c r="O264" t="n">
        <v>0</v>
      </c>
      <c r="P264" t="n">
        <v>0</v>
      </c>
      <c r="Q264" t="n">
        <v>0</v>
      </c>
      <c r="R264" s="2" t="inlineStr"/>
    </row>
    <row r="265" ht="15" customHeight="1">
      <c r="A265" t="inlineStr">
        <is>
          <t>A 11857-2023</t>
        </is>
      </c>
      <c r="B265" s="1" t="n">
        <v>44995</v>
      </c>
      <c r="C265" s="1" t="n">
        <v>45908</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24947-2025</t>
        </is>
      </c>
      <c r="B266" s="1" t="n">
        <v>45799.56524305556</v>
      </c>
      <c r="C266" s="1" t="n">
        <v>45908</v>
      </c>
      <c r="D266" t="inlineStr">
        <is>
          <t>DALARNAS LÄN</t>
        </is>
      </c>
      <c r="E266" t="inlineStr">
        <is>
          <t>MORA</t>
        </is>
      </c>
      <c r="G266" t="n">
        <v>2</v>
      </c>
      <c r="H266" t="n">
        <v>0</v>
      </c>
      <c r="I266" t="n">
        <v>0</v>
      </c>
      <c r="J266" t="n">
        <v>0</v>
      </c>
      <c r="K266" t="n">
        <v>0</v>
      </c>
      <c r="L266" t="n">
        <v>0</v>
      </c>
      <c r="M266" t="n">
        <v>0</v>
      </c>
      <c r="N266" t="n">
        <v>0</v>
      </c>
      <c r="O266" t="n">
        <v>0</v>
      </c>
      <c r="P266" t="n">
        <v>0</v>
      </c>
      <c r="Q266" t="n">
        <v>0</v>
      </c>
      <c r="R266" s="2" t="inlineStr"/>
    </row>
    <row r="267" ht="15" customHeight="1">
      <c r="A267" t="inlineStr">
        <is>
          <t>A 20401-2022</t>
        </is>
      </c>
      <c r="B267" s="1" t="n">
        <v>44699</v>
      </c>
      <c r="C267" s="1" t="n">
        <v>45908</v>
      </c>
      <c r="D267" t="inlineStr">
        <is>
          <t>DALARNAS LÄN</t>
        </is>
      </c>
      <c r="E267" t="inlineStr">
        <is>
          <t>MORA</t>
        </is>
      </c>
      <c r="G267" t="n">
        <v>3.2</v>
      </c>
      <c r="H267" t="n">
        <v>0</v>
      </c>
      <c r="I267" t="n">
        <v>0</v>
      </c>
      <c r="J267" t="n">
        <v>0</v>
      </c>
      <c r="K267" t="n">
        <v>0</v>
      </c>
      <c r="L267" t="n">
        <v>0</v>
      </c>
      <c r="M267" t="n">
        <v>0</v>
      </c>
      <c r="N267" t="n">
        <v>0</v>
      </c>
      <c r="O267" t="n">
        <v>0</v>
      </c>
      <c r="P267" t="n">
        <v>0</v>
      </c>
      <c r="Q267" t="n">
        <v>0</v>
      </c>
      <c r="R267" s="2" t="inlineStr"/>
    </row>
    <row r="268" ht="15" customHeight="1">
      <c r="A268" t="inlineStr">
        <is>
          <t>A 24630-2025</t>
        </is>
      </c>
      <c r="B268" s="1" t="n">
        <v>45798.6003587963</v>
      </c>
      <c r="C268" s="1" t="n">
        <v>45908</v>
      </c>
      <c r="D268" t="inlineStr">
        <is>
          <t>DALARNAS LÄN</t>
        </is>
      </c>
      <c r="E268" t="inlineStr">
        <is>
          <t>MORA</t>
        </is>
      </c>
      <c r="F268" t="inlineStr">
        <is>
          <t>Bergvik skog väst AB</t>
        </is>
      </c>
      <c r="G268" t="n">
        <v>10.4</v>
      </c>
      <c r="H268" t="n">
        <v>0</v>
      </c>
      <c r="I268" t="n">
        <v>0</v>
      </c>
      <c r="J268" t="n">
        <v>0</v>
      </c>
      <c r="K268" t="n">
        <v>0</v>
      </c>
      <c r="L268" t="n">
        <v>0</v>
      </c>
      <c r="M268" t="n">
        <v>0</v>
      </c>
      <c r="N268" t="n">
        <v>0</v>
      </c>
      <c r="O268" t="n">
        <v>0</v>
      </c>
      <c r="P268" t="n">
        <v>0</v>
      </c>
      <c r="Q268" t="n">
        <v>0</v>
      </c>
      <c r="R268" s="2" t="inlineStr"/>
    </row>
    <row r="269" ht="15" customHeight="1">
      <c r="A269" t="inlineStr">
        <is>
          <t>A 24653-2025</t>
        </is>
      </c>
      <c r="B269" s="1" t="n">
        <v>45798.63875</v>
      </c>
      <c r="C269" s="1" t="n">
        <v>45908</v>
      </c>
      <c r="D269" t="inlineStr">
        <is>
          <t>DALARNAS LÄN</t>
        </is>
      </c>
      <c r="E269" t="inlineStr">
        <is>
          <t>MORA</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24960-2025</t>
        </is>
      </c>
      <c r="B270" s="1" t="n">
        <v>45799.57666666667</v>
      </c>
      <c r="C270" s="1" t="n">
        <v>45908</v>
      </c>
      <c r="D270" t="inlineStr">
        <is>
          <t>DALARNAS LÄN</t>
        </is>
      </c>
      <c r="E270" t="inlineStr">
        <is>
          <t>MORA</t>
        </is>
      </c>
      <c r="G270" t="n">
        <v>3.2</v>
      </c>
      <c r="H270" t="n">
        <v>0</v>
      </c>
      <c r="I270" t="n">
        <v>0</v>
      </c>
      <c r="J270" t="n">
        <v>0</v>
      </c>
      <c r="K270" t="n">
        <v>0</v>
      </c>
      <c r="L270" t="n">
        <v>0</v>
      </c>
      <c r="M270" t="n">
        <v>0</v>
      </c>
      <c r="N270" t="n">
        <v>0</v>
      </c>
      <c r="O270" t="n">
        <v>0</v>
      </c>
      <c r="P270" t="n">
        <v>0</v>
      </c>
      <c r="Q270" t="n">
        <v>0</v>
      </c>
      <c r="R270" s="2" t="inlineStr"/>
    </row>
    <row r="271" ht="15" customHeight="1">
      <c r="A271" t="inlineStr">
        <is>
          <t>A 24642-2025</t>
        </is>
      </c>
      <c r="B271" s="1" t="n">
        <v>45798.62894675926</v>
      </c>
      <c r="C271" s="1" t="n">
        <v>45908</v>
      </c>
      <c r="D271" t="inlineStr">
        <is>
          <t>DALARNAS LÄN</t>
        </is>
      </c>
      <c r="E271" t="inlineStr">
        <is>
          <t>MORA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24620-2025</t>
        </is>
      </c>
      <c r="B272" s="1" t="n">
        <v>45798.59290509259</v>
      </c>
      <c r="C272" s="1" t="n">
        <v>45908</v>
      </c>
      <c r="D272" t="inlineStr">
        <is>
          <t>DALARNAS LÄN</t>
        </is>
      </c>
      <c r="E272" t="inlineStr">
        <is>
          <t>MORA</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56012-2023</t>
        </is>
      </c>
      <c r="B273" s="1" t="n">
        <v>45240</v>
      </c>
      <c r="C273" s="1" t="n">
        <v>45908</v>
      </c>
      <c r="D273" t="inlineStr">
        <is>
          <t>DALARNAS LÄN</t>
        </is>
      </c>
      <c r="E273" t="inlineStr">
        <is>
          <t>MORA</t>
        </is>
      </c>
      <c r="G273" t="n">
        <v>0.3</v>
      </c>
      <c r="H273" t="n">
        <v>0</v>
      </c>
      <c r="I273" t="n">
        <v>0</v>
      </c>
      <c r="J273" t="n">
        <v>0</v>
      </c>
      <c r="K273" t="n">
        <v>0</v>
      </c>
      <c r="L273" t="n">
        <v>0</v>
      </c>
      <c r="M273" t="n">
        <v>0</v>
      </c>
      <c r="N273" t="n">
        <v>0</v>
      </c>
      <c r="O273" t="n">
        <v>0</v>
      </c>
      <c r="P273" t="n">
        <v>0</v>
      </c>
      <c r="Q273" t="n">
        <v>0</v>
      </c>
      <c r="R273" s="2" t="inlineStr"/>
    </row>
    <row r="274" ht="15" customHeight="1">
      <c r="A274" t="inlineStr">
        <is>
          <t>A 60674-2023</t>
        </is>
      </c>
      <c r="B274" s="1" t="n">
        <v>45260.46609953704</v>
      </c>
      <c r="C274" s="1" t="n">
        <v>45908</v>
      </c>
      <c r="D274" t="inlineStr">
        <is>
          <t>DALARNAS LÄN</t>
        </is>
      </c>
      <c r="E274" t="inlineStr">
        <is>
          <t>MORA</t>
        </is>
      </c>
      <c r="G274" t="n">
        <v>2.9</v>
      </c>
      <c r="H274" t="n">
        <v>0</v>
      </c>
      <c r="I274" t="n">
        <v>0</v>
      </c>
      <c r="J274" t="n">
        <v>0</v>
      </c>
      <c r="K274" t="n">
        <v>0</v>
      </c>
      <c r="L274" t="n">
        <v>0</v>
      </c>
      <c r="M274" t="n">
        <v>0</v>
      </c>
      <c r="N274" t="n">
        <v>0</v>
      </c>
      <c r="O274" t="n">
        <v>0</v>
      </c>
      <c r="P274" t="n">
        <v>0</v>
      </c>
      <c r="Q274" t="n">
        <v>0</v>
      </c>
      <c r="R274" s="2" t="inlineStr"/>
    </row>
    <row r="275" ht="15" customHeight="1">
      <c r="A275" t="inlineStr">
        <is>
          <t>A 5298-2023</t>
        </is>
      </c>
      <c r="B275" s="1" t="n">
        <v>44959.54355324074</v>
      </c>
      <c r="C275" s="1" t="n">
        <v>45908</v>
      </c>
      <c r="D275" t="inlineStr">
        <is>
          <t>DALARNAS LÄN</t>
        </is>
      </c>
      <c r="E275" t="inlineStr">
        <is>
          <t>MORA</t>
        </is>
      </c>
      <c r="F275" t="inlineStr">
        <is>
          <t>Bergvik skog väst AB</t>
        </is>
      </c>
      <c r="G275" t="n">
        <v>6.2</v>
      </c>
      <c r="H275" t="n">
        <v>0</v>
      </c>
      <c r="I275" t="n">
        <v>0</v>
      </c>
      <c r="J275" t="n">
        <v>0</v>
      </c>
      <c r="K275" t="n">
        <v>0</v>
      </c>
      <c r="L275" t="n">
        <v>0</v>
      </c>
      <c r="M275" t="n">
        <v>0</v>
      </c>
      <c r="N275" t="n">
        <v>0</v>
      </c>
      <c r="O275" t="n">
        <v>0</v>
      </c>
      <c r="P275" t="n">
        <v>0</v>
      </c>
      <c r="Q275" t="n">
        <v>0</v>
      </c>
      <c r="R275" s="2" t="inlineStr"/>
    </row>
    <row r="276" ht="15" customHeight="1">
      <c r="A276" t="inlineStr">
        <is>
          <t>A 57859-2022</t>
        </is>
      </c>
      <c r="B276" s="1" t="n">
        <v>44898</v>
      </c>
      <c r="C276" s="1" t="n">
        <v>45908</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25494-2024</t>
        </is>
      </c>
      <c r="B277" s="1" t="n">
        <v>45463</v>
      </c>
      <c r="C277" s="1" t="n">
        <v>45908</v>
      </c>
      <c r="D277" t="inlineStr">
        <is>
          <t>DALARNAS LÄN</t>
        </is>
      </c>
      <c r="E277" t="inlineStr">
        <is>
          <t>MORA</t>
        </is>
      </c>
      <c r="G277" t="n">
        <v>4.9</v>
      </c>
      <c r="H277" t="n">
        <v>0</v>
      </c>
      <c r="I277" t="n">
        <v>0</v>
      </c>
      <c r="J277" t="n">
        <v>0</v>
      </c>
      <c r="K277" t="n">
        <v>0</v>
      </c>
      <c r="L277" t="n">
        <v>0</v>
      </c>
      <c r="M277" t="n">
        <v>0</v>
      </c>
      <c r="N277" t="n">
        <v>0</v>
      </c>
      <c r="O277" t="n">
        <v>0</v>
      </c>
      <c r="P277" t="n">
        <v>0</v>
      </c>
      <c r="Q277" t="n">
        <v>0</v>
      </c>
      <c r="R277" s="2" t="inlineStr"/>
    </row>
    <row r="278" ht="15" customHeight="1">
      <c r="A278" t="inlineStr">
        <is>
          <t>A 61249-2023</t>
        </is>
      </c>
      <c r="B278" s="1" t="n">
        <v>45264</v>
      </c>
      <c r="C278" s="1" t="n">
        <v>45908</v>
      </c>
      <c r="D278" t="inlineStr">
        <is>
          <t>DALARNAS LÄN</t>
        </is>
      </c>
      <c r="E278" t="inlineStr">
        <is>
          <t>MORA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54398-2021</t>
        </is>
      </c>
      <c r="B279" s="1" t="n">
        <v>44473.39252314815</v>
      </c>
      <c r="C279" s="1" t="n">
        <v>45908</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25935-2023</t>
        </is>
      </c>
      <c r="B280" s="1" t="n">
        <v>45090.68675925926</v>
      </c>
      <c r="C280" s="1" t="n">
        <v>45908</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23057-2024</t>
        </is>
      </c>
      <c r="B281" s="1" t="n">
        <v>45450</v>
      </c>
      <c r="C281" s="1" t="n">
        <v>45908</v>
      </c>
      <c r="D281" t="inlineStr">
        <is>
          <t>DALARNAS LÄN</t>
        </is>
      </c>
      <c r="E281" t="inlineStr">
        <is>
          <t>MORA</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51168-2024</t>
        </is>
      </c>
      <c r="B282" s="1" t="n">
        <v>45603.58619212963</v>
      </c>
      <c r="C282" s="1" t="n">
        <v>45908</v>
      </c>
      <c r="D282" t="inlineStr">
        <is>
          <t>DALARNAS LÄN</t>
        </is>
      </c>
      <c r="E282" t="inlineStr">
        <is>
          <t>MORA</t>
        </is>
      </c>
      <c r="G282" t="n">
        <v>3</v>
      </c>
      <c r="H282" t="n">
        <v>0</v>
      </c>
      <c r="I282" t="n">
        <v>0</v>
      </c>
      <c r="J282" t="n">
        <v>0</v>
      </c>
      <c r="K282" t="n">
        <v>0</v>
      </c>
      <c r="L282" t="n">
        <v>0</v>
      </c>
      <c r="M282" t="n">
        <v>0</v>
      </c>
      <c r="N282" t="n">
        <v>0</v>
      </c>
      <c r="O282" t="n">
        <v>0</v>
      </c>
      <c r="P282" t="n">
        <v>0</v>
      </c>
      <c r="Q282" t="n">
        <v>0</v>
      </c>
      <c r="R282" s="2" t="inlineStr"/>
    </row>
    <row r="283" ht="15" customHeight="1">
      <c r="A283" t="inlineStr">
        <is>
          <t>A 59182-2023</t>
        </is>
      </c>
      <c r="B283" s="1" t="n">
        <v>45253</v>
      </c>
      <c r="C283" s="1" t="n">
        <v>45908</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36600-2023</t>
        </is>
      </c>
      <c r="B284" s="1" t="n">
        <v>45153</v>
      </c>
      <c r="C284" s="1" t="n">
        <v>45908</v>
      </c>
      <c r="D284" t="inlineStr">
        <is>
          <t>DALARNAS LÄN</t>
        </is>
      </c>
      <c r="E284" t="inlineStr">
        <is>
          <t>MORA</t>
        </is>
      </c>
      <c r="G284" t="n">
        <v>7.3</v>
      </c>
      <c r="H284" t="n">
        <v>0</v>
      </c>
      <c r="I284" t="n">
        <v>0</v>
      </c>
      <c r="J284" t="n">
        <v>0</v>
      </c>
      <c r="K284" t="n">
        <v>0</v>
      </c>
      <c r="L284" t="n">
        <v>0</v>
      </c>
      <c r="M284" t="n">
        <v>0</v>
      </c>
      <c r="N284" t="n">
        <v>0</v>
      </c>
      <c r="O284" t="n">
        <v>0</v>
      </c>
      <c r="P284" t="n">
        <v>0</v>
      </c>
      <c r="Q284" t="n">
        <v>0</v>
      </c>
      <c r="R284" s="2" t="inlineStr"/>
    </row>
    <row r="285" ht="15" customHeight="1">
      <c r="A285" t="inlineStr">
        <is>
          <t>A 69519-2020</t>
        </is>
      </c>
      <c r="B285" s="1" t="n">
        <v>44194</v>
      </c>
      <c r="C285" s="1" t="n">
        <v>45908</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35325-2024</t>
        </is>
      </c>
      <c r="B286" s="1" t="n">
        <v>45530.71158564815</v>
      </c>
      <c r="C286" s="1" t="n">
        <v>45908</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38627-2023</t>
        </is>
      </c>
      <c r="B287" s="1" t="n">
        <v>45162.68787037037</v>
      </c>
      <c r="C287" s="1" t="n">
        <v>45908</v>
      </c>
      <c r="D287" t="inlineStr">
        <is>
          <t>DALARNAS LÄN</t>
        </is>
      </c>
      <c r="E287" t="inlineStr">
        <is>
          <t>MORA</t>
        </is>
      </c>
      <c r="G287" t="n">
        <v>6.5</v>
      </c>
      <c r="H287" t="n">
        <v>0</v>
      </c>
      <c r="I287" t="n">
        <v>0</v>
      </c>
      <c r="J287" t="n">
        <v>0</v>
      </c>
      <c r="K287" t="n">
        <v>0</v>
      </c>
      <c r="L287" t="n">
        <v>0</v>
      </c>
      <c r="M287" t="n">
        <v>0</v>
      </c>
      <c r="N287" t="n">
        <v>0</v>
      </c>
      <c r="O287" t="n">
        <v>0</v>
      </c>
      <c r="P287" t="n">
        <v>0</v>
      </c>
      <c r="Q287" t="n">
        <v>0</v>
      </c>
      <c r="R287" s="2" t="inlineStr"/>
    </row>
    <row r="288" ht="15" customHeight="1">
      <c r="A288" t="inlineStr">
        <is>
          <t>A 64088-2023</t>
        </is>
      </c>
      <c r="B288" s="1" t="n">
        <v>45279.43570601852</v>
      </c>
      <c r="C288" s="1" t="n">
        <v>45908</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25737-2025</t>
        </is>
      </c>
      <c r="B289" s="1" t="n">
        <v>45800</v>
      </c>
      <c r="C289" s="1" t="n">
        <v>45908</v>
      </c>
      <c r="D289" t="inlineStr">
        <is>
          <t>DALARNAS LÄN</t>
        </is>
      </c>
      <c r="E289" t="inlineStr">
        <is>
          <t>MORA</t>
        </is>
      </c>
      <c r="G289" t="n">
        <v>9.6</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44518.39234953704</v>
      </c>
      <c r="C290" s="1" t="n">
        <v>45908</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16967-2025</t>
        </is>
      </c>
      <c r="B291" s="1" t="n">
        <v>45755.46106481482</v>
      </c>
      <c r="C291" s="1" t="n">
        <v>45908</v>
      </c>
      <c r="D291" t="inlineStr">
        <is>
          <t>DALARNAS LÄN</t>
        </is>
      </c>
      <c r="E291" t="inlineStr">
        <is>
          <t>MORA</t>
        </is>
      </c>
      <c r="F291" t="inlineStr">
        <is>
          <t>Bergvik skog öst AB</t>
        </is>
      </c>
      <c r="G291" t="n">
        <v>2.9</v>
      </c>
      <c r="H291" t="n">
        <v>0</v>
      </c>
      <c r="I291" t="n">
        <v>0</v>
      </c>
      <c r="J291" t="n">
        <v>0</v>
      </c>
      <c r="K291" t="n">
        <v>0</v>
      </c>
      <c r="L291" t="n">
        <v>0</v>
      </c>
      <c r="M291" t="n">
        <v>0</v>
      </c>
      <c r="N291" t="n">
        <v>0</v>
      </c>
      <c r="O291" t="n">
        <v>0</v>
      </c>
      <c r="P291" t="n">
        <v>0</v>
      </c>
      <c r="Q291" t="n">
        <v>0</v>
      </c>
      <c r="R291" s="2" t="inlineStr"/>
    </row>
    <row r="292" ht="15" customHeight="1">
      <c r="A292" t="inlineStr">
        <is>
          <t>A 45562-2023</t>
        </is>
      </c>
      <c r="B292" s="1" t="n">
        <v>45194.59378472222</v>
      </c>
      <c r="C292" s="1" t="n">
        <v>45908</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51570-2023</t>
        </is>
      </c>
      <c r="B293" s="1" t="n">
        <v>45222</v>
      </c>
      <c r="C293" s="1" t="n">
        <v>45908</v>
      </c>
      <c r="D293" t="inlineStr">
        <is>
          <t>DALARNAS LÄN</t>
        </is>
      </c>
      <c r="E293" t="inlineStr">
        <is>
          <t>MORA</t>
        </is>
      </c>
      <c r="G293" t="n">
        <v>10.1</v>
      </c>
      <c r="H293" t="n">
        <v>0</v>
      </c>
      <c r="I293" t="n">
        <v>0</v>
      </c>
      <c r="J293" t="n">
        <v>0</v>
      </c>
      <c r="K293" t="n">
        <v>0</v>
      </c>
      <c r="L293" t="n">
        <v>0</v>
      </c>
      <c r="M293" t="n">
        <v>0</v>
      </c>
      <c r="N293" t="n">
        <v>0</v>
      </c>
      <c r="O293" t="n">
        <v>0</v>
      </c>
      <c r="P293" t="n">
        <v>0</v>
      </c>
      <c r="Q293" t="n">
        <v>0</v>
      </c>
      <c r="R293" s="2" t="inlineStr"/>
    </row>
    <row r="294" ht="15" customHeight="1">
      <c r="A294" t="inlineStr">
        <is>
          <t>A 59995-2023</t>
        </is>
      </c>
      <c r="B294" s="1" t="n">
        <v>45254</v>
      </c>
      <c r="C294" s="1" t="n">
        <v>45908</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2830-2023</t>
        </is>
      </c>
      <c r="B295" s="1" t="n">
        <v>44945.32997685186</v>
      </c>
      <c r="C295" s="1" t="n">
        <v>45908</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39882-2024</t>
        </is>
      </c>
      <c r="B296" s="1" t="n">
        <v>45553</v>
      </c>
      <c r="C296" s="1" t="n">
        <v>45908</v>
      </c>
      <c r="D296" t="inlineStr">
        <is>
          <t>DALARNAS LÄN</t>
        </is>
      </c>
      <c r="E296" t="inlineStr">
        <is>
          <t>MORA</t>
        </is>
      </c>
      <c r="G296" t="n">
        <v>14.6</v>
      </c>
      <c r="H296" t="n">
        <v>0</v>
      </c>
      <c r="I296" t="n">
        <v>0</v>
      </c>
      <c r="J296" t="n">
        <v>0</v>
      </c>
      <c r="K296" t="n">
        <v>0</v>
      </c>
      <c r="L296" t="n">
        <v>0</v>
      </c>
      <c r="M296" t="n">
        <v>0</v>
      </c>
      <c r="N296" t="n">
        <v>0</v>
      </c>
      <c r="O296" t="n">
        <v>0</v>
      </c>
      <c r="P296" t="n">
        <v>0</v>
      </c>
      <c r="Q296" t="n">
        <v>0</v>
      </c>
      <c r="R296" s="2" t="inlineStr"/>
    </row>
    <row r="297" ht="15" customHeight="1">
      <c r="A297" t="inlineStr">
        <is>
          <t>A 43566-2023</t>
        </is>
      </c>
      <c r="B297" s="1" t="n">
        <v>45184.58199074074</v>
      </c>
      <c r="C297" s="1" t="n">
        <v>45908</v>
      </c>
      <c r="D297" t="inlineStr">
        <is>
          <t>DALARNAS LÄN</t>
        </is>
      </c>
      <c r="E297" t="inlineStr">
        <is>
          <t>MORA</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60673-2023</t>
        </is>
      </c>
      <c r="B298" s="1" t="n">
        <v>45260.46438657407</v>
      </c>
      <c r="C298" s="1" t="n">
        <v>45908</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26577-2025</t>
        </is>
      </c>
      <c r="B299" s="1" t="n">
        <v>45807</v>
      </c>
      <c r="C299" s="1" t="n">
        <v>45908</v>
      </c>
      <c r="D299" t="inlineStr">
        <is>
          <t>DALARNAS LÄN</t>
        </is>
      </c>
      <c r="E299" t="inlineStr">
        <is>
          <t>MORA</t>
        </is>
      </c>
      <c r="G299" t="n">
        <v>2.8</v>
      </c>
      <c r="H299" t="n">
        <v>0</v>
      </c>
      <c r="I299" t="n">
        <v>0</v>
      </c>
      <c r="J299" t="n">
        <v>0</v>
      </c>
      <c r="K299" t="n">
        <v>0</v>
      </c>
      <c r="L299" t="n">
        <v>0</v>
      </c>
      <c r="M299" t="n">
        <v>0</v>
      </c>
      <c r="N299" t="n">
        <v>0</v>
      </c>
      <c r="O299" t="n">
        <v>0</v>
      </c>
      <c r="P299" t="n">
        <v>0</v>
      </c>
      <c r="Q299" t="n">
        <v>0</v>
      </c>
      <c r="R299" s="2" t="inlineStr"/>
    </row>
    <row r="300" ht="15" customHeight="1">
      <c r="A300" t="inlineStr">
        <is>
          <t>A 26532-2025</t>
        </is>
      </c>
      <c r="B300" s="1" t="n">
        <v>45807</v>
      </c>
      <c r="C300" s="1" t="n">
        <v>45908</v>
      </c>
      <c r="D300" t="inlineStr">
        <is>
          <t>DALARNAS LÄN</t>
        </is>
      </c>
      <c r="E300" t="inlineStr">
        <is>
          <t>MORA</t>
        </is>
      </c>
      <c r="G300" t="n">
        <v>4.4</v>
      </c>
      <c r="H300" t="n">
        <v>0</v>
      </c>
      <c r="I300" t="n">
        <v>0</v>
      </c>
      <c r="J300" t="n">
        <v>0</v>
      </c>
      <c r="K300" t="n">
        <v>0</v>
      </c>
      <c r="L300" t="n">
        <v>0</v>
      </c>
      <c r="M300" t="n">
        <v>0</v>
      </c>
      <c r="N300" t="n">
        <v>0</v>
      </c>
      <c r="O300" t="n">
        <v>0</v>
      </c>
      <c r="P300" t="n">
        <v>0</v>
      </c>
      <c r="Q300" t="n">
        <v>0</v>
      </c>
      <c r="R300" s="2" t="inlineStr"/>
    </row>
    <row r="301" ht="15" customHeight="1">
      <c r="A301" t="inlineStr">
        <is>
          <t>A 26545-2025</t>
        </is>
      </c>
      <c r="B301" s="1" t="n">
        <v>45807</v>
      </c>
      <c r="C301" s="1" t="n">
        <v>45908</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26546-2025</t>
        </is>
      </c>
      <c r="B302" s="1" t="n">
        <v>45807</v>
      </c>
      <c r="C302" s="1" t="n">
        <v>45908</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26573-2025</t>
        </is>
      </c>
      <c r="B303" s="1" t="n">
        <v>45807</v>
      </c>
      <c r="C303" s="1" t="n">
        <v>45908</v>
      </c>
      <c r="D303" t="inlineStr">
        <is>
          <t>DALARNAS LÄN</t>
        </is>
      </c>
      <c r="E303" t="inlineStr">
        <is>
          <t>MORA</t>
        </is>
      </c>
      <c r="G303" t="n">
        <v>4.3</v>
      </c>
      <c r="H303" t="n">
        <v>0</v>
      </c>
      <c r="I303" t="n">
        <v>0</v>
      </c>
      <c r="J303" t="n">
        <v>0</v>
      </c>
      <c r="K303" t="n">
        <v>0</v>
      </c>
      <c r="L303" t="n">
        <v>0</v>
      </c>
      <c r="M303" t="n">
        <v>0</v>
      </c>
      <c r="N303" t="n">
        <v>0</v>
      </c>
      <c r="O303" t="n">
        <v>0</v>
      </c>
      <c r="P303" t="n">
        <v>0</v>
      </c>
      <c r="Q303" t="n">
        <v>0</v>
      </c>
      <c r="R303" s="2" t="inlineStr"/>
    </row>
    <row r="304" ht="15" customHeight="1">
      <c r="A304" t="inlineStr">
        <is>
          <t>A 30819-2024</t>
        </is>
      </c>
      <c r="B304" s="1" t="n">
        <v>45497</v>
      </c>
      <c r="C304" s="1" t="n">
        <v>45908</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26731-2025</t>
        </is>
      </c>
      <c r="B305" s="1" t="n">
        <v>45810.50702546296</v>
      </c>
      <c r="C305" s="1" t="n">
        <v>45908</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20885-2024</t>
        </is>
      </c>
      <c r="B306" s="1" t="n">
        <v>45439.45527777778</v>
      </c>
      <c r="C306" s="1" t="n">
        <v>45908</v>
      </c>
      <c r="D306" t="inlineStr">
        <is>
          <t>DALARNAS LÄN</t>
        </is>
      </c>
      <c r="E306" t="inlineStr">
        <is>
          <t>MORA</t>
        </is>
      </c>
      <c r="G306" t="n">
        <v>5</v>
      </c>
      <c r="H306" t="n">
        <v>0</v>
      </c>
      <c r="I306" t="n">
        <v>0</v>
      </c>
      <c r="J306" t="n">
        <v>0</v>
      </c>
      <c r="K306" t="n">
        <v>0</v>
      </c>
      <c r="L306" t="n">
        <v>0</v>
      </c>
      <c r="M306" t="n">
        <v>0</v>
      </c>
      <c r="N306" t="n">
        <v>0</v>
      </c>
      <c r="O306" t="n">
        <v>0</v>
      </c>
      <c r="P306" t="n">
        <v>0</v>
      </c>
      <c r="Q306" t="n">
        <v>0</v>
      </c>
      <c r="R306" s="2" t="inlineStr"/>
    </row>
    <row r="307" ht="15" customHeight="1">
      <c r="A307" t="inlineStr">
        <is>
          <t>A 56425-2024</t>
        </is>
      </c>
      <c r="B307" s="1" t="n">
        <v>45625.38677083333</v>
      </c>
      <c r="C307" s="1" t="n">
        <v>45908</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46414-2024</t>
        </is>
      </c>
      <c r="B308" s="1" t="n">
        <v>45582.45226851852</v>
      </c>
      <c r="C308" s="1" t="n">
        <v>45908</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46417-2024</t>
        </is>
      </c>
      <c r="B309" s="1" t="n">
        <v>45582.45449074074</v>
      </c>
      <c r="C309" s="1" t="n">
        <v>45908</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26711-2025</t>
        </is>
      </c>
      <c r="B310" s="1" t="n">
        <v>45810.46144675926</v>
      </c>
      <c r="C310" s="1" t="n">
        <v>45908</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24465-2021</t>
        </is>
      </c>
      <c r="B311" s="1" t="n">
        <v>44337</v>
      </c>
      <c r="C311" s="1" t="n">
        <v>45908</v>
      </c>
      <c r="D311" t="inlineStr">
        <is>
          <t>DALARNAS LÄN</t>
        </is>
      </c>
      <c r="E311" t="inlineStr">
        <is>
          <t>MORA</t>
        </is>
      </c>
      <c r="G311" t="n">
        <v>2.6</v>
      </c>
      <c r="H311" t="n">
        <v>0</v>
      </c>
      <c r="I311" t="n">
        <v>0</v>
      </c>
      <c r="J311" t="n">
        <v>0</v>
      </c>
      <c r="K311" t="n">
        <v>0</v>
      </c>
      <c r="L311" t="n">
        <v>0</v>
      </c>
      <c r="M311" t="n">
        <v>0</v>
      </c>
      <c r="N311" t="n">
        <v>0</v>
      </c>
      <c r="O311" t="n">
        <v>0</v>
      </c>
      <c r="P311" t="n">
        <v>0</v>
      </c>
      <c r="Q311" t="n">
        <v>0</v>
      </c>
      <c r="R311" s="2" t="inlineStr"/>
    </row>
    <row r="312" ht="15" customHeight="1">
      <c r="A312" t="inlineStr">
        <is>
          <t>A 61270-2024</t>
        </is>
      </c>
      <c r="B312" s="1" t="n">
        <v>45645.74694444444</v>
      </c>
      <c r="C312" s="1" t="n">
        <v>45908</v>
      </c>
      <c r="D312" t="inlineStr">
        <is>
          <t>DALARNAS LÄN</t>
        </is>
      </c>
      <c r="E312" t="inlineStr">
        <is>
          <t>MORA</t>
        </is>
      </c>
      <c r="G312" t="n">
        <v>5.1</v>
      </c>
      <c r="H312" t="n">
        <v>0</v>
      </c>
      <c r="I312" t="n">
        <v>0</v>
      </c>
      <c r="J312" t="n">
        <v>0</v>
      </c>
      <c r="K312" t="n">
        <v>0</v>
      </c>
      <c r="L312" t="n">
        <v>0</v>
      </c>
      <c r="M312" t="n">
        <v>0</v>
      </c>
      <c r="N312" t="n">
        <v>0</v>
      </c>
      <c r="O312" t="n">
        <v>0</v>
      </c>
      <c r="P312" t="n">
        <v>0</v>
      </c>
      <c r="Q312" t="n">
        <v>0</v>
      </c>
      <c r="R312" s="2" t="inlineStr"/>
    </row>
    <row r="313" ht="15" customHeight="1">
      <c r="A313" t="inlineStr">
        <is>
          <t>A 7565-2025</t>
        </is>
      </c>
      <c r="B313" s="1" t="n">
        <v>45705.59269675926</v>
      </c>
      <c r="C313" s="1" t="n">
        <v>45908</v>
      </c>
      <c r="D313" t="inlineStr">
        <is>
          <t>DALARNAS LÄN</t>
        </is>
      </c>
      <c r="E313" t="inlineStr">
        <is>
          <t>MORA</t>
        </is>
      </c>
      <c r="G313" t="n">
        <v>3</v>
      </c>
      <c r="H313" t="n">
        <v>0</v>
      </c>
      <c r="I313" t="n">
        <v>0</v>
      </c>
      <c r="J313" t="n">
        <v>0</v>
      </c>
      <c r="K313" t="n">
        <v>0</v>
      </c>
      <c r="L313" t="n">
        <v>0</v>
      </c>
      <c r="M313" t="n">
        <v>0</v>
      </c>
      <c r="N313" t="n">
        <v>0</v>
      </c>
      <c r="O313" t="n">
        <v>0</v>
      </c>
      <c r="P313" t="n">
        <v>0</v>
      </c>
      <c r="Q313" t="n">
        <v>0</v>
      </c>
      <c r="R313" s="2" t="inlineStr"/>
    </row>
    <row r="314" ht="15" customHeight="1">
      <c r="A314" t="inlineStr">
        <is>
          <t>A 26854-2025</t>
        </is>
      </c>
      <c r="B314" s="1" t="n">
        <v>45810.67462962963</v>
      </c>
      <c r="C314" s="1" t="n">
        <v>45908</v>
      </c>
      <c r="D314" t="inlineStr">
        <is>
          <t>DALARNAS LÄN</t>
        </is>
      </c>
      <c r="E314" t="inlineStr">
        <is>
          <t>MORA</t>
        </is>
      </c>
      <c r="G314" t="n">
        <v>4.4</v>
      </c>
      <c r="H314" t="n">
        <v>0</v>
      </c>
      <c r="I314" t="n">
        <v>0</v>
      </c>
      <c r="J314" t="n">
        <v>0</v>
      </c>
      <c r="K314" t="n">
        <v>0</v>
      </c>
      <c r="L314" t="n">
        <v>0</v>
      </c>
      <c r="M314" t="n">
        <v>0</v>
      </c>
      <c r="N314" t="n">
        <v>0</v>
      </c>
      <c r="O314" t="n">
        <v>0</v>
      </c>
      <c r="P314" t="n">
        <v>0</v>
      </c>
      <c r="Q314" t="n">
        <v>0</v>
      </c>
      <c r="R314" s="2" t="inlineStr"/>
    </row>
    <row r="315" ht="15" customHeight="1">
      <c r="A315" t="inlineStr">
        <is>
          <t>A 5491-2023</t>
        </is>
      </c>
      <c r="B315" s="1" t="n">
        <v>44957</v>
      </c>
      <c r="C315" s="1" t="n">
        <v>45908</v>
      </c>
      <c r="D315" t="inlineStr">
        <is>
          <t>DALARNAS LÄN</t>
        </is>
      </c>
      <c r="E315" t="inlineStr">
        <is>
          <t>MORA</t>
        </is>
      </c>
      <c r="G315" t="n">
        <v>3.5</v>
      </c>
      <c r="H315" t="n">
        <v>0</v>
      </c>
      <c r="I315" t="n">
        <v>0</v>
      </c>
      <c r="J315" t="n">
        <v>0</v>
      </c>
      <c r="K315" t="n">
        <v>0</v>
      </c>
      <c r="L315" t="n">
        <v>0</v>
      </c>
      <c r="M315" t="n">
        <v>0</v>
      </c>
      <c r="N315" t="n">
        <v>0</v>
      </c>
      <c r="O315" t="n">
        <v>0</v>
      </c>
      <c r="P315" t="n">
        <v>0</v>
      </c>
      <c r="Q315" t="n">
        <v>0</v>
      </c>
      <c r="R315" s="2" t="inlineStr"/>
    </row>
    <row r="316" ht="15" customHeight="1">
      <c r="A316" t="inlineStr">
        <is>
          <t>A 5493-2023</t>
        </is>
      </c>
      <c r="B316" s="1" t="n">
        <v>44957</v>
      </c>
      <c r="C316" s="1" t="n">
        <v>45908</v>
      </c>
      <c r="D316" t="inlineStr">
        <is>
          <t>DALARNAS LÄN</t>
        </is>
      </c>
      <c r="E316" t="inlineStr">
        <is>
          <t>MORA</t>
        </is>
      </c>
      <c r="F316" t="inlineStr">
        <is>
          <t>Allmännings- och besparingsskogar</t>
        </is>
      </c>
      <c r="G316" t="n">
        <v>14.9</v>
      </c>
      <c r="H316" t="n">
        <v>0</v>
      </c>
      <c r="I316" t="n">
        <v>0</v>
      </c>
      <c r="J316" t="n">
        <v>0</v>
      </c>
      <c r="K316" t="n">
        <v>0</v>
      </c>
      <c r="L316" t="n">
        <v>0</v>
      </c>
      <c r="M316" t="n">
        <v>0</v>
      </c>
      <c r="N316" t="n">
        <v>0</v>
      </c>
      <c r="O316" t="n">
        <v>0</v>
      </c>
      <c r="P316" t="n">
        <v>0</v>
      </c>
      <c r="Q316" t="n">
        <v>0</v>
      </c>
      <c r="R316" s="2" t="inlineStr"/>
    </row>
    <row r="317" ht="15" customHeight="1">
      <c r="A317" t="inlineStr">
        <is>
          <t>A 26647-2025</t>
        </is>
      </c>
      <c r="B317" s="1" t="n">
        <v>45810.38439814815</v>
      </c>
      <c r="C317" s="1" t="n">
        <v>45908</v>
      </c>
      <c r="D317" t="inlineStr">
        <is>
          <t>DALARNAS LÄN</t>
        </is>
      </c>
      <c r="E317" t="inlineStr">
        <is>
          <t>MORA</t>
        </is>
      </c>
      <c r="G317" t="n">
        <v>7.9</v>
      </c>
      <c r="H317" t="n">
        <v>0</v>
      </c>
      <c r="I317" t="n">
        <v>0</v>
      </c>
      <c r="J317" t="n">
        <v>0</v>
      </c>
      <c r="K317" t="n">
        <v>0</v>
      </c>
      <c r="L317" t="n">
        <v>0</v>
      </c>
      <c r="M317" t="n">
        <v>0</v>
      </c>
      <c r="N317" t="n">
        <v>0</v>
      </c>
      <c r="O317" t="n">
        <v>0</v>
      </c>
      <c r="P317" t="n">
        <v>0</v>
      </c>
      <c r="Q317" t="n">
        <v>0</v>
      </c>
      <c r="R317" s="2" t="inlineStr"/>
    </row>
    <row r="318" ht="15" customHeight="1">
      <c r="A318" t="inlineStr">
        <is>
          <t>A 48825-2023</t>
        </is>
      </c>
      <c r="B318" s="1" t="n">
        <v>45203</v>
      </c>
      <c r="C318" s="1" t="n">
        <v>45908</v>
      </c>
      <c r="D318" t="inlineStr">
        <is>
          <t>DALARNAS LÄN</t>
        </is>
      </c>
      <c r="E318" t="inlineStr">
        <is>
          <t>MORA</t>
        </is>
      </c>
      <c r="G318" t="n">
        <v>7.9</v>
      </c>
      <c r="H318" t="n">
        <v>0</v>
      </c>
      <c r="I318" t="n">
        <v>0</v>
      </c>
      <c r="J318" t="n">
        <v>0</v>
      </c>
      <c r="K318" t="n">
        <v>0</v>
      </c>
      <c r="L318" t="n">
        <v>0</v>
      </c>
      <c r="M318" t="n">
        <v>0</v>
      </c>
      <c r="N318" t="n">
        <v>0</v>
      </c>
      <c r="O318" t="n">
        <v>0</v>
      </c>
      <c r="P318" t="n">
        <v>0</v>
      </c>
      <c r="Q318" t="n">
        <v>0</v>
      </c>
      <c r="R318" s="2" t="inlineStr"/>
    </row>
    <row r="319" ht="15" customHeight="1">
      <c r="A319" t="inlineStr">
        <is>
          <t>A 20930-2024</t>
        </is>
      </c>
      <c r="B319" s="1" t="n">
        <v>45439.51907407407</v>
      </c>
      <c r="C319" s="1" t="n">
        <v>45908</v>
      </c>
      <c r="D319" t="inlineStr">
        <is>
          <t>DALARNAS LÄN</t>
        </is>
      </c>
      <c r="E319" t="inlineStr">
        <is>
          <t>MORA</t>
        </is>
      </c>
      <c r="F319" t="inlineStr">
        <is>
          <t>Bergvik skog väst AB</t>
        </is>
      </c>
      <c r="G319" t="n">
        <v>5.3</v>
      </c>
      <c r="H319" t="n">
        <v>0</v>
      </c>
      <c r="I319" t="n">
        <v>0</v>
      </c>
      <c r="J319" t="n">
        <v>0</v>
      </c>
      <c r="K319" t="n">
        <v>0</v>
      </c>
      <c r="L319" t="n">
        <v>0</v>
      </c>
      <c r="M319" t="n">
        <v>0</v>
      </c>
      <c r="N319" t="n">
        <v>0</v>
      </c>
      <c r="O319" t="n">
        <v>0</v>
      </c>
      <c r="P319" t="n">
        <v>0</v>
      </c>
      <c r="Q319" t="n">
        <v>0</v>
      </c>
      <c r="R319" s="2" t="inlineStr"/>
    </row>
    <row r="320" ht="15" customHeight="1">
      <c r="A320" t="inlineStr">
        <is>
          <t>A 42611-2022</t>
        </is>
      </c>
      <c r="B320" s="1" t="n">
        <v>44831.81482638889</v>
      </c>
      <c r="C320" s="1" t="n">
        <v>45908</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16174-2025</t>
        </is>
      </c>
      <c r="B321" s="1" t="n">
        <v>45750</v>
      </c>
      <c r="C321" s="1" t="n">
        <v>45908</v>
      </c>
      <c r="D321" t="inlineStr">
        <is>
          <t>DALARNAS LÄN</t>
        </is>
      </c>
      <c r="E321" t="inlineStr">
        <is>
          <t>MORA</t>
        </is>
      </c>
      <c r="G321" t="n">
        <v>0.9</v>
      </c>
      <c r="H321" t="n">
        <v>0</v>
      </c>
      <c r="I321" t="n">
        <v>0</v>
      </c>
      <c r="J321" t="n">
        <v>0</v>
      </c>
      <c r="K321" t="n">
        <v>0</v>
      </c>
      <c r="L321" t="n">
        <v>0</v>
      </c>
      <c r="M321" t="n">
        <v>0</v>
      </c>
      <c r="N321" t="n">
        <v>0</v>
      </c>
      <c r="O321" t="n">
        <v>0</v>
      </c>
      <c r="P321" t="n">
        <v>0</v>
      </c>
      <c r="Q321" t="n">
        <v>0</v>
      </c>
      <c r="R321" s="2" t="inlineStr"/>
    </row>
    <row r="322" ht="15" customHeight="1">
      <c r="A322" t="inlineStr">
        <is>
          <t>A 29193-2023</t>
        </is>
      </c>
      <c r="B322" s="1" t="n">
        <v>45105.54791666667</v>
      </c>
      <c r="C322" s="1" t="n">
        <v>45908</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18444-2024</t>
        </is>
      </c>
      <c r="B323" s="1" t="n">
        <v>45425.45568287037</v>
      </c>
      <c r="C323" s="1" t="n">
        <v>45908</v>
      </c>
      <c r="D323" t="inlineStr">
        <is>
          <t>DALARNAS LÄN</t>
        </is>
      </c>
      <c r="E323" t="inlineStr">
        <is>
          <t>MORA</t>
        </is>
      </c>
      <c r="G323" t="n">
        <v>5</v>
      </c>
      <c r="H323" t="n">
        <v>0</v>
      </c>
      <c r="I323" t="n">
        <v>0</v>
      </c>
      <c r="J323" t="n">
        <v>0</v>
      </c>
      <c r="K323" t="n">
        <v>0</v>
      </c>
      <c r="L323" t="n">
        <v>0</v>
      </c>
      <c r="M323" t="n">
        <v>0</v>
      </c>
      <c r="N323" t="n">
        <v>0</v>
      </c>
      <c r="O323" t="n">
        <v>0</v>
      </c>
      <c r="P323" t="n">
        <v>0</v>
      </c>
      <c r="Q323" t="n">
        <v>0</v>
      </c>
      <c r="R323" s="2" t="inlineStr"/>
    </row>
    <row r="324" ht="15" customHeight="1">
      <c r="A324" t="inlineStr">
        <is>
          <t>A 47784-2024</t>
        </is>
      </c>
      <c r="B324" s="1" t="n">
        <v>45588.59290509259</v>
      </c>
      <c r="C324" s="1" t="n">
        <v>45908</v>
      </c>
      <c r="D324" t="inlineStr">
        <is>
          <t>DALARNAS LÄN</t>
        </is>
      </c>
      <c r="E324" t="inlineStr">
        <is>
          <t>MORA</t>
        </is>
      </c>
      <c r="G324" t="n">
        <v>15.3</v>
      </c>
      <c r="H324" t="n">
        <v>0</v>
      </c>
      <c r="I324" t="n">
        <v>0</v>
      </c>
      <c r="J324" t="n">
        <v>0</v>
      </c>
      <c r="K324" t="n">
        <v>0</v>
      </c>
      <c r="L324" t="n">
        <v>0</v>
      </c>
      <c r="M324" t="n">
        <v>0</v>
      </c>
      <c r="N324" t="n">
        <v>0</v>
      </c>
      <c r="O324" t="n">
        <v>0</v>
      </c>
      <c r="P324" t="n">
        <v>0</v>
      </c>
      <c r="Q324" t="n">
        <v>0</v>
      </c>
      <c r="R324" s="2" t="inlineStr"/>
    </row>
    <row r="325" ht="15" customHeight="1">
      <c r="A325" t="inlineStr">
        <is>
          <t>A 17865-2025</t>
        </is>
      </c>
      <c r="B325" s="1" t="n">
        <v>45758.62951388889</v>
      </c>
      <c r="C325" s="1" t="n">
        <v>45908</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33676-2023</t>
        </is>
      </c>
      <c r="B326" s="1" t="n">
        <v>45132.6291550926</v>
      </c>
      <c r="C326" s="1" t="n">
        <v>45908</v>
      </c>
      <c r="D326" t="inlineStr">
        <is>
          <t>DALARNAS LÄN</t>
        </is>
      </c>
      <c r="E326" t="inlineStr">
        <is>
          <t>MORA</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26630-2025</t>
        </is>
      </c>
      <c r="B327" s="1" t="n">
        <v>45809</v>
      </c>
      <c r="C327" s="1" t="n">
        <v>45908</v>
      </c>
      <c r="D327" t="inlineStr">
        <is>
          <t>DALARNAS LÄN</t>
        </is>
      </c>
      <c r="E327" t="inlineStr">
        <is>
          <t>MORA</t>
        </is>
      </c>
      <c r="G327" t="n">
        <v>32.1</v>
      </c>
      <c r="H327" t="n">
        <v>0</v>
      </c>
      <c r="I327" t="n">
        <v>0</v>
      </c>
      <c r="J327" t="n">
        <v>0</v>
      </c>
      <c r="K327" t="n">
        <v>0</v>
      </c>
      <c r="L327" t="n">
        <v>0</v>
      </c>
      <c r="M327" t="n">
        <v>0</v>
      </c>
      <c r="N327" t="n">
        <v>0</v>
      </c>
      <c r="O327" t="n">
        <v>0</v>
      </c>
      <c r="P327" t="n">
        <v>0</v>
      </c>
      <c r="Q327" t="n">
        <v>0</v>
      </c>
      <c r="R327" s="2" t="inlineStr"/>
    </row>
    <row r="328" ht="15" customHeight="1">
      <c r="A328" t="inlineStr">
        <is>
          <t>A 61188-2024</t>
        </is>
      </c>
      <c r="B328" s="1" t="n">
        <v>45645.62282407407</v>
      </c>
      <c r="C328" s="1" t="n">
        <v>45908</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27194-2025</t>
        </is>
      </c>
      <c r="B329" s="1" t="n">
        <v>45812.37965277778</v>
      </c>
      <c r="C329" s="1" t="n">
        <v>45908</v>
      </c>
      <c r="D329" t="inlineStr">
        <is>
          <t>DALARNAS LÄN</t>
        </is>
      </c>
      <c r="E329" t="inlineStr">
        <is>
          <t>MORA</t>
        </is>
      </c>
      <c r="G329" t="n">
        <v>2.4</v>
      </c>
      <c r="H329" t="n">
        <v>0</v>
      </c>
      <c r="I329" t="n">
        <v>0</v>
      </c>
      <c r="J329" t="n">
        <v>0</v>
      </c>
      <c r="K329" t="n">
        <v>0</v>
      </c>
      <c r="L329" t="n">
        <v>0</v>
      </c>
      <c r="M329" t="n">
        <v>0</v>
      </c>
      <c r="N329" t="n">
        <v>0</v>
      </c>
      <c r="O329" t="n">
        <v>0</v>
      </c>
      <c r="P329" t="n">
        <v>0</v>
      </c>
      <c r="Q329" t="n">
        <v>0</v>
      </c>
      <c r="R329" s="2" t="inlineStr"/>
    </row>
    <row r="330" ht="15" customHeight="1">
      <c r="A330" t="inlineStr">
        <is>
          <t>A 37710-2023</t>
        </is>
      </c>
      <c r="B330" s="1" t="n">
        <v>45159.59186342593</v>
      </c>
      <c r="C330" s="1" t="n">
        <v>45908</v>
      </c>
      <c r="D330" t="inlineStr">
        <is>
          <t>DALARNAS LÄN</t>
        </is>
      </c>
      <c r="E330" t="inlineStr">
        <is>
          <t>MORA</t>
        </is>
      </c>
      <c r="G330" t="n">
        <v>1.9</v>
      </c>
      <c r="H330" t="n">
        <v>0</v>
      </c>
      <c r="I330" t="n">
        <v>0</v>
      </c>
      <c r="J330" t="n">
        <v>0</v>
      </c>
      <c r="K330" t="n">
        <v>0</v>
      </c>
      <c r="L330" t="n">
        <v>0</v>
      </c>
      <c r="M330" t="n">
        <v>0</v>
      </c>
      <c r="N330" t="n">
        <v>0</v>
      </c>
      <c r="O330" t="n">
        <v>0</v>
      </c>
      <c r="P330" t="n">
        <v>0</v>
      </c>
      <c r="Q330" t="n">
        <v>0</v>
      </c>
      <c r="R330" s="2" t="inlineStr"/>
    </row>
    <row r="331" ht="15" customHeight="1">
      <c r="A331" t="inlineStr">
        <is>
          <t>A 35551-2023</t>
        </is>
      </c>
      <c r="B331" s="1" t="n">
        <v>45147.3934837963</v>
      </c>
      <c r="C331" s="1" t="n">
        <v>45908</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59174-2023</t>
        </is>
      </c>
      <c r="B332" s="1" t="n">
        <v>45253.43202546296</v>
      </c>
      <c r="C332" s="1" t="n">
        <v>45908</v>
      </c>
      <c r="D332" t="inlineStr">
        <is>
          <t>DALARNAS LÄN</t>
        </is>
      </c>
      <c r="E332" t="inlineStr">
        <is>
          <t>MORA</t>
        </is>
      </c>
      <c r="G332" t="n">
        <v>2.5</v>
      </c>
      <c r="H332" t="n">
        <v>0</v>
      </c>
      <c r="I332" t="n">
        <v>0</v>
      </c>
      <c r="J332" t="n">
        <v>0</v>
      </c>
      <c r="K332" t="n">
        <v>0</v>
      </c>
      <c r="L332" t="n">
        <v>0</v>
      </c>
      <c r="M332" t="n">
        <v>0</v>
      </c>
      <c r="N332" t="n">
        <v>0</v>
      </c>
      <c r="O332" t="n">
        <v>0</v>
      </c>
      <c r="P332" t="n">
        <v>0</v>
      </c>
      <c r="Q332" t="n">
        <v>0</v>
      </c>
      <c r="R332" s="2" t="inlineStr"/>
    </row>
    <row r="333" ht="15" customHeight="1">
      <c r="A333" t="inlineStr">
        <is>
          <t>A 17268-2025</t>
        </is>
      </c>
      <c r="B333" s="1" t="n">
        <v>45756</v>
      </c>
      <c r="C333" s="1" t="n">
        <v>45908</v>
      </c>
      <c r="D333" t="inlineStr">
        <is>
          <t>DALARNAS LÄN</t>
        </is>
      </c>
      <c r="E333" t="inlineStr">
        <is>
          <t>MORA</t>
        </is>
      </c>
      <c r="G333" t="n">
        <v>6.8</v>
      </c>
      <c r="H333" t="n">
        <v>0</v>
      </c>
      <c r="I333" t="n">
        <v>0</v>
      </c>
      <c r="J333" t="n">
        <v>0</v>
      </c>
      <c r="K333" t="n">
        <v>0</v>
      </c>
      <c r="L333" t="n">
        <v>0</v>
      </c>
      <c r="M333" t="n">
        <v>0</v>
      </c>
      <c r="N333" t="n">
        <v>0</v>
      </c>
      <c r="O333" t="n">
        <v>0</v>
      </c>
      <c r="P333" t="n">
        <v>0</v>
      </c>
      <c r="Q333" t="n">
        <v>0</v>
      </c>
      <c r="R333" s="2" t="inlineStr"/>
    </row>
    <row r="334" ht="15" customHeight="1">
      <c r="A334" t="inlineStr">
        <is>
          <t>A 27642-2025</t>
        </is>
      </c>
      <c r="B334" s="1" t="n">
        <v>45813.59405092592</v>
      </c>
      <c r="C334" s="1" t="n">
        <v>45908</v>
      </c>
      <c r="D334" t="inlineStr">
        <is>
          <t>DALARNAS LÄN</t>
        </is>
      </c>
      <c r="E334" t="inlineStr">
        <is>
          <t>MORA</t>
        </is>
      </c>
      <c r="G334" t="n">
        <v>2.5</v>
      </c>
      <c r="H334" t="n">
        <v>0</v>
      </c>
      <c r="I334" t="n">
        <v>0</v>
      </c>
      <c r="J334" t="n">
        <v>0</v>
      </c>
      <c r="K334" t="n">
        <v>0</v>
      </c>
      <c r="L334" t="n">
        <v>0</v>
      </c>
      <c r="M334" t="n">
        <v>0</v>
      </c>
      <c r="N334" t="n">
        <v>0</v>
      </c>
      <c r="O334" t="n">
        <v>0</v>
      </c>
      <c r="P334" t="n">
        <v>0</v>
      </c>
      <c r="Q334" t="n">
        <v>0</v>
      </c>
      <c r="R334" s="2" t="inlineStr"/>
    </row>
    <row r="335" ht="15" customHeight="1">
      <c r="A335" t="inlineStr">
        <is>
          <t>A 27184-2025</t>
        </is>
      </c>
      <c r="B335" s="1" t="n">
        <v>45812.36133101852</v>
      </c>
      <c r="C335" s="1" t="n">
        <v>45908</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45355-2024</t>
        </is>
      </c>
      <c r="B336" s="1" t="n">
        <v>45576</v>
      </c>
      <c r="C336" s="1" t="n">
        <v>45908</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37695-2024</t>
        </is>
      </c>
      <c r="B337" s="1" t="n">
        <v>45541.61094907407</v>
      </c>
      <c r="C337" s="1" t="n">
        <v>45908</v>
      </c>
      <c r="D337" t="inlineStr">
        <is>
          <t>DALARNAS LÄN</t>
        </is>
      </c>
      <c r="E337" t="inlineStr">
        <is>
          <t>MORA</t>
        </is>
      </c>
      <c r="G337" t="n">
        <v>19.7</v>
      </c>
      <c r="H337" t="n">
        <v>0</v>
      </c>
      <c r="I337" t="n">
        <v>0</v>
      </c>
      <c r="J337" t="n">
        <v>0</v>
      </c>
      <c r="K337" t="n">
        <v>0</v>
      </c>
      <c r="L337" t="n">
        <v>0</v>
      </c>
      <c r="M337" t="n">
        <v>0</v>
      </c>
      <c r="N337" t="n">
        <v>0</v>
      </c>
      <c r="O337" t="n">
        <v>0</v>
      </c>
      <c r="P337" t="n">
        <v>0</v>
      </c>
      <c r="Q337" t="n">
        <v>0</v>
      </c>
      <c r="R337" s="2" t="inlineStr"/>
    </row>
    <row r="338" ht="15" customHeight="1">
      <c r="A338" t="inlineStr">
        <is>
          <t>A 55331-2022</t>
        </is>
      </c>
      <c r="B338" s="1" t="n">
        <v>44887.43714120371</v>
      </c>
      <c r="C338" s="1" t="n">
        <v>45908</v>
      </c>
      <c r="D338" t="inlineStr">
        <is>
          <t>DALARNAS LÄN</t>
        </is>
      </c>
      <c r="E338" t="inlineStr">
        <is>
          <t>MORA</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27177-2025</t>
        </is>
      </c>
      <c r="B339" s="1" t="n">
        <v>45812.3533912037</v>
      </c>
      <c r="C339" s="1" t="n">
        <v>45908</v>
      </c>
      <c r="D339" t="inlineStr">
        <is>
          <t>DALARNAS LÄN</t>
        </is>
      </c>
      <c r="E339" t="inlineStr">
        <is>
          <t>MORA</t>
        </is>
      </c>
      <c r="F339" t="inlineStr">
        <is>
          <t>Bergvik skog öst AB</t>
        </is>
      </c>
      <c r="G339" t="n">
        <v>2.5</v>
      </c>
      <c r="H339" t="n">
        <v>0</v>
      </c>
      <c r="I339" t="n">
        <v>0</v>
      </c>
      <c r="J339" t="n">
        <v>0</v>
      </c>
      <c r="K339" t="n">
        <v>0</v>
      </c>
      <c r="L339" t="n">
        <v>0</v>
      </c>
      <c r="M339" t="n">
        <v>0</v>
      </c>
      <c r="N339" t="n">
        <v>0</v>
      </c>
      <c r="O339" t="n">
        <v>0</v>
      </c>
      <c r="P339" t="n">
        <v>0</v>
      </c>
      <c r="Q339" t="n">
        <v>0</v>
      </c>
      <c r="R339" s="2" t="inlineStr"/>
    </row>
    <row r="340" ht="15" customHeight="1">
      <c r="A340" t="inlineStr">
        <is>
          <t>A 14611-2025</t>
        </is>
      </c>
      <c r="B340" s="1" t="n">
        <v>45742.38511574074</v>
      </c>
      <c r="C340" s="1" t="n">
        <v>45908</v>
      </c>
      <c r="D340" t="inlineStr">
        <is>
          <t>DALARNAS LÄN</t>
        </is>
      </c>
      <c r="E340" t="inlineStr">
        <is>
          <t>MORA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42085-2024</t>
        </is>
      </c>
      <c r="B341" s="1" t="n">
        <v>45562.33179398148</v>
      </c>
      <c r="C341" s="1" t="n">
        <v>45908</v>
      </c>
      <c r="D341" t="inlineStr">
        <is>
          <t>DALARNAS LÄN</t>
        </is>
      </c>
      <c r="E341" t="inlineStr">
        <is>
          <t>MORA</t>
        </is>
      </c>
      <c r="G341" t="n">
        <v>4.9</v>
      </c>
      <c r="H341" t="n">
        <v>0</v>
      </c>
      <c r="I341" t="n">
        <v>0</v>
      </c>
      <c r="J341" t="n">
        <v>0</v>
      </c>
      <c r="K341" t="n">
        <v>0</v>
      </c>
      <c r="L341" t="n">
        <v>0</v>
      </c>
      <c r="M341" t="n">
        <v>0</v>
      </c>
      <c r="N341" t="n">
        <v>0</v>
      </c>
      <c r="O341" t="n">
        <v>0</v>
      </c>
      <c r="P341" t="n">
        <v>0</v>
      </c>
      <c r="Q341" t="n">
        <v>0</v>
      </c>
      <c r="R341" s="2" t="inlineStr"/>
    </row>
    <row r="342" ht="15" customHeight="1">
      <c r="A342" t="inlineStr">
        <is>
          <t>A 27175-2025</t>
        </is>
      </c>
      <c r="B342" s="1" t="n">
        <v>45812.35072916667</v>
      </c>
      <c r="C342" s="1" t="n">
        <v>45908</v>
      </c>
      <c r="D342" t="inlineStr">
        <is>
          <t>DALARNAS LÄN</t>
        </is>
      </c>
      <c r="E342" t="inlineStr">
        <is>
          <t>MORA</t>
        </is>
      </c>
      <c r="F342" t="inlineStr">
        <is>
          <t>Bergvik skog öst AB</t>
        </is>
      </c>
      <c r="G342" t="n">
        <v>4</v>
      </c>
      <c r="H342" t="n">
        <v>0</v>
      </c>
      <c r="I342" t="n">
        <v>0</v>
      </c>
      <c r="J342" t="n">
        <v>0</v>
      </c>
      <c r="K342" t="n">
        <v>0</v>
      </c>
      <c r="L342" t="n">
        <v>0</v>
      </c>
      <c r="M342" t="n">
        <v>0</v>
      </c>
      <c r="N342" t="n">
        <v>0</v>
      </c>
      <c r="O342" t="n">
        <v>0</v>
      </c>
      <c r="P342" t="n">
        <v>0</v>
      </c>
      <c r="Q342" t="n">
        <v>0</v>
      </c>
      <c r="R342" s="2" t="inlineStr"/>
    </row>
    <row r="343" ht="15" customHeight="1">
      <c r="A343" t="inlineStr">
        <is>
          <t>A 28934-2023</t>
        </is>
      </c>
      <c r="B343" s="1" t="n">
        <v>45104</v>
      </c>
      <c r="C343" s="1" t="n">
        <v>45908</v>
      </c>
      <c r="D343" t="inlineStr">
        <is>
          <t>DALARNAS LÄN</t>
        </is>
      </c>
      <c r="E343" t="inlineStr">
        <is>
          <t>MORA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60187-2024</t>
        </is>
      </c>
      <c r="B344" s="1" t="n">
        <v>45642.64803240741</v>
      </c>
      <c r="C344" s="1" t="n">
        <v>45908</v>
      </c>
      <c r="D344" t="inlineStr">
        <is>
          <t>DALARNAS LÄN</t>
        </is>
      </c>
      <c r="E344" t="inlineStr">
        <is>
          <t>MORA</t>
        </is>
      </c>
      <c r="F344" t="inlineStr">
        <is>
          <t>Allmännings- och besparingsskogar</t>
        </is>
      </c>
      <c r="G344" t="n">
        <v>24.6</v>
      </c>
      <c r="H344" t="n">
        <v>0</v>
      </c>
      <c r="I344" t="n">
        <v>0</v>
      </c>
      <c r="J344" t="n">
        <v>0</v>
      </c>
      <c r="K344" t="n">
        <v>0</v>
      </c>
      <c r="L344" t="n">
        <v>0</v>
      </c>
      <c r="M344" t="n">
        <v>0</v>
      </c>
      <c r="N344" t="n">
        <v>0</v>
      </c>
      <c r="O344" t="n">
        <v>0</v>
      </c>
      <c r="P344" t="n">
        <v>0</v>
      </c>
      <c r="Q344" t="n">
        <v>0</v>
      </c>
      <c r="R344" s="2" t="inlineStr"/>
    </row>
    <row r="345" ht="15" customHeight="1">
      <c r="A345" t="inlineStr">
        <is>
          <t>A 28033-2025</t>
        </is>
      </c>
      <c r="B345" s="1" t="n">
        <v>45817.6325462963</v>
      </c>
      <c r="C345" s="1" t="n">
        <v>45908</v>
      </c>
      <c r="D345" t="inlineStr">
        <is>
          <t>DALARNAS LÄN</t>
        </is>
      </c>
      <c r="E345" t="inlineStr">
        <is>
          <t>MORA</t>
        </is>
      </c>
      <c r="F345" t="inlineStr">
        <is>
          <t>Bergvik skog öst AB</t>
        </is>
      </c>
      <c r="G345" t="n">
        <v>12.8</v>
      </c>
      <c r="H345" t="n">
        <v>0</v>
      </c>
      <c r="I345" t="n">
        <v>0</v>
      </c>
      <c r="J345" t="n">
        <v>0</v>
      </c>
      <c r="K345" t="n">
        <v>0</v>
      </c>
      <c r="L345" t="n">
        <v>0</v>
      </c>
      <c r="M345" t="n">
        <v>0</v>
      </c>
      <c r="N345" t="n">
        <v>0</v>
      </c>
      <c r="O345" t="n">
        <v>0</v>
      </c>
      <c r="P345" t="n">
        <v>0</v>
      </c>
      <c r="Q345" t="n">
        <v>0</v>
      </c>
      <c r="R345" s="2" t="inlineStr"/>
    </row>
    <row r="346" ht="15" customHeight="1">
      <c r="A346" t="inlineStr">
        <is>
          <t>A 15416-2023</t>
        </is>
      </c>
      <c r="B346" s="1" t="n">
        <v>45019.71342592593</v>
      </c>
      <c r="C346" s="1" t="n">
        <v>45908</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61222-2023</t>
        </is>
      </c>
      <c r="B347" s="1" t="n">
        <v>45264</v>
      </c>
      <c r="C347" s="1" t="n">
        <v>45908</v>
      </c>
      <c r="D347" t="inlineStr">
        <is>
          <t>DALARNAS LÄN</t>
        </is>
      </c>
      <c r="E347" t="inlineStr">
        <is>
          <t>MORA</t>
        </is>
      </c>
      <c r="F347" t="inlineStr">
        <is>
          <t>Allmännings- och besparingsskogar</t>
        </is>
      </c>
      <c r="G347" t="n">
        <v>1.1</v>
      </c>
      <c r="H347" t="n">
        <v>0</v>
      </c>
      <c r="I347" t="n">
        <v>0</v>
      </c>
      <c r="J347" t="n">
        <v>0</v>
      </c>
      <c r="K347" t="n">
        <v>0</v>
      </c>
      <c r="L347" t="n">
        <v>0</v>
      </c>
      <c r="M347" t="n">
        <v>0</v>
      </c>
      <c r="N347" t="n">
        <v>0</v>
      </c>
      <c r="O347" t="n">
        <v>0</v>
      </c>
      <c r="P347" t="n">
        <v>0</v>
      </c>
      <c r="Q347" t="n">
        <v>0</v>
      </c>
      <c r="R347" s="2" t="inlineStr"/>
    </row>
    <row r="348" ht="15" customHeight="1">
      <c r="A348" t="inlineStr">
        <is>
          <t>A 40949-2023</t>
        </is>
      </c>
      <c r="B348" s="1" t="n">
        <v>45173</v>
      </c>
      <c r="C348" s="1" t="n">
        <v>45908</v>
      </c>
      <c r="D348" t="inlineStr">
        <is>
          <t>DALARNAS LÄN</t>
        </is>
      </c>
      <c r="E348" t="inlineStr">
        <is>
          <t>MORA</t>
        </is>
      </c>
      <c r="F348" t="inlineStr">
        <is>
          <t>Kyrkan</t>
        </is>
      </c>
      <c r="G348" t="n">
        <v>0.5</v>
      </c>
      <c r="H348" t="n">
        <v>0</v>
      </c>
      <c r="I348" t="n">
        <v>0</v>
      </c>
      <c r="J348" t="n">
        <v>0</v>
      </c>
      <c r="K348" t="n">
        <v>0</v>
      </c>
      <c r="L348" t="n">
        <v>0</v>
      </c>
      <c r="M348" t="n">
        <v>0</v>
      </c>
      <c r="N348" t="n">
        <v>0</v>
      </c>
      <c r="O348" t="n">
        <v>0</v>
      </c>
      <c r="P348" t="n">
        <v>0</v>
      </c>
      <c r="Q348" t="n">
        <v>0</v>
      </c>
      <c r="R348" s="2" t="inlineStr"/>
    </row>
    <row r="349" ht="15" customHeight="1">
      <c r="A349" t="inlineStr">
        <is>
          <t>A 5216-2025</t>
        </is>
      </c>
      <c r="B349" s="1" t="n">
        <v>45691.69671296296</v>
      </c>
      <c r="C349" s="1" t="n">
        <v>45908</v>
      </c>
      <c r="D349" t="inlineStr">
        <is>
          <t>DALARNAS LÄN</t>
        </is>
      </c>
      <c r="E349" t="inlineStr">
        <is>
          <t>MORA</t>
        </is>
      </c>
      <c r="G349" t="n">
        <v>2.5</v>
      </c>
      <c r="H349" t="n">
        <v>0</v>
      </c>
      <c r="I349" t="n">
        <v>0</v>
      </c>
      <c r="J349" t="n">
        <v>0</v>
      </c>
      <c r="K349" t="n">
        <v>0</v>
      </c>
      <c r="L349" t="n">
        <v>0</v>
      </c>
      <c r="M349" t="n">
        <v>0</v>
      </c>
      <c r="N349" t="n">
        <v>0</v>
      </c>
      <c r="O349" t="n">
        <v>0</v>
      </c>
      <c r="P349" t="n">
        <v>0</v>
      </c>
      <c r="Q349" t="n">
        <v>0</v>
      </c>
      <c r="R349" s="2" t="inlineStr"/>
    </row>
    <row r="350" ht="15" customHeight="1">
      <c r="A350" t="inlineStr">
        <is>
          <t>A 25345-2025</t>
        </is>
      </c>
      <c r="B350" s="1" t="n">
        <v>45799</v>
      </c>
      <c r="C350" s="1" t="n">
        <v>45908</v>
      </c>
      <c r="D350" t="inlineStr">
        <is>
          <t>DALARNAS LÄN</t>
        </is>
      </c>
      <c r="E350" t="inlineStr">
        <is>
          <t>MORA</t>
        </is>
      </c>
      <c r="G350" t="n">
        <v>3.1</v>
      </c>
      <c r="H350" t="n">
        <v>0</v>
      </c>
      <c r="I350" t="n">
        <v>0</v>
      </c>
      <c r="J350" t="n">
        <v>0</v>
      </c>
      <c r="K350" t="n">
        <v>0</v>
      </c>
      <c r="L350" t="n">
        <v>0</v>
      </c>
      <c r="M350" t="n">
        <v>0</v>
      </c>
      <c r="N350" t="n">
        <v>0</v>
      </c>
      <c r="O350" t="n">
        <v>0</v>
      </c>
      <c r="P350" t="n">
        <v>0</v>
      </c>
      <c r="Q350" t="n">
        <v>0</v>
      </c>
      <c r="R350" s="2" t="inlineStr"/>
    </row>
    <row r="351" ht="15" customHeight="1">
      <c r="A351" t="inlineStr">
        <is>
          <t>A 5769-2025</t>
        </is>
      </c>
      <c r="B351" s="1" t="n">
        <v>45694.59288194445</v>
      </c>
      <c r="C351" s="1" t="n">
        <v>45908</v>
      </c>
      <c r="D351" t="inlineStr">
        <is>
          <t>DALARNAS LÄN</t>
        </is>
      </c>
      <c r="E351" t="inlineStr">
        <is>
          <t>MORA</t>
        </is>
      </c>
      <c r="G351" t="n">
        <v>15.7</v>
      </c>
      <c r="H351" t="n">
        <v>0</v>
      </c>
      <c r="I351" t="n">
        <v>0</v>
      </c>
      <c r="J351" t="n">
        <v>0</v>
      </c>
      <c r="K351" t="n">
        <v>0</v>
      </c>
      <c r="L351" t="n">
        <v>0</v>
      </c>
      <c r="M351" t="n">
        <v>0</v>
      </c>
      <c r="N351" t="n">
        <v>0</v>
      </c>
      <c r="O351" t="n">
        <v>0</v>
      </c>
      <c r="P351" t="n">
        <v>0</v>
      </c>
      <c r="Q351" t="n">
        <v>0</v>
      </c>
      <c r="R351" s="2" t="inlineStr"/>
    </row>
    <row r="352" ht="15" customHeight="1">
      <c r="A352" t="inlineStr">
        <is>
          <t>A 54253-2023</t>
        </is>
      </c>
      <c r="B352" s="1" t="n">
        <v>45232.63217592592</v>
      </c>
      <c r="C352" s="1" t="n">
        <v>45908</v>
      </c>
      <c r="D352" t="inlineStr">
        <is>
          <t>DALARNAS LÄN</t>
        </is>
      </c>
      <c r="E352" t="inlineStr">
        <is>
          <t>MORA</t>
        </is>
      </c>
      <c r="G352" t="n">
        <v>4.5</v>
      </c>
      <c r="H352" t="n">
        <v>0</v>
      </c>
      <c r="I352" t="n">
        <v>0</v>
      </c>
      <c r="J352" t="n">
        <v>0</v>
      </c>
      <c r="K352" t="n">
        <v>0</v>
      </c>
      <c r="L352" t="n">
        <v>0</v>
      </c>
      <c r="M352" t="n">
        <v>0</v>
      </c>
      <c r="N352" t="n">
        <v>0</v>
      </c>
      <c r="O352" t="n">
        <v>0</v>
      </c>
      <c r="P352" t="n">
        <v>0</v>
      </c>
      <c r="Q352" t="n">
        <v>0</v>
      </c>
      <c r="R352" s="2" t="inlineStr"/>
    </row>
    <row r="353" ht="15" customHeight="1">
      <c r="A353" t="inlineStr">
        <is>
          <t>A 57608-2021</t>
        </is>
      </c>
      <c r="B353" s="1" t="n">
        <v>44484</v>
      </c>
      <c r="C353" s="1" t="n">
        <v>45908</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29068-2025</t>
        </is>
      </c>
      <c r="B354" s="1" t="n">
        <v>45821.50900462963</v>
      </c>
      <c r="C354" s="1" t="n">
        <v>45908</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28976-2025</t>
        </is>
      </c>
      <c r="B355" s="1" t="n">
        <v>45821.34855324074</v>
      </c>
      <c r="C355" s="1" t="n">
        <v>45908</v>
      </c>
      <c r="D355" t="inlineStr">
        <is>
          <t>DALARNAS LÄN</t>
        </is>
      </c>
      <c r="E355" t="inlineStr">
        <is>
          <t>MORA</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28925-2025</t>
        </is>
      </c>
      <c r="B356" s="1" t="n">
        <v>45820.67107638889</v>
      </c>
      <c r="C356" s="1" t="n">
        <v>45908</v>
      </c>
      <c r="D356" t="inlineStr">
        <is>
          <t>DALARNAS LÄN</t>
        </is>
      </c>
      <c r="E356" t="inlineStr">
        <is>
          <t>MORA</t>
        </is>
      </c>
      <c r="G356" t="n">
        <v>3.7</v>
      </c>
      <c r="H356" t="n">
        <v>0</v>
      </c>
      <c r="I356" t="n">
        <v>0</v>
      </c>
      <c r="J356" t="n">
        <v>0</v>
      </c>
      <c r="K356" t="n">
        <v>0</v>
      </c>
      <c r="L356" t="n">
        <v>0</v>
      </c>
      <c r="M356" t="n">
        <v>0</v>
      </c>
      <c r="N356" t="n">
        <v>0</v>
      </c>
      <c r="O356" t="n">
        <v>0</v>
      </c>
      <c r="P356" t="n">
        <v>0</v>
      </c>
      <c r="Q356" t="n">
        <v>0</v>
      </c>
      <c r="R356" s="2" t="inlineStr"/>
    </row>
    <row r="357" ht="15" customHeight="1">
      <c r="A357" t="inlineStr">
        <is>
          <t>A 28927-2025</t>
        </is>
      </c>
      <c r="B357" s="1" t="n">
        <v>45820.67221064815</v>
      </c>
      <c r="C357" s="1" t="n">
        <v>45908</v>
      </c>
      <c r="D357" t="inlineStr">
        <is>
          <t>DALARNAS LÄN</t>
        </is>
      </c>
      <c r="E357" t="inlineStr">
        <is>
          <t>MORA</t>
        </is>
      </c>
      <c r="G357" t="n">
        <v>0.4</v>
      </c>
      <c r="H357" t="n">
        <v>0</v>
      </c>
      <c r="I357" t="n">
        <v>0</v>
      </c>
      <c r="J357" t="n">
        <v>0</v>
      </c>
      <c r="K357" t="n">
        <v>0</v>
      </c>
      <c r="L357" t="n">
        <v>0</v>
      </c>
      <c r="M357" t="n">
        <v>0</v>
      </c>
      <c r="N357" t="n">
        <v>0</v>
      </c>
      <c r="O357" t="n">
        <v>0</v>
      </c>
      <c r="P357" t="n">
        <v>0</v>
      </c>
      <c r="Q357" t="n">
        <v>0</v>
      </c>
      <c r="R357" s="2" t="inlineStr"/>
    </row>
    <row r="358" ht="15" customHeight="1">
      <c r="A358" t="inlineStr">
        <is>
          <t>A 28924-2025</t>
        </is>
      </c>
      <c r="B358" s="1" t="n">
        <v>45820.66846064815</v>
      </c>
      <c r="C358" s="1" t="n">
        <v>45908</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28751-2025</t>
        </is>
      </c>
      <c r="B359" s="1" t="n">
        <v>45820.40034722222</v>
      </c>
      <c r="C359" s="1" t="n">
        <v>45908</v>
      </c>
      <c r="D359" t="inlineStr">
        <is>
          <t>DALARNAS LÄN</t>
        </is>
      </c>
      <c r="E359" t="inlineStr">
        <is>
          <t>MORA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45674-2024</t>
        </is>
      </c>
      <c r="B360" s="1" t="n">
        <v>45573</v>
      </c>
      <c r="C360" s="1" t="n">
        <v>45908</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17393-2025</t>
        </is>
      </c>
      <c r="B361" s="1" t="n">
        <v>45757.34350694445</v>
      </c>
      <c r="C361" s="1" t="n">
        <v>45908</v>
      </c>
      <c r="D361" t="inlineStr">
        <is>
          <t>DALARNAS LÄN</t>
        </is>
      </c>
      <c r="E361" t="inlineStr">
        <is>
          <t>MORA</t>
        </is>
      </c>
      <c r="G361" t="n">
        <v>10.1</v>
      </c>
      <c r="H361" t="n">
        <v>0</v>
      </c>
      <c r="I361" t="n">
        <v>0</v>
      </c>
      <c r="J361" t="n">
        <v>0</v>
      </c>
      <c r="K361" t="n">
        <v>0</v>
      </c>
      <c r="L361" t="n">
        <v>0</v>
      </c>
      <c r="M361" t="n">
        <v>0</v>
      </c>
      <c r="N361" t="n">
        <v>0</v>
      </c>
      <c r="O361" t="n">
        <v>0</v>
      </c>
      <c r="P361" t="n">
        <v>0</v>
      </c>
      <c r="Q361" t="n">
        <v>0</v>
      </c>
      <c r="R361" s="2" t="inlineStr"/>
    </row>
    <row r="362" ht="15" customHeight="1">
      <c r="A362" t="inlineStr">
        <is>
          <t>A 36041-2025</t>
        </is>
      </c>
      <c r="B362" s="1" t="n">
        <v>45866.34385416667</v>
      </c>
      <c r="C362" s="1" t="n">
        <v>45908</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18139-2025</t>
        </is>
      </c>
      <c r="B363" s="1" t="n">
        <v>45761.60459490741</v>
      </c>
      <c r="C363" s="1" t="n">
        <v>45908</v>
      </c>
      <c r="D363" t="inlineStr">
        <is>
          <t>DALARNAS LÄN</t>
        </is>
      </c>
      <c r="E363" t="inlineStr">
        <is>
          <t>MORA</t>
        </is>
      </c>
      <c r="F363" t="inlineStr">
        <is>
          <t>Bergvik skog öst AB</t>
        </is>
      </c>
      <c r="G363" t="n">
        <v>3</v>
      </c>
      <c r="H363" t="n">
        <v>0</v>
      </c>
      <c r="I363" t="n">
        <v>0</v>
      </c>
      <c r="J363" t="n">
        <v>0</v>
      </c>
      <c r="K363" t="n">
        <v>0</v>
      </c>
      <c r="L363" t="n">
        <v>0</v>
      </c>
      <c r="M363" t="n">
        <v>0</v>
      </c>
      <c r="N363" t="n">
        <v>0</v>
      </c>
      <c r="O363" t="n">
        <v>0</v>
      </c>
      <c r="P363" t="n">
        <v>0</v>
      </c>
      <c r="Q363" t="n">
        <v>0</v>
      </c>
      <c r="R363" s="2" t="inlineStr"/>
    </row>
    <row r="364" ht="15" customHeight="1">
      <c r="A364" t="inlineStr">
        <is>
          <t>A 36179-2025</t>
        </is>
      </c>
      <c r="B364" s="1" t="n">
        <v>45867</v>
      </c>
      <c r="C364" s="1" t="n">
        <v>45908</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29528-2025</t>
        </is>
      </c>
      <c r="B365" s="1" t="n">
        <v>45825.34322916667</v>
      </c>
      <c r="C365" s="1" t="n">
        <v>45908</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29440-2025</t>
        </is>
      </c>
      <c r="B366" s="1" t="n">
        <v>45824.65862268519</v>
      </c>
      <c r="C366" s="1" t="n">
        <v>45908</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29425-2025</t>
        </is>
      </c>
      <c r="B367" s="1" t="n">
        <v>45824.64524305556</v>
      </c>
      <c r="C367" s="1" t="n">
        <v>45908</v>
      </c>
      <c r="D367" t="inlineStr">
        <is>
          <t>DALARNAS LÄN</t>
        </is>
      </c>
      <c r="E367" t="inlineStr">
        <is>
          <t>MORA</t>
        </is>
      </c>
      <c r="G367" t="n">
        <v>4.4</v>
      </c>
      <c r="H367" t="n">
        <v>0</v>
      </c>
      <c r="I367" t="n">
        <v>0</v>
      </c>
      <c r="J367" t="n">
        <v>0</v>
      </c>
      <c r="K367" t="n">
        <v>0</v>
      </c>
      <c r="L367" t="n">
        <v>0</v>
      </c>
      <c r="M367" t="n">
        <v>0</v>
      </c>
      <c r="N367" t="n">
        <v>0</v>
      </c>
      <c r="O367" t="n">
        <v>0</v>
      </c>
      <c r="P367" t="n">
        <v>0</v>
      </c>
      <c r="Q367" t="n">
        <v>0</v>
      </c>
      <c r="R367" s="2" t="inlineStr"/>
    </row>
    <row r="368" ht="15" customHeight="1">
      <c r="A368" t="inlineStr">
        <is>
          <t>A 30087-2025</t>
        </is>
      </c>
      <c r="B368" s="1" t="n">
        <v>45826.6575</v>
      </c>
      <c r="C368" s="1" t="n">
        <v>45908</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30166-2025</t>
        </is>
      </c>
      <c r="B369" s="1" t="n">
        <v>45827.33116898148</v>
      </c>
      <c r="C369" s="1" t="n">
        <v>45908</v>
      </c>
      <c r="D369" t="inlineStr">
        <is>
          <t>DALARNAS LÄN</t>
        </is>
      </c>
      <c r="E369" t="inlineStr">
        <is>
          <t>MORA</t>
        </is>
      </c>
      <c r="G369" t="n">
        <v>1.3</v>
      </c>
      <c r="H369" t="n">
        <v>0</v>
      </c>
      <c r="I369" t="n">
        <v>0</v>
      </c>
      <c r="J369" t="n">
        <v>0</v>
      </c>
      <c r="K369" t="n">
        <v>0</v>
      </c>
      <c r="L369" t="n">
        <v>0</v>
      </c>
      <c r="M369" t="n">
        <v>0</v>
      </c>
      <c r="N369" t="n">
        <v>0</v>
      </c>
      <c r="O369" t="n">
        <v>0</v>
      </c>
      <c r="P369" t="n">
        <v>0</v>
      </c>
      <c r="Q369" t="n">
        <v>0</v>
      </c>
      <c r="R369" s="2" t="inlineStr"/>
    </row>
    <row r="370" ht="15" customHeight="1">
      <c r="A370" t="inlineStr">
        <is>
          <t>A 29870-2025</t>
        </is>
      </c>
      <c r="B370" s="1" t="n">
        <v>45826.35716435185</v>
      </c>
      <c r="C370" s="1" t="n">
        <v>45908</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29873-2025</t>
        </is>
      </c>
      <c r="B371" s="1" t="n">
        <v>45826</v>
      </c>
      <c r="C371" s="1" t="n">
        <v>45908</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36760-2025</t>
        </is>
      </c>
      <c r="B372" s="1" t="n">
        <v>45873.57319444444</v>
      </c>
      <c r="C372" s="1" t="n">
        <v>45908</v>
      </c>
      <c r="D372" t="inlineStr">
        <is>
          <t>DALARNAS LÄN</t>
        </is>
      </c>
      <c r="E372" t="inlineStr">
        <is>
          <t>MORA</t>
        </is>
      </c>
      <c r="G372" t="n">
        <v>4.6</v>
      </c>
      <c r="H372" t="n">
        <v>0</v>
      </c>
      <c r="I372" t="n">
        <v>0</v>
      </c>
      <c r="J372" t="n">
        <v>0</v>
      </c>
      <c r="K372" t="n">
        <v>0</v>
      </c>
      <c r="L372" t="n">
        <v>0</v>
      </c>
      <c r="M372" t="n">
        <v>0</v>
      </c>
      <c r="N372" t="n">
        <v>0</v>
      </c>
      <c r="O372" t="n">
        <v>0</v>
      </c>
      <c r="P372" t="n">
        <v>0</v>
      </c>
      <c r="Q372" t="n">
        <v>0</v>
      </c>
      <c r="R372" s="2" t="inlineStr"/>
    </row>
    <row r="373" ht="15" customHeight="1">
      <c r="A373" t="inlineStr">
        <is>
          <t>A 36586-2025</t>
        </is>
      </c>
      <c r="B373" s="1" t="n">
        <v>45869</v>
      </c>
      <c r="C373" s="1" t="n">
        <v>45908</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30507-2025</t>
        </is>
      </c>
      <c r="B374" s="1" t="n">
        <v>45831.24760416667</v>
      </c>
      <c r="C374" s="1" t="n">
        <v>45908</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30509-2025</t>
        </is>
      </c>
      <c r="B375" s="1" t="n">
        <v>45831.25519675926</v>
      </c>
      <c r="C375" s="1" t="n">
        <v>45908</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57999-2023</t>
        </is>
      </c>
      <c r="B376" s="1" t="n">
        <v>45247</v>
      </c>
      <c r="C376" s="1" t="n">
        <v>45908</v>
      </c>
      <c r="D376" t="inlineStr">
        <is>
          <t>DALARNAS LÄN</t>
        </is>
      </c>
      <c r="E376" t="inlineStr">
        <is>
          <t>MORA</t>
        </is>
      </c>
      <c r="G376" t="n">
        <v>0.4</v>
      </c>
      <c r="H376" t="n">
        <v>0</v>
      </c>
      <c r="I376" t="n">
        <v>0</v>
      </c>
      <c r="J376" t="n">
        <v>0</v>
      </c>
      <c r="K376" t="n">
        <v>0</v>
      </c>
      <c r="L376" t="n">
        <v>0</v>
      </c>
      <c r="M376" t="n">
        <v>0</v>
      </c>
      <c r="N376" t="n">
        <v>0</v>
      </c>
      <c r="O376" t="n">
        <v>0</v>
      </c>
      <c r="P376" t="n">
        <v>0</v>
      </c>
      <c r="Q376" t="n">
        <v>0</v>
      </c>
      <c r="R376" s="2" t="inlineStr"/>
    </row>
    <row r="377" ht="15" customHeight="1">
      <c r="A377" t="inlineStr">
        <is>
          <t>A 30989-2025</t>
        </is>
      </c>
      <c r="B377" s="1" t="n">
        <v>45832.48185185185</v>
      </c>
      <c r="C377" s="1" t="n">
        <v>45908</v>
      </c>
      <c r="D377" t="inlineStr">
        <is>
          <t>DALARNAS LÄN</t>
        </is>
      </c>
      <c r="E377" t="inlineStr">
        <is>
          <t>MORA</t>
        </is>
      </c>
      <c r="F377" t="inlineStr">
        <is>
          <t>Bergvik skog öst AB</t>
        </is>
      </c>
      <c r="G377" t="n">
        <v>4.1</v>
      </c>
      <c r="H377" t="n">
        <v>0</v>
      </c>
      <c r="I377" t="n">
        <v>0</v>
      </c>
      <c r="J377" t="n">
        <v>0</v>
      </c>
      <c r="K377" t="n">
        <v>0</v>
      </c>
      <c r="L377" t="n">
        <v>0</v>
      </c>
      <c r="M377" t="n">
        <v>0</v>
      </c>
      <c r="N377" t="n">
        <v>0</v>
      </c>
      <c r="O377" t="n">
        <v>0</v>
      </c>
      <c r="P377" t="n">
        <v>0</v>
      </c>
      <c r="Q377" t="n">
        <v>0</v>
      </c>
      <c r="R377" s="2" t="inlineStr"/>
    </row>
    <row r="378" ht="15" customHeight="1">
      <c r="A378" t="inlineStr">
        <is>
          <t>A 25887-2023</t>
        </is>
      </c>
      <c r="B378" s="1" t="n">
        <v>45090.62493055555</v>
      </c>
      <c r="C378" s="1" t="n">
        <v>45908</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36846-2025</t>
        </is>
      </c>
      <c r="B379" s="1" t="n">
        <v>45874.38655092593</v>
      </c>
      <c r="C379" s="1" t="n">
        <v>45908</v>
      </c>
      <c r="D379" t="inlineStr">
        <is>
          <t>DALARNAS LÄN</t>
        </is>
      </c>
      <c r="E379" t="inlineStr">
        <is>
          <t>MORA</t>
        </is>
      </c>
      <c r="G379" t="n">
        <v>10.7</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45908</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30858-2025</t>
        </is>
      </c>
      <c r="B381" s="1" t="n">
        <v>45831.92416666666</v>
      </c>
      <c r="C381" s="1" t="n">
        <v>45908</v>
      </c>
      <c r="D381" t="inlineStr">
        <is>
          <t>DALARNAS LÄN</t>
        </is>
      </c>
      <c r="E381" t="inlineStr">
        <is>
          <t>MORA</t>
        </is>
      </c>
      <c r="G381" t="n">
        <v>2.9</v>
      </c>
      <c r="H381" t="n">
        <v>0</v>
      </c>
      <c r="I381" t="n">
        <v>0</v>
      </c>
      <c r="J381" t="n">
        <v>0</v>
      </c>
      <c r="K381" t="n">
        <v>0</v>
      </c>
      <c r="L381" t="n">
        <v>0</v>
      </c>
      <c r="M381" t="n">
        <v>0</v>
      </c>
      <c r="N381" t="n">
        <v>0</v>
      </c>
      <c r="O381" t="n">
        <v>0</v>
      </c>
      <c r="P381" t="n">
        <v>0</v>
      </c>
      <c r="Q381" t="n">
        <v>0</v>
      </c>
      <c r="R381" s="2" t="inlineStr"/>
    </row>
    <row r="382" ht="15" customHeight="1">
      <c r="A382" t="inlineStr">
        <is>
          <t>A 30859-2025</t>
        </is>
      </c>
      <c r="B382" s="1" t="n">
        <v>45831.93105324074</v>
      </c>
      <c r="C382" s="1" t="n">
        <v>45908</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37070-2025</t>
        </is>
      </c>
      <c r="B383" s="1" t="n">
        <v>45875.39822916667</v>
      </c>
      <c r="C383" s="1" t="n">
        <v>45908</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55120-2024</t>
        </is>
      </c>
      <c r="B384" s="1" t="n">
        <v>45621.45765046297</v>
      </c>
      <c r="C384" s="1" t="n">
        <v>45908</v>
      </c>
      <c r="D384" t="inlineStr">
        <is>
          <t>DALARNAS LÄN</t>
        </is>
      </c>
      <c r="E384" t="inlineStr">
        <is>
          <t>MORA</t>
        </is>
      </c>
      <c r="G384" t="n">
        <v>1.9</v>
      </c>
      <c r="H384" t="n">
        <v>0</v>
      </c>
      <c r="I384" t="n">
        <v>0</v>
      </c>
      <c r="J384" t="n">
        <v>0</v>
      </c>
      <c r="K384" t="n">
        <v>0</v>
      </c>
      <c r="L384" t="n">
        <v>0</v>
      </c>
      <c r="M384" t="n">
        <v>0</v>
      </c>
      <c r="N384" t="n">
        <v>0</v>
      </c>
      <c r="O384" t="n">
        <v>0</v>
      </c>
      <c r="P384" t="n">
        <v>0</v>
      </c>
      <c r="Q384" t="n">
        <v>0</v>
      </c>
      <c r="R384" s="2" t="inlineStr"/>
    </row>
    <row r="385" ht="15" customHeight="1">
      <c r="A385" t="inlineStr">
        <is>
          <t>A 64099-2023</t>
        </is>
      </c>
      <c r="B385" s="1" t="n">
        <v>45279.46009259259</v>
      </c>
      <c r="C385" s="1" t="n">
        <v>45908</v>
      </c>
      <c r="D385" t="inlineStr">
        <is>
          <t>DALARNAS LÄN</t>
        </is>
      </c>
      <c r="E385" t="inlineStr">
        <is>
          <t>MORA</t>
        </is>
      </c>
      <c r="G385" t="n">
        <v>0.6</v>
      </c>
      <c r="H385" t="n">
        <v>0</v>
      </c>
      <c r="I385" t="n">
        <v>0</v>
      </c>
      <c r="J385" t="n">
        <v>0</v>
      </c>
      <c r="K385" t="n">
        <v>0</v>
      </c>
      <c r="L385" t="n">
        <v>0</v>
      </c>
      <c r="M385" t="n">
        <v>0</v>
      </c>
      <c r="N385" t="n">
        <v>0</v>
      </c>
      <c r="O385" t="n">
        <v>0</v>
      </c>
      <c r="P385" t="n">
        <v>0</v>
      </c>
      <c r="Q385" t="n">
        <v>0</v>
      </c>
      <c r="R385" s="2" t="inlineStr"/>
    </row>
    <row r="386" ht="15" customHeight="1">
      <c r="A386" t="inlineStr">
        <is>
          <t>A 31846-2025</t>
        </is>
      </c>
      <c r="B386" s="1" t="n">
        <v>45834.60209490741</v>
      </c>
      <c r="C386" s="1" t="n">
        <v>45908</v>
      </c>
      <c r="D386" t="inlineStr">
        <is>
          <t>DALARNAS LÄN</t>
        </is>
      </c>
      <c r="E386" t="inlineStr">
        <is>
          <t>MORA</t>
        </is>
      </c>
      <c r="G386" t="n">
        <v>3.6</v>
      </c>
      <c r="H386" t="n">
        <v>0</v>
      </c>
      <c r="I386" t="n">
        <v>0</v>
      </c>
      <c r="J386" t="n">
        <v>0</v>
      </c>
      <c r="K386" t="n">
        <v>0</v>
      </c>
      <c r="L386" t="n">
        <v>0</v>
      </c>
      <c r="M386" t="n">
        <v>0</v>
      </c>
      <c r="N386" t="n">
        <v>0</v>
      </c>
      <c r="O386" t="n">
        <v>0</v>
      </c>
      <c r="P386" t="n">
        <v>0</v>
      </c>
      <c r="Q386" t="n">
        <v>0</v>
      </c>
      <c r="R386" s="2" t="inlineStr"/>
    </row>
    <row r="387" ht="15" customHeight="1">
      <c r="A387" t="inlineStr">
        <is>
          <t>A 31849-2025</t>
        </is>
      </c>
      <c r="B387" s="1" t="n">
        <v>45834.60525462963</v>
      </c>
      <c r="C387" s="1" t="n">
        <v>45908</v>
      </c>
      <c r="D387" t="inlineStr">
        <is>
          <t>DALARNAS LÄN</t>
        </is>
      </c>
      <c r="E387" t="inlineStr">
        <is>
          <t>MORA</t>
        </is>
      </c>
      <c r="G387" t="n">
        <v>3.9</v>
      </c>
      <c r="H387" t="n">
        <v>0</v>
      </c>
      <c r="I387" t="n">
        <v>0</v>
      </c>
      <c r="J387" t="n">
        <v>0</v>
      </c>
      <c r="K387" t="n">
        <v>0</v>
      </c>
      <c r="L387" t="n">
        <v>0</v>
      </c>
      <c r="M387" t="n">
        <v>0</v>
      </c>
      <c r="N387" t="n">
        <v>0</v>
      </c>
      <c r="O387" t="n">
        <v>0</v>
      </c>
      <c r="P387" t="n">
        <v>0</v>
      </c>
      <c r="Q387" t="n">
        <v>0</v>
      </c>
      <c r="R387" s="2" t="inlineStr"/>
    </row>
    <row r="388" ht="15" customHeight="1">
      <c r="A388" t="inlineStr">
        <is>
          <t>A 34660-2021</t>
        </is>
      </c>
      <c r="B388" s="1" t="n">
        <v>44382.57981481482</v>
      </c>
      <c r="C388" s="1" t="n">
        <v>45908</v>
      </c>
      <c r="D388" t="inlineStr">
        <is>
          <t>DALARNAS LÄN</t>
        </is>
      </c>
      <c r="E388" t="inlineStr">
        <is>
          <t>MORA</t>
        </is>
      </c>
      <c r="G388" t="n">
        <v>7.5</v>
      </c>
      <c r="H388" t="n">
        <v>0</v>
      </c>
      <c r="I388" t="n">
        <v>0</v>
      </c>
      <c r="J388" t="n">
        <v>0</v>
      </c>
      <c r="K388" t="n">
        <v>0</v>
      </c>
      <c r="L388" t="n">
        <v>0</v>
      </c>
      <c r="M388" t="n">
        <v>0</v>
      </c>
      <c r="N388" t="n">
        <v>0</v>
      </c>
      <c r="O388" t="n">
        <v>0</v>
      </c>
      <c r="P388" t="n">
        <v>0</v>
      </c>
      <c r="Q388" t="n">
        <v>0</v>
      </c>
      <c r="R388" s="2" t="inlineStr"/>
    </row>
    <row r="389" ht="15" customHeight="1">
      <c r="A389" t="inlineStr">
        <is>
          <t>A 31842-2025</t>
        </is>
      </c>
      <c r="B389" s="1" t="n">
        <v>45834.59822916667</v>
      </c>
      <c r="C389" s="1" t="n">
        <v>45908</v>
      </c>
      <c r="D389" t="inlineStr">
        <is>
          <t>DALARNAS LÄN</t>
        </is>
      </c>
      <c r="E389" t="inlineStr">
        <is>
          <t>MORA</t>
        </is>
      </c>
      <c r="G389" t="n">
        <v>1.1</v>
      </c>
      <c r="H389" t="n">
        <v>0</v>
      </c>
      <c r="I389" t="n">
        <v>0</v>
      </c>
      <c r="J389" t="n">
        <v>0</v>
      </c>
      <c r="K389" t="n">
        <v>0</v>
      </c>
      <c r="L389" t="n">
        <v>0</v>
      </c>
      <c r="M389" t="n">
        <v>0</v>
      </c>
      <c r="N389" t="n">
        <v>0</v>
      </c>
      <c r="O389" t="n">
        <v>0</v>
      </c>
      <c r="P389" t="n">
        <v>0</v>
      </c>
      <c r="Q389" t="n">
        <v>0</v>
      </c>
      <c r="R389" s="2" t="inlineStr"/>
    </row>
    <row r="390" ht="15" customHeight="1">
      <c r="A390" t="inlineStr">
        <is>
          <t>A 37268-2025</t>
        </is>
      </c>
      <c r="B390" s="1" t="n">
        <v>45876.46681712963</v>
      </c>
      <c r="C390" s="1" t="n">
        <v>45908</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37879-2025</t>
        </is>
      </c>
      <c r="B391" s="1" t="n">
        <v>45881.48791666667</v>
      </c>
      <c r="C391" s="1" t="n">
        <v>45908</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42934-2024</t>
        </is>
      </c>
      <c r="B392" s="1" t="n">
        <v>45567.33655092592</v>
      </c>
      <c r="C392" s="1" t="n">
        <v>45908</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17516-2024</t>
        </is>
      </c>
      <c r="B393" s="1" t="n">
        <v>45415.58502314815</v>
      </c>
      <c r="C393" s="1" t="n">
        <v>45908</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32852-2025</t>
        </is>
      </c>
      <c r="B394" s="1" t="n">
        <v>45839.57559027777</v>
      </c>
      <c r="C394" s="1" t="n">
        <v>45908</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38073-2025</t>
        </is>
      </c>
      <c r="B395" s="1" t="n">
        <v>45882</v>
      </c>
      <c r="C395" s="1" t="n">
        <v>45908</v>
      </c>
      <c r="D395" t="inlineStr">
        <is>
          <t>DALARNAS LÄN</t>
        </is>
      </c>
      <c r="E395" t="inlineStr">
        <is>
          <t>MORA</t>
        </is>
      </c>
      <c r="G395" t="n">
        <v>2.5</v>
      </c>
      <c r="H395" t="n">
        <v>0</v>
      </c>
      <c r="I395" t="n">
        <v>0</v>
      </c>
      <c r="J395" t="n">
        <v>0</v>
      </c>
      <c r="K395" t="n">
        <v>0</v>
      </c>
      <c r="L395" t="n">
        <v>0</v>
      </c>
      <c r="M395" t="n">
        <v>0</v>
      </c>
      <c r="N395" t="n">
        <v>0</v>
      </c>
      <c r="O395" t="n">
        <v>0</v>
      </c>
      <c r="P395" t="n">
        <v>0</v>
      </c>
      <c r="Q395" t="n">
        <v>0</v>
      </c>
      <c r="R395" s="2" t="inlineStr"/>
    </row>
    <row r="396" ht="15" customHeight="1">
      <c r="A396" t="inlineStr">
        <is>
          <t>A 38086-2025</t>
        </is>
      </c>
      <c r="B396" s="1" t="n">
        <v>45882.47625</v>
      </c>
      <c r="C396" s="1" t="n">
        <v>45908</v>
      </c>
      <c r="D396" t="inlineStr">
        <is>
          <t>DALARNAS LÄN</t>
        </is>
      </c>
      <c r="E396" t="inlineStr">
        <is>
          <t>MORA</t>
        </is>
      </c>
      <c r="G396" t="n">
        <v>2.4</v>
      </c>
      <c r="H396" t="n">
        <v>0</v>
      </c>
      <c r="I396" t="n">
        <v>0</v>
      </c>
      <c r="J396" t="n">
        <v>0</v>
      </c>
      <c r="K396" t="n">
        <v>0</v>
      </c>
      <c r="L396" t="n">
        <v>0</v>
      </c>
      <c r="M396" t="n">
        <v>0</v>
      </c>
      <c r="N396" t="n">
        <v>0</v>
      </c>
      <c r="O396" t="n">
        <v>0</v>
      </c>
      <c r="P396" t="n">
        <v>0</v>
      </c>
      <c r="Q396" t="n">
        <v>0</v>
      </c>
      <c r="R396" s="2" t="inlineStr"/>
    </row>
    <row r="397" ht="15" customHeight="1">
      <c r="A397" t="inlineStr">
        <is>
          <t>A 19910-2024</t>
        </is>
      </c>
      <c r="B397" s="1" t="n">
        <v>45433.5741087963</v>
      </c>
      <c r="C397" s="1" t="n">
        <v>45908</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23300-2024</t>
        </is>
      </c>
      <c r="B398" s="1" t="n">
        <v>45453.43695601852</v>
      </c>
      <c r="C398" s="1" t="n">
        <v>45908</v>
      </c>
      <c r="D398" t="inlineStr">
        <is>
          <t>DALARNAS LÄN</t>
        </is>
      </c>
      <c r="E398" t="inlineStr">
        <is>
          <t>MORA</t>
        </is>
      </c>
      <c r="G398" t="n">
        <v>0.5</v>
      </c>
      <c r="H398" t="n">
        <v>0</v>
      </c>
      <c r="I398" t="n">
        <v>0</v>
      </c>
      <c r="J398" t="n">
        <v>0</v>
      </c>
      <c r="K398" t="n">
        <v>0</v>
      </c>
      <c r="L398" t="n">
        <v>0</v>
      </c>
      <c r="M398" t="n">
        <v>0</v>
      </c>
      <c r="N398" t="n">
        <v>0</v>
      </c>
      <c r="O398" t="n">
        <v>0</v>
      </c>
      <c r="P398" t="n">
        <v>0</v>
      </c>
      <c r="Q398" t="n">
        <v>0</v>
      </c>
      <c r="R398" s="2" t="inlineStr"/>
    </row>
    <row r="399" ht="15" customHeight="1">
      <c r="A399" t="inlineStr">
        <is>
          <t>A 33443-2025</t>
        </is>
      </c>
      <c r="B399" s="1" t="n">
        <v>45841</v>
      </c>
      <c r="C399" s="1" t="n">
        <v>45908</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16965-2025</t>
        </is>
      </c>
      <c r="B400" s="1" t="n">
        <v>45755.45715277778</v>
      </c>
      <c r="C400" s="1" t="n">
        <v>45908</v>
      </c>
      <c r="D400" t="inlineStr">
        <is>
          <t>DALARNAS LÄN</t>
        </is>
      </c>
      <c r="E400" t="inlineStr">
        <is>
          <t>MORA</t>
        </is>
      </c>
      <c r="F400" t="inlineStr">
        <is>
          <t>Bergvik skog öst AB</t>
        </is>
      </c>
      <c r="G400" t="n">
        <v>0.8</v>
      </c>
      <c r="H400" t="n">
        <v>0</v>
      </c>
      <c r="I400" t="n">
        <v>0</v>
      </c>
      <c r="J400" t="n">
        <v>0</v>
      </c>
      <c r="K400" t="n">
        <v>0</v>
      </c>
      <c r="L400" t="n">
        <v>0</v>
      </c>
      <c r="M400" t="n">
        <v>0</v>
      </c>
      <c r="N400" t="n">
        <v>0</v>
      </c>
      <c r="O400" t="n">
        <v>0</v>
      </c>
      <c r="P400" t="n">
        <v>0</v>
      </c>
      <c r="Q400" t="n">
        <v>0</v>
      </c>
      <c r="R400" s="2" t="inlineStr"/>
    </row>
    <row r="401" ht="15" customHeight="1">
      <c r="A401" t="inlineStr">
        <is>
          <t>A 49159-2023</t>
        </is>
      </c>
      <c r="B401" s="1" t="n">
        <v>45210</v>
      </c>
      <c r="C401" s="1" t="n">
        <v>45908</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19896-2021</t>
        </is>
      </c>
      <c r="B402" s="1" t="n">
        <v>44313.54942129629</v>
      </c>
      <c r="C402" s="1" t="n">
        <v>45908</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29188-2023</t>
        </is>
      </c>
      <c r="B403" s="1" t="n">
        <v>45105.54270833333</v>
      </c>
      <c r="C403" s="1" t="n">
        <v>45908</v>
      </c>
      <c r="D403" t="inlineStr">
        <is>
          <t>DALARNAS LÄN</t>
        </is>
      </c>
      <c r="E403" t="inlineStr">
        <is>
          <t>MORA</t>
        </is>
      </c>
      <c r="G403" t="n">
        <v>0.8</v>
      </c>
      <c r="H403" t="n">
        <v>0</v>
      </c>
      <c r="I403" t="n">
        <v>0</v>
      </c>
      <c r="J403" t="n">
        <v>0</v>
      </c>
      <c r="K403" t="n">
        <v>0</v>
      </c>
      <c r="L403" t="n">
        <v>0</v>
      </c>
      <c r="M403" t="n">
        <v>0</v>
      </c>
      <c r="N403" t="n">
        <v>0</v>
      </c>
      <c r="O403" t="n">
        <v>0</v>
      </c>
      <c r="P403" t="n">
        <v>0</v>
      </c>
      <c r="Q403" t="n">
        <v>0</v>
      </c>
      <c r="R403" s="2" t="inlineStr"/>
    </row>
    <row r="404" ht="15" customHeight="1">
      <c r="A404" t="inlineStr">
        <is>
          <t>A 9599-2022</t>
        </is>
      </c>
      <c r="B404" s="1" t="n">
        <v>44617.48909722222</v>
      </c>
      <c r="C404" s="1" t="n">
        <v>45908</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12151-2021</t>
        </is>
      </c>
      <c r="B405" s="1" t="n">
        <v>44266</v>
      </c>
      <c r="C405" s="1" t="n">
        <v>45908</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35521-2023</t>
        </is>
      </c>
      <c r="B406" s="1" t="n">
        <v>45147.33251157407</v>
      </c>
      <c r="C406" s="1" t="n">
        <v>45908</v>
      </c>
      <c r="D406" t="inlineStr">
        <is>
          <t>DALARNAS LÄN</t>
        </is>
      </c>
      <c r="E406" t="inlineStr">
        <is>
          <t>MORA</t>
        </is>
      </c>
      <c r="G406" t="n">
        <v>3.7</v>
      </c>
      <c r="H406" t="n">
        <v>0</v>
      </c>
      <c r="I406" t="n">
        <v>0</v>
      </c>
      <c r="J406" t="n">
        <v>0</v>
      </c>
      <c r="K406" t="n">
        <v>0</v>
      </c>
      <c r="L406" t="n">
        <v>0</v>
      </c>
      <c r="M406" t="n">
        <v>0</v>
      </c>
      <c r="N406" t="n">
        <v>0</v>
      </c>
      <c r="O406" t="n">
        <v>0</v>
      </c>
      <c r="P406" t="n">
        <v>0</v>
      </c>
      <c r="Q406" t="n">
        <v>0</v>
      </c>
      <c r="R406" s="2" t="inlineStr"/>
    </row>
    <row r="407" ht="15" customHeight="1">
      <c r="A407" t="inlineStr">
        <is>
          <t>A 34182-2025</t>
        </is>
      </c>
      <c r="B407" s="1" t="n">
        <v>45845.60520833333</v>
      </c>
      <c r="C407" s="1" t="n">
        <v>45908</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34005-2025</t>
        </is>
      </c>
      <c r="B408" s="1" t="n">
        <v>45844.58890046296</v>
      </c>
      <c r="C408" s="1" t="n">
        <v>45908</v>
      </c>
      <c r="D408" t="inlineStr">
        <is>
          <t>DALARNAS LÄN</t>
        </is>
      </c>
      <c r="E408" t="inlineStr">
        <is>
          <t>MORA</t>
        </is>
      </c>
      <c r="G408" t="n">
        <v>7.2</v>
      </c>
      <c r="H408" t="n">
        <v>0</v>
      </c>
      <c r="I408" t="n">
        <v>0</v>
      </c>
      <c r="J408" t="n">
        <v>0</v>
      </c>
      <c r="K408" t="n">
        <v>0</v>
      </c>
      <c r="L408" t="n">
        <v>0</v>
      </c>
      <c r="M408" t="n">
        <v>0</v>
      </c>
      <c r="N408" t="n">
        <v>0</v>
      </c>
      <c r="O408" t="n">
        <v>0</v>
      </c>
      <c r="P408" t="n">
        <v>0</v>
      </c>
      <c r="Q408" t="n">
        <v>0</v>
      </c>
      <c r="R408" s="2" t="inlineStr"/>
    </row>
    <row r="409" ht="15" customHeight="1">
      <c r="A409" t="inlineStr">
        <is>
          <t>A 26314-2021</t>
        </is>
      </c>
      <c r="B409" s="1" t="n">
        <v>44347</v>
      </c>
      <c r="C409" s="1" t="n">
        <v>45908</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30985-2024</t>
        </is>
      </c>
      <c r="B410" s="1" t="n">
        <v>45499.51721064815</v>
      </c>
      <c r="C410" s="1" t="n">
        <v>45908</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18202-2024</t>
        </is>
      </c>
      <c r="B411" s="1" t="n">
        <v>45420.68172453704</v>
      </c>
      <c r="C411" s="1" t="n">
        <v>45908</v>
      </c>
      <c r="D411" t="inlineStr">
        <is>
          <t>DALARNAS LÄN</t>
        </is>
      </c>
      <c r="E411" t="inlineStr">
        <is>
          <t>MORA</t>
        </is>
      </c>
      <c r="G411" t="n">
        <v>2</v>
      </c>
      <c r="H411" t="n">
        <v>0</v>
      </c>
      <c r="I411" t="n">
        <v>0</v>
      </c>
      <c r="J411" t="n">
        <v>0</v>
      </c>
      <c r="K411" t="n">
        <v>0</v>
      </c>
      <c r="L411" t="n">
        <v>0</v>
      </c>
      <c r="M411" t="n">
        <v>0</v>
      </c>
      <c r="N411" t="n">
        <v>0</v>
      </c>
      <c r="O411" t="n">
        <v>0</v>
      </c>
      <c r="P411" t="n">
        <v>0</v>
      </c>
      <c r="Q411" t="n">
        <v>0</v>
      </c>
      <c r="R411" s="2" t="inlineStr"/>
    </row>
    <row r="412" ht="15" customHeight="1">
      <c r="A412" t="inlineStr">
        <is>
          <t>A 40286-2024</t>
        </is>
      </c>
      <c r="B412" s="1" t="n">
        <v>45554.6687037037</v>
      </c>
      <c r="C412" s="1" t="n">
        <v>45908</v>
      </c>
      <c r="D412" t="inlineStr">
        <is>
          <t>DALARNAS LÄN</t>
        </is>
      </c>
      <c r="E412" t="inlineStr">
        <is>
          <t>MORA</t>
        </is>
      </c>
      <c r="G412" t="n">
        <v>0.4</v>
      </c>
      <c r="H412" t="n">
        <v>0</v>
      </c>
      <c r="I412" t="n">
        <v>0</v>
      </c>
      <c r="J412" t="n">
        <v>0</v>
      </c>
      <c r="K412" t="n">
        <v>0</v>
      </c>
      <c r="L412" t="n">
        <v>0</v>
      </c>
      <c r="M412" t="n">
        <v>0</v>
      </c>
      <c r="N412" t="n">
        <v>0</v>
      </c>
      <c r="O412" t="n">
        <v>0</v>
      </c>
      <c r="P412" t="n">
        <v>0</v>
      </c>
      <c r="Q412" t="n">
        <v>0</v>
      </c>
      <c r="R412" s="2" t="inlineStr"/>
    </row>
    <row r="413" ht="15" customHeight="1">
      <c r="A413" t="inlineStr">
        <is>
          <t>A 34482-2025</t>
        </is>
      </c>
      <c r="B413" s="1" t="n">
        <v>45847.38469907407</v>
      </c>
      <c r="C413" s="1" t="n">
        <v>45908</v>
      </c>
      <c r="D413" t="inlineStr">
        <is>
          <t>DALARNAS LÄN</t>
        </is>
      </c>
      <c r="E413" t="inlineStr">
        <is>
          <t>MORA</t>
        </is>
      </c>
      <c r="G413" t="n">
        <v>1.5</v>
      </c>
      <c r="H413" t="n">
        <v>0</v>
      </c>
      <c r="I413" t="n">
        <v>0</v>
      </c>
      <c r="J413" t="n">
        <v>0</v>
      </c>
      <c r="K413" t="n">
        <v>0</v>
      </c>
      <c r="L413" t="n">
        <v>0</v>
      </c>
      <c r="M413" t="n">
        <v>0</v>
      </c>
      <c r="N413" t="n">
        <v>0</v>
      </c>
      <c r="O413" t="n">
        <v>0</v>
      </c>
      <c r="P413" t="n">
        <v>0</v>
      </c>
      <c r="Q413" t="n">
        <v>0</v>
      </c>
      <c r="R413" s="2" t="inlineStr"/>
    </row>
    <row r="414" ht="15" customHeight="1">
      <c r="A414" t="inlineStr">
        <is>
          <t>A 39456-2025</t>
        </is>
      </c>
      <c r="B414" s="1" t="n">
        <v>45889.76200231481</v>
      </c>
      <c r="C414" s="1" t="n">
        <v>45908</v>
      </c>
      <c r="D414" t="inlineStr">
        <is>
          <t>DALARNAS LÄN</t>
        </is>
      </c>
      <c r="E414" t="inlineStr">
        <is>
          <t>MORA</t>
        </is>
      </c>
      <c r="F414" t="inlineStr">
        <is>
          <t>Bergvik skog öst AB</t>
        </is>
      </c>
      <c r="G414" t="n">
        <v>16.7</v>
      </c>
      <c r="H414" t="n">
        <v>0</v>
      </c>
      <c r="I414" t="n">
        <v>0</v>
      </c>
      <c r="J414" t="n">
        <v>0</v>
      </c>
      <c r="K414" t="n">
        <v>0</v>
      </c>
      <c r="L414" t="n">
        <v>0</v>
      </c>
      <c r="M414" t="n">
        <v>0</v>
      </c>
      <c r="N414" t="n">
        <v>0</v>
      </c>
      <c r="O414" t="n">
        <v>0</v>
      </c>
      <c r="P414" t="n">
        <v>0</v>
      </c>
      <c r="Q414" t="n">
        <v>0</v>
      </c>
      <c r="R414" s="2" t="inlineStr"/>
    </row>
    <row r="415" ht="15" customHeight="1">
      <c r="A415" t="inlineStr">
        <is>
          <t>A 34382-2025</t>
        </is>
      </c>
      <c r="B415" s="1" t="n">
        <v>45846</v>
      </c>
      <c r="C415" s="1" t="n">
        <v>45908</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60715-2023</t>
        </is>
      </c>
      <c r="B416" s="1" t="n">
        <v>45260.52684027778</v>
      </c>
      <c r="C416" s="1" t="n">
        <v>45908</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54257-2023</t>
        </is>
      </c>
      <c r="B417" s="1" t="n">
        <v>45232.64195601852</v>
      </c>
      <c r="C417" s="1" t="n">
        <v>45908</v>
      </c>
      <c r="D417" t="inlineStr">
        <is>
          <t>DALARNAS LÄN</t>
        </is>
      </c>
      <c r="E417" t="inlineStr">
        <is>
          <t>MORA</t>
        </is>
      </c>
      <c r="G417" t="n">
        <v>4</v>
      </c>
      <c r="H417" t="n">
        <v>0</v>
      </c>
      <c r="I417" t="n">
        <v>0</v>
      </c>
      <c r="J417" t="n">
        <v>0</v>
      </c>
      <c r="K417" t="n">
        <v>0</v>
      </c>
      <c r="L417" t="n">
        <v>0</v>
      </c>
      <c r="M417" t="n">
        <v>0</v>
      </c>
      <c r="N417" t="n">
        <v>0</v>
      </c>
      <c r="O417" t="n">
        <v>0</v>
      </c>
      <c r="P417" t="n">
        <v>0</v>
      </c>
      <c r="Q417" t="n">
        <v>0</v>
      </c>
      <c r="R417" s="2" t="inlineStr"/>
    </row>
    <row r="418" ht="15" customHeight="1">
      <c r="A418" t="inlineStr">
        <is>
          <t>A 7766-2025</t>
        </is>
      </c>
      <c r="B418" s="1" t="n">
        <v>45706.5562037037</v>
      </c>
      <c r="C418" s="1" t="n">
        <v>45908</v>
      </c>
      <c r="D418" t="inlineStr">
        <is>
          <t>DALARNAS LÄN</t>
        </is>
      </c>
      <c r="E418" t="inlineStr">
        <is>
          <t>MORA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41169-2023</t>
        </is>
      </c>
      <c r="B419" s="1" t="n">
        <v>45174.34662037037</v>
      </c>
      <c r="C419" s="1" t="n">
        <v>45908</v>
      </c>
      <c r="D419" t="inlineStr">
        <is>
          <t>DALARNAS LÄN</t>
        </is>
      </c>
      <c r="E419" t="inlineStr">
        <is>
          <t>MORA</t>
        </is>
      </c>
      <c r="G419" t="n">
        <v>3</v>
      </c>
      <c r="H419" t="n">
        <v>0</v>
      </c>
      <c r="I419" t="n">
        <v>0</v>
      </c>
      <c r="J419" t="n">
        <v>0</v>
      </c>
      <c r="K419" t="n">
        <v>0</v>
      </c>
      <c r="L419" t="n">
        <v>0</v>
      </c>
      <c r="M419" t="n">
        <v>0</v>
      </c>
      <c r="N419" t="n">
        <v>0</v>
      </c>
      <c r="O419" t="n">
        <v>0</v>
      </c>
      <c r="P419" t="n">
        <v>0</v>
      </c>
      <c r="Q419" t="n">
        <v>0</v>
      </c>
      <c r="R419" s="2" t="inlineStr"/>
    </row>
    <row r="420" ht="15" customHeight="1">
      <c r="A420" t="inlineStr">
        <is>
          <t>A 39824-2025</t>
        </is>
      </c>
      <c r="B420" s="1" t="n">
        <v>45891</v>
      </c>
      <c r="C420" s="1" t="n">
        <v>45908</v>
      </c>
      <c r="D420" t="inlineStr">
        <is>
          <t>DALARNAS LÄN</t>
        </is>
      </c>
      <c r="E420" t="inlineStr">
        <is>
          <t>MORA</t>
        </is>
      </c>
      <c r="G420" t="n">
        <v>2</v>
      </c>
      <c r="H420" t="n">
        <v>0</v>
      </c>
      <c r="I420" t="n">
        <v>0</v>
      </c>
      <c r="J420" t="n">
        <v>0</v>
      </c>
      <c r="K420" t="n">
        <v>0</v>
      </c>
      <c r="L420" t="n">
        <v>0</v>
      </c>
      <c r="M420" t="n">
        <v>0</v>
      </c>
      <c r="N420" t="n">
        <v>0</v>
      </c>
      <c r="O420" t="n">
        <v>0</v>
      </c>
      <c r="P420" t="n">
        <v>0</v>
      </c>
      <c r="Q420" t="n">
        <v>0</v>
      </c>
      <c r="R420" s="2" t="inlineStr"/>
    </row>
    <row r="421" ht="15" customHeight="1">
      <c r="A421" t="inlineStr">
        <is>
          <t>A 34933-2025</t>
        </is>
      </c>
      <c r="B421" s="1" t="n">
        <v>45849.57297453703</v>
      </c>
      <c r="C421" s="1" t="n">
        <v>45908</v>
      </c>
      <c r="D421" t="inlineStr">
        <is>
          <t>DALARNAS LÄN</t>
        </is>
      </c>
      <c r="E421" t="inlineStr">
        <is>
          <t>MORA</t>
        </is>
      </c>
      <c r="F421" t="inlineStr">
        <is>
          <t>Bergvik skog väst AB</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39483-2025</t>
        </is>
      </c>
      <c r="B422" s="1" t="n">
        <v>45890.35881944445</v>
      </c>
      <c r="C422" s="1" t="n">
        <v>45908</v>
      </c>
      <c r="D422" t="inlineStr">
        <is>
          <t>DALARNAS LÄN</t>
        </is>
      </c>
      <c r="E422" t="inlineStr">
        <is>
          <t>MORA</t>
        </is>
      </c>
      <c r="G422" t="n">
        <v>0.4</v>
      </c>
      <c r="H422" t="n">
        <v>0</v>
      </c>
      <c r="I422" t="n">
        <v>0</v>
      </c>
      <c r="J422" t="n">
        <v>0</v>
      </c>
      <c r="K422" t="n">
        <v>0</v>
      </c>
      <c r="L422" t="n">
        <v>0</v>
      </c>
      <c r="M422" t="n">
        <v>0</v>
      </c>
      <c r="N422" t="n">
        <v>0</v>
      </c>
      <c r="O422" t="n">
        <v>0</v>
      </c>
      <c r="P422" t="n">
        <v>0</v>
      </c>
      <c r="Q422" t="n">
        <v>0</v>
      </c>
      <c r="R422" s="2" t="inlineStr"/>
    </row>
    <row r="423" ht="15" customHeight="1">
      <c r="A423" t="inlineStr">
        <is>
          <t>A 39481-2025</t>
        </is>
      </c>
      <c r="B423" s="1" t="n">
        <v>45890.35545138889</v>
      </c>
      <c r="C423" s="1" t="n">
        <v>45908</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39478-2025</t>
        </is>
      </c>
      <c r="B424" s="1" t="n">
        <v>45890.3469212963</v>
      </c>
      <c r="C424" s="1" t="n">
        <v>45908</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39480-2025</t>
        </is>
      </c>
      <c r="B425" s="1" t="n">
        <v>45890.35232638889</v>
      </c>
      <c r="C425" s="1" t="n">
        <v>45908</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34715-2025</t>
        </is>
      </c>
      <c r="B426" s="1" t="n">
        <v>45848.52225694444</v>
      </c>
      <c r="C426" s="1" t="n">
        <v>45908</v>
      </c>
      <c r="D426" t="inlineStr">
        <is>
          <t>DALARNAS LÄN</t>
        </is>
      </c>
      <c r="E426" t="inlineStr">
        <is>
          <t>MORA</t>
        </is>
      </c>
      <c r="G426" t="n">
        <v>8.5</v>
      </c>
      <c r="H426" t="n">
        <v>0</v>
      </c>
      <c r="I426" t="n">
        <v>0</v>
      </c>
      <c r="J426" t="n">
        <v>0</v>
      </c>
      <c r="K426" t="n">
        <v>0</v>
      </c>
      <c r="L426" t="n">
        <v>0</v>
      </c>
      <c r="M426" t="n">
        <v>0</v>
      </c>
      <c r="N426" t="n">
        <v>0</v>
      </c>
      <c r="O426" t="n">
        <v>0</v>
      </c>
      <c r="P426" t="n">
        <v>0</v>
      </c>
      <c r="Q426" t="n">
        <v>0</v>
      </c>
      <c r="R426" s="2" t="inlineStr"/>
    </row>
    <row r="427" ht="15" customHeight="1">
      <c r="A427" t="inlineStr">
        <is>
          <t>A 39787-2025</t>
        </is>
      </c>
      <c r="B427" s="1" t="n">
        <v>45891</v>
      </c>
      <c r="C427" s="1" t="n">
        <v>45908</v>
      </c>
      <c r="D427" t="inlineStr">
        <is>
          <t>DALARNAS LÄN</t>
        </is>
      </c>
      <c r="E427" t="inlineStr">
        <is>
          <t>MORA</t>
        </is>
      </c>
      <c r="G427" t="n">
        <v>1.6</v>
      </c>
      <c r="H427" t="n">
        <v>0</v>
      </c>
      <c r="I427" t="n">
        <v>0</v>
      </c>
      <c r="J427" t="n">
        <v>0</v>
      </c>
      <c r="K427" t="n">
        <v>0</v>
      </c>
      <c r="L427" t="n">
        <v>0</v>
      </c>
      <c r="M427" t="n">
        <v>0</v>
      </c>
      <c r="N427" t="n">
        <v>0</v>
      </c>
      <c r="O427" t="n">
        <v>0</v>
      </c>
      <c r="P427" t="n">
        <v>0</v>
      </c>
      <c r="Q427" t="n">
        <v>0</v>
      </c>
      <c r="R427" s="2" t="inlineStr"/>
    </row>
    <row r="428" ht="15" customHeight="1">
      <c r="A428" t="inlineStr">
        <is>
          <t>A 40140-2025</t>
        </is>
      </c>
      <c r="B428" s="1" t="n">
        <v>45894.57016203704</v>
      </c>
      <c r="C428" s="1" t="n">
        <v>45908</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40142-2025</t>
        </is>
      </c>
      <c r="B429" s="1" t="n">
        <v>45894.57202546296</v>
      </c>
      <c r="C429" s="1" t="n">
        <v>45908</v>
      </c>
      <c r="D429" t="inlineStr">
        <is>
          <t>DALARNAS LÄN</t>
        </is>
      </c>
      <c r="E429" t="inlineStr">
        <is>
          <t>MORA</t>
        </is>
      </c>
      <c r="G429" t="n">
        <v>0.4</v>
      </c>
      <c r="H429" t="n">
        <v>0</v>
      </c>
      <c r="I429" t="n">
        <v>0</v>
      </c>
      <c r="J429" t="n">
        <v>0</v>
      </c>
      <c r="K429" t="n">
        <v>0</v>
      </c>
      <c r="L429" t="n">
        <v>0</v>
      </c>
      <c r="M429" t="n">
        <v>0</v>
      </c>
      <c r="N429" t="n">
        <v>0</v>
      </c>
      <c r="O429" t="n">
        <v>0</v>
      </c>
      <c r="P429" t="n">
        <v>0</v>
      </c>
      <c r="Q429" t="n">
        <v>0</v>
      </c>
      <c r="R429" s="2" t="inlineStr"/>
    </row>
    <row r="430" ht="15" customHeight="1">
      <c r="A430" t="inlineStr">
        <is>
          <t>A 40471-2025</t>
        </is>
      </c>
      <c r="B430" s="1" t="n">
        <v>45895.67356481482</v>
      </c>
      <c r="C430" s="1" t="n">
        <v>45908</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40313-2025</t>
        </is>
      </c>
      <c r="B431" s="1" t="n">
        <v>45895.42209490741</v>
      </c>
      <c r="C431" s="1" t="n">
        <v>45908</v>
      </c>
      <c r="D431" t="inlineStr">
        <is>
          <t>DALARNAS LÄN</t>
        </is>
      </c>
      <c r="E431" t="inlineStr">
        <is>
          <t>MORA</t>
        </is>
      </c>
      <c r="G431" t="n">
        <v>16</v>
      </c>
      <c r="H431" t="n">
        <v>0</v>
      </c>
      <c r="I431" t="n">
        <v>0</v>
      </c>
      <c r="J431" t="n">
        <v>0</v>
      </c>
      <c r="K431" t="n">
        <v>0</v>
      </c>
      <c r="L431" t="n">
        <v>0</v>
      </c>
      <c r="M431" t="n">
        <v>0</v>
      </c>
      <c r="N431" t="n">
        <v>0</v>
      </c>
      <c r="O431" t="n">
        <v>0</v>
      </c>
      <c r="P431" t="n">
        <v>0</v>
      </c>
      <c r="Q431" t="n">
        <v>0</v>
      </c>
      <c r="R431" s="2" t="inlineStr"/>
    </row>
    <row r="432" ht="15" customHeight="1">
      <c r="A432" t="inlineStr">
        <is>
          <t>A 40147-2025</t>
        </is>
      </c>
      <c r="B432" s="1" t="n">
        <v>45894.57918981482</v>
      </c>
      <c r="C432" s="1" t="n">
        <v>45908</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35121-2025</t>
        </is>
      </c>
      <c r="B433" s="1" t="n">
        <v>45852.60936342592</v>
      </c>
      <c r="C433" s="1" t="n">
        <v>45908</v>
      </c>
      <c r="D433" t="inlineStr">
        <is>
          <t>DALARNAS LÄN</t>
        </is>
      </c>
      <c r="E433" t="inlineStr">
        <is>
          <t>MORA</t>
        </is>
      </c>
      <c r="F433" t="inlineStr">
        <is>
          <t>Bergvik skog öst AB</t>
        </is>
      </c>
      <c r="G433" t="n">
        <v>15.9</v>
      </c>
      <c r="H433" t="n">
        <v>0</v>
      </c>
      <c r="I433" t="n">
        <v>0</v>
      </c>
      <c r="J433" t="n">
        <v>0</v>
      </c>
      <c r="K433" t="n">
        <v>0</v>
      </c>
      <c r="L433" t="n">
        <v>0</v>
      </c>
      <c r="M433" t="n">
        <v>0</v>
      </c>
      <c r="N433" t="n">
        <v>0</v>
      </c>
      <c r="O433" t="n">
        <v>0</v>
      </c>
      <c r="P433" t="n">
        <v>0</v>
      </c>
      <c r="Q433" t="n">
        <v>0</v>
      </c>
      <c r="R433" s="2" t="inlineStr"/>
    </row>
    <row r="434" ht="15" customHeight="1">
      <c r="A434" t="inlineStr">
        <is>
          <t>A 40661-2025</t>
        </is>
      </c>
      <c r="B434" s="1" t="n">
        <v>45896.64715277778</v>
      </c>
      <c r="C434" s="1" t="n">
        <v>45908</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40660-2025</t>
        </is>
      </c>
      <c r="B435" s="1" t="n">
        <v>45896.64631944444</v>
      </c>
      <c r="C435" s="1" t="n">
        <v>45908</v>
      </c>
      <c r="D435" t="inlineStr">
        <is>
          <t>DALARNAS LÄN</t>
        </is>
      </c>
      <c r="E435" t="inlineStr">
        <is>
          <t>MORA</t>
        </is>
      </c>
      <c r="F435" t="inlineStr">
        <is>
          <t>Bergvik skog väst AB</t>
        </is>
      </c>
      <c r="G435" t="n">
        <v>5.4</v>
      </c>
      <c r="H435" t="n">
        <v>0</v>
      </c>
      <c r="I435" t="n">
        <v>0</v>
      </c>
      <c r="J435" t="n">
        <v>0</v>
      </c>
      <c r="K435" t="n">
        <v>0</v>
      </c>
      <c r="L435" t="n">
        <v>0</v>
      </c>
      <c r="M435" t="n">
        <v>0</v>
      </c>
      <c r="N435" t="n">
        <v>0</v>
      </c>
      <c r="O435" t="n">
        <v>0</v>
      </c>
      <c r="P435" t="n">
        <v>0</v>
      </c>
      <c r="Q435" t="n">
        <v>0</v>
      </c>
      <c r="R435" s="2" t="inlineStr"/>
    </row>
    <row r="436" ht="15" customHeight="1">
      <c r="A436" t="inlineStr">
        <is>
          <t>A 40805-2025</t>
        </is>
      </c>
      <c r="B436" s="1" t="n">
        <v>45897.46659722222</v>
      </c>
      <c r="C436" s="1" t="n">
        <v>45908</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25499-2024</t>
        </is>
      </c>
      <c r="B437" s="1" t="n">
        <v>45463</v>
      </c>
      <c r="C437" s="1" t="n">
        <v>45908</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35407-2025</t>
        </is>
      </c>
      <c r="B438" s="1" t="n">
        <v>45855.35989583333</v>
      </c>
      <c r="C438" s="1" t="n">
        <v>45908</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41410-2025</t>
        </is>
      </c>
      <c r="B439" s="1" t="n">
        <v>45901.35030092593</v>
      </c>
      <c r="C439" s="1" t="n">
        <v>45908</v>
      </c>
      <c r="D439" t="inlineStr">
        <is>
          <t>DALARNAS LÄN</t>
        </is>
      </c>
      <c r="E439" t="inlineStr">
        <is>
          <t>MORA</t>
        </is>
      </c>
      <c r="G439" t="n">
        <v>4.5</v>
      </c>
      <c r="H439" t="n">
        <v>0</v>
      </c>
      <c r="I439" t="n">
        <v>0</v>
      </c>
      <c r="J439" t="n">
        <v>0</v>
      </c>
      <c r="K439" t="n">
        <v>0</v>
      </c>
      <c r="L439" t="n">
        <v>0</v>
      </c>
      <c r="M439" t="n">
        <v>0</v>
      </c>
      <c r="N439" t="n">
        <v>0</v>
      </c>
      <c r="O439" t="n">
        <v>0</v>
      </c>
      <c r="P439" t="n">
        <v>0</v>
      </c>
      <c r="Q439" t="n">
        <v>0</v>
      </c>
      <c r="R439" s="2" t="inlineStr"/>
    </row>
    <row r="440" ht="15" customHeight="1">
      <c r="A440" t="inlineStr">
        <is>
          <t>A 9277-2024</t>
        </is>
      </c>
      <c r="B440" s="1" t="n">
        <v>45358.63265046296</v>
      </c>
      <c r="C440" s="1" t="n">
        <v>45908</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58958-2022</t>
        </is>
      </c>
      <c r="B441" s="1" t="n">
        <v>44903.6605324074</v>
      </c>
      <c r="C441" s="1" t="n">
        <v>45908</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41614-2025</t>
        </is>
      </c>
      <c r="B442" s="1" t="n">
        <v>45901.68267361111</v>
      </c>
      <c r="C442" s="1" t="n">
        <v>45908</v>
      </c>
      <c r="D442" t="inlineStr">
        <is>
          <t>DALARNAS LÄN</t>
        </is>
      </c>
      <c r="E442" t="inlineStr">
        <is>
          <t>MORA</t>
        </is>
      </c>
      <c r="F442" t="inlineStr">
        <is>
          <t>Bergvik skog väst AB</t>
        </is>
      </c>
      <c r="G442" t="n">
        <v>13.8</v>
      </c>
      <c r="H442" t="n">
        <v>0</v>
      </c>
      <c r="I442" t="n">
        <v>0</v>
      </c>
      <c r="J442" t="n">
        <v>0</v>
      </c>
      <c r="K442" t="n">
        <v>0</v>
      </c>
      <c r="L442" t="n">
        <v>0</v>
      </c>
      <c r="M442" t="n">
        <v>0</v>
      </c>
      <c r="N442" t="n">
        <v>0</v>
      </c>
      <c r="O442" t="n">
        <v>0</v>
      </c>
      <c r="P442" t="n">
        <v>0</v>
      </c>
      <c r="Q442" t="n">
        <v>0</v>
      </c>
      <c r="R442" s="2" t="inlineStr"/>
    </row>
    <row r="443" ht="15" customHeight="1">
      <c r="A443" t="inlineStr">
        <is>
          <t>A 41175-2025</t>
        </is>
      </c>
      <c r="B443" s="1" t="n">
        <v>45898.55165509259</v>
      </c>
      <c r="C443" s="1" t="n">
        <v>45908</v>
      </c>
      <c r="D443" t="inlineStr">
        <is>
          <t>DALARNAS LÄN</t>
        </is>
      </c>
      <c r="E443" t="inlineStr">
        <is>
          <t>MORA</t>
        </is>
      </c>
      <c r="G443" t="n">
        <v>4.5</v>
      </c>
      <c r="H443" t="n">
        <v>0</v>
      </c>
      <c r="I443" t="n">
        <v>0</v>
      </c>
      <c r="J443" t="n">
        <v>0</v>
      </c>
      <c r="K443" t="n">
        <v>0</v>
      </c>
      <c r="L443" t="n">
        <v>0</v>
      </c>
      <c r="M443" t="n">
        <v>0</v>
      </c>
      <c r="N443" t="n">
        <v>0</v>
      </c>
      <c r="O443" t="n">
        <v>0</v>
      </c>
      <c r="P443" t="n">
        <v>0</v>
      </c>
      <c r="Q443" t="n">
        <v>0</v>
      </c>
      <c r="R443" s="2" t="inlineStr"/>
    </row>
    <row r="444" ht="15" customHeight="1">
      <c r="A444" t="inlineStr">
        <is>
          <t>A 35611-2025</t>
        </is>
      </c>
      <c r="B444" s="1" t="n">
        <v>45859.35384259259</v>
      </c>
      <c r="C444" s="1" t="n">
        <v>45908</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41200-2025</t>
        </is>
      </c>
      <c r="B445" s="1" t="n">
        <v>45898.5738425926</v>
      </c>
      <c r="C445" s="1" t="n">
        <v>45908</v>
      </c>
      <c r="D445" t="inlineStr">
        <is>
          <t>DALARNAS LÄN</t>
        </is>
      </c>
      <c r="E445" t="inlineStr">
        <is>
          <t>MORA</t>
        </is>
      </c>
      <c r="G445" t="n">
        <v>8.9</v>
      </c>
      <c r="H445" t="n">
        <v>0</v>
      </c>
      <c r="I445" t="n">
        <v>0</v>
      </c>
      <c r="J445" t="n">
        <v>0</v>
      </c>
      <c r="K445" t="n">
        <v>0</v>
      </c>
      <c r="L445" t="n">
        <v>0</v>
      </c>
      <c r="M445" t="n">
        <v>0</v>
      </c>
      <c r="N445" t="n">
        <v>0</v>
      </c>
      <c r="O445" t="n">
        <v>0</v>
      </c>
      <c r="P445" t="n">
        <v>0</v>
      </c>
      <c r="Q445" t="n">
        <v>0</v>
      </c>
      <c r="R445" s="2" t="inlineStr"/>
    </row>
    <row r="446" ht="15" customHeight="1">
      <c r="A446" t="inlineStr">
        <is>
          <t>A 41783-2025</t>
        </is>
      </c>
      <c r="B446" s="1" t="n">
        <v>45902.58721064815</v>
      </c>
      <c r="C446" s="1" t="n">
        <v>45908</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35734-2025</t>
        </is>
      </c>
      <c r="B447" s="1" t="n">
        <v>45860.471875</v>
      </c>
      <c r="C447" s="1" t="n">
        <v>45908</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35623-2025</t>
        </is>
      </c>
      <c r="B448" s="1" t="n">
        <v>45859</v>
      </c>
      <c r="C448" s="1" t="n">
        <v>45908</v>
      </c>
      <c r="D448" t="inlineStr">
        <is>
          <t>DALARNAS LÄN</t>
        </is>
      </c>
      <c r="E448" t="inlineStr">
        <is>
          <t>MORA</t>
        </is>
      </c>
      <c r="F448" t="inlineStr">
        <is>
          <t>Bergvik skog öst AB</t>
        </is>
      </c>
      <c r="G448" t="n">
        <v>1</v>
      </c>
      <c r="H448" t="n">
        <v>0</v>
      </c>
      <c r="I448" t="n">
        <v>0</v>
      </c>
      <c r="J448" t="n">
        <v>0</v>
      </c>
      <c r="K448" t="n">
        <v>0</v>
      </c>
      <c r="L448" t="n">
        <v>0</v>
      </c>
      <c r="M448" t="n">
        <v>0</v>
      </c>
      <c r="N448" t="n">
        <v>0</v>
      </c>
      <c r="O448" t="n">
        <v>0</v>
      </c>
      <c r="P448" t="n">
        <v>0</v>
      </c>
      <c r="Q448" t="n">
        <v>0</v>
      </c>
      <c r="R448" s="2" t="inlineStr"/>
    </row>
    <row r="449" ht="15" customHeight="1">
      <c r="A449" t="inlineStr">
        <is>
          <t>A 35622-2025</t>
        </is>
      </c>
      <c r="B449" s="1" t="n">
        <v>45859</v>
      </c>
      <c r="C449" s="1" t="n">
        <v>45908</v>
      </c>
      <c r="D449" t="inlineStr">
        <is>
          <t>DALARNAS LÄN</t>
        </is>
      </c>
      <c r="E449" t="inlineStr">
        <is>
          <t>MORA</t>
        </is>
      </c>
      <c r="F449" t="inlineStr">
        <is>
          <t>Bergvik skog öst AB</t>
        </is>
      </c>
      <c r="G449" t="n">
        <v>5.8</v>
      </c>
      <c r="H449" t="n">
        <v>0</v>
      </c>
      <c r="I449" t="n">
        <v>0</v>
      </c>
      <c r="J449" t="n">
        <v>0</v>
      </c>
      <c r="K449" t="n">
        <v>0</v>
      </c>
      <c r="L449" t="n">
        <v>0</v>
      </c>
      <c r="M449" t="n">
        <v>0</v>
      </c>
      <c r="N449" t="n">
        <v>0</v>
      </c>
      <c r="O449" t="n">
        <v>0</v>
      </c>
      <c r="P449" t="n">
        <v>0</v>
      </c>
      <c r="Q449" t="n">
        <v>0</v>
      </c>
      <c r="R449" s="2" t="inlineStr"/>
    </row>
    <row r="450" ht="15" customHeight="1">
      <c r="A450" t="inlineStr">
        <is>
          <t>A 52908-2023</t>
        </is>
      </c>
      <c r="B450" s="1" t="n">
        <v>45226.49950231481</v>
      </c>
      <c r="C450" s="1" t="n">
        <v>45908</v>
      </c>
      <c r="D450" t="inlineStr">
        <is>
          <t>DALARNAS LÄN</t>
        </is>
      </c>
      <c r="E450" t="inlineStr">
        <is>
          <t>MORA</t>
        </is>
      </c>
      <c r="G450" t="n">
        <v>3.3</v>
      </c>
      <c r="H450" t="n">
        <v>0</v>
      </c>
      <c r="I450" t="n">
        <v>0</v>
      </c>
      <c r="J450" t="n">
        <v>0</v>
      </c>
      <c r="K450" t="n">
        <v>0</v>
      </c>
      <c r="L450" t="n">
        <v>0</v>
      </c>
      <c r="M450" t="n">
        <v>0</v>
      </c>
      <c r="N450" t="n">
        <v>0</v>
      </c>
      <c r="O450" t="n">
        <v>0</v>
      </c>
      <c r="P450" t="n">
        <v>0</v>
      </c>
      <c r="Q450" t="n">
        <v>0</v>
      </c>
      <c r="R450" s="2" t="inlineStr"/>
    </row>
    <row r="451" ht="15" customHeight="1">
      <c r="A451" t="inlineStr">
        <is>
          <t>A 41794-2025</t>
        </is>
      </c>
      <c r="B451" s="1" t="n">
        <v>45902.60008101852</v>
      </c>
      <c r="C451" s="1" t="n">
        <v>45908</v>
      </c>
      <c r="D451" t="inlineStr">
        <is>
          <t>DALARNAS LÄN</t>
        </is>
      </c>
      <c r="E451" t="inlineStr">
        <is>
          <t>MORA</t>
        </is>
      </c>
      <c r="G451" t="n">
        <v>14.4</v>
      </c>
      <c r="H451" t="n">
        <v>0</v>
      </c>
      <c r="I451" t="n">
        <v>0</v>
      </c>
      <c r="J451" t="n">
        <v>0</v>
      </c>
      <c r="K451" t="n">
        <v>0</v>
      </c>
      <c r="L451" t="n">
        <v>0</v>
      </c>
      <c r="M451" t="n">
        <v>0</v>
      </c>
      <c r="N451" t="n">
        <v>0</v>
      </c>
      <c r="O451" t="n">
        <v>0</v>
      </c>
      <c r="P451" t="n">
        <v>0</v>
      </c>
      <c r="Q451" t="n">
        <v>0</v>
      </c>
      <c r="R451" s="2" t="inlineStr"/>
    </row>
    <row r="452" ht="15" customHeight="1">
      <c r="A452" t="inlineStr">
        <is>
          <t>A 43826-2022</t>
        </is>
      </c>
      <c r="B452" s="1" t="n">
        <v>44838</v>
      </c>
      <c r="C452" s="1" t="n">
        <v>45908</v>
      </c>
      <c r="D452" t="inlineStr">
        <is>
          <t>DALARNAS LÄN</t>
        </is>
      </c>
      <c r="E452" t="inlineStr">
        <is>
          <t>MORA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44106-2023</t>
        </is>
      </c>
      <c r="B453" s="1" t="n">
        <v>45188</v>
      </c>
      <c r="C453" s="1" t="n">
        <v>45908</v>
      </c>
      <c r="D453" t="inlineStr">
        <is>
          <t>DALARNAS LÄN</t>
        </is>
      </c>
      <c r="E453" t="inlineStr">
        <is>
          <t>MORA</t>
        </is>
      </c>
      <c r="G453" t="n">
        <v>10.1</v>
      </c>
      <c r="H453" t="n">
        <v>0</v>
      </c>
      <c r="I453" t="n">
        <v>0</v>
      </c>
      <c r="J453" t="n">
        <v>0</v>
      </c>
      <c r="K453" t="n">
        <v>0</v>
      </c>
      <c r="L453" t="n">
        <v>0</v>
      </c>
      <c r="M453" t="n">
        <v>0</v>
      </c>
      <c r="N453" t="n">
        <v>0</v>
      </c>
      <c r="O453" t="n">
        <v>0</v>
      </c>
      <c r="P453" t="n">
        <v>0</v>
      </c>
      <c r="Q453" t="n">
        <v>0</v>
      </c>
      <c r="R453" s="2" t="inlineStr"/>
    </row>
    <row r="454" ht="15" customHeight="1">
      <c r="A454" t="inlineStr">
        <is>
          <t>A 41855-2025</t>
        </is>
      </c>
      <c r="B454" s="1" t="n">
        <v>45902.93693287037</v>
      </c>
      <c r="C454" s="1" t="n">
        <v>45908</v>
      </c>
      <c r="D454" t="inlineStr">
        <is>
          <t>DALARNAS LÄN</t>
        </is>
      </c>
      <c r="E454" t="inlineStr">
        <is>
          <t>MORA</t>
        </is>
      </c>
      <c r="G454" t="n">
        <v>0.5</v>
      </c>
      <c r="H454" t="n">
        <v>0</v>
      </c>
      <c r="I454" t="n">
        <v>0</v>
      </c>
      <c r="J454" t="n">
        <v>0</v>
      </c>
      <c r="K454" t="n">
        <v>0</v>
      </c>
      <c r="L454" t="n">
        <v>0</v>
      </c>
      <c r="M454" t="n">
        <v>0</v>
      </c>
      <c r="N454" t="n">
        <v>0</v>
      </c>
      <c r="O454" t="n">
        <v>0</v>
      </c>
      <c r="P454" t="n">
        <v>0</v>
      </c>
      <c r="Q454" t="n">
        <v>0</v>
      </c>
      <c r="R454" s="2" t="inlineStr"/>
    </row>
    <row r="455" ht="15" customHeight="1">
      <c r="A455" t="inlineStr">
        <is>
          <t>A 35624-2025</t>
        </is>
      </c>
      <c r="B455" s="1" t="n">
        <v>45859</v>
      </c>
      <c r="C455" s="1" t="n">
        <v>45908</v>
      </c>
      <c r="D455" t="inlineStr">
        <is>
          <t>DALARNAS LÄN</t>
        </is>
      </c>
      <c r="E455" t="inlineStr">
        <is>
          <t>MORA</t>
        </is>
      </c>
      <c r="F455" t="inlineStr">
        <is>
          <t>Bergvik skog öst AB</t>
        </is>
      </c>
      <c r="G455" t="n">
        <v>0.8</v>
      </c>
      <c r="H455" t="n">
        <v>0</v>
      </c>
      <c r="I455" t="n">
        <v>0</v>
      </c>
      <c r="J455" t="n">
        <v>0</v>
      </c>
      <c r="K455" t="n">
        <v>0</v>
      </c>
      <c r="L455" t="n">
        <v>0</v>
      </c>
      <c r="M455" t="n">
        <v>0</v>
      </c>
      <c r="N455" t="n">
        <v>0</v>
      </c>
      <c r="O455" t="n">
        <v>0</v>
      </c>
      <c r="P455" t="n">
        <v>0</v>
      </c>
      <c r="Q455" t="n">
        <v>0</v>
      </c>
      <c r="R455" s="2" t="inlineStr"/>
    </row>
    <row r="456" ht="15" customHeight="1">
      <c r="A456" t="inlineStr">
        <is>
          <t>A 18214-2024</t>
        </is>
      </c>
      <c r="B456" s="1" t="n">
        <v>45420</v>
      </c>
      <c r="C456" s="1" t="n">
        <v>45908</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62268-2020</t>
        </is>
      </c>
      <c r="B457" s="1" t="n">
        <v>44160</v>
      </c>
      <c r="C457" s="1" t="n">
        <v>45908</v>
      </c>
      <c r="D457" t="inlineStr">
        <is>
          <t>DALARNAS LÄN</t>
        </is>
      </c>
      <c r="E457" t="inlineStr">
        <is>
          <t>MORA</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59002-2024</t>
        </is>
      </c>
      <c r="B458" s="1" t="n">
        <v>45636</v>
      </c>
      <c r="C458" s="1" t="n">
        <v>45908</v>
      </c>
      <c r="D458" t="inlineStr">
        <is>
          <t>DALARNAS LÄN</t>
        </is>
      </c>
      <c r="E458" t="inlineStr">
        <is>
          <t>MORA</t>
        </is>
      </c>
      <c r="F458" t="inlineStr">
        <is>
          <t>Bergvik skog väst AB</t>
        </is>
      </c>
      <c r="G458" t="n">
        <v>24.8</v>
      </c>
      <c r="H458" t="n">
        <v>0</v>
      </c>
      <c r="I458" t="n">
        <v>0</v>
      </c>
      <c r="J458" t="n">
        <v>0</v>
      </c>
      <c r="K458" t="n">
        <v>0</v>
      </c>
      <c r="L458" t="n">
        <v>0</v>
      </c>
      <c r="M458" t="n">
        <v>0</v>
      </c>
      <c r="N458" t="n">
        <v>0</v>
      </c>
      <c r="O458" t="n">
        <v>0</v>
      </c>
      <c r="P458" t="n">
        <v>0</v>
      </c>
      <c r="Q458" t="n">
        <v>0</v>
      </c>
      <c r="R458" s="2" t="inlineStr"/>
    </row>
    <row r="459" ht="15" customHeight="1">
      <c r="A459" t="inlineStr">
        <is>
          <t>A 5980-2025</t>
        </is>
      </c>
      <c r="B459" s="1" t="n">
        <v>45695.54651620371</v>
      </c>
      <c r="C459" s="1" t="n">
        <v>45908</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60465-2023</t>
        </is>
      </c>
      <c r="B460" s="1" t="n">
        <v>45259.57872685185</v>
      </c>
      <c r="C460" s="1" t="n">
        <v>45908</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61654-2024</t>
        </is>
      </c>
      <c r="B461" s="1" t="n">
        <v>45646.74988425926</v>
      </c>
      <c r="C461" s="1" t="n">
        <v>45908</v>
      </c>
      <c r="D461" t="inlineStr">
        <is>
          <t>DALARNAS LÄN</t>
        </is>
      </c>
      <c r="E461" t="inlineStr">
        <is>
          <t>MORA</t>
        </is>
      </c>
      <c r="G461" t="n">
        <v>1.7</v>
      </c>
      <c r="H461" t="n">
        <v>0</v>
      </c>
      <c r="I461" t="n">
        <v>0</v>
      </c>
      <c r="J461" t="n">
        <v>0</v>
      </c>
      <c r="K461" t="n">
        <v>0</v>
      </c>
      <c r="L461" t="n">
        <v>0</v>
      </c>
      <c r="M461" t="n">
        <v>0</v>
      </c>
      <c r="N461" t="n">
        <v>0</v>
      </c>
      <c r="O461" t="n">
        <v>0</v>
      </c>
      <c r="P461" t="n">
        <v>0</v>
      </c>
      <c r="Q461" t="n">
        <v>0</v>
      </c>
      <c r="R461" s="2" t="inlineStr"/>
    </row>
    <row r="462" ht="15" customHeight="1">
      <c r="A462" t="inlineStr">
        <is>
          <t>A 60428-2023</t>
        </is>
      </c>
      <c r="B462" s="1" t="n">
        <v>45259.50996527778</v>
      </c>
      <c r="C462" s="1" t="n">
        <v>45908</v>
      </c>
      <c r="D462" t="inlineStr">
        <is>
          <t>DALARNAS LÄN</t>
        </is>
      </c>
      <c r="E462" t="inlineStr">
        <is>
          <t>MORA</t>
        </is>
      </c>
      <c r="G462" t="n">
        <v>4.9</v>
      </c>
      <c r="H462" t="n">
        <v>0</v>
      </c>
      <c r="I462" t="n">
        <v>0</v>
      </c>
      <c r="J462" t="n">
        <v>0</v>
      </c>
      <c r="K462" t="n">
        <v>0</v>
      </c>
      <c r="L462" t="n">
        <v>0</v>
      </c>
      <c r="M462" t="n">
        <v>0</v>
      </c>
      <c r="N462" t="n">
        <v>0</v>
      </c>
      <c r="O462" t="n">
        <v>0</v>
      </c>
      <c r="P462" t="n">
        <v>0</v>
      </c>
      <c r="Q462" t="n">
        <v>0</v>
      </c>
      <c r="R462" s="2" t="inlineStr"/>
    </row>
    <row r="463" ht="15" customHeight="1">
      <c r="A463" t="inlineStr">
        <is>
          <t>A 2308-2023</t>
        </is>
      </c>
      <c r="B463" s="1" t="n">
        <v>44942.57987268519</v>
      </c>
      <c r="C463" s="1" t="n">
        <v>45908</v>
      </c>
      <c r="D463" t="inlineStr">
        <is>
          <t>DALARNAS LÄN</t>
        </is>
      </c>
      <c r="E463" t="inlineStr">
        <is>
          <t>MORA</t>
        </is>
      </c>
      <c r="G463" t="n">
        <v>2.2</v>
      </c>
      <c r="H463" t="n">
        <v>0</v>
      </c>
      <c r="I463" t="n">
        <v>0</v>
      </c>
      <c r="J463" t="n">
        <v>0</v>
      </c>
      <c r="K463" t="n">
        <v>0</v>
      </c>
      <c r="L463" t="n">
        <v>0</v>
      </c>
      <c r="M463" t="n">
        <v>0</v>
      </c>
      <c r="N463" t="n">
        <v>0</v>
      </c>
      <c r="O463" t="n">
        <v>0</v>
      </c>
      <c r="P463" t="n">
        <v>0</v>
      </c>
      <c r="Q463" t="n">
        <v>0</v>
      </c>
      <c r="R463" s="2" t="inlineStr"/>
    </row>
    <row r="464" ht="15" customHeight="1">
      <c r="A464" t="inlineStr">
        <is>
          <t>A 42112-2025</t>
        </is>
      </c>
      <c r="B464" s="1" t="n">
        <v>45904.32134259259</v>
      </c>
      <c r="C464" s="1" t="n">
        <v>45908</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53159-2024</t>
        </is>
      </c>
      <c r="B465" s="1" t="n">
        <v>45611.63849537037</v>
      </c>
      <c r="C465" s="1" t="n">
        <v>45908</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29754-2022</t>
        </is>
      </c>
      <c r="B466" s="1" t="n">
        <v>44755.59188657408</v>
      </c>
      <c r="C466" s="1" t="n">
        <v>45908</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27188-2023</t>
        </is>
      </c>
      <c r="B467" s="1" t="n">
        <v>45096</v>
      </c>
      <c r="C467" s="1" t="n">
        <v>45908</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56268-2024</t>
        </is>
      </c>
      <c r="B468" s="1" t="n">
        <v>45624.65785879629</v>
      </c>
      <c r="C468" s="1" t="n">
        <v>45908</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5527-2024</t>
        </is>
      </c>
      <c r="B469" s="1" t="n">
        <v>45334.38981481481</v>
      </c>
      <c r="C469" s="1" t="n">
        <v>45908</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39856-2024</t>
        </is>
      </c>
      <c r="B470" s="1" t="n">
        <v>45553.44084490741</v>
      </c>
      <c r="C470" s="1" t="n">
        <v>45908</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52288-2024</t>
        </is>
      </c>
      <c r="B471" s="1" t="n">
        <v>45608.69395833334</v>
      </c>
      <c r="C471" s="1" t="n">
        <v>45908</v>
      </c>
      <c r="D471" t="inlineStr">
        <is>
          <t>DALARNAS LÄN</t>
        </is>
      </c>
      <c r="E471" t="inlineStr">
        <is>
          <t>MORA</t>
        </is>
      </c>
      <c r="G471" t="n">
        <v>2</v>
      </c>
      <c r="H471" t="n">
        <v>0</v>
      </c>
      <c r="I471" t="n">
        <v>0</v>
      </c>
      <c r="J471" t="n">
        <v>0</v>
      </c>
      <c r="K471" t="n">
        <v>0</v>
      </c>
      <c r="L471" t="n">
        <v>0</v>
      </c>
      <c r="M471" t="n">
        <v>0</v>
      </c>
      <c r="N471" t="n">
        <v>0</v>
      </c>
      <c r="O471" t="n">
        <v>0</v>
      </c>
      <c r="P471" t="n">
        <v>0</v>
      </c>
      <c r="Q471" t="n">
        <v>0</v>
      </c>
      <c r="R471" s="2" t="inlineStr"/>
    </row>
    <row r="472" ht="15" customHeight="1">
      <c r="A472" t="inlineStr">
        <is>
          <t>A 43879-2022</t>
        </is>
      </c>
      <c r="B472" s="1" t="n">
        <v>44838.46721064814</v>
      </c>
      <c r="C472" s="1" t="n">
        <v>45908</v>
      </c>
      <c r="D472" t="inlineStr">
        <is>
          <t>DALARNAS LÄN</t>
        </is>
      </c>
      <c r="E472" t="inlineStr">
        <is>
          <t>MORA</t>
        </is>
      </c>
      <c r="G472" t="n">
        <v>3.4</v>
      </c>
      <c r="H472" t="n">
        <v>0</v>
      </c>
      <c r="I472" t="n">
        <v>0</v>
      </c>
      <c r="J472" t="n">
        <v>0</v>
      </c>
      <c r="K472" t="n">
        <v>0</v>
      </c>
      <c r="L472" t="n">
        <v>0</v>
      </c>
      <c r="M472" t="n">
        <v>0</v>
      </c>
      <c r="N472" t="n">
        <v>0</v>
      </c>
      <c r="O472" t="n">
        <v>0</v>
      </c>
      <c r="P472" t="n">
        <v>0</v>
      </c>
      <c r="Q472" t="n">
        <v>0</v>
      </c>
      <c r="R472" s="2" t="inlineStr"/>
    </row>
    <row r="473" ht="15" customHeight="1">
      <c r="A473" t="inlineStr">
        <is>
          <t>A 14641-2023</t>
        </is>
      </c>
      <c r="B473" s="1" t="n">
        <v>45013</v>
      </c>
      <c r="C473" s="1" t="n">
        <v>45908</v>
      </c>
      <c r="D473" t="inlineStr">
        <is>
          <t>DALARNAS LÄN</t>
        </is>
      </c>
      <c r="E473" t="inlineStr">
        <is>
          <t>MORA</t>
        </is>
      </c>
      <c r="G473" t="n">
        <v>1.5</v>
      </c>
      <c r="H473" t="n">
        <v>0</v>
      </c>
      <c r="I473" t="n">
        <v>0</v>
      </c>
      <c r="J473" t="n">
        <v>0</v>
      </c>
      <c r="K473" t="n">
        <v>0</v>
      </c>
      <c r="L473" t="n">
        <v>0</v>
      </c>
      <c r="M473" t="n">
        <v>0</v>
      </c>
      <c r="N473" t="n">
        <v>0</v>
      </c>
      <c r="O473" t="n">
        <v>0</v>
      </c>
      <c r="P473" t="n">
        <v>0</v>
      </c>
      <c r="Q473" t="n">
        <v>0</v>
      </c>
      <c r="R473" s="2" t="inlineStr"/>
    </row>
    <row r="474" ht="15" customHeight="1">
      <c r="A474" t="inlineStr">
        <is>
          <t>A 62266-2020</t>
        </is>
      </c>
      <c r="B474" s="1" t="n">
        <v>44160.35008101852</v>
      </c>
      <c r="C474" s="1" t="n">
        <v>45908</v>
      </c>
      <c r="D474" t="inlineStr">
        <is>
          <t>DALARNAS LÄN</t>
        </is>
      </c>
      <c r="E474" t="inlineStr">
        <is>
          <t>MORA</t>
        </is>
      </c>
      <c r="F474" t="inlineStr">
        <is>
          <t>Bergvik skog väst AB</t>
        </is>
      </c>
      <c r="G474" t="n">
        <v>5.9</v>
      </c>
      <c r="H474" t="n">
        <v>0</v>
      </c>
      <c r="I474" t="n">
        <v>0</v>
      </c>
      <c r="J474" t="n">
        <v>0</v>
      </c>
      <c r="K474" t="n">
        <v>0</v>
      </c>
      <c r="L474" t="n">
        <v>0</v>
      </c>
      <c r="M474" t="n">
        <v>0</v>
      </c>
      <c r="N474" t="n">
        <v>0</v>
      </c>
      <c r="O474" t="n">
        <v>0</v>
      </c>
      <c r="P474" t="n">
        <v>0</v>
      </c>
      <c r="Q474" t="n">
        <v>0</v>
      </c>
      <c r="R474" s="2" t="inlineStr"/>
    </row>
    <row r="475" ht="15" customHeight="1">
      <c r="A475" t="inlineStr">
        <is>
          <t>A 12920-2022</t>
        </is>
      </c>
      <c r="B475" s="1" t="n">
        <v>44642.65418981481</v>
      </c>
      <c r="C475" s="1" t="n">
        <v>45908</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57408-2024</t>
        </is>
      </c>
      <c r="B476" s="1" t="n">
        <v>45629</v>
      </c>
      <c r="C476" s="1" t="n">
        <v>45908</v>
      </c>
      <c r="D476" t="inlineStr">
        <is>
          <t>DALARNAS LÄN</t>
        </is>
      </c>
      <c r="E476" t="inlineStr">
        <is>
          <t>MORA</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1252-2025</t>
        </is>
      </c>
      <c r="B477" s="1" t="n">
        <v>45667.46648148148</v>
      </c>
      <c r="C477" s="1" t="n">
        <v>45908</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17280-2025</t>
        </is>
      </c>
      <c r="B478" s="1" t="n">
        <v>45756</v>
      </c>
      <c r="C478" s="1" t="n">
        <v>45908</v>
      </c>
      <c r="D478" t="inlineStr">
        <is>
          <t>DALARNAS LÄN</t>
        </is>
      </c>
      <c r="E478" t="inlineStr">
        <is>
          <t>MORA</t>
        </is>
      </c>
      <c r="G478" t="n">
        <v>2.1</v>
      </c>
      <c r="H478" t="n">
        <v>0</v>
      </c>
      <c r="I478" t="n">
        <v>0</v>
      </c>
      <c r="J478" t="n">
        <v>0</v>
      </c>
      <c r="K478" t="n">
        <v>0</v>
      </c>
      <c r="L478" t="n">
        <v>0</v>
      </c>
      <c r="M478" t="n">
        <v>0</v>
      </c>
      <c r="N478" t="n">
        <v>0</v>
      </c>
      <c r="O478" t="n">
        <v>0</v>
      </c>
      <c r="P478" t="n">
        <v>0</v>
      </c>
      <c r="Q478" t="n">
        <v>0</v>
      </c>
      <c r="R478" s="2" t="inlineStr"/>
    </row>
    <row r="479" ht="15" customHeight="1">
      <c r="A479" t="inlineStr">
        <is>
          <t>A 9554-2025</t>
        </is>
      </c>
      <c r="B479" s="1" t="n">
        <v>45715.59936342593</v>
      </c>
      <c r="C479" s="1" t="n">
        <v>45908</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53546-2024</t>
        </is>
      </c>
      <c r="B480" s="1" t="n">
        <v>45614.63725694444</v>
      </c>
      <c r="C480" s="1" t="n">
        <v>45908</v>
      </c>
      <c r="D480" t="inlineStr">
        <is>
          <t>DALARNAS LÄN</t>
        </is>
      </c>
      <c r="E480" t="inlineStr">
        <is>
          <t>MORA</t>
        </is>
      </c>
      <c r="G480" t="n">
        <v>2.6</v>
      </c>
      <c r="H480" t="n">
        <v>0</v>
      </c>
      <c r="I480" t="n">
        <v>0</v>
      </c>
      <c r="J480" t="n">
        <v>0</v>
      </c>
      <c r="K480" t="n">
        <v>0</v>
      </c>
      <c r="L480" t="n">
        <v>0</v>
      </c>
      <c r="M480" t="n">
        <v>0</v>
      </c>
      <c r="N480" t="n">
        <v>0</v>
      </c>
      <c r="O480" t="n">
        <v>0</v>
      </c>
      <c r="P480" t="n">
        <v>0</v>
      </c>
      <c r="Q480" t="n">
        <v>0</v>
      </c>
      <c r="R480" s="2" t="inlineStr"/>
    </row>
    <row r="481" ht="15" customHeight="1">
      <c r="A481" t="inlineStr">
        <is>
          <t>A 34282-2024</t>
        </is>
      </c>
      <c r="B481" s="1" t="n">
        <v>45524.62600694445</v>
      </c>
      <c r="C481" s="1" t="n">
        <v>45908</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571-2024</t>
        </is>
      </c>
      <c r="B482" s="1" t="n">
        <v>45299</v>
      </c>
      <c r="C482" s="1" t="n">
        <v>45908</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20549-2025</t>
        </is>
      </c>
      <c r="B483" s="1" t="n">
        <v>45775.63459490741</v>
      </c>
      <c r="C483" s="1" t="n">
        <v>45908</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12478-2025</t>
        </is>
      </c>
      <c r="B484" s="1" t="n">
        <v>45730.57429398148</v>
      </c>
      <c r="C484" s="1" t="n">
        <v>45908</v>
      </c>
      <c r="D484" t="inlineStr">
        <is>
          <t>DALARNAS LÄN</t>
        </is>
      </c>
      <c r="E484" t="inlineStr">
        <is>
          <t>MORA</t>
        </is>
      </c>
      <c r="F484" t="inlineStr">
        <is>
          <t>Bergvik skog öst AB</t>
        </is>
      </c>
      <c r="G484" t="n">
        <v>1.6</v>
      </c>
      <c r="H484" t="n">
        <v>0</v>
      </c>
      <c r="I484" t="n">
        <v>0</v>
      </c>
      <c r="J484" t="n">
        <v>0</v>
      </c>
      <c r="K484" t="n">
        <v>0</v>
      </c>
      <c r="L484" t="n">
        <v>0</v>
      </c>
      <c r="M484" t="n">
        <v>0</v>
      </c>
      <c r="N484" t="n">
        <v>0</v>
      </c>
      <c r="O484" t="n">
        <v>0</v>
      </c>
      <c r="P484" t="n">
        <v>0</v>
      </c>
      <c r="Q484" t="n">
        <v>0</v>
      </c>
      <c r="R484" s="2" t="inlineStr"/>
    </row>
    <row r="485" ht="15" customHeight="1">
      <c r="A485" t="inlineStr">
        <is>
          <t>A 38055-2024</t>
        </is>
      </c>
      <c r="B485" s="1" t="n">
        <v>45544</v>
      </c>
      <c r="C485" s="1" t="n">
        <v>45908</v>
      </c>
      <c r="D485" t="inlineStr">
        <is>
          <t>DALARNAS LÄN</t>
        </is>
      </c>
      <c r="E485" t="inlineStr">
        <is>
          <t>MORA</t>
        </is>
      </c>
      <c r="G485" t="n">
        <v>0.7</v>
      </c>
      <c r="H485" t="n">
        <v>0</v>
      </c>
      <c r="I485" t="n">
        <v>0</v>
      </c>
      <c r="J485" t="n">
        <v>0</v>
      </c>
      <c r="K485" t="n">
        <v>0</v>
      </c>
      <c r="L485" t="n">
        <v>0</v>
      </c>
      <c r="M485" t="n">
        <v>0</v>
      </c>
      <c r="N485" t="n">
        <v>0</v>
      </c>
      <c r="O485" t="n">
        <v>0</v>
      </c>
      <c r="P485" t="n">
        <v>0</v>
      </c>
      <c r="Q485" t="n">
        <v>0</v>
      </c>
      <c r="R485" s="2" t="inlineStr"/>
    </row>
    <row r="486" ht="15" customHeight="1">
      <c r="A486" t="inlineStr">
        <is>
          <t>A 7116-2024</t>
        </is>
      </c>
      <c r="B486" s="1" t="n">
        <v>45343.95445601852</v>
      </c>
      <c r="C486" s="1" t="n">
        <v>45908</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22785-2023</t>
        </is>
      </c>
      <c r="B487" s="1" t="n">
        <v>45072.34796296297</v>
      </c>
      <c r="C487" s="1" t="n">
        <v>45908</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53743-2024</t>
        </is>
      </c>
      <c r="B488" s="1" t="n">
        <v>45615.47137731482</v>
      </c>
      <c r="C488" s="1" t="n">
        <v>45908</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60718-2023</t>
        </is>
      </c>
      <c r="B489" s="1" t="n">
        <v>45260.5284375</v>
      </c>
      <c r="C489" s="1" t="n">
        <v>45908</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7972-2024</t>
        </is>
      </c>
      <c r="B490" s="1" t="n">
        <v>45350</v>
      </c>
      <c r="C490" s="1" t="n">
        <v>45908</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16637-2025</t>
        </is>
      </c>
      <c r="B491" s="1" t="n">
        <v>45754.36738425926</v>
      </c>
      <c r="C491" s="1" t="n">
        <v>45908</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8146-2021</t>
        </is>
      </c>
      <c r="B492" s="1" t="n">
        <v>44244</v>
      </c>
      <c r="C492" s="1" t="n">
        <v>45908</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18806-2025</t>
        </is>
      </c>
      <c r="B493" s="1" t="n">
        <v>45764.35269675926</v>
      </c>
      <c r="C493" s="1" t="n">
        <v>45908</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54628-2024</t>
        </is>
      </c>
      <c r="B494" s="1" t="n">
        <v>45617.83969907407</v>
      </c>
      <c r="C494" s="1" t="n">
        <v>45908</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49991-2023</t>
        </is>
      </c>
      <c r="B495" s="1" t="n">
        <v>45215.43879629629</v>
      </c>
      <c r="C495" s="1" t="n">
        <v>45908</v>
      </c>
      <c r="D495" t="inlineStr">
        <is>
          <t>DALARNAS LÄN</t>
        </is>
      </c>
      <c r="E495" t="inlineStr">
        <is>
          <t>MORA</t>
        </is>
      </c>
      <c r="G495" t="n">
        <v>1.8</v>
      </c>
      <c r="H495" t="n">
        <v>0</v>
      </c>
      <c r="I495" t="n">
        <v>0</v>
      </c>
      <c r="J495" t="n">
        <v>0</v>
      </c>
      <c r="K495" t="n">
        <v>0</v>
      </c>
      <c r="L495" t="n">
        <v>0</v>
      </c>
      <c r="M495" t="n">
        <v>0</v>
      </c>
      <c r="N495" t="n">
        <v>0</v>
      </c>
      <c r="O495" t="n">
        <v>0</v>
      </c>
      <c r="P495" t="n">
        <v>0</v>
      </c>
      <c r="Q495" t="n">
        <v>0</v>
      </c>
      <c r="R495" s="2" t="inlineStr"/>
    </row>
    <row r="496" ht="15" customHeight="1">
      <c r="A496" t="inlineStr">
        <is>
          <t>A 28131-2024</t>
        </is>
      </c>
      <c r="B496" s="1" t="n">
        <v>45476.68435185185</v>
      </c>
      <c r="C496" s="1" t="n">
        <v>45908</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28132-2024</t>
        </is>
      </c>
      <c r="B497" s="1" t="n">
        <v>45476.68616898148</v>
      </c>
      <c r="C497" s="1" t="n">
        <v>45908</v>
      </c>
      <c r="D497" t="inlineStr">
        <is>
          <t>DALARNAS LÄN</t>
        </is>
      </c>
      <c r="E497" t="inlineStr">
        <is>
          <t>MORA</t>
        </is>
      </c>
      <c r="G497" t="n">
        <v>0.2</v>
      </c>
      <c r="H497" t="n">
        <v>0</v>
      </c>
      <c r="I497" t="n">
        <v>0</v>
      </c>
      <c r="J497" t="n">
        <v>0</v>
      </c>
      <c r="K497" t="n">
        <v>0</v>
      </c>
      <c r="L497" t="n">
        <v>0</v>
      </c>
      <c r="M497" t="n">
        <v>0</v>
      </c>
      <c r="N497" t="n">
        <v>0</v>
      </c>
      <c r="O497" t="n">
        <v>0</v>
      </c>
      <c r="P497" t="n">
        <v>0</v>
      </c>
      <c r="Q497" t="n">
        <v>0</v>
      </c>
      <c r="R497" s="2" t="inlineStr"/>
    </row>
    <row r="498" ht="15" customHeight="1">
      <c r="A498" t="inlineStr">
        <is>
          <t>A 59448-2022</t>
        </is>
      </c>
      <c r="B498" s="1" t="n">
        <v>44907</v>
      </c>
      <c r="C498" s="1" t="n">
        <v>45908</v>
      </c>
      <c r="D498" t="inlineStr">
        <is>
          <t>DALARNAS LÄN</t>
        </is>
      </c>
      <c r="E498" t="inlineStr">
        <is>
          <t>MORA</t>
        </is>
      </c>
      <c r="G498" t="n">
        <v>35.7</v>
      </c>
      <c r="H498" t="n">
        <v>0</v>
      </c>
      <c r="I498" t="n">
        <v>0</v>
      </c>
      <c r="J498" t="n">
        <v>0</v>
      </c>
      <c r="K498" t="n">
        <v>0</v>
      </c>
      <c r="L498" t="n">
        <v>0</v>
      </c>
      <c r="M498" t="n">
        <v>0</v>
      </c>
      <c r="N498" t="n">
        <v>0</v>
      </c>
      <c r="O498" t="n">
        <v>0</v>
      </c>
      <c r="P498" t="n">
        <v>0</v>
      </c>
      <c r="Q498" t="n">
        <v>0</v>
      </c>
      <c r="R498" s="2" t="inlineStr"/>
    </row>
    <row r="499" ht="15" customHeight="1">
      <c r="A499" t="inlineStr">
        <is>
          <t>A 57319-2023</t>
        </is>
      </c>
      <c r="B499" s="1" t="n">
        <v>45245.64877314815</v>
      </c>
      <c r="C499" s="1" t="n">
        <v>45908</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43498-2023</t>
        </is>
      </c>
      <c r="B500" s="1" t="n">
        <v>45184</v>
      </c>
      <c r="C500" s="1" t="n">
        <v>45908</v>
      </c>
      <c r="D500" t="inlineStr">
        <is>
          <t>DALARNAS LÄN</t>
        </is>
      </c>
      <c r="E500" t="inlineStr">
        <is>
          <t>MORA</t>
        </is>
      </c>
      <c r="F500" t="inlineStr">
        <is>
          <t>Bergvik skog väst AB</t>
        </is>
      </c>
      <c r="G500" t="n">
        <v>2.2</v>
      </c>
      <c r="H500" t="n">
        <v>0</v>
      </c>
      <c r="I500" t="n">
        <v>0</v>
      </c>
      <c r="J500" t="n">
        <v>0</v>
      </c>
      <c r="K500" t="n">
        <v>0</v>
      </c>
      <c r="L500" t="n">
        <v>0</v>
      </c>
      <c r="M500" t="n">
        <v>0</v>
      </c>
      <c r="N500" t="n">
        <v>0</v>
      </c>
      <c r="O500" t="n">
        <v>0</v>
      </c>
      <c r="P500" t="n">
        <v>0</v>
      </c>
      <c r="Q500" t="n">
        <v>0</v>
      </c>
      <c r="R500" s="2" t="inlineStr"/>
    </row>
    <row r="501" ht="15" customHeight="1">
      <c r="A501" t="inlineStr">
        <is>
          <t>A 32261-2022</t>
        </is>
      </c>
      <c r="B501" s="1" t="n">
        <v>44781.5350925926</v>
      </c>
      <c r="C501" s="1" t="n">
        <v>45908</v>
      </c>
      <c r="D501" t="inlineStr">
        <is>
          <t>DALARNAS LÄN</t>
        </is>
      </c>
      <c r="E501" t="inlineStr">
        <is>
          <t>MORA</t>
        </is>
      </c>
      <c r="G501" t="n">
        <v>2.7</v>
      </c>
      <c r="H501" t="n">
        <v>0</v>
      </c>
      <c r="I501" t="n">
        <v>0</v>
      </c>
      <c r="J501" t="n">
        <v>0</v>
      </c>
      <c r="K501" t="n">
        <v>0</v>
      </c>
      <c r="L501" t="n">
        <v>0</v>
      </c>
      <c r="M501" t="n">
        <v>0</v>
      </c>
      <c r="N501" t="n">
        <v>0</v>
      </c>
      <c r="O501" t="n">
        <v>0</v>
      </c>
      <c r="P501" t="n">
        <v>0</v>
      </c>
      <c r="Q501" t="n">
        <v>0</v>
      </c>
      <c r="R501" s="2" t="inlineStr"/>
    </row>
    <row r="502" ht="15" customHeight="1">
      <c r="A502" t="inlineStr">
        <is>
          <t>A 35381-2024</t>
        </is>
      </c>
      <c r="B502" s="1" t="n">
        <v>45531.38372685185</v>
      </c>
      <c r="C502" s="1" t="n">
        <v>45908</v>
      </c>
      <c r="D502" t="inlineStr">
        <is>
          <t>DALARNAS LÄN</t>
        </is>
      </c>
      <c r="E502" t="inlineStr">
        <is>
          <t>MORA</t>
        </is>
      </c>
      <c r="G502" t="n">
        <v>3.7</v>
      </c>
      <c r="H502" t="n">
        <v>0</v>
      </c>
      <c r="I502" t="n">
        <v>0</v>
      </c>
      <c r="J502" t="n">
        <v>0</v>
      </c>
      <c r="K502" t="n">
        <v>0</v>
      </c>
      <c r="L502" t="n">
        <v>0</v>
      </c>
      <c r="M502" t="n">
        <v>0</v>
      </c>
      <c r="N502" t="n">
        <v>0</v>
      </c>
      <c r="O502" t="n">
        <v>0</v>
      </c>
      <c r="P502" t="n">
        <v>0</v>
      </c>
      <c r="Q502" t="n">
        <v>0</v>
      </c>
      <c r="R502" s="2" t="inlineStr"/>
    </row>
    <row r="503" ht="15" customHeight="1">
      <c r="A503" t="inlineStr">
        <is>
          <t>A 13479-2024</t>
        </is>
      </c>
      <c r="B503" s="1" t="n">
        <v>45387.5900925926</v>
      </c>
      <c r="C503" s="1" t="n">
        <v>45908</v>
      </c>
      <c r="D503" t="inlineStr">
        <is>
          <t>DALARNAS LÄN</t>
        </is>
      </c>
      <c r="E503" t="inlineStr">
        <is>
          <t>MORA</t>
        </is>
      </c>
      <c r="G503" t="n">
        <v>1.4</v>
      </c>
      <c r="H503" t="n">
        <v>0</v>
      </c>
      <c r="I503" t="n">
        <v>0</v>
      </c>
      <c r="J503" t="n">
        <v>0</v>
      </c>
      <c r="K503" t="n">
        <v>0</v>
      </c>
      <c r="L503" t="n">
        <v>0</v>
      </c>
      <c r="M503" t="n">
        <v>0</v>
      </c>
      <c r="N503" t="n">
        <v>0</v>
      </c>
      <c r="O503" t="n">
        <v>0</v>
      </c>
      <c r="P503" t="n">
        <v>0</v>
      </c>
      <c r="Q503" t="n">
        <v>0</v>
      </c>
      <c r="R503" s="2" t="inlineStr"/>
    </row>
    <row r="504" ht="15" customHeight="1">
      <c r="A504" t="inlineStr">
        <is>
          <t>A 12987-2024</t>
        </is>
      </c>
      <c r="B504" s="1" t="n">
        <v>45385.55375</v>
      </c>
      <c r="C504" s="1" t="n">
        <v>45908</v>
      </c>
      <c r="D504" t="inlineStr">
        <is>
          <t>DALARNAS LÄN</t>
        </is>
      </c>
      <c r="E504" t="inlineStr">
        <is>
          <t>MORA</t>
        </is>
      </c>
      <c r="G504" t="n">
        <v>1.3</v>
      </c>
      <c r="H504" t="n">
        <v>0</v>
      </c>
      <c r="I504" t="n">
        <v>0</v>
      </c>
      <c r="J504" t="n">
        <v>0</v>
      </c>
      <c r="K504" t="n">
        <v>0</v>
      </c>
      <c r="L504" t="n">
        <v>0</v>
      </c>
      <c r="M504" t="n">
        <v>0</v>
      </c>
      <c r="N504" t="n">
        <v>0</v>
      </c>
      <c r="O504" t="n">
        <v>0</v>
      </c>
      <c r="P504" t="n">
        <v>0</v>
      </c>
      <c r="Q504" t="n">
        <v>0</v>
      </c>
      <c r="R504" s="2" t="inlineStr"/>
    </row>
    <row r="505" ht="15" customHeight="1">
      <c r="A505" t="inlineStr">
        <is>
          <t>A 22854-2023</t>
        </is>
      </c>
      <c r="B505" s="1" t="n">
        <v>45072</v>
      </c>
      <c r="C505" s="1" t="n">
        <v>45908</v>
      </c>
      <c r="D505" t="inlineStr">
        <is>
          <t>DALARNAS LÄN</t>
        </is>
      </c>
      <c r="E505" t="inlineStr">
        <is>
          <t>MORA</t>
        </is>
      </c>
      <c r="G505" t="n">
        <v>3.3</v>
      </c>
      <c r="H505" t="n">
        <v>0</v>
      </c>
      <c r="I505" t="n">
        <v>0</v>
      </c>
      <c r="J505" t="n">
        <v>0</v>
      </c>
      <c r="K505" t="n">
        <v>0</v>
      </c>
      <c r="L505" t="n">
        <v>0</v>
      </c>
      <c r="M505" t="n">
        <v>0</v>
      </c>
      <c r="N505" t="n">
        <v>0</v>
      </c>
      <c r="O505" t="n">
        <v>0</v>
      </c>
      <c r="P505" t="n">
        <v>0</v>
      </c>
      <c r="Q505" t="n">
        <v>0</v>
      </c>
      <c r="R505" s="2" t="inlineStr"/>
    </row>
    <row r="506" ht="15" customHeight="1">
      <c r="A506" t="inlineStr">
        <is>
          <t>A 20299-2023</t>
        </is>
      </c>
      <c r="B506" s="1" t="n">
        <v>45056</v>
      </c>
      <c r="C506" s="1" t="n">
        <v>45908</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48170-2024</t>
        </is>
      </c>
      <c r="B507" s="1" t="n">
        <v>45589.76975694444</v>
      </c>
      <c r="C507" s="1" t="n">
        <v>45908</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58892-2023</t>
        </is>
      </c>
      <c r="B508" s="1" t="n">
        <v>45252.48592592592</v>
      </c>
      <c r="C508" s="1" t="n">
        <v>45908</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37552-2023</t>
        </is>
      </c>
      <c r="B509" s="1" t="n">
        <v>45159.32799768518</v>
      </c>
      <c r="C509" s="1" t="n">
        <v>45908</v>
      </c>
      <c r="D509" t="inlineStr">
        <is>
          <t>DALARNAS LÄN</t>
        </is>
      </c>
      <c r="E509" t="inlineStr">
        <is>
          <t>MORA</t>
        </is>
      </c>
      <c r="G509" t="n">
        <v>4</v>
      </c>
      <c r="H509" t="n">
        <v>0</v>
      </c>
      <c r="I509" t="n">
        <v>0</v>
      </c>
      <c r="J509" t="n">
        <v>0</v>
      </c>
      <c r="K509" t="n">
        <v>0</v>
      </c>
      <c r="L509" t="n">
        <v>0</v>
      </c>
      <c r="M509" t="n">
        <v>0</v>
      </c>
      <c r="N509" t="n">
        <v>0</v>
      </c>
      <c r="O509" t="n">
        <v>0</v>
      </c>
      <c r="P509" t="n">
        <v>0</v>
      </c>
      <c r="Q509" t="n">
        <v>0</v>
      </c>
      <c r="R509" s="2" t="inlineStr"/>
    </row>
    <row r="510" ht="15" customHeight="1">
      <c r="A510" t="inlineStr">
        <is>
          <t>A 28487-2024</t>
        </is>
      </c>
      <c r="B510" s="1" t="n">
        <v>45477.75744212963</v>
      </c>
      <c r="C510" s="1" t="n">
        <v>45908</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23586-2023</t>
        </is>
      </c>
      <c r="B511" s="1" t="n">
        <v>45077</v>
      </c>
      <c r="C511" s="1" t="n">
        <v>45908</v>
      </c>
      <c r="D511" t="inlineStr">
        <is>
          <t>DALARNAS LÄN</t>
        </is>
      </c>
      <c r="E511" t="inlineStr">
        <is>
          <t>MORA</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27975-2023</t>
        </is>
      </c>
      <c r="B512" s="1" t="n">
        <v>45098</v>
      </c>
      <c r="C512" s="1" t="n">
        <v>45908</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55222-2023</t>
        </is>
      </c>
      <c r="B513" s="1" t="n">
        <v>45237.60775462963</v>
      </c>
      <c r="C513" s="1" t="n">
        <v>45908</v>
      </c>
      <c r="D513" t="inlineStr">
        <is>
          <t>DALARNAS LÄN</t>
        </is>
      </c>
      <c r="E513" t="inlineStr">
        <is>
          <t>MORA</t>
        </is>
      </c>
      <c r="F513" t="inlineStr">
        <is>
          <t>Allmännings- och besparingsskogar</t>
        </is>
      </c>
      <c r="G513" t="n">
        <v>19.8</v>
      </c>
      <c r="H513" t="n">
        <v>0</v>
      </c>
      <c r="I513" t="n">
        <v>0</v>
      </c>
      <c r="J513" t="n">
        <v>0</v>
      </c>
      <c r="K513" t="n">
        <v>0</v>
      </c>
      <c r="L513" t="n">
        <v>0</v>
      </c>
      <c r="M513" t="n">
        <v>0</v>
      </c>
      <c r="N513" t="n">
        <v>0</v>
      </c>
      <c r="O513" t="n">
        <v>0</v>
      </c>
      <c r="P513" t="n">
        <v>0</v>
      </c>
      <c r="Q513" t="n">
        <v>0</v>
      </c>
      <c r="R513" s="2" t="inlineStr"/>
    </row>
    <row r="514" ht="15" customHeight="1">
      <c r="A514" t="inlineStr">
        <is>
          <t>A 24772-2024</t>
        </is>
      </c>
      <c r="B514" s="1" t="n">
        <v>45460.70204861111</v>
      </c>
      <c r="C514" s="1" t="n">
        <v>45908</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5486-2023</t>
        </is>
      </c>
      <c r="B515" s="1" t="n">
        <v>44957</v>
      </c>
      <c r="C515" s="1" t="n">
        <v>45908</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42943-2024</t>
        </is>
      </c>
      <c r="B516" s="1" t="n">
        <v>45567.35359953704</v>
      </c>
      <c r="C516" s="1" t="n">
        <v>45908</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58972-2023</t>
        </is>
      </c>
      <c r="B517" s="1" t="n">
        <v>45252</v>
      </c>
      <c r="C517" s="1" t="n">
        <v>45908</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9855-2024</t>
        </is>
      </c>
      <c r="B518" s="1" t="n">
        <v>45363.40368055556</v>
      </c>
      <c r="C518" s="1" t="n">
        <v>45908</v>
      </c>
      <c r="D518" t="inlineStr">
        <is>
          <t>DALARNAS LÄN</t>
        </is>
      </c>
      <c r="E518" t="inlineStr">
        <is>
          <t>MORA</t>
        </is>
      </c>
      <c r="G518" t="n">
        <v>8.6</v>
      </c>
      <c r="H518" t="n">
        <v>0</v>
      </c>
      <c r="I518" t="n">
        <v>0</v>
      </c>
      <c r="J518" t="n">
        <v>0</v>
      </c>
      <c r="K518" t="n">
        <v>0</v>
      </c>
      <c r="L518" t="n">
        <v>0</v>
      </c>
      <c r="M518" t="n">
        <v>0</v>
      </c>
      <c r="N518" t="n">
        <v>0</v>
      </c>
      <c r="O518" t="n">
        <v>0</v>
      </c>
      <c r="P518" t="n">
        <v>0</v>
      </c>
      <c r="Q518" t="n">
        <v>0</v>
      </c>
      <c r="R518" s="2" t="inlineStr"/>
    </row>
    <row r="519" ht="15" customHeight="1">
      <c r="A519" t="inlineStr">
        <is>
          <t>A 46188-2022</t>
        </is>
      </c>
      <c r="B519" s="1" t="n">
        <v>44847.518125</v>
      </c>
      <c r="C519" s="1" t="n">
        <v>45908</v>
      </c>
      <c r="D519" t="inlineStr">
        <is>
          <t>DALARNAS LÄN</t>
        </is>
      </c>
      <c r="E519" t="inlineStr">
        <is>
          <t>MORA</t>
        </is>
      </c>
      <c r="G519" t="n">
        <v>1.8</v>
      </c>
      <c r="H519" t="n">
        <v>0</v>
      </c>
      <c r="I519" t="n">
        <v>0</v>
      </c>
      <c r="J519" t="n">
        <v>0</v>
      </c>
      <c r="K519" t="n">
        <v>0</v>
      </c>
      <c r="L519" t="n">
        <v>0</v>
      </c>
      <c r="M519" t="n">
        <v>0</v>
      </c>
      <c r="N519" t="n">
        <v>0</v>
      </c>
      <c r="O519" t="n">
        <v>0</v>
      </c>
      <c r="P519" t="n">
        <v>0</v>
      </c>
      <c r="Q519" t="n">
        <v>0</v>
      </c>
      <c r="R519" s="2" t="inlineStr"/>
    </row>
    <row r="520" ht="15" customHeight="1">
      <c r="A520" t="inlineStr">
        <is>
          <t>A 21244-2024</t>
        </is>
      </c>
      <c r="B520" s="1" t="n">
        <v>45440.59936342593</v>
      </c>
      <c r="C520" s="1" t="n">
        <v>45908</v>
      </c>
      <c r="D520" t="inlineStr">
        <is>
          <t>DALARNAS LÄN</t>
        </is>
      </c>
      <c r="E520" t="inlineStr">
        <is>
          <t>MORA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28964-2024</t>
        </is>
      </c>
      <c r="B521" s="1" t="n">
        <v>45481.42923611111</v>
      </c>
      <c r="C521" s="1" t="n">
        <v>45908</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2879-2022</t>
        </is>
      </c>
      <c r="B522" s="1" t="n">
        <v>44581</v>
      </c>
      <c r="C522" s="1" t="n">
        <v>45908</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42035-2022</t>
        </is>
      </c>
      <c r="B523" s="1" t="n">
        <v>44830</v>
      </c>
      <c r="C523" s="1" t="n">
        <v>45908</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30194-2024</t>
        </is>
      </c>
      <c r="B524" s="1" t="n">
        <v>45490.33387731481</v>
      </c>
      <c r="C524" s="1" t="n">
        <v>45908</v>
      </c>
      <c r="D524" t="inlineStr">
        <is>
          <t>DALARNAS LÄN</t>
        </is>
      </c>
      <c r="E524" t="inlineStr">
        <is>
          <t>MORA</t>
        </is>
      </c>
      <c r="G524" t="n">
        <v>3.1</v>
      </c>
      <c r="H524" t="n">
        <v>0</v>
      </c>
      <c r="I524" t="n">
        <v>0</v>
      </c>
      <c r="J524" t="n">
        <v>0</v>
      </c>
      <c r="K524" t="n">
        <v>0</v>
      </c>
      <c r="L524" t="n">
        <v>0</v>
      </c>
      <c r="M524" t="n">
        <v>0</v>
      </c>
      <c r="N524" t="n">
        <v>0</v>
      </c>
      <c r="O524" t="n">
        <v>0</v>
      </c>
      <c r="P524" t="n">
        <v>0</v>
      </c>
      <c r="Q524" t="n">
        <v>0</v>
      </c>
      <c r="R524" s="2" t="inlineStr"/>
    </row>
    <row r="525" ht="15" customHeight="1">
      <c r="A525" t="inlineStr">
        <is>
          <t>A 58177-2024</t>
        </is>
      </c>
      <c r="B525" s="1" t="n">
        <v>45632.46821759259</v>
      </c>
      <c r="C525" s="1" t="n">
        <v>45908</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45390-2024</t>
        </is>
      </c>
      <c r="B526" s="1" t="n">
        <v>45576.54820601852</v>
      </c>
      <c r="C526" s="1" t="n">
        <v>45908</v>
      </c>
      <c r="D526" t="inlineStr">
        <is>
          <t>DALARNAS LÄN</t>
        </is>
      </c>
      <c r="E526" t="inlineStr">
        <is>
          <t>MORA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58089-2024</t>
        </is>
      </c>
      <c r="B527" s="1" t="n">
        <v>45632.34984953704</v>
      </c>
      <c r="C527" s="1" t="n">
        <v>45908</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row>
    <row r="528" ht="15" customHeight="1">
      <c r="A528" t="inlineStr">
        <is>
          <t>A 4208-2023</t>
        </is>
      </c>
      <c r="B528" s="1" t="n">
        <v>44953</v>
      </c>
      <c r="C528" s="1" t="n">
        <v>45908</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4210-2023</t>
        </is>
      </c>
      <c r="B529" s="1" t="n">
        <v>44953.44965277778</v>
      </c>
      <c r="C529" s="1" t="n">
        <v>45908</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44769-2021</t>
        </is>
      </c>
      <c r="B530" s="1" t="n">
        <v>44438</v>
      </c>
      <c r="C530" s="1" t="n">
        <v>45908</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15817-2024</t>
        </is>
      </c>
      <c r="B531" s="1" t="n">
        <v>45404.67387731482</v>
      </c>
      <c r="C531" s="1" t="n">
        <v>45908</v>
      </c>
      <c r="D531" t="inlineStr">
        <is>
          <t>DALARNAS LÄN</t>
        </is>
      </c>
      <c r="E531" t="inlineStr">
        <is>
          <t>MORA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58036-2024</t>
        </is>
      </c>
      <c r="B532" s="1" t="n">
        <v>45631.71893518518</v>
      </c>
      <c r="C532" s="1" t="n">
        <v>45908</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58116-2022</t>
        </is>
      </c>
      <c r="B533" s="1" t="n">
        <v>44900.65716435185</v>
      </c>
      <c r="C533" s="1" t="n">
        <v>45908</v>
      </c>
      <c r="D533" t="inlineStr">
        <is>
          <t>DALARNAS LÄN</t>
        </is>
      </c>
      <c r="E533" t="inlineStr">
        <is>
          <t>MORA</t>
        </is>
      </c>
      <c r="G533" t="n">
        <v>2.9</v>
      </c>
      <c r="H533" t="n">
        <v>0</v>
      </c>
      <c r="I533" t="n">
        <v>0</v>
      </c>
      <c r="J533" t="n">
        <v>0</v>
      </c>
      <c r="K533" t="n">
        <v>0</v>
      </c>
      <c r="L533" t="n">
        <v>0</v>
      </c>
      <c r="M533" t="n">
        <v>0</v>
      </c>
      <c r="N533" t="n">
        <v>0</v>
      </c>
      <c r="O533" t="n">
        <v>0</v>
      </c>
      <c r="P533" t="n">
        <v>0</v>
      </c>
      <c r="Q533" t="n">
        <v>0</v>
      </c>
      <c r="R533" s="2" t="inlineStr"/>
    </row>
    <row r="534" ht="15" customHeight="1">
      <c r="A534" t="inlineStr">
        <is>
          <t>A 3430-2023</t>
        </is>
      </c>
      <c r="B534" s="1" t="n">
        <v>44949.57856481482</v>
      </c>
      <c r="C534" s="1" t="n">
        <v>45908</v>
      </c>
      <c r="D534" t="inlineStr">
        <is>
          <t>DALARNAS LÄN</t>
        </is>
      </c>
      <c r="E534" t="inlineStr">
        <is>
          <t>MORA</t>
        </is>
      </c>
      <c r="G534" t="n">
        <v>2.6</v>
      </c>
      <c r="H534" t="n">
        <v>0</v>
      </c>
      <c r="I534" t="n">
        <v>0</v>
      </c>
      <c r="J534" t="n">
        <v>0</v>
      </c>
      <c r="K534" t="n">
        <v>0</v>
      </c>
      <c r="L534" t="n">
        <v>0</v>
      </c>
      <c r="M534" t="n">
        <v>0</v>
      </c>
      <c r="N534" t="n">
        <v>0</v>
      </c>
      <c r="O534" t="n">
        <v>0</v>
      </c>
      <c r="P534" t="n">
        <v>0</v>
      </c>
      <c r="Q534" t="n">
        <v>0</v>
      </c>
      <c r="R534" s="2" t="inlineStr"/>
    </row>
    <row r="535" ht="15" customHeight="1">
      <c r="A535" t="inlineStr">
        <is>
          <t>A 18992-2024</t>
        </is>
      </c>
      <c r="B535" s="1" t="n">
        <v>45427.61516203704</v>
      </c>
      <c r="C535" s="1" t="n">
        <v>45908</v>
      </c>
      <c r="D535" t="inlineStr">
        <is>
          <t>DALARNAS LÄN</t>
        </is>
      </c>
      <c r="E535" t="inlineStr">
        <is>
          <t>MORA</t>
        </is>
      </c>
      <c r="G535" t="n">
        <v>9.9</v>
      </c>
      <c r="H535" t="n">
        <v>0</v>
      </c>
      <c r="I535" t="n">
        <v>0</v>
      </c>
      <c r="J535" t="n">
        <v>0</v>
      </c>
      <c r="K535" t="n">
        <v>0</v>
      </c>
      <c r="L535" t="n">
        <v>0</v>
      </c>
      <c r="M535" t="n">
        <v>0</v>
      </c>
      <c r="N535" t="n">
        <v>0</v>
      </c>
      <c r="O535" t="n">
        <v>0</v>
      </c>
      <c r="P535" t="n">
        <v>0</v>
      </c>
      <c r="Q535" t="n">
        <v>0</v>
      </c>
      <c r="R535" s="2" t="inlineStr"/>
    </row>
    <row r="536" ht="15" customHeight="1">
      <c r="A536" t="inlineStr">
        <is>
          <t>A 60647-2022</t>
        </is>
      </c>
      <c r="B536" s="1" t="n">
        <v>44911</v>
      </c>
      <c r="C536" s="1" t="n">
        <v>45908</v>
      </c>
      <c r="D536" t="inlineStr">
        <is>
          <t>DALARNAS LÄN</t>
        </is>
      </c>
      <c r="E536" t="inlineStr">
        <is>
          <t>MORA</t>
        </is>
      </c>
      <c r="G536" t="n">
        <v>4.8</v>
      </c>
      <c r="H536" t="n">
        <v>0</v>
      </c>
      <c r="I536" t="n">
        <v>0</v>
      </c>
      <c r="J536" t="n">
        <v>0</v>
      </c>
      <c r="K536" t="n">
        <v>0</v>
      </c>
      <c r="L536" t="n">
        <v>0</v>
      </c>
      <c r="M536" t="n">
        <v>0</v>
      </c>
      <c r="N536" t="n">
        <v>0</v>
      </c>
      <c r="O536" t="n">
        <v>0</v>
      </c>
      <c r="P536" t="n">
        <v>0</v>
      </c>
      <c r="Q536" t="n">
        <v>0</v>
      </c>
      <c r="R536" s="2" t="inlineStr"/>
    </row>
    <row r="537" ht="15" customHeight="1">
      <c r="A537" t="inlineStr">
        <is>
          <t>A 61278-2024</t>
        </is>
      </c>
      <c r="B537" s="1" t="n">
        <v>45645.76561342592</v>
      </c>
      <c r="C537" s="1" t="n">
        <v>45908</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15172-2025</t>
        </is>
      </c>
      <c r="B538" s="1" t="n">
        <v>45744.50722222222</v>
      </c>
      <c r="C538" s="1" t="n">
        <v>45908</v>
      </c>
      <c r="D538" t="inlineStr">
        <is>
          <t>DALARNAS LÄN</t>
        </is>
      </c>
      <c r="E538" t="inlineStr">
        <is>
          <t>MORA</t>
        </is>
      </c>
      <c r="G538" t="n">
        <v>3.2</v>
      </c>
      <c r="H538" t="n">
        <v>0</v>
      </c>
      <c r="I538" t="n">
        <v>0</v>
      </c>
      <c r="J538" t="n">
        <v>0</v>
      </c>
      <c r="K538" t="n">
        <v>0</v>
      </c>
      <c r="L538" t="n">
        <v>0</v>
      </c>
      <c r="M538" t="n">
        <v>0</v>
      </c>
      <c r="N538" t="n">
        <v>0</v>
      </c>
      <c r="O538" t="n">
        <v>0</v>
      </c>
      <c r="P538" t="n">
        <v>0</v>
      </c>
      <c r="Q538" t="n">
        <v>0</v>
      </c>
      <c r="R538" s="2" t="inlineStr"/>
    </row>
    <row r="539" ht="15" customHeight="1">
      <c r="A539" t="inlineStr">
        <is>
          <t>A 56460-2022</t>
        </is>
      </c>
      <c r="B539" s="1" t="n">
        <v>44893</v>
      </c>
      <c r="C539" s="1" t="n">
        <v>45908</v>
      </c>
      <c r="D539" t="inlineStr">
        <is>
          <t>DALARNAS LÄN</t>
        </is>
      </c>
      <c r="E539" t="inlineStr">
        <is>
          <t>MORA</t>
        </is>
      </c>
      <c r="G539" t="n">
        <v>2.2</v>
      </c>
      <c r="H539" t="n">
        <v>0</v>
      </c>
      <c r="I539" t="n">
        <v>0</v>
      </c>
      <c r="J539" t="n">
        <v>0</v>
      </c>
      <c r="K539" t="n">
        <v>0</v>
      </c>
      <c r="L539" t="n">
        <v>0</v>
      </c>
      <c r="M539" t="n">
        <v>0</v>
      </c>
      <c r="N539" t="n">
        <v>0</v>
      </c>
      <c r="O539" t="n">
        <v>0</v>
      </c>
      <c r="P539" t="n">
        <v>0</v>
      </c>
      <c r="Q539" t="n">
        <v>0</v>
      </c>
      <c r="R539" s="2" t="inlineStr"/>
    </row>
    <row r="540" ht="15" customHeight="1">
      <c r="A540" t="inlineStr">
        <is>
          <t>A 437-2024</t>
        </is>
      </c>
      <c r="B540" s="1" t="n">
        <v>45296</v>
      </c>
      <c r="C540" s="1" t="n">
        <v>45908</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39897-2022</t>
        </is>
      </c>
      <c r="B541" s="1" t="n">
        <v>44819.66083333334</v>
      </c>
      <c r="C541" s="1" t="n">
        <v>45908</v>
      </c>
      <c r="D541" t="inlineStr">
        <is>
          <t>DALARNAS LÄN</t>
        </is>
      </c>
      <c r="E541" t="inlineStr">
        <is>
          <t>MORA</t>
        </is>
      </c>
      <c r="G541" t="n">
        <v>15.8</v>
      </c>
      <c r="H541" t="n">
        <v>0</v>
      </c>
      <c r="I541" t="n">
        <v>0</v>
      </c>
      <c r="J541" t="n">
        <v>0</v>
      </c>
      <c r="K541" t="n">
        <v>0</v>
      </c>
      <c r="L541" t="n">
        <v>0</v>
      </c>
      <c r="M541" t="n">
        <v>0</v>
      </c>
      <c r="N541" t="n">
        <v>0</v>
      </c>
      <c r="O541" t="n">
        <v>0</v>
      </c>
      <c r="P541" t="n">
        <v>0</v>
      </c>
      <c r="Q541" t="n">
        <v>0</v>
      </c>
      <c r="R541" s="2" t="inlineStr"/>
    </row>
    <row r="542" ht="15" customHeight="1">
      <c r="A542" t="inlineStr">
        <is>
          <t>A 62853-2023</t>
        </is>
      </c>
      <c r="B542" s="1" t="n">
        <v>45272</v>
      </c>
      <c r="C542" s="1" t="n">
        <v>45908</v>
      </c>
      <c r="D542" t="inlineStr">
        <is>
          <t>DALARNAS LÄN</t>
        </is>
      </c>
      <c r="E542" t="inlineStr">
        <is>
          <t>MORA</t>
        </is>
      </c>
      <c r="G542" t="n">
        <v>13.6</v>
      </c>
      <c r="H542" t="n">
        <v>0</v>
      </c>
      <c r="I542" t="n">
        <v>0</v>
      </c>
      <c r="J542" t="n">
        <v>0</v>
      </c>
      <c r="K542" t="n">
        <v>0</v>
      </c>
      <c r="L542" t="n">
        <v>0</v>
      </c>
      <c r="M542" t="n">
        <v>0</v>
      </c>
      <c r="N542" t="n">
        <v>0</v>
      </c>
      <c r="O542" t="n">
        <v>0</v>
      </c>
      <c r="P542" t="n">
        <v>0</v>
      </c>
      <c r="Q542" t="n">
        <v>0</v>
      </c>
      <c r="R542" s="2" t="inlineStr"/>
    </row>
    <row r="543" ht="15" customHeight="1">
      <c r="A543" t="inlineStr">
        <is>
          <t>A 31395-2024</t>
        </is>
      </c>
      <c r="B543" s="1" t="n">
        <v>45505.47716435185</v>
      </c>
      <c r="C543" s="1" t="n">
        <v>45908</v>
      </c>
      <c r="D543" t="inlineStr">
        <is>
          <t>DALARNAS LÄN</t>
        </is>
      </c>
      <c r="E543" t="inlineStr">
        <is>
          <t>MORA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11919-2024</t>
        </is>
      </c>
      <c r="B544" s="1" t="n">
        <v>45376.61019675926</v>
      </c>
      <c r="C544" s="1" t="n">
        <v>45908</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60847-2021</t>
        </is>
      </c>
      <c r="B545" s="1" t="n">
        <v>44497</v>
      </c>
      <c r="C545" s="1" t="n">
        <v>45908</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1897-2023</t>
        </is>
      </c>
      <c r="B546" s="1" t="n">
        <v>44937</v>
      </c>
      <c r="C546" s="1" t="n">
        <v>45908</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37385-2022</t>
        </is>
      </c>
      <c r="B547" s="1" t="n">
        <v>44806</v>
      </c>
      <c r="C547" s="1" t="n">
        <v>45908</v>
      </c>
      <c r="D547" t="inlineStr">
        <is>
          <t>DALARNAS LÄN</t>
        </is>
      </c>
      <c r="E547" t="inlineStr">
        <is>
          <t>MORA</t>
        </is>
      </c>
      <c r="G547" t="n">
        <v>2.2</v>
      </c>
      <c r="H547" t="n">
        <v>0</v>
      </c>
      <c r="I547" t="n">
        <v>0</v>
      </c>
      <c r="J547" t="n">
        <v>0</v>
      </c>
      <c r="K547" t="n">
        <v>0</v>
      </c>
      <c r="L547" t="n">
        <v>0</v>
      </c>
      <c r="M547" t="n">
        <v>0</v>
      </c>
      <c r="N547" t="n">
        <v>0</v>
      </c>
      <c r="O547" t="n">
        <v>0</v>
      </c>
      <c r="P547" t="n">
        <v>0</v>
      </c>
      <c r="Q547" t="n">
        <v>0</v>
      </c>
      <c r="R547" s="2" t="inlineStr"/>
    </row>
    <row r="548" ht="15" customHeight="1">
      <c r="A548" t="inlineStr">
        <is>
          <t>A 15435-2024</t>
        </is>
      </c>
      <c r="B548" s="1" t="n">
        <v>45401.40806712963</v>
      </c>
      <c r="C548" s="1" t="n">
        <v>45908</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31085-2024</t>
        </is>
      </c>
      <c r="B549" s="1" t="n">
        <v>45502.48047453703</v>
      </c>
      <c r="C549" s="1" t="n">
        <v>45908</v>
      </c>
      <c r="D549" t="inlineStr">
        <is>
          <t>DALARNAS LÄN</t>
        </is>
      </c>
      <c r="E549" t="inlineStr">
        <is>
          <t>MORA</t>
        </is>
      </c>
      <c r="G549" t="n">
        <v>1.6</v>
      </c>
      <c r="H549" t="n">
        <v>0</v>
      </c>
      <c r="I549" t="n">
        <v>0</v>
      </c>
      <c r="J549" t="n">
        <v>0</v>
      </c>
      <c r="K549" t="n">
        <v>0</v>
      </c>
      <c r="L549" t="n">
        <v>0</v>
      </c>
      <c r="M549" t="n">
        <v>0</v>
      </c>
      <c r="N549" t="n">
        <v>0</v>
      </c>
      <c r="O549" t="n">
        <v>0</v>
      </c>
      <c r="P549" t="n">
        <v>0</v>
      </c>
      <c r="Q549" t="n">
        <v>0</v>
      </c>
      <c r="R549" s="2" t="inlineStr"/>
    </row>
    <row r="550" ht="15" customHeight="1">
      <c r="A550" t="inlineStr">
        <is>
          <t>A 43863-2023</t>
        </is>
      </c>
      <c r="B550" s="1" t="n">
        <v>45187.62532407408</v>
      </c>
      <c r="C550" s="1" t="n">
        <v>45908</v>
      </c>
      <c r="D550" t="inlineStr">
        <is>
          <t>DALARNAS LÄN</t>
        </is>
      </c>
      <c r="E550" t="inlineStr">
        <is>
          <t>MORA</t>
        </is>
      </c>
      <c r="F550" t="inlineStr">
        <is>
          <t>Bergvik skog väst AB</t>
        </is>
      </c>
      <c r="G550" t="n">
        <v>3.9</v>
      </c>
      <c r="H550" t="n">
        <v>0</v>
      </c>
      <c r="I550" t="n">
        <v>0</v>
      </c>
      <c r="J550" t="n">
        <v>0</v>
      </c>
      <c r="K550" t="n">
        <v>0</v>
      </c>
      <c r="L550" t="n">
        <v>0</v>
      </c>
      <c r="M550" t="n">
        <v>0</v>
      </c>
      <c r="N550" t="n">
        <v>0</v>
      </c>
      <c r="O550" t="n">
        <v>0</v>
      </c>
      <c r="P550" t="n">
        <v>0</v>
      </c>
      <c r="Q550" t="n">
        <v>0</v>
      </c>
      <c r="R550" s="2" t="inlineStr"/>
    </row>
    <row r="551" ht="15" customHeight="1">
      <c r="A551" t="inlineStr">
        <is>
          <t>A 60051-2022</t>
        </is>
      </c>
      <c r="B551" s="1" t="n">
        <v>44909.52385416667</v>
      </c>
      <c r="C551" s="1" t="n">
        <v>45908</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13262-2022</t>
        </is>
      </c>
      <c r="B552" s="1" t="n">
        <v>44644.70184027778</v>
      </c>
      <c r="C552" s="1" t="n">
        <v>45908</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42391-2023</t>
        </is>
      </c>
      <c r="B553" s="1" t="n">
        <v>45180</v>
      </c>
      <c r="C553" s="1" t="n">
        <v>45908</v>
      </c>
      <c r="D553" t="inlineStr">
        <is>
          <t>DALARNAS LÄN</t>
        </is>
      </c>
      <c r="E553" t="inlineStr">
        <is>
          <t>MORA</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56767-2023</t>
        </is>
      </c>
      <c r="B554" s="1" t="n">
        <v>45244</v>
      </c>
      <c r="C554" s="1" t="n">
        <v>45908</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70141-2021</t>
        </is>
      </c>
      <c r="B555" s="1" t="n">
        <v>44533</v>
      </c>
      <c r="C555" s="1" t="n">
        <v>45908</v>
      </c>
      <c r="D555" t="inlineStr">
        <is>
          <t>DALARNAS LÄN</t>
        </is>
      </c>
      <c r="E555" t="inlineStr">
        <is>
          <t>MORA</t>
        </is>
      </c>
      <c r="G555" t="n">
        <v>4.1</v>
      </c>
      <c r="H555" t="n">
        <v>0</v>
      </c>
      <c r="I555" t="n">
        <v>0</v>
      </c>
      <c r="J555" t="n">
        <v>0</v>
      </c>
      <c r="K555" t="n">
        <v>0</v>
      </c>
      <c r="L555" t="n">
        <v>0</v>
      </c>
      <c r="M555" t="n">
        <v>0</v>
      </c>
      <c r="N555" t="n">
        <v>0</v>
      </c>
      <c r="O555" t="n">
        <v>0</v>
      </c>
      <c r="P555" t="n">
        <v>0</v>
      </c>
      <c r="Q555" t="n">
        <v>0</v>
      </c>
      <c r="R555" s="2" t="inlineStr"/>
    </row>
    <row r="556" ht="15" customHeight="1">
      <c r="A556" t="inlineStr">
        <is>
          <t>A 50056-2022</t>
        </is>
      </c>
      <c r="B556" s="1" t="n">
        <v>44865</v>
      </c>
      <c r="C556" s="1" t="n">
        <v>45908</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15499-2024</t>
        </is>
      </c>
      <c r="B557" s="1" t="n">
        <v>45401.53798611111</v>
      </c>
      <c r="C557" s="1" t="n">
        <v>45908</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64093-2023</t>
        </is>
      </c>
      <c r="B558" s="1" t="n">
        <v>45279</v>
      </c>
      <c r="C558" s="1" t="n">
        <v>45908</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68415-2021</t>
        </is>
      </c>
      <c r="B559" s="1" t="n">
        <v>44529</v>
      </c>
      <c r="C559" s="1" t="n">
        <v>45908</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37471-2024</t>
        </is>
      </c>
      <c r="B560" s="1" t="n">
        <v>45540.85054398148</v>
      </c>
      <c r="C560" s="1" t="n">
        <v>45908</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14936-2025</t>
        </is>
      </c>
      <c r="B561" s="1" t="n">
        <v>45743.55756944444</v>
      </c>
      <c r="C561" s="1" t="n">
        <v>45908</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15643-2025</t>
        </is>
      </c>
      <c r="B562" s="1" t="n">
        <v>45748.39222222222</v>
      </c>
      <c r="C562" s="1" t="n">
        <v>45908</v>
      </c>
      <c r="D562" t="inlineStr">
        <is>
          <t>DALARNAS LÄN</t>
        </is>
      </c>
      <c r="E562" t="inlineStr">
        <is>
          <t>MORA</t>
        </is>
      </c>
      <c r="G562" t="n">
        <v>7.6</v>
      </c>
      <c r="H562" t="n">
        <v>0</v>
      </c>
      <c r="I562" t="n">
        <v>0</v>
      </c>
      <c r="J562" t="n">
        <v>0</v>
      </c>
      <c r="K562" t="n">
        <v>0</v>
      </c>
      <c r="L562" t="n">
        <v>0</v>
      </c>
      <c r="M562" t="n">
        <v>0</v>
      </c>
      <c r="N562" t="n">
        <v>0</v>
      </c>
      <c r="O562" t="n">
        <v>0</v>
      </c>
      <c r="P562" t="n">
        <v>0</v>
      </c>
      <c r="Q562" t="n">
        <v>0</v>
      </c>
      <c r="R562" s="2" t="inlineStr"/>
    </row>
    <row r="563" ht="15" customHeight="1">
      <c r="A563" t="inlineStr">
        <is>
          <t>A 53344-2023</t>
        </is>
      </c>
      <c r="B563" s="1" t="n">
        <v>45229</v>
      </c>
      <c r="C563" s="1" t="n">
        <v>45908</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46755-2023</t>
        </is>
      </c>
      <c r="B564" s="1" t="n">
        <v>45198.61314814815</v>
      </c>
      <c r="C564" s="1" t="n">
        <v>45908</v>
      </c>
      <c r="D564" t="inlineStr">
        <is>
          <t>DALARNAS LÄN</t>
        </is>
      </c>
      <c r="E564" t="inlineStr">
        <is>
          <t>MORA</t>
        </is>
      </c>
      <c r="G564" t="n">
        <v>0.6</v>
      </c>
      <c r="H564" t="n">
        <v>0</v>
      </c>
      <c r="I564" t="n">
        <v>0</v>
      </c>
      <c r="J564" t="n">
        <v>0</v>
      </c>
      <c r="K564" t="n">
        <v>0</v>
      </c>
      <c r="L564" t="n">
        <v>0</v>
      </c>
      <c r="M564" t="n">
        <v>0</v>
      </c>
      <c r="N564" t="n">
        <v>0</v>
      </c>
      <c r="O564" t="n">
        <v>0</v>
      </c>
      <c r="P564" t="n">
        <v>0</v>
      </c>
      <c r="Q564" t="n">
        <v>0</v>
      </c>
      <c r="R564" s="2" t="inlineStr"/>
    </row>
    <row r="565" ht="15" customHeight="1">
      <c r="A565" t="inlineStr">
        <is>
          <t>A 48522-2024</t>
        </is>
      </c>
      <c r="B565" s="1" t="n">
        <v>45593.32924768519</v>
      </c>
      <c r="C565" s="1" t="n">
        <v>45908</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53754-2024</t>
        </is>
      </c>
      <c r="B566" s="1" t="n">
        <v>45615.49371527778</v>
      </c>
      <c r="C566" s="1" t="n">
        <v>45908</v>
      </c>
      <c r="D566" t="inlineStr">
        <is>
          <t>DALARNAS LÄN</t>
        </is>
      </c>
      <c r="E566" t="inlineStr">
        <is>
          <t>MORA</t>
        </is>
      </c>
      <c r="G566" t="n">
        <v>4.8</v>
      </c>
      <c r="H566" t="n">
        <v>0</v>
      </c>
      <c r="I566" t="n">
        <v>0</v>
      </c>
      <c r="J566" t="n">
        <v>0</v>
      </c>
      <c r="K566" t="n">
        <v>0</v>
      </c>
      <c r="L566" t="n">
        <v>0</v>
      </c>
      <c r="M566" t="n">
        <v>0</v>
      </c>
      <c r="N566" t="n">
        <v>0</v>
      </c>
      <c r="O566" t="n">
        <v>0</v>
      </c>
      <c r="P566" t="n">
        <v>0</v>
      </c>
      <c r="Q566" t="n">
        <v>0</v>
      </c>
      <c r="R566" s="2" t="inlineStr"/>
    </row>
    <row r="567" ht="15" customHeight="1">
      <c r="A567" t="inlineStr">
        <is>
          <t>A 14040-2023</t>
        </is>
      </c>
      <c r="B567" s="1" t="n">
        <v>45008.64575231481</v>
      </c>
      <c r="C567" s="1" t="n">
        <v>45908</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56770-2024</t>
        </is>
      </c>
      <c r="B568" s="1" t="n">
        <v>45628.41587962963</v>
      </c>
      <c r="C568" s="1" t="n">
        <v>45908</v>
      </c>
      <c r="D568" t="inlineStr">
        <is>
          <t>DALARNAS LÄN</t>
        </is>
      </c>
      <c r="E568" t="inlineStr">
        <is>
          <t>MORA</t>
        </is>
      </c>
      <c r="G568" t="n">
        <v>1.1</v>
      </c>
      <c r="H568" t="n">
        <v>0</v>
      </c>
      <c r="I568" t="n">
        <v>0</v>
      </c>
      <c r="J568" t="n">
        <v>0</v>
      </c>
      <c r="K568" t="n">
        <v>0</v>
      </c>
      <c r="L568" t="n">
        <v>0</v>
      </c>
      <c r="M568" t="n">
        <v>0</v>
      </c>
      <c r="N568" t="n">
        <v>0</v>
      </c>
      <c r="O568" t="n">
        <v>0</v>
      </c>
      <c r="P568" t="n">
        <v>0</v>
      </c>
      <c r="Q568" t="n">
        <v>0</v>
      </c>
      <c r="R568" s="2" t="inlineStr"/>
    </row>
    <row r="569" ht="15" customHeight="1">
      <c r="A569" t="inlineStr">
        <is>
          <t>A 18120-2025</t>
        </is>
      </c>
      <c r="B569" s="1" t="n">
        <v>45761</v>
      </c>
      <c r="C569" s="1" t="n">
        <v>45908</v>
      </c>
      <c r="D569" t="inlineStr">
        <is>
          <t>DALARNAS LÄN</t>
        </is>
      </c>
      <c r="E569" t="inlineStr">
        <is>
          <t>MORA</t>
        </is>
      </c>
      <c r="F569" t="inlineStr">
        <is>
          <t>Bergvik skog väst AB</t>
        </is>
      </c>
      <c r="G569" t="n">
        <v>6.4</v>
      </c>
      <c r="H569" t="n">
        <v>0</v>
      </c>
      <c r="I569" t="n">
        <v>0</v>
      </c>
      <c r="J569" t="n">
        <v>0</v>
      </c>
      <c r="K569" t="n">
        <v>0</v>
      </c>
      <c r="L569" t="n">
        <v>0</v>
      </c>
      <c r="M569" t="n">
        <v>0</v>
      </c>
      <c r="N569" t="n">
        <v>0</v>
      </c>
      <c r="O569" t="n">
        <v>0</v>
      </c>
      <c r="P569" t="n">
        <v>0</v>
      </c>
      <c r="Q569" t="n">
        <v>0</v>
      </c>
      <c r="R569" s="2" t="inlineStr"/>
    </row>
    <row r="570" ht="15" customHeight="1">
      <c r="A570" t="inlineStr">
        <is>
          <t>A 18127-2025</t>
        </is>
      </c>
      <c r="B570" s="1" t="n">
        <v>45761.59523148148</v>
      </c>
      <c r="C570" s="1" t="n">
        <v>45908</v>
      </c>
      <c r="D570" t="inlineStr">
        <is>
          <t>DALARNAS LÄN</t>
        </is>
      </c>
      <c r="E570" t="inlineStr">
        <is>
          <t>MORA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18122-2025</t>
        </is>
      </c>
      <c r="B571" s="1" t="n">
        <v>45761.59221064814</v>
      </c>
      <c r="C571" s="1" t="n">
        <v>45908</v>
      </c>
      <c r="D571" t="inlineStr">
        <is>
          <t>DALARNAS LÄN</t>
        </is>
      </c>
      <c r="E571" t="inlineStr">
        <is>
          <t>MORA</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4489-2022</t>
        </is>
      </c>
      <c r="B572" s="1" t="n">
        <v>44589</v>
      </c>
      <c r="C572" s="1" t="n">
        <v>45908</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45574-2023</t>
        </is>
      </c>
      <c r="B573" s="1" t="n">
        <v>45194</v>
      </c>
      <c r="C573" s="1" t="n">
        <v>45908</v>
      </c>
      <c r="D573" t="inlineStr">
        <is>
          <t>DALARNAS LÄN</t>
        </is>
      </c>
      <c r="E573" t="inlineStr">
        <is>
          <t>MORA</t>
        </is>
      </c>
      <c r="G573" t="n">
        <v>6.3</v>
      </c>
      <c r="H573" t="n">
        <v>0</v>
      </c>
      <c r="I573" t="n">
        <v>0</v>
      </c>
      <c r="J573" t="n">
        <v>0</v>
      </c>
      <c r="K573" t="n">
        <v>0</v>
      </c>
      <c r="L573" t="n">
        <v>0</v>
      </c>
      <c r="M573" t="n">
        <v>0</v>
      </c>
      <c r="N573" t="n">
        <v>0</v>
      </c>
      <c r="O573" t="n">
        <v>0</v>
      </c>
      <c r="P573" t="n">
        <v>0</v>
      </c>
      <c r="Q573" t="n">
        <v>0</v>
      </c>
      <c r="R573" s="2" t="inlineStr"/>
    </row>
    <row r="574" ht="15" customHeight="1">
      <c r="A574" t="inlineStr">
        <is>
          <t>A 45315-2024</t>
        </is>
      </c>
      <c r="B574" s="1" t="n">
        <v>45576.43782407408</v>
      </c>
      <c r="C574" s="1" t="n">
        <v>45908</v>
      </c>
      <c r="D574" t="inlineStr">
        <is>
          <t>DALARNAS LÄN</t>
        </is>
      </c>
      <c r="E574" t="inlineStr">
        <is>
          <t>MORA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17172-2025</t>
        </is>
      </c>
      <c r="B575" s="1" t="n">
        <v>45756.37201388889</v>
      </c>
      <c r="C575" s="1" t="n">
        <v>45908</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44817-2023</t>
        </is>
      </c>
      <c r="B576" s="1" t="n">
        <v>45190.51887731482</v>
      </c>
      <c r="C576" s="1" t="n">
        <v>45908</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39009-2023</t>
        </is>
      </c>
      <c r="B577" s="1" t="n">
        <v>45162</v>
      </c>
      <c r="C577" s="1" t="n">
        <v>45908</v>
      </c>
      <c r="D577" t="inlineStr">
        <is>
          <t>DALARNAS LÄN</t>
        </is>
      </c>
      <c r="E577" t="inlineStr">
        <is>
          <t>MORA</t>
        </is>
      </c>
      <c r="G577" t="n">
        <v>1.9</v>
      </c>
      <c r="H577" t="n">
        <v>0</v>
      </c>
      <c r="I577" t="n">
        <v>0</v>
      </c>
      <c r="J577" t="n">
        <v>0</v>
      </c>
      <c r="K577" t="n">
        <v>0</v>
      </c>
      <c r="L577" t="n">
        <v>0</v>
      </c>
      <c r="M577" t="n">
        <v>0</v>
      </c>
      <c r="N577" t="n">
        <v>0</v>
      </c>
      <c r="O577" t="n">
        <v>0</v>
      </c>
      <c r="P577" t="n">
        <v>0</v>
      </c>
      <c r="Q577" t="n">
        <v>0</v>
      </c>
      <c r="R577" s="2" t="inlineStr"/>
    </row>
    <row r="578" ht="15" customHeight="1">
      <c r="A578" t="inlineStr">
        <is>
          <t>A 39511-2024</t>
        </is>
      </c>
      <c r="B578" s="1" t="n">
        <v>45551.68347222222</v>
      </c>
      <c r="C578" s="1" t="n">
        <v>45908</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56532-2024</t>
        </is>
      </c>
      <c r="B579" s="1" t="n">
        <v>45625.55440972222</v>
      </c>
      <c r="C579" s="1" t="n">
        <v>45908</v>
      </c>
      <c r="D579" t="inlineStr">
        <is>
          <t>DALARNAS LÄN</t>
        </is>
      </c>
      <c r="E579" t="inlineStr">
        <is>
          <t>MORA</t>
        </is>
      </c>
      <c r="G579" t="n">
        <v>6.9</v>
      </c>
      <c r="H579" t="n">
        <v>0</v>
      </c>
      <c r="I579" t="n">
        <v>0</v>
      </c>
      <c r="J579" t="n">
        <v>0</v>
      </c>
      <c r="K579" t="n">
        <v>0</v>
      </c>
      <c r="L579" t="n">
        <v>0</v>
      </c>
      <c r="M579" t="n">
        <v>0</v>
      </c>
      <c r="N579" t="n">
        <v>0</v>
      </c>
      <c r="O579" t="n">
        <v>0</v>
      </c>
      <c r="P579" t="n">
        <v>0</v>
      </c>
      <c r="Q579" t="n">
        <v>0</v>
      </c>
      <c r="R579" s="2" t="inlineStr"/>
    </row>
    <row r="580" ht="15" customHeight="1">
      <c r="A580" t="inlineStr">
        <is>
          <t>A 57797-2022</t>
        </is>
      </c>
      <c r="B580" s="1" t="n">
        <v>44897</v>
      </c>
      <c r="C580" s="1" t="n">
        <v>45908</v>
      </c>
      <c r="D580" t="inlineStr">
        <is>
          <t>DALARNAS LÄN</t>
        </is>
      </c>
      <c r="E580" t="inlineStr">
        <is>
          <t>MORA</t>
        </is>
      </c>
      <c r="G580" t="n">
        <v>3.1</v>
      </c>
      <c r="H580" t="n">
        <v>0</v>
      </c>
      <c r="I580" t="n">
        <v>0</v>
      </c>
      <c r="J580" t="n">
        <v>0</v>
      </c>
      <c r="K580" t="n">
        <v>0</v>
      </c>
      <c r="L580" t="n">
        <v>0</v>
      </c>
      <c r="M580" t="n">
        <v>0</v>
      </c>
      <c r="N580" t="n">
        <v>0</v>
      </c>
      <c r="O580" t="n">
        <v>0</v>
      </c>
      <c r="P580" t="n">
        <v>0</v>
      </c>
      <c r="Q580" t="n">
        <v>0</v>
      </c>
      <c r="R580" s="2" t="inlineStr"/>
    </row>
    <row r="581" ht="15" customHeight="1">
      <c r="A581" t="inlineStr">
        <is>
          <t>A 27125-2024</t>
        </is>
      </c>
      <c r="B581" s="1" t="n">
        <v>45471</v>
      </c>
      <c r="C581" s="1" t="n">
        <v>45908</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5001-2025</t>
        </is>
      </c>
      <c r="B582" s="1" t="n">
        <v>45691.36403935185</v>
      </c>
      <c r="C582" s="1" t="n">
        <v>45908</v>
      </c>
      <c r="D582" t="inlineStr">
        <is>
          <t>DALARNAS LÄN</t>
        </is>
      </c>
      <c r="E582" t="inlineStr">
        <is>
          <t>MORA</t>
        </is>
      </c>
      <c r="G582" t="n">
        <v>1.3</v>
      </c>
      <c r="H582" t="n">
        <v>0</v>
      </c>
      <c r="I582" t="n">
        <v>0</v>
      </c>
      <c r="J582" t="n">
        <v>0</v>
      </c>
      <c r="K582" t="n">
        <v>0</v>
      </c>
      <c r="L582" t="n">
        <v>0</v>
      </c>
      <c r="M582" t="n">
        <v>0</v>
      </c>
      <c r="N582" t="n">
        <v>0</v>
      </c>
      <c r="O582" t="n">
        <v>0</v>
      </c>
      <c r="P582" t="n">
        <v>0</v>
      </c>
      <c r="Q582" t="n">
        <v>0</v>
      </c>
      <c r="R582" s="2" t="inlineStr"/>
    </row>
    <row r="583" ht="15" customHeight="1">
      <c r="A583" t="inlineStr">
        <is>
          <t>A 60360-2023</t>
        </is>
      </c>
      <c r="B583" s="1" t="n">
        <v>45259</v>
      </c>
      <c r="C583" s="1" t="n">
        <v>45908</v>
      </c>
      <c r="D583" t="inlineStr">
        <is>
          <t>DALARNAS LÄN</t>
        </is>
      </c>
      <c r="E583" t="inlineStr">
        <is>
          <t>MORA</t>
        </is>
      </c>
      <c r="G583" t="n">
        <v>2.9</v>
      </c>
      <c r="H583" t="n">
        <v>0</v>
      </c>
      <c r="I583" t="n">
        <v>0</v>
      </c>
      <c r="J583" t="n">
        <v>0</v>
      </c>
      <c r="K583" t="n">
        <v>0</v>
      </c>
      <c r="L583" t="n">
        <v>0</v>
      </c>
      <c r="M583" t="n">
        <v>0</v>
      </c>
      <c r="N583" t="n">
        <v>0</v>
      </c>
      <c r="O583" t="n">
        <v>0</v>
      </c>
      <c r="P583" t="n">
        <v>0</v>
      </c>
      <c r="Q583" t="n">
        <v>0</v>
      </c>
      <c r="R583" s="2" t="inlineStr"/>
    </row>
    <row r="584" ht="15" customHeight="1">
      <c r="A584" t="inlineStr">
        <is>
          <t>A 30822-2024</t>
        </is>
      </c>
      <c r="B584" s="1" t="n">
        <v>45497</v>
      </c>
      <c r="C584" s="1" t="n">
        <v>45908</v>
      </c>
      <c r="D584" t="inlineStr">
        <is>
          <t>DALARNAS LÄN</t>
        </is>
      </c>
      <c r="E584" t="inlineStr">
        <is>
          <t>MORA</t>
        </is>
      </c>
      <c r="G584" t="n">
        <v>1.8</v>
      </c>
      <c r="H584" t="n">
        <v>0</v>
      </c>
      <c r="I584" t="n">
        <v>0</v>
      </c>
      <c r="J584" t="n">
        <v>0</v>
      </c>
      <c r="K584" t="n">
        <v>0</v>
      </c>
      <c r="L584" t="n">
        <v>0</v>
      </c>
      <c r="M584" t="n">
        <v>0</v>
      </c>
      <c r="N584" t="n">
        <v>0</v>
      </c>
      <c r="O584" t="n">
        <v>0</v>
      </c>
      <c r="P584" t="n">
        <v>0</v>
      </c>
      <c r="Q584" t="n">
        <v>0</v>
      </c>
      <c r="R584" s="2" t="inlineStr"/>
    </row>
    <row r="585" ht="15" customHeight="1">
      <c r="A585" t="inlineStr">
        <is>
          <t>A 17164-2025</t>
        </is>
      </c>
      <c r="B585" s="1" t="n">
        <v>45756.36403935185</v>
      </c>
      <c r="C585" s="1" t="n">
        <v>45908</v>
      </c>
      <c r="D585" t="inlineStr">
        <is>
          <t>DALARNAS LÄN</t>
        </is>
      </c>
      <c r="E585" t="inlineStr">
        <is>
          <t>MORA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24768-2024</t>
        </is>
      </c>
      <c r="B586" s="1" t="n">
        <v>45460.69545138889</v>
      </c>
      <c r="C586" s="1" t="n">
        <v>45908</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6371-2022</t>
        </is>
      </c>
      <c r="B587" s="1" t="n">
        <v>44600</v>
      </c>
      <c r="C587" s="1" t="n">
        <v>45908</v>
      </c>
      <c r="D587" t="inlineStr">
        <is>
          <t>DALARNAS LÄN</t>
        </is>
      </c>
      <c r="E587" t="inlineStr">
        <is>
          <t>MORA</t>
        </is>
      </c>
      <c r="G587" t="n">
        <v>4.6</v>
      </c>
      <c r="H587" t="n">
        <v>0</v>
      </c>
      <c r="I587" t="n">
        <v>0</v>
      </c>
      <c r="J587" t="n">
        <v>0</v>
      </c>
      <c r="K587" t="n">
        <v>0</v>
      </c>
      <c r="L587" t="n">
        <v>0</v>
      </c>
      <c r="M587" t="n">
        <v>0</v>
      </c>
      <c r="N587" t="n">
        <v>0</v>
      </c>
      <c r="O587" t="n">
        <v>0</v>
      </c>
      <c r="P587" t="n">
        <v>0</v>
      </c>
      <c r="Q587" t="n">
        <v>0</v>
      </c>
      <c r="R587" s="2" t="inlineStr"/>
    </row>
    <row r="588" ht="15" customHeight="1">
      <c r="A588" t="inlineStr">
        <is>
          <t>A 61350-2024</t>
        </is>
      </c>
      <c r="B588" s="1" t="n">
        <v>45646.37872685185</v>
      </c>
      <c r="C588" s="1" t="n">
        <v>45908</v>
      </c>
      <c r="D588" t="inlineStr">
        <is>
          <t>DALARNAS LÄN</t>
        </is>
      </c>
      <c r="E588" t="inlineStr">
        <is>
          <t>MORA</t>
        </is>
      </c>
      <c r="G588" t="n">
        <v>1.4</v>
      </c>
      <c r="H588" t="n">
        <v>0</v>
      </c>
      <c r="I588" t="n">
        <v>0</v>
      </c>
      <c r="J588" t="n">
        <v>0</v>
      </c>
      <c r="K588" t="n">
        <v>0</v>
      </c>
      <c r="L588" t="n">
        <v>0</v>
      </c>
      <c r="M588" t="n">
        <v>0</v>
      </c>
      <c r="N588" t="n">
        <v>0</v>
      </c>
      <c r="O588" t="n">
        <v>0</v>
      </c>
      <c r="P588" t="n">
        <v>0</v>
      </c>
      <c r="Q588" t="n">
        <v>0</v>
      </c>
      <c r="R588" s="2" t="inlineStr"/>
    </row>
    <row r="589" ht="15" customHeight="1">
      <c r="A589" t="inlineStr">
        <is>
          <t>A 20126-2025</t>
        </is>
      </c>
      <c r="B589" s="1" t="n">
        <v>45772.49640046297</v>
      </c>
      <c r="C589" s="1" t="n">
        <v>45908</v>
      </c>
      <c r="D589" t="inlineStr">
        <is>
          <t>DALARNAS LÄN</t>
        </is>
      </c>
      <c r="E589" t="inlineStr">
        <is>
          <t>MORA</t>
        </is>
      </c>
      <c r="G589" t="n">
        <v>12.1</v>
      </c>
      <c r="H589" t="n">
        <v>0</v>
      </c>
      <c r="I589" t="n">
        <v>0</v>
      </c>
      <c r="J589" t="n">
        <v>0</v>
      </c>
      <c r="K589" t="n">
        <v>0</v>
      </c>
      <c r="L589" t="n">
        <v>0</v>
      </c>
      <c r="M589" t="n">
        <v>0</v>
      </c>
      <c r="N589" t="n">
        <v>0</v>
      </c>
      <c r="O589" t="n">
        <v>0</v>
      </c>
      <c r="P589" t="n">
        <v>0</v>
      </c>
      <c r="Q589" t="n">
        <v>0</v>
      </c>
      <c r="R589" s="2" t="inlineStr"/>
    </row>
    <row r="590" ht="15" customHeight="1">
      <c r="A590" t="inlineStr">
        <is>
          <t>A 17278-2025</t>
        </is>
      </c>
      <c r="B590" s="1" t="n">
        <v>45756.56131944444</v>
      </c>
      <c r="C590" s="1" t="n">
        <v>45908</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27420-2024</t>
        </is>
      </c>
      <c r="B591" s="1" t="n">
        <v>45474.37850694444</v>
      </c>
      <c r="C591" s="1" t="n">
        <v>45908</v>
      </c>
      <c r="D591" t="inlineStr">
        <is>
          <t>DALARNAS LÄN</t>
        </is>
      </c>
      <c r="E591" t="inlineStr">
        <is>
          <t>MORA</t>
        </is>
      </c>
      <c r="G591" t="n">
        <v>7.3</v>
      </c>
      <c r="H591" t="n">
        <v>0</v>
      </c>
      <c r="I591" t="n">
        <v>0</v>
      </c>
      <c r="J591" t="n">
        <v>0</v>
      </c>
      <c r="K591" t="n">
        <v>0</v>
      </c>
      <c r="L591" t="n">
        <v>0</v>
      </c>
      <c r="M591" t="n">
        <v>0</v>
      </c>
      <c r="N591" t="n">
        <v>0</v>
      </c>
      <c r="O591" t="n">
        <v>0</v>
      </c>
      <c r="P591" t="n">
        <v>0</v>
      </c>
      <c r="Q591" t="n">
        <v>0</v>
      </c>
      <c r="R591" s="2" t="inlineStr"/>
    </row>
    <row r="592" ht="15" customHeight="1">
      <c r="A592" t="inlineStr">
        <is>
          <t>A 4209-2023</t>
        </is>
      </c>
      <c r="B592" s="1" t="n">
        <v>44953</v>
      </c>
      <c r="C592" s="1" t="n">
        <v>45908</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44205-2023</t>
        </is>
      </c>
      <c r="B593" s="1" t="n">
        <v>45188</v>
      </c>
      <c r="C593" s="1" t="n">
        <v>45908</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22732-2024</t>
        </is>
      </c>
      <c r="B594" s="1" t="n">
        <v>45448.38677083333</v>
      </c>
      <c r="C594" s="1" t="n">
        <v>45908</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39344-2024</t>
        </is>
      </c>
      <c r="B595" s="1" t="n">
        <v>45551.44503472222</v>
      </c>
      <c r="C595" s="1" t="n">
        <v>45908</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19756-2022</t>
        </is>
      </c>
      <c r="B596" s="1" t="n">
        <v>44694.62913194444</v>
      </c>
      <c r="C596" s="1" t="n">
        <v>45908</v>
      </c>
      <c r="D596" t="inlineStr">
        <is>
          <t>DALARNAS LÄN</t>
        </is>
      </c>
      <c r="E596" t="inlineStr">
        <is>
          <t>MORA</t>
        </is>
      </c>
      <c r="G596" t="n">
        <v>1</v>
      </c>
      <c r="H596" t="n">
        <v>0</v>
      </c>
      <c r="I596" t="n">
        <v>0</v>
      </c>
      <c r="J596" t="n">
        <v>0</v>
      </c>
      <c r="K596" t="n">
        <v>0</v>
      </c>
      <c r="L596" t="n">
        <v>0</v>
      </c>
      <c r="M596" t="n">
        <v>0</v>
      </c>
      <c r="N596" t="n">
        <v>0</v>
      </c>
      <c r="O596" t="n">
        <v>0</v>
      </c>
      <c r="P596" t="n">
        <v>0</v>
      </c>
      <c r="Q596" t="n">
        <v>0</v>
      </c>
      <c r="R596" s="2" t="inlineStr"/>
    </row>
    <row r="597" ht="15" customHeight="1">
      <c r="A597" t="inlineStr">
        <is>
          <t>A 24590-2024</t>
        </is>
      </c>
      <c r="B597" s="1" t="n">
        <v>45460</v>
      </c>
      <c r="C597" s="1" t="n">
        <v>45908</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46801-2022</t>
        </is>
      </c>
      <c r="B598" s="1" t="n">
        <v>44851</v>
      </c>
      <c r="C598" s="1" t="n">
        <v>45908</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5644-2024</t>
        </is>
      </c>
      <c r="B599" s="1" t="n">
        <v>45334</v>
      </c>
      <c r="C599" s="1" t="n">
        <v>45908</v>
      </c>
      <c r="D599" t="inlineStr">
        <is>
          <t>DALARNAS LÄN</t>
        </is>
      </c>
      <c r="E599" t="inlineStr">
        <is>
          <t>MORA</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33627-2024</t>
        </is>
      </c>
      <c r="B600" s="1" t="n">
        <v>45520</v>
      </c>
      <c r="C600" s="1" t="n">
        <v>45908</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46923-2024</t>
        </is>
      </c>
      <c r="B601" s="1" t="n">
        <v>45584.42887731481</v>
      </c>
      <c r="C601" s="1" t="n">
        <v>45908</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24169-2022</t>
        </is>
      </c>
      <c r="B602" s="1" t="n">
        <v>44725.50280092593</v>
      </c>
      <c r="C602" s="1" t="n">
        <v>45908</v>
      </c>
      <c r="D602" t="inlineStr">
        <is>
          <t>DALARNAS LÄN</t>
        </is>
      </c>
      <c r="E602" t="inlineStr">
        <is>
          <t>MORA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43641-2022</t>
        </is>
      </c>
      <c r="B603" s="1" t="n">
        <v>44837</v>
      </c>
      <c r="C603" s="1" t="n">
        <v>45908</v>
      </c>
      <c r="D603" t="inlineStr">
        <is>
          <t>DALARNAS LÄN</t>
        </is>
      </c>
      <c r="E603" t="inlineStr">
        <is>
          <t>MORA</t>
        </is>
      </c>
      <c r="G603" t="n">
        <v>1.8</v>
      </c>
      <c r="H603" t="n">
        <v>0</v>
      </c>
      <c r="I603" t="n">
        <v>0</v>
      </c>
      <c r="J603" t="n">
        <v>0</v>
      </c>
      <c r="K603" t="n">
        <v>0</v>
      </c>
      <c r="L603" t="n">
        <v>0</v>
      </c>
      <c r="M603" t="n">
        <v>0</v>
      </c>
      <c r="N603" t="n">
        <v>0</v>
      </c>
      <c r="O603" t="n">
        <v>0</v>
      </c>
      <c r="P603" t="n">
        <v>0</v>
      </c>
      <c r="Q603" t="n">
        <v>0</v>
      </c>
      <c r="R603" s="2" t="inlineStr"/>
    </row>
    <row r="604" ht="15" customHeight="1">
      <c r="A604" t="inlineStr">
        <is>
          <t>A 39888-2024</t>
        </is>
      </c>
      <c r="B604" s="1" t="n">
        <v>45553.47538194444</v>
      </c>
      <c r="C604" s="1" t="n">
        <v>45908</v>
      </c>
      <c r="D604" t="inlineStr">
        <is>
          <t>DALARNAS LÄN</t>
        </is>
      </c>
      <c r="E604" t="inlineStr">
        <is>
          <t>MORA</t>
        </is>
      </c>
      <c r="G604" t="n">
        <v>5.4</v>
      </c>
      <c r="H604" t="n">
        <v>0</v>
      </c>
      <c r="I604" t="n">
        <v>0</v>
      </c>
      <c r="J604" t="n">
        <v>0</v>
      </c>
      <c r="K604" t="n">
        <v>0</v>
      </c>
      <c r="L604" t="n">
        <v>0</v>
      </c>
      <c r="M604" t="n">
        <v>0</v>
      </c>
      <c r="N604" t="n">
        <v>0</v>
      </c>
      <c r="O604" t="n">
        <v>0</v>
      </c>
      <c r="P604" t="n">
        <v>0</v>
      </c>
      <c r="Q604" t="n">
        <v>0</v>
      </c>
      <c r="R604" s="2" t="inlineStr"/>
    </row>
    <row r="605" ht="15" customHeight="1">
      <c r="A605" t="inlineStr">
        <is>
          <t>A 53750-2024</t>
        </is>
      </c>
      <c r="B605" s="1" t="n">
        <v>45615.48465277778</v>
      </c>
      <c r="C605" s="1" t="n">
        <v>45908</v>
      </c>
      <c r="D605" t="inlineStr">
        <is>
          <t>DALARNAS LÄN</t>
        </is>
      </c>
      <c r="E605" t="inlineStr">
        <is>
          <t>MORA</t>
        </is>
      </c>
      <c r="G605" t="n">
        <v>2.3</v>
      </c>
      <c r="H605" t="n">
        <v>0</v>
      </c>
      <c r="I605" t="n">
        <v>0</v>
      </c>
      <c r="J605" t="n">
        <v>0</v>
      </c>
      <c r="K605" t="n">
        <v>0</v>
      </c>
      <c r="L605" t="n">
        <v>0</v>
      </c>
      <c r="M605" t="n">
        <v>0</v>
      </c>
      <c r="N605" t="n">
        <v>0</v>
      </c>
      <c r="O605" t="n">
        <v>0</v>
      </c>
      <c r="P605" t="n">
        <v>0</v>
      </c>
      <c r="Q605" t="n">
        <v>0</v>
      </c>
      <c r="R605" s="2" t="inlineStr"/>
    </row>
    <row r="606" ht="15" customHeight="1">
      <c r="A606" t="inlineStr">
        <is>
          <t>A 33666-2024</t>
        </is>
      </c>
      <c r="B606" s="1" t="n">
        <v>45520.48304398148</v>
      </c>
      <c r="C606" s="1" t="n">
        <v>45908</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10777-2025</t>
        </is>
      </c>
      <c r="B607" s="1" t="n">
        <v>45722.47743055555</v>
      </c>
      <c r="C607" s="1" t="n">
        <v>45908</v>
      </c>
      <c r="D607" t="inlineStr">
        <is>
          <t>DALARNAS LÄN</t>
        </is>
      </c>
      <c r="E607" t="inlineStr">
        <is>
          <t>MORA</t>
        </is>
      </c>
      <c r="G607" t="n">
        <v>9.9</v>
      </c>
      <c r="H607" t="n">
        <v>0</v>
      </c>
      <c r="I607" t="n">
        <v>0</v>
      </c>
      <c r="J607" t="n">
        <v>0</v>
      </c>
      <c r="K607" t="n">
        <v>0</v>
      </c>
      <c r="L607" t="n">
        <v>0</v>
      </c>
      <c r="M607" t="n">
        <v>0</v>
      </c>
      <c r="N607" t="n">
        <v>0</v>
      </c>
      <c r="O607" t="n">
        <v>0</v>
      </c>
      <c r="P607" t="n">
        <v>0</v>
      </c>
      <c r="Q607" t="n">
        <v>0</v>
      </c>
      <c r="R607" s="2" t="inlineStr"/>
    </row>
    <row r="608" ht="15" customHeight="1">
      <c r="A608" t="inlineStr">
        <is>
          <t>A 20989-2024</t>
        </is>
      </c>
      <c r="B608" s="1" t="n">
        <v>45439</v>
      </c>
      <c r="C608" s="1" t="n">
        <v>45908</v>
      </c>
      <c r="D608" t="inlineStr">
        <is>
          <t>DALARNAS LÄN</t>
        </is>
      </c>
      <c r="E608" t="inlineStr">
        <is>
          <t>MORA</t>
        </is>
      </c>
      <c r="F608" t="inlineStr">
        <is>
          <t>Bergvik skog öst AB</t>
        </is>
      </c>
      <c r="G608" t="n">
        <v>14.7</v>
      </c>
      <c r="H608" t="n">
        <v>0</v>
      </c>
      <c r="I608" t="n">
        <v>0</v>
      </c>
      <c r="J608" t="n">
        <v>0</v>
      </c>
      <c r="K608" t="n">
        <v>0</v>
      </c>
      <c r="L608" t="n">
        <v>0</v>
      </c>
      <c r="M608" t="n">
        <v>0</v>
      </c>
      <c r="N608" t="n">
        <v>0</v>
      </c>
      <c r="O608" t="n">
        <v>0</v>
      </c>
      <c r="P608" t="n">
        <v>0</v>
      </c>
      <c r="Q608" t="n">
        <v>0</v>
      </c>
      <c r="R608" s="2" t="inlineStr"/>
    </row>
    <row r="609" ht="15" customHeight="1">
      <c r="A609" t="inlineStr">
        <is>
          <t>A 41812-2024</t>
        </is>
      </c>
      <c r="B609" s="1" t="n">
        <v>45561.3771412037</v>
      </c>
      <c r="C609" s="1" t="n">
        <v>45908</v>
      </c>
      <c r="D609" t="inlineStr">
        <is>
          <t>DALARNAS LÄN</t>
        </is>
      </c>
      <c r="E609" t="inlineStr">
        <is>
          <t>MORA</t>
        </is>
      </c>
      <c r="G609" t="n">
        <v>2.2</v>
      </c>
      <c r="H609" t="n">
        <v>0</v>
      </c>
      <c r="I609" t="n">
        <v>0</v>
      </c>
      <c r="J609" t="n">
        <v>0</v>
      </c>
      <c r="K609" t="n">
        <v>0</v>
      </c>
      <c r="L609" t="n">
        <v>0</v>
      </c>
      <c r="M609" t="n">
        <v>0</v>
      </c>
      <c r="N609" t="n">
        <v>0</v>
      </c>
      <c r="O609" t="n">
        <v>0</v>
      </c>
      <c r="P609" t="n">
        <v>0</v>
      </c>
      <c r="Q609" t="n">
        <v>0</v>
      </c>
      <c r="R609" s="2" t="inlineStr"/>
    </row>
    <row r="610" ht="15" customHeight="1">
      <c r="A610" t="inlineStr">
        <is>
          <t>A 51888-2024</t>
        </is>
      </c>
      <c r="B610" s="1" t="n">
        <v>45607.57142361111</v>
      </c>
      <c r="C610" s="1" t="n">
        <v>45908</v>
      </c>
      <c r="D610" t="inlineStr">
        <is>
          <t>DALARNAS LÄN</t>
        </is>
      </c>
      <c r="E610" t="inlineStr">
        <is>
          <t>MORA</t>
        </is>
      </c>
      <c r="G610" t="n">
        <v>0.9</v>
      </c>
      <c r="H610" t="n">
        <v>0</v>
      </c>
      <c r="I610" t="n">
        <v>0</v>
      </c>
      <c r="J610" t="n">
        <v>0</v>
      </c>
      <c r="K610" t="n">
        <v>0</v>
      </c>
      <c r="L610" t="n">
        <v>0</v>
      </c>
      <c r="M610" t="n">
        <v>0</v>
      </c>
      <c r="N610" t="n">
        <v>0</v>
      </c>
      <c r="O610" t="n">
        <v>0</v>
      </c>
      <c r="P610" t="n">
        <v>0</v>
      </c>
      <c r="Q610" t="n">
        <v>0</v>
      </c>
      <c r="R610" s="2" t="inlineStr"/>
    </row>
    <row r="611" ht="15" customHeight="1">
      <c r="A611" t="inlineStr">
        <is>
          <t>A 19842-2025</t>
        </is>
      </c>
      <c r="B611" s="1" t="n">
        <v>45771.47938657407</v>
      </c>
      <c r="C611" s="1" t="n">
        <v>45908</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45188.51439814815</v>
      </c>
      <c r="C612" s="1" t="n">
        <v>45908</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32721-2024</t>
        </is>
      </c>
      <c r="B613" s="1" t="n">
        <v>45516.40261574074</v>
      </c>
      <c r="C613" s="1" t="n">
        <v>45908</v>
      </c>
      <c r="D613" t="inlineStr">
        <is>
          <t>DALARNAS LÄN</t>
        </is>
      </c>
      <c r="E613" t="inlineStr">
        <is>
          <t>MORA</t>
        </is>
      </c>
      <c r="G613" t="n">
        <v>4.2</v>
      </c>
      <c r="H613" t="n">
        <v>0</v>
      </c>
      <c r="I613" t="n">
        <v>0</v>
      </c>
      <c r="J613" t="n">
        <v>0</v>
      </c>
      <c r="K613" t="n">
        <v>0</v>
      </c>
      <c r="L613" t="n">
        <v>0</v>
      </c>
      <c r="M613" t="n">
        <v>0</v>
      </c>
      <c r="N613" t="n">
        <v>0</v>
      </c>
      <c r="O613" t="n">
        <v>0</v>
      </c>
      <c r="P613" t="n">
        <v>0</v>
      </c>
      <c r="Q613" t="n">
        <v>0</v>
      </c>
      <c r="R613" s="2" t="inlineStr"/>
    </row>
    <row r="614" ht="15" customHeight="1">
      <c r="A614" t="inlineStr">
        <is>
          <t>A 18134-2025</t>
        </is>
      </c>
      <c r="B614" s="1" t="n">
        <v>45761.60189814815</v>
      </c>
      <c r="C614" s="1" t="n">
        <v>45908</v>
      </c>
      <c r="D614" t="inlineStr">
        <is>
          <t>DALARNAS LÄN</t>
        </is>
      </c>
      <c r="E614" t="inlineStr">
        <is>
          <t>MORA</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8153-2021</t>
        </is>
      </c>
      <c r="B615" s="1" t="n">
        <v>44244</v>
      </c>
      <c r="C615" s="1" t="n">
        <v>45908</v>
      </c>
      <c r="D615" t="inlineStr">
        <is>
          <t>DALARNAS LÄN</t>
        </is>
      </c>
      <c r="E615" t="inlineStr">
        <is>
          <t>MORA</t>
        </is>
      </c>
      <c r="G615" t="n">
        <v>2.5</v>
      </c>
      <c r="H615" t="n">
        <v>0</v>
      </c>
      <c r="I615" t="n">
        <v>0</v>
      </c>
      <c r="J615" t="n">
        <v>0</v>
      </c>
      <c r="K615" t="n">
        <v>0</v>
      </c>
      <c r="L615" t="n">
        <v>0</v>
      </c>
      <c r="M615" t="n">
        <v>0</v>
      </c>
      <c r="N615" t="n">
        <v>0</v>
      </c>
      <c r="O615" t="n">
        <v>0</v>
      </c>
      <c r="P615" t="n">
        <v>0</v>
      </c>
      <c r="Q615" t="n">
        <v>0</v>
      </c>
      <c r="R615" s="2" t="inlineStr"/>
    </row>
    <row r="616" ht="15" customHeight="1">
      <c r="A616" t="inlineStr">
        <is>
          <t>A 25749-2023</t>
        </is>
      </c>
      <c r="B616" s="1" t="n">
        <v>45090</v>
      </c>
      <c r="C616" s="1" t="n">
        <v>45908</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40325-2024</t>
        </is>
      </c>
      <c r="B617" s="1" t="n">
        <v>45554.88538194444</v>
      </c>
      <c r="C617" s="1" t="n">
        <v>45908</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43964-2024</t>
        </is>
      </c>
      <c r="B618" s="1" t="n">
        <v>45572.48407407408</v>
      </c>
      <c r="C618" s="1" t="n">
        <v>45908</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35327-2024</t>
        </is>
      </c>
      <c r="B619" s="1" t="n">
        <v>45530.71334490741</v>
      </c>
      <c r="C619" s="1" t="n">
        <v>45908</v>
      </c>
      <c r="D619" t="inlineStr">
        <is>
          <t>DALARNAS LÄN</t>
        </is>
      </c>
      <c r="E619" t="inlineStr">
        <is>
          <t>MORA</t>
        </is>
      </c>
      <c r="G619" t="n">
        <v>5</v>
      </c>
      <c r="H619" t="n">
        <v>0</v>
      </c>
      <c r="I619" t="n">
        <v>0</v>
      </c>
      <c r="J619" t="n">
        <v>0</v>
      </c>
      <c r="K619" t="n">
        <v>0</v>
      </c>
      <c r="L619" t="n">
        <v>0</v>
      </c>
      <c r="M619" t="n">
        <v>0</v>
      </c>
      <c r="N619" t="n">
        <v>0</v>
      </c>
      <c r="O619" t="n">
        <v>0</v>
      </c>
      <c r="P619" t="n">
        <v>0</v>
      </c>
      <c r="Q619" t="n">
        <v>0</v>
      </c>
      <c r="R619" s="2" t="inlineStr"/>
    </row>
    <row r="620" ht="15" customHeight="1">
      <c r="A620" t="inlineStr">
        <is>
          <t>A 51883-2024</t>
        </is>
      </c>
      <c r="B620" s="1" t="n">
        <v>45607</v>
      </c>
      <c r="C620" s="1" t="n">
        <v>45908</v>
      </c>
      <c r="D620" t="inlineStr">
        <is>
          <t>DALARNAS LÄN</t>
        </is>
      </c>
      <c r="E620" t="inlineStr">
        <is>
          <t>MORA</t>
        </is>
      </c>
      <c r="G620" t="n">
        <v>0.2</v>
      </c>
      <c r="H620" t="n">
        <v>0</v>
      </c>
      <c r="I620" t="n">
        <v>0</v>
      </c>
      <c r="J620" t="n">
        <v>0</v>
      </c>
      <c r="K620" t="n">
        <v>0</v>
      </c>
      <c r="L620" t="n">
        <v>0</v>
      </c>
      <c r="M620" t="n">
        <v>0</v>
      </c>
      <c r="N620" t="n">
        <v>0</v>
      </c>
      <c r="O620" t="n">
        <v>0</v>
      </c>
      <c r="P620" t="n">
        <v>0</v>
      </c>
      <c r="Q620" t="n">
        <v>0</v>
      </c>
      <c r="R620" s="2" t="inlineStr"/>
    </row>
    <row r="621" ht="15" customHeight="1">
      <c r="A621" t="inlineStr">
        <is>
          <t>A 31112-2024</t>
        </is>
      </c>
      <c r="B621" s="1" t="n">
        <v>45502.55185185185</v>
      </c>
      <c r="C621" s="1" t="n">
        <v>45908</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42941-2024</t>
        </is>
      </c>
      <c r="B622" s="1" t="n">
        <v>45567.3515162037</v>
      </c>
      <c r="C622" s="1" t="n">
        <v>45908</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43873-2024</t>
        </is>
      </c>
      <c r="B623" s="1" t="n">
        <v>45572.38429398148</v>
      </c>
      <c r="C623" s="1" t="n">
        <v>45908</v>
      </c>
      <c r="D623" t="inlineStr">
        <is>
          <t>DALARNAS LÄN</t>
        </is>
      </c>
      <c r="E623" t="inlineStr">
        <is>
          <t>MORA</t>
        </is>
      </c>
      <c r="G623" t="n">
        <v>4.1</v>
      </c>
      <c r="H623" t="n">
        <v>0</v>
      </c>
      <c r="I623" t="n">
        <v>0</v>
      </c>
      <c r="J623" t="n">
        <v>0</v>
      </c>
      <c r="K623" t="n">
        <v>0</v>
      </c>
      <c r="L623" t="n">
        <v>0</v>
      </c>
      <c r="M623" t="n">
        <v>0</v>
      </c>
      <c r="N623" t="n">
        <v>0</v>
      </c>
      <c r="O623" t="n">
        <v>0</v>
      </c>
      <c r="P623" t="n">
        <v>0</v>
      </c>
      <c r="Q623" t="n">
        <v>0</v>
      </c>
      <c r="R623" s="2" t="inlineStr"/>
    </row>
    <row r="624" ht="15" customHeight="1">
      <c r="A624" t="inlineStr">
        <is>
          <t>A 442-2024</t>
        </is>
      </c>
      <c r="B624" s="1" t="n">
        <v>45296.60353009259</v>
      </c>
      <c r="C624" s="1" t="n">
        <v>45908</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501-2024</t>
        </is>
      </c>
      <c r="B625" s="1" t="n">
        <v>45299</v>
      </c>
      <c r="C625" s="1" t="n">
        <v>45908</v>
      </c>
      <c r="D625" t="inlineStr">
        <is>
          <t>DALARNAS LÄN</t>
        </is>
      </c>
      <c r="E625" t="inlineStr">
        <is>
          <t>MORA</t>
        </is>
      </c>
      <c r="G625" t="n">
        <v>2.5</v>
      </c>
      <c r="H625" t="n">
        <v>0</v>
      </c>
      <c r="I625" t="n">
        <v>0</v>
      </c>
      <c r="J625" t="n">
        <v>0</v>
      </c>
      <c r="K625" t="n">
        <v>0</v>
      </c>
      <c r="L625" t="n">
        <v>0</v>
      </c>
      <c r="M625" t="n">
        <v>0</v>
      </c>
      <c r="N625" t="n">
        <v>0</v>
      </c>
      <c r="O625" t="n">
        <v>0</v>
      </c>
      <c r="P625" t="n">
        <v>0</v>
      </c>
      <c r="Q625" t="n">
        <v>0</v>
      </c>
      <c r="R625" s="2" t="inlineStr"/>
    </row>
    <row r="626" ht="15" customHeight="1">
      <c r="A626" t="inlineStr">
        <is>
          <t>A 48570-2022</t>
        </is>
      </c>
      <c r="B626" s="1" t="n">
        <v>44859</v>
      </c>
      <c r="C626" s="1" t="n">
        <v>45908</v>
      </c>
      <c r="D626" t="inlineStr">
        <is>
          <t>DALARNAS LÄN</t>
        </is>
      </c>
      <c r="E626" t="inlineStr">
        <is>
          <t>MORA</t>
        </is>
      </c>
      <c r="G626" t="n">
        <v>6.2</v>
      </c>
      <c r="H626" t="n">
        <v>0</v>
      </c>
      <c r="I626" t="n">
        <v>0</v>
      </c>
      <c r="J626" t="n">
        <v>0</v>
      </c>
      <c r="K626" t="n">
        <v>0</v>
      </c>
      <c r="L626" t="n">
        <v>0</v>
      </c>
      <c r="M626" t="n">
        <v>0</v>
      </c>
      <c r="N626" t="n">
        <v>0</v>
      </c>
      <c r="O626" t="n">
        <v>0</v>
      </c>
      <c r="P626" t="n">
        <v>0</v>
      </c>
      <c r="Q626" t="n">
        <v>0</v>
      </c>
      <c r="R626" s="2" t="inlineStr"/>
    </row>
    <row r="627" ht="15" customHeight="1">
      <c r="A627" t="inlineStr">
        <is>
          <t>A 19814-2025</t>
        </is>
      </c>
      <c r="B627" s="1" t="n">
        <v>45771.45686342593</v>
      </c>
      <c r="C627" s="1" t="n">
        <v>45908</v>
      </c>
      <c r="D627" t="inlineStr">
        <is>
          <t>DALARNAS LÄN</t>
        </is>
      </c>
      <c r="E627" t="inlineStr">
        <is>
          <t>MORA</t>
        </is>
      </c>
      <c r="G627" t="n">
        <v>2.1</v>
      </c>
      <c r="H627" t="n">
        <v>0</v>
      </c>
      <c r="I627" t="n">
        <v>0</v>
      </c>
      <c r="J627" t="n">
        <v>0</v>
      </c>
      <c r="K627" t="n">
        <v>0</v>
      </c>
      <c r="L627" t="n">
        <v>0</v>
      </c>
      <c r="M627" t="n">
        <v>0</v>
      </c>
      <c r="N627" t="n">
        <v>0</v>
      </c>
      <c r="O627" t="n">
        <v>0</v>
      </c>
      <c r="P627" t="n">
        <v>0</v>
      </c>
      <c r="Q627" t="n">
        <v>0</v>
      </c>
      <c r="R627" s="2" t="inlineStr"/>
    </row>
    <row r="628" ht="15" customHeight="1">
      <c r="A628" t="inlineStr">
        <is>
          <t>A 17692-2024</t>
        </is>
      </c>
      <c r="B628" s="1" t="n">
        <v>45418.44195601852</v>
      </c>
      <c r="C628" s="1" t="n">
        <v>45908</v>
      </c>
      <c r="D628" t="inlineStr">
        <is>
          <t>DALARNAS LÄN</t>
        </is>
      </c>
      <c r="E628" t="inlineStr">
        <is>
          <t>MORA</t>
        </is>
      </c>
      <c r="F628" t="inlineStr">
        <is>
          <t>Bergvik skog öst AB</t>
        </is>
      </c>
      <c r="G628" t="n">
        <v>7.9</v>
      </c>
      <c r="H628" t="n">
        <v>0</v>
      </c>
      <c r="I628" t="n">
        <v>0</v>
      </c>
      <c r="J628" t="n">
        <v>0</v>
      </c>
      <c r="K628" t="n">
        <v>0</v>
      </c>
      <c r="L628" t="n">
        <v>0</v>
      </c>
      <c r="M628" t="n">
        <v>0</v>
      </c>
      <c r="N628" t="n">
        <v>0</v>
      </c>
      <c r="O628" t="n">
        <v>0</v>
      </c>
      <c r="P628" t="n">
        <v>0</v>
      </c>
      <c r="Q628" t="n">
        <v>0</v>
      </c>
      <c r="R628" s="2" t="inlineStr"/>
    </row>
    <row r="629" ht="15" customHeight="1">
      <c r="A629" t="inlineStr">
        <is>
          <t>A 60526-2023</t>
        </is>
      </c>
      <c r="B629" s="1" t="n">
        <v>45259</v>
      </c>
      <c r="C629" s="1" t="n">
        <v>45908</v>
      </c>
      <c r="D629" t="inlineStr">
        <is>
          <t>DALARNAS LÄN</t>
        </is>
      </c>
      <c r="E629" t="inlineStr">
        <is>
          <t>MORA</t>
        </is>
      </c>
      <c r="G629" t="n">
        <v>6.7</v>
      </c>
      <c r="H629" t="n">
        <v>0</v>
      </c>
      <c r="I629" t="n">
        <v>0</v>
      </c>
      <c r="J629" t="n">
        <v>0</v>
      </c>
      <c r="K629" t="n">
        <v>0</v>
      </c>
      <c r="L629" t="n">
        <v>0</v>
      </c>
      <c r="M629" t="n">
        <v>0</v>
      </c>
      <c r="N629" t="n">
        <v>0</v>
      </c>
      <c r="O629" t="n">
        <v>0</v>
      </c>
      <c r="P629" t="n">
        <v>0</v>
      </c>
      <c r="Q629" t="n">
        <v>0</v>
      </c>
      <c r="R629" s="2" t="inlineStr"/>
    </row>
    <row r="630" ht="15" customHeight="1">
      <c r="A630" t="inlineStr">
        <is>
          <t>A 53341-2023</t>
        </is>
      </c>
      <c r="B630" s="1" t="n">
        <v>45229</v>
      </c>
      <c r="C630" s="1" t="n">
        <v>45908</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12828-2023</t>
        </is>
      </c>
      <c r="B631" s="1" t="n">
        <v>45001</v>
      </c>
      <c r="C631" s="1" t="n">
        <v>45908</v>
      </c>
      <c r="D631" t="inlineStr">
        <is>
          <t>DALARNAS LÄN</t>
        </is>
      </c>
      <c r="E631" t="inlineStr">
        <is>
          <t>MORA</t>
        </is>
      </c>
      <c r="F631" t="inlineStr">
        <is>
          <t>Bergvik skog väst AB</t>
        </is>
      </c>
      <c r="G631" t="n">
        <v>5.4</v>
      </c>
      <c r="H631" t="n">
        <v>0</v>
      </c>
      <c r="I631" t="n">
        <v>0</v>
      </c>
      <c r="J631" t="n">
        <v>0</v>
      </c>
      <c r="K631" t="n">
        <v>0</v>
      </c>
      <c r="L631" t="n">
        <v>0</v>
      </c>
      <c r="M631" t="n">
        <v>0</v>
      </c>
      <c r="N631" t="n">
        <v>0</v>
      </c>
      <c r="O631" t="n">
        <v>0</v>
      </c>
      <c r="P631" t="n">
        <v>0</v>
      </c>
      <c r="Q631" t="n">
        <v>0</v>
      </c>
      <c r="R631" s="2" t="inlineStr"/>
    </row>
    <row r="632" ht="15" customHeight="1">
      <c r="A632" t="inlineStr">
        <is>
          <t>A 14372-2025</t>
        </is>
      </c>
      <c r="B632" s="1" t="n">
        <v>45741.4050462963</v>
      </c>
      <c r="C632" s="1" t="n">
        <v>45908</v>
      </c>
      <c r="D632" t="inlineStr">
        <is>
          <t>DALARNAS LÄN</t>
        </is>
      </c>
      <c r="E632" t="inlineStr">
        <is>
          <t>MORA</t>
        </is>
      </c>
      <c r="G632" t="n">
        <v>5.1</v>
      </c>
      <c r="H632" t="n">
        <v>0</v>
      </c>
      <c r="I632" t="n">
        <v>0</v>
      </c>
      <c r="J632" t="n">
        <v>0</v>
      </c>
      <c r="K632" t="n">
        <v>0</v>
      </c>
      <c r="L632" t="n">
        <v>0</v>
      </c>
      <c r="M632" t="n">
        <v>0</v>
      </c>
      <c r="N632" t="n">
        <v>0</v>
      </c>
      <c r="O632" t="n">
        <v>0</v>
      </c>
      <c r="P632" t="n">
        <v>0</v>
      </c>
      <c r="Q632" t="n">
        <v>0</v>
      </c>
      <c r="R632" s="2" t="inlineStr"/>
    </row>
    <row r="633" ht="15" customHeight="1">
      <c r="A633" t="inlineStr">
        <is>
          <t>A 14378-2025</t>
        </is>
      </c>
      <c r="B633" s="1" t="n">
        <v>45741</v>
      </c>
      <c r="C633" s="1" t="n">
        <v>45908</v>
      </c>
      <c r="D633" t="inlineStr">
        <is>
          <t>DALARNAS LÄN</t>
        </is>
      </c>
      <c r="E633" t="inlineStr">
        <is>
          <t>MORA</t>
        </is>
      </c>
      <c r="G633" t="n">
        <v>5.2</v>
      </c>
      <c r="H633" t="n">
        <v>0</v>
      </c>
      <c r="I633" t="n">
        <v>0</v>
      </c>
      <c r="J633" t="n">
        <v>0</v>
      </c>
      <c r="K633" t="n">
        <v>0</v>
      </c>
      <c r="L633" t="n">
        <v>0</v>
      </c>
      <c r="M633" t="n">
        <v>0</v>
      </c>
      <c r="N633" t="n">
        <v>0</v>
      </c>
      <c r="O633" t="n">
        <v>0</v>
      </c>
      <c r="P633" t="n">
        <v>0</v>
      </c>
      <c r="Q633" t="n">
        <v>0</v>
      </c>
      <c r="R633" s="2" t="inlineStr"/>
    </row>
    <row r="634" ht="15" customHeight="1">
      <c r="A634" t="inlineStr">
        <is>
          <t>A 16733-2024</t>
        </is>
      </c>
      <c r="B634" s="1" t="n">
        <v>45410.78502314815</v>
      </c>
      <c r="C634" s="1" t="n">
        <v>45908</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61217-2023</t>
        </is>
      </c>
      <c r="B635" s="1" t="n">
        <v>45264.43802083333</v>
      </c>
      <c r="C635" s="1" t="n">
        <v>45908</v>
      </c>
      <c r="D635" t="inlineStr">
        <is>
          <t>DALARNAS LÄN</t>
        </is>
      </c>
      <c r="E635" t="inlineStr">
        <is>
          <t>MORA</t>
        </is>
      </c>
      <c r="F635" t="inlineStr">
        <is>
          <t>Allmännings- och besparingsskogar</t>
        </is>
      </c>
      <c r="G635" t="n">
        <v>2</v>
      </c>
      <c r="H635" t="n">
        <v>0</v>
      </c>
      <c r="I635" t="n">
        <v>0</v>
      </c>
      <c r="J635" t="n">
        <v>0</v>
      </c>
      <c r="K635" t="n">
        <v>0</v>
      </c>
      <c r="L635" t="n">
        <v>0</v>
      </c>
      <c r="M635" t="n">
        <v>0</v>
      </c>
      <c r="N635" t="n">
        <v>0</v>
      </c>
      <c r="O635" t="n">
        <v>0</v>
      </c>
      <c r="P635" t="n">
        <v>0</v>
      </c>
      <c r="Q635" t="n">
        <v>0</v>
      </c>
      <c r="R635" s="2" t="inlineStr"/>
    </row>
    <row r="636" ht="15" customHeight="1">
      <c r="A636" t="inlineStr">
        <is>
          <t>A 61218-2023</t>
        </is>
      </c>
      <c r="B636" s="1" t="n">
        <v>45264</v>
      </c>
      <c r="C636" s="1" t="n">
        <v>45908</v>
      </c>
      <c r="D636" t="inlineStr">
        <is>
          <t>DALARNAS LÄN</t>
        </is>
      </c>
      <c r="E636" t="inlineStr">
        <is>
          <t>MORA</t>
        </is>
      </c>
      <c r="F636" t="inlineStr">
        <is>
          <t>Allmännings- och besparingsskogar</t>
        </is>
      </c>
      <c r="G636" t="n">
        <v>2.6</v>
      </c>
      <c r="H636" t="n">
        <v>0</v>
      </c>
      <c r="I636" t="n">
        <v>0</v>
      </c>
      <c r="J636" t="n">
        <v>0</v>
      </c>
      <c r="K636" t="n">
        <v>0</v>
      </c>
      <c r="L636" t="n">
        <v>0</v>
      </c>
      <c r="M636" t="n">
        <v>0</v>
      </c>
      <c r="N636" t="n">
        <v>0</v>
      </c>
      <c r="O636" t="n">
        <v>0</v>
      </c>
      <c r="P636" t="n">
        <v>0</v>
      </c>
      <c r="Q636" t="n">
        <v>0</v>
      </c>
      <c r="R636" s="2" t="inlineStr"/>
    </row>
    <row r="637" ht="15" customHeight="1">
      <c r="A637" t="inlineStr">
        <is>
          <t>A 21410-2023</t>
        </is>
      </c>
      <c r="B637" s="1" t="n">
        <v>45063</v>
      </c>
      <c r="C637" s="1" t="n">
        <v>45908</v>
      </c>
      <c r="D637" t="inlineStr">
        <is>
          <t>DALARNAS LÄN</t>
        </is>
      </c>
      <c r="E637" t="inlineStr">
        <is>
          <t>MORA</t>
        </is>
      </c>
      <c r="G637" t="n">
        <v>7</v>
      </c>
      <c r="H637" t="n">
        <v>0</v>
      </c>
      <c r="I637" t="n">
        <v>0</v>
      </c>
      <c r="J637" t="n">
        <v>0</v>
      </c>
      <c r="K637" t="n">
        <v>0</v>
      </c>
      <c r="L637" t="n">
        <v>0</v>
      </c>
      <c r="M637" t="n">
        <v>0</v>
      </c>
      <c r="N637" t="n">
        <v>0</v>
      </c>
      <c r="O637" t="n">
        <v>0</v>
      </c>
      <c r="P637" t="n">
        <v>0</v>
      </c>
      <c r="Q637" t="n">
        <v>0</v>
      </c>
      <c r="R637" s="2" t="inlineStr"/>
    </row>
    <row r="638" ht="15" customHeight="1">
      <c r="A638" t="inlineStr">
        <is>
          <t>A 3531-2024</t>
        </is>
      </c>
      <c r="B638" s="1" t="n">
        <v>45320</v>
      </c>
      <c r="C638" s="1" t="n">
        <v>45908</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c r="U638">
        <f>HYPERLINK("https://klasma.github.io/Logging_2062/knärot/A 3531-2024 karta knärot.png", "A 3531-2024")</f>
        <v/>
      </c>
      <c r="V638">
        <f>HYPERLINK("https://klasma.github.io/Logging_2062/klagomål/A 3531-2024 FSC-klagomål.docx", "A 3531-2024")</f>
        <v/>
      </c>
      <c r="W638">
        <f>HYPERLINK("https://klasma.github.io/Logging_2062/klagomålsmail/A 3531-2024 FSC-klagomål mail.docx", "A 3531-2024")</f>
        <v/>
      </c>
      <c r="X638">
        <f>HYPERLINK("https://klasma.github.io/Logging_2062/tillsyn/A 3531-2024 tillsynsbegäran.docx", "A 3531-2024")</f>
        <v/>
      </c>
      <c r="Y638">
        <f>HYPERLINK("https://klasma.github.io/Logging_2062/tillsynsmail/A 3531-2024 tillsynsbegäran mail.docx", "A 3531-2024")</f>
        <v/>
      </c>
    </row>
    <row r="639" ht="15" customHeight="1">
      <c r="A639" t="inlineStr">
        <is>
          <t>A 45475-2023</t>
        </is>
      </c>
      <c r="B639" s="1" t="n">
        <v>45188</v>
      </c>
      <c r="C639" s="1" t="n">
        <v>45908</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44071-2024</t>
        </is>
      </c>
      <c r="B640" s="1" t="n">
        <v>45572.60915509259</v>
      </c>
      <c r="C640" s="1" t="n">
        <v>45908</v>
      </c>
      <c r="D640" t="inlineStr">
        <is>
          <t>DALARNAS LÄN</t>
        </is>
      </c>
      <c r="E640" t="inlineStr">
        <is>
          <t>MORA</t>
        </is>
      </c>
      <c r="G640" t="n">
        <v>4.5</v>
      </c>
      <c r="H640" t="n">
        <v>0</v>
      </c>
      <c r="I640" t="n">
        <v>0</v>
      </c>
      <c r="J640" t="n">
        <v>0</v>
      </c>
      <c r="K640" t="n">
        <v>0</v>
      </c>
      <c r="L640" t="n">
        <v>0</v>
      </c>
      <c r="M640" t="n">
        <v>0</v>
      </c>
      <c r="N640" t="n">
        <v>0</v>
      </c>
      <c r="O640" t="n">
        <v>0</v>
      </c>
      <c r="P640" t="n">
        <v>0</v>
      </c>
      <c r="Q640" t="n">
        <v>0</v>
      </c>
      <c r="R640" s="2" t="inlineStr"/>
    </row>
    <row r="641" ht="15" customHeight="1">
      <c r="A641" t="inlineStr">
        <is>
          <t>A 11463-2024</t>
        </is>
      </c>
      <c r="B641" s="1" t="n">
        <v>45372.58969907407</v>
      </c>
      <c r="C641" s="1" t="n">
        <v>45908</v>
      </c>
      <c r="D641" t="inlineStr">
        <is>
          <t>DALARNAS LÄN</t>
        </is>
      </c>
      <c r="E641" t="inlineStr">
        <is>
          <t>MORA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57903-2022</t>
        </is>
      </c>
      <c r="B642" s="1" t="n">
        <v>44900.3521412037</v>
      </c>
      <c r="C642" s="1" t="n">
        <v>45908</v>
      </c>
      <c r="D642" t="inlineStr">
        <is>
          <t>DALARNAS LÄN</t>
        </is>
      </c>
      <c r="E642" t="inlineStr">
        <is>
          <t>MORA</t>
        </is>
      </c>
      <c r="G642" t="n">
        <v>4.3</v>
      </c>
      <c r="H642" t="n">
        <v>0</v>
      </c>
      <c r="I642" t="n">
        <v>0</v>
      </c>
      <c r="J642" t="n">
        <v>0</v>
      </c>
      <c r="K642" t="n">
        <v>0</v>
      </c>
      <c r="L642" t="n">
        <v>0</v>
      </c>
      <c r="M642" t="n">
        <v>0</v>
      </c>
      <c r="N642" t="n">
        <v>0</v>
      </c>
      <c r="O642" t="n">
        <v>0</v>
      </c>
      <c r="P642" t="n">
        <v>0</v>
      </c>
      <c r="Q642" t="n">
        <v>0</v>
      </c>
      <c r="R642" s="2" t="inlineStr"/>
    </row>
    <row r="643" ht="15" customHeight="1">
      <c r="A643" t="inlineStr">
        <is>
          <t>A 46129-2024</t>
        </is>
      </c>
      <c r="B643" s="1" t="n">
        <v>45581.43337962963</v>
      </c>
      <c r="C643" s="1" t="n">
        <v>45908</v>
      </c>
      <c r="D643" t="inlineStr">
        <is>
          <t>DALARNAS LÄN</t>
        </is>
      </c>
      <c r="E643" t="inlineStr">
        <is>
          <t>MORA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18580-2025</t>
        </is>
      </c>
      <c r="B644" s="1" t="n">
        <v>45763.46721064814</v>
      </c>
      <c r="C644" s="1" t="n">
        <v>45908</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19193-2025</t>
        </is>
      </c>
      <c r="B645" s="1" t="n">
        <v>45769.42203703704</v>
      </c>
      <c r="C645" s="1" t="n">
        <v>45908</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c r="A646" t="inlineStr">
        <is>
          <t>A 6183-2024</t>
        </is>
      </c>
      <c r="B646" s="1" t="n">
        <v>45337.54135416666</v>
      </c>
      <c r="C646" s="1" t="n">
        <v>45908</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2025-09-08T08:58:31Z</dcterms:created>
  <dcterms:modified xmlns:dcterms="http://purl.org/dc/terms/" xmlns:xsi="http://www.w3.org/2001/XMLSchema-instance" xsi:type="dcterms:W3CDTF">2025-09-08T08:58:32Z</dcterms:modified>
</cp:coreProperties>
</file>