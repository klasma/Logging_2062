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45795</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45795</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45795</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45795</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45795</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45795</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45795</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45795</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45795</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45795</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45795</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45795</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45795</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45795</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45795</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45795</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45795</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45795</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45795</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45795</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45795</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45795</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45795</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45795</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45795</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45795</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45795</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45795</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45795</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45795</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45795</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45795</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45795</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45795</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45795</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45795</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45795</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45795</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45795</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45795</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45795</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45795</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45795</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45795</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45795</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45795</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45795</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45795</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23163-2025</t>
        </is>
      </c>
      <c r="B53" s="1" t="n">
        <v>45791</v>
      </c>
      <c r="C53" s="1" t="n">
        <v>45795</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HYPERLINK("https://klasma.github.io/Logging_202062/artfynd/A 23163-2025 artfynd.xlsx", "A 23163-2025")</f>
        <v/>
      </c>
      <c r="T53">
        <f>HYPERLINK("https://klasma.github.io/Logging_202062/kartor/A 23163-2025 karta.png", "A 23163-2025")</f>
        <v/>
      </c>
      <c r="V53">
        <f>HYPERLINK("https://klasma.github.io/Logging_202062/klagomål/A 23163-2025 FSC-klagomål.docx", "A 23163-2025")</f>
        <v/>
      </c>
      <c r="W53">
        <f>HYPERLINK("https://klasma.github.io/Logging_202062/klagomålsmail/A 23163-2025 FSC-klagomål mail.docx", "A 23163-2025")</f>
        <v/>
      </c>
      <c r="X53">
        <f>HYPERLINK("https://klasma.github.io/Logging_202062/tillsyn/A 23163-2025 tillsynsbegäran.docx", "A 23163-2025")</f>
        <v/>
      </c>
      <c r="Y53">
        <f>HYPERLINK("https://klasma.github.io/Logging_202062/tillsynsmail/A 23163-2025 tillsynsbegäran mail.docx", "A 23163-2025")</f>
        <v/>
      </c>
      <c r="Z53">
        <f>HYPERLINK("https://klasma.github.io/Logging_202062/fåglar/A 23163-2025 prioriterade fågelarter.docx", "A 23163-2025")</f>
        <v/>
      </c>
    </row>
    <row r="54" ht="15" customHeight="1">
      <c r="A54" t="inlineStr">
        <is>
          <t>A 33968-2020</t>
        </is>
      </c>
      <c r="B54" s="1" t="n">
        <v>44028</v>
      </c>
      <c r="C54" s="1" t="n">
        <v>45795</v>
      </c>
      <c r="D54" t="inlineStr">
        <is>
          <t>DALARNAS LÄN</t>
        </is>
      </c>
      <c r="E54" t="inlineStr">
        <is>
          <t>MORA</t>
        </is>
      </c>
      <c r="G54" t="n">
        <v>0.5</v>
      </c>
      <c r="H54" t="n">
        <v>1</v>
      </c>
      <c r="I54" t="n">
        <v>0</v>
      </c>
      <c r="J54" t="n">
        <v>1</v>
      </c>
      <c r="K54" t="n">
        <v>0</v>
      </c>
      <c r="L54" t="n">
        <v>0</v>
      </c>
      <c r="M54" t="n">
        <v>0</v>
      </c>
      <c r="N54" t="n">
        <v>0</v>
      </c>
      <c r="O54" t="n">
        <v>1</v>
      </c>
      <c r="P54" t="n">
        <v>0</v>
      </c>
      <c r="Q54" t="n">
        <v>1</v>
      </c>
      <c r="R54" s="2" t="inlineStr">
        <is>
          <t>Spillkråka</t>
        </is>
      </c>
      <c r="S54">
        <f>HYPERLINK("https://klasma.github.io/Logging_2062/artfynd/A 33968-2020 artfynd.xlsx", "A 33968-2020")</f>
        <v/>
      </c>
      <c r="T54">
        <f>HYPERLINK("https://klasma.github.io/Logging_2062/kartor/A 33968-2020 karta.png", "A 33968-2020")</f>
        <v/>
      </c>
      <c r="V54">
        <f>HYPERLINK("https://klasma.github.io/Logging_2062/klagomål/A 33968-2020 FSC-klagomål.docx", "A 33968-2020")</f>
        <v/>
      </c>
      <c r="W54">
        <f>HYPERLINK("https://klasma.github.io/Logging_2062/klagomålsmail/A 33968-2020 FSC-klagomål mail.docx", "A 33968-2020")</f>
        <v/>
      </c>
      <c r="X54">
        <f>HYPERLINK("https://klasma.github.io/Logging_2062/tillsyn/A 33968-2020 tillsynsbegäran.docx", "A 33968-2020")</f>
        <v/>
      </c>
      <c r="Y54">
        <f>HYPERLINK("https://klasma.github.io/Logging_2062/tillsynsmail/A 33968-2020 tillsynsbegäran mail.docx", "A 33968-2020")</f>
        <v/>
      </c>
      <c r="Z54">
        <f>HYPERLINK("https://klasma.github.io/Logging_2062/fåglar/A 33968-2020 prioriterade fågelarter.docx", "A 33968-2020")</f>
        <v/>
      </c>
    </row>
    <row r="55" ht="15" customHeight="1">
      <c r="A55" t="inlineStr">
        <is>
          <t>A 30328-2021</t>
        </is>
      </c>
      <c r="B55" s="1" t="n">
        <v>44364</v>
      </c>
      <c r="C55" s="1" t="n">
        <v>45795</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44426-2021</t>
        </is>
      </c>
      <c r="B56" s="1" t="n">
        <v>44435</v>
      </c>
      <c r="C56" s="1" t="n">
        <v>45795</v>
      </c>
      <c r="D56" t="inlineStr">
        <is>
          <t>DALARNAS LÄN</t>
        </is>
      </c>
      <c r="E56" t="inlineStr">
        <is>
          <t>MORA</t>
        </is>
      </c>
      <c r="G56" t="n">
        <v>2.2</v>
      </c>
      <c r="H56" t="n">
        <v>0</v>
      </c>
      <c r="I56" t="n">
        <v>0</v>
      </c>
      <c r="J56" t="n">
        <v>1</v>
      </c>
      <c r="K56" t="n">
        <v>0</v>
      </c>
      <c r="L56" t="n">
        <v>0</v>
      </c>
      <c r="M56" t="n">
        <v>0</v>
      </c>
      <c r="N56" t="n">
        <v>0</v>
      </c>
      <c r="O56" t="n">
        <v>1</v>
      </c>
      <c r="P56" t="n">
        <v>0</v>
      </c>
      <c r="Q56" t="n">
        <v>1</v>
      </c>
      <c r="R56" s="2" t="inlineStr">
        <is>
          <t>Garnlav</t>
        </is>
      </c>
      <c r="S56">
        <f>HYPERLINK("https://klasma.github.io/Logging_2062/artfynd/A 44426-2021 artfynd.xlsx", "A 44426-2021")</f>
        <v/>
      </c>
      <c r="T56">
        <f>HYPERLINK("https://klasma.github.io/Logging_2062/kartor/A 44426-2021 karta.png", "A 44426-2021")</f>
        <v/>
      </c>
      <c r="V56">
        <f>HYPERLINK("https://klasma.github.io/Logging_2062/klagomål/A 44426-2021 FSC-klagomål.docx", "A 44426-2021")</f>
        <v/>
      </c>
      <c r="W56">
        <f>HYPERLINK("https://klasma.github.io/Logging_2062/klagomålsmail/A 44426-2021 FSC-klagomål mail.docx", "A 44426-2021")</f>
        <v/>
      </c>
      <c r="X56">
        <f>HYPERLINK("https://klasma.github.io/Logging_2062/tillsyn/A 44426-2021 tillsynsbegäran.docx", "A 44426-2021")</f>
        <v/>
      </c>
      <c r="Y56">
        <f>HYPERLINK("https://klasma.github.io/Logging_2062/tillsynsmail/A 44426-2021 tillsynsbegäran mail.docx", "A 44426-2021")</f>
        <v/>
      </c>
    </row>
    <row r="57" ht="15" customHeight="1">
      <c r="A57" t="inlineStr">
        <is>
          <t>A 57669-2022</t>
        </is>
      </c>
      <c r="B57" s="1" t="n">
        <v>44897</v>
      </c>
      <c r="C57" s="1" t="n">
        <v>45795</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5304-2023</t>
        </is>
      </c>
      <c r="B58" s="1" t="n">
        <v>44959</v>
      </c>
      <c r="C58" s="1" t="n">
        <v>45795</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23736-2023</t>
        </is>
      </c>
      <c r="B59" s="1" t="n">
        <v>45077</v>
      </c>
      <c r="C59" s="1" t="n">
        <v>45795</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24681-2023</t>
        </is>
      </c>
      <c r="B60" s="1" t="n">
        <v>45084</v>
      </c>
      <c r="C60" s="1" t="n">
        <v>45795</v>
      </c>
      <c r="D60" t="inlineStr">
        <is>
          <t>DALARNAS LÄN</t>
        </is>
      </c>
      <c r="E60" t="inlineStr">
        <is>
          <t>MORA</t>
        </is>
      </c>
      <c r="G60" t="n">
        <v>8.199999999999999</v>
      </c>
      <c r="H60" t="n">
        <v>0</v>
      </c>
      <c r="I60" t="n">
        <v>0</v>
      </c>
      <c r="J60" t="n">
        <v>1</v>
      </c>
      <c r="K60" t="n">
        <v>0</v>
      </c>
      <c r="L60" t="n">
        <v>0</v>
      </c>
      <c r="M60" t="n">
        <v>0</v>
      </c>
      <c r="N60" t="n">
        <v>0</v>
      </c>
      <c r="O60" t="n">
        <v>1</v>
      </c>
      <c r="P60" t="n">
        <v>0</v>
      </c>
      <c r="Q60" t="n">
        <v>1</v>
      </c>
      <c r="R60" s="2" t="inlineStr">
        <is>
          <t>Dvärgbägarlav</t>
        </is>
      </c>
      <c r="S60">
        <f>HYPERLINK("https://klasma.github.io/Logging_2062/artfynd/A 24681-2023 artfynd.xlsx", "A 24681-2023")</f>
        <v/>
      </c>
      <c r="T60">
        <f>HYPERLINK("https://klasma.github.io/Logging_2062/kartor/A 24681-2023 karta.png", "A 24681-2023")</f>
        <v/>
      </c>
      <c r="V60">
        <f>HYPERLINK("https://klasma.github.io/Logging_2062/klagomål/A 24681-2023 FSC-klagomål.docx", "A 24681-2023")</f>
        <v/>
      </c>
      <c r="W60">
        <f>HYPERLINK("https://klasma.github.io/Logging_2062/klagomålsmail/A 24681-2023 FSC-klagomål mail.docx", "A 24681-2023")</f>
        <v/>
      </c>
      <c r="X60">
        <f>HYPERLINK("https://klasma.github.io/Logging_2062/tillsyn/A 24681-2023 tillsynsbegäran.docx", "A 24681-2023")</f>
        <v/>
      </c>
      <c r="Y60">
        <f>HYPERLINK("https://klasma.github.io/Logging_2062/tillsynsmail/A 24681-2023 tillsynsbegäran mail.docx", "A 24681-2023")</f>
        <v/>
      </c>
    </row>
    <row r="61" ht="15" customHeight="1">
      <c r="A61" t="inlineStr">
        <is>
          <t>A 30906-2023</t>
        </is>
      </c>
      <c r="B61" s="1" t="n">
        <v>45113</v>
      </c>
      <c r="C61" s="1" t="n">
        <v>45795</v>
      </c>
      <c r="D61" t="inlineStr">
        <is>
          <t>DALARNAS LÄN</t>
        </is>
      </c>
      <c r="E61" t="inlineStr">
        <is>
          <t>MORA</t>
        </is>
      </c>
      <c r="G61" t="n">
        <v>3.1</v>
      </c>
      <c r="H61" t="n">
        <v>0</v>
      </c>
      <c r="I61" t="n">
        <v>0</v>
      </c>
      <c r="J61" t="n">
        <v>0</v>
      </c>
      <c r="K61" t="n">
        <v>1</v>
      </c>
      <c r="L61" t="n">
        <v>0</v>
      </c>
      <c r="M61" t="n">
        <v>0</v>
      </c>
      <c r="N61" t="n">
        <v>0</v>
      </c>
      <c r="O61" t="n">
        <v>1</v>
      </c>
      <c r="P61" t="n">
        <v>1</v>
      </c>
      <c r="Q61" t="n">
        <v>1</v>
      </c>
      <c r="R61" s="2" t="inlineStr">
        <is>
          <t>Jättemusseron</t>
        </is>
      </c>
      <c r="S61">
        <f>HYPERLINK("https://klasma.github.io/Logging_2062/artfynd/A 30906-2023 artfynd.xlsx", "A 30906-2023")</f>
        <v/>
      </c>
      <c r="T61">
        <f>HYPERLINK("https://klasma.github.io/Logging_2062/kartor/A 30906-2023 karta.png", "A 30906-2023")</f>
        <v/>
      </c>
      <c r="V61">
        <f>HYPERLINK("https://klasma.github.io/Logging_2062/klagomål/A 30906-2023 FSC-klagomål.docx", "A 30906-2023")</f>
        <v/>
      </c>
      <c r="W61">
        <f>HYPERLINK("https://klasma.github.io/Logging_2062/klagomålsmail/A 30906-2023 FSC-klagomål mail.docx", "A 30906-2023")</f>
        <v/>
      </c>
      <c r="X61">
        <f>HYPERLINK("https://klasma.github.io/Logging_2062/tillsyn/A 30906-2023 tillsynsbegäran.docx", "A 30906-2023")</f>
        <v/>
      </c>
      <c r="Y61">
        <f>HYPERLINK("https://klasma.github.io/Logging_2062/tillsynsmail/A 30906-2023 tillsynsbegäran mail.docx", "A 30906-2023")</f>
        <v/>
      </c>
    </row>
    <row r="62" ht="15" customHeight="1">
      <c r="A62" t="inlineStr">
        <is>
          <t>A 34194-2023</t>
        </is>
      </c>
      <c r="B62" s="1" t="n">
        <v>45138</v>
      </c>
      <c r="C62" s="1" t="n">
        <v>45795</v>
      </c>
      <c r="D62" t="inlineStr">
        <is>
          <t>DALARNAS LÄN</t>
        </is>
      </c>
      <c r="E62" t="inlineStr">
        <is>
          <t>MORA</t>
        </is>
      </c>
      <c r="G62" t="n">
        <v>8.699999999999999</v>
      </c>
      <c r="H62" t="n">
        <v>0</v>
      </c>
      <c r="I62" t="n">
        <v>0</v>
      </c>
      <c r="J62" t="n">
        <v>1</v>
      </c>
      <c r="K62" t="n">
        <v>0</v>
      </c>
      <c r="L62" t="n">
        <v>0</v>
      </c>
      <c r="M62" t="n">
        <v>0</v>
      </c>
      <c r="N62" t="n">
        <v>0</v>
      </c>
      <c r="O62" t="n">
        <v>1</v>
      </c>
      <c r="P62" t="n">
        <v>0</v>
      </c>
      <c r="Q62" t="n">
        <v>1</v>
      </c>
      <c r="R62" s="2" t="inlineStr">
        <is>
          <t>Motaggsvamp</t>
        </is>
      </c>
      <c r="S62">
        <f>HYPERLINK("https://klasma.github.io/Logging_2062/artfynd/A 34194-2023 artfynd.xlsx", "A 34194-2023")</f>
        <v/>
      </c>
      <c r="T62">
        <f>HYPERLINK("https://klasma.github.io/Logging_2062/kartor/A 34194-2023 karta.png", "A 34194-2023")</f>
        <v/>
      </c>
      <c r="V62">
        <f>HYPERLINK("https://klasma.github.io/Logging_2062/klagomål/A 34194-2023 FSC-klagomål.docx", "A 34194-2023")</f>
        <v/>
      </c>
      <c r="W62">
        <f>HYPERLINK("https://klasma.github.io/Logging_2062/klagomålsmail/A 34194-2023 FSC-klagomål mail.docx", "A 34194-2023")</f>
        <v/>
      </c>
      <c r="X62">
        <f>HYPERLINK("https://klasma.github.io/Logging_2062/tillsyn/A 34194-2023 tillsynsbegäran.docx", "A 34194-2023")</f>
        <v/>
      </c>
      <c r="Y62">
        <f>HYPERLINK("https://klasma.github.io/Logging_2062/tillsynsmail/A 34194-2023 tillsynsbegäran mail.docx", "A 34194-2023")</f>
        <v/>
      </c>
    </row>
    <row r="63" ht="15" customHeight="1">
      <c r="A63" t="inlineStr">
        <is>
          <t>A 54132-2023</t>
        </is>
      </c>
      <c r="B63" s="1" t="n">
        <v>45232</v>
      </c>
      <c r="C63" s="1" t="n">
        <v>45795</v>
      </c>
      <c r="D63" t="inlineStr">
        <is>
          <t>DALARNAS LÄN</t>
        </is>
      </c>
      <c r="E63" t="inlineStr">
        <is>
          <t>MORA</t>
        </is>
      </c>
      <c r="G63" t="n">
        <v>0.9</v>
      </c>
      <c r="H63" t="n">
        <v>0</v>
      </c>
      <c r="I63" t="n">
        <v>0</v>
      </c>
      <c r="J63" t="n">
        <v>0</v>
      </c>
      <c r="K63" t="n">
        <v>1</v>
      </c>
      <c r="L63" t="n">
        <v>0</v>
      </c>
      <c r="M63" t="n">
        <v>0</v>
      </c>
      <c r="N63" t="n">
        <v>0</v>
      </c>
      <c r="O63" t="n">
        <v>1</v>
      </c>
      <c r="P63" t="n">
        <v>1</v>
      </c>
      <c r="Q63" t="n">
        <v>1</v>
      </c>
      <c r="R63" s="2" t="inlineStr">
        <is>
          <t>Jättemusseron</t>
        </is>
      </c>
      <c r="S63">
        <f>HYPERLINK("https://klasma.github.io/Logging_2062/artfynd/A 54132-2023 artfynd.xlsx", "A 54132-2023")</f>
        <v/>
      </c>
      <c r="T63">
        <f>HYPERLINK("https://klasma.github.io/Logging_2062/kartor/A 54132-2023 karta.png", "A 54132-2023")</f>
        <v/>
      </c>
      <c r="V63">
        <f>HYPERLINK("https://klasma.github.io/Logging_2062/klagomål/A 54132-2023 FSC-klagomål.docx", "A 54132-2023")</f>
        <v/>
      </c>
      <c r="W63">
        <f>HYPERLINK("https://klasma.github.io/Logging_2062/klagomålsmail/A 54132-2023 FSC-klagomål mail.docx", "A 54132-2023")</f>
        <v/>
      </c>
      <c r="X63">
        <f>HYPERLINK("https://klasma.github.io/Logging_2062/tillsyn/A 54132-2023 tillsynsbegäran.docx", "A 54132-2023")</f>
        <v/>
      </c>
      <c r="Y63">
        <f>HYPERLINK("https://klasma.github.io/Logging_2062/tillsynsmail/A 54132-2023 tillsynsbegäran mail.docx", "A 54132-2023")</f>
        <v/>
      </c>
    </row>
    <row r="64" ht="15" customHeight="1">
      <c r="A64" t="inlineStr">
        <is>
          <t>A 5691-2024</t>
        </is>
      </c>
      <c r="B64" s="1" t="n">
        <v>45334</v>
      </c>
      <c r="C64" s="1" t="n">
        <v>45795</v>
      </c>
      <c r="D64" t="inlineStr">
        <is>
          <t>DALARNAS LÄN</t>
        </is>
      </c>
      <c r="E64" t="inlineStr">
        <is>
          <t>MORA</t>
        </is>
      </c>
      <c r="G64" t="n">
        <v>3.7</v>
      </c>
      <c r="H64" t="n">
        <v>1</v>
      </c>
      <c r="I64" t="n">
        <v>0</v>
      </c>
      <c r="J64" t="n">
        <v>0</v>
      </c>
      <c r="K64" t="n">
        <v>0</v>
      </c>
      <c r="L64" t="n">
        <v>0</v>
      </c>
      <c r="M64" t="n">
        <v>0</v>
      </c>
      <c r="N64" t="n">
        <v>0</v>
      </c>
      <c r="O64" t="n">
        <v>0</v>
      </c>
      <c r="P64" t="n">
        <v>0</v>
      </c>
      <c r="Q64" t="n">
        <v>1</v>
      </c>
      <c r="R64" s="2" t="inlineStr">
        <is>
          <t>Blåsippa</t>
        </is>
      </c>
      <c r="S64">
        <f>HYPERLINK("https://klasma.github.io/Logging_2062/artfynd/A 5691-2024 artfynd.xlsx", "A 5691-2024")</f>
        <v/>
      </c>
      <c r="T64">
        <f>HYPERLINK("https://klasma.github.io/Logging_2062/kartor/A 5691-2024 karta.png", "A 5691-2024")</f>
        <v/>
      </c>
      <c r="V64">
        <f>HYPERLINK("https://klasma.github.io/Logging_2062/klagomål/A 5691-2024 FSC-klagomål.docx", "A 5691-2024")</f>
        <v/>
      </c>
      <c r="W64">
        <f>HYPERLINK("https://klasma.github.io/Logging_2062/klagomålsmail/A 5691-2024 FSC-klagomål mail.docx", "A 5691-2024")</f>
        <v/>
      </c>
      <c r="X64">
        <f>HYPERLINK("https://klasma.github.io/Logging_2062/tillsyn/A 5691-2024 tillsynsbegäran.docx", "A 5691-2024")</f>
        <v/>
      </c>
      <c r="Y64">
        <f>HYPERLINK("https://klasma.github.io/Logging_2062/tillsynsmail/A 5691-2024 tillsynsbegäran mail.docx", "A 5691-2024")</f>
        <v/>
      </c>
    </row>
    <row r="65" ht="15" customHeight="1">
      <c r="A65" t="inlineStr">
        <is>
          <t>A 15820-2024</t>
        </is>
      </c>
      <c r="B65" s="1" t="n">
        <v>45404</v>
      </c>
      <c r="C65" s="1" t="n">
        <v>45795</v>
      </c>
      <c r="D65" t="inlineStr">
        <is>
          <t>DALARNAS LÄN</t>
        </is>
      </c>
      <c r="E65" t="inlineStr">
        <is>
          <t>MORA</t>
        </is>
      </c>
      <c r="G65" t="n">
        <v>3</v>
      </c>
      <c r="H65" t="n">
        <v>1</v>
      </c>
      <c r="I65" t="n">
        <v>0</v>
      </c>
      <c r="J65" t="n">
        <v>1</v>
      </c>
      <c r="K65" t="n">
        <v>0</v>
      </c>
      <c r="L65" t="n">
        <v>0</v>
      </c>
      <c r="M65" t="n">
        <v>0</v>
      </c>
      <c r="N65" t="n">
        <v>0</v>
      </c>
      <c r="O65" t="n">
        <v>1</v>
      </c>
      <c r="P65" t="n">
        <v>0</v>
      </c>
      <c r="Q65" t="n">
        <v>1</v>
      </c>
      <c r="R65" s="2" t="inlineStr">
        <is>
          <t>Slaguggla</t>
        </is>
      </c>
      <c r="S65">
        <f>HYPERLINK("https://klasma.github.io/Logging_2062/artfynd/A 15820-2024 artfynd.xlsx", "A 15820-2024")</f>
        <v/>
      </c>
      <c r="T65">
        <f>HYPERLINK("https://klasma.github.io/Logging_2062/kartor/A 15820-2024 karta.png", "A 15820-2024")</f>
        <v/>
      </c>
      <c r="V65">
        <f>HYPERLINK("https://klasma.github.io/Logging_2062/klagomål/A 15820-2024 FSC-klagomål.docx", "A 15820-2024")</f>
        <v/>
      </c>
      <c r="W65">
        <f>HYPERLINK("https://klasma.github.io/Logging_2062/klagomålsmail/A 15820-2024 FSC-klagomål mail.docx", "A 15820-2024")</f>
        <v/>
      </c>
      <c r="X65">
        <f>HYPERLINK("https://klasma.github.io/Logging_2062/tillsyn/A 15820-2024 tillsynsbegäran.docx", "A 15820-2024")</f>
        <v/>
      </c>
      <c r="Y65">
        <f>HYPERLINK("https://klasma.github.io/Logging_2062/tillsynsmail/A 15820-2024 tillsynsbegäran mail.docx", "A 15820-2024")</f>
        <v/>
      </c>
      <c r="Z65">
        <f>HYPERLINK("https://klasma.github.io/Logging_2062/fåglar/A 15820-2024 prioriterade fågelarter.docx", "A 15820-2024")</f>
        <v/>
      </c>
    </row>
    <row r="66" ht="15" customHeight="1">
      <c r="A66" t="inlineStr">
        <is>
          <t>A 16094-2024</t>
        </is>
      </c>
      <c r="B66" s="1" t="n">
        <v>45406</v>
      </c>
      <c r="C66" s="1" t="n">
        <v>45795</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26808-2024</t>
        </is>
      </c>
      <c r="B67" s="1" t="n">
        <v>45470</v>
      </c>
      <c r="C67" s="1" t="n">
        <v>45795</v>
      </c>
      <c r="D67" t="inlineStr">
        <is>
          <t>DALARNAS LÄN</t>
        </is>
      </c>
      <c r="E67" t="inlineStr">
        <is>
          <t>MORA</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HYPERLINK("https://klasma.github.io/Logging_2062/artfynd/A 26808-2024 artfynd.xlsx", "A 26808-2024")</f>
        <v/>
      </c>
      <c r="T67">
        <f>HYPERLINK("https://klasma.github.io/Logging_2062/kartor/A 26808-2024 karta.png", "A 26808-2024")</f>
        <v/>
      </c>
      <c r="V67">
        <f>HYPERLINK("https://klasma.github.io/Logging_2062/klagomål/A 26808-2024 FSC-klagomål.docx", "A 26808-2024")</f>
        <v/>
      </c>
      <c r="W67">
        <f>HYPERLINK("https://klasma.github.io/Logging_2062/klagomålsmail/A 26808-2024 FSC-klagomål mail.docx", "A 26808-2024")</f>
        <v/>
      </c>
      <c r="X67">
        <f>HYPERLINK("https://klasma.github.io/Logging_2062/tillsyn/A 26808-2024 tillsynsbegäran.docx", "A 26808-2024")</f>
        <v/>
      </c>
      <c r="Y67">
        <f>HYPERLINK("https://klasma.github.io/Logging_2062/tillsynsmail/A 26808-2024 tillsynsbegäran mail.docx", "A 26808-2024")</f>
        <v/>
      </c>
    </row>
    <row r="68" ht="15" customHeight="1">
      <c r="A68" t="inlineStr">
        <is>
          <t>A 27113-2024</t>
        </is>
      </c>
      <c r="B68" s="1" t="n">
        <v>45471</v>
      </c>
      <c r="C68" s="1" t="n">
        <v>45795</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30662-2024</t>
        </is>
      </c>
      <c r="B69" s="1" t="n">
        <v>45495</v>
      </c>
      <c r="C69" s="1" t="n">
        <v>45795</v>
      </c>
      <c r="D69" t="inlineStr">
        <is>
          <t>DALARNAS LÄN</t>
        </is>
      </c>
      <c r="E69" t="inlineStr">
        <is>
          <t>MORA</t>
        </is>
      </c>
      <c r="G69" t="n">
        <v>5.4</v>
      </c>
      <c r="H69" t="n">
        <v>0</v>
      </c>
      <c r="I69" t="n">
        <v>1</v>
      </c>
      <c r="J69" t="n">
        <v>0</v>
      </c>
      <c r="K69" t="n">
        <v>0</v>
      </c>
      <c r="L69" t="n">
        <v>0</v>
      </c>
      <c r="M69" t="n">
        <v>0</v>
      </c>
      <c r="N69" t="n">
        <v>0</v>
      </c>
      <c r="O69" t="n">
        <v>0</v>
      </c>
      <c r="P69" t="n">
        <v>0</v>
      </c>
      <c r="Q69" t="n">
        <v>1</v>
      </c>
      <c r="R69" s="2" t="inlineStr">
        <is>
          <t>Mindre märgborre</t>
        </is>
      </c>
      <c r="S69">
        <f>HYPERLINK("https://klasma.github.io/Logging_2062/artfynd/A 30662-2024 artfynd.xlsx", "A 30662-2024")</f>
        <v/>
      </c>
      <c r="T69">
        <f>HYPERLINK("https://klasma.github.io/Logging_2062/kartor/A 30662-2024 karta.png", "A 30662-2024")</f>
        <v/>
      </c>
      <c r="V69">
        <f>HYPERLINK("https://klasma.github.io/Logging_2062/klagomål/A 30662-2024 FSC-klagomål.docx", "A 30662-2024")</f>
        <v/>
      </c>
      <c r="W69">
        <f>HYPERLINK("https://klasma.github.io/Logging_2062/klagomålsmail/A 30662-2024 FSC-klagomål mail.docx", "A 30662-2024")</f>
        <v/>
      </c>
      <c r="X69">
        <f>HYPERLINK("https://klasma.github.io/Logging_2062/tillsyn/A 30662-2024 tillsynsbegäran.docx", "A 30662-2024")</f>
        <v/>
      </c>
      <c r="Y69">
        <f>HYPERLINK("https://klasma.github.io/Logging_2062/tillsynsmail/A 30662-2024 tillsynsbegäran mail.docx", "A 30662-2024")</f>
        <v/>
      </c>
    </row>
    <row r="70" ht="15" customHeight="1">
      <c r="A70" t="inlineStr">
        <is>
          <t>A 45410-2024</t>
        </is>
      </c>
      <c r="B70" s="1" t="n">
        <v>45576</v>
      </c>
      <c r="C70" s="1" t="n">
        <v>45795</v>
      </c>
      <c r="D70" t="inlineStr">
        <is>
          <t>DALARNAS LÄN</t>
        </is>
      </c>
      <c r="E70" t="inlineStr">
        <is>
          <t>MORA</t>
        </is>
      </c>
      <c r="G70" t="n">
        <v>1.1</v>
      </c>
      <c r="H70" t="n">
        <v>0</v>
      </c>
      <c r="I70" t="n">
        <v>0</v>
      </c>
      <c r="J70" t="n">
        <v>1</v>
      </c>
      <c r="K70" t="n">
        <v>0</v>
      </c>
      <c r="L70" t="n">
        <v>0</v>
      </c>
      <c r="M70" t="n">
        <v>0</v>
      </c>
      <c r="N70" t="n">
        <v>0</v>
      </c>
      <c r="O70" t="n">
        <v>1</v>
      </c>
      <c r="P70" t="n">
        <v>0</v>
      </c>
      <c r="Q70" t="n">
        <v>1</v>
      </c>
      <c r="R70" s="2" t="inlineStr">
        <is>
          <t>Tallticka</t>
        </is>
      </c>
      <c r="S70">
        <f>HYPERLINK("https://klasma.github.io/Logging_2062/artfynd/A 45410-2024 artfynd.xlsx", "A 45410-2024")</f>
        <v/>
      </c>
      <c r="T70">
        <f>HYPERLINK("https://klasma.github.io/Logging_2062/kartor/A 45410-2024 karta.png", "A 45410-2024")</f>
        <v/>
      </c>
      <c r="V70">
        <f>HYPERLINK("https://klasma.github.io/Logging_2062/klagomål/A 45410-2024 FSC-klagomål.docx", "A 45410-2024")</f>
        <v/>
      </c>
      <c r="W70">
        <f>HYPERLINK("https://klasma.github.io/Logging_2062/klagomålsmail/A 45410-2024 FSC-klagomål mail.docx", "A 45410-2024")</f>
        <v/>
      </c>
      <c r="X70">
        <f>HYPERLINK("https://klasma.github.io/Logging_2062/tillsyn/A 45410-2024 tillsynsbegäran.docx", "A 45410-2024")</f>
        <v/>
      </c>
      <c r="Y70">
        <f>HYPERLINK("https://klasma.github.io/Logging_2062/tillsynsmail/A 45410-2024 tillsynsbegäran mail.docx", "A 45410-2024")</f>
        <v/>
      </c>
    </row>
    <row r="71" ht="15" customHeight="1">
      <c r="A71" t="inlineStr">
        <is>
          <t>A 45344-2024</t>
        </is>
      </c>
      <c r="B71" s="1" t="n">
        <v>45576</v>
      </c>
      <c r="C71" s="1" t="n">
        <v>45795</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51213-2024</t>
        </is>
      </c>
      <c r="B72" s="1" t="n">
        <v>45603</v>
      </c>
      <c r="C72" s="1" t="n">
        <v>45795</v>
      </c>
      <c r="D72" t="inlineStr">
        <is>
          <t>DALARNAS LÄN</t>
        </is>
      </c>
      <c r="E72" t="inlineStr">
        <is>
          <t>MORA</t>
        </is>
      </c>
      <c r="G72" t="n">
        <v>0.5</v>
      </c>
      <c r="H72" t="n">
        <v>1</v>
      </c>
      <c r="I72" t="n">
        <v>0</v>
      </c>
      <c r="J72" t="n">
        <v>0</v>
      </c>
      <c r="K72" t="n">
        <v>1</v>
      </c>
      <c r="L72" t="n">
        <v>0</v>
      </c>
      <c r="M72" t="n">
        <v>0</v>
      </c>
      <c r="N72" t="n">
        <v>0</v>
      </c>
      <c r="O72" t="n">
        <v>1</v>
      </c>
      <c r="P72" t="n">
        <v>1</v>
      </c>
      <c r="Q72" t="n">
        <v>1</v>
      </c>
      <c r="R72" s="2" t="inlineStr">
        <is>
          <t>Knärot</t>
        </is>
      </c>
      <c r="S72">
        <f>HYPERLINK("https://klasma.github.io/Logging_2062/artfynd/A 51213-2024 artfynd.xlsx", "A 51213-2024")</f>
        <v/>
      </c>
      <c r="T72">
        <f>HYPERLINK("https://klasma.github.io/Logging_2062/kartor/A 51213-2024 karta.png", "A 51213-2024")</f>
        <v/>
      </c>
      <c r="U72">
        <f>HYPERLINK("https://klasma.github.io/Logging_2062/knärot/A 51213-2024 karta knärot.png", "A 51213-2024")</f>
        <v/>
      </c>
      <c r="V72">
        <f>HYPERLINK("https://klasma.github.io/Logging_2062/klagomål/A 51213-2024 FSC-klagomål.docx", "A 51213-2024")</f>
        <v/>
      </c>
      <c r="W72">
        <f>HYPERLINK("https://klasma.github.io/Logging_2062/klagomålsmail/A 51213-2024 FSC-klagomål mail.docx", "A 51213-2024")</f>
        <v/>
      </c>
      <c r="X72">
        <f>HYPERLINK("https://klasma.github.io/Logging_2062/tillsyn/A 51213-2024 tillsynsbegäran.docx", "A 51213-2024")</f>
        <v/>
      </c>
      <c r="Y72">
        <f>HYPERLINK("https://klasma.github.io/Logging_2062/tillsynsmail/A 51213-2024 tillsynsbegäran mail.docx", "A 51213-2024")</f>
        <v/>
      </c>
    </row>
    <row r="73" ht="15" customHeight="1">
      <c r="A73" t="inlineStr">
        <is>
          <t>A 57395-2024</t>
        </is>
      </c>
      <c r="B73" s="1" t="n">
        <v>45629</v>
      </c>
      <c r="C73" s="1" t="n">
        <v>45795</v>
      </c>
      <c r="D73" t="inlineStr">
        <is>
          <t>DALARNAS LÄN</t>
        </is>
      </c>
      <c r="E73" t="inlineStr">
        <is>
          <t>MORA</t>
        </is>
      </c>
      <c r="G73" t="n">
        <v>3.1</v>
      </c>
      <c r="H73" t="n">
        <v>1</v>
      </c>
      <c r="I73" t="n">
        <v>0</v>
      </c>
      <c r="J73" t="n">
        <v>1</v>
      </c>
      <c r="K73" t="n">
        <v>0</v>
      </c>
      <c r="L73" t="n">
        <v>0</v>
      </c>
      <c r="M73" t="n">
        <v>0</v>
      </c>
      <c r="N73" t="n">
        <v>0</v>
      </c>
      <c r="O73" t="n">
        <v>1</v>
      </c>
      <c r="P73" t="n">
        <v>0</v>
      </c>
      <c r="Q73" t="n">
        <v>1</v>
      </c>
      <c r="R73" s="2" t="inlineStr">
        <is>
          <t>Spillkråka</t>
        </is>
      </c>
      <c r="S73">
        <f>HYPERLINK("https://klasma.github.io/Logging_2062/artfynd/A 57395-2024 artfynd.xlsx", "A 57395-2024")</f>
        <v/>
      </c>
      <c r="T73">
        <f>HYPERLINK("https://klasma.github.io/Logging_2062/kartor/A 57395-2024 karta.png", "A 57395-2024")</f>
        <v/>
      </c>
      <c r="V73">
        <f>HYPERLINK("https://klasma.github.io/Logging_2062/klagomål/A 57395-2024 FSC-klagomål.docx", "A 57395-2024")</f>
        <v/>
      </c>
      <c r="W73">
        <f>HYPERLINK("https://klasma.github.io/Logging_2062/klagomålsmail/A 57395-2024 FSC-klagomål mail.docx", "A 57395-2024")</f>
        <v/>
      </c>
      <c r="X73">
        <f>HYPERLINK("https://klasma.github.io/Logging_2062/tillsyn/A 57395-2024 tillsynsbegäran.docx", "A 57395-2024")</f>
        <v/>
      </c>
      <c r="Y73">
        <f>HYPERLINK("https://klasma.github.io/Logging_2062/tillsynsmail/A 57395-2024 tillsynsbegäran mail.docx", "A 57395-2024")</f>
        <v/>
      </c>
      <c r="Z73">
        <f>HYPERLINK("https://klasma.github.io/Logging_2062/fåglar/A 57395-2024 prioriterade fågelarter.docx", "A 57395-2024")</f>
        <v/>
      </c>
    </row>
    <row r="74" ht="15" customHeight="1">
      <c r="A74" t="inlineStr">
        <is>
          <t>A 831-2025</t>
        </is>
      </c>
      <c r="B74" s="1" t="n">
        <v>45665</v>
      </c>
      <c r="C74" s="1" t="n">
        <v>45795</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20226-2019</t>
        </is>
      </c>
      <c r="B75" s="1" t="n">
        <v>43570</v>
      </c>
      <c r="C75" s="1" t="n">
        <v>45795</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20464-2019</t>
        </is>
      </c>
      <c r="B76" s="1" t="n">
        <v>43572</v>
      </c>
      <c r="C76" s="1" t="n">
        <v>45795</v>
      </c>
      <c r="D76" t="inlineStr">
        <is>
          <t>DALARNAS LÄN</t>
        </is>
      </c>
      <c r="E76" t="inlineStr">
        <is>
          <t>MORA</t>
        </is>
      </c>
      <c r="G76" t="n">
        <v>12.1</v>
      </c>
      <c r="H76" t="n">
        <v>0</v>
      </c>
      <c r="I76" t="n">
        <v>0</v>
      </c>
      <c r="J76" t="n">
        <v>0</v>
      </c>
      <c r="K76" t="n">
        <v>0</v>
      </c>
      <c r="L76" t="n">
        <v>0</v>
      </c>
      <c r="M76" t="n">
        <v>0</v>
      </c>
      <c r="N76" t="n">
        <v>0</v>
      </c>
      <c r="O76" t="n">
        <v>0</v>
      </c>
      <c r="P76" t="n">
        <v>0</v>
      </c>
      <c r="Q76" t="n">
        <v>0</v>
      </c>
      <c r="R76" s="2" t="inlineStr"/>
    </row>
    <row r="77" ht="15" customHeight="1">
      <c r="A77" t="inlineStr">
        <is>
          <t>A 22970-2019</t>
        </is>
      </c>
      <c r="B77" s="1" t="n">
        <v>43591</v>
      </c>
      <c r="C77" s="1" t="n">
        <v>45795</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23665-2019</t>
        </is>
      </c>
      <c r="B78" s="1" t="n">
        <v>43594</v>
      </c>
      <c r="C78" s="1" t="n">
        <v>45795</v>
      </c>
      <c r="D78" t="inlineStr">
        <is>
          <t>DALARNAS LÄN</t>
        </is>
      </c>
      <c r="E78" t="inlineStr">
        <is>
          <t>MORA</t>
        </is>
      </c>
      <c r="G78" t="n">
        <v>1.1</v>
      </c>
      <c r="H78" t="n">
        <v>0</v>
      </c>
      <c r="I78" t="n">
        <v>0</v>
      </c>
      <c r="J78" t="n">
        <v>0</v>
      </c>
      <c r="K78" t="n">
        <v>0</v>
      </c>
      <c r="L78" t="n">
        <v>0</v>
      </c>
      <c r="M78" t="n">
        <v>0</v>
      </c>
      <c r="N78" t="n">
        <v>0</v>
      </c>
      <c r="O78" t="n">
        <v>0</v>
      </c>
      <c r="P78" t="n">
        <v>0</v>
      </c>
      <c r="Q78" t="n">
        <v>0</v>
      </c>
      <c r="R78" s="2" t="inlineStr"/>
    </row>
    <row r="79" ht="15" customHeight="1">
      <c r="A79" t="inlineStr">
        <is>
          <t>A 23636-2019</t>
        </is>
      </c>
      <c r="B79" s="1" t="n">
        <v>43594</v>
      </c>
      <c r="C79" s="1" t="n">
        <v>45795</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24630-2019</t>
        </is>
      </c>
      <c r="B80" s="1" t="n">
        <v>43601</v>
      </c>
      <c r="C80" s="1" t="n">
        <v>45795</v>
      </c>
      <c r="D80" t="inlineStr">
        <is>
          <t>DALARNAS LÄN</t>
        </is>
      </c>
      <c r="E80" t="inlineStr">
        <is>
          <t>MORA</t>
        </is>
      </c>
      <c r="G80" t="n">
        <v>5.8</v>
      </c>
      <c r="H80" t="n">
        <v>0</v>
      </c>
      <c r="I80" t="n">
        <v>0</v>
      </c>
      <c r="J80" t="n">
        <v>0</v>
      </c>
      <c r="K80" t="n">
        <v>0</v>
      </c>
      <c r="L80" t="n">
        <v>0</v>
      </c>
      <c r="M80" t="n">
        <v>0</v>
      </c>
      <c r="N80" t="n">
        <v>0</v>
      </c>
      <c r="O80" t="n">
        <v>0</v>
      </c>
      <c r="P80" t="n">
        <v>0</v>
      </c>
      <c r="Q80" t="n">
        <v>0</v>
      </c>
      <c r="R80" s="2" t="inlineStr"/>
    </row>
    <row r="81" ht="15" customHeight="1">
      <c r="A81" t="inlineStr">
        <is>
          <t>A 25235-2019</t>
        </is>
      </c>
      <c r="B81" s="1" t="n">
        <v>43601</v>
      </c>
      <c r="C81" s="1" t="n">
        <v>45795</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24960-2019</t>
        </is>
      </c>
      <c r="B82" s="1" t="n">
        <v>43602</v>
      </c>
      <c r="C82" s="1" t="n">
        <v>45795</v>
      </c>
      <c r="D82" t="inlineStr">
        <is>
          <t>DALARNAS LÄN</t>
        </is>
      </c>
      <c r="E82" t="inlineStr">
        <is>
          <t>MORA</t>
        </is>
      </c>
      <c r="G82" t="n">
        <v>2.7</v>
      </c>
      <c r="H82" t="n">
        <v>0</v>
      </c>
      <c r="I82" t="n">
        <v>0</v>
      </c>
      <c r="J82" t="n">
        <v>0</v>
      </c>
      <c r="K82" t="n">
        <v>0</v>
      </c>
      <c r="L82" t="n">
        <v>0</v>
      </c>
      <c r="M82" t="n">
        <v>0</v>
      </c>
      <c r="N82" t="n">
        <v>0</v>
      </c>
      <c r="O82" t="n">
        <v>0</v>
      </c>
      <c r="P82" t="n">
        <v>0</v>
      </c>
      <c r="Q82" t="n">
        <v>0</v>
      </c>
      <c r="R82" s="2" t="inlineStr"/>
    </row>
    <row r="83" ht="15" customHeight="1">
      <c r="A83" t="inlineStr">
        <is>
          <t>A 28917-2019</t>
        </is>
      </c>
      <c r="B83" s="1" t="n">
        <v>43612</v>
      </c>
      <c r="C83" s="1" t="n">
        <v>45795</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26405-2019</t>
        </is>
      </c>
      <c r="B84" s="1" t="n">
        <v>43612</v>
      </c>
      <c r="C84" s="1" t="n">
        <v>45795</v>
      </c>
      <c r="D84" t="inlineStr">
        <is>
          <t>DALARNAS LÄN</t>
        </is>
      </c>
      <c r="E84" t="inlineStr">
        <is>
          <t>MORA</t>
        </is>
      </c>
      <c r="G84" t="n">
        <v>3.2</v>
      </c>
      <c r="H84" t="n">
        <v>0</v>
      </c>
      <c r="I84" t="n">
        <v>0</v>
      </c>
      <c r="J84" t="n">
        <v>0</v>
      </c>
      <c r="K84" t="n">
        <v>0</v>
      </c>
      <c r="L84" t="n">
        <v>0</v>
      </c>
      <c r="M84" t="n">
        <v>0</v>
      </c>
      <c r="N84" t="n">
        <v>0</v>
      </c>
      <c r="O84" t="n">
        <v>0</v>
      </c>
      <c r="P84" t="n">
        <v>0</v>
      </c>
      <c r="Q84" t="n">
        <v>0</v>
      </c>
      <c r="R84" s="2" t="inlineStr"/>
    </row>
    <row r="85" ht="15" customHeight="1">
      <c r="A85" t="inlineStr">
        <is>
          <t>A 29231-2019</t>
        </is>
      </c>
      <c r="B85" s="1" t="n">
        <v>43623</v>
      </c>
      <c r="C85" s="1" t="n">
        <v>45795</v>
      </c>
      <c r="D85" t="inlineStr">
        <is>
          <t>DALARNAS LÄN</t>
        </is>
      </c>
      <c r="E85" t="inlineStr">
        <is>
          <t>MORA</t>
        </is>
      </c>
      <c r="G85" t="n">
        <v>24.2</v>
      </c>
      <c r="H85" t="n">
        <v>0</v>
      </c>
      <c r="I85" t="n">
        <v>0</v>
      </c>
      <c r="J85" t="n">
        <v>0</v>
      </c>
      <c r="K85" t="n">
        <v>0</v>
      </c>
      <c r="L85" t="n">
        <v>0</v>
      </c>
      <c r="M85" t="n">
        <v>0</v>
      </c>
      <c r="N85" t="n">
        <v>0</v>
      </c>
      <c r="O85" t="n">
        <v>0</v>
      </c>
      <c r="P85" t="n">
        <v>0</v>
      </c>
      <c r="Q85" t="n">
        <v>0</v>
      </c>
      <c r="R85" s="2" t="inlineStr"/>
    </row>
    <row r="86" ht="15" customHeight="1">
      <c r="A86" t="inlineStr">
        <is>
          <t>A 29370-2019</t>
        </is>
      </c>
      <c r="B86" s="1" t="n">
        <v>43629</v>
      </c>
      <c r="C86" s="1" t="n">
        <v>45795</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29395-2019</t>
        </is>
      </c>
      <c r="B87" s="1" t="n">
        <v>43629</v>
      </c>
      <c r="C87" s="1" t="n">
        <v>45795</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30487-2019</t>
        </is>
      </c>
      <c r="B88" s="1" t="n">
        <v>43635</v>
      </c>
      <c r="C88" s="1" t="n">
        <v>45795</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30558-2019</t>
        </is>
      </c>
      <c r="B89" s="1" t="n">
        <v>43635</v>
      </c>
      <c r="C89" s="1" t="n">
        <v>45795</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30585-2019</t>
        </is>
      </c>
      <c r="B90" s="1" t="n">
        <v>43635</v>
      </c>
      <c r="C90" s="1" t="n">
        <v>45795</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30665-2019</t>
        </is>
      </c>
      <c r="B91" s="1" t="n">
        <v>43636</v>
      </c>
      <c r="C91" s="1" t="n">
        <v>45795</v>
      </c>
      <c r="D91" t="inlineStr">
        <is>
          <t>DALARNAS LÄN</t>
        </is>
      </c>
      <c r="E91" t="inlineStr">
        <is>
          <t>MORA</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30674-2019</t>
        </is>
      </c>
      <c r="B92" s="1" t="n">
        <v>43636</v>
      </c>
      <c r="C92" s="1" t="n">
        <v>45795</v>
      </c>
      <c r="D92" t="inlineStr">
        <is>
          <t>DALARNAS LÄN</t>
        </is>
      </c>
      <c r="E92" t="inlineStr">
        <is>
          <t>MORA</t>
        </is>
      </c>
      <c r="F92" t="inlineStr">
        <is>
          <t>Kyrkan</t>
        </is>
      </c>
      <c r="G92" t="n">
        <v>1.4</v>
      </c>
      <c r="H92" t="n">
        <v>0</v>
      </c>
      <c r="I92" t="n">
        <v>0</v>
      </c>
      <c r="J92" t="n">
        <v>0</v>
      </c>
      <c r="K92" t="n">
        <v>0</v>
      </c>
      <c r="L92" t="n">
        <v>0</v>
      </c>
      <c r="M92" t="n">
        <v>0</v>
      </c>
      <c r="N92" t="n">
        <v>0</v>
      </c>
      <c r="O92" t="n">
        <v>0</v>
      </c>
      <c r="P92" t="n">
        <v>0</v>
      </c>
      <c r="Q92" t="n">
        <v>0</v>
      </c>
      <c r="R92" s="2" t="inlineStr"/>
    </row>
    <row r="93" ht="15" customHeight="1">
      <c r="A93" t="inlineStr">
        <is>
          <t>A 31007-2019</t>
        </is>
      </c>
      <c r="B93" s="1" t="n">
        <v>43640</v>
      </c>
      <c r="C93" s="1" t="n">
        <v>45795</v>
      </c>
      <c r="D93" t="inlineStr">
        <is>
          <t>DALARNAS LÄN</t>
        </is>
      </c>
      <c r="E93" t="inlineStr">
        <is>
          <t>MORA</t>
        </is>
      </c>
      <c r="G93" t="n">
        <v>15.2</v>
      </c>
      <c r="H93" t="n">
        <v>0</v>
      </c>
      <c r="I93" t="n">
        <v>0</v>
      </c>
      <c r="J93" t="n">
        <v>0</v>
      </c>
      <c r="K93" t="n">
        <v>0</v>
      </c>
      <c r="L93" t="n">
        <v>0</v>
      </c>
      <c r="M93" t="n">
        <v>0</v>
      </c>
      <c r="N93" t="n">
        <v>0</v>
      </c>
      <c r="O93" t="n">
        <v>0</v>
      </c>
      <c r="P93" t="n">
        <v>0</v>
      </c>
      <c r="Q93" t="n">
        <v>0</v>
      </c>
      <c r="R93" s="2" t="inlineStr"/>
    </row>
    <row r="94" ht="15" customHeight="1">
      <c r="A94" t="inlineStr">
        <is>
          <t>A 31786-2019</t>
        </is>
      </c>
      <c r="B94" s="1" t="n">
        <v>43642</v>
      </c>
      <c r="C94" s="1" t="n">
        <v>45795</v>
      </c>
      <c r="D94" t="inlineStr">
        <is>
          <t>DALARNAS LÄN</t>
        </is>
      </c>
      <c r="E94" t="inlineStr">
        <is>
          <t>MORA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32085-2019</t>
        </is>
      </c>
      <c r="B95" s="1" t="n">
        <v>43643</v>
      </c>
      <c r="C95" s="1" t="n">
        <v>45795</v>
      </c>
      <c r="D95" t="inlineStr">
        <is>
          <t>DALARNAS LÄN</t>
        </is>
      </c>
      <c r="E95" t="inlineStr">
        <is>
          <t>MORA</t>
        </is>
      </c>
      <c r="G95" t="n">
        <v>4.6</v>
      </c>
      <c r="H95" t="n">
        <v>0</v>
      </c>
      <c r="I95" t="n">
        <v>0</v>
      </c>
      <c r="J95" t="n">
        <v>0</v>
      </c>
      <c r="K95" t="n">
        <v>0</v>
      </c>
      <c r="L95" t="n">
        <v>0</v>
      </c>
      <c r="M95" t="n">
        <v>0</v>
      </c>
      <c r="N95" t="n">
        <v>0</v>
      </c>
      <c r="O95" t="n">
        <v>0</v>
      </c>
      <c r="P95" t="n">
        <v>0</v>
      </c>
      <c r="Q95" t="n">
        <v>0</v>
      </c>
      <c r="R95" s="2" t="inlineStr"/>
    </row>
    <row r="96" ht="15" customHeight="1">
      <c r="A96" t="inlineStr">
        <is>
          <t>A 33184-2019</t>
        </is>
      </c>
      <c r="B96" s="1" t="n">
        <v>43649</v>
      </c>
      <c r="C96" s="1" t="n">
        <v>45795</v>
      </c>
      <c r="D96" t="inlineStr">
        <is>
          <t>DALARNAS LÄN</t>
        </is>
      </c>
      <c r="E96" t="inlineStr">
        <is>
          <t>MORA</t>
        </is>
      </c>
      <c r="G96" t="n">
        <v>8.1</v>
      </c>
      <c r="H96" t="n">
        <v>0</v>
      </c>
      <c r="I96" t="n">
        <v>0</v>
      </c>
      <c r="J96" t="n">
        <v>0</v>
      </c>
      <c r="K96" t="n">
        <v>0</v>
      </c>
      <c r="L96" t="n">
        <v>0</v>
      </c>
      <c r="M96" t="n">
        <v>0</v>
      </c>
      <c r="N96" t="n">
        <v>0</v>
      </c>
      <c r="O96" t="n">
        <v>0</v>
      </c>
      <c r="P96" t="n">
        <v>0</v>
      </c>
      <c r="Q96" t="n">
        <v>0</v>
      </c>
      <c r="R96" s="2" t="inlineStr"/>
    </row>
    <row r="97" ht="15" customHeight="1">
      <c r="A97" t="inlineStr">
        <is>
          <t>A 33187-2019</t>
        </is>
      </c>
      <c r="B97" s="1" t="n">
        <v>43649</v>
      </c>
      <c r="C97" s="1" t="n">
        <v>45795</v>
      </c>
      <c r="D97" t="inlineStr">
        <is>
          <t>DALARNAS LÄN</t>
        </is>
      </c>
      <c r="E97" t="inlineStr">
        <is>
          <t>MORA</t>
        </is>
      </c>
      <c r="G97" t="n">
        <v>7.1</v>
      </c>
      <c r="H97" t="n">
        <v>0</v>
      </c>
      <c r="I97" t="n">
        <v>0</v>
      </c>
      <c r="J97" t="n">
        <v>0</v>
      </c>
      <c r="K97" t="n">
        <v>0</v>
      </c>
      <c r="L97" t="n">
        <v>0</v>
      </c>
      <c r="M97" t="n">
        <v>0</v>
      </c>
      <c r="N97" t="n">
        <v>0</v>
      </c>
      <c r="O97" t="n">
        <v>0</v>
      </c>
      <c r="P97" t="n">
        <v>0</v>
      </c>
      <c r="Q97" t="n">
        <v>0</v>
      </c>
      <c r="R97" s="2" t="inlineStr"/>
    </row>
    <row r="98" ht="15" customHeight="1">
      <c r="A98" t="inlineStr">
        <is>
          <t>A 33188-2019</t>
        </is>
      </c>
      <c r="B98" s="1" t="n">
        <v>43649</v>
      </c>
      <c r="C98" s="1" t="n">
        <v>45795</v>
      </c>
      <c r="D98" t="inlineStr">
        <is>
          <t>DALARNAS LÄN</t>
        </is>
      </c>
      <c r="E98" t="inlineStr">
        <is>
          <t>MORA</t>
        </is>
      </c>
      <c r="G98" t="n">
        <v>3.9</v>
      </c>
      <c r="H98" t="n">
        <v>0</v>
      </c>
      <c r="I98" t="n">
        <v>0</v>
      </c>
      <c r="J98" t="n">
        <v>0</v>
      </c>
      <c r="K98" t="n">
        <v>0</v>
      </c>
      <c r="L98" t="n">
        <v>0</v>
      </c>
      <c r="M98" t="n">
        <v>0</v>
      </c>
      <c r="N98" t="n">
        <v>0</v>
      </c>
      <c r="O98" t="n">
        <v>0</v>
      </c>
      <c r="P98" t="n">
        <v>0</v>
      </c>
      <c r="Q98" t="n">
        <v>0</v>
      </c>
      <c r="R98" s="2" t="inlineStr"/>
    </row>
    <row r="99" ht="15" customHeight="1">
      <c r="A99" t="inlineStr">
        <is>
          <t>A 33183-2019</t>
        </is>
      </c>
      <c r="B99" s="1" t="n">
        <v>43649</v>
      </c>
      <c r="C99" s="1" t="n">
        <v>45795</v>
      </c>
      <c r="D99" t="inlineStr">
        <is>
          <t>DALARNAS LÄN</t>
        </is>
      </c>
      <c r="E99" t="inlineStr">
        <is>
          <t>MORA</t>
        </is>
      </c>
      <c r="G99" t="n">
        <v>20.1</v>
      </c>
      <c r="H99" t="n">
        <v>0</v>
      </c>
      <c r="I99" t="n">
        <v>0</v>
      </c>
      <c r="J99" t="n">
        <v>0</v>
      </c>
      <c r="K99" t="n">
        <v>0</v>
      </c>
      <c r="L99" t="n">
        <v>0</v>
      </c>
      <c r="M99" t="n">
        <v>0</v>
      </c>
      <c r="N99" t="n">
        <v>0</v>
      </c>
      <c r="O99" t="n">
        <v>0</v>
      </c>
      <c r="P99" t="n">
        <v>0</v>
      </c>
      <c r="Q99" t="n">
        <v>0</v>
      </c>
      <c r="R99" s="2" t="inlineStr"/>
    </row>
    <row r="100" ht="15" customHeight="1">
      <c r="A100" t="inlineStr">
        <is>
          <t>A 33318-2019</t>
        </is>
      </c>
      <c r="B100" s="1" t="n">
        <v>43650</v>
      </c>
      <c r="C100" s="1" t="n">
        <v>45795</v>
      </c>
      <c r="D100" t="inlineStr">
        <is>
          <t>DALARNAS LÄN</t>
        </is>
      </c>
      <c r="E100" t="inlineStr">
        <is>
          <t>MORA</t>
        </is>
      </c>
      <c r="G100" t="n">
        <v>11.8</v>
      </c>
      <c r="H100" t="n">
        <v>0</v>
      </c>
      <c r="I100" t="n">
        <v>0</v>
      </c>
      <c r="J100" t="n">
        <v>0</v>
      </c>
      <c r="K100" t="n">
        <v>0</v>
      </c>
      <c r="L100" t="n">
        <v>0</v>
      </c>
      <c r="M100" t="n">
        <v>0</v>
      </c>
      <c r="N100" t="n">
        <v>0</v>
      </c>
      <c r="O100" t="n">
        <v>0</v>
      </c>
      <c r="P100" t="n">
        <v>0</v>
      </c>
      <c r="Q100" t="n">
        <v>0</v>
      </c>
      <c r="R100" s="2" t="inlineStr"/>
    </row>
    <row r="101" ht="15" customHeight="1">
      <c r="A101" t="inlineStr">
        <is>
          <t>A 35360-2019</t>
        </is>
      </c>
      <c r="B101" s="1" t="n">
        <v>43651</v>
      </c>
      <c r="C101" s="1" t="n">
        <v>45795</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34330-2019</t>
        </is>
      </c>
      <c r="B102" s="1" t="n">
        <v>43656</v>
      </c>
      <c r="C102" s="1" t="n">
        <v>45795</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36275-2019</t>
        </is>
      </c>
      <c r="B103" s="1" t="n">
        <v>43661</v>
      </c>
      <c r="C103" s="1" t="n">
        <v>45795</v>
      </c>
      <c r="D103" t="inlineStr">
        <is>
          <t>DALARNAS LÄN</t>
        </is>
      </c>
      <c r="E103" t="inlineStr">
        <is>
          <t>MORA</t>
        </is>
      </c>
      <c r="G103" t="n">
        <v>7.3</v>
      </c>
      <c r="H103" t="n">
        <v>0</v>
      </c>
      <c r="I103" t="n">
        <v>0</v>
      </c>
      <c r="J103" t="n">
        <v>0</v>
      </c>
      <c r="K103" t="n">
        <v>0</v>
      </c>
      <c r="L103" t="n">
        <v>0</v>
      </c>
      <c r="M103" t="n">
        <v>0</v>
      </c>
      <c r="N103" t="n">
        <v>0</v>
      </c>
      <c r="O103" t="n">
        <v>0</v>
      </c>
      <c r="P103" t="n">
        <v>0</v>
      </c>
      <c r="Q103" t="n">
        <v>0</v>
      </c>
      <c r="R103" s="2" t="inlineStr"/>
    </row>
    <row r="104" ht="15" customHeight="1">
      <c r="A104" t="inlineStr">
        <is>
          <t>A 36440-2019</t>
        </is>
      </c>
      <c r="B104" s="1" t="n">
        <v>43664</v>
      </c>
      <c r="C104" s="1" t="n">
        <v>45795</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37801-2019</t>
        </is>
      </c>
      <c r="B105" s="1" t="n">
        <v>43675</v>
      </c>
      <c r="C105" s="1" t="n">
        <v>45795</v>
      </c>
      <c r="D105" t="inlineStr">
        <is>
          <t>DALARNAS LÄN</t>
        </is>
      </c>
      <c r="E105" t="inlineStr">
        <is>
          <t>MORA</t>
        </is>
      </c>
      <c r="F105" t="inlineStr">
        <is>
          <t>Allmännings- och besparingsskogar</t>
        </is>
      </c>
      <c r="G105" t="n">
        <v>6.2</v>
      </c>
      <c r="H105" t="n">
        <v>0</v>
      </c>
      <c r="I105" t="n">
        <v>0</v>
      </c>
      <c r="J105" t="n">
        <v>0</v>
      </c>
      <c r="K105" t="n">
        <v>0</v>
      </c>
      <c r="L105" t="n">
        <v>0</v>
      </c>
      <c r="M105" t="n">
        <v>0</v>
      </c>
      <c r="N105" t="n">
        <v>0</v>
      </c>
      <c r="O105" t="n">
        <v>0</v>
      </c>
      <c r="P105" t="n">
        <v>0</v>
      </c>
      <c r="Q105" t="n">
        <v>0</v>
      </c>
      <c r="R105" s="2" t="inlineStr"/>
    </row>
    <row r="106" ht="15" customHeight="1">
      <c r="A106" t="inlineStr">
        <is>
          <t>A 37816-2019</t>
        </is>
      </c>
      <c r="B106" s="1" t="n">
        <v>43675</v>
      </c>
      <c r="C106" s="1" t="n">
        <v>45795</v>
      </c>
      <c r="D106" t="inlineStr">
        <is>
          <t>DALARNAS LÄN</t>
        </is>
      </c>
      <c r="E106" t="inlineStr">
        <is>
          <t>MORA</t>
        </is>
      </c>
      <c r="F106" t="inlineStr">
        <is>
          <t>Allmännings- och besparingsskogar</t>
        </is>
      </c>
      <c r="G106" t="n">
        <v>29.9</v>
      </c>
      <c r="H106" t="n">
        <v>0</v>
      </c>
      <c r="I106" t="n">
        <v>0</v>
      </c>
      <c r="J106" t="n">
        <v>0</v>
      </c>
      <c r="K106" t="n">
        <v>0</v>
      </c>
      <c r="L106" t="n">
        <v>0</v>
      </c>
      <c r="M106" t="n">
        <v>0</v>
      </c>
      <c r="N106" t="n">
        <v>0</v>
      </c>
      <c r="O106" t="n">
        <v>0</v>
      </c>
      <c r="P106" t="n">
        <v>0</v>
      </c>
      <c r="Q106" t="n">
        <v>0</v>
      </c>
      <c r="R106" s="2" t="inlineStr"/>
    </row>
    <row r="107" ht="15" customHeight="1">
      <c r="A107" t="inlineStr">
        <is>
          <t>A 36991-2019</t>
        </is>
      </c>
      <c r="B107" s="1" t="n">
        <v>43676</v>
      </c>
      <c r="C107" s="1" t="n">
        <v>45795</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38821-2019</t>
        </is>
      </c>
      <c r="B108" s="1" t="n">
        <v>43682</v>
      </c>
      <c r="C108" s="1" t="n">
        <v>45795</v>
      </c>
      <c r="D108" t="inlineStr">
        <is>
          <t>DALARNAS LÄN</t>
        </is>
      </c>
      <c r="E108" t="inlineStr">
        <is>
          <t>MORA</t>
        </is>
      </c>
      <c r="F108" t="inlineStr">
        <is>
          <t>Allmännings- och besparingsskogar</t>
        </is>
      </c>
      <c r="G108" t="n">
        <v>7.1</v>
      </c>
      <c r="H108" t="n">
        <v>0</v>
      </c>
      <c r="I108" t="n">
        <v>0</v>
      </c>
      <c r="J108" t="n">
        <v>0</v>
      </c>
      <c r="K108" t="n">
        <v>0</v>
      </c>
      <c r="L108" t="n">
        <v>0</v>
      </c>
      <c r="M108" t="n">
        <v>0</v>
      </c>
      <c r="N108" t="n">
        <v>0</v>
      </c>
      <c r="O108" t="n">
        <v>0</v>
      </c>
      <c r="P108" t="n">
        <v>0</v>
      </c>
      <c r="Q108" t="n">
        <v>0</v>
      </c>
      <c r="R108" s="2" t="inlineStr"/>
    </row>
    <row r="109" ht="15" customHeight="1">
      <c r="A109" t="inlineStr">
        <is>
          <t>A 38514-2019</t>
        </is>
      </c>
      <c r="B109" s="1" t="n">
        <v>43685</v>
      </c>
      <c r="C109" s="1" t="n">
        <v>45795</v>
      </c>
      <c r="D109" t="inlineStr">
        <is>
          <t>DALARNAS LÄN</t>
        </is>
      </c>
      <c r="E109" t="inlineStr">
        <is>
          <t>MORA</t>
        </is>
      </c>
      <c r="F109" t="inlineStr">
        <is>
          <t>Bergvik skog öst AB</t>
        </is>
      </c>
      <c r="G109" t="n">
        <v>7.4</v>
      </c>
      <c r="H109" t="n">
        <v>0</v>
      </c>
      <c r="I109" t="n">
        <v>0</v>
      </c>
      <c r="J109" t="n">
        <v>0</v>
      </c>
      <c r="K109" t="n">
        <v>0</v>
      </c>
      <c r="L109" t="n">
        <v>0</v>
      </c>
      <c r="M109" t="n">
        <v>0</v>
      </c>
      <c r="N109" t="n">
        <v>0</v>
      </c>
      <c r="O109" t="n">
        <v>0</v>
      </c>
      <c r="P109" t="n">
        <v>0</v>
      </c>
      <c r="Q109" t="n">
        <v>0</v>
      </c>
      <c r="R109" s="2" t="inlineStr"/>
    </row>
    <row r="110" ht="15" customHeight="1">
      <c r="A110" t="inlineStr">
        <is>
          <t>A 39809-2019</t>
        </is>
      </c>
      <c r="B110" s="1" t="n">
        <v>43692</v>
      </c>
      <c r="C110" s="1" t="n">
        <v>45795</v>
      </c>
      <c r="D110" t="inlineStr">
        <is>
          <t>DALARNAS LÄN</t>
        </is>
      </c>
      <c r="E110" t="inlineStr">
        <is>
          <t>MORA</t>
        </is>
      </c>
      <c r="F110" t="inlineStr">
        <is>
          <t>Bergvik skog öst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39811-2019</t>
        </is>
      </c>
      <c r="B111" s="1" t="n">
        <v>43692</v>
      </c>
      <c r="C111" s="1" t="n">
        <v>45795</v>
      </c>
      <c r="D111" t="inlineStr">
        <is>
          <t>DALARNAS LÄN</t>
        </is>
      </c>
      <c r="E111" t="inlineStr">
        <is>
          <t>MORA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40910-2019</t>
        </is>
      </c>
      <c r="B112" s="1" t="n">
        <v>43693</v>
      </c>
      <c r="C112" s="1" t="n">
        <v>45795</v>
      </c>
      <c r="D112" t="inlineStr">
        <is>
          <t>DALARNAS LÄN</t>
        </is>
      </c>
      <c r="E112" t="inlineStr">
        <is>
          <t>MORA</t>
        </is>
      </c>
      <c r="G112" t="n">
        <v>4.2</v>
      </c>
      <c r="H112" t="n">
        <v>0</v>
      </c>
      <c r="I112" t="n">
        <v>0</v>
      </c>
      <c r="J112" t="n">
        <v>0</v>
      </c>
      <c r="K112" t="n">
        <v>0</v>
      </c>
      <c r="L112" t="n">
        <v>0</v>
      </c>
      <c r="M112" t="n">
        <v>0</v>
      </c>
      <c r="N112" t="n">
        <v>0</v>
      </c>
      <c r="O112" t="n">
        <v>0</v>
      </c>
      <c r="P112" t="n">
        <v>0</v>
      </c>
      <c r="Q112" t="n">
        <v>0</v>
      </c>
      <c r="R112" s="2" t="inlineStr"/>
    </row>
    <row r="113" ht="15" customHeight="1">
      <c r="A113" t="inlineStr">
        <is>
          <t>A 42530-2019</t>
        </is>
      </c>
      <c r="B113" s="1" t="n">
        <v>43698</v>
      </c>
      <c r="C113" s="1" t="n">
        <v>45795</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43396-2019</t>
        </is>
      </c>
      <c r="B114" s="1" t="n">
        <v>43703</v>
      </c>
      <c r="C114" s="1" t="n">
        <v>45795</v>
      </c>
      <c r="D114" t="inlineStr">
        <is>
          <t>DALARNAS LÄN</t>
        </is>
      </c>
      <c r="E114" t="inlineStr">
        <is>
          <t>MORA</t>
        </is>
      </c>
      <c r="G114" t="n">
        <v>1.1</v>
      </c>
      <c r="H114" t="n">
        <v>0</v>
      </c>
      <c r="I114" t="n">
        <v>0</v>
      </c>
      <c r="J114" t="n">
        <v>0</v>
      </c>
      <c r="K114" t="n">
        <v>0</v>
      </c>
      <c r="L114" t="n">
        <v>0</v>
      </c>
      <c r="M114" t="n">
        <v>0</v>
      </c>
      <c r="N114" t="n">
        <v>0</v>
      </c>
      <c r="O114" t="n">
        <v>0</v>
      </c>
      <c r="P114" t="n">
        <v>0</v>
      </c>
      <c r="Q114" t="n">
        <v>0</v>
      </c>
      <c r="R114" s="2" t="inlineStr"/>
    </row>
    <row r="115" ht="15" customHeight="1">
      <c r="A115" t="inlineStr">
        <is>
          <t>A 43744-2019</t>
        </is>
      </c>
      <c r="B115" s="1" t="n">
        <v>43707</v>
      </c>
      <c r="C115" s="1" t="n">
        <v>45795</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43718-2019</t>
        </is>
      </c>
      <c r="B116" s="1" t="n">
        <v>43707</v>
      </c>
      <c r="C116" s="1" t="n">
        <v>45795</v>
      </c>
      <c r="D116" t="inlineStr">
        <is>
          <t>DALARNAS LÄN</t>
        </is>
      </c>
      <c r="E116" t="inlineStr">
        <is>
          <t>MORA</t>
        </is>
      </c>
      <c r="G116" t="n">
        <v>10.7</v>
      </c>
      <c r="H116" t="n">
        <v>0</v>
      </c>
      <c r="I116" t="n">
        <v>0</v>
      </c>
      <c r="J116" t="n">
        <v>0</v>
      </c>
      <c r="K116" t="n">
        <v>0</v>
      </c>
      <c r="L116" t="n">
        <v>0</v>
      </c>
      <c r="M116" t="n">
        <v>0</v>
      </c>
      <c r="N116" t="n">
        <v>0</v>
      </c>
      <c r="O116" t="n">
        <v>0</v>
      </c>
      <c r="P116" t="n">
        <v>0</v>
      </c>
      <c r="Q116" t="n">
        <v>0</v>
      </c>
      <c r="R116" s="2" t="inlineStr"/>
    </row>
    <row r="117" ht="15" customHeight="1">
      <c r="A117" t="inlineStr">
        <is>
          <t>A 44759-2019</t>
        </is>
      </c>
      <c r="B117" s="1" t="n">
        <v>43707</v>
      </c>
      <c r="C117" s="1" t="n">
        <v>45795</v>
      </c>
      <c r="D117" t="inlineStr">
        <is>
          <t>DALARNAS LÄN</t>
        </is>
      </c>
      <c r="E117" t="inlineStr">
        <is>
          <t>MORA</t>
        </is>
      </c>
      <c r="F117" t="inlineStr">
        <is>
          <t>Allmännings- och besparingsskogar</t>
        </is>
      </c>
      <c r="G117" t="n">
        <v>6.8</v>
      </c>
      <c r="H117" t="n">
        <v>0</v>
      </c>
      <c r="I117" t="n">
        <v>0</v>
      </c>
      <c r="J117" t="n">
        <v>0</v>
      </c>
      <c r="K117" t="n">
        <v>0</v>
      </c>
      <c r="L117" t="n">
        <v>0</v>
      </c>
      <c r="M117" t="n">
        <v>0</v>
      </c>
      <c r="N117" t="n">
        <v>0</v>
      </c>
      <c r="O117" t="n">
        <v>0</v>
      </c>
      <c r="P117" t="n">
        <v>0</v>
      </c>
      <c r="Q117" t="n">
        <v>0</v>
      </c>
      <c r="R117" s="2" t="inlineStr"/>
    </row>
    <row r="118" ht="15" customHeight="1">
      <c r="A118" t="inlineStr">
        <is>
          <t>A 44766-2019</t>
        </is>
      </c>
      <c r="B118" s="1" t="n">
        <v>43707</v>
      </c>
      <c r="C118" s="1" t="n">
        <v>45795</v>
      </c>
      <c r="D118" t="inlineStr">
        <is>
          <t>DALARNAS LÄN</t>
        </is>
      </c>
      <c r="E118" t="inlineStr">
        <is>
          <t>MORA</t>
        </is>
      </c>
      <c r="F118" t="inlineStr">
        <is>
          <t>Allmännings- och besparingsskogar</t>
        </is>
      </c>
      <c r="G118" t="n">
        <v>32.2</v>
      </c>
      <c r="H118" t="n">
        <v>0</v>
      </c>
      <c r="I118" t="n">
        <v>0</v>
      </c>
      <c r="J118" t="n">
        <v>0</v>
      </c>
      <c r="K118" t="n">
        <v>0</v>
      </c>
      <c r="L118" t="n">
        <v>0</v>
      </c>
      <c r="M118" t="n">
        <v>0</v>
      </c>
      <c r="N118" t="n">
        <v>0</v>
      </c>
      <c r="O118" t="n">
        <v>0</v>
      </c>
      <c r="P118" t="n">
        <v>0</v>
      </c>
      <c r="Q118" t="n">
        <v>0</v>
      </c>
      <c r="R118" s="2" t="inlineStr"/>
    </row>
    <row r="119" ht="15" customHeight="1">
      <c r="A119" t="inlineStr">
        <is>
          <t>A 45989-2019</t>
        </is>
      </c>
      <c r="B119" s="1" t="n">
        <v>43718</v>
      </c>
      <c r="C119" s="1" t="n">
        <v>45795</v>
      </c>
      <c r="D119" t="inlineStr">
        <is>
          <t>DALARNAS LÄN</t>
        </is>
      </c>
      <c r="E119" t="inlineStr">
        <is>
          <t>MORA</t>
        </is>
      </c>
      <c r="G119" t="n">
        <v>12.9</v>
      </c>
      <c r="H119" t="n">
        <v>0</v>
      </c>
      <c r="I119" t="n">
        <v>0</v>
      </c>
      <c r="J119" t="n">
        <v>0</v>
      </c>
      <c r="K119" t="n">
        <v>0</v>
      </c>
      <c r="L119" t="n">
        <v>0</v>
      </c>
      <c r="M119" t="n">
        <v>0</v>
      </c>
      <c r="N119" t="n">
        <v>0</v>
      </c>
      <c r="O119" t="n">
        <v>0</v>
      </c>
      <c r="P119" t="n">
        <v>0</v>
      </c>
      <c r="Q119" t="n">
        <v>0</v>
      </c>
      <c r="R119" s="2" t="inlineStr"/>
    </row>
    <row r="120" ht="15" customHeight="1">
      <c r="A120" t="inlineStr">
        <is>
          <t>A 46119-2019</t>
        </is>
      </c>
      <c r="B120" s="1" t="n">
        <v>43718</v>
      </c>
      <c r="C120" s="1" t="n">
        <v>45795</v>
      </c>
      <c r="D120" t="inlineStr">
        <is>
          <t>DALARNAS LÄN</t>
        </is>
      </c>
      <c r="E120" t="inlineStr">
        <is>
          <t>MORA</t>
        </is>
      </c>
      <c r="G120" t="n">
        <v>3.2</v>
      </c>
      <c r="H120" t="n">
        <v>0</v>
      </c>
      <c r="I120" t="n">
        <v>0</v>
      </c>
      <c r="J120" t="n">
        <v>0</v>
      </c>
      <c r="K120" t="n">
        <v>0</v>
      </c>
      <c r="L120" t="n">
        <v>0</v>
      </c>
      <c r="M120" t="n">
        <v>0</v>
      </c>
      <c r="N120" t="n">
        <v>0</v>
      </c>
      <c r="O120" t="n">
        <v>0</v>
      </c>
      <c r="P120" t="n">
        <v>0</v>
      </c>
      <c r="Q120" t="n">
        <v>0</v>
      </c>
      <c r="R120" s="2" t="inlineStr"/>
    </row>
    <row r="121" ht="15" customHeight="1">
      <c r="A121" t="inlineStr">
        <is>
          <t>A 46171-2019</t>
        </is>
      </c>
      <c r="B121" s="1" t="n">
        <v>43718</v>
      </c>
      <c r="C121" s="1" t="n">
        <v>45795</v>
      </c>
      <c r="D121" t="inlineStr">
        <is>
          <t>DALARNAS LÄN</t>
        </is>
      </c>
      <c r="E121" t="inlineStr">
        <is>
          <t>MORA</t>
        </is>
      </c>
      <c r="G121" t="n">
        <v>6.1</v>
      </c>
      <c r="H121" t="n">
        <v>0</v>
      </c>
      <c r="I121" t="n">
        <v>0</v>
      </c>
      <c r="J121" t="n">
        <v>0</v>
      </c>
      <c r="K121" t="n">
        <v>0</v>
      </c>
      <c r="L121" t="n">
        <v>0</v>
      </c>
      <c r="M121" t="n">
        <v>0</v>
      </c>
      <c r="N121" t="n">
        <v>0</v>
      </c>
      <c r="O121" t="n">
        <v>0</v>
      </c>
      <c r="P121" t="n">
        <v>0</v>
      </c>
      <c r="Q121" t="n">
        <v>0</v>
      </c>
      <c r="R121" s="2" t="inlineStr"/>
    </row>
    <row r="122" ht="15" customHeight="1">
      <c r="A122" t="inlineStr">
        <is>
          <t>A 47713-2019</t>
        </is>
      </c>
      <c r="B122" s="1" t="n">
        <v>43724</v>
      </c>
      <c r="C122" s="1" t="n">
        <v>45795</v>
      </c>
      <c r="D122" t="inlineStr">
        <is>
          <t>DALARNAS LÄN</t>
        </is>
      </c>
      <c r="E122" t="inlineStr">
        <is>
          <t>MORA</t>
        </is>
      </c>
      <c r="G122" t="n">
        <v>11.4</v>
      </c>
      <c r="H122" t="n">
        <v>0</v>
      </c>
      <c r="I122" t="n">
        <v>0</v>
      </c>
      <c r="J122" t="n">
        <v>0</v>
      </c>
      <c r="K122" t="n">
        <v>0</v>
      </c>
      <c r="L122" t="n">
        <v>0</v>
      </c>
      <c r="M122" t="n">
        <v>0</v>
      </c>
      <c r="N122" t="n">
        <v>0</v>
      </c>
      <c r="O122" t="n">
        <v>0</v>
      </c>
      <c r="P122" t="n">
        <v>0</v>
      </c>
      <c r="Q122" t="n">
        <v>0</v>
      </c>
      <c r="R122" s="2" t="inlineStr"/>
    </row>
    <row r="123" ht="15" customHeight="1">
      <c r="A123" t="inlineStr">
        <is>
          <t>A 49193-2019</t>
        </is>
      </c>
      <c r="B123" s="1" t="n">
        <v>43724</v>
      </c>
      <c r="C123" s="1" t="n">
        <v>45795</v>
      </c>
      <c r="D123" t="inlineStr">
        <is>
          <t>DALARNAS LÄN</t>
        </is>
      </c>
      <c r="E123" t="inlineStr">
        <is>
          <t>MORA</t>
        </is>
      </c>
      <c r="G123" t="n">
        <v>4.3</v>
      </c>
      <c r="H123" t="n">
        <v>0</v>
      </c>
      <c r="I123" t="n">
        <v>0</v>
      </c>
      <c r="J123" t="n">
        <v>0</v>
      </c>
      <c r="K123" t="n">
        <v>0</v>
      </c>
      <c r="L123" t="n">
        <v>0</v>
      </c>
      <c r="M123" t="n">
        <v>0</v>
      </c>
      <c r="N123" t="n">
        <v>0</v>
      </c>
      <c r="O123" t="n">
        <v>0</v>
      </c>
      <c r="P123" t="n">
        <v>0</v>
      </c>
      <c r="Q123" t="n">
        <v>0</v>
      </c>
      <c r="R123" s="2" t="inlineStr"/>
    </row>
    <row r="124" ht="15" customHeight="1">
      <c r="A124" t="inlineStr">
        <is>
          <t>A 48445-2019</t>
        </is>
      </c>
      <c r="B124" s="1" t="n">
        <v>43727</v>
      </c>
      <c r="C124" s="1" t="n">
        <v>45795</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48460-2019</t>
        </is>
      </c>
      <c r="B125" s="1" t="n">
        <v>43727</v>
      </c>
      <c r="C125" s="1" t="n">
        <v>45795</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49051-2019</t>
        </is>
      </c>
      <c r="B126" s="1" t="n">
        <v>43731</v>
      </c>
      <c r="C126" s="1" t="n">
        <v>45795</v>
      </c>
      <c r="D126" t="inlineStr">
        <is>
          <t>DALARNAS LÄN</t>
        </is>
      </c>
      <c r="E126" t="inlineStr">
        <is>
          <t>MORA</t>
        </is>
      </c>
      <c r="G126" t="n">
        <v>16</v>
      </c>
      <c r="H126" t="n">
        <v>0</v>
      </c>
      <c r="I126" t="n">
        <v>0</v>
      </c>
      <c r="J126" t="n">
        <v>0</v>
      </c>
      <c r="K126" t="n">
        <v>0</v>
      </c>
      <c r="L126" t="n">
        <v>0</v>
      </c>
      <c r="M126" t="n">
        <v>0</v>
      </c>
      <c r="N126" t="n">
        <v>0</v>
      </c>
      <c r="O126" t="n">
        <v>0</v>
      </c>
      <c r="P126" t="n">
        <v>0</v>
      </c>
      <c r="Q126" t="n">
        <v>0</v>
      </c>
      <c r="R126" s="2" t="inlineStr"/>
    </row>
    <row r="127" ht="15" customHeight="1">
      <c r="A127" t="inlineStr">
        <is>
          <t>A 49290-2019</t>
        </is>
      </c>
      <c r="B127" s="1" t="n">
        <v>43731</v>
      </c>
      <c r="C127" s="1" t="n">
        <v>45795</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49765-2019</t>
        </is>
      </c>
      <c r="B128" s="1" t="n">
        <v>43733</v>
      </c>
      <c r="C128" s="1" t="n">
        <v>45795</v>
      </c>
      <c r="D128" t="inlineStr">
        <is>
          <t>DALARNAS LÄN</t>
        </is>
      </c>
      <c r="E128" t="inlineStr">
        <is>
          <t>MORA</t>
        </is>
      </c>
      <c r="F128" t="inlineStr">
        <is>
          <t>Bergvik skog väst AB</t>
        </is>
      </c>
      <c r="G128" t="n">
        <v>9.6</v>
      </c>
      <c r="H128" t="n">
        <v>0</v>
      </c>
      <c r="I128" t="n">
        <v>0</v>
      </c>
      <c r="J128" t="n">
        <v>0</v>
      </c>
      <c r="K128" t="n">
        <v>0</v>
      </c>
      <c r="L128" t="n">
        <v>0</v>
      </c>
      <c r="M128" t="n">
        <v>0</v>
      </c>
      <c r="N128" t="n">
        <v>0</v>
      </c>
      <c r="O128" t="n">
        <v>0</v>
      </c>
      <c r="P128" t="n">
        <v>0</v>
      </c>
      <c r="Q128" t="n">
        <v>0</v>
      </c>
      <c r="R128" s="2" t="inlineStr"/>
    </row>
    <row r="129" ht="15" customHeight="1">
      <c r="A129" t="inlineStr">
        <is>
          <t>A 52958-2019</t>
        </is>
      </c>
      <c r="B129" s="1" t="n">
        <v>43747</v>
      </c>
      <c r="C129" s="1" t="n">
        <v>45795</v>
      </c>
      <c r="D129" t="inlineStr">
        <is>
          <t>DALARNAS LÄN</t>
        </is>
      </c>
      <c r="E129" t="inlineStr">
        <is>
          <t>MORA</t>
        </is>
      </c>
      <c r="G129" t="n">
        <v>6.8</v>
      </c>
      <c r="H129" t="n">
        <v>0</v>
      </c>
      <c r="I129" t="n">
        <v>0</v>
      </c>
      <c r="J129" t="n">
        <v>0</v>
      </c>
      <c r="K129" t="n">
        <v>0</v>
      </c>
      <c r="L129" t="n">
        <v>0</v>
      </c>
      <c r="M129" t="n">
        <v>0</v>
      </c>
      <c r="N129" t="n">
        <v>0</v>
      </c>
      <c r="O129" t="n">
        <v>0</v>
      </c>
      <c r="P129" t="n">
        <v>0</v>
      </c>
      <c r="Q129" t="n">
        <v>0</v>
      </c>
      <c r="R129" s="2" t="inlineStr"/>
    </row>
    <row r="130" ht="15" customHeight="1">
      <c r="A130" t="inlineStr">
        <is>
          <t>A 53336-2019</t>
        </is>
      </c>
      <c r="B130" s="1" t="n">
        <v>43748</v>
      </c>
      <c r="C130" s="1" t="n">
        <v>45795</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54605-2019</t>
        </is>
      </c>
      <c r="B131" s="1" t="n">
        <v>43754</v>
      </c>
      <c r="C131" s="1" t="n">
        <v>45795</v>
      </c>
      <c r="D131" t="inlineStr">
        <is>
          <t>DALARNAS LÄN</t>
        </is>
      </c>
      <c r="E131" t="inlineStr">
        <is>
          <t>MORA</t>
        </is>
      </c>
      <c r="F131" t="inlineStr">
        <is>
          <t>Övriga Aktiebolag</t>
        </is>
      </c>
      <c r="G131" t="n">
        <v>12.7</v>
      </c>
      <c r="H131" t="n">
        <v>0</v>
      </c>
      <c r="I131" t="n">
        <v>0</v>
      </c>
      <c r="J131" t="n">
        <v>0</v>
      </c>
      <c r="K131" t="n">
        <v>0</v>
      </c>
      <c r="L131" t="n">
        <v>0</v>
      </c>
      <c r="M131" t="n">
        <v>0</v>
      </c>
      <c r="N131" t="n">
        <v>0</v>
      </c>
      <c r="O131" t="n">
        <v>0</v>
      </c>
      <c r="P131" t="n">
        <v>0</v>
      </c>
      <c r="Q131" t="n">
        <v>0</v>
      </c>
      <c r="R131" s="2" t="inlineStr"/>
    </row>
    <row r="132" ht="15" customHeight="1">
      <c r="A132" t="inlineStr">
        <is>
          <t>A 56145-2019</t>
        </is>
      </c>
      <c r="B132" s="1" t="n">
        <v>43761</v>
      </c>
      <c r="C132" s="1" t="n">
        <v>45795</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57254-2019</t>
        </is>
      </c>
      <c r="B133" s="1" t="n">
        <v>43767</v>
      </c>
      <c r="C133" s="1" t="n">
        <v>45795</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57640-2019</t>
        </is>
      </c>
      <c r="B134" s="1" t="n">
        <v>43768</v>
      </c>
      <c r="C134" s="1" t="n">
        <v>45795</v>
      </c>
      <c r="D134" t="inlineStr">
        <is>
          <t>DALARNAS LÄN</t>
        </is>
      </c>
      <c r="E134" t="inlineStr">
        <is>
          <t>MORA</t>
        </is>
      </c>
      <c r="G134" t="n">
        <v>2.8</v>
      </c>
      <c r="H134" t="n">
        <v>0</v>
      </c>
      <c r="I134" t="n">
        <v>0</v>
      </c>
      <c r="J134" t="n">
        <v>0</v>
      </c>
      <c r="K134" t="n">
        <v>0</v>
      </c>
      <c r="L134" t="n">
        <v>0</v>
      </c>
      <c r="M134" t="n">
        <v>0</v>
      </c>
      <c r="N134" t="n">
        <v>0</v>
      </c>
      <c r="O134" t="n">
        <v>0</v>
      </c>
      <c r="P134" t="n">
        <v>0</v>
      </c>
      <c r="Q134" t="n">
        <v>0</v>
      </c>
      <c r="R134" s="2" t="inlineStr"/>
    </row>
    <row r="135" ht="15" customHeight="1">
      <c r="A135" t="inlineStr">
        <is>
          <t>A 57989-2019</t>
        </is>
      </c>
      <c r="B135" s="1" t="n">
        <v>43769</v>
      </c>
      <c r="C135" s="1" t="n">
        <v>45795</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57984-2019</t>
        </is>
      </c>
      <c r="B136" s="1" t="n">
        <v>43769</v>
      </c>
      <c r="C136" s="1" t="n">
        <v>45795</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58335-2019</t>
        </is>
      </c>
      <c r="B137" s="1" t="n">
        <v>43770</v>
      </c>
      <c r="C137" s="1" t="n">
        <v>45795</v>
      </c>
      <c r="D137" t="inlineStr">
        <is>
          <t>DALARNAS LÄN</t>
        </is>
      </c>
      <c r="E137" t="inlineStr">
        <is>
          <t>MORA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61077-2019</t>
        </is>
      </c>
      <c r="B138" s="1" t="n">
        <v>43782</v>
      </c>
      <c r="C138" s="1" t="n">
        <v>45795</v>
      </c>
      <c r="D138" t="inlineStr">
        <is>
          <t>DALARNAS LÄN</t>
        </is>
      </c>
      <c r="E138" t="inlineStr">
        <is>
          <t>MORA</t>
        </is>
      </c>
      <c r="F138" t="inlineStr">
        <is>
          <t>Bergvik skog öst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61063-2019</t>
        </is>
      </c>
      <c r="B139" s="1" t="n">
        <v>43782</v>
      </c>
      <c r="C139" s="1" t="n">
        <v>45795</v>
      </c>
      <c r="D139" t="inlineStr">
        <is>
          <t>DALARNAS LÄN</t>
        </is>
      </c>
      <c r="E139" t="inlineStr">
        <is>
          <t>MORA</t>
        </is>
      </c>
      <c r="F139" t="inlineStr">
        <is>
          <t>Bergvik skog öst AB</t>
        </is>
      </c>
      <c r="G139" t="n">
        <v>0.9</v>
      </c>
      <c r="H139" t="n">
        <v>0</v>
      </c>
      <c r="I139" t="n">
        <v>0</v>
      </c>
      <c r="J139" t="n">
        <v>0</v>
      </c>
      <c r="K139" t="n">
        <v>0</v>
      </c>
      <c r="L139" t="n">
        <v>0</v>
      </c>
      <c r="M139" t="n">
        <v>0</v>
      </c>
      <c r="N139" t="n">
        <v>0</v>
      </c>
      <c r="O139" t="n">
        <v>0</v>
      </c>
      <c r="P139" t="n">
        <v>0</v>
      </c>
      <c r="Q139" t="n">
        <v>0</v>
      </c>
      <c r="R139" s="2" t="inlineStr"/>
    </row>
    <row r="140" ht="15" customHeight="1">
      <c r="A140" t="inlineStr">
        <is>
          <t>A 61324-2019</t>
        </is>
      </c>
      <c r="B140" s="1" t="n">
        <v>43783</v>
      </c>
      <c r="C140" s="1" t="n">
        <v>45795</v>
      </c>
      <c r="D140" t="inlineStr">
        <is>
          <t>DALARNAS LÄN</t>
        </is>
      </c>
      <c r="E140" t="inlineStr">
        <is>
          <t>MORA</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61646-2019</t>
        </is>
      </c>
      <c r="B141" s="1" t="n">
        <v>43784</v>
      </c>
      <c r="C141" s="1" t="n">
        <v>45795</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62001-2019</t>
        </is>
      </c>
      <c r="B142" s="1" t="n">
        <v>43787</v>
      </c>
      <c r="C142" s="1" t="n">
        <v>45795</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63093-2019</t>
        </is>
      </c>
      <c r="B143" s="1" t="n">
        <v>43791</v>
      </c>
      <c r="C143" s="1" t="n">
        <v>45795</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63072-2019</t>
        </is>
      </c>
      <c r="B144" s="1" t="n">
        <v>43791</v>
      </c>
      <c r="C144" s="1" t="n">
        <v>45795</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63655-2019</t>
        </is>
      </c>
      <c r="B145" s="1" t="n">
        <v>43795</v>
      </c>
      <c r="C145" s="1" t="n">
        <v>45795</v>
      </c>
      <c r="D145" t="inlineStr">
        <is>
          <t>DALARNAS LÄN</t>
        </is>
      </c>
      <c r="E145" t="inlineStr">
        <is>
          <t>MORA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65090-2019</t>
        </is>
      </c>
      <c r="B146" s="1" t="n">
        <v>43802</v>
      </c>
      <c r="C146" s="1" t="n">
        <v>45795</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65460-2019</t>
        </is>
      </c>
      <c r="B147" s="1" t="n">
        <v>43803</v>
      </c>
      <c r="C147" s="1" t="n">
        <v>45795</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65633-2019</t>
        </is>
      </c>
      <c r="B148" s="1" t="n">
        <v>43804</v>
      </c>
      <c r="C148" s="1" t="n">
        <v>45795</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66214-2019</t>
        </is>
      </c>
      <c r="B149" s="1" t="n">
        <v>43808</v>
      </c>
      <c r="C149" s="1" t="n">
        <v>45795</v>
      </c>
      <c r="D149" t="inlineStr">
        <is>
          <t>DALARNAS LÄN</t>
        </is>
      </c>
      <c r="E149" t="inlineStr">
        <is>
          <t>MORA</t>
        </is>
      </c>
      <c r="G149" t="n">
        <v>5.8</v>
      </c>
      <c r="H149" t="n">
        <v>0</v>
      </c>
      <c r="I149" t="n">
        <v>0</v>
      </c>
      <c r="J149" t="n">
        <v>0</v>
      </c>
      <c r="K149" t="n">
        <v>0</v>
      </c>
      <c r="L149" t="n">
        <v>0</v>
      </c>
      <c r="M149" t="n">
        <v>0</v>
      </c>
      <c r="N149" t="n">
        <v>0</v>
      </c>
      <c r="O149" t="n">
        <v>0</v>
      </c>
      <c r="P149" t="n">
        <v>0</v>
      </c>
      <c r="Q149" t="n">
        <v>0</v>
      </c>
      <c r="R149" s="2" t="inlineStr"/>
    </row>
    <row r="150" ht="15" customHeight="1">
      <c r="A150" t="inlineStr">
        <is>
          <t>A 66873-2019</t>
        </is>
      </c>
      <c r="B150" s="1" t="n">
        <v>43810</v>
      </c>
      <c r="C150" s="1" t="n">
        <v>45795</v>
      </c>
      <c r="D150" t="inlineStr">
        <is>
          <t>DALARNAS LÄN</t>
        </is>
      </c>
      <c r="E150" t="inlineStr">
        <is>
          <t>MORA</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66868-2019</t>
        </is>
      </c>
      <c r="B151" s="1" t="n">
        <v>43810</v>
      </c>
      <c r="C151" s="1" t="n">
        <v>45795</v>
      </c>
      <c r="D151" t="inlineStr">
        <is>
          <t>DALARNAS LÄN</t>
        </is>
      </c>
      <c r="E151" t="inlineStr">
        <is>
          <t>MORA</t>
        </is>
      </c>
      <c r="G151" t="n">
        <v>3.3</v>
      </c>
      <c r="H151" t="n">
        <v>0</v>
      </c>
      <c r="I151" t="n">
        <v>0</v>
      </c>
      <c r="J151" t="n">
        <v>0</v>
      </c>
      <c r="K151" t="n">
        <v>0</v>
      </c>
      <c r="L151" t="n">
        <v>0</v>
      </c>
      <c r="M151" t="n">
        <v>0</v>
      </c>
      <c r="N151" t="n">
        <v>0</v>
      </c>
      <c r="O151" t="n">
        <v>0</v>
      </c>
      <c r="P151" t="n">
        <v>0</v>
      </c>
      <c r="Q151" t="n">
        <v>0</v>
      </c>
      <c r="R151" s="2" t="inlineStr"/>
    </row>
    <row r="152" ht="15" customHeight="1">
      <c r="A152" t="inlineStr">
        <is>
          <t>A 66878-2019</t>
        </is>
      </c>
      <c r="B152" s="1" t="n">
        <v>43810</v>
      </c>
      <c r="C152" s="1" t="n">
        <v>45795</v>
      </c>
      <c r="D152" t="inlineStr">
        <is>
          <t>DALARNAS LÄN</t>
        </is>
      </c>
      <c r="E152" t="inlineStr">
        <is>
          <t>MORA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67986-2019</t>
        </is>
      </c>
      <c r="B153" s="1" t="n">
        <v>43811</v>
      </c>
      <c r="C153" s="1" t="n">
        <v>45795</v>
      </c>
      <c r="D153" t="inlineStr">
        <is>
          <t>DALARNAS LÄN</t>
        </is>
      </c>
      <c r="E153" t="inlineStr">
        <is>
          <t>MORA</t>
        </is>
      </c>
      <c r="G153" t="n">
        <v>3.8</v>
      </c>
      <c r="H153" t="n">
        <v>0</v>
      </c>
      <c r="I153" t="n">
        <v>0</v>
      </c>
      <c r="J153" t="n">
        <v>0</v>
      </c>
      <c r="K153" t="n">
        <v>0</v>
      </c>
      <c r="L153" t="n">
        <v>0</v>
      </c>
      <c r="M153" t="n">
        <v>0</v>
      </c>
      <c r="N153" t="n">
        <v>0</v>
      </c>
      <c r="O153" t="n">
        <v>0</v>
      </c>
      <c r="P153" t="n">
        <v>0</v>
      </c>
      <c r="Q153" t="n">
        <v>0</v>
      </c>
      <c r="R153" s="2" t="inlineStr"/>
    </row>
    <row r="154" ht="15" customHeight="1">
      <c r="A154" t="inlineStr">
        <is>
          <t>A 67633-2019</t>
        </is>
      </c>
      <c r="B154" s="1" t="n">
        <v>43815</v>
      </c>
      <c r="C154" s="1" t="n">
        <v>45795</v>
      </c>
      <c r="D154" t="inlineStr">
        <is>
          <t>DALARNAS LÄN</t>
        </is>
      </c>
      <c r="E154" t="inlineStr">
        <is>
          <t>MORA</t>
        </is>
      </c>
      <c r="G154" t="n">
        <v>4.7</v>
      </c>
      <c r="H154" t="n">
        <v>0</v>
      </c>
      <c r="I154" t="n">
        <v>0</v>
      </c>
      <c r="J154" t="n">
        <v>0</v>
      </c>
      <c r="K154" t="n">
        <v>0</v>
      </c>
      <c r="L154" t="n">
        <v>0</v>
      </c>
      <c r="M154" t="n">
        <v>0</v>
      </c>
      <c r="N154" t="n">
        <v>0</v>
      </c>
      <c r="O154" t="n">
        <v>0</v>
      </c>
      <c r="P154" t="n">
        <v>0</v>
      </c>
      <c r="Q154" t="n">
        <v>0</v>
      </c>
      <c r="R154" s="2" t="inlineStr"/>
    </row>
    <row r="155" ht="15" customHeight="1">
      <c r="A155" t="inlineStr">
        <is>
          <t>A 564-2020</t>
        </is>
      </c>
      <c r="B155" s="1" t="n">
        <v>43817</v>
      </c>
      <c r="C155" s="1" t="n">
        <v>45795</v>
      </c>
      <c r="D155" t="inlineStr">
        <is>
          <t>DALARNAS LÄN</t>
        </is>
      </c>
      <c r="E155" t="inlineStr">
        <is>
          <t>MORA</t>
        </is>
      </c>
      <c r="F155" t="inlineStr">
        <is>
          <t>Kommuner</t>
        </is>
      </c>
      <c r="G155" t="n">
        <v>56.1</v>
      </c>
      <c r="H155" t="n">
        <v>0</v>
      </c>
      <c r="I155" t="n">
        <v>0</v>
      </c>
      <c r="J155" t="n">
        <v>0</v>
      </c>
      <c r="K155" t="n">
        <v>0</v>
      </c>
      <c r="L155" t="n">
        <v>0</v>
      </c>
      <c r="M155" t="n">
        <v>0</v>
      </c>
      <c r="N155" t="n">
        <v>0</v>
      </c>
      <c r="O155" t="n">
        <v>0</v>
      </c>
      <c r="P155" t="n">
        <v>0</v>
      </c>
      <c r="Q155" t="n">
        <v>0</v>
      </c>
      <c r="R155" s="2" t="inlineStr"/>
    </row>
    <row r="156" ht="15" customHeight="1">
      <c r="A156" t="inlineStr">
        <is>
          <t>A 68092-2019</t>
        </is>
      </c>
      <c r="B156" s="1" t="n">
        <v>43817</v>
      </c>
      <c r="C156" s="1" t="n">
        <v>45795</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1506-2020</t>
        </is>
      </c>
      <c r="B157" s="1" t="n">
        <v>43826</v>
      </c>
      <c r="C157" s="1" t="n">
        <v>45795</v>
      </c>
      <c r="D157" t="inlineStr">
        <is>
          <t>DALARNAS LÄN</t>
        </is>
      </c>
      <c r="E157" t="inlineStr">
        <is>
          <t>MORA</t>
        </is>
      </c>
      <c r="G157" t="n">
        <v>1.2</v>
      </c>
      <c r="H157" t="n">
        <v>0</v>
      </c>
      <c r="I157" t="n">
        <v>0</v>
      </c>
      <c r="J157" t="n">
        <v>0</v>
      </c>
      <c r="K157" t="n">
        <v>0</v>
      </c>
      <c r="L157" t="n">
        <v>0</v>
      </c>
      <c r="M157" t="n">
        <v>0</v>
      </c>
      <c r="N157" t="n">
        <v>0</v>
      </c>
      <c r="O157" t="n">
        <v>0</v>
      </c>
      <c r="P157" t="n">
        <v>0</v>
      </c>
      <c r="Q157" t="n">
        <v>0</v>
      </c>
      <c r="R157" s="2" t="inlineStr"/>
    </row>
    <row r="158" ht="15" customHeight="1">
      <c r="A158" t="inlineStr">
        <is>
          <t>A 472-2020</t>
        </is>
      </c>
      <c r="B158" s="1" t="n">
        <v>43837</v>
      </c>
      <c r="C158" s="1" t="n">
        <v>45795</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1841-2020</t>
        </is>
      </c>
      <c r="B159" s="1" t="n">
        <v>43844</v>
      </c>
      <c r="C159" s="1" t="n">
        <v>45795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3588-2020</t>
        </is>
      </c>
      <c r="B160" s="1" t="n">
        <v>43845</v>
      </c>
      <c r="C160" s="1" t="n">
        <v>45795</v>
      </c>
      <c r="D160" t="inlineStr">
        <is>
          <t>DALARNAS LÄN</t>
        </is>
      </c>
      <c r="E160" t="inlineStr">
        <is>
          <t>MORA</t>
        </is>
      </c>
      <c r="G160" t="n">
        <v>3</v>
      </c>
      <c r="H160" t="n">
        <v>0</v>
      </c>
      <c r="I160" t="n">
        <v>0</v>
      </c>
      <c r="J160" t="n">
        <v>0</v>
      </c>
      <c r="K160" t="n">
        <v>0</v>
      </c>
      <c r="L160" t="n">
        <v>0</v>
      </c>
      <c r="M160" t="n">
        <v>0</v>
      </c>
      <c r="N160" t="n">
        <v>0</v>
      </c>
      <c r="O160" t="n">
        <v>0</v>
      </c>
      <c r="P160" t="n">
        <v>0</v>
      </c>
      <c r="Q160" t="n">
        <v>0</v>
      </c>
      <c r="R160" s="2" t="inlineStr"/>
    </row>
    <row r="161" ht="15" customHeight="1">
      <c r="A161" t="inlineStr">
        <is>
          <t>A 4106-2020</t>
        </is>
      </c>
      <c r="B161" s="1" t="n">
        <v>43857</v>
      </c>
      <c r="C161" s="1" t="n">
        <v>45795</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4818-2020</t>
        </is>
      </c>
      <c r="B162" s="1" t="n">
        <v>43859</v>
      </c>
      <c r="C162" s="1" t="n">
        <v>45795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6012-2020</t>
        </is>
      </c>
      <c r="B163" s="1" t="n">
        <v>43865</v>
      </c>
      <c r="C163" s="1" t="n">
        <v>45795</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7093-2020</t>
        </is>
      </c>
      <c r="B164" s="1" t="n">
        <v>43868</v>
      </c>
      <c r="C164" s="1" t="n">
        <v>45795</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7382-2020</t>
        </is>
      </c>
      <c r="B165" s="1" t="n">
        <v>43871</v>
      </c>
      <c r="C165" s="1" t="n">
        <v>45795</v>
      </c>
      <c r="D165" t="inlineStr">
        <is>
          <t>DALARNAS LÄN</t>
        </is>
      </c>
      <c r="E165" t="inlineStr">
        <is>
          <t>MORA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10704-2020</t>
        </is>
      </c>
      <c r="B166" s="1" t="n">
        <v>43888</v>
      </c>
      <c r="C166" s="1" t="n">
        <v>45795</v>
      </c>
      <c r="D166" t="inlineStr">
        <is>
          <t>DALARNAS LÄN</t>
        </is>
      </c>
      <c r="E166" t="inlineStr">
        <is>
          <t>MORA</t>
        </is>
      </c>
      <c r="G166" t="n">
        <v>2.6</v>
      </c>
      <c r="H166" t="n">
        <v>0</v>
      </c>
      <c r="I166" t="n">
        <v>0</v>
      </c>
      <c r="J166" t="n">
        <v>0</v>
      </c>
      <c r="K166" t="n">
        <v>0</v>
      </c>
      <c r="L166" t="n">
        <v>0</v>
      </c>
      <c r="M166" t="n">
        <v>0</v>
      </c>
      <c r="N166" t="n">
        <v>0</v>
      </c>
      <c r="O166" t="n">
        <v>0</v>
      </c>
      <c r="P166" t="n">
        <v>0</v>
      </c>
      <c r="Q166" t="n">
        <v>0</v>
      </c>
      <c r="R166" s="2" t="inlineStr"/>
    </row>
    <row r="167" ht="15" customHeight="1">
      <c r="A167" t="inlineStr">
        <is>
          <t>A 12360-2020</t>
        </is>
      </c>
      <c r="B167" s="1" t="n">
        <v>43896</v>
      </c>
      <c r="C167" s="1" t="n">
        <v>45795</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12723-2020</t>
        </is>
      </c>
      <c r="B168" s="1" t="n">
        <v>43899</v>
      </c>
      <c r="C168" s="1" t="n">
        <v>45795</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13943-2020</t>
        </is>
      </c>
      <c r="B169" s="1" t="n">
        <v>43906</v>
      </c>
      <c r="C169" s="1" t="n">
        <v>45795</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16636-2020</t>
        </is>
      </c>
      <c r="B170" s="1" t="n">
        <v>43910</v>
      </c>
      <c r="C170" s="1" t="n">
        <v>45795</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16194-2020</t>
        </is>
      </c>
      <c r="B171" s="1" t="n">
        <v>43917</v>
      </c>
      <c r="C171" s="1" t="n">
        <v>45795</v>
      </c>
      <c r="D171" t="inlineStr">
        <is>
          <t>DALARNAS LÄN</t>
        </is>
      </c>
      <c r="E171" t="inlineStr">
        <is>
          <t>MORA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16195-2020</t>
        </is>
      </c>
      <c r="B172" s="1" t="n">
        <v>43917</v>
      </c>
      <c r="C172" s="1" t="n">
        <v>45795</v>
      </c>
      <c r="D172" t="inlineStr">
        <is>
          <t>DALARNAS LÄN</t>
        </is>
      </c>
      <c r="E172" t="inlineStr">
        <is>
          <t>MORA</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18989-2020</t>
        </is>
      </c>
      <c r="B173" s="1" t="n">
        <v>43935</v>
      </c>
      <c r="C173" s="1" t="n">
        <v>45795</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18978-2020</t>
        </is>
      </c>
      <c r="B174" s="1" t="n">
        <v>43935</v>
      </c>
      <c r="C174" s="1" t="n">
        <v>45795</v>
      </c>
      <c r="D174" t="inlineStr">
        <is>
          <t>DALARNAS LÄN</t>
        </is>
      </c>
      <c r="E174" t="inlineStr">
        <is>
          <t>MORA</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19507-2020</t>
        </is>
      </c>
      <c r="B175" s="1" t="n">
        <v>43938</v>
      </c>
      <c r="C175" s="1" t="n">
        <v>45795</v>
      </c>
      <c r="D175" t="inlineStr">
        <is>
          <t>DALARNAS LÄN</t>
        </is>
      </c>
      <c r="E175" t="inlineStr">
        <is>
          <t>MORA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21122-2020</t>
        </is>
      </c>
      <c r="B176" s="1" t="n">
        <v>43951</v>
      </c>
      <c r="C176" s="1" t="n">
        <v>45795</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21951-2020</t>
        </is>
      </c>
      <c r="B177" s="1" t="n">
        <v>43958</v>
      </c>
      <c r="C177" s="1" t="n">
        <v>45795</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24719-2020</t>
        </is>
      </c>
      <c r="B178" s="1" t="n">
        <v>43978</v>
      </c>
      <c r="C178" s="1" t="n">
        <v>45795</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25852-2020</t>
        </is>
      </c>
      <c r="B179" s="1" t="n">
        <v>43984</v>
      </c>
      <c r="C179" s="1" t="n">
        <v>45795</v>
      </c>
      <c r="D179" t="inlineStr">
        <is>
          <t>DALARNAS LÄN</t>
        </is>
      </c>
      <c r="E179" t="inlineStr">
        <is>
          <t>MORA</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26454-2020</t>
        </is>
      </c>
      <c r="B180" s="1" t="n">
        <v>43987</v>
      </c>
      <c r="C180" s="1" t="n">
        <v>45795</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26460-2020</t>
        </is>
      </c>
      <c r="B181" s="1" t="n">
        <v>43987</v>
      </c>
      <c r="C181" s="1" t="n">
        <v>45795</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29751-2020</t>
        </is>
      </c>
      <c r="B182" s="1" t="n">
        <v>44005</v>
      </c>
      <c r="C182" s="1" t="n">
        <v>45795</v>
      </c>
      <c r="D182" t="inlineStr">
        <is>
          <t>DALARNAS LÄN</t>
        </is>
      </c>
      <c r="E182" t="inlineStr">
        <is>
          <t>MORA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29881-2020</t>
        </is>
      </c>
      <c r="B183" s="1" t="n">
        <v>44006</v>
      </c>
      <c r="C183" s="1" t="n">
        <v>45795</v>
      </c>
      <c r="D183" t="inlineStr">
        <is>
          <t>DALARNAS LÄN</t>
        </is>
      </c>
      <c r="E183" t="inlineStr">
        <is>
          <t>MORA</t>
        </is>
      </c>
      <c r="G183" t="n">
        <v>3.7</v>
      </c>
      <c r="H183" t="n">
        <v>0</v>
      </c>
      <c r="I183" t="n">
        <v>0</v>
      </c>
      <c r="J183" t="n">
        <v>0</v>
      </c>
      <c r="K183" t="n">
        <v>0</v>
      </c>
      <c r="L183" t="n">
        <v>0</v>
      </c>
      <c r="M183" t="n">
        <v>0</v>
      </c>
      <c r="N183" t="n">
        <v>0</v>
      </c>
      <c r="O183" t="n">
        <v>0</v>
      </c>
      <c r="P183" t="n">
        <v>0</v>
      </c>
      <c r="Q183" t="n">
        <v>0</v>
      </c>
      <c r="R183" s="2" t="inlineStr"/>
    </row>
    <row r="184" ht="15" customHeight="1">
      <c r="A184" t="inlineStr">
        <is>
          <t>A 29960-2020</t>
        </is>
      </c>
      <c r="B184" s="1" t="n">
        <v>44006</v>
      </c>
      <c r="C184" s="1" t="n">
        <v>45795</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33581-2020</t>
        </is>
      </c>
      <c r="B185" s="1" t="n">
        <v>44022</v>
      </c>
      <c r="C185" s="1" t="n">
        <v>45795</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34455-2020</t>
        </is>
      </c>
      <c r="B186" s="1" t="n">
        <v>44032</v>
      </c>
      <c r="C186" s="1" t="n">
        <v>45795</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34454-2020</t>
        </is>
      </c>
      <c r="B187" s="1" t="n">
        <v>44032</v>
      </c>
      <c r="C187" s="1" t="n">
        <v>45795</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34446-2020</t>
        </is>
      </c>
      <c r="B188" s="1" t="n">
        <v>44032</v>
      </c>
      <c r="C188" s="1" t="n">
        <v>45795</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35976-2020</t>
        </is>
      </c>
      <c r="B189" s="1" t="n">
        <v>44047</v>
      </c>
      <c r="C189" s="1" t="n">
        <v>45795</v>
      </c>
      <c r="D189" t="inlineStr">
        <is>
          <t>DALARNAS LÄN</t>
        </is>
      </c>
      <c r="E189" t="inlineStr">
        <is>
          <t>MORA</t>
        </is>
      </c>
      <c r="G189" t="n">
        <v>6.7</v>
      </c>
      <c r="H189" t="n">
        <v>0</v>
      </c>
      <c r="I189" t="n">
        <v>0</v>
      </c>
      <c r="J189" t="n">
        <v>0</v>
      </c>
      <c r="K189" t="n">
        <v>0</v>
      </c>
      <c r="L189" t="n">
        <v>0</v>
      </c>
      <c r="M189" t="n">
        <v>0</v>
      </c>
      <c r="N189" t="n">
        <v>0</v>
      </c>
      <c r="O189" t="n">
        <v>0</v>
      </c>
      <c r="P189" t="n">
        <v>0</v>
      </c>
      <c r="Q189" t="n">
        <v>0</v>
      </c>
      <c r="R189" s="2" t="inlineStr"/>
    </row>
    <row r="190" ht="15" customHeight="1">
      <c r="A190" t="inlineStr">
        <is>
          <t>A 37403-2020</t>
        </is>
      </c>
      <c r="B190" s="1" t="n">
        <v>44055</v>
      </c>
      <c r="C190" s="1" t="n">
        <v>45795</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37840-2020</t>
        </is>
      </c>
      <c r="B191" s="1" t="n">
        <v>44057</v>
      </c>
      <c r="C191" s="1" t="n">
        <v>45795</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38910-2020</t>
        </is>
      </c>
      <c r="B192" s="1" t="n">
        <v>44062</v>
      </c>
      <c r="C192" s="1" t="n">
        <v>45795</v>
      </c>
      <c r="D192" t="inlineStr">
        <is>
          <t>DALARNAS LÄN</t>
        </is>
      </c>
      <c r="E192" t="inlineStr">
        <is>
          <t>MORA</t>
        </is>
      </c>
      <c r="G192" t="n">
        <v>7.8</v>
      </c>
      <c r="H192" t="n">
        <v>0</v>
      </c>
      <c r="I192" t="n">
        <v>0</v>
      </c>
      <c r="J192" t="n">
        <v>0</v>
      </c>
      <c r="K192" t="n">
        <v>0</v>
      </c>
      <c r="L192" t="n">
        <v>0</v>
      </c>
      <c r="M192" t="n">
        <v>0</v>
      </c>
      <c r="N192" t="n">
        <v>0</v>
      </c>
      <c r="O192" t="n">
        <v>0</v>
      </c>
      <c r="P192" t="n">
        <v>0</v>
      </c>
      <c r="Q192" t="n">
        <v>0</v>
      </c>
      <c r="R192" s="2" t="inlineStr"/>
    </row>
    <row r="193" ht="15" customHeight="1">
      <c r="A193" t="inlineStr">
        <is>
          <t>A 39585-2020</t>
        </is>
      </c>
      <c r="B193" s="1" t="n">
        <v>44064</v>
      </c>
      <c r="C193" s="1" t="n">
        <v>45795</v>
      </c>
      <c r="D193" t="inlineStr">
        <is>
          <t>DALARNAS LÄN</t>
        </is>
      </c>
      <c r="E193" t="inlineStr">
        <is>
          <t>MORA</t>
        </is>
      </c>
      <c r="G193" t="n">
        <v>6.5</v>
      </c>
      <c r="H193" t="n">
        <v>0</v>
      </c>
      <c r="I193" t="n">
        <v>0</v>
      </c>
      <c r="J193" t="n">
        <v>0</v>
      </c>
      <c r="K193" t="n">
        <v>0</v>
      </c>
      <c r="L193" t="n">
        <v>0</v>
      </c>
      <c r="M193" t="n">
        <v>0</v>
      </c>
      <c r="N193" t="n">
        <v>0</v>
      </c>
      <c r="O193" t="n">
        <v>0</v>
      </c>
      <c r="P193" t="n">
        <v>0</v>
      </c>
      <c r="Q193" t="n">
        <v>0</v>
      </c>
      <c r="R193" s="2" t="inlineStr"/>
    </row>
    <row r="194" ht="15" customHeight="1">
      <c r="A194" t="inlineStr">
        <is>
          <t>A 39959-2020</t>
        </is>
      </c>
      <c r="B194" s="1" t="n">
        <v>44067</v>
      </c>
      <c r="C194" s="1" t="n">
        <v>45795</v>
      </c>
      <c r="D194" t="inlineStr">
        <is>
          <t>DALARNAS LÄN</t>
        </is>
      </c>
      <c r="E194" t="inlineStr">
        <is>
          <t>MORA</t>
        </is>
      </c>
      <c r="G194" t="n">
        <v>25.7</v>
      </c>
      <c r="H194" t="n">
        <v>0</v>
      </c>
      <c r="I194" t="n">
        <v>0</v>
      </c>
      <c r="J194" t="n">
        <v>0</v>
      </c>
      <c r="K194" t="n">
        <v>0</v>
      </c>
      <c r="L194" t="n">
        <v>0</v>
      </c>
      <c r="M194" t="n">
        <v>0</v>
      </c>
      <c r="N194" t="n">
        <v>0</v>
      </c>
      <c r="O194" t="n">
        <v>0</v>
      </c>
      <c r="P194" t="n">
        <v>0</v>
      </c>
      <c r="Q194" t="n">
        <v>0</v>
      </c>
      <c r="R194" s="2" t="inlineStr"/>
    </row>
    <row r="195" ht="15" customHeight="1">
      <c r="A195" t="inlineStr">
        <is>
          <t>A 41768-2020</t>
        </is>
      </c>
      <c r="B195" s="1" t="n">
        <v>44074</v>
      </c>
      <c r="C195" s="1" t="n">
        <v>45795</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42362-2020</t>
        </is>
      </c>
      <c r="B196" s="1" t="n">
        <v>44074</v>
      </c>
      <c r="C196" s="1" t="n">
        <v>45795</v>
      </c>
      <c r="D196" t="inlineStr">
        <is>
          <t>DALARNAS LÄN</t>
        </is>
      </c>
      <c r="E196" t="inlineStr">
        <is>
          <t>MORA</t>
        </is>
      </c>
      <c r="G196" t="n">
        <v>4.5</v>
      </c>
      <c r="H196" t="n">
        <v>0</v>
      </c>
      <c r="I196" t="n">
        <v>0</v>
      </c>
      <c r="J196" t="n">
        <v>0</v>
      </c>
      <c r="K196" t="n">
        <v>0</v>
      </c>
      <c r="L196" t="n">
        <v>0</v>
      </c>
      <c r="M196" t="n">
        <v>0</v>
      </c>
      <c r="N196" t="n">
        <v>0</v>
      </c>
      <c r="O196" t="n">
        <v>0</v>
      </c>
      <c r="P196" t="n">
        <v>0</v>
      </c>
      <c r="Q196" t="n">
        <v>0</v>
      </c>
      <c r="R196" s="2" t="inlineStr"/>
    </row>
    <row r="197" ht="15" customHeight="1">
      <c r="A197" t="inlineStr">
        <is>
          <t>A 42377-2020</t>
        </is>
      </c>
      <c r="B197" s="1" t="n">
        <v>44076</v>
      </c>
      <c r="C197" s="1" t="n">
        <v>45795</v>
      </c>
      <c r="D197" t="inlineStr">
        <is>
          <t>DALARNAS LÄN</t>
        </is>
      </c>
      <c r="E197" t="inlineStr">
        <is>
          <t>MORA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43284-2020</t>
        </is>
      </c>
      <c r="B198" s="1" t="n">
        <v>44081</v>
      </c>
      <c r="C198" s="1" t="n">
        <v>45795</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48065-2020</t>
        </is>
      </c>
      <c r="B199" s="1" t="n">
        <v>44100</v>
      </c>
      <c r="C199" s="1" t="n">
        <v>45795</v>
      </c>
      <c r="D199" t="inlineStr">
        <is>
          <t>DALARNAS LÄN</t>
        </is>
      </c>
      <c r="E199" t="inlineStr">
        <is>
          <t>MORA</t>
        </is>
      </c>
      <c r="G199" t="n">
        <v>8.6</v>
      </c>
      <c r="H199" t="n">
        <v>0</v>
      </c>
      <c r="I199" t="n">
        <v>0</v>
      </c>
      <c r="J199" t="n">
        <v>0</v>
      </c>
      <c r="K199" t="n">
        <v>0</v>
      </c>
      <c r="L199" t="n">
        <v>0</v>
      </c>
      <c r="M199" t="n">
        <v>0</v>
      </c>
      <c r="N199" t="n">
        <v>0</v>
      </c>
      <c r="O199" t="n">
        <v>0</v>
      </c>
      <c r="P199" t="n">
        <v>0</v>
      </c>
      <c r="Q199" t="n">
        <v>0</v>
      </c>
      <c r="R199" s="2" t="inlineStr"/>
    </row>
    <row r="200" ht="15" customHeight="1">
      <c r="A200" t="inlineStr">
        <is>
          <t>A 51621-2020</t>
        </is>
      </c>
      <c r="B200" s="1" t="n">
        <v>44109</v>
      </c>
      <c r="C200" s="1" t="n">
        <v>45795</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51608-2020</t>
        </is>
      </c>
      <c r="B201" s="1" t="n">
        <v>44109</v>
      </c>
      <c r="C201" s="1" t="n">
        <v>45795</v>
      </c>
      <c r="D201" t="inlineStr">
        <is>
          <t>DALARNAS LÄN</t>
        </is>
      </c>
      <c r="E201" t="inlineStr">
        <is>
          <t>MORA</t>
        </is>
      </c>
      <c r="G201" t="n">
        <v>4.6</v>
      </c>
      <c r="H201" t="n">
        <v>0</v>
      </c>
      <c r="I201" t="n">
        <v>0</v>
      </c>
      <c r="J201" t="n">
        <v>0</v>
      </c>
      <c r="K201" t="n">
        <v>0</v>
      </c>
      <c r="L201" t="n">
        <v>0</v>
      </c>
      <c r="M201" t="n">
        <v>0</v>
      </c>
      <c r="N201" t="n">
        <v>0</v>
      </c>
      <c r="O201" t="n">
        <v>0</v>
      </c>
      <c r="P201" t="n">
        <v>0</v>
      </c>
      <c r="Q201" t="n">
        <v>0</v>
      </c>
      <c r="R201" s="2" t="inlineStr"/>
    </row>
    <row r="202" ht="15" customHeight="1">
      <c r="A202" t="inlineStr">
        <is>
          <t>A 52732-2020</t>
        </is>
      </c>
      <c r="B202" s="1" t="n">
        <v>44118</v>
      </c>
      <c r="C202" s="1" t="n">
        <v>45795</v>
      </c>
      <c r="D202" t="inlineStr">
        <is>
          <t>DALARNAS LÄN</t>
        </is>
      </c>
      <c r="E202" t="inlineStr">
        <is>
          <t>MORA</t>
        </is>
      </c>
      <c r="G202" t="n">
        <v>3.9</v>
      </c>
      <c r="H202" t="n">
        <v>0</v>
      </c>
      <c r="I202" t="n">
        <v>0</v>
      </c>
      <c r="J202" t="n">
        <v>0</v>
      </c>
      <c r="K202" t="n">
        <v>0</v>
      </c>
      <c r="L202" t="n">
        <v>0</v>
      </c>
      <c r="M202" t="n">
        <v>0</v>
      </c>
      <c r="N202" t="n">
        <v>0</v>
      </c>
      <c r="O202" t="n">
        <v>0</v>
      </c>
      <c r="P202" t="n">
        <v>0</v>
      </c>
      <c r="Q202" t="n">
        <v>0</v>
      </c>
      <c r="R202" s="2" t="inlineStr"/>
    </row>
    <row r="203" ht="15" customHeight="1">
      <c r="A203" t="inlineStr">
        <is>
          <t>A 55249-2020</t>
        </is>
      </c>
      <c r="B203" s="1" t="n">
        <v>44130</v>
      </c>
      <c r="C203" s="1" t="n">
        <v>45795</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56071-2020</t>
        </is>
      </c>
      <c r="B204" s="1" t="n">
        <v>44133</v>
      </c>
      <c r="C204" s="1" t="n">
        <v>45795</v>
      </c>
      <c r="D204" t="inlineStr">
        <is>
          <t>DALARNAS LÄN</t>
        </is>
      </c>
      <c r="E204" t="inlineStr">
        <is>
          <t>MORA</t>
        </is>
      </c>
      <c r="G204" t="n">
        <v>6.6</v>
      </c>
      <c r="H204" t="n">
        <v>0</v>
      </c>
      <c r="I204" t="n">
        <v>0</v>
      </c>
      <c r="J204" t="n">
        <v>0</v>
      </c>
      <c r="K204" t="n">
        <v>0</v>
      </c>
      <c r="L204" t="n">
        <v>0</v>
      </c>
      <c r="M204" t="n">
        <v>0</v>
      </c>
      <c r="N204" t="n">
        <v>0</v>
      </c>
      <c r="O204" t="n">
        <v>0</v>
      </c>
      <c r="P204" t="n">
        <v>0</v>
      </c>
      <c r="Q204" t="n">
        <v>0</v>
      </c>
      <c r="R204" s="2" t="inlineStr"/>
    </row>
    <row r="205" ht="15" customHeight="1">
      <c r="A205" t="inlineStr">
        <is>
          <t>A 56501-2020</t>
        </is>
      </c>
      <c r="B205" s="1" t="n">
        <v>44137</v>
      </c>
      <c r="C205" s="1" t="n">
        <v>45795</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56976-2020</t>
        </is>
      </c>
      <c r="B206" s="1" t="n">
        <v>44138</v>
      </c>
      <c r="C206" s="1" t="n">
        <v>45795</v>
      </c>
      <c r="D206" t="inlineStr">
        <is>
          <t>DALARNAS LÄN</t>
        </is>
      </c>
      <c r="E206" t="inlineStr">
        <is>
          <t>MORA</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56974-2020</t>
        </is>
      </c>
      <c r="B207" s="1" t="n">
        <v>44138</v>
      </c>
      <c r="C207" s="1" t="n">
        <v>45795</v>
      </c>
      <c r="D207" t="inlineStr">
        <is>
          <t>DALARNAS LÄN</t>
        </is>
      </c>
      <c r="E207" t="inlineStr">
        <is>
          <t>MORA</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57268-2020</t>
        </is>
      </c>
      <c r="B208" s="1" t="n">
        <v>44139</v>
      </c>
      <c r="C208" s="1" t="n">
        <v>45795</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57848-2020</t>
        </is>
      </c>
      <c r="B209" s="1" t="n">
        <v>44141</v>
      </c>
      <c r="C209" s="1" t="n">
        <v>45795</v>
      </c>
      <c r="D209" t="inlineStr">
        <is>
          <t>DALARNAS LÄN</t>
        </is>
      </c>
      <c r="E209" t="inlineStr">
        <is>
          <t>MORA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57926-2020</t>
        </is>
      </c>
      <c r="B210" s="1" t="n">
        <v>44141</v>
      </c>
      <c r="C210" s="1" t="n">
        <v>45795</v>
      </c>
      <c r="D210" t="inlineStr">
        <is>
          <t>DALARNAS LÄN</t>
        </is>
      </c>
      <c r="E210" t="inlineStr">
        <is>
          <t>MORA</t>
        </is>
      </c>
      <c r="F210" t="inlineStr">
        <is>
          <t>Bergvik skog väst AB</t>
        </is>
      </c>
      <c r="G210" t="n">
        <v>13.1</v>
      </c>
      <c r="H210" t="n">
        <v>0</v>
      </c>
      <c r="I210" t="n">
        <v>0</v>
      </c>
      <c r="J210" t="n">
        <v>0</v>
      </c>
      <c r="K210" t="n">
        <v>0</v>
      </c>
      <c r="L210" t="n">
        <v>0</v>
      </c>
      <c r="M210" t="n">
        <v>0</v>
      </c>
      <c r="N210" t="n">
        <v>0</v>
      </c>
      <c r="O210" t="n">
        <v>0</v>
      </c>
      <c r="P210" t="n">
        <v>0</v>
      </c>
      <c r="Q210" t="n">
        <v>0</v>
      </c>
      <c r="R210" s="2" t="inlineStr"/>
    </row>
    <row r="211" ht="15" customHeight="1">
      <c r="A211" t="inlineStr">
        <is>
          <t>A 60250-2020</t>
        </is>
      </c>
      <c r="B211" s="1" t="n">
        <v>44152</v>
      </c>
      <c r="C211" s="1" t="n">
        <v>45795</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61338-2020</t>
        </is>
      </c>
      <c r="B212" s="1" t="n">
        <v>44155</v>
      </c>
      <c r="C212" s="1" t="n">
        <v>45795</v>
      </c>
      <c r="D212" t="inlineStr">
        <is>
          <t>DALARNAS LÄN</t>
        </is>
      </c>
      <c r="E212" t="inlineStr">
        <is>
          <t>MORA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62301-2020</t>
        </is>
      </c>
      <c r="B213" s="1" t="n">
        <v>44160</v>
      </c>
      <c r="C213" s="1" t="n">
        <v>45795</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62266-2020</t>
        </is>
      </c>
      <c r="B214" s="1" t="n">
        <v>44160</v>
      </c>
      <c r="C214" s="1" t="n">
        <v>45795</v>
      </c>
      <c r="D214" t="inlineStr">
        <is>
          <t>DALARNAS LÄN</t>
        </is>
      </c>
      <c r="E214" t="inlineStr">
        <is>
          <t>MORA</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62268-2020</t>
        </is>
      </c>
      <c r="B215" s="1" t="n">
        <v>44160</v>
      </c>
      <c r="C215" s="1" t="n">
        <v>45795</v>
      </c>
      <c r="D215" t="inlineStr">
        <is>
          <t>DALARNAS LÄN</t>
        </is>
      </c>
      <c r="E215" t="inlineStr">
        <is>
          <t>MORA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65301-2020</t>
        </is>
      </c>
      <c r="B216" s="1" t="n">
        <v>44169</v>
      </c>
      <c r="C216" s="1" t="n">
        <v>45795</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67028-2020</t>
        </is>
      </c>
      <c r="B217" s="1" t="n">
        <v>44180</v>
      </c>
      <c r="C217" s="1" t="n">
        <v>45795</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66990-2020</t>
        </is>
      </c>
      <c r="B218" s="1" t="n">
        <v>44180</v>
      </c>
      <c r="C218" s="1" t="n">
        <v>45795</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68468-2020</t>
        </is>
      </c>
      <c r="B219" s="1" t="n">
        <v>44186</v>
      </c>
      <c r="C219" s="1" t="n">
        <v>45795</v>
      </c>
      <c r="D219" t="inlineStr">
        <is>
          <t>DALARNAS LÄN</t>
        </is>
      </c>
      <c r="E219" t="inlineStr">
        <is>
          <t>MORA</t>
        </is>
      </c>
      <c r="F219" t="inlineStr">
        <is>
          <t>Bergvik skog öst AB</t>
        </is>
      </c>
      <c r="G219" t="n">
        <v>6.5</v>
      </c>
      <c r="H219" t="n">
        <v>0</v>
      </c>
      <c r="I219" t="n">
        <v>0</v>
      </c>
      <c r="J219" t="n">
        <v>0</v>
      </c>
      <c r="K219" t="n">
        <v>0</v>
      </c>
      <c r="L219" t="n">
        <v>0</v>
      </c>
      <c r="M219" t="n">
        <v>0</v>
      </c>
      <c r="N219" t="n">
        <v>0</v>
      </c>
      <c r="O219" t="n">
        <v>0</v>
      </c>
      <c r="P219" t="n">
        <v>0</v>
      </c>
      <c r="Q219" t="n">
        <v>0</v>
      </c>
      <c r="R219" s="2" t="inlineStr"/>
    </row>
    <row r="220" ht="15" customHeight="1">
      <c r="A220" t="inlineStr">
        <is>
          <t>A 68832-2020</t>
        </is>
      </c>
      <c r="B220" s="1" t="n">
        <v>44187</v>
      </c>
      <c r="C220" s="1" t="n">
        <v>45795</v>
      </c>
      <c r="D220" t="inlineStr">
        <is>
          <t>DALARNAS LÄN</t>
        </is>
      </c>
      <c r="E220" t="inlineStr">
        <is>
          <t>MORA</t>
        </is>
      </c>
      <c r="G220" t="n">
        <v>7.7</v>
      </c>
      <c r="H220" t="n">
        <v>0</v>
      </c>
      <c r="I220" t="n">
        <v>0</v>
      </c>
      <c r="J220" t="n">
        <v>0</v>
      </c>
      <c r="K220" t="n">
        <v>0</v>
      </c>
      <c r="L220" t="n">
        <v>0</v>
      </c>
      <c r="M220" t="n">
        <v>0</v>
      </c>
      <c r="N220" t="n">
        <v>0</v>
      </c>
      <c r="O220" t="n">
        <v>0</v>
      </c>
      <c r="P220" t="n">
        <v>0</v>
      </c>
      <c r="Q220" t="n">
        <v>0</v>
      </c>
      <c r="R220" s="2" t="inlineStr"/>
    </row>
    <row r="221" ht="15" customHeight="1">
      <c r="A221" t="inlineStr">
        <is>
          <t>A 69517-2020</t>
        </is>
      </c>
      <c r="B221" s="1" t="n">
        <v>44194</v>
      </c>
      <c r="C221" s="1" t="n">
        <v>45795</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69519-2020</t>
        </is>
      </c>
      <c r="B222" s="1" t="n">
        <v>44194</v>
      </c>
      <c r="C222" s="1" t="n">
        <v>45795</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655-2021</t>
        </is>
      </c>
      <c r="B223" s="1" t="n">
        <v>44203</v>
      </c>
      <c r="C223" s="1" t="n">
        <v>45795</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768-2021</t>
        </is>
      </c>
      <c r="B224" s="1" t="n">
        <v>44203</v>
      </c>
      <c r="C224" s="1" t="n">
        <v>45795</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770-2021</t>
        </is>
      </c>
      <c r="B225" s="1" t="n">
        <v>44203</v>
      </c>
      <c r="C225" s="1" t="n">
        <v>45795</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782-2021</t>
        </is>
      </c>
      <c r="B226" s="1" t="n">
        <v>44203</v>
      </c>
      <c r="C226" s="1" t="n">
        <v>45795</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787-2021</t>
        </is>
      </c>
      <c r="B227" s="1" t="n">
        <v>44203</v>
      </c>
      <c r="C227" s="1" t="n">
        <v>45795</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657-2021</t>
        </is>
      </c>
      <c r="B228" s="1" t="n">
        <v>44203</v>
      </c>
      <c r="C228" s="1" t="n">
        <v>45795</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769-2021</t>
        </is>
      </c>
      <c r="B229" s="1" t="n">
        <v>44203</v>
      </c>
      <c r="C229" s="1" t="n">
        <v>45795</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790-2021</t>
        </is>
      </c>
      <c r="B230" s="1" t="n">
        <v>44203</v>
      </c>
      <c r="C230" s="1" t="n">
        <v>45795</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837-2021</t>
        </is>
      </c>
      <c r="B231" s="1" t="n">
        <v>44204</v>
      </c>
      <c r="C231" s="1" t="n">
        <v>45795</v>
      </c>
      <c r="D231" t="inlineStr">
        <is>
          <t>DALARNAS LÄN</t>
        </is>
      </c>
      <c r="E231" t="inlineStr">
        <is>
          <t>MORA</t>
        </is>
      </c>
      <c r="G231" t="n">
        <v>10.4</v>
      </c>
      <c r="H231" t="n">
        <v>0</v>
      </c>
      <c r="I231" t="n">
        <v>0</v>
      </c>
      <c r="J231" t="n">
        <v>0</v>
      </c>
      <c r="K231" t="n">
        <v>0</v>
      </c>
      <c r="L231" t="n">
        <v>0</v>
      </c>
      <c r="M231" t="n">
        <v>0</v>
      </c>
      <c r="N231" t="n">
        <v>0</v>
      </c>
      <c r="O231" t="n">
        <v>0</v>
      </c>
      <c r="P231" t="n">
        <v>0</v>
      </c>
      <c r="Q231" t="n">
        <v>0</v>
      </c>
      <c r="R231" s="2" t="inlineStr"/>
    </row>
    <row r="232" ht="15" customHeight="1">
      <c r="A232" t="inlineStr">
        <is>
          <t>A 1951-2021</t>
        </is>
      </c>
      <c r="B232" s="1" t="n">
        <v>44210</v>
      </c>
      <c r="C232" s="1" t="n">
        <v>45795</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8064-2021</t>
        </is>
      </c>
      <c r="B233" s="1" t="n">
        <v>44243</v>
      </c>
      <c r="C233" s="1" t="n">
        <v>45795</v>
      </c>
      <c r="D233" t="inlineStr">
        <is>
          <t>DALARNAS LÄN</t>
        </is>
      </c>
      <c r="E233" t="inlineStr">
        <is>
          <t>MORA</t>
        </is>
      </c>
      <c r="G233" t="n">
        <v>4</v>
      </c>
      <c r="H233" t="n">
        <v>0</v>
      </c>
      <c r="I233" t="n">
        <v>0</v>
      </c>
      <c r="J233" t="n">
        <v>0</v>
      </c>
      <c r="K233" t="n">
        <v>0</v>
      </c>
      <c r="L233" t="n">
        <v>0</v>
      </c>
      <c r="M233" t="n">
        <v>0</v>
      </c>
      <c r="N233" t="n">
        <v>0</v>
      </c>
      <c r="O233" t="n">
        <v>0</v>
      </c>
      <c r="P233" t="n">
        <v>0</v>
      </c>
      <c r="Q233" t="n">
        <v>0</v>
      </c>
      <c r="R233" s="2" t="inlineStr"/>
    </row>
    <row r="234" ht="15" customHeight="1">
      <c r="A234" t="inlineStr">
        <is>
          <t>A 8146-2021</t>
        </is>
      </c>
      <c r="B234" s="1" t="n">
        <v>44244</v>
      </c>
      <c r="C234" s="1" t="n">
        <v>45795</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8153-2021</t>
        </is>
      </c>
      <c r="B235" s="1" t="n">
        <v>44244</v>
      </c>
      <c r="C235" s="1" t="n">
        <v>45795</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12151-2021</t>
        </is>
      </c>
      <c r="B236" s="1" t="n">
        <v>44266</v>
      </c>
      <c r="C236" s="1" t="n">
        <v>45795</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16840-2021</t>
        </is>
      </c>
      <c r="B237" s="1" t="n">
        <v>44295</v>
      </c>
      <c r="C237" s="1" t="n">
        <v>45795</v>
      </c>
      <c r="D237" t="inlineStr">
        <is>
          <t>DALARNAS LÄN</t>
        </is>
      </c>
      <c r="E237" t="inlineStr">
        <is>
          <t>MORA</t>
        </is>
      </c>
      <c r="G237" t="n">
        <v>11.5</v>
      </c>
      <c r="H237" t="n">
        <v>0</v>
      </c>
      <c r="I237" t="n">
        <v>0</v>
      </c>
      <c r="J237" t="n">
        <v>0</v>
      </c>
      <c r="K237" t="n">
        <v>0</v>
      </c>
      <c r="L237" t="n">
        <v>0</v>
      </c>
      <c r="M237" t="n">
        <v>0</v>
      </c>
      <c r="N237" t="n">
        <v>0</v>
      </c>
      <c r="O237" t="n">
        <v>0</v>
      </c>
      <c r="P237" t="n">
        <v>0</v>
      </c>
      <c r="Q237" t="n">
        <v>0</v>
      </c>
      <c r="R237" s="2" t="inlineStr"/>
    </row>
    <row r="238" ht="15" customHeight="1">
      <c r="A238" t="inlineStr">
        <is>
          <t>A 17915-2021</t>
        </is>
      </c>
      <c r="B238" s="1" t="n">
        <v>44301</v>
      </c>
      <c r="C238" s="1" t="n">
        <v>45795</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17904-2021</t>
        </is>
      </c>
      <c r="B239" s="1" t="n">
        <v>44301</v>
      </c>
      <c r="C239" s="1" t="n">
        <v>45795</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19383-2021</t>
        </is>
      </c>
      <c r="B240" s="1" t="n">
        <v>44309</v>
      </c>
      <c r="C240" s="1" t="n">
        <v>45795</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19896-2021</t>
        </is>
      </c>
      <c r="B241" s="1" t="n">
        <v>44313</v>
      </c>
      <c r="C241" s="1" t="n">
        <v>45795</v>
      </c>
      <c r="D241" t="inlineStr">
        <is>
          <t>DALARNAS LÄN</t>
        </is>
      </c>
      <c r="E241" t="inlineStr">
        <is>
          <t>MORA</t>
        </is>
      </c>
      <c r="G241" t="n">
        <v>1.8</v>
      </c>
      <c r="H241" t="n">
        <v>0</v>
      </c>
      <c r="I241" t="n">
        <v>0</v>
      </c>
      <c r="J241" t="n">
        <v>0</v>
      </c>
      <c r="K241" t="n">
        <v>0</v>
      </c>
      <c r="L241" t="n">
        <v>0</v>
      </c>
      <c r="M241" t="n">
        <v>0</v>
      </c>
      <c r="N241" t="n">
        <v>0</v>
      </c>
      <c r="O241" t="n">
        <v>0</v>
      </c>
      <c r="P241" t="n">
        <v>0</v>
      </c>
      <c r="Q241" t="n">
        <v>0</v>
      </c>
      <c r="R241" s="2" t="inlineStr"/>
    </row>
    <row r="242" ht="15" customHeight="1">
      <c r="A242" t="inlineStr">
        <is>
          <t>A 20125-2021</t>
        </is>
      </c>
      <c r="B242" s="1" t="n">
        <v>44314</v>
      </c>
      <c r="C242" s="1" t="n">
        <v>45795</v>
      </c>
      <c r="D242" t="inlineStr">
        <is>
          <t>DALARNAS LÄN</t>
        </is>
      </c>
      <c r="E242" t="inlineStr">
        <is>
          <t>MORA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22931-2021</t>
        </is>
      </c>
      <c r="B243" s="1" t="n">
        <v>44326</v>
      </c>
      <c r="C243" s="1" t="n">
        <v>45795</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24465-2021</t>
        </is>
      </c>
      <c r="B244" s="1" t="n">
        <v>44337</v>
      </c>
      <c r="C244" s="1" t="n">
        <v>45795</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26314-2021</t>
        </is>
      </c>
      <c r="B245" s="1" t="n">
        <v>44347</v>
      </c>
      <c r="C245" s="1" t="n">
        <v>45795</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29697-2021</t>
        </is>
      </c>
      <c r="B246" s="1" t="n">
        <v>44362</v>
      </c>
      <c r="C246" s="1" t="n">
        <v>45795</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30030-2021</t>
        </is>
      </c>
      <c r="B247" s="1" t="n">
        <v>44363</v>
      </c>
      <c r="C247" s="1" t="n">
        <v>45795</v>
      </c>
      <c r="D247" t="inlineStr">
        <is>
          <t>DALARNAS LÄN</t>
        </is>
      </c>
      <c r="E247" t="inlineStr">
        <is>
          <t>MORA</t>
        </is>
      </c>
      <c r="G247" t="n">
        <v>7.1</v>
      </c>
      <c r="H247" t="n">
        <v>0</v>
      </c>
      <c r="I247" t="n">
        <v>0</v>
      </c>
      <c r="J247" t="n">
        <v>0</v>
      </c>
      <c r="K247" t="n">
        <v>0</v>
      </c>
      <c r="L247" t="n">
        <v>0</v>
      </c>
      <c r="M247" t="n">
        <v>0</v>
      </c>
      <c r="N247" t="n">
        <v>0</v>
      </c>
      <c r="O247" t="n">
        <v>0</v>
      </c>
      <c r="P247" t="n">
        <v>0</v>
      </c>
      <c r="Q247" t="n">
        <v>0</v>
      </c>
      <c r="R247" s="2" t="inlineStr"/>
    </row>
    <row r="248" ht="15" customHeight="1">
      <c r="A248" t="inlineStr">
        <is>
          <t>A 30895-2021</t>
        </is>
      </c>
      <c r="B248" s="1" t="n">
        <v>44365</v>
      </c>
      <c r="C248" s="1" t="n">
        <v>45795</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30888-2021</t>
        </is>
      </c>
      <c r="B249" s="1" t="n">
        <v>44365</v>
      </c>
      <c r="C249" s="1" t="n">
        <v>45795</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30905-2021</t>
        </is>
      </c>
      <c r="B250" s="1" t="n">
        <v>44365</v>
      </c>
      <c r="C250" s="1" t="n">
        <v>45795</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31169-2021</t>
        </is>
      </c>
      <c r="B251" s="1" t="n">
        <v>44368</v>
      </c>
      <c r="C251" s="1" t="n">
        <v>45795</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31177-2021</t>
        </is>
      </c>
      <c r="B252" s="1" t="n">
        <v>44368</v>
      </c>
      <c r="C252" s="1" t="n">
        <v>45795</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31689-2021</t>
        </is>
      </c>
      <c r="B253" s="1" t="n">
        <v>44369</v>
      </c>
      <c r="C253" s="1" t="n">
        <v>45795</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31705-2021</t>
        </is>
      </c>
      <c r="B254" s="1" t="n">
        <v>44369</v>
      </c>
      <c r="C254" s="1" t="n">
        <v>45795</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34018-2021</t>
        </is>
      </c>
      <c r="B255" s="1" t="n">
        <v>44379</v>
      </c>
      <c r="C255" s="1" t="n">
        <v>45795</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34660-2021</t>
        </is>
      </c>
      <c r="B256" s="1" t="n">
        <v>44382</v>
      </c>
      <c r="C256" s="1" t="n">
        <v>45795</v>
      </c>
      <c r="D256" t="inlineStr">
        <is>
          <t>DALARNAS LÄN</t>
        </is>
      </c>
      <c r="E256" t="inlineStr">
        <is>
          <t>MORA</t>
        </is>
      </c>
      <c r="G256" t="n">
        <v>7.5</v>
      </c>
      <c r="H256" t="n">
        <v>0</v>
      </c>
      <c r="I256" t="n">
        <v>0</v>
      </c>
      <c r="J256" t="n">
        <v>0</v>
      </c>
      <c r="K256" t="n">
        <v>0</v>
      </c>
      <c r="L256" t="n">
        <v>0</v>
      </c>
      <c r="M256" t="n">
        <v>0</v>
      </c>
      <c r="N256" t="n">
        <v>0</v>
      </c>
      <c r="O256" t="n">
        <v>0</v>
      </c>
      <c r="P256" t="n">
        <v>0</v>
      </c>
      <c r="Q256" t="n">
        <v>0</v>
      </c>
      <c r="R256" s="2" t="inlineStr"/>
    </row>
    <row r="257" ht="15" customHeight="1">
      <c r="A257" t="inlineStr">
        <is>
          <t>A 34715-2021</t>
        </is>
      </c>
      <c r="B257" s="1" t="n">
        <v>44382</v>
      </c>
      <c r="C257" s="1" t="n">
        <v>45795</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34875-2021</t>
        </is>
      </c>
      <c r="B258" s="1" t="n">
        <v>44383</v>
      </c>
      <c r="C258" s="1" t="n">
        <v>45795</v>
      </c>
      <c r="D258" t="inlineStr">
        <is>
          <t>DALARNAS LÄN</t>
        </is>
      </c>
      <c r="E258" t="inlineStr">
        <is>
          <t>MORA</t>
        </is>
      </c>
      <c r="G258" t="n">
        <v>5.2</v>
      </c>
      <c r="H258" t="n">
        <v>0</v>
      </c>
      <c r="I258" t="n">
        <v>0</v>
      </c>
      <c r="J258" t="n">
        <v>0</v>
      </c>
      <c r="K258" t="n">
        <v>0</v>
      </c>
      <c r="L258" t="n">
        <v>0</v>
      </c>
      <c r="M258" t="n">
        <v>0</v>
      </c>
      <c r="N258" t="n">
        <v>0</v>
      </c>
      <c r="O258" t="n">
        <v>0</v>
      </c>
      <c r="P258" t="n">
        <v>0</v>
      </c>
      <c r="Q258" t="n">
        <v>0</v>
      </c>
      <c r="R258" s="2" t="inlineStr"/>
    </row>
    <row r="259" ht="15" customHeight="1">
      <c r="A259" t="inlineStr">
        <is>
          <t>A 35005-2021</t>
        </is>
      </c>
      <c r="B259" s="1" t="n">
        <v>44383</v>
      </c>
      <c r="C259" s="1" t="n">
        <v>45795</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36168-2021</t>
        </is>
      </c>
      <c r="B260" s="1" t="n">
        <v>44389</v>
      </c>
      <c r="C260" s="1" t="n">
        <v>45795</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45795</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36173-2021</t>
        </is>
      </c>
      <c r="B262" s="1" t="n">
        <v>44389</v>
      </c>
      <c r="C262" s="1" t="n">
        <v>45795</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38769-2021</t>
        </is>
      </c>
      <c r="B263" s="1" t="n">
        <v>44410</v>
      </c>
      <c r="C263" s="1" t="n">
        <v>45795</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39227-2021</t>
        </is>
      </c>
      <c r="B264" s="1" t="n">
        <v>44413</v>
      </c>
      <c r="C264" s="1" t="n">
        <v>45795</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39198-2021</t>
        </is>
      </c>
      <c r="B265" s="1" t="n">
        <v>44413</v>
      </c>
      <c r="C265" s="1" t="n">
        <v>45795</v>
      </c>
      <c r="D265" t="inlineStr">
        <is>
          <t>DALARNAS LÄN</t>
        </is>
      </c>
      <c r="E265" t="inlineStr">
        <is>
          <t>MORA</t>
        </is>
      </c>
      <c r="G265" t="n">
        <v>4.6</v>
      </c>
      <c r="H265" t="n">
        <v>0</v>
      </c>
      <c r="I265" t="n">
        <v>0</v>
      </c>
      <c r="J265" t="n">
        <v>0</v>
      </c>
      <c r="K265" t="n">
        <v>0</v>
      </c>
      <c r="L265" t="n">
        <v>0</v>
      </c>
      <c r="M265" t="n">
        <v>0</v>
      </c>
      <c r="N265" t="n">
        <v>0</v>
      </c>
      <c r="O265" t="n">
        <v>0</v>
      </c>
      <c r="P265" t="n">
        <v>0</v>
      </c>
      <c r="Q265" t="n">
        <v>0</v>
      </c>
      <c r="R265" s="2" t="inlineStr"/>
    </row>
    <row r="266" ht="15" customHeight="1">
      <c r="A266" t="inlineStr">
        <is>
          <t>A 39672-2021</t>
        </is>
      </c>
      <c r="B266" s="1" t="n">
        <v>44417</v>
      </c>
      <c r="C266" s="1" t="n">
        <v>45795</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41022-2021</t>
        </is>
      </c>
      <c r="B267" s="1" t="n">
        <v>44421</v>
      </c>
      <c r="C267" s="1" t="n">
        <v>45795</v>
      </c>
      <c r="D267" t="inlineStr">
        <is>
          <t>DALARNAS LÄN</t>
        </is>
      </c>
      <c r="E267" t="inlineStr">
        <is>
          <t>MORA</t>
        </is>
      </c>
      <c r="G267" t="n">
        <v>11.9</v>
      </c>
      <c r="H267" t="n">
        <v>0</v>
      </c>
      <c r="I267" t="n">
        <v>0</v>
      </c>
      <c r="J267" t="n">
        <v>0</v>
      </c>
      <c r="K267" t="n">
        <v>0</v>
      </c>
      <c r="L267" t="n">
        <v>0</v>
      </c>
      <c r="M267" t="n">
        <v>0</v>
      </c>
      <c r="N267" t="n">
        <v>0</v>
      </c>
      <c r="O267" t="n">
        <v>0</v>
      </c>
      <c r="P267" t="n">
        <v>0</v>
      </c>
      <c r="Q267" t="n">
        <v>0</v>
      </c>
      <c r="R267" s="2" t="inlineStr"/>
    </row>
    <row r="268" ht="15" customHeight="1">
      <c r="A268" t="inlineStr">
        <is>
          <t>A 41028-2021</t>
        </is>
      </c>
      <c r="B268" s="1" t="n">
        <v>44421</v>
      </c>
      <c r="C268" s="1" t="n">
        <v>45795</v>
      </c>
      <c r="D268" t="inlineStr">
        <is>
          <t>DALARNAS LÄN</t>
        </is>
      </c>
      <c r="E268" t="inlineStr">
        <is>
          <t>MORA</t>
        </is>
      </c>
      <c r="G268" t="n">
        <v>7.2</v>
      </c>
      <c r="H268" t="n">
        <v>0</v>
      </c>
      <c r="I268" t="n">
        <v>0</v>
      </c>
      <c r="J268" t="n">
        <v>0</v>
      </c>
      <c r="K268" t="n">
        <v>0</v>
      </c>
      <c r="L268" t="n">
        <v>0</v>
      </c>
      <c r="M268" t="n">
        <v>0</v>
      </c>
      <c r="N268" t="n">
        <v>0</v>
      </c>
      <c r="O268" t="n">
        <v>0</v>
      </c>
      <c r="P268" t="n">
        <v>0</v>
      </c>
      <c r="Q268" t="n">
        <v>0</v>
      </c>
      <c r="R268" s="2" t="inlineStr"/>
    </row>
    <row r="269" ht="15" customHeight="1">
      <c r="A269" t="inlineStr">
        <is>
          <t>A 41032-2021</t>
        </is>
      </c>
      <c r="B269" s="1" t="n">
        <v>44421</v>
      </c>
      <c r="C269" s="1" t="n">
        <v>45795</v>
      </c>
      <c r="D269" t="inlineStr">
        <is>
          <t>DALARNAS LÄN</t>
        </is>
      </c>
      <c r="E269" t="inlineStr">
        <is>
          <t>MORA</t>
        </is>
      </c>
      <c r="G269" t="n">
        <v>4.1</v>
      </c>
      <c r="H269" t="n">
        <v>0</v>
      </c>
      <c r="I269" t="n">
        <v>0</v>
      </c>
      <c r="J269" t="n">
        <v>0</v>
      </c>
      <c r="K269" t="n">
        <v>0</v>
      </c>
      <c r="L269" t="n">
        <v>0</v>
      </c>
      <c r="M269" t="n">
        <v>0</v>
      </c>
      <c r="N269" t="n">
        <v>0</v>
      </c>
      <c r="O269" t="n">
        <v>0</v>
      </c>
      <c r="P269" t="n">
        <v>0</v>
      </c>
      <c r="Q269" t="n">
        <v>0</v>
      </c>
      <c r="R269" s="2" t="inlineStr"/>
    </row>
    <row r="270" ht="15" customHeight="1">
      <c r="A270" t="inlineStr">
        <is>
          <t>A 41121-2021</t>
        </is>
      </c>
      <c r="B270" s="1" t="n">
        <v>44423</v>
      </c>
      <c r="C270" s="1" t="n">
        <v>45795</v>
      </c>
      <c r="D270" t="inlineStr">
        <is>
          <t>DALARNAS LÄN</t>
        </is>
      </c>
      <c r="E270" t="inlineStr">
        <is>
          <t>MORA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42508-2021</t>
        </is>
      </c>
      <c r="B271" s="1" t="n">
        <v>44427</v>
      </c>
      <c r="C271" s="1" t="n">
        <v>45795</v>
      </c>
      <c r="D271" t="inlineStr">
        <is>
          <t>DALARNAS LÄN</t>
        </is>
      </c>
      <c r="E271" t="inlineStr">
        <is>
          <t>MORA</t>
        </is>
      </c>
      <c r="G271" t="n">
        <v>1.3</v>
      </c>
      <c r="H271" t="n">
        <v>0</v>
      </c>
      <c r="I271" t="n">
        <v>0</v>
      </c>
      <c r="J271" t="n">
        <v>0</v>
      </c>
      <c r="K271" t="n">
        <v>0</v>
      </c>
      <c r="L271" t="n">
        <v>0</v>
      </c>
      <c r="M271" t="n">
        <v>0</v>
      </c>
      <c r="N271" t="n">
        <v>0</v>
      </c>
      <c r="O271" t="n">
        <v>0</v>
      </c>
      <c r="P271" t="n">
        <v>0</v>
      </c>
      <c r="Q271" t="n">
        <v>0</v>
      </c>
      <c r="R271" s="2" t="inlineStr"/>
    </row>
    <row r="272" ht="15" customHeight="1">
      <c r="A272" t="inlineStr">
        <is>
          <t>A 42505-2021</t>
        </is>
      </c>
      <c r="B272" s="1" t="n">
        <v>44427</v>
      </c>
      <c r="C272" s="1" t="n">
        <v>45795</v>
      </c>
      <c r="D272" t="inlineStr">
        <is>
          <t>DALARNAS LÄN</t>
        </is>
      </c>
      <c r="E272" t="inlineStr">
        <is>
          <t>MORA</t>
        </is>
      </c>
      <c r="G272" t="n">
        <v>0.9</v>
      </c>
      <c r="H272" t="n">
        <v>0</v>
      </c>
      <c r="I272" t="n">
        <v>0</v>
      </c>
      <c r="J272" t="n">
        <v>0</v>
      </c>
      <c r="K272" t="n">
        <v>0</v>
      </c>
      <c r="L272" t="n">
        <v>0</v>
      </c>
      <c r="M272" t="n">
        <v>0</v>
      </c>
      <c r="N272" t="n">
        <v>0</v>
      </c>
      <c r="O272" t="n">
        <v>0</v>
      </c>
      <c r="P272" t="n">
        <v>0</v>
      </c>
      <c r="Q272" t="n">
        <v>0</v>
      </c>
      <c r="R272" s="2" t="inlineStr"/>
    </row>
    <row r="273" ht="15" customHeight="1">
      <c r="A273" t="inlineStr">
        <is>
          <t>A 43458-2021</t>
        </is>
      </c>
      <c r="B273" s="1" t="n">
        <v>44432</v>
      </c>
      <c r="C273" s="1" t="n">
        <v>45795</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44307-2021</t>
        </is>
      </c>
      <c r="B274" s="1" t="n">
        <v>44435</v>
      </c>
      <c r="C274" s="1" t="n">
        <v>45795</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44756-2021</t>
        </is>
      </c>
      <c r="B275" s="1" t="n">
        <v>44438</v>
      </c>
      <c r="C275" s="1" t="n">
        <v>45795</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44769-2021</t>
        </is>
      </c>
      <c r="B276" s="1" t="n">
        <v>44438</v>
      </c>
      <c r="C276" s="1" t="n">
        <v>45795</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44765-2021</t>
        </is>
      </c>
      <c r="B277" s="1" t="n">
        <v>44438</v>
      </c>
      <c r="C277" s="1" t="n">
        <v>45795</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45453-2021</t>
        </is>
      </c>
      <c r="B278" s="1" t="n">
        <v>44440</v>
      </c>
      <c r="C278" s="1" t="n">
        <v>45795</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45765-2021</t>
        </is>
      </c>
      <c r="B279" s="1" t="n">
        <v>44441</v>
      </c>
      <c r="C279" s="1" t="n">
        <v>45795</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45770-2021</t>
        </is>
      </c>
      <c r="B280" s="1" t="n">
        <v>44441</v>
      </c>
      <c r="C280" s="1" t="n">
        <v>45795</v>
      </c>
      <c r="D280" t="inlineStr">
        <is>
          <t>DALARNAS LÄN</t>
        </is>
      </c>
      <c r="E280" t="inlineStr">
        <is>
          <t>MORA</t>
        </is>
      </c>
      <c r="G280" t="n">
        <v>23.1</v>
      </c>
      <c r="H280" t="n">
        <v>0</v>
      </c>
      <c r="I280" t="n">
        <v>0</v>
      </c>
      <c r="J280" t="n">
        <v>0</v>
      </c>
      <c r="K280" t="n">
        <v>0</v>
      </c>
      <c r="L280" t="n">
        <v>0</v>
      </c>
      <c r="M280" t="n">
        <v>0</v>
      </c>
      <c r="N280" t="n">
        <v>0</v>
      </c>
      <c r="O280" t="n">
        <v>0</v>
      </c>
      <c r="P280" t="n">
        <v>0</v>
      </c>
      <c r="Q280" t="n">
        <v>0</v>
      </c>
      <c r="R280" s="2" t="inlineStr"/>
    </row>
    <row r="281" ht="15" customHeight="1">
      <c r="A281" t="inlineStr">
        <is>
          <t>A 47477-2021</t>
        </is>
      </c>
      <c r="B281" s="1" t="n">
        <v>44447</v>
      </c>
      <c r="C281" s="1" t="n">
        <v>45795</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48000-2021</t>
        </is>
      </c>
      <c r="B282" s="1" t="n">
        <v>44449</v>
      </c>
      <c r="C282" s="1" t="n">
        <v>45795</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48354-2021</t>
        </is>
      </c>
      <c r="B283" s="1" t="n">
        <v>44451</v>
      </c>
      <c r="C283" s="1" t="n">
        <v>45795</v>
      </c>
      <c r="D283" t="inlineStr">
        <is>
          <t>DALARNAS LÄN</t>
        </is>
      </c>
      <c r="E283" t="inlineStr">
        <is>
          <t>MORA</t>
        </is>
      </c>
      <c r="F283" t="inlineStr">
        <is>
          <t>Bergvik skog öst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49572-2021</t>
        </is>
      </c>
      <c r="B284" s="1" t="n">
        <v>44455</v>
      </c>
      <c r="C284" s="1" t="n">
        <v>45795</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49583-2021</t>
        </is>
      </c>
      <c r="B285" s="1" t="n">
        <v>44455</v>
      </c>
      <c r="C285" s="1" t="n">
        <v>45795</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49578-2021</t>
        </is>
      </c>
      <c r="B286" s="1" t="n">
        <v>44455</v>
      </c>
      <c r="C286" s="1" t="n">
        <v>45795</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50255-2021</t>
        </is>
      </c>
      <c r="B287" s="1" t="n">
        <v>44458</v>
      </c>
      <c r="C287" s="1" t="n">
        <v>45795</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50620-2021</t>
        </is>
      </c>
      <c r="B288" s="1" t="n">
        <v>44459</v>
      </c>
      <c r="C288" s="1" t="n">
        <v>45795</v>
      </c>
      <c r="D288" t="inlineStr">
        <is>
          <t>DALARNAS LÄN</t>
        </is>
      </c>
      <c r="E288" t="inlineStr">
        <is>
          <t>MORA</t>
        </is>
      </c>
      <c r="G288" t="n">
        <v>4.4</v>
      </c>
      <c r="H288" t="n">
        <v>0</v>
      </c>
      <c r="I288" t="n">
        <v>0</v>
      </c>
      <c r="J288" t="n">
        <v>0</v>
      </c>
      <c r="K288" t="n">
        <v>0</v>
      </c>
      <c r="L288" t="n">
        <v>0</v>
      </c>
      <c r="M288" t="n">
        <v>0</v>
      </c>
      <c r="N288" t="n">
        <v>0</v>
      </c>
      <c r="O288" t="n">
        <v>0</v>
      </c>
      <c r="P288" t="n">
        <v>0</v>
      </c>
      <c r="Q288" t="n">
        <v>0</v>
      </c>
      <c r="R288" s="2" t="inlineStr"/>
    </row>
    <row r="289" ht="15" customHeight="1">
      <c r="A289" t="inlineStr">
        <is>
          <t>A 51850-2021</t>
        </is>
      </c>
      <c r="B289" s="1" t="n">
        <v>44462</v>
      </c>
      <c r="C289" s="1" t="n">
        <v>45795</v>
      </c>
      <c r="D289" t="inlineStr">
        <is>
          <t>DALARNAS LÄN</t>
        </is>
      </c>
      <c r="E289" t="inlineStr">
        <is>
          <t>MORA</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52573-2021</t>
        </is>
      </c>
      <c r="B290" s="1" t="n">
        <v>44466</v>
      </c>
      <c r="C290" s="1" t="n">
        <v>45795</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54239-2021</t>
        </is>
      </c>
      <c r="B291" s="1" t="n">
        <v>44470</v>
      </c>
      <c r="C291" s="1" t="n">
        <v>45795</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54398-2021</t>
        </is>
      </c>
      <c r="B292" s="1" t="n">
        <v>44473</v>
      </c>
      <c r="C292" s="1" t="n">
        <v>45795</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54409-2021</t>
        </is>
      </c>
      <c r="B293" s="1" t="n">
        <v>44473</v>
      </c>
      <c r="C293" s="1" t="n">
        <v>45795</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56501-2021</t>
        </is>
      </c>
      <c r="B294" s="1" t="n">
        <v>44480</v>
      </c>
      <c r="C294" s="1" t="n">
        <v>45795</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57091-2021</t>
        </is>
      </c>
      <c r="B295" s="1" t="n">
        <v>44482</v>
      </c>
      <c r="C295" s="1" t="n">
        <v>45795</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57088-2021</t>
        </is>
      </c>
      <c r="B296" s="1" t="n">
        <v>44482</v>
      </c>
      <c r="C296" s="1" t="n">
        <v>45795</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45795</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57608-2021</t>
        </is>
      </c>
      <c r="B298" s="1" t="n">
        <v>44484</v>
      </c>
      <c r="C298" s="1" t="n">
        <v>45795</v>
      </c>
      <c r="D298" t="inlineStr">
        <is>
          <t>DALARNAS LÄN</t>
        </is>
      </c>
      <c r="E298" t="inlineStr">
        <is>
          <t>MORA</t>
        </is>
      </c>
      <c r="G298" t="n">
        <v>6.3</v>
      </c>
      <c r="H298" t="n">
        <v>0</v>
      </c>
      <c r="I298" t="n">
        <v>0</v>
      </c>
      <c r="J298" t="n">
        <v>0</v>
      </c>
      <c r="K298" t="n">
        <v>0</v>
      </c>
      <c r="L298" t="n">
        <v>0</v>
      </c>
      <c r="M298" t="n">
        <v>0</v>
      </c>
      <c r="N298" t="n">
        <v>0</v>
      </c>
      <c r="O298" t="n">
        <v>0</v>
      </c>
      <c r="P298" t="n">
        <v>0</v>
      </c>
      <c r="Q298" t="n">
        <v>0</v>
      </c>
      <c r="R298" s="2" t="inlineStr"/>
    </row>
    <row r="299" ht="15" customHeight="1">
      <c r="A299" t="inlineStr">
        <is>
          <t>A 58057-2021</t>
        </is>
      </c>
      <c r="B299" s="1" t="n">
        <v>44487</v>
      </c>
      <c r="C299" s="1" t="n">
        <v>45795</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58413-2021</t>
        </is>
      </c>
      <c r="B300" s="1" t="n">
        <v>44488</v>
      </c>
      <c r="C300" s="1" t="n">
        <v>45795</v>
      </c>
      <c r="D300" t="inlineStr">
        <is>
          <t>DALARNAS LÄN</t>
        </is>
      </c>
      <c r="E300" t="inlineStr">
        <is>
          <t>MORA</t>
        </is>
      </c>
      <c r="F300" t="inlineStr">
        <is>
          <t>Bergvik skog öst AB</t>
        </is>
      </c>
      <c r="G300" t="n">
        <v>5.3</v>
      </c>
      <c r="H300" t="n">
        <v>0</v>
      </c>
      <c r="I300" t="n">
        <v>0</v>
      </c>
      <c r="J300" t="n">
        <v>0</v>
      </c>
      <c r="K300" t="n">
        <v>0</v>
      </c>
      <c r="L300" t="n">
        <v>0</v>
      </c>
      <c r="M300" t="n">
        <v>0</v>
      </c>
      <c r="N300" t="n">
        <v>0</v>
      </c>
      <c r="O300" t="n">
        <v>0</v>
      </c>
      <c r="P300" t="n">
        <v>0</v>
      </c>
      <c r="Q300" t="n">
        <v>0</v>
      </c>
      <c r="R300" s="2" t="inlineStr"/>
    </row>
    <row r="301" ht="15" customHeight="1">
      <c r="A301" t="inlineStr">
        <is>
          <t>A 60150-2021</t>
        </is>
      </c>
      <c r="B301" s="1" t="n">
        <v>44488</v>
      </c>
      <c r="C301" s="1" t="n">
        <v>45795</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58690-2021</t>
        </is>
      </c>
      <c r="B302" s="1" t="n">
        <v>44489</v>
      </c>
      <c r="C302" s="1" t="n">
        <v>45795</v>
      </c>
      <c r="D302" t="inlineStr">
        <is>
          <t>DALARNAS LÄN</t>
        </is>
      </c>
      <c r="E302" t="inlineStr">
        <is>
          <t>MORA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58961-2021</t>
        </is>
      </c>
      <c r="B303" s="1" t="n">
        <v>44490</v>
      </c>
      <c r="C303" s="1" t="n">
        <v>45795</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59899-2021</t>
        </is>
      </c>
      <c r="B304" s="1" t="n">
        <v>44494</v>
      </c>
      <c r="C304" s="1" t="n">
        <v>45795</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60847-2021</t>
        </is>
      </c>
      <c r="B305" s="1" t="n">
        <v>44497</v>
      </c>
      <c r="C305" s="1" t="n">
        <v>45795</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63089-2021</t>
        </is>
      </c>
      <c r="B306" s="1" t="n">
        <v>44505</v>
      </c>
      <c r="C306" s="1" t="n">
        <v>45795</v>
      </c>
      <c r="D306" t="inlineStr">
        <is>
          <t>DALARNAS LÄN</t>
        </is>
      </c>
      <c r="E306" t="inlineStr">
        <is>
          <t>MORA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63088-2021</t>
        </is>
      </c>
      <c r="B307" s="1" t="n">
        <v>44505</v>
      </c>
      <c r="C307" s="1" t="n">
        <v>45795</v>
      </c>
      <c r="D307" t="inlineStr">
        <is>
          <t>DALARNAS LÄN</t>
        </is>
      </c>
      <c r="E307" t="inlineStr">
        <is>
          <t>MORA</t>
        </is>
      </c>
      <c r="F307" t="inlineStr">
        <is>
          <t>Bergvik skog väst AB</t>
        </is>
      </c>
      <c r="G307" t="n">
        <v>6.8</v>
      </c>
      <c r="H307" t="n">
        <v>0</v>
      </c>
      <c r="I307" t="n">
        <v>0</v>
      </c>
      <c r="J307" t="n">
        <v>0</v>
      </c>
      <c r="K307" t="n">
        <v>0</v>
      </c>
      <c r="L307" t="n">
        <v>0</v>
      </c>
      <c r="M307" t="n">
        <v>0</v>
      </c>
      <c r="N307" t="n">
        <v>0</v>
      </c>
      <c r="O307" t="n">
        <v>0</v>
      </c>
      <c r="P307" t="n">
        <v>0</v>
      </c>
      <c r="Q307" t="n">
        <v>0</v>
      </c>
      <c r="R307" s="2" t="inlineStr"/>
    </row>
    <row r="308" ht="15" customHeight="1">
      <c r="A308" t="inlineStr">
        <is>
          <t>A 63000-2021</t>
        </is>
      </c>
      <c r="B308" s="1" t="n">
        <v>44505</v>
      </c>
      <c r="C308" s="1" t="n">
        <v>45795</v>
      </c>
      <c r="D308" t="inlineStr">
        <is>
          <t>DALARNAS LÄN</t>
        </is>
      </c>
      <c r="E308" t="inlineStr">
        <is>
          <t>MORA</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63552-2021</t>
        </is>
      </c>
      <c r="B309" s="1" t="n">
        <v>44508</v>
      </c>
      <c r="C309" s="1" t="n">
        <v>45795</v>
      </c>
      <c r="D309" t="inlineStr">
        <is>
          <t>DALARNAS LÄN</t>
        </is>
      </c>
      <c r="E309" t="inlineStr">
        <is>
          <t>MORA</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63690-2021</t>
        </is>
      </c>
      <c r="B310" s="1" t="n">
        <v>44509</v>
      </c>
      <c r="C310" s="1" t="n">
        <v>45795</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65262-2021</t>
        </is>
      </c>
      <c r="B311" s="1" t="n">
        <v>44515</v>
      </c>
      <c r="C311" s="1" t="n">
        <v>45795</v>
      </c>
      <c r="D311" t="inlineStr">
        <is>
          <t>DALARNAS LÄN</t>
        </is>
      </c>
      <c r="E311" t="inlineStr">
        <is>
          <t>MORA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65186-2021</t>
        </is>
      </c>
      <c r="B312" s="1" t="n">
        <v>44515</v>
      </c>
      <c r="C312" s="1" t="n">
        <v>45795</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65258-2021</t>
        </is>
      </c>
      <c r="B313" s="1" t="n">
        <v>44515</v>
      </c>
      <c r="C313" s="1" t="n">
        <v>45795</v>
      </c>
      <c r="D313" t="inlineStr">
        <is>
          <t>DALARNAS LÄN</t>
        </is>
      </c>
      <c r="E313" t="inlineStr">
        <is>
          <t>MORA</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65253-2021</t>
        </is>
      </c>
      <c r="B314" s="1" t="n">
        <v>44515</v>
      </c>
      <c r="C314" s="1" t="n">
        <v>45795</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65527-2021</t>
        </is>
      </c>
      <c r="B315" s="1" t="n">
        <v>44516</v>
      </c>
      <c r="C315" s="1" t="n">
        <v>45795</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65727-2021</t>
        </is>
      </c>
      <c r="B316" s="1" t="n">
        <v>44516</v>
      </c>
      <c r="C316" s="1" t="n">
        <v>45795</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66157-2021</t>
        </is>
      </c>
      <c r="B317" s="1" t="n">
        <v>44517</v>
      </c>
      <c r="C317" s="1" t="n">
        <v>45795</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66158-2021</t>
        </is>
      </c>
      <c r="B318" s="1" t="n">
        <v>44517</v>
      </c>
      <c r="C318" s="1" t="n">
        <v>45795</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66232-2021</t>
        </is>
      </c>
      <c r="B319" s="1" t="n">
        <v>44518</v>
      </c>
      <c r="C319" s="1" t="n">
        <v>45795</v>
      </c>
      <c r="D319" t="inlineStr">
        <is>
          <t>DALARNAS LÄN</t>
        </is>
      </c>
      <c r="E319" t="inlineStr">
        <is>
          <t>MORA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66639-2021</t>
        </is>
      </c>
      <c r="B320" s="1" t="n">
        <v>44519</v>
      </c>
      <c r="C320" s="1" t="n">
        <v>45795</v>
      </c>
      <c r="D320" t="inlineStr">
        <is>
          <t>DALARNAS LÄN</t>
        </is>
      </c>
      <c r="E320" t="inlineStr">
        <is>
          <t>MORA</t>
        </is>
      </c>
      <c r="G320" t="n">
        <v>10</v>
      </c>
      <c r="H320" t="n">
        <v>0</v>
      </c>
      <c r="I320" t="n">
        <v>0</v>
      </c>
      <c r="J320" t="n">
        <v>0</v>
      </c>
      <c r="K320" t="n">
        <v>0</v>
      </c>
      <c r="L320" t="n">
        <v>0</v>
      </c>
      <c r="M320" t="n">
        <v>0</v>
      </c>
      <c r="N320" t="n">
        <v>0</v>
      </c>
      <c r="O320" t="n">
        <v>0</v>
      </c>
      <c r="P320" t="n">
        <v>0</v>
      </c>
      <c r="Q320" t="n">
        <v>0</v>
      </c>
      <c r="R320" s="2" t="inlineStr"/>
    </row>
    <row r="321" ht="15" customHeight="1">
      <c r="A321" t="inlineStr">
        <is>
          <t>A 67045-2021</t>
        </is>
      </c>
      <c r="B321" s="1" t="n">
        <v>44522</v>
      </c>
      <c r="C321" s="1" t="n">
        <v>45795</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67125-2021</t>
        </is>
      </c>
      <c r="B322" s="1" t="n">
        <v>44523</v>
      </c>
      <c r="C322" s="1" t="n">
        <v>45795</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67316-2021</t>
        </is>
      </c>
      <c r="B323" s="1" t="n">
        <v>44523</v>
      </c>
      <c r="C323" s="1" t="n">
        <v>45795</v>
      </c>
      <c r="D323" t="inlineStr">
        <is>
          <t>DALARNAS LÄN</t>
        </is>
      </c>
      <c r="E323" t="inlineStr">
        <is>
          <t>MORA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67318-2021</t>
        </is>
      </c>
      <c r="B324" s="1" t="n">
        <v>44523</v>
      </c>
      <c r="C324" s="1" t="n">
        <v>45795</v>
      </c>
      <c r="D324" t="inlineStr">
        <is>
          <t>DALARNAS LÄN</t>
        </is>
      </c>
      <c r="E324" t="inlineStr">
        <is>
          <t>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67932-2021</t>
        </is>
      </c>
      <c r="B325" s="1" t="n">
        <v>44525</v>
      </c>
      <c r="C325" s="1" t="n">
        <v>45795</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68415-2021</t>
        </is>
      </c>
      <c r="B326" s="1" t="n">
        <v>44529</v>
      </c>
      <c r="C326" s="1" t="n">
        <v>45795</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68966-2021</t>
        </is>
      </c>
      <c r="B327" s="1" t="n">
        <v>44530</v>
      </c>
      <c r="C327" s="1" t="n">
        <v>45795</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69483-2021</t>
        </is>
      </c>
      <c r="B328" s="1" t="n">
        <v>44531</v>
      </c>
      <c r="C328" s="1" t="n">
        <v>45795</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70065-2021</t>
        </is>
      </c>
      <c r="B329" s="1" t="n">
        <v>44533</v>
      </c>
      <c r="C329" s="1" t="n">
        <v>45795</v>
      </c>
      <c r="D329" t="inlineStr">
        <is>
          <t>DALARNAS LÄN</t>
        </is>
      </c>
      <c r="E329" t="inlineStr">
        <is>
          <t>MORA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45795</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71702-2021</t>
        </is>
      </c>
      <c r="B331" s="1" t="n">
        <v>44543</v>
      </c>
      <c r="C331" s="1" t="n">
        <v>45795</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72333-2021</t>
        </is>
      </c>
      <c r="B332" s="1" t="n">
        <v>44545</v>
      </c>
      <c r="C332" s="1" t="n">
        <v>45795</v>
      </c>
      <c r="D332" t="inlineStr">
        <is>
          <t>DALARNAS LÄN</t>
        </is>
      </c>
      <c r="E332" t="inlineStr">
        <is>
          <t>MORA</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72439-2021</t>
        </is>
      </c>
      <c r="B333" s="1" t="n">
        <v>44545</v>
      </c>
      <c r="C333" s="1" t="n">
        <v>45795</v>
      </c>
      <c r="D333" t="inlineStr">
        <is>
          <t>DALARNAS LÄN</t>
        </is>
      </c>
      <c r="E333" t="inlineStr">
        <is>
          <t>MORA</t>
        </is>
      </c>
      <c r="F333" t="inlineStr">
        <is>
          <t>Allmännings- och besparingsskogar</t>
        </is>
      </c>
      <c r="G333" t="n">
        <v>8.5</v>
      </c>
      <c r="H333" t="n">
        <v>0</v>
      </c>
      <c r="I333" t="n">
        <v>0</v>
      </c>
      <c r="J333" t="n">
        <v>0</v>
      </c>
      <c r="K333" t="n">
        <v>0</v>
      </c>
      <c r="L333" t="n">
        <v>0</v>
      </c>
      <c r="M333" t="n">
        <v>0</v>
      </c>
      <c r="N333" t="n">
        <v>0</v>
      </c>
      <c r="O333" t="n">
        <v>0</v>
      </c>
      <c r="P333" t="n">
        <v>0</v>
      </c>
      <c r="Q333" t="n">
        <v>0</v>
      </c>
      <c r="R333" s="2" t="inlineStr"/>
    </row>
    <row r="334" ht="15" customHeight="1">
      <c r="A334" t="inlineStr">
        <is>
          <t>A 72780-2021</t>
        </is>
      </c>
      <c r="B334" s="1" t="n">
        <v>44545</v>
      </c>
      <c r="C334" s="1" t="n">
        <v>45795</v>
      </c>
      <c r="D334" t="inlineStr">
        <is>
          <t>DALARNAS LÄN</t>
        </is>
      </c>
      <c r="E334" t="inlineStr">
        <is>
          <t>MORA</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72659-2021</t>
        </is>
      </c>
      <c r="B335" s="1" t="n">
        <v>44546</v>
      </c>
      <c r="C335" s="1" t="n">
        <v>45795</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72648-2021</t>
        </is>
      </c>
      <c r="B336" s="1" t="n">
        <v>44546</v>
      </c>
      <c r="C336" s="1" t="n">
        <v>45795</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72915-2021</t>
        </is>
      </c>
      <c r="B337" s="1" t="n">
        <v>44547</v>
      </c>
      <c r="C337" s="1" t="n">
        <v>45795</v>
      </c>
      <c r="D337" t="inlineStr">
        <is>
          <t>DALARNAS LÄN</t>
        </is>
      </c>
      <c r="E337" t="inlineStr">
        <is>
          <t>MORA</t>
        </is>
      </c>
      <c r="F337" t="inlineStr">
        <is>
          <t>Allmännings- och besparingsskogar</t>
        </is>
      </c>
      <c r="G337" t="n">
        <v>38.5</v>
      </c>
      <c r="H337" t="n">
        <v>0</v>
      </c>
      <c r="I337" t="n">
        <v>0</v>
      </c>
      <c r="J337" t="n">
        <v>0</v>
      </c>
      <c r="K337" t="n">
        <v>0</v>
      </c>
      <c r="L337" t="n">
        <v>0</v>
      </c>
      <c r="M337" t="n">
        <v>0</v>
      </c>
      <c r="N337" t="n">
        <v>0</v>
      </c>
      <c r="O337" t="n">
        <v>0</v>
      </c>
      <c r="P337" t="n">
        <v>0</v>
      </c>
      <c r="Q337" t="n">
        <v>0</v>
      </c>
      <c r="R337" s="2" t="inlineStr"/>
    </row>
    <row r="338" ht="15" customHeight="1">
      <c r="A338" t="inlineStr">
        <is>
          <t>A 73930-2021</t>
        </is>
      </c>
      <c r="B338" s="1" t="n">
        <v>44553</v>
      </c>
      <c r="C338" s="1" t="n">
        <v>45795</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111-2022</t>
        </is>
      </c>
      <c r="B339" s="1" t="n">
        <v>44564</v>
      </c>
      <c r="C339" s="1" t="n">
        <v>45795</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2277-2022</t>
        </is>
      </c>
      <c r="B340" s="1" t="n">
        <v>44578</v>
      </c>
      <c r="C340" s="1" t="n">
        <v>45795</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2247-2022</t>
        </is>
      </c>
      <c r="B341" s="1" t="n">
        <v>44578</v>
      </c>
      <c r="C341" s="1" t="n">
        <v>45795</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2865-2022</t>
        </is>
      </c>
      <c r="B342" s="1" t="n">
        <v>44581</v>
      </c>
      <c r="C342" s="1" t="n">
        <v>45795</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45795</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4489-2022</t>
        </is>
      </c>
      <c r="B344" s="1" t="n">
        <v>44589</v>
      </c>
      <c r="C344" s="1" t="n">
        <v>45795</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4488-2022</t>
        </is>
      </c>
      <c r="B345" s="1" t="n">
        <v>44589</v>
      </c>
      <c r="C345" s="1" t="n">
        <v>45795</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6371-2022</t>
        </is>
      </c>
      <c r="B346" s="1" t="n">
        <v>44600</v>
      </c>
      <c r="C346" s="1" t="n">
        <v>45795</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6574-2022</t>
        </is>
      </c>
      <c r="B347" s="1" t="n">
        <v>44601</v>
      </c>
      <c r="C347" s="1" t="n">
        <v>45795</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6572-2022</t>
        </is>
      </c>
      <c r="B348" s="1" t="n">
        <v>44601</v>
      </c>
      <c r="C348" s="1" t="n">
        <v>45795</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8051-2022</t>
        </is>
      </c>
      <c r="B349" s="1" t="n">
        <v>44608</v>
      </c>
      <c r="C349" s="1" t="n">
        <v>45795</v>
      </c>
      <c r="D349" t="inlineStr">
        <is>
          <t>DALARNAS LÄN</t>
        </is>
      </c>
      <c r="E349" t="inlineStr">
        <is>
          <t>MORA</t>
        </is>
      </c>
      <c r="G349" t="n">
        <v>2.7</v>
      </c>
      <c r="H349" t="n">
        <v>0</v>
      </c>
      <c r="I349" t="n">
        <v>0</v>
      </c>
      <c r="J349" t="n">
        <v>0</v>
      </c>
      <c r="K349" t="n">
        <v>0</v>
      </c>
      <c r="L349" t="n">
        <v>0</v>
      </c>
      <c r="M349" t="n">
        <v>0</v>
      </c>
      <c r="N349" t="n">
        <v>0</v>
      </c>
      <c r="O349" t="n">
        <v>0</v>
      </c>
      <c r="P349" t="n">
        <v>0</v>
      </c>
      <c r="Q349" t="n">
        <v>0</v>
      </c>
      <c r="R349" s="2" t="inlineStr"/>
    </row>
    <row r="350" ht="15" customHeight="1">
      <c r="A350" t="inlineStr">
        <is>
          <t>A 8138-2022</t>
        </is>
      </c>
      <c r="B350" s="1" t="n">
        <v>44609</v>
      </c>
      <c r="C350" s="1" t="n">
        <v>45795</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8145-2022</t>
        </is>
      </c>
      <c r="B351" s="1" t="n">
        <v>44609</v>
      </c>
      <c r="C351" s="1" t="n">
        <v>45795</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8546-2022</t>
        </is>
      </c>
      <c r="B352" s="1" t="n">
        <v>44613</v>
      </c>
      <c r="C352" s="1" t="n">
        <v>45795</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9034-2022</t>
        </is>
      </c>
      <c r="B353" s="1" t="n">
        <v>44615</v>
      </c>
      <c r="C353" s="1" t="n">
        <v>45795</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9599-2022</t>
        </is>
      </c>
      <c r="B354" s="1" t="n">
        <v>44617</v>
      </c>
      <c r="C354" s="1" t="n">
        <v>45795</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9843-2022</t>
        </is>
      </c>
      <c r="B355" s="1" t="n">
        <v>44620</v>
      </c>
      <c r="C355" s="1" t="n">
        <v>45795</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11337-2022</t>
        </is>
      </c>
      <c r="B356" s="1" t="n">
        <v>44630</v>
      </c>
      <c r="C356" s="1" t="n">
        <v>45795</v>
      </c>
      <c r="D356" t="inlineStr">
        <is>
          <t>DALARNAS LÄN</t>
        </is>
      </c>
      <c r="E356" t="inlineStr">
        <is>
          <t>MORA</t>
        </is>
      </c>
      <c r="G356" t="n">
        <v>6.6</v>
      </c>
      <c r="H356" t="n">
        <v>0</v>
      </c>
      <c r="I356" t="n">
        <v>0</v>
      </c>
      <c r="J356" t="n">
        <v>0</v>
      </c>
      <c r="K356" t="n">
        <v>0</v>
      </c>
      <c r="L356" t="n">
        <v>0</v>
      </c>
      <c r="M356" t="n">
        <v>0</v>
      </c>
      <c r="N356" t="n">
        <v>0</v>
      </c>
      <c r="O356" t="n">
        <v>0</v>
      </c>
      <c r="P356" t="n">
        <v>0</v>
      </c>
      <c r="Q356" t="n">
        <v>0</v>
      </c>
      <c r="R356" s="2" t="inlineStr"/>
    </row>
    <row r="357" ht="15" customHeight="1">
      <c r="A357" t="inlineStr">
        <is>
          <t>A 11442-2022</t>
        </is>
      </c>
      <c r="B357" s="1" t="n">
        <v>44630</v>
      </c>
      <c r="C357" s="1" t="n">
        <v>45795</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12096-2022</t>
        </is>
      </c>
      <c r="B358" s="1" t="n">
        <v>44636</v>
      </c>
      <c r="C358" s="1" t="n">
        <v>45795</v>
      </c>
      <c r="D358" t="inlineStr">
        <is>
          <t>DALARNAS LÄN</t>
        </is>
      </c>
      <c r="E358" t="inlineStr">
        <is>
          <t>MORA</t>
        </is>
      </c>
      <c r="G358" t="n">
        <v>9</v>
      </c>
      <c r="H358" t="n">
        <v>0</v>
      </c>
      <c r="I358" t="n">
        <v>0</v>
      </c>
      <c r="J358" t="n">
        <v>0</v>
      </c>
      <c r="K358" t="n">
        <v>0</v>
      </c>
      <c r="L358" t="n">
        <v>0</v>
      </c>
      <c r="M358" t="n">
        <v>0</v>
      </c>
      <c r="N358" t="n">
        <v>0</v>
      </c>
      <c r="O358" t="n">
        <v>0</v>
      </c>
      <c r="P358" t="n">
        <v>0</v>
      </c>
      <c r="Q358" t="n">
        <v>0</v>
      </c>
      <c r="R358" s="2" t="inlineStr"/>
    </row>
    <row r="359" ht="15" customHeight="1">
      <c r="A359" t="inlineStr">
        <is>
          <t>A 12920-2022</t>
        </is>
      </c>
      <c r="B359" s="1" t="n">
        <v>44642</v>
      </c>
      <c r="C359" s="1" t="n">
        <v>45795</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v>
      </c>
      <c r="C360" s="1" t="n">
        <v>45795</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13350-2022</t>
        </is>
      </c>
      <c r="B361" s="1" t="n">
        <v>44645</v>
      </c>
      <c r="C361" s="1" t="n">
        <v>45795</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14738-2022</t>
        </is>
      </c>
      <c r="B362" s="1" t="n">
        <v>44656</v>
      </c>
      <c r="C362" s="1" t="n">
        <v>45795</v>
      </c>
      <c r="D362" t="inlineStr">
        <is>
          <t>DALARNAS LÄN</t>
        </is>
      </c>
      <c r="E362" t="inlineStr">
        <is>
          <t>MORA</t>
        </is>
      </c>
      <c r="G362" t="n">
        <v>5.6</v>
      </c>
      <c r="H362" t="n">
        <v>0</v>
      </c>
      <c r="I362" t="n">
        <v>0</v>
      </c>
      <c r="J362" t="n">
        <v>0</v>
      </c>
      <c r="K362" t="n">
        <v>0</v>
      </c>
      <c r="L362" t="n">
        <v>0</v>
      </c>
      <c r="M362" t="n">
        <v>0</v>
      </c>
      <c r="N362" t="n">
        <v>0</v>
      </c>
      <c r="O362" t="n">
        <v>0</v>
      </c>
      <c r="P362" t="n">
        <v>0</v>
      </c>
      <c r="Q362" t="n">
        <v>0</v>
      </c>
      <c r="R362" s="2" t="inlineStr"/>
    </row>
    <row r="363" ht="15" customHeight="1">
      <c r="A363" t="inlineStr">
        <is>
          <t>A 14744-2022</t>
        </is>
      </c>
      <c r="B363" s="1" t="n">
        <v>44656</v>
      </c>
      <c r="C363" s="1" t="n">
        <v>45795</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15128-2022</t>
        </is>
      </c>
      <c r="B364" s="1" t="n">
        <v>44658</v>
      </c>
      <c r="C364" s="1" t="n">
        <v>45795</v>
      </c>
      <c r="D364" t="inlineStr">
        <is>
          <t>DALARNAS LÄN</t>
        </is>
      </c>
      <c r="E364" t="inlineStr">
        <is>
          <t>MORA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15127-2022</t>
        </is>
      </c>
      <c r="B365" s="1" t="n">
        <v>44658</v>
      </c>
      <c r="C365" s="1" t="n">
        <v>45795</v>
      </c>
      <c r="D365" t="inlineStr">
        <is>
          <t>DALARNAS LÄN</t>
        </is>
      </c>
      <c r="E365" t="inlineStr">
        <is>
          <t>MORA</t>
        </is>
      </c>
      <c r="G365" t="n">
        <v>4.9</v>
      </c>
      <c r="H365" t="n">
        <v>0</v>
      </c>
      <c r="I365" t="n">
        <v>0</v>
      </c>
      <c r="J365" t="n">
        <v>0</v>
      </c>
      <c r="K365" t="n">
        <v>0</v>
      </c>
      <c r="L365" t="n">
        <v>0</v>
      </c>
      <c r="M365" t="n">
        <v>0</v>
      </c>
      <c r="N365" t="n">
        <v>0</v>
      </c>
      <c r="O365" t="n">
        <v>0</v>
      </c>
      <c r="P365" t="n">
        <v>0</v>
      </c>
      <c r="Q365" t="n">
        <v>0</v>
      </c>
      <c r="R365" s="2" t="inlineStr"/>
    </row>
    <row r="366" ht="15" customHeight="1">
      <c r="A366" t="inlineStr">
        <is>
          <t>A 15393-2022</t>
        </is>
      </c>
      <c r="B366" s="1" t="n">
        <v>44659</v>
      </c>
      <c r="C366" s="1" t="n">
        <v>45795</v>
      </c>
      <c r="D366" t="inlineStr">
        <is>
          <t>DALARNAS LÄN</t>
        </is>
      </c>
      <c r="E366" t="inlineStr">
        <is>
          <t>MORA</t>
        </is>
      </c>
      <c r="G366" t="n">
        <v>2.5</v>
      </c>
      <c r="H366" t="n">
        <v>0</v>
      </c>
      <c r="I366" t="n">
        <v>0</v>
      </c>
      <c r="J366" t="n">
        <v>0</v>
      </c>
      <c r="K366" t="n">
        <v>0</v>
      </c>
      <c r="L366" t="n">
        <v>0</v>
      </c>
      <c r="M366" t="n">
        <v>0</v>
      </c>
      <c r="N366" t="n">
        <v>0</v>
      </c>
      <c r="O366" t="n">
        <v>0</v>
      </c>
      <c r="P366" t="n">
        <v>0</v>
      </c>
      <c r="Q366" t="n">
        <v>0</v>
      </c>
      <c r="R366" s="2" t="inlineStr"/>
    </row>
    <row r="367" ht="15" customHeight="1">
      <c r="A367" t="inlineStr">
        <is>
          <t>A 15594-2022</t>
        </is>
      </c>
      <c r="B367" s="1" t="n">
        <v>44662</v>
      </c>
      <c r="C367" s="1" t="n">
        <v>45795</v>
      </c>
      <c r="D367" t="inlineStr">
        <is>
          <t>DALARNAS LÄN</t>
        </is>
      </c>
      <c r="E367" t="inlineStr">
        <is>
          <t>MORA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16706-2022</t>
        </is>
      </c>
      <c r="B368" s="1" t="n">
        <v>44673</v>
      </c>
      <c r="C368" s="1" t="n">
        <v>45795</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16700-2022</t>
        </is>
      </c>
      <c r="B369" s="1" t="n">
        <v>44673</v>
      </c>
      <c r="C369" s="1" t="n">
        <v>45795</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17272-2022</t>
        </is>
      </c>
      <c r="B370" s="1" t="n">
        <v>44678</v>
      </c>
      <c r="C370" s="1" t="n">
        <v>45795</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17622-2022</t>
        </is>
      </c>
      <c r="B371" s="1" t="n">
        <v>44680</v>
      </c>
      <c r="C371" s="1" t="n">
        <v>45795</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19372-2022</t>
        </is>
      </c>
      <c r="B372" s="1" t="n">
        <v>44692</v>
      </c>
      <c r="C372" s="1" t="n">
        <v>45795</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19756-2022</t>
        </is>
      </c>
      <c r="B373" s="1" t="n">
        <v>44694</v>
      </c>
      <c r="C373" s="1" t="n">
        <v>45795</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20401-2022</t>
        </is>
      </c>
      <c r="B374" s="1" t="n">
        <v>44699</v>
      </c>
      <c r="C374" s="1" t="n">
        <v>45795</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21273-2022</t>
        </is>
      </c>
      <c r="B375" s="1" t="n">
        <v>44705</v>
      </c>
      <c r="C375" s="1" t="n">
        <v>45795</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23354-2022</t>
        </is>
      </c>
      <c r="B376" s="1" t="n">
        <v>44720</v>
      </c>
      <c r="C376" s="1" t="n">
        <v>45795</v>
      </c>
      <c r="D376" t="inlineStr">
        <is>
          <t>DALARNAS LÄN</t>
        </is>
      </c>
      <c r="E376" t="inlineStr">
        <is>
          <t>MORA</t>
        </is>
      </c>
      <c r="G376" t="n">
        <v>5.2</v>
      </c>
      <c r="H376" t="n">
        <v>0</v>
      </c>
      <c r="I376" t="n">
        <v>0</v>
      </c>
      <c r="J376" t="n">
        <v>0</v>
      </c>
      <c r="K376" t="n">
        <v>0</v>
      </c>
      <c r="L376" t="n">
        <v>0</v>
      </c>
      <c r="M376" t="n">
        <v>0</v>
      </c>
      <c r="N376" t="n">
        <v>0</v>
      </c>
      <c r="O376" t="n">
        <v>0</v>
      </c>
      <c r="P376" t="n">
        <v>0</v>
      </c>
      <c r="Q376" t="n">
        <v>0</v>
      </c>
      <c r="R376" s="2" t="inlineStr"/>
    </row>
    <row r="377" ht="15" customHeight="1">
      <c r="A377" t="inlineStr">
        <is>
          <t>A 23655-2022</t>
        </is>
      </c>
      <c r="B377" s="1" t="n">
        <v>44721</v>
      </c>
      <c r="C377" s="1" t="n">
        <v>45795</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23795-2022</t>
        </is>
      </c>
      <c r="B378" s="1" t="n">
        <v>44722</v>
      </c>
      <c r="C378" s="1" t="n">
        <v>45795</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23798-2022</t>
        </is>
      </c>
      <c r="B379" s="1" t="n">
        <v>44722</v>
      </c>
      <c r="C379" s="1" t="n">
        <v>45795</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24171-2022</t>
        </is>
      </c>
      <c r="B380" s="1" t="n">
        <v>44725</v>
      </c>
      <c r="C380" s="1" t="n">
        <v>45795</v>
      </c>
      <c r="D380" t="inlineStr">
        <is>
          <t>DALARNAS LÄN</t>
        </is>
      </c>
      <c r="E380" t="inlineStr">
        <is>
          <t>MORA</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24170-2022</t>
        </is>
      </c>
      <c r="B381" s="1" t="n">
        <v>44725</v>
      </c>
      <c r="C381" s="1" t="n">
        <v>45795</v>
      </c>
      <c r="D381" t="inlineStr">
        <is>
          <t>DALARNAS LÄN</t>
        </is>
      </c>
      <c r="E381" t="inlineStr">
        <is>
          <t>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24169-2022</t>
        </is>
      </c>
      <c r="B382" s="1" t="n">
        <v>44725</v>
      </c>
      <c r="C382" s="1" t="n">
        <v>45795</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24335-2022</t>
        </is>
      </c>
      <c r="B383" s="1" t="n">
        <v>44725</v>
      </c>
      <c r="C383" s="1" t="n">
        <v>45795</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24366-2022</t>
        </is>
      </c>
      <c r="B384" s="1" t="n">
        <v>44726</v>
      </c>
      <c r="C384" s="1" t="n">
        <v>45795</v>
      </c>
      <c r="D384" t="inlineStr">
        <is>
          <t>DALARNAS LÄN</t>
        </is>
      </c>
      <c r="E384" t="inlineStr">
        <is>
          <t>MORA</t>
        </is>
      </c>
      <c r="G384" t="n">
        <v>2.2</v>
      </c>
      <c r="H384" t="n">
        <v>0</v>
      </c>
      <c r="I384" t="n">
        <v>0</v>
      </c>
      <c r="J384" t="n">
        <v>0</v>
      </c>
      <c r="K384" t="n">
        <v>0</v>
      </c>
      <c r="L384" t="n">
        <v>0</v>
      </c>
      <c r="M384" t="n">
        <v>0</v>
      </c>
      <c r="N384" t="n">
        <v>0</v>
      </c>
      <c r="O384" t="n">
        <v>0</v>
      </c>
      <c r="P384" t="n">
        <v>0</v>
      </c>
      <c r="Q384" t="n">
        <v>0</v>
      </c>
      <c r="R384" s="2" t="inlineStr"/>
    </row>
    <row r="385" ht="15" customHeight="1">
      <c r="A385" t="inlineStr">
        <is>
          <t>A 24393-2022</t>
        </is>
      </c>
      <c r="B385" s="1" t="n">
        <v>44726</v>
      </c>
      <c r="C385" s="1" t="n">
        <v>45795</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25451-2022</t>
        </is>
      </c>
      <c r="B386" s="1" t="n">
        <v>44732</v>
      </c>
      <c r="C386" s="1" t="n">
        <v>45795</v>
      </c>
      <c r="D386" t="inlineStr">
        <is>
          <t>DALARNAS LÄN</t>
        </is>
      </c>
      <c r="E386" t="inlineStr">
        <is>
          <t>MORA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27438-2022</t>
        </is>
      </c>
      <c r="B387" s="1" t="n">
        <v>44742</v>
      </c>
      <c r="C387" s="1" t="n">
        <v>45795</v>
      </c>
      <c r="D387" t="inlineStr">
        <is>
          <t>DALARNAS LÄN</t>
        </is>
      </c>
      <c r="E387" t="inlineStr">
        <is>
          <t>MORA</t>
        </is>
      </c>
      <c r="G387" t="n">
        <v>7</v>
      </c>
      <c r="H387" t="n">
        <v>0</v>
      </c>
      <c r="I387" t="n">
        <v>0</v>
      </c>
      <c r="J387" t="n">
        <v>0</v>
      </c>
      <c r="K387" t="n">
        <v>0</v>
      </c>
      <c r="L387" t="n">
        <v>0</v>
      </c>
      <c r="M387" t="n">
        <v>0</v>
      </c>
      <c r="N387" t="n">
        <v>0</v>
      </c>
      <c r="O387" t="n">
        <v>0</v>
      </c>
      <c r="P387" t="n">
        <v>0</v>
      </c>
      <c r="Q387" t="n">
        <v>0</v>
      </c>
      <c r="R387" s="2" t="inlineStr"/>
    </row>
    <row r="388" ht="15" customHeight="1">
      <c r="A388" t="inlineStr">
        <is>
          <t>A 27461-2022</t>
        </is>
      </c>
      <c r="B388" s="1" t="n">
        <v>44742</v>
      </c>
      <c r="C388" s="1" t="n">
        <v>45795</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28344-2022</t>
        </is>
      </c>
      <c r="B389" s="1" t="n">
        <v>44747</v>
      </c>
      <c r="C389" s="1" t="n">
        <v>45795</v>
      </c>
      <c r="D389" t="inlineStr">
        <is>
          <t>DALARNAS LÄN</t>
        </is>
      </c>
      <c r="E389" t="inlineStr">
        <is>
          <t>MORA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28914-2022</t>
        </is>
      </c>
      <c r="B390" s="1" t="n">
        <v>44749</v>
      </c>
      <c r="C390" s="1" t="n">
        <v>45795</v>
      </c>
      <c r="D390" t="inlineStr">
        <is>
          <t>DALARNAS LÄN</t>
        </is>
      </c>
      <c r="E390" t="inlineStr">
        <is>
          <t>MORA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29754-2022</t>
        </is>
      </c>
      <c r="B391" s="1" t="n">
        <v>44755</v>
      </c>
      <c r="C391" s="1" t="n">
        <v>45795</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45795</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31304-2022</t>
        </is>
      </c>
      <c r="B393" s="1" t="n">
        <v>44773</v>
      </c>
      <c r="C393" s="1" t="n">
        <v>45795</v>
      </c>
      <c r="D393" t="inlineStr">
        <is>
          <t>DALARNAS LÄN</t>
        </is>
      </c>
      <c r="E393" t="inlineStr">
        <is>
          <t>MORA</t>
        </is>
      </c>
      <c r="G393" t="n">
        <v>20.6</v>
      </c>
      <c r="H393" t="n">
        <v>0</v>
      </c>
      <c r="I393" t="n">
        <v>0</v>
      </c>
      <c r="J393" t="n">
        <v>0</v>
      </c>
      <c r="K393" t="n">
        <v>0</v>
      </c>
      <c r="L393" t="n">
        <v>0</v>
      </c>
      <c r="M393" t="n">
        <v>0</v>
      </c>
      <c r="N393" t="n">
        <v>0</v>
      </c>
      <c r="O393" t="n">
        <v>0</v>
      </c>
      <c r="P393" t="n">
        <v>0</v>
      </c>
      <c r="Q393" t="n">
        <v>0</v>
      </c>
      <c r="R393" s="2" t="inlineStr"/>
    </row>
    <row r="394" ht="15" customHeight="1">
      <c r="A394" t="inlineStr">
        <is>
          <t>A 31582-2022</t>
        </is>
      </c>
      <c r="B394" s="1" t="n">
        <v>44775</v>
      </c>
      <c r="C394" s="1" t="n">
        <v>45795</v>
      </c>
      <c r="D394" t="inlineStr">
        <is>
          <t>DALARNAS LÄN</t>
        </is>
      </c>
      <c r="E394" t="inlineStr">
        <is>
          <t>MORA</t>
        </is>
      </c>
      <c r="G394" t="n">
        <v>3.5</v>
      </c>
      <c r="H394" t="n">
        <v>0</v>
      </c>
      <c r="I394" t="n">
        <v>0</v>
      </c>
      <c r="J394" t="n">
        <v>0</v>
      </c>
      <c r="K394" t="n">
        <v>0</v>
      </c>
      <c r="L394" t="n">
        <v>0</v>
      </c>
      <c r="M394" t="n">
        <v>0</v>
      </c>
      <c r="N394" t="n">
        <v>0</v>
      </c>
      <c r="O394" t="n">
        <v>0</v>
      </c>
      <c r="P394" t="n">
        <v>0</v>
      </c>
      <c r="Q394" t="n">
        <v>0</v>
      </c>
      <c r="R394" s="2" t="inlineStr"/>
    </row>
    <row r="395" ht="15" customHeight="1">
      <c r="A395" t="inlineStr">
        <is>
          <t>A 32265-2022</t>
        </is>
      </c>
      <c r="B395" s="1" t="n">
        <v>44781</v>
      </c>
      <c r="C395" s="1" t="n">
        <v>45795</v>
      </c>
      <c r="D395" t="inlineStr">
        <is>
          <t>DALARNAS LÄN</t>
        </is>
      </c>
      <c r="E395" t="inlineStr">
        <is>
          <t>MORA</t>
        </is>
      </c>
      <c r="G395" t="n">
        <v>4</v>
      </c>
      <c r="H395" t="n">
        <v>0</v>
      </c>
      <c r="I395" t="n">
        <v>0</v>
      </c>
      <c r="J395" t="n">
        <v>0</v>
      </c>
      <c r="K395" t="n">
        <v>0</v>
      </c>
      <c r="L395" t="n">
        <v>0</v>
      </c>
      <c r="M395" t="n">
        <v>0</v>
      </c>
      <c r="N395" t="n">
        <v>0</v>
      </c>
      <c r="O395" t="n">
        <v>0</v>
      </c>
      <c r="P395" t="n">
        <v>0</v>
      </c>
      <c r="Q395" t="n">
        <v>0</v>
      </c>
      <c r="R395" s="2" t="inlineStr"/>
    </row>
    <row r="396" ht="15" customHeight="1">
      <c r="A396" t="inlineStr">
        <is>
          <t>A 32261-2022</t>
        </is>
      </c>
      <c r="B396" s="1" t="n">
        <v>44781</v>
      </c>
      <c r="C396" s="1" t="n">
        <v>45795</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32474-2022</t>
        </is>
      </c>
      <c r="B397" s="1" t="n">
        <v>44782</v>
      </c>
      <c r="C397" s="1" t="n">
        <v>45795</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32643-2022</t>
        </is>
      </c>
      <c r="B398" s="1" t="n">
        <v>44783</v>
      </c>
      <c r="C398" s="1" t="n">
        <v>45795</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33272-2022</t>
        </is>
      </c>
      <c r="B399" s="1" t="n">
        <v>44788</v>
      </c>
      <c r="C399" s="1" t="n">
        <v>45795</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33262-2022</t>
        </is>
      </c>
      <c r="B400" s="1" t="n">
        <v>44788</v>
      </c>
      <c r="C400" s="1" t="n">
        <v>45795</v>
      </c>
      <c r="D400" t="inlineStr">
        <is>
          <t>DALARNAS LÄN</t>
        </is>
      </c>
      <c r="E400" t="inlineStr">
        <is>
          <t>MORA</t>
        </is>
      </c>
      <c r="G400" t="n">
        <v>6.5</v>
      </c>
      <c r="H400" t="n">
        <v>0</v>
      </c>
      <c r="I400" t="n">
        <v>0</v>
      </c>
      <c r="J400" t="n">
        <v>0</v>
      </c>
      <c r="K400" t="n">
        <v>0</v>
      </c>
      <c r="L400" t="n">
        <v>0</v>
      </c>
      <c r="M400" t="n">
        <v>0</v>
      </c>
      <c r="N400" t="n">
        <v>0</v>
      </c>
      <c r="O400" t="n">
        <v>0</v>
      </c>
      <c r="P400" t="n">
        <v>0</v>
      </c>
      <c r="Q400" t="n">
        <v>0</v>
      </c>
      <c r="R400" s="2" t="inlineStr"/>
    </row>
    <row r="401" ht="15" customHeight="1">
      <c r="A401" t="inlineStr">
        <is>
          <t>A 33269-2022</t>
        </is>
      </c>
      <c r="B401" s="1" t="n">
        <v>44788</v>
      </c>
      <c r="C401" s="1" t="n">
        <v>45795</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33265-2022</t>
        </is>
      </c>
      <c r="B402" s="1" t="n">
        <v>44788</v>
      </c>
      <c r="C402" s="1" t="n">
        <v>45795</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33550-2022</t>
        </is>
      </c>
      <c r="B403" s="1" t="n">
        <v>44789</v>
      </c>
      <c r="C403" s="1" t="n">
        <v>45795</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33678-2022</t>
        </is>
      </c>
      <c r="B404" s="1" t="n">
        <v>44789</v>
      </c>
      <c r="C404" s="1" t="n">
        <v>45795</v>
      </c>
      <c r="D404" t="inlineStr">
        <is>
          <t>DALARNAS LÄN</t>
        </is>
      </c>
      <c r="E404" t="inlineStr">
        <is>
          <t>MORA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34927-2022</t>
        </is>
      </c>
      <c r="B405" s="1" t="n">
        <v>44796</v>
      </c>
      <c r="C405" s="1" t="n">
        <v>45795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34897-2022</t>
        </is>
      </c>
      <c r="B406" s="1" t="n">
        <v>44796</v>
      </c>
      <c r="C406" s="1" t="n">
        <v>45795</v>
      </c>
      <c r="D406" t="inlineStr">
        <is>
          <t>DALARNAS LÄN</t>
        </is>
      </c>
      <c r="E406" t="inlineStr">
        <is>
          <t>MORA</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34824-2022</t>
        </is>
      </c>
      <c r="B407" s="1" t="n">
        <v>44796</v>
      </c>
      <c r="C407" s="1" t="n">
        <v>45795</v>
      </c>
      <c r="D407" t="inlineStr">
        <is>
          <t>DALARNAS LÄN</t>
        </is>
      </c>
      <c r="E407" t="inlineStr">
        <is>
          <t>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34923-2022</t>
        </is>
      </c>
      <c r="B408" s="1" t="n">
        <v>44796</v>
      </c>
      <c r="C408" s="1" t="n">
        <v>45795</v>
      </c>
      <c r="D408" t="inlineStr">
        <is>
          <t>DALARNAS LÄN</t>
        </is>
      </c>
      <c r="E408" t="inlineStr">
        <is>
          <t>MORA</t>
        </is>
      </c>
      <c r="G408" t="n">
        <v>5</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v>
      </c>
      <c r="C409" s="1" t="n">
        <v>45795</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36579-2022</t>
        </is>
      </c>
      <c r="B410" s="1" t="n">
        <v>44804</v>
      </c>
      <c r="C410" s="1" t="n">
        <v>45795</v>
      </c>
      <c r="D410" t="inlineStr">
        <is>
          <t>DALARNAS LÄN</t>
        </is>
      </c>
      <c r="E410" t="inlineStr">
        <is>
          <t>MORA</t>
        </is>
      </c>
      <c r="G410" t="n">
        <v>2.3</v>
      </c>
      <c r="H410" t="n">
        <v>0</v>
      </c>
      <c r="I410" t="n">
        <v>0</v>
      </c>
      <c r="J410" t="n">
        <v>0</v>
      </c>
      <c r="K410" t="n">
        <v>0</v>
      </c>
      <c r="L410" t="n">
        <v>0</v>
      </c>
      <c r="M410" t="n">
        <v>0</v>
      </c>
      <c r="N410" t="n">
        <v>0</v>
      </c>
      <c r="O410" t="n">
        <v>0</v>
      </c>
      <c r="P410" t="n">
        <v>0</v>
      </c>
      <c r="Q410" t="n">
        <v>0</v>
      </c>
      <c r="R410" s="2" t="inlineStr"/>
    </row>
    <row r="411" ht="15" customHeight="1">
      <c r="A411" t="inlineStr">
        <is>
          <t>A 37483-2022</t>
        </is>
      </c>
      <c r="B411" s="1" t="n">
        <v>44809</v>
      </c>
      <c r="C411" s="1" t="n">
        <v>45795</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v>
      </c>
      <c r="C412" s="1" t="n">
        <v>45795</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37771-2022</t>
        </is>
      </c>
      <c r="B413" s="1" t="n">
        <v>44810</v>
      </c>
      <c r="C413" s="1" t="n">
        <v>45795</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37983-2022</t>
        </is>
      </c>
      <c r="B414" s="1" t="n">
        <v>44811</v>
      </c>
      <c r="C414" s="1" t="n">
        <v>45795</v>
      </c>
      <c r="D414" t="inlineStr">
        <is>
          <t>DALARNAS LÄN</t>
        </is>
      </c>
      <c r="E414" t="inlineStr">
        <is>
          <t>MORA</t>
        </is>
      </c>
      <c r="F414" t="inlineStr">
        <is>
          <t>Bergvik skog väst AB</t>
        </is>
      </c>
      <c r="G414" t="n">
        <v>13.1</v>
      </c>
      <c r="H414" t="n">
        <v>0</v>
      </c>
      <c r="I414" t="n">
        <v>0</v>
      </c>
      <c r="J414" t="n">
        <v>0</v>
      </c>
      <c r="K414" t="n">
        <v>0</v>
      </c>
      <c r="L414" t="n">
        <v>0</v>
      </c>
      <c r="M414" t="n">
        <v>0</v>
      </c>
      <c r="N414" t="n">
        <v>0</v>
      </c>
      <c r="O414" t="n">
        <v>0</v>
      </c>
      <c r="P414" t="n">
        <v>0</v>
      </c>
      <c r="Q414" t="n">
        <v>0</v>
      </c>
      <c r="R414" s="2" t="inlineStr"/>
    </row>
    <row r="415" ht="15" customHeight="1">
      <c r="A415" t="inlineStr">
        <is>
          <t>A 38305-2022</t>
        </is>
      </c>
      <c r="B415" s="1" t="n">
        <v>44812</v>
      </c>
      <c r="C415" s="1" t="n">
        <v>45795</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38651-2022</t>
        </is>
      </c>
      <c r="B416" s="1" t="n">
        <v>44813</v>
      </c>
      <c r="C416" s="1" t="n">
        <v>45795</v>
      </c>
      <c r="D416" t="inlineStr">
        <is>
          <t>DALARNAS LÄN</t>
        </is>
      </c>
      <c r="E416" t="inlineStr">
        <is>
          <t>MORA</t>
        </is>
      </c>
      <c r="G416" t="n">
        <v>4.4</v>
      </c>
      <c r="H416" t="n">
        <v>0</v>
      </c>
      <c r="I416" t="n">
        <v>0</v>
      </c>
      <c r="J416" t="n">
        <v>0</v>
      </c>
      <c r="K416" t="n">
        <v>0</v>
      </c>
      <c r="L416" t="n">
        <v>0</v>
      </c>
      <c r="M416" t="n">
        <v>0</v>
      </c>
      <c r="N416" t="n">
        <v>0</v>
      </c>
      <c r="O416" t="n">
        <v>0</v>
      </c>
      <c r="P416" t="n">
        <v>0</v>
      </c>
      <c r="Q416" t="n">
        <v>0</v>
      </c>
      <c r="R416" s="2" t="inlineStr"/>
    </row>
    <row r="417" ht="15" customHeight="1">
      <c r="A417" t="inlineStr">
        <is>
          <t>A 39162-2022</t>
        </is>
      </c>
      <c r="B417" s="1" t="n">
        <v>44817</v>
      </c>
      <c r="C417" s="1" t="n">
        <v>45795</v>
      </c>
      <c r="D417" t="inlineStr">
        <is>
          <t>DALARNAS LÄN</t>
        </is>
      </c>
      <c r="E417" t="inlineStr">
        <is>
          <t>MORA</t>
        </is>
      </c>
      <c r="F417" t="inlineStr">
        <is>
          <t>Allmännings- och besparingsskogar</t>
        </is>
      </c>
      <c r="G417" t="n">
        <v>27.2</v>
      </c>
      <c r="H417" t="n">
        <v>0</v>
      </c>
      <c r="I417" t="n">
        <v>0</v>
      </c>
      <c r="J417" t="n">
        <v>0</v>
      </c>
      <c r="K417" t="n">
        <v>0</v>
      </c>
      <c r="L417" t="n">
        <v>0</v>
      </c>
      <c r="M417" t="n">
        <v>0</v>
      </c>
      <c r="N417" t="n">
        <v>0</v>
      </c>
      <c r="O417" t="n">
        <v>0</v>
      </c>
      <c r="P417" t="n">
        <v>0</v>
      </c>
      <c r="Q417" t="n">
        <v>0</v>
      </c>
      <c r="R417" s="2" t="inlineStr"/>
    </row>
    <row r="418" ht="15" customHeight="1">
      <c r="A418" t="inlineStr">
        <is>
          <t>A 39897-2022</t>
        </is>
      </c>
      <c r="B418" s="1" t="n">
        <v>44819</v>
      </c>
      <c r="C418" s="1" t="n">
        <v>45795</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39901-2022</t>
        </is>
      </c>
      <c r="B419" s="1" t="n">
        <v>44819</v>
      </c>
      <c r="C419" s="1" t="n">
        <v>45795</v>
      </c>
      <c r="D419" t="inlineStr">
        <is>
          <t>DALARNAS LÄN</t>
        </is>
      </c>
      <c r="E419" t="inlineStr">
        <is>
          <t>MORA</t>
        </is>
      </c>
      <c r="G419" t="n">
        <v>4.9</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45795</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42121-2022</t>
        </is>
      </c>
      <c r="B421" s="1" t="n">
        <v>44830</v>
      </c>
      <c r="C421" s="1" t="n">
        <v>45795</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42611-2022</t>
        </is>
      </c>
      <c r="B422" s="1" t="n">
        <v>44831</v>
      </c>
      <c r="C422" s="1" t="n">
        <v>45795</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42668-2022</t>
        </is>
      </c>
      <c r="B423" s="1" t="n">
        <v>44832</v>
      </c>
      <c r="C423" s="1" t="n">
        <v>45795</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42814-2022</t>
        </is>
      </c>
      <c r="B424" s="1" t="n">
        <v>44832</v>
      </c>
      <c r="C424" s="1" t="n">
        <v>45795</v>
      </c>
      <c r="D424" t="inlineStr">
        <is>
          <t>DALARNAS LÄN</t>
        </is>
      </c>
      <c r="E424" t="inlineStr">
        <is>
          <t>MORA</t>
        </is>
      </c>
      <c r="F424" t="inlineStr">
        <is>
          <t>Bergvik skog väst AB</t>
        </is>
      </c>
      <c r="G424" t="n">
        <v>5.3</v>
      </c>
      <c r="H424" t="n">
        <v>0</v>
      </c>
      <c r="I424" t="n">
        <v>0</v>
      </c>
      <c r="J424" t="n">
        <v>0</v>
      </c>
      <c r="K424" t="n">
        <v>0</v>
      </c>
      <c r="L424" t="n">
        <v>0</v>
      </c>
      <c r="M424" t="n">
        <v>0</v>
      </c>
      <c r="N424" t="n">
        <v>0</v>
      </c>
      <c r="O424" t="n">
        <v>0</v>
      </c>
      <c r="P424" t="n">
        <v>0</v>
      </c>
      <c r="Q424" t="n">
        <v>0</v>
      </c>
      <c r="R424" s="2" t="inlineStr"/>
    </row>
    <row r="425" ht="15" customHeight="1">
      <c r="A425" t="inlineStr">
        <is>
          <t>A 43540-2022</t>
        </is>
      </c>
      <c r="B425" s="1" t="n">
        <v>44837</v>
      </c>
      <c r="C425" s="1" t="n">
        <v>45795</v>
      </c>
      <c r="D425" t="inlineStr">
        <is>
          <t>DALARNAS LÄN</t>
        </is>
      </c>
      <c r="E425" t="inlineStr">
        <is>
          <t>MORA</t>
        </is>
      </c>
      <c r="G425" t="n">
        <v>10.5</v>
      </c>
      <c r="H425" t="n">
        <v>0</v>
      </c>
      <c r="I425" t="n">
        <v>0</v>
      </c>
      <c r="J425" t="n">
        <v>0</v>
      </c>
      <c r="K425" t="n">
        <v>0</v>
      </c>
      <c r="L425" t="n">
        <v>0</v>
      </c>
      <c r="M425" t="n">
        <v>0</v>
      </c>
      <c r="N425" t="n">
        <v>0</v>
      </c>
      <c r="O425" t="n">
        <v>0</v>
      </c>
      <c r="P425" t="n">
        <v>0</v>
      </c>
      <c r="Q425" t="n">
        <v>0</v>
      </c>
      <c r="R425" s="2" t="inlineStr"/>
    </row>
    <row r="426" ht="15" customHeight="1">
      <c r="A426" t="inlineStr">
        <is>
          <t>A 43641-2022</t>
        </is>
      </c>
      <c r="B426" s="1" t="n">
        <v>44837</v>
      </c>
      <c r="C426" s="1" t="n">
        <v>45795</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43826-2022</t>
        </is>
      </c>
      <c r="B427" s="1" t="n">
        <v>44838</v>
      </c>
      <c r="C427" s="1" t="n">
        <v>45795</v>
      </c>
      <c r="D427" t="inlineStr">
        <is>
          <t>DALARNAS LÄN</t>
        </is>
      </c>
      <c r="E427" t="inlineStr">
        <is>
          <t>MORA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v>
      </c>
      <c r="C428" s="1" t="n">
        <v>45795</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43944-2022</t>
        </is>
      </c>
      <c r="B429" s="1" t="n">
        <v>44838</v>
      </c>
      <c r="C429" s="1" t="n">
        <v>45795</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45238-2022</t>
        </is>
      </c>
      <c r="B430" s="1" t="n">
        <v>44844</v>
      </c>
      <c r="C430" s="1" t="n">
        <v>45795</v>
      </c>
      <c r="D430" t="inlineStr">
        <is>
          <t>DALARNAS LÄN</t>
        </is>
      </c>
      <c r="E430" t="inlineStr">
        <is>
          <t>MORA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45463-2022</t>
        </is>
      </c>
      <c r="B431" s="1" t="n">
        <v>44845</v>
      </c>
      <c r="C431" s="1" t="n">
        <v>45795</v>
      </c>
      <c r="D431" t="inlineStr">
        <is>
          <t>DALARNAS LÄN</t>
        </is>
      </c>
      <c r="E431" t="inlineStr">
        <is>
          <t>MORA</t>
        </is>
      </c>
      <c r="G431" t="n">
        <v>8.4</v>
      </c>
      <c r="H431" t="n">
        <v>0</v>
      </c>
      <c r="I431" t="n">
        <v>0</v>
      </c>
      <c r="J431" t="n">
        <v>0</v>
      </c>
      <c r="K431" t="n">
        <v>0</v>
      </c>
      <c r="L431" t="n">
        <v>0</v>
      </c>
      <c r="M431" t="n">
        <v>0</v>
      </c>
      <c r="N431" t="n">
        <v>0</v>
      </c>
      <c r="O431" t="n">
        <v>0</v>
      </c>
      <c r="P431" t="n">
        <v>0</v>
      </c>
      <c r="Q431" t="n">
        <v>0</v>
      </c>
      <c r="R431" s="2" t="inlineStr"/>
    </row>
    <row r="432" ht="15" customHeight="1">
      <c r="A432" t="inlineStr">
        <is>
          <t>A 45462-2022</t>
        </is>
      </c>
      <c r="B432" s="1" t="n">
        <v>44845</v>
      </c>
      <c r="C432" s="1" t="n">
        <v>45795</v>
      </c>
      <c r="D432" t="inlineStr">
        <is>
          <t>DALARNAS LÄN</t>
        </is>
      </c>
      <c r="E432" t="inlineStr">
        <is>
          <t>MORA</t>
        </is>
      </c>
      <c r="G432" t="n">
        <v>6.9</v>
      </c>
      <c r="H432" t="n">
        <v>0</v>
      </c>
      <c r="I432" t="n">
        <v>0</v>
      </c>
      <c r="J432" t="n">
        <v>0</v>
      </c>
      <c r="K432" t="n">
        <v>0</v>
      </c>
      <c r="L432" t="n">
        <v>0</v>
      </c>
      <c r="M432" t="n">
        <v>0</v>
      </c>
      <c r="N432" t="n">
        <v>0</v>
      </c>
      <c r="O432" t="n">
        <v>0</v>
      </c>
      <c r="P432" t="n">
        <v>0</v>
      </c>
      <c r="Q432" t="n">
        <v>0</v>
      </c>
      <c r="R432" s="2" t="inlineStr"/>
    </row>
    <row r="433" ht="15" customHeight="1">
      <c r="A433" t="inlineStr">
        <is>
          <t>A 45465-2022</t>
        </is>
      </c>
      <c r="B433" s="1" t="n">
        <v>44845</v>
      </c>
      <c r="C433" s="1" t="n">
        <v>45795</v>
      </c>
      <c r="D433" t="inlineStr">
        <is>
          <t>DALARNAS LÄN</t>
        </is>
      </c>
      <c r="E433" t="inlineStr">
        <is>
          <t>MORA</t>
        </is>
      </c>
      <c r="G433" t="n">
        <v>10.6</v>
      </c>
      <c r="H433" t="n">
        <v>0</v>
      </c>
      <c r="I433" t="n">
        <v>0</v>
      </c>
      <c r="J433" t="n">
        <v>0</v>
      </c>
      <c r="K433" t="n">
        <v>0</v>
      </c>
      <c r="L433" t="n">
        <v>0</v>
      </c>
      <c r="M433" t="n">
        <v>0</v>
      </c>
      <c r="N433" t="n">
        <v>0</v>
      </c>
      <c r="O433" t="n">
        <v>0</v>
      </c>
      <c r="P433" t="n">
        <v>0</v>
      </c>
      <c r="Q433" t="n">
        <v>0</v>
      </c>
      <c r="R433" s="2" t="inlineStr"/>
    </row>
    <row r="434" ht="15" customHeight="1">
      <c r="A434" t="inlineStr">
        <is>
          <t>A 46188-2022</t>
        </is>
      </c>
      <c r="B434" s="1" t="n">
        <v>44847</v>
      </c>
      <c r="C434" s="1" t="n">
        <v>45795</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46402-2022</t>
        </is>
      </c>
      <c r="B435" s="1" t="n">
        <v>44848</v>
      </c>
      <c r="C435" s="1" t="n">
        <v>45795</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46801-2022</t>
        </is>
      </c>
      <c r="B436" s="1" t="n">
        <v>44851</v>
      </c>
      <c r="C436" s="1" t="n">
        <v>45795</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47143-2022</t>
        </is>
      </c>
      <c r="B437" s="1" t="n">
        <v>44852</v>
      </c>
      <c r="C437" s="1" t="n">
        <v>45795</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47429-2022</t>
        </is>
      </c>
      <c r="B438" s="1" t="n">
        <v>44853</v>
      </c>
      <c r="C438" s="1" t="n">
        <v>45795</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48383-2022</t>
        </is>
      </c>
      <c r="B439" s="1" t="n">
        <v>44858</v>
      </c>
      <c r="C439" s="1" t="n">
        <v>45795</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48376-2022</t>
        </is>
      </c>
      <c r="B440" s="1" t="n">
        <v>44858</v>
      </c>
      <c r="C440" s="1" t="n">
        <v>45795</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48456-2022</t>
        </is>
      </c>
      <c r="B441" s="1" t="n">
        <v>44858</v>
      </c>
      <c r="C441" s="1" t="n">
        <v>45795</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48570-2022</t>
        </is>
      </c>
      <c r="B442" s="1" t="n">
        <v>44859</v>
      </c>
      <c r="C442" s="1" t="n">
        <v>45795</v>
      </c>
      <c r="D442" t="inlineStr">
        <is>
          <t>DALARNAS LÄN</t>
        </is>
      </c>
      <c r="E442" t="inlineStr">
        <is>
          <t>MORA</t>
        </is>
      </c>
      <c r="G442" t="n">
        <v>6.2</v>
      </c>
      <c r="H442" t="n">
        <v>0</v>
      </c>
      <c r="I442" t="n">
        <v>0</v>
      </c>
      <c r="J442" t="n">
        <v>0</v>
      </c>
      <c r="K442" t="n">
        <v>0</v>
      </c>
      <c r="L442" t="n">
        <v>0</v>
      </c>
      <c r="M442" t="n">
        <v>0</v>
      </c>
      <c r="N442" t="n">
        <v>0</v>
      </c>
      <c r="O442" t="n">
        <v>0</v>
      </c>
      <c r="P442" t="n">
        <v>0</v>
      </c>
      <c r="Q442" t="n">
        <v>0</v>
      </c>
      <c r="R442" s="2" t="inlineStr"/>
    </row>
    <row r="443" ht="15" customHeight="1">
      <c r="A443" t="inlineStr">
        <is>
          <t>A 48728-2022</t>
        </is>
      </c>
      <c r="B443" s="1" t="n">
        <v>44859</v>
      </c>
      <c r="C443" s="1" t="n">
        <v>45795</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49257-2022</t>
        </is>
      </c>
      <c r="B444" s="1" t="n">
        <v>44861</v>
      </c>
      <c r="C444" s="1" t="n">
        <v>45795</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50056-2022</t>
        </is>
      </c>
      <c r="B445" s="1" t="n">
        <v>44865</v>
      </c>
      <c r="C445" s="1" t="n">
        <v>45795</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50719-2022</t>
        </is>
      </c>
      <c r="B446" s="1" t="n">
        <v>44867</v>
      </c>
      <c r="C446" s="1" t="n">
        <v>45795</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51444-2022</t>
        </is>
      </c>
      <c r="B447" s="1" t="n">
        <v>44869</v>
      </c>
      <c r="C447" s="1" t="n">
        <v>45795</v>
      </c>
      <c r="D447" t="inlineStr">
        <is>
          <t>DALARNAS LÄN</t>
        </is>
      </c>
      <c r="E447" t="inlineStr">
        <is>
          <t>MORA</t>
        </is>
      </c>
      <c r="G447" t="n">
        <v>24.3</v>
      </c>
      <c r="H447" t="n">
        <v>0</v>
      </c>
      <c r="I447" t="n">
        <v>0</v>
      </c>
      <c r="J447" t="n">
        <v>0</v>
      </c>
      <c r="K447" t="n">
        <v>0</v>
      </c>
      <c r="L447" t="n">
        <v>0</v>
      </c>
      <c r="M447" t="n">
        <v>0</v>
      </c>
      <c r="N447" t="n">
        <v>0</v>
      </c>
      <c r="O447" t="n">
        <v>0</v>
      </c>
      <c r="P447" t="n">
        <v>0</v>
      </c>
      <c r="Q447" t="n">
        <v>0</v>
      </c>
      <c r="R447" s="2" t="inlineStr"/>
    </row>
    <row r="448" ht="15" customHeight="1">
      <c r="A448" t="inlineStr">
        <is>
          <t>A 52525-2022</t>
        </is>
      </c>
      <c r="B448" s="1" t="n">
        <v>44874</v>
      </c>
      <c r="C448" s="1" t="n">
        <v>45795</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52557-2022</t>
        </is>
      </c>
      <c r="B449" s="1" t="n">
        <v>44874</v>
      </c>
      <c r="C449" s="1" t="n">
        <v>45795</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52845-2022</t>
        </is>
      </c>
      <c r="B450" s="1" t="n">
        <v>44875</v>
      </c>
      <c r="C450" s="1" t="n">
        <v>45795</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53214-2022</t>
        </is>
      </c>
      <c r="B451" s="1" t="n">
        <v>44876</v>
      </c>
      <c r="C451" s="1" t="n">
        <v>45795</v>
      </c>
      <c r="D451" t="inlineStr">
        <is>
          <t>DALARNAS LÄN</t>
        </is>
      </c>
      <c r="E451" t="inlineStr">
        <is>
          <t>MORA</t>
        </is>
      </c>
      <c r="G451" t="n">
        <v>10.6</v>
      </c>
      <c r="H451" t="n">
        <v>0</v>
      </c>
      <c r="I451" t="n">
        <v>0</v>
      </c>
      <c r="J451" t="n">
        <v>0</v>
      </c>
      <c r="K451" t="n">
        <v>0</v>
      </c>
      <c r="L451" t="n">
        <v>0</v>
      </c>
      <c r="M451" t="n">
        <v>0</v>
      </c>
      <c r="N451" t="n">
        <v>0</v>
      </c>
      <c r="O451" t="n">
        <v>0</v>
      </c>
      <c r="P451" t="n">
        <v>0</v>
      </c>
      <c r="Q451" t="n">
        <v>0</v>
      </c>
      <c r="R451" s="2" t="inlineStr"/>
    </row>
    <row r="452" ht="15" customHeight="1">
      <c r="A452" t="inlineStr">
        <is>
          <t>A 54409-2022</t>
        </is>
      </c>
      <c r="B452" s="1" t="n">
        <v>44882</v>
      </c>
      <c r="C452" s="1" t="n">
        <v>45795</v>
      </c>
      <c r="D452" t="inlineStr">
        <is>
          <t>DALARNAS LÄN</t>
        </is>
      </c>
      <c r="E452" t="inlineStr">
        <is>
          <t>MORA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54739-2022</t>
        </is>
      </c>
      <c r="B453" s="1" t="n">
        <v>44883</v>
      </c>
      <c r="C453" s="1" t="n">
        <v>45795</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55010-2022</t>
        </is>
      </c>
      <c r="B454" s="1" t="n">
        <v>44886</v>
      </c>
      <c r="C454" s="1" t="n">
        <v>45795</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55051-2022</t>
        </is>
      </c>
      <c r="B455" s="1" t="n">
        <v>44886</v>
      </c>
      <c r="C455" s="1" t="n">
        <v>45795</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55106-2022</t>
        </is>
      </c>
      <c r="B456" s="1" t="n">
        <v>44886</v>
      </c>
      <c r="C456" s="1" t="n">
        <v>45795</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55077-2022</t>
        </is>
      </c>
      <c r="B457" s="1" t="n">
        <v>44886</v>
      </c>
      <c r="C457" s="1" t="n">
        <v>45795</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55331-2022</t>
        </is>
      </c>
      <c r="B458" s="1" t="n">
        <v>44887</v>
      </c>
      <c r="C458" s="1" t="n">
        <v>45795</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55356-2022</t>
        </is>
      </c>
      <c r="B459" s="1" t="n">
        <v>44887</v>
      </c>
      <c r="C459" s="1" t="n">
        <v>45795</v>
      </c>
      <c r="D459" t="inlineStr">
        <is>
          <t>DALARNAS LÄN</t>
        </is>
      </c>
      <c r="E459" t="inlineStr">
        <is>
          <t>MORA</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56939-2022</t>
        </is>
      </c>
      <c r="B460" s="1" t="n">
        <v>44888</v>
      </c>
      <c r="C460" s="1" t="n">
        <v>45795</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55993-2022</t>
        </is>
      </c>
      <c r="B461" s="1" t="n">
        <v>44889</v>
      </c>
      <c r="C461" s="1" t="n">
        <v>45795</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55925-2022</t>
        </is>
      </c>
      <c r="B462" s="1" t="n">
        <v>44889</v>
      </c>
      <c r="C462" s="1" t="n">
        <v>45795</v>
      </c>
      <c r="D462" t="inlineStr">
        <is>
          <t>DALARNAS LÄN</t>
        </is>
      </c>
      <c r="E462" t="inlineStr">
        <is>
          <t>MORA</t>
        </is>
      </c>
      <c r="F462" t="inlineStr">
        <is>
          <t>Allmännings- och besparingsskogar</t>
        </is>
      </c>
      <c r="G462" t="n">
        <v>15.6</v>
      </c>
      <c r="H462" t="n">
        <v>0</v>
      </c>
      <c r="I462" t="n">
        <v>0</v>
      </c>
      <c r="J462" t="n">
        <v>0</v>
      </c>
      <c r="K462" t="n">
        <v>0</v>
      </c>
      <c r="L462" t="n">
        <v>0</v>
      </c>
      <c r="M462" t="n">
        <v>0</v>
      </c>
      <c r="N462" t="n">
        <v>0</v>
      </c>
      <c r="O462" t="n">
        <v>0</v>
      </c>
      <c r="P462" t="n">
        <v>0</v>
      </c>
      <c r="Q462" t="n">
        <v>0</v>
      </c>
      <c r="R462" s="2" t="inlineStr"/>
    </row>
    <row r="463" ht="15" customHeight="1">
      <c r="A463" t="inlineStr">
        <is>
          <t>A 56321-2022</t>
        </is>
      </c>
      <c r="B463" s="1" t="n">
        <v>44890</v>
      </c>
      <c r="C463" s="1" t="n">
        <v>45795</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56460-2022</t>
        </is>
      </c>
      <c r="B464" s="1" t="n">
        <v>44893</v>
      </c>
      <c r="C464" s="1" t="n">
        <v>45795</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56678-2022</t>
        </is>
      </c>
      <c r="B465" s="1" t="n">
        <v>44893</v>
      </c>
      <c r="C465" s="1" t="n">
        <v>45795</v>
      </c>
      <c r="D465" t="inlineStr">
        <is>
          <t>DALARNAS LÄN</t>
        </is>
      </c>
      <c r="E465" t="inlineStr">
        <is>
          <t>MORA</t>
        </is>
      </c>
      <c r="G465" t="n">
        <v>4.7</v>
      </c>
      <c r="H465" t="n">
        <v>0</v>
      </c>
      <c r="I465" t="n">
        <v>0</v>
      </c>
      <c r="J465" t="n">
        <v>0</v>
      </c>
      <c r="K465" t="n">
        <v>0</v>
      </c>
      <c r="L465" t="n">
        <v>0</v>
      </c>
      <c r="M465" t="n">
        <v>0</v>
      </c>
      <c r="N465" t="n">
        <v>0</v>
      </c>
      <c r="O465" t="n">
        <v>0</v>
      </c>
      <c r="P465" t="n">
        <v>0</v>
      </c>
      <c r="Q465" t="n">
        <v>0</v>
      </c>
      <c r="R465" s="2" t="inlineStr"/>
    </row>
    <row r="466" ht="15" customHeight="1">
      <c r="A466" t="inlineStr">
        <is>
          <t>A 56770-2022</t>
        </is>
      </c>
      <c r="B466" s="1" t="n">
        <v>44894</v>
      </c>
      <c r="C466" s="1" t="n">
        <v>45795</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56865-2022</t>
        </is>
      </c>
      <c r="B467" s="1" t="n">
        <v>44894</v>
      </c>
      <c r="C467" s="1" t="n">
        <v>45795</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57475-2022</t>
        </is>
      </c>
      <c r="B468" s="1" t="n">
        <v>44896</v>
      </c>
      <c r="C468" s="1" t="n">
        <v>45795</v>
      </c>
      <c r="D468" t="inlineStr">
        <is>
          <t>DALARNAS LÄN</t>
        </is>
      </c>
      <c r="E468" t="inlineStr">
        <is>
          <t>MORA</t>
        </is>
      </c>
      <c r="G468" t="n">
        <v>5.7</v>
      </c>
      <c r="H468" t="n">
        <v>0</v>
      </c>
      <c r="I468" t="n">
        <v>0</v>
      </c>
      <c r="J468" t="n">
        <v>0</v>
      </c>
      <c r="K468" t="n">
        <v>0</v>
      </c>
      <c r="L468" t="n">
        <v>0</v>
      </c>
      <c r="M468" t="n">
        <v>0</v>
      </c>
      <c r="N468" t="n">
        <v>0</v>
      </c>
      <c r="O468" t="n">
        <v>0</v>
      </c>
      <c r="P468" t="n">
        <v>0</v>
      </c>
      <c r="Q468" t="n">
        <v>0</v>
      </c>
      <c r="R468" s="2" t="inlineStr"/>
    </row>
    <row r="469" ht="15" customHeight="1">
      <c r="A469" t="inlineStr">
        <is>
          <t>A 57797-2022</t>
        </is>
      </c>
      <c r="B469" s="1" t="n">
        <v>44897</v>
      </c>
      <c r="C469" s="1" t="n">
        <v>45795</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57859-2022</t>
        </is>
      </c>
      <c r="B470" s="1" t="n">
        <v>44898</v>
      </c>
      <c r="C470" s="1" t="n">
        <v>45795</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57903-2022</t>
        </is>
      </c>
      <c r="B471" s="1" t="n">
        <v>44900</v>
      </c>
      <c r="C471" s="1" t="n">
        <v>45795</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v>
      </c>
      <c r="C472" s="1" t="n">
        <v>45795</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58357-2022</t>
        </is>
      </c>
      <c r="B473" s="1" t="n">
        <v>44901</v>
      </c>
      <c r="C473" s="1" t="n">
        <v>45795</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58525-2022</t>
        </is>
      </c>
      <c r="B474" s="1" t="n">
        <v>44902</v>
      </c>
      <c r="C474" s="1" t="n">
        <v>45795</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58958-2022</t>
        </is>
      </c>
      <c r="B475" s="1" t="n">
        <v>44903</v>
      </c>
      <c r="C475" s="1" t="n">
        <v>45795</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59406-2022</t>
        </is>
      </c>
      <c r="B476" s="1" t="n">
        <v>44906</v>
      </c>
      <c r="C476" s="1" t="n">
        <v>45795</v>
      </c>
      <c r="D476" t="inlineStr">
        <is>
          <t>DALARNAS LÄN</t>
        </is>
      </c>
      <c r="E476" t="inlineStr">
        <is>
          <t>MORA</t>
        </is>
      </c>
      <c r="G476" t="n">
        <v>16.3</v>
      </c>
      <c r="H476" t="n">
        <v>0</v>
      </c>
      <c r="I476" t="n">
        <v>0</v>
      </c>
      <c r="J476" t="n">
        <v>0</v>
      </c>
      <c r="K476" t="n">
        <v>0</v>
      </c>
      <c r="L476" t="n">
        <v>0</v>
      </c>
      <c r="M476" t="n">
        <v>0</v>
      </c>
      <c r="N476" t="n">
        <v>0</v>
      </c>
      <c r="O476" t="n">
        <v>0</v>
      </c>
      <c r="P476" t="n">
        <v>0</v>
      </c>
      <c r="Q476" t="n">
        <v>0</v>
      </c>
      <c r="R476" s="2" t="inlineStr"/>
    </row>
    <row r="477" ht="15" customHeight="1">
      <c r="A477" t="inlineStr">
        <is>
          <t>A 59419-2022</t>
        </is>
      </c>
      <c r="B477" s="1" t="n">
        <v>44907</v>
      </c>
      <c r="C477" s="1" t="n">
        <v>45795</v>
      </c>
      <c r="D477" t="inlineStr">
        <is>
          <t>DALARNAS LÄN</t>
        </is>
      </c>
      <c r="E477" t="inlineStr">
        <is>
          <t>MORA</t>
        </is>
      </c>
      <c r="G477" t="n">
        <v>9.1</v>
      </c>
      <c r="H477" t="n">
        <v>0</v>
      </c>
      <c r="I477" t="n">
        <v>0</v>
      </c>
      <c r="J477" t="n">
        <v>0</v>
      </c>
      <c r="K477" t="n">
        <v>0</v>
      </c>
      <c r="L477" t="n">
        <v>0</v>
      </c>
      <c r="M477" t="n">
        <v>0</v>
      </c>
      <c r="N477" t="n">
        <v>0</v>
      </c>
      <c r="O477" t="n">
        <v>0</v>
      </c>
      <c r="P477" t="n">
        <v>0</v>
      </c>
      <c r="Q477" t="n">
        <v>0</v>
      </c>
      <c r="R477" s="2" t="inlineStr"/>
    </row>
    <row r="478" ht="15" customHeight="1">
      <c r="A478" t="inlineStr">
        <is>
          <t>A 59448-2022</t>
        </is>
      </c>
      <c r="B478" s="1" t="n">
        <v>44907</v>
      </c>
      <c r="C478" s="1" t="n">
        <v>45795</v>
      </c>
      <c r="D478" t="inlineStr">
        <is>
          <t>DALARNAS LÄN</t>
        </is>
      </c>
      <c r="E478" t="inlineStr">
        <is>
          <t>MORA</t>
        </is>
      </c>
      <c r="G478" t="n">
        <v>35.7</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v>
      </c>
      <c r="C479" s="1" t="n">
        <v>45795</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60647-2022</t>
        </is>
      </c>
      <c r="B480" s="1" t="n">
        <v>44911</v>
      </c>
      <c r="C480" s="1" t="n">
        <v>45795</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61263-2022</t>
        </is>
      </c>
      <c r="B481" s="1" t="n">
        <v>44915</v>
      </c>
      <c r="C481" s="1" t="n">
        <v>45795</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61273-2022</t>
        </is>
      </c>
      <c r="B482" s="1" t="n">
        <v>44915</v>
      </c>
      <c r="C482" s="1" t="n">
        <v>45795</v>
      </c>
      <c r="D482" t="inlineStr">
        <is>
          <t>DALARNAS LÄN</t>
        </is>
      </c>
      <c r="E482" t="inlineStr">
        <is>
          <t>MORA</t>
        </is>
      </c>
      <c r="G482" t="n">
        <v>8.4</v>
      </c>
      <c r="H482" t="n">
        <v>0</v>
      </c>
      <c r="I482" t="n">
        <v>0</v>
      </c>
      <c r="J482" t="n">
        <v>0</v>
      </c>
      <c r="K482" t="n">
        <v>0</v>
      </c>
      <c r="L482" t="n">
        <v>0</v>
      </c>
      <c r="M482" t="n">
        <v>0</v>
      </c>
      <c r="N482" t="n">
        <v>0</v>
      </c>
      <c r="O482" t="n">
        <v>0</v>
      </c>
      <c r="P482" t="n">
        <v>0</v>
      </c>
      <c r="Q482" t="n">
        <v>0</v>
      </c>
      <c r="R482" s="2" t="inlineStr"/>
    </row>
    <row r="483" ht="15" customHeight="1">
      <c r="A483" t="inlineStr">
        <is>
          <t>A 61293-2022</t>
        </is>
      </c>
      <c r="B483" s="1" t="n">
        <v>44915</v>
      </c>
      <c r="C483" s="1" t="n">
        <v>45795</v>
      </c>
      <c r="D483" t="inlineStr">
        <is>
          <t>DALARNAS LÄN</t>
        </is>
      </c>
      <c r="E483" t="inlineStr">
        <is>
          <t>MORA</t>
        </is>
      </c>
      <c r="G483" t="n">
        <v>0.3</v>
      </c>
      <c r="H483" t="n">
        <v>0</v>
      </c>
      <c r="I483" t="n">
        <v>0</v>
      </c>
      <c r="J483" t="n">
        <v>0</v>
      </c>
      <c r="K483" t="n">
        <v>0</v>
      </c>
      <c r="L483" t="n">
        <v>0</v>
      </c>
      <c r="M483" t="n">
        <v>0</v>
      </c>
      <c r="N483" t="n">
        <v>0</v>
      </c>
      <c r="O483" t="n">
        <v>0</v>
      </c>
      <c r="P483" t="n">
        <v>0</v>
      </c>
      <c r="Q483" t="n">
        <v>0</v>
      </c>
      <c r="R483" s="2" t="inlineStr"/>
    </row>
    <row r="484" ht="15" customHeight="1">
      <c r="A484" t="inlineStr">
        <is>
          <t>A 61301-2022</t>
        </is>
      </c>
      <c r="B484" s="1" t="n">
        <v>44915</v>
      </c>
      <c r="C484" s="1" t="n">
        <v>45795</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61482-2022</t>
        </is>
      </c>
      <c r="B485" s="1" t="n">
        <v>44916</v>
      </c>
      <c r="C485" s="1" t="n">
        <v>45795</v>
      </c>
      <c r="D485" t="inlineStr">
        <is>
          <t>DALARNAS LÄN</t>
        </is>
      </c>
      <c r="E485" t="inlineStr">
        <is>
          <t>MORA</t>
        </is>
      </c>
      <c r="G485" t="n">
        <v>7.4</v>
      </c>
      <c r="H485" t="n">
        <v>0</v>
      </c>
      <c r="I485" t="n">
        <v>0</v>
      </c>
      <c r="J485" t="n">
        <v>0</v>
      </c>
      <c r="K485" t="n">
        <v>0</v>
      </c>
      <c r="L485" t="n">
        <v>0</v>
      </c>
      <c r="M485" t="n">
        <v>0</v>
      </c>
      <c r="N485" t="n">
        <v>0</v>
      </c>
      <c r="O485" t="n">
        <v>0</v>
      </c>
      <c r="P485" t="n">
        <v>0</v>
      </c>
      <c r="Q485" t="n">
        <v>0</v>
      </c>
      <c r="R485" s="2" t="inlineStr"/>
    </row>
    <row r="486" ht="15" customHeight="1">
      <c r="A486" t="inlineStr">
        <is>
          <t>A 61794-2022</t>
        </is>
      </c>
      <c r="B486" s="1" t="n">
        <v>44917</v>
      </c>
      <c r="C486" s="1" t="n">
        <v>45795</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62188-2022</t>
        </is>
      </c>
      <c r="B487" s="1" t="n">
        <v>44922</v>
      </c>
      <c r="C487" s="1" t="n">
        <v>45795</v>
      </c>
      <c r="D487" t="inlineStr">
        <is>
          <t>DALARNAS LÄN</t>
        </is>
      </c>
      <c r="E487" t="inlineStr">
        <is>
          <t>MORA</t>
        </is>
      </c>
      <c r="G487" t="n">
        <v>2.3</v>
      </c>
      <c r="H487" t="n">
        <v>0</v>
      </c>
      <c r="I487" t="n">
        <v>0</v>
      </c>
      <c r="J487" t="n">
        <v>0</v>
      </c>
      <c r="K487" t="n">
        <v>0</v>
      </c>
      <c r="L487" t="n">
        <v>0</v>
      </c>
      <c r="M487" t="n">
        <v>0</v>
      </c>
      <c r="N487" t="n">
        <v>0</v>
      </c>
      <c r="O487" t="n">
        <v>0</v>
      </c>
      <c r="P487" t="n">
        <v>0</v>
      </c>
      <c r="Q487" t="n">
        <v>0</v>
      </c>
      <c r="R487" s="2" t="inlineStr"/>
    </row>
    <row r="488" ht="15" customHeight="1">
      <c r="A488" t="inlineStr">
        <is>
          <t>A 518-2023</t>
        </is>
      </c>
      <c r="B488" s="1" t="n">
        <v>44930</v>
      </c>
      <c r="C488" s="1" t="n">
        <v>45795</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1888-2023</t>
        </is>
      </c>
      <c r="B489" s="1" t="n">
        <v>44937</v>
      </c>
      <c r="C489" s="1" t="n">
        <v>45795</v>
      </c>
      <c r="D489" t="inlineStr">
        <is>
          <t>DALARNAS LÄN</t>
        </is>
      </c>
      <c r="E489" t="inlineStr">
        <is>
          <t>MORA</t>
        </is>
      </c>
      <c r="G489" t="n">
        <v>3.7</v>
      </c>
      <c r="H489" t="n">
        <v>0</v>
      </c>
      <c r="I489" t="n">
        <v>0</v>
      </c>
      <c r="J489" t="n">
        <v>0</v>
      </c>
      <c r="K489" t="n">
        <v>0</v>
      </c>
      <c r="L489" t="n">
        <v>0</v>
      </c>
      <c r="M489" t="n">
        <v>0</v>
      </c>
      <c r="N489" t="n">
        <v>0</v>
      </c>
      <c r="O489" t="n">
        <v>0</v>
      </c>
      <c r="P489" t="n">
        <v>0</v>
      </c>
      <c r="Q489" t="n">
        <v>0</v>
      </c>
      <c r="R489" s="2" t="inlineStr"/>
    </row>
    <row r="490" ht="15" customHeight="1">
      <c r="A490" t="inlineStr">
        <is>
          <t>A 1906-2023</t>
        </is>
      </c>
      <c r="B490" s="1" t="n">
        <v>44937</v>
      </c>
      <c r="C490" s="1" t="n">
        <v>45795</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1894-2023</t>
        </is>
      </c>
      <c r="B491" s="1" t="n">
        <v>44937</v>
      </c>
      <c r="C491" s="1" t="n">
        <v>45795</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1897-2023</t>
        </is>
      </c>
      <c r="B492" s="1" t="n">
        <v>44937</v>
      </c>
      <c r="C492" s="1" t="n">
        <v>45795</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2308-2023</t>
        </is>
      </c>
      <c r="B493" s="1" t="n">
        <v>44942</v>
      </c>
      <c r="C493" s="1" t="n">
        <v>45795</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2304-2023</t>
        </is>
      </c>
      <c r="B494" s="1" t="n">
        <v>44942</v>
      </c>
      <c r="C494" s="1" t="n">
        <v>45795</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2372-2023</t>
        </is>
      </c>
      <c r="B495" s="1" t="n">
        <v>44942</v>
      </c>
      <c r="C495" s="1" t="n">
        <v>45795</v>
      </c>
      <c r="D495" t="inlineStr">
        <is>
          <t>DALARNAS LÄN</t>
        </is>
      </c>
      <c r="E495" t="inlineStr">
        <is>
          <t>MORA</t>
        </is>
      </c>
      <c r="G495" t="n">
        <v>7.7</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v>
      </c>
      <c r="C496" s="1" t="n">
        <v>45795</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3049-2023</t>
        </is>
      </c>
      <c r="B497" s="1" t="n">
        <v>44946</v>
      </c>
      <c r="C497" s="1" t="n">
        <v>45795</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3430-2023</t>
        </is>
      </c>
      <c r="B498" s="1" t="n">
        <v>44949</v>
      </c>
      <c r="C498" s="1" t="n">
        <v>45795</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4205-2023</t>
        </is>
      </c>
      <c r="B499" s="1" t="n">
        <v>44953</v>
      </c>
      <c r="C499" s="1" t="n">
        <v>45795</v>
      </c>
      <c r="D499" t="inlineStr">
        <is>
          <t>DALARNAS LÄN</t>
        </is>
      </c>
      <c r="E499" t="inlineStr">
        <is>
          <t>MORA</t>
        </is>
      </c>
      <c r="G499" t="n">
        <v>26.2</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v>
      </c>
      <c r="C500" s="1" t="n">
        <v>45795</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4209-2023</t>
        </is>
      </c>
      <c r="B501" s="1" t="n">
        <v>44953</v>
      </c>
      <c r="C501" s="1" t="n">
        <v>45795</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4206-2023</t>
        </is>
      </c>
      <c r="B502" s="1" t="n">
        <v>44953</v>
      </c>
      <c r="C502" s="1" t="n">
        <v>45795</v>
      </c>
      <c r="D502" t="inlineStr">
        <is>
          <t>DALARNAS LÄN</t>
        </is>
      </c>
      <c r="E502" t="inlineStr">
        <is>
          <t>MORA</t>
        </is>
      </c>
      <c r="G502" t="n">
        <v>3.1</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45795</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4497-2023</t>
        </is>
      </c>
      <c r="B504" s="1" t="n">
        <v>44956</v>
      </c>
      <c r="C504" s="1" t="n">
        <v>45795</v>
      </c>
      <c r="D504" t="inlineStr">
        <is>
          <t>DALARNAS LÄN</t>
        </is>
      </c>
      <c r="E504" t="inlineStr">
        <is>
          <t>MORA</t>
        </is>
      </c>
      <c r="G504" t="n">
        <v>6.4</v>
      </c>
      <c r="H504" t="n">
        <v>0</v>
      </c>
      <c r="I504" t="n">
        <v>0</v>
      </c>
      <c r="J504" t="n">
        <v>0</v>
      </c>
      <c r="K504" t="n">
        <v>0</v>
      </c>
      <c r="L504" t="n">
        <v>0</v>
      </c>
      <c r="M504" t="n">
        <v>0</v>
      </c>
      <c r="N504" t="n">
        <v>0</v>
      </c>
      <c r="O504" t="n">
        <v>0</v>
      </c>
      <c r="P504" t="n">
        <v>0</v>
      </c>
      <c r="Q504" t="n">
        <v>0</v>
      </c>
      <c r="R504" s="2" t="inlineStr"/>
    </row>
    <row r="505" ht="15" customHeight="1">
      <c r="A505" t="inlineStr">
        <is>
          <t>A 4506-2023</t>
        </is>
      </c>
      <c r="B505" s="1" t="n">
        <v>44956</v>
      </c>
      <c r="C505" s="1" t="n">
        <v>45795</v>
      </c>
      <c r="D505" t="inlineStr">
        <is>
          <t>DALARNAS LÄN</t>
        </is>
      </c>
      <c r="E505" t="inlineStr">
        <is>
          <t>MORA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5309-2023</t>
        </is>
      </c>
      <c r="B506" s="1" t="n">
        <v>44956</v>
      </c>
      <c r="C506" s="1" t="n">
        <v>45795</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5486-2023</t>
        </is>
      </c>
      <c r="B507" s="1" t="n">
        <v>44957</v>
      </c>
      <c r="C507" s="1" t="n">
        <v>45795</v>
      </c>
      <c r="D507" t="inlineStr">
        <is>
          <t>DALARNAS LÄN</t>
        </is>
      </c>
      <c r="E507" t="inlineStr">
        <is>
          <t>MORA</t>
        </is>
      </c>
      <c r="G507" t="n">
        <v>3.2</v>
      </c>
      <c r="H507" t="n">
        <v>0</v>
      </c>
      <c r="I507" t="n">
        <v>0</v>
      </c>
      <c r="J507" t="n">
        <v>0</v>
      </c>
      <c r="K507" t="n">
        <v>0</v>
      </c>
      <c r="L507" t="n">
        <v>0</v>
      </c>
      <c r="M507" t="n">
        <v>0</v>
      </c>
      <c r="N507" t="n">
        <v>0</v>
      </c>
      <c r="O507" t="n">
        <v>0</v>
      </c>
      <c r="P507" t="n">
        <v>0</v>
      </c>
      <c r="Q507" t="n">
        <v>0</v>
      </c>
      <c r="R507" s="2" t="inlineStr"/>
    </row>
    <row r="508" ht="15" customHeight="1">
      <c r="A508" t="inlineStr">
        <is>
          <t>A 5493-2023</t>
        </is>
      </c>
      <c r="B508" s="1" t="n">
        <v>44957</v>
      </c>
      <c r="C508" s="1" t="n">
        <v>45795</v>
      </c>
      <c r="D508" t="inlineStr">
        <is>
          <t>DALARNAS LÄN</t>
        </is>
      </c>
      <c r="E508" t="inlineStr">
        <is>
          <t>MORA</t>
        </is>
      </c>
      <c r="F508" t="inlineStr">
        <is>
          <t>Allmännings- och besparingsskogar</t>
        </is>
      </c>
      <c r="G508" t="n">
        <v>14.9</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45795</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5028-2023</t>
        </is>
      </c>
      <c r="B510" s="1" t="n">
        <v>44958</v>
      </c>
      <c r="C510" s="1" t="n">
        <v>45795</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5031-2023</t>
        </is>
      </c>
      <c r="B511" s="1" t="n">
        <v>44958</v>
      </c>
      <c r="C511" s="1" t="n">
        <v>45795</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5298-2023</t>
        </is>
      </c>
      <c r="B512" s="1" t="n">
        <v>44959</v>
      </c>
      <c r="C512" s="1" t="n">
        <v>45795</v>
      </c>
      <c r="D512" t="inlineStr">
        <is>
          <t>DALARNAS LÄN</t>
        </is>
      </c>
      <c r="E512" t="inlineStr">
        <is>
          <t>MORA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6168-2023</t>
        </is>
      </c>
      <c r="B513" s="1" t="n">
        <v>44964</v>
      </c>
      <c r="C513" s="1" t="n">
        <v>45795</v>
      </c>
      <c r="D513" t="inlineStr">
        <is>
          <t>DALARNAS LÄN</t>
        </is>
      </c>
      <c r="E513" t="inlineStr">
        <is>
          <t>MORA</t>
        </is>
      </c>
      <c r="G513" t="n">
        <v>12.7</v>
      </c>
      <c r="H513" t="n">
        <v>0</v>
      </c>
      <c r="I513" t="n">
        <v>0</v>
      </c>
      <c r="J513" t="n">
        <v>0</v>
      </c>
      <c r="K513" t="n">
        <v>0</v>
      </c>
      <c r="L513" t="n">
        <v>0</v>
      </c>
      <c r="M513" t="n">
        <v>0</v>
      </c>
      <c r="N513" t="n">
        <v>0</v>
      </c>
      <c r="O513" t="n">
        <v>0</v>
      </c>
      <c r="P513" t="n">
        <v>0</v>
      </c>
      <c r="Q513" t="n">
        <v>0</v>
      </c>
      <c r="R513" s="2" t="inlineStr"/>
    </row>
    <row r="514" ht="15" customHeight="1">
      <c r="A514" t="inlineStr">
        <is>
          <t>A 7613-2023</t>
        </is>
      </c>
      <c r="B514" s="1" t="n">
        <v>44967</v>
      </c>
      <c r="C514" s="1" t="n">
        <v>45795</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7464-2023</t>
        </is>
      </c>
      <c r="B515" s="1" t="n">
        <v>44971</v>
      </c>
      <c r="C515" s="1" t="n">
        <v>45795</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8785-2023</t>
        </is>
      </c>
      <c r="B516" s="1" t="n">
        <v>44978</v>
      </c>
      <c r="C516" s="1" t="n">
        <v>45795</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9023-2023</t>
        </is>
      </c>
      <c r="B517" s="1" t="n">
        <v>44979</v>
      </c>
      <c r="C517" s="1" t="n">
        <v>45795</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9828-2023</t>
        </is>
      </c>
      <c r="B518" s="1" t="n">
        <v>44984</v>
      </c>
      <c r="C518" s="1" t="n">
        <v>45795</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10210-2023</t>
        </is>
      </c>
      <c r="B519" s="1" t="n">
        <v>44986</v>
      </c>
      <c r="C519" s="1" t="n">
        <v>45795</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11857-2023</t>
        </is>
      </c>
      <c r="B520" s="1" t="n">
        <v>44995</v>
      </c>
      <c r="C520" s="1" t="n">
        <v>45795</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12675-2023</t>
        </is>
      </c>
      <c r="B521" s="1" t="n">
        <v>45000</v>
      </c>
      <c r="C521" s="1" t="n">
        <v>45795</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12790-2023</t>
        </is>
      </c>
      <c r="B522" s="1" t="n">
        <v>45001</v>
      </c>
      <c r="C522" s="1" t="n">
        <v>45795</v>
      </c>
      <c r="D522" t="inlineStr">
        <is>
          <t>DALARNAS LÄN</t>
        </is>
      </c>
      <c r="E522" t="inlineStr">
        <is>
          <t>MORA</t>
        </is>
      </c>
      <c r="G522" t="n">
        <v>12.3</v>
      </c>
      <c r="H522" t="n">
        <v>0</v>
      </c>
      <c r="I522" t="n">
        <v>0</v>
      </c>
      <c r="J522" t="n">
        <v>0</v>
      </c>
      <c r="K522" t="n">
        <v>0</v>
      </c>
      <c r="L522" t="n">
        <v>0</v>
      </c>
      <c r="M522" t="n">
        <v>0</v>
      </c>
      <c r="N522" t="n">
        <v>0</v>
      </c>
      <c r="O522" t="n">
        <v>0</v>
      </c>
      <c r="P522" t="n">
        <v>0</v>
      </c>
      <c r="Q522" t="n">
        <v>0</v>
      </c>
      <c r="R522" s="2" t="inlineStr"/>
    </row>
    <row r="523" ht="15" customHeight="1">
      <c r="A523" t="inlineStr">
        <is>
          <t>A 12828-2023</t>
        </is>
      </c>
      <c r="B523" s="1" t="n">
        <v>45001</v>
      </c>
      <c r="C523" s="1" t="n">
        <v>45795</v>
      </c>
      <c r="D523" t="inlineStr">
        <is>
          <t>DALARNAS LÄN</t>
        </is>
      </c>
      <c r="E523" t="inlineStr">
        <is>
          <t>MORA</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13177-2023</t>
        </is>
      </c>
      <c r="B524" s="1" t="n">
        <v>45002</v>
      </c>
      <c r="C524" s="1" t="n">
        <v>45795</v>
      </c>
      <c r="D524" t="inlineStr">
        <is>
          <t>DALARNAS LÄN</t>
        </is>
      </c>
      <c r="E524" t="inlineStr">
        <is>
          <t>MORA</t>
        </is>
      </c>
      <c r="G524" t="n">
        <v>17.5</v>
      </c>
      <c r="H524" t="n">
        <v>0</v>
      </c>
      <c r="I524" t="n">
        <v>0</v>
      </c>
      <c r="J524" t="n">
        <v>0</v>
      </c>
      <c r="K524" t="n">
        <v>0</v>
      </c>
      <c r="L524" t="n">
        <v>0</v>
      </c>
      <c r="M524" t="n">
        <v>0</v>
      </c>
      <c r="N524" t="n">
        <v>0</v>
      </c>
      <c r="O524" t="n">
        <v>0</v>
      </c>
      <c r="P524" t="n">
        <v>0</v>
      </c>
      <c r="Q524" t="n">
        <v>0</v>
      </c>
      <c r="R524" s="2" t="inlineStr"/>
    </row>
    <row r="525" ht="15" customHeight="1">
      <c r="A525" t="inlineStr">
        <is>
          <t>A 13717-2023</t>
        </is>
      </c>
      <c r="B525" s="1" t="n">
        <v>45007</v>
      </c>
      <c r="C525" s="1" t="n">
        <v>45795</v>
      </c>
      <c r="D525" t="inlineStr">
        <is>
          <t>DALARNAS LÄN</t>
        </is>
      </c>
      <c r="E525" t="inlineStr">
        <is>
          <t>MORA</t>
        </is>
      </c>
      <c r="G525" t="n">
        <v>5.6</v>
      </c>
      <c r="H525" t="n">
        <v>0</v>
      </c>
      <c r="I525" t="n">
        <v>0</v>
      </c>
      <c r="J525" t="n">
        <v>0</v>
      </c>
      <c r="K525" t="n">
        <v>0</v>
      </c>
      <c r="L525" t="n">
        <v>0</v>
      </c>
      <c r="M525" t="n">
        <v>0</v>
      </c>
      <c r="N525" t="n">
        <v>0</v>
      </c>
      <c r="O525" t="n">
        <v>0</v>
      </c>
      <c r="P525" t="n">
        <v>0</v>
      </c>
      <c r="Q525" t="n">
        <v>0</v>
      </c>
      <c r="R525" s="2" t="inlineStr"/>
      <c r="U525">
        <f>HYPERLINK("https://klasma.github.io/Logging_2062/knärot/A 13717-2023 karta knärot.png", "A 13717-2023")</f>
        <v/>
      </c>
      <c r="V525">
        <f>HYPERLINK("https://klasma.github.io/Logging_2062/klagomål/A 13717-2023 FSC-klagomål.docx", "A 13717-2023")</f>
        <v/>
      </c>
      <c r="W525">
        <f>HYPERLINK("https://klasma.github.io/Logging_2062/klagomålsmail/A 13717-2023 FSC-klagomål mail.docx", "A 13717-2023")</f>
        <v/>
      </c>
      <c r="X525">
        <f>HYPERLINK("https://klasma.github.io/Logging_2062/tillsyn/A 13717-2023 tillsynsbegäran.docx", "A 13717-2023")</f>
        <v/>
      </c>
      <c r="Y525">
        <f>HYPERLINK("https://klasma.github.io/Logging_2062/tillsynsmail/A 13717-2023 tillsynsbegäran mail.docx", "A 13717-2023")</f>
        <v/>
      </c>
    </row>
    <row r="526" ht="15" customHeight="1">
      <c r="A526" t="inlineStr">
        <is>
          <t>A 14040-2023</t>
        </is>
      </c>
      <c r="B526" s="1" t="n">
        <v>45008</v>
      </c>
      <c r="C526" s="1" t="n">
        <v>45795</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14641-2023</t>
        </is>
      </c>
      <c r="B527" s="1" t="n">
        <v>45013</v>
      </c>
      <c r="C527" s="1" t="n">
        <v>45795</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14981-2023</t>
        </is>
      </c>
      <c r="B528" s="1" t="n">
        <v>45015</v>
      </c>
      <c r="C528" s="1" t="n">
        <v>45795</v>
      </c>
      <c r="D528" t="inlineStr">
        <is>
          <t>DALARNAS LÄN</t>
        </is>
      </c>
      <c r="E528" t="inlineStr">
        <is>
          <t>MORA</t>
        </is>
      </c>
      <c r="G528" t="n">
        <v>11.7</v>
      </c>
      <c r="H528" t="n">
        <v>0</v>
      </c>
      <c r="I528" t="n">
        <v>0</v>
      </c>
      <c r="J528" t="n">
        <v>0</v>
      </c>
      <c r="K528" t="n">
        <v>0</v>
      </c>
      <c r="L528" t="n">
        <v>0</v>
      </c>
      <c r="M528" t="n">
        <v>0</v>
      </c>
      <c r="N528" t="n">
        <v>0</v>
      </c>
      <c r="O528" t="n">
        <v>0</v>
      </c>
      <c r="P528" t="n">
        <v>0</v>
      </c>
      <c r="Q528" t="n">
        <v>0</v>
      </c>
      <c r="R528" s="2" t="inlineStr"/>
    </row>
    <row r="529" ht="15" customHeight="1">
      <c r="A529" t="inlineStr">
        <is>
          <t>A 15416-2023</t>
        </is>
      </c>
      <c r="B529" s="1" t="n">
        <v>45019</v>
      </c>
      <c r="C529" s="1" t="n">
        <v>45795</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15415-2023</t>
        </is>
      </c>
      <c r="B530" s="1" t="n">
        <v>45019</v>
      </c>
      <c r="C530" s="1" t="n">
        <v>45795</v>
      </c>
      <c r="D530" t="inlineStr">
        <is>
          <t>DALARNAS LÄN</t>
        </is>
      </c>
      <c r="E530" t="inlineStr">
        <is>
          <t>MORA</t>
        </is>
      </c>
      <c r="G530" t="n">
        <v>7.2</v>
      </c>
      <c r="H530" t="n">
        <v>0</v>
      </c>
      <c r="I530" t="n">
        <v>0</v>
      </c>
      <c r="J530" t="n">
        <v>0</v>
      </c>
      <c r="K530" t="n">
        <v>0</v>
      </c>
      <c r="L530" t="n">
        <v>0</v>
      </c>
      <c r="M530" t="n">
        <v>0</v>
      </c>
      <c r="N530" t="n">
        <v>0</v>
      </c>
      <c r="O530" t="n">
        <v>0</v>
      </c>
      <c r="P530" t="n">
        <v>0</v>
      </c>
      <c r="Q530" t="n">
        <v>0</v>
      </c>
      <c r="R530" s="2" t="inlineStr"/>
    </row>
    <row r="531" ht="15" customHeight="1">
      <c r="A531" t="inlineStr">
        <is>
          <t>A 15671-2023</t>
        </is>
      </c>
      <c r="B531" s="1" t="n">
        <v>45021</v>
      </c>
      <c r="C531" s="1" t="n">
        <v>45795</v>
      </c>
      <c r="D531" t="inlineStr">
        <is>
          <t>DALARNAS LÄN</t>
        </is>
      </c>
      <c r="E531" t="inlineStr">
        <is>
          <t>MORA</t>
        </is>
      </c>
      <c r="G531" t="n">
        <v>14.3</v>
      </c>
      <c r="H531" t="n">
        <v>0</v>
      </c>
      <c r="I531" t="n">
        <v>0</v>
      </c>
      <c r="J531" t="n">
        <v>0</v>
      </c>
      <c r="K531" t="n">
        <v>0</v>
      </c>
      <c r="L531" t="n">
        <v>0</v>
      </c>
      <c r="M531" t="n">
        <v>0</v>
      </c>
      <c r="N531" t="n">
        <v>0</v>
      </c>
      <c r="O531" t="n">
        <v>0</v>
      </c>
      <c r="P531" t="n">
        <v>0</v>
      </c>
      <c r="Q531" t="n">
        <v>0</v>
      </c>
      <c r="R531" s="2" t="inlineStr"/>
    </row>
    <row r="532" ht="15" customHeight="1">
      <c r="A532" t="inlineStr">
        <is>
          <t>A 16407-2023</t>
        </is>
      </c>
      <c r="B532" s="1" t="n">
        <v>45029</v>
      </c>
      <c r="C532" s="1" t="n">
        <v>45795</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16852-2023</t>
        </is>
      </c>
      <c r="B533" s="1" t="n">
        <v>45033</v>
      </c>
      <c r="C533" s="1" t="n">
        <v>45795</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v>
      </c>
      <c r="C534" s="1" t="n">
        <v>45795</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18433-2023</t>
        </is>
      </c>
      <c r="B535" s="1" t="n">
        <v>45042</v>
      </c>
      <c r="C535" s="1" t="n">
        <v>45795</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18725-2023</t>
        </is>
      </c>
      <c r="B536" s="1" t="n">
        <v>45043</v>
      </c>
      <c r="C536" s="1" t="n">
        <v>45795</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19191-2023</t>
        </is>
      </c>
      <c r="B537" s="1" t="n">
        <v>45044</v>
      </c>
      <c r="C537" s="1" t="n">
        <v>45795</v>
      </c>
      <c r="D537" t="inlineStr">
        <is>
          <t>DALARNAS LÄN</t>
        </is>
      </c>
      <c r="E537" t="inlineStr">
        <is>
          <t>MORA</t>
        </is>
      </c>
      <c r="G537" t="n">
        <v>12.5</v>
      </c>
      <c r="H537" t="n">
        <v>0</v>
      </c>
      <c r="I537" t="n">
        <v>0</v>
      </c>
      <c r="J537" t="n">
        <v>0</v>
      </c>
      <c r="K537" t="n">
        <v>0</v>
      </c>
      <c r="L537" t="n">
        <v>0</v>
      </c>
      <c r="M537" t="n">
        <v>0</v>
      </c>
      <c r="N537" t="n">
        <v>0</v>
      </c>
      <c r="O537" t="n">
        <v>0</v>
      </c>
      <c r="P537" t="n">
        <v>0</v>
      </c>
      <c r="Q537" t="n">
        <v>0</v>
      </c>
      <c r="R537" s="2" t="inlineStr"/>
    </row>
    <row r="538" ht="15" customHeight="1">
      <c r="A538" t="inlineStr">
        <is>
          <t>A 19202-2023</t>
        </is>
      </c>
      <c r="B538" s="1" t="n">
        <v>45044</v>
      </c>
      <c r="C538" s="1" t="n">
        <v>45795</v>
      </c>
      <c r="D538" t="inlineStr">
        <is>
          <t>DALARNAS LÄN</t>
        </is>
      </c>
      <c r="E538" t="inlineStr">
        <is>
          <t>MORA</t>
        </is>
      </c>
      <c r="G538" t="n">
        <v>28.5</v>
      </c>
      <c r="H538" t="n">
        <v>0</v>
      </c>
      <c r="I538" t="n">
        <v>0</v>
      </c>
      <c r="J538" t="n">
        <v>0</v>
      </c>
      <c r="K538" t="n">
        <v>0</v>
      </c>
      <c r="L538" t="n">
        <v>0</v>
      </c>
      <c r="M538" t="n">
        <v>0</v>
      </c>
      <c r="N538" t="n">
        <v>0</v>
      </c>
      <c r="O538" t="n">
        <v>0</v>
      </c>
      <c r="P538" t="n">
        <v>0</v>
      </c>
      <c r="Q538" t="n">
        <v>0</v>
      </c>
      <c r="R538" s="2" t="inlineStr"/>
    </row>
    <row r="539" ht="15" customHeight="1">
      <c r="A539" t="inlineStr">
        <is>
          <t>A 19286-2023</t>
        </is>
      </c>
      <c r="B539" s="1" t="n">
        <v>45049</v>
      </c>
      <c r="C539" s="1" t="n">
        <v>45795</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20297-2023</t>
        </is>
      </c>
      <c r="B540" s="1" t="n">
        <v>45056</v>
      </c>
      <c r="C540" s="1" t="n">
        <v>45795</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45795</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20300-2023</t>
        </is>
      </c>
      <c r="B542" s="1" t="n">
        <v>45056</v>
      </c>
      <c r="C542" s="1" t="n">
        <v>45795</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20504-2023</t>
        </is>
      </c>
      <c r="B543" s="1" t="n">
        <v>45057</v>
      </c>
      <c r="C543" s="1" t="n">
        <v>45795</v>
      </c>
      <c r="D543" t="inlineStr">
        <is>
          <t>DALARNAS LÄN</t>
        </is>
      </c>
      <c r="E543" t="inlineStr">
        <is>
          <t>MORA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20563-2023</t>
        </is>
      </c>
      <c r="B544" s="1" t="n">
        <v>45057</v>
      </c>
      <c r="C544" s="1" t="n">
        <v>45795</v>
      </c>
      <c r="D544" t="inlineStr">
        <is>
          <t>DALARNAS LÄN</t>
        </is>
      </c>
      <c r="E544" t="inlineStr">
        <is>
          <t>MORA</t>
        </is>
      </c>
      <c r="F544" t="inlineStr">
        <is>
          <t>Bergvik skog öst AB</t>
        </is>
      </c>
      <c r="G544" t="n">
        <v>23.2</v>
      </c>
      <c r="H544" t="n">
        <v>0</v>
      </c>
      <c r="I544" t="n">
        <v>0</v>
      </c>
      <c r="J544" t="n">
        <v>0</v>
      </c>
      <c r="K544" t="n">
        <v>0</v>
      </c>
      <c r="L544" t="n">
        <v>0</v>
      </c>
      <c r="M544" t="n">
        <v>0</v>
      </c>
      <c r="N544" t="n">
        <v>0</v>
      </c>
      <c r="O544" t="n">
        <v>0</v>
      </c>
      <c r="P544" t="n">
        <v>0</v>
      </c>
      <c r="Q544" t="n">
        <v>0</v>
      </c>
      <c r="R544" s="2" t="inlineStr"/>
    </row>
    <row r="545" ht="15" customHeight="1">
      <c r="A545" t="inlineStr">
        <is>
          <t>A 21034-2023</t>
        </is>
      </c>
      <c r="B545" s="1" t="n">
        <v>45061</v>
      </c>
      <c r="C545" s="1" t="n">
        <v>45795</v>
      </c>
      <c r="D545" t="inlineStr">
        <is>
          <t>DALARNAS LÄN</t>
        </is>
      </c>
      <c r="E545" t="inlineStr">
        <is>
          <t>MORA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21055-2023</t>
        </is>
      </c>
      <c r="B546" s="1" t="n">
        <v>45061</v>
      </c>
      <c r="C546" s="1" t="n">
        <v>45795</v>
      </c>
      <c r="D546" t="inlineStr">
        <is>
          <t>DALARNAS LÄN</t>
        </is>
      </c>
      <c r="E546" t="inlineStr">
        <is>
          <t>MORA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21027-2023</t>
        </is>
      </c>
      <c r="B547" s="1" t="n">
        <v>45061</v>
      </c>
      <c r="C547" s="1" t="n">
        <v>45795</v>
      </c>
      <c r="D547" t="inlineStr">
        <is>
          <t>DALARNAS LÄN</t>
        </is>
      </c>
      <c r="E547" t="inlineStr">
        <is>
          <t>MORA</t>
        </is>
      </c>
      <c r="F547" t="inlineStr">
        <is>
          <t>Bergvik skog öst AB</t>
        </is>
      </c>
      <c r="G547" t="n">
        <v>5.1</v>
      </c>
      <c r="H547" t="n">
        <v>0</v>
      </c>
      <c r="I547" t="n">
        <v>0</v>
      </c>
      <c r="J547" t="n">
        <v>0</v>
      </c>
      <c r="K547" t="n">
        <v>0</v>
      </c>
      <c r="L547" t="n">
        <v>0</v>
      </c>
      <c r="M547" t="n">
        <v>0</v>
      </c>
      <c r="N547" t="n">
        <v>0</v>
      </c>
      <c r="O547" t="n">
        <v>0</v>
      </c>
      <c r="P547" t="n">
        <v>0</v>
      </c>
      <c r="Q547" t="n">
        <v>0</v>
      </c>
      <c r="R547" s="2" t="inlineStr"/>
    </row>
    <row r="548" ht="15" customHeight="1">
      <c r="A548" t="inlineStr">
        <is>
          <t>A 21410-2023</t>
        </is>
      </c>
      <c r="B548" s="1" t="n">
        <v>45063</v>
      </c>
      <c r="C548" s="1" t="n">
        <v>45795</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21898-2023</t>
        </is>
      </c>
      <c r="B549" s="1" t="n">
        <v>45068</v>
      </c>
      <c r="C549" s="1" t="n">
        <v>45795</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21834-2023</t>
        </is>
      </c>
      <c r="B550" s="1" t="n">
        <v>45068</v>
      </c>
      <c r="C550" s="1" t="n">
        <v>45795</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21896-2023</t>
        </is>
      </c>
      <c r="B551" s="1" t="n">
        <v>45068</v>
      </c>
      <c r="C551" s="1" t="n">
        <v>45795</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22449-2023</t>
        </is>
      </c>
      <c r="B552" s="1" t="n">
        <v>45070</v>
      </c>
      <c r="C552" s="1" t="n">
        <v>45795</v>
      </c>
      <c r="D552" t="inlineStr">
        <is>
          <t>DALARNAS LÄN</t>
        </is>
      </c>
      <c r="E552" t="inlineStr">
        <is>
          <t>MORA</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22492-2023</t>
        </is>
      </c>
      <c r="B553" s="1" t="n">
        <v>45071</v>
      </c>
      <c r="C553" s="1" t="n">
        <v>45795</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22785-2023</t>
        </is>
      </c>
      <c r="B554" s="1" t="n">
        <v>45072</v>
      </c>
      <c r="C554" s="1" t="n">
        <v>45795</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22841-2023</t>
        </is>
      </c>
      <c r="B555" s="1" t="n">
        <v>45072</v>
      </c>
      <c r="C555" s="1" t="n">
        <v>45795</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22881-2023</t>
        </is>
      </c>
      <c r="B556" s="1" t="n">
        <v>45072</v>
      </c>
      <c r="C556" s="1" t="n">
        <v>45795</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22888-2023</t>
        </is>
      </c>
      <c r="B557" s="1" t="n">
        <v>45072</v>
      </c>
      <c r="C557" s="1" t="n">
        <v>45795</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22854-2023</t>
        </is>
      </c>
      <c r="B558" s="1" t="n">
        <v>45072</v>
      </c>
      <c r="C558" s="1" t="n">
        <v>45795</v>
      </c>
      <c r="D558" t="inlineStr">
        <is>
          <t>DALARNAS LÄN</t>
        </is>
      </c>
      <c r="E558" t="inlineStr">
        <is>
          <t>MORA</t>
        </is>
      </c>
      <c r="G558" t="n">
        <v>3.3</v>
      </c>
      <c r="H558" t="n">
        <v>0</v>
      </c>
      <c r="I558" t="n">
        <v>0</v>
      </c>
      <c r="J558" t="n">
        <v>0</v>
      </c>
      <c r="K558" t="n">
        <v>0</v>
      </c>
      <c r="L558" t="n">
        <v>0</v>
      </c>
      <c r="M558" t="n">
        <v>0</v>
      </c>
      <c r="N558" t="n">
        <v>0</v>
      </c>
      <c r="O558" t="n">
        <v>0</v>
      </c>
      <c r="P558" t="n">
        <v>0</v>
      </c>
      <c r="Q558" t="n">
        <v>0</v>
      </c>
      <c r="R558" s="2" t="inlineStr"/>
    </row>
    <row r="559" ht="15" customHeight="1">
      <c r="A559" t="inlineStr">
        <is>
          <t>A 22887-2023</t>
        </is>
      </c>
      <c r="B559" s="1" t="n">
        <v>45072</v>
      </c>
      <c r="C559" s="1" t="n">
        <v>45795</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23113-2023</t>
        </is>
      </c>
      <c r="B560" s="1" t="n">
        <v>45075</v>
      </c>
      <c r="C560" s="1" t="n">
        <v>45795</v>
      </c>
      <c r="D560" t="inlineStr">
        <is>
          <t>DALARNAS LÄN</t>
        </is>
      </c>
      <c r="E560" t="inlineStr">
        <is>
          <t>MORA</t>
        </is>
      </c>
      <c r="G560" t="n">
        <v>18.3</v>
      </c>
      <c r="H560" t="n">
        <v>0</v>
      </c>
      <c r="I560" t="n">
        <v>0</v>
      </c>
      <c r="J560" t="n">
        <v>0</v>
      </c>
      <c r="K560" t="n">
        <v>0</v>
      </c>
      <c r="L560" t="n">
        <v>0</v>
      </c>
      <c r="M560" t="n">
        <v>0</v>
      </c>
      <c r="N560" t="n">
        <v>0</v>
      </c>
      <c r="O560" t="n">
        <v>0</v>
      </c>
      <c r="P560" t="n">
        <v>0</v>
      </c>
      <c r="Q560" t="n">
        <v>0</v>
      </c>
      <c r="R560" s="2" t="inlineStr"/>
    </row>
    <row r="561" ht="15" customHeight="1">
      <c r="A561" t="inlineStr">
        <is>
          <t>A 23192-2023</t>
        </is>
      </c>
      <c r="B561" s="1" t="n">
        <v>45075</v>
      </c>
      <c r="C561" s="1" t="n">
        <v>45795</v>
      </c>
      <c r="D561" t="inlineStr">
        <is>
          <t>DALARNAS LÄN</t>
        </is>
      </c>
      <c r="E561" t="inlineStr">
        <is>
          <t>MORA</t>
        </is>
      </c>
      <c r="G561" t="n">
        <v>12.3</v>
      </c>
      <c r="H561" t="n">
        <v>0</v>
      </c>
      <c r="I561" t="n">
        <v>0</v>
      </c>
      <c r="J561" t="n">
        <v>0</v>
      </c>
      <c r="K561" t="n">
        <v>0</v>
      </c>
      <c r="L561" t="n">
        <v>0</v>
      </c>
      <c r="M561" t="n">
        <v>0</v>
      </c>
      <c r="N561" t="n">
        <v>0</v>
      </c>
      <c r="O561" t="n">
        <v>0</v>
      </c>
      <c r="P561" t="n">
        <v>0</v>
      </c>
      <c r="Q561" t="n">
        <v>0</v>
      </c>
      <c r="R561" s="2" t="inlineStr"/>
    </row>
    <row r="562" ht="15" customHeight="1">
      <c r="A562" t="inlineStr">
        <is>
          <t>A 23194-2023</t>
        </is>
      </c>
      <c r="B562" s="1" t="n">
        <v>45075</v>
      </c>
      <c r="C562" s="1" t="n">
        <v>45795</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23586-2023</t>
        </is>
      </c>
      <c r="B563" s="1" t="n">
        <v>45077</v>
      </c>
      <c r="C563" s="1" t="n">
        <v>45795</v>
      </c>
      <c r="D563" t="inlineStr">
        <is>
          <t>DALARNAS LÄN</t>
        </is>
      </c>
      <c r="E563" t="inlineStr">
        <is>
          <t>MORA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23737-2023</t>
        </is>
      </c>
      <c r="B564" s="1" t="n">
        <v>45077</v>
      </c>
      <c r="C564" s="1" t="n">
        <v>45795</v>
      </c>
      <c r="D564" t="inlineStr">
        <is>
          <t>DALARNAS LÄN</t>
        </is>
      </c>
      <c r="E564" t="inlineStr">
        <is>
          <t>MORA</t>
        </is>
      </c>
      <c r="G564" t="n">
        <v>5.4</v>
      </c>
      <c r="H564" t="n">
        <v>0</v>
      </c>
      <c r="I564" t="n">
        <v>0</v>
      </c>
      <c r="J564" t="n">
        <v>0</v>
      </c>
      <c r="K564" t="n">
        <v>0</v>
      </c>
      <c r="L564" t="n">
        <v>0</v>
      </c>
      <c r="M564" t="n">
        <v>0</v>
      </c>
      <c r="N564" t="n">
        <v>0</v>
      </c>
      <c r="O564" t="n">
        <v>0</v>
      </c>
      <c r="P564" t="n">
        <v>0</v>
      </c>
      <c r="Q564" t="n">
        <v>0</v>
      </c>
      <c r="R564" s="2" t="inlineStr"/>
    </row>
    <row r="565" ht="15" customHeight="1">
      <c r="A565" t="inlineStr">
        <is>
          <t>A 23948-2023</t>
        </is>
      </c>
      <c r="B565" s="1" t="n">
        <v>45078</v>
      </c>
      <c r="C565" s="1" t="n">
        <v>45795</v>
      </c>
      <c r="D565" t="inlineStr">
        <is>
          <t>DALARNAS LÄN</t>
        </is>
      </c>
      <c r="E565" t="inlineStr">
        <is>
          <t>MORA</t>
        </is>
      </c>
      <c r="G565" t="n">
        <v>6.4</v>
      </c>
      <c r="H565" t="n">
        <v>0</v>
      </c>
      <c r="I565" t="n">
        <v>0</v>
      </c>
      <c r="J565" t="n">
        <v>0</v>
      </c>
      <c r="K565" t="n">
        <v>0</v>
      </c>
      <c r="L565" t="n">
        <v>0</v>
      </c>
      <c r="M565" t="n">
        <v>0</v>
      </c>
      <c r="N565" t="n">
        <v>0</v>
      </c>
      <c r="O565" t="n">
        <v>0</v>
      </c>
      <c r="P565" t="n">
        <v>0</v>
      </c>
      <c r="Q565" t="n">
        <v>0</v>
      </c>
      <c r="R565" s="2" t="inlineStr"/>
    </row>
    <row r="566" ht="15" customHeight="1">
      <c r="A566" t="inlineStr">
        <is>
          <t>A 24085-2023</t>
        </is>
      </c>
      <c r="B566" s="1" t="n">
        <v>45079</v>
      </c>
      <c r="C566" s="1" t="n">
        <v>45795</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25200-2023</t>
        </is>
      </c>
      <c r="B567" s="1" t="n">
        <v>45079</v>
      </c>
      <c r="C567" s="1" t="n">
        <v>45795</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24634-2023</t>
        </is>
      </c>
      <c r="B568" s="1" t="n">
        <v>45084</v>
      </c>
      <c r="C568" s="1" t="n">
        <v>45795</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24664-2023</t>
        </is>
      </c>
      <c r="B569" s="1" t="n">
        <v>45084</v>
      </c>
      <c r="C569" s="1" t="n">
        <v>45795</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24657-2023</t>
        </is>
      </c>
      <c r="B570" s="1" t="n">
        <v>45084</v>
      </c>
      <c r="C570" s="1" t="n">
        <v>45795</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26273-2023</t>
        </is>
      </c>
      <c r="B571" s="1" t="n">
        <v>45086</v>
      </c>
      <c r="C571" s="1" t="n">
        <v>45795</v>
      </c>
      <c r="D571" t="inlineStr">
        <is>
          <t>DALARNAS LÄN</t>
        </is>
      </c>
      <c r="E571" t="inlineStr">
        <is>
          <t>MORA</t>
        </is>
      </c>
      <c r="G571" t="n">
        <v>3.9</v>
      </c>
      <c r="H571" t="n">
        <v>0</v>
      </c>
      <c r="I571" t="n">
        <v>0</v>
      </c>
      <c r="J571" t="n">
        <v>0</v>
      </c>
      <c r="K571" t="n">
        <v>0</v>
      </c>
      <c r="L571" t="n">
        <v>0</v>
      </c>
      <c r="M571" t="n">
        <v>0</v>
      </c>
      <c r="N571" t="n">
        <v>0</v>
      </c>
      <c r="O571" t="n">
        <v>0</v>
      </c>
      <c r="P571" t="n">
        <v>0</v>
      </c>
      <c r="Q571" t="n">
        <v>0</v>
      </c>
      <c r="R571" s="2" t="inlineStr"/>
    </row>
    <row r="572" ht="15" customHeight="1">
      <c r="A572" t="inlineStr">
        <is>
          <t>A 25629-2023</t>
        </is>
      </c>
      <c r="B572" s="1" t="n">
        <v>45089</v>
      </c>
      <c r="C572" s="1" t="n">
        <v>45795</v>
      </c>
      <c r="D572" t="inlineStr">
        <is>
          <t>DALARNAS LÄN</t>
        </is>
      </c>
      <c r="E572" t="inlineStr">
        <is>
          <t>MORA</t>
        </is>
      </c>
      <c r="F572" t="inlineStr">
        <is>
          <t>Bergvik skog väst AB</t>
        </is>
      </c>
      <c r="G572" t="n">
        <v>4.1</v>
      </c>
      <c r="H572" t="n">
        <v>0</v>
      </c>
      <c r="I572" t="n">
        <v>0</v>
      </c>
      <c r="J572" t="n">
        <v>0</v>
      </c>
      <c r="K572" t="n">
        <v>0</v>
      </c>
      <c r="L572" t="n">
        <v>0</v>
      </c>
      <c r="M572" t="n">
        <v>0</v>
      </c>
      <c r="N572" t="n">
        <v>0</v>
      </c>
      <c r="O572" t="n">
        <v>0</v>
      </c>
      <c r="P572" t="n">
        <v>0</v>
      </c>
      <c r="Q572" t="n">
        <v>0</v>
      </c>
      <c r="R572" s="2" t="inlineStr"/>
    </row>
    <row r="573" ht="15" customHeight="1">
      <c r="A573" t="inlineStr">
        <is>
          <t>A 25749-2023</t>
        </is>
      </c>
      <c r="B573" s="1" t="n">
        <v>45090</v>
      </c>
      <c r="C573" s="1" t="n">
        <v>45795</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25865-2023</t>
        </is>
      </c>
      <c r="B574" s="1" t="n">
        <v>45090</v>
      </c>
      <c r="C574" s="1" t="n">
        <v>45795</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25906-2023</t>
        </is>
      </c>
      <c r="B575" s="1" t="n">
        <v>45090</v>
      </c>
      <c r="C575" s="1" t="n">
        <v>45795</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25935-2023</t>
        </is>
      </c>
      <c r="B576" s="1" t="n">
        <v>45090</v>
      </c>
      <c r="C576" s="1" t="n">
        <v>45795</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25869-2023</t>
        </is>
      </c>
      <c r="B577" s="1" t="n">
        <v>45090</v>
      </c>
      <c r="C577" s="1" t="n">
        <v>45795</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25874-2023</t>
        </is>
      </c>
      <c r="B578" s="1" t="n">
        <v>45090</v>
      </c>
      <c r="C578" s="1" t="n">
        <v>45795</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25887-2023</t>
        </is>
      </c>
      <c r="B579" s="1" t="n">
        <v>45090</v>
      </c>
      <c r="C579" s="1" t="n">
        <v>45795</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26786-2023</t>
        </is>
      </c>
      <c r="B580" s="1" t="n">
        <v>45093</v>
      </c>
      <c r="C580" s="1" t="n">
        <v>45795</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27188-2023</t>
        </is>
      </c>
      <c r="B581" s="1" t="n">
        <v>45096</v>
      </c>
      <c r="C581" s="1" t="n">
        <v>45795</v>
      </c>
      <c r="D581" t="inlineStr">
        <is>
          <t>DALARNAS LÄN</t>
        </is>
      </c>
      <c r="E581" t="inlineStr">
        <is>
          <t>MORA</t>
        </is>
      </c>
      <c r="G581" t="n">
        <v>4.8</v>
      </c>
      <c r="H581" t="n">
        <v>0</v>
      </c>
      <c r="I581" t="n">
        <v>0</v>
      </c>
      <c r="J581" t="n">
        <v>0</v>
      </c>
      <c r="K581" t="n">
        <v>0</v>
      </c>
      <c r="L581" t="n">
        <v>0</v>
      </c>
      <c r="M581" t="n">
        <v>0</v>
      </c>
      <c r="N581" t="n">
        <v>0</v>
      </c>
      <c r="O581" t="n">
        <v>0</v>
      </c>
      <c r="P581" t="n">
        <v>0</v>
      </c>
      <c r="Q581" t="n">
        <v>0</v>
      </c>
      <c r="R581" s="2" t="inlineStr"/>
    </row>
    <row r="582" ht="15" customHeight="1">
      <c r="A582" t="inlineStr">
        <is>
          <t>A 27880-2023</t>
        </is>
      </c>
      <c r="B582" s="1" t="n">
        <v>45098</v>
      </c>
      <c r="C582" s="1" t="n">
        <v>45795</v>
      </c>
      <c r="D582" t="inlineStr">
        <is>
          <t>DALARNAS LÄN</t>
        </is>
      </c>
      <c r="E582" t="inlineStr">
        <is>
          <t>MORA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27975-2023</t>
        </is>
      </c>
      <c r="B583" s="1" t="n">
        <v>45098</v>
      </c>
      <c r="C583" s="1" t="n">
        <v>45795</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28095-2023</t>
        </is>
      </c>
      <c r="B584" s="1" t="n">
        <v>45099</v>
      </c>
      <c r="C584" s="1" t="n">
        <v>45795</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28315-2023</t>
        </is>
      </c>
      <c r="B585" s="1" t="n">
        <v>45099</v>
      </c>
      <c r="C585" s="1" t="n">
        <v>45795</v>
      </c>
      <c r="D585" t="inlineStr">
        <is>
          <t>DALARNAS LÄN</t>
        </is>
      </c>
      <c r="E585" t="inlineStr">
        <is>
          <t>MORA</t>
        </is>
      </c>
      <c r="G585" t="n">
        <v>5.4</v>
      </c>
      <c r="H585" t="n">
        <v>0</v>
      </c>
      <c r="I585" t="n">
        <v>0</v>
      </c>
      <c r="J585" t="n">
        <v>0</v>
      </c>
      <c r="K585" t="n">
        <v>0</v>
      </c>
      <c r="L585" t="n">
        <v>0</v>
      </c>
      <c r="M585" t="n">
        <v>0</v>
      </c>
      <c r="N585" t="n">
        <v>0</v>
      </c>
      <c r="O585" t="n">
        <v>0</v>
      </c>
      <c r="P585" t="n">
        <v>0</v>
      </c>
      <c r="Q585" t="n">
        <v>0</v>
      </c>
      <c r="R585" s="2" t="inlineStr"/>
    </row>
    <row r="586" ht="15" customHeight="1">
      <c r="A586" t="inlineStr">
        <is>
          <t>A 28318-2023</t>
        </is>
      </c>
      <c r="B586" s="1" t="n">
        <v>45099</v>
      </c>
      <c r="C586" s="1" t="n">
        <v>45795</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28596-2023</t>
        </is>
      </c>
      <c r="B587" s="1" t="n">
        <v>45103</v>
      </c>
      <c r="C587" s="1" t="n">
        <v>45795</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28832-2023</t>
        </is>
      </c>
      <c r="B588" s="1" t="n">
        <v>45104</v>
      </c>
      <c r="C588" s="1" t="n">
        <v>45795</v>
      </c>
      <c r="D588" t="inlineStr">
        <is>
          <t>DALARNAS LÄN</t>
        </is>
      </c>
      <c r="E588" t="inlineStr">
        <is>
          <t>MORA</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28934-2023</t>
        </is>
      </c>
      <c r="B589" s="1" t="n">
        <v>45104</v>
      </c>
      <c r="C589" s="1" t="n">
        <v>45795</v>
      </c>
      <c r="D589" t="inlineStr">
        <is>
          <t>DALARNAS LÄN</t>
        </is>
      </c>
      <c r="E589" t="inlineStr">
        <is>
          <t>MORA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29022-2023</t>
        </is>
      </c>
      <c r="B590" s="1" t="n">
        <v>45104</v>
      </c>
      <c r="C590" s="1" t="n">
        <v>45795</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29118-2023</t>
        </is>
      </c>
      <c r="B591" s="1" t="n">
        <v>45105</v>
      </c>
      <c r="C591" s="1" t="n">
        <v>45795</v>
      </c>
      <c r="D591" t="inlineStr">
        <is>
          <t>DALARNAS LÄN</t>
        </is>
      </c>
      <c r="E591" t="inlineStr">
        <is>
          <t>MORA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29191-2023</t>
        </is>
      </c>
      <c r="B592" s="1" t="n">
        <v>45105</v>
      </c>
      <c r="C592" s="1" t="n">
        <v>45795</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29193-2023</t>
        </is>
      </c>
      <c r="B593" s="1" t="n">
        <v>45105</v>
      </c>
      <c r="C593" s="1" t="n">
        <v>45795</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29116-2023</t>
        </is>
      </c>
      <c r="B594" s="1" t="n">
        <v>45105</v>
      </c>
      <c r="C594" s="1" t="n">
        <v>45795</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v>
      </c>
      <c r="C595" s="1" t="n">
        <v>45795</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29192-2023</t>
        </is>
      </c>
      <c r="B596" s="1" t="n">
        <v>45105</v>
      </c>
      <c r="C596" s="1" t="n">
        <v>45795</v>
      </c>
      <c r="D596" t="inlineStr">
        <is>
          <t>DALARNAS LÄN</t>
        </is>
      </c>
      <c r="E596" t="inlineStr">
        <is>
          <t>MORA</t>
        </is>
      </c>
      <c r="G596" t="n">
        <v>10.5</v>
      </c>
      <c r="H596" t="n">
        <v>0</v>
      </c>
      <c r="I596" t="n">
        <v>0</v>
      </c>
      <c r="J596" t="n">
        <v>0</v>
      </c>
      <c r="K596" t="n">
        <v>0</v>
      </c>
      <c r="L596" t="n">
        <v>0</v>
      </c>
      <c r="M596" t="n">
        <v>0</v>
      </c>
      <c r="N596" t="n">
        <v>0</v>
      </c>
      <c r="O596" t="n">
        <v>0</v>
      </c>
      <c r="P596" t="n">
        <v>0</v>
      </c>
      <c r="Q596" t="n">
        <v>0</v>
      </c>
      <c r="R596" s="2" t="inlineStr"/>
    </row>
    <row r="597" ht="15" customHeight="1">
      <c r="A597" t="inlineStr">
        <is>
          <t>A 31040-2023</t>
        </is>
      </c>
      <c r="B597" s="1" t="n">
        <v>45113</v>
      </c>
      <c r="C597" s="1" t="n">
        <v>45795</v>
      </c>
      <c r="D597" t="inlineStr">
        <is>
          <t>DALARNAS LÄN</t>
        </is>
      </c>
      <c r="E597" t="inlineStr">
        <is>
          <t>MORA</t>
        </is>
      </c>
      <c r="F597" t="inlineStr">
        <is>
          <t>Bergvik skog väst AB</t>
        </is>
      </c>
      <c r="G597" t="n">
        <v>11.6</v>
      </c>
      <c r="H597" t="n">
        <v>0</v>
      </c>
      <c r="I597" t="n">
        <v>0</v>
      </c>
      <c r="J597" t="n">
        <v>0</v>
      </c>
      <c r="K597" t="n">
        <v>0</v>
      </c>
      <c r="L597" t="n">
        <v>0</v>
      </c>
      <c r="M597" t="n">
        <v>0</v>
      </c>
      <c r="N597" t="n">
        <v>0</v>
      </c>
      <c r="O597" t="n">
        <v>0</v>
      </c>
      <c r="P597" t="n">
        <v>0</v>
      </c>
      <c r="Q597" t="n">
        <v>0</v>
      </c>
      <c r="R597" s="2" t="inlineStr"/>
    </row>
    <row r="598" ht="15" customHeight="1">
      <c r="A598" t="inlineStr">
        <is>
          <t>A 31241-2023</t>
        </is>
      </c>
      <c r="B598" s="1" t="n">
        <v>45114</v>
      </c>
      <c r="C598" s="1" t="n">
        <v>45795</v>
      </c>
      <c r="D598" t="inlineStr">
        <is>
          <t>DALARNAS LÄN</t>
        </is>
      </c>
      <c r="E598" t="inlineStr">
        <is>
          <t>MORA</t>
        </is>
      </c>
      <c r="G598" t="n">
        <v>17.5</v>
      </c>
      <c r="H598" t="n">
        <v>0</v>
      </c>
      <c r="I598" t="n">
        <v>0</v>
      </c>
      <c r="J598" t="n">
        <v>0</v>
      </c>
      <c r="K598" t="n">
        <v>0</v>
      </c>
      <c r="L598" t="n">
        <v>0</v>
      </c>
      <c r="M598" t="n">
        <v>0</v>
      </c>
      <c r="N598" t="n">
        <v>0</v>
      </c>
      <c r="O598" t="n">
        <v>0</v>
      </c>
      <c r="P598" t="n">
        <v>0</v>
      </c>
      <c r="Q598" t="n">
        <v>0</v>
      </c>
      <c r="R598" s="2" t="inlineStr"/>
    </row>
    <row r="599" ht="15" customHeight="1">
      <c r="A599" t="inlineStr">
        <is>
          <t>A 31366-2023</t>
        </is>
      </c>
      <c r="B599" s="1" t="n">
        <v>45114</v>
      </c>
      <c r="C599" s="1" t="n">
        <v>45795</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33676-2023</t>
        </is>
      </c>
      <c r="B600" s="1" t="n">
        <v>45132</v>
      </c>
      <c r="C600" s="1" t="n">
        <v>45795</v>
      </c>
      <c r="D600" t="inlineStr">
        <is>
          <t>DALARNAS LÄN</t>
        </is>
      </c>
      <c r="E600" t="inlineStr">
        <is>
          <t>MORA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34193-2023</t>
        </is>
      </c>
      <c r="B601" s="1" t="n">
        <v>45138</v>
      </c>
      <c r="C601" s="1" t="n">
        <v>45795</v>
      </c>
      <c r="D601" t="inlineStr">
        <is>
          <t>DALARNAS LÄN</t>
        </is>
      </c>
      <c r="E601" t="inlineStr">
        <is>
          <t>MORA</t>
        </is>
      </c>
      <c r="G601" t="n">
        <v>10.4</v>
      </c>
      <c r="H601" t="n">
        <v>0</v>
      </c>
      <c r="I601" t="n">
        <v>0</v>
      </c>
      <c r="J601" t="n">
        <v>0</v>
      </c>
      <c r="K601" t="n">
        <v>0</v>
      </c>
      <c r="L601" t="n">
        <v>0</v>
      </c>
      <c r="M601" t="n">
        <v>0</v>
      </c>
      <c r="N601" t="n">
        <v>0</v>
      </c>
      <c r="O601" t="n">
        <v>0</v>
      </c>
      <c r="P601" t="n">
        <v>0</v>
      </c>
      <c r="Q601" t="n">
        <v>0</v>
      </c>
      <c r="R601" s="2" t="inlineStr"/>
    </row>
    <row r="602" ht="15" customHeight="1">
      <c r="A602" t="inlineStr">
        <is>
          <t>A 34278-2023</t>
        </is>
      </c>
      <c r="B602" s="1" t="n">
        <v>45138</v>
      </c>
      <c r="C602" s="1" t="n">
        <v>45795</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35040-2023</t>
        </is>
      </c>
      <c r="B603" s="1" t="n">
        <v>45145</v>
      </c>
      <c r="C603" s="1" t="n">
        <v>45795</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35041-2023</t>
        </is>
      </c>
      <c r="B604" s="1" t="n">
        <v>45145</v>
      </c>
      <c r="C604" s="1" t="n">
        <v>45795</v>
      </c>
      <c r="D604" t="inlineStr">
        <is>
          <t>DALARNAS LÄN</t>
        </is>
      </c>
      <c r="E604" t="inlineStr">
        <is>
          <t>MORA</t>
        </is>
      </c>
      <c r="G604" t="n">
        <v>15.4</v>
      </c>
      <c r="H604" t="n">
        <v>0</v>
      </c>
      <c r="I604" t="n">
        <v>0</v>
      </c>
      <c r="J604" t="n">
        <v>0</v>
      </c>
      <c r="K604" t="n">
        <v>0</v>
      </c>
      <c r="L604" t="n">
        <v>0</v>
      </c>
      <c r="M604" t="n">
        <v>0</v>
      </c>
      <c r="N604" t="n">
        <v>0</v>
      </c>
      <c r="O604" t="n">
        <v>0</v>
      </c>
      <c r="P604" t="n">
        <v>0</v>
      </c>
      <c r="Q604" t="n">
        <v>0</v>
      </c>
      <c r="R604" s="2" t="inlineStr"/>
    </row>
    <row r="605" ht="15" customHeight="1">
      <c r="A605" t="inlineStr">
        <is>
          <t>A 35236-2023</t>
        </is>
      </c>
      <c r="B605" s="1" t="n">
        <v>45145</v>
      </c>
      <c r="C605" s="1" t="n">
        <v>45795</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35033-2023</t>
        </is>
      </c>
      <c r="B606" s="1" t="n">
        <v>45145</v>
      </c>
      <c r="C606" s="1" t="n">
        <v>45795</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v>
      </c>
      <c r="C607" s="1" t="n">
        <v>45795</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35521-2023</t>
        </is>
      </c>
      <c r="B608" s="1" t="n">
        <v>45147</v>
      </c>
      <c r="C608" s="1" t="n">
        <v>45795</v>
      </c>
      <c r="D608" t="inlineStr">
        <is>
          <t>DALARNAS LÄN</t>
        </is>
      </c>
      <c r="E608" t="inlineStr">
        <is>
          <t>MORA</t>
        </is>
      </c>
      <c r="G608" t="n">
        <v>3.7</v>
      </c>
      <c r="H608" t="n">
        <v>0</v>
      </c>
      <c r="I608" t="n">
        <v>0</v>
      </c>
      <c r="J608" t="n">
        <v>0</v>
      </c>
      <c r="K608" t="n">
        <v>0</v>
      </c>
      <c r="L608" t="n">
        <v>0</v>
      </c>
      <c r="M608" t="n">
        <v>0</v>
      </c>
      <c r="N608" t="n">
        <v>0</v>
      </c>
      <c r="O608" t="n">
        <v>0</v>
      </c>
      <c r="P608" t="n">
        <v>0</v>
      </c>
      <c r="Q608" t="n">
        <v>0</v>
      </c>
      <c r="R608" s="2" t="inlineStr"/>
    </row>
    <row r="609" ht="15" customHeight="1">
      <c r="A609" t="inlineStr">
        <is>
          <t>A 35923-2023</t>
        </is>
      </c>
      <c r="B609" s="1" t="n">
        <v>45148</v>
      </c>
      <c r="C609" s="1" t="n">
        <v>45795</v>
      </c>
      <c r="D609" t="inlineStr">
        <is>
          <t>DALARNAS LÄN</t>
        </is>
      </c>
      <c r="E609" t="inlineStr">
        <is>
          <t>MORA</t>
        </is>
      </c>
      <c r="G609" t="n">
        <v>10.7</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45795</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36600-2023</t>
        </is>
      </c>
      <c r="B611" s="1" t="n">
        <v>45153</v>
      </c>
      <c r="C611" s="1" t="n">
        <v>45795</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37552-2023</t>
        </is>
      </c>
      <c r="B612" s="1" t="n">
        <v>45159</v>
      </c>
      <c r="C612" s="1" t="n">
        <v>45795</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37553-2023</t>
        </is>
      </c>
      <c r="B613" s="1" t="n">
        <v>45159</v>
      </c>
      <c r="C613" s="1" t="n">
        <v>45795</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v>
      </c>
      <c r="C614" s="1" t="n">
        <v>45795</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37554-2023</t>
        </is>
      </c>
      <c r="B615" s="1" t="n">
        <v>45159</v>
      </c>
      <c r="C615" s="1" t="n">
        <v>45795</v>
      </c>
      <c r="D615" t="inlineStr">
        <is>
          <t>DALARNAS LÄN</t>
        </is>
      </c>
      <c r="E615" t="inlineStr">
        <is>
          <t>MORA</t>
        </is>
      </c>
      <c r="G615" t="n">
        <v>4.3</v>
      </c>
      <c r="H615" t="n">
        <v>0</v>
      </c>
      <c r="I615" t="n">
        <v>0</v>
      </c>
      <c r="J615" t="n">
        <v>0</v>
      </c>
      <c r="K615" t="n">
        <v>0</v>
      </c>
      <c r="L615" t="n">
        <v>0</v>
      </c>
      <c r="M615" t="n">
        <v>0</v>
      </c>
      <c r="N615" t="n">
        <v>0</v>
      </c>
      <c r="O615" t="n">
        <v>0</v>
      </c>
      <c r="P615" t="n">
        <v>0</v>
      </c>
      <c r="Q615" t="n">
        <v>0</v>
      </c>
      <c r="R615" s="2" t="inlineStr"/>
    </row>
    <row r="616" ht="15" customHeight="1">
      <c r="A616" t="inlineStr">
        <is>
          <t>A 37932-2023</t>
        </is>
      </c>
      <c r="B616" s="1" t="n">
        <v>45160</v>
      </c>
      <c r="C616" s="1" t="n">
        <v>45795</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38159-2023</t>
        </is>
      </c>
      <c r="B617" s="1" t="n">
        <v>45161</v>
      </c>
      <c r="C617" s="1" t="n">
        <v>45795</v>
      </c>
      <c r="D617" t="inlineStr">
        <is>
          <t>DALARNAS LÄN</t>
        </is>
      </c>
      <c r="E617" t="inlineStr">
        <is>
          <t>MORA</t>
        </is>
      </c>
      <c r="G617" t="n">
        <v>4.2</v>
      </c>
      <c r="H617" t="n">
        <v>0</v>
      </c>
      <c r="I617" t="n">
        <v>0</v>
      </c>
      <c r="J617" t="n">
        <v>0</v>
      </c>
      <c r="K617" t="n">
        <v>0</v>
      </c>
      <c r="L617" t="n">
        <v>0</v>
      </c>
      <c r="M617" t="n">
        <v>0</v>
      </c>
      <c r="N617" t="n">
        <v>0</v>
      </c>
      <c r="O617" t="n">
        <v>0</v>
      </c>
      <c r="P617" t="n">
        <v>0</v>
      </c>
      <c r="Q617" t="n">
        <v>0</v>
      </c>
      <c r="R617" s="2" t="inlineStr"/>
    </row>
    <row r="618" ht="15" customHeight="1">
      <c r="A618" t="inlineStr">
        <is>
          <t>A 38468-2023</t>
        </is>
      </c>
      <c r="B618" s="1" t="n">
        <v>45162</v>
      </c>
      <c r="C618" s="1" t="n">
        <v>45795</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38479-2023</t>
        </is>
      </c>
      <c r="B619" s="1" t="n">
        <v>45162</v>
      </c>
      <c r="C619" s="1" t="n">
        <v>45795</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39009-2023</t>
        </is>
      </c>
      <c r="B620" s="1" t="n">
        <v>45162</v>
      </c>
      <c r="C620" s="1" t="n">
        <v>45795</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v>
      </c>
      <c r="C621" s="1" t="n">
        <v>45795</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39233-2023</t>
        </is>
      </c>
      <c r="B622" s="1" t="n">
        <v>45166</v>
      </c>
      <c r="C622" s="1" t="n">
        <v>45795</v>
      </c>
      <c r="D622" t="inlineStr">
        <is>
          <t>DALARNAS LÄN</t>
        </is>
      </c>
      <c r="E622" t="inlineStr">
        <is>
          <t>MORA</t>
        </is>
      </c>
      <c r="G622" t="n">
        <v>4.5</v>
      </c>
      <c r="H622" t="n">
        <v>0</v>
      </c>
      <c r="I622" t="n">
        <v>0</v>
      </c>
      <c r="J622" t="n">
        <v>0</v>
      </c>
      <c r="K622" t="n">
        <v>0</v>
      </c>
      <c r="L622" t="n">
        <v>0</v>
      </c>
      <c r="M622" t="n">
        <v>0</v>
      </c>
      <c r="N622" t="n">
        <v>0</v>
      </c>
      <c r="O622" t="n">
        <v>0</v>
      </c>
      <c r="P622" t="n">
        <v>0</v>
      </c>
      <c r="Q622" t="n">
        <v>0</v>
      </c>
      <c r="R622" s="2" t="inlineStr"/>
    </row>
    <row r="623" ht="15" customHeight="1">
      <c r="A623" t="inlineStr">
        <is>
          <t>A 39312-2023</t>
        </is>
      </c>
      <c r="B623" s="1" t="n">
        <v>45166</v>
      </c>
      <c r="C623" s="1" t="n">
        <v>45795</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39694-2023</t>
        </is>
      </c>
      <c r="B624" s="1" t="n">
        <v>45167</v>
      </c>
      <c r="C624" s="1" t="n">
        <v>45795</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39674-2023</t>
        </is>
      </c>
      <c r="B625" s="1" t="n">
        <v>45167</v>
      </c>
      <c r="C625" s="1" t="n">
        <v>45795</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39847-2023</t>
        </is>
      </c>
      <c r="B626" s="1" t="n">
        <v>45168</v>
      </c>
      <c r="C626" s="1" t="n">
        <v>45795</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40034-2023</t>
        </is>
      </c>
      <c r="B627" s="1" t="n">
        <v>45168</v>
      </c>
      <c r="C627" s="1" t="n">
        <v>45795</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40247-2023</t>
        </is>
      </c>
      <c r="B628" s="1" t="n">
        <v>45169</v>
      </c>
      <c r="C628" s="1" t="n">
        <v>45795</v>
      </c>
      <c r="D628" t="inlineStr">
        <is>
          <t>DALARNAS LÄN</t>
        </is>
      </c>
      <c r="E628" t="inlineStr">
        <is>
          <t>MORA</t>
        </is>
      </c>
      <c r="G628" t="n">
        <v>5.7</v>
      </c>
      <c r="H628" t="n">
        <v>0</v>
      </c>
      <c r="I628" t="n">
        <v>0</v>
      </c>
      <c r="J628" t="n">
        <v>0</v>
      </c>
      <c r="K628" t="n">
        <v>0</v>
      </c>
      <c r="L628" t="n">
        <v>0</v>
      </c>
      <c r="M628" t="n">
        <v>0</v>
      </c>
      <c r="N628" t="n">
        <v>0</v>
      </c>
      <c r="O628" t="n">
        <v>0</v>
      </c>
      <c r="P628" t="n">
        <v>0</v>
      </c>
      <c r="Q628" t="n">
        <v>0</v>
      </c>
      <c r="R628" s="2" t="inlineStr"/>
    </row>
    <row r="629" ht="15" customHeight="1">
      <c r="A629" t="inlineStr">
        <is>
          <t>A 40651-2023</t>
        </is>
      </c>
      <c r="B629" s="1" t="n">
        <v>45170</v>
      </c>
      <c r="C629" s="1" t="n">
        <v>45795</v>
      </c>
      <c r="D629" t="inlineStr">
        <is>
          <t>DALARNAS LÄN</t>
        </is>
      </c>
      <c r="E629" t="inlineStr">
        <is>
          <t>MORA</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40949-2023</t>
        </is>
      </c>
      <c r="B630" s="1" t="n">
        <v>45173</v>
      </c>
      <c r="C630" s="1" t="n">
        <v>45795</v>
      </c>
      <c r="D630" t="inlineStr">
        <is>
          <t>DALARNAS LÄN</t>
        </is>
      </c>
      <c r="E630" t="inlineStr">
        <is>
          <t>MORA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41169-2023</t>
        </is>
      </c>
      <c r="B631" s="1" t="n">
        <v>45174</v>
      </c>
      <c r="C631" s="1" t="n">
        <v>45795</v>
      </c>
      <c r="D631" t="inlineStr">
        <is>
          <t>DALARNAS LÄN</t>
        </is>
      </c>
      <c r="E631" t="inlineStr">
        <is>
          <t>MORA</t>
        </is>
      </c>
      <c r="G631" t="n">
        <v>3</v>
      </c>
      <c r="H631" t="n">
        <v>0</v>
      </c>
      <c r="I631" t="n">
        <v>0</v>
      </c>
      <c r="J631" t="n">
        <v>0</v>
      </c>
      <c r="K631" t="n">
        <v>0</v>
      </c>
      <c r="L631" t="n">
        <v>0</v>
      </c>
      <c r="M631" t="n">
        <v>0</v>
      </c>
      <c r="N631" t="n">
        <v>0</v>
      </c>
      <c r="O631" t="n">
        <v>0</v>
      </c>
      <c r="P631" t="n">
        <v>0</v>
      </c>
      <c r="Q631" t="n">
        <v>0</v>
      </c>
      <c r="R631" s="2" t="inlineStr"/>
    </row>
    <row r="632" ht="15" customHeight="1">
      <c r="A632" t="inlineStr">
        <is>
          <t>A 41170-2023</t>
        </is>
      </c>
      <c r="B632" s="1" t="n">
        <v>45174</v>
      </c>
      <c r="C632" s="1" t="n">
        <v>45795</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41638-2023</t>
        </is>
      </c>
      <c r="B633" s="1" t="n">
        <v>45175</v>
      </c>
      <c r="C633" s="1" t="n">
        <v>45795</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41637-2023</t>
        </is>
      </c>
      <c r="B634" s="1" t="n">
        <v>45175</v>
      </c>
      <c r="C634" s="1" t="n">
        <v>45795</v>
      </c>
      <c r="D634" t="inlineStr">
        <is>
          <t>DALARNAS LÄN</t>
        </is>
      </c>
      <c r="E634" t="inlineStr">
        <is>
          <t>MORA</t>
        </is>
      </c>
      <c r="G634" t="n">
        <v>10.4</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45795</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42267-2023</t>
        </is>
      </c>
      <c r="B636" s="1" t="n">
        <v>45180</v>
      </c>
      <c r="C636" s="1" t="n">
        <v>45795</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43498-2023</t>
        </is>
      </c>
      <c r="B637" s="1" t="n">
        <v>45184</v>
      </c>
      <c r="C637" s="1" t="n">
        <v>45795</v>
      </c>
      <c r="D637" t="inlineStr">
        <is>
          <t>DALARNAS LÄN</t>
        </is>
      </c>
      <c r="E637" t="inlineStr">
        <is>
          <t>MORA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43566-2023</t>
        </is>
      </c>
      <c r="B638" s="1" t="n">
        <v>45184</v>
      </c>
      <c r="C638" s="1" t="n">
        <v>45795</v>
      </c>
      <c r="D638" t="inlineStr">
        <is>
          <t>DALARNAS LÄN</t>
        </is>
      </c>
      <c r="E638" t="inlineStr">
        <is>
          <t>MORA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43533-2023</t>
        </is>
      </c>
      <c r="B639" s="1" t="n">
        <v>45184</v>
      </c>
      <c r="C639" s="1" t="n">
        <v>45795</v>
      </c>
      <c r="D639" t="inlineStr">
        <is>
          <t>DALARNAS LÄN</t>
        </is>
      </c>
      <c r="E639" t="inlineStr">
        <is>
          <t>MORA</t>
        </is>
      </c>
      <c r="F639" t="inlineStr">
        <is>
          <t>Bergvik skog väst AB</t>
        </is>
      </c>
      <c r="G639" t="n">
        <v>10.3</v>
      </c>
      <c r="H639" t="n">
        <v>0</v>
      </c>
      <c r="I639" t="n">
        <v>0</v>
      </c>
      <c r="J639" t="n">
        <v>0</v>
      </c>
      <c r="K639" t="n">
        <v>0</v>
      </c>
      <c r="L639" t="n">
        <v>0</v>
      </c>
      <c r="M639" t="n">
        <v>0</v>
      </c>
      <c r="N639" t="n">
        <v>0</v>
      </c>
      <c r="O639" t="n">
        <v>0</v>
      </c>
      <c r="P639" t="n">
        <v>0</v>
      </c>
      <c r="Q639" t="n">
        <v>0</v>
      </c>
      <c r="R639" s="2" t="inlineStr"/>
    </row>
    <row r="640" ht="15" customHeight="1">
      <c r="A640" t="inlineStr">
        <is>
          <t>A 43863-2023</t>
        </is>
      </c>
      <c r="B640" s="1" t="n">
        <v>45187</v>
      </c>
      <c r="C640" s="1" t="n">
        <v>45795</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44201-2023</t>
        </is>
      </c>
      <c r="B641" s="1" t="n">
        <v>45188</v>
      </c>
      <c r="C641" s="1" t="n">
        <v>45795</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45795</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44106-2023</t>
        </is>
      </c>
      <c r="B643" s="1" t="n">
        <v>45188</v>
      </c>
      <c r="C643" s="1" t="n">
        <v>45795</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44117-2023</t>
        </is>
      </c>
      <c r="B644" s="1" t="n">
        <v>45188</v>
      </c>
      <c r="C644" s="1" t="n">
        <v>45795</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44177-2023</t>
        </is>
      </c>
      <c r="B645" s="1" t="n">
        <v>45188</v>
      </c>
      <c r="C645" s="1" t="n">
        <v>45795</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45475-2023</t>
        </is>
      </c>
      <c r="B646" s="1" t="n">
        <v>45188</v>
      </c>
      <c r="C646" s="1" t="n">
        <v>45795</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44718-2023</t>
        </is>
      </c>
      <c r="B647" s="1" t="n">
        <v>45190</v>
      </c>
      <c r="C647" s="1" t="n">
        <v>45795</v>
      </c>
      <c r="D647" t="inlineStr">
        <is>
          <t>DALARNAS LÄN</t>
        </is>
      </c>
      <c r="E647" t="inlineStr">
        <is>
          <t>MORA</t>
        </is>
      </c>
      <c r="G647" t="n">
        <v>7.4</v>
      </c>
      <c r="H647" t="n">
        <v>0</v>
      </c>
      <c r="I647" t="n">
        <v>0</v>
      </c>
      <c r="J647" t="n">
        <v>0</v>
      </c>
      <c r="K647" t="n">
        <v>0</v>
      </c>
      <c r="L647" t="n">
        <v>0</v>
      </c>
      <c r="M647" t="n">
        <v>0</v>
      </c>
      <c r="N647" t="n">
        <v>0</v>
      </c>
      <c r="O647" t="n">
        <v>0</v>
      </c>
      <c r="P647" t="n">
        <v>0</v>
      </c>
      <c r="Q647" t="n">
        <v>0</v>
      </c>
      <c r="R647" s="2" t="inlineStr"/>
    </row>
    <row r="648" ht="15" customHeight="1">
      <c r="A648" t="inlineStr">
        <is>
          <t>A 44820-2023</t>
        </is>
      </c>
      <c r="B648" s="1" t="n">
        <v>45190</v>
      </c>
      <c r="C648" s="1" t="n">
        <v>45795</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44817-2023</t>
        </is>
      </c>
      <c r="B649" s="1" t="n">
        <v>45190</v>
      </c>
      <c r="C649" s="1" t="n">
        <v>45795</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45295-2023</t>
        </is>
      </c>
      <c r="B650" s="1" t="n">
        <v>45191</v>
      </c>
      <c r="C650" s="1" t="n">
        <v>45795</v>
      </c>
      <c r="D650" t="inlineStr">
        <is>
          <t>DALARNAS LÄN</t>
        </is>
      </c>
      <c r="E650" t="inlineStr">
        <is>
          <t>MORA</t>
        </is>
      </c>
      <c r="G650" t="n">
        <v>10.9</v>
      </c>
      <c r="H650" t="n">
        <v>0</v>
      </c>
      <c r="I650" t="n">
        <v>0</v>
      </c>
      <c r="J650" t="n">
        <v>0</v>
      </c>
      <c r="K650" t="n">
        <v>0</v>
      </c>
      <c r="L650" t="n">
        <v>0</v>
      </c>
      <c r="M650" t="n">
        <v>0</v>
      </c>
      <c r="N650" t="n">
        <v>0</v>
      </c>
      <c r="O650" t="n">
        <v>0</v>
      </c>
      <c r="P650" t="n">
        <v>0</v>
      </c>
      <c r="Q650" t="n">
        <v>0</v>
      </c>
      <c r="R650" s="2" t="inlineStr"/>
    </row>
    <row r="651" ht="15" customHeight="1">
      <c r="A651" t="inlineStr">
        <is>
          <t>A 45562-2023</t>
        </is>
      </c>
      <c r="B651" s="1" t="n">
        <v>45194</v>
      </c>
      <c r="C651" s="1" t="n">
        <v>45795</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45574-2023</t>
        </is>
      </c>
      <c r="B652" s="1" t="n">
        <v>45194</v>
      </c>
      <c r="C652" s="1" t="n">
        <v>45795</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46087-2023</t>
        </is>
      </c>
      <c r="B653" s="1" t="n">
        <v>45196</v>
      </c>
      <c r="C653" s="1" t="n">
        <v>45795</v>
      </c>
      <c r="D653" t="inlineStr">
        <is>
          <t>DALARNAS LÄN</t>
        </is>
      </c>
      <c r="E653" t="inlineStr">
        <is>
          <t>MORA</t>
        </is>
      </c>
      <c r="F653" t="inlineStr">
        <is>
          <t>Bergvik skog öst AB</t>
        </is>
      </c>
      <c r="G653" t="n">
        <v>24.2</v>
      </c>
      <c r="H653" t="n">
        <v>0</v>
      </c>
      <c r="I653" t="n">
        <v>0</v>
      </c>
      <c r="J653" t="n">
        <v>0</v>
      </c>
      <c r="K653" t="n">
        <v>0</v>
      </c>
      <c r="L653" t="n">
        <v>0</v>
      </c>
      <c r="M653" t="n">
        <v>0</v>
      </c>
      <c r="N653" t="n">
        <v>0</v>
      </c>
      <c r="O653" t="n">
        <v>0</v>
      </c>
      <c r="P653" t="n">
        <v>0</v>
      </c>
      <c r="Q653" t="n">
        <v>0</v>
      </c>
      <c r="R653" s="2" t="inlineStr"/>
    </row>
    <row r="654" ht="15" customHeight="1">
      <c r="A654" t="inlineStr">
        <is>
          <t>A 46152-2023</t>
        </is>
      </c>
      <c r="B654" s="1" t="n">
        <v>45196</v>
      </c>
      <c r="C654" s="1" t="n">
        <v>45795</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45795</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46612-2023</t>
        </is>
      </c>
      <c r="B656" s="1" t="n">
        <v>45198</v>
      </c>
      <c r="C656" s="1" t="n">
        <v>45795</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46791-2023</t>
        </is>
      </c>
      <c r="B657" s="1" t="n">
        <v>45198</v>
      </c>
      <c r="C657" s="1" t="n">
        <v>45795</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46755-2023</t>
        </is>
      </c>
      <c r="B658" s="1" t="n">
        <v>45198</v>
      </c>
      <c r="C658" s="1" t="n">
        <v>45795</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47347-2023</t>
        </is>
      </c>
      <c r="B659" s="1" t="n">
        <v>45202</v>
      </c>
      <c r="C659" s="1" t="n">
        <v>45795</v>
      </c>
      <c r="D659" t="inlineStr">
        <is>
          <t>DALARNAS LÄN</t>
        </is>
      </c>
      <c r="E659" t="inlineStr">
        <is>
          <t>MORA</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47410-2023</t>
        </is>
      </c>
      <c r="B660" s="1" t="n">
        <v>45202</v>
      </c>
      <c r="C660" s="1" t="n">
        <v>45795</v>
      </c>
      <c r="D660" t="inlineStr">
        <is>
          <t>DALARNAS LÄN</t>
        </is>
      </c>
      <c r="E660" t="inlineStr">
        <is>
          <t>MORA</t>
        </is>
      </c>
      <c r="G660" t="n">
        <v>7.3</v>
      </c>
      <c r="H660" t="n">
        <v>0</v>
      </c>
      <c r="I660" t="n">
        <v>0</v>
      </c>
      <c r="J660" t="n">
        <v>0</v>
      </c>
      <c r="K660" t="n">
        <v>0</v>
      </c>
      <c r="L660" t="n">
        <v>0</v>
      </c>
      <c r="M660" t="n">
        <v>0</v>
      </c>
      <c r="N660" t="n">
        <v>0</v>
      </c>
      <c r="O660" t="n">
        <v>0</v>
      </c>
      <c r="P660" t="n">
        <v>0</v>
      </c>
      <c r="Q660" t="n">
        <v>0</v>
      </c>
      <c r="R660" s="2" t="inlineStr"/>
    </row>
    <row r="661" ht="15" customHeight="1">
      <c r="A661" t="inlineStr">
        <is>
          <t>A 47440-2023</t>
        </is>
      </c>
      <c r="B661" s="1" t="n">
        <v>45202</v>
      </c>
      <c r="C661" s="1" t="n">
        <v>45795</v>
      </c>
      <c r="D661" t="inlineStr">
        <is>
          <t>DALARNAS LÄN</t>
        </is>
      </c>
      <c r="E661" t="inlineStr">
        <is>
          <t>MORA</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47574-2023</t>
        </is>
      </c>
      <c r="B662" s="1" t="n">
        <v>45203</v>
      </c>
      <c r="C662" s="1" t="n">
        <v>45795</v>
      </c>
      <c r="D662" t="inlineStr">
        <is>
          <t>DALARNAS LÄN</t>
        </is>
      </c>
      <c r="E662" t="inlineStr">
        <is>
          <t>MORA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47683-2023</t>
        </is>
      </c>
      <c r="B663" s="1" t="n">
        <v>45203</v>
      </c>
      <c r="C663" s="1" t="n">
        <v>45795</v>
      </c>
      <c r="D663" t="inlineStr">
        <is>
          <t>DALARNAS LÄN</t>
        </is>
      </c>
      <c r="E663" t="inlineStr">
        <is>
          <t>MORA</t>
        </is>
      </c>
      <c r="F663" t="inlineStr">
        <is>
          <t>Kyrkan</t>
        </is>
      </c>
      <c r="G663" t="n">
        <v>33.8</v>
      </c>
      <c r="H663" t="n">
        <v>0</v>
      </c>
      <c r="I663" t="n">
        <v>0</v>
      </c>
      <c r="J663" t="n">
        <v>0</v>
      </c>
      <c r="K663" t="n">
        <v>0</v>
      </c>
      <c r="L663" t="n">
        <v>0</v>
      </c>
      <c r="M663" t="n">
        <v>0</v>
      </c>
      <c r="N663" t="n">
        <v>0</v>
      </c>
      <c r="O663" t="n">
        <v>0</v>
      </c>
      <c r="P663" t="n">
        <v>0</v>
      </c>
      <c r="Q663" t="n">
        <v>0</v>
      </c>
      <c r="R663" s="2" t="inlineStr"/>
    </row>
    <row r="664" ht="15" customHeight="1">
      <c r="A664" t="inlineStr">
        <is>
          <t>A 48825-2023</t>
        </is>
      </c>
      <c r="B664" s="1" t="n">
        <v>45203</v>
      </c>
      <c r="C664" s="1" t="n">
        <v>45795</v>
      </c>
      <c r="D664" t="inlineStr">
        <is>
          <t>DALARNAS LÄN</t>
        </is>
      </c>
      <c r="E664" t="inlineStr">
        <is>
          <t>MORA</t>
        </is>
      </c>
      <c r="G664" t="n">
        <v>7.9</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45795</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47855-2023</t>
        </is>
      </c>
      <c r="B666" s="1" t="n">
        <v>45204</v>
      </c>
      <c r="C666" s="1" t="n">
        <v>45795</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48027-2023</t>
        </is>
      </c>
      <c r="B667" s="1" t="n">
        <v>45204</v>
      </c>
      <c r="C667" s="1" t="n">
        <v>45795</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48113-2023</t>
        </is>
      </c>
      <c r="B668" s="1" t="n">
        <v>45205</v>
      </c>
      <c r="C668" s="1" t="n">
        <v>45795</v>
      </c>
      <c r="D668" t="inlineStr">
        <is>
          <t>DALARNAS LÄN</t>
        </is>
      </c>
      <c r="E668" t="inlineStr">
        <is>
          <t>MORA</t>
        </is>
      </c>
      <c r="F668" t="inlineStr">
        <is>
          <t>Bergvik skog öst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48313-2023</t>
        </is>
      </c>
      <c r="B669" s="1" t="n">
        <v>45205</v>
      </c>
      <c r="C669" s="1" t="n">
        <v>45795</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48339-2023</t>
        </is>
      </c>
      <c r="B670" s="1" t="n">
        <v>45205</v>
      </c>
      <c r="C670" s="1" t="n">
        <v>45795</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48342-2023</t>
        </is>
      </c>
      <c r="B671" s="1" t="n">
        <v>45205</v>
      </c>
      <c r="C671" s="1" t="n">
        <v>45795</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48924-2023</t>
        </is>
      </c>
      <c r="B672" s="1" t="n">
        <v>45209</v>
      </c>
      <c r="C672" s="1" t="n">
        <v>45795</v>
      </c>
      <c r="D672" t="inlineStr">
        <is>
          <t>DALARNAS LÄN</t>
        </is>
      </c>
      <c r="E672" t="inlineStr">
        <is>
          <t>MORA</t>
        </is>
      </c>
      <c r="G672" t="n">
        <v>10.8</v>
      </c>
      <c r="H672" t="n">
        <v>0</v>
      </c>
      <c r="I672" t="n">
        <v>0</v>
      </c>
      <c r="J672" t="n">
        <v>0</v>
      </c>
      <c r="K672" t="n">
        <v>0</v>
      </c>
      <c r="L672" t="n">
        <v>0</v>
      </c>
      <c r="M672" t="n">
        <v>0</v>
      </c>
      <c r="N672" t="n">
        <v>0</v>
      </c>
      <c r="O672" t="n">
        <v>0</v>
      </c>
      <c r="P672" t="n">
        <v>0</v>
      </c>
      <c r="Q672" t="n">
        <v>0</v>
      </c>
      <c r="R672" s="2" t="inlineStr"/>
    </row>
    <row r="673" ht="15" customHeight="1">
      <c r="A673" t="inlineStr">
        <is>
          <t>A 49158-2023</t>
        </is>
      </c>
      <c r="B673" s="1" t="n">
        <v>45210</v>
      </c>
      <c r="C673" s="1" t="n">
        <v>45795</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49159-2023</t>
        </is>
      </c>
      <c r="B674" s="1" t="n">
        <v>45210</v>
      </c>
      <c r="C674" s="1" t="n">
        <v>45795</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50685-2023</t>
        </is>
      </c>
      <c r="B675" s="1" t="n">
        <v>45210</v>
      </c>
      <c r="C675" s="1" t="n">
        <v>45795</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49778-2023</t>
        </is>
      </c>
      <c r="B676" s="1" t="n">
        <v>45212</v>
      </c>
      <c r="C676" s="1" t="n">
        <v>45795</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v>
      </c>
      <c r="C677" s="1" t="n">
        <v>45795</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49995-2023</t>
        </is>
      </c>
      <c r="B678" s="1" t="n">
        <v>45215</v>
      </c>
      <c r="C678" s="1" t="n">
        <v>45795</v>
      </c>
      <c r="D678" t="inlineStr">
        <is>
          <t>DALARNAS LÄN</t>
        </is>
      </c>
      <c r="E678" t="inlineStr">
        <is>
          <t>MORA</t>
        </is>
      </c>
      <c r="G678" t="n">
        <v>4</v>
      </c>
      <c r="H678" t="n">
        <v>0</v>
      </c>
      <c r="I678" t="n">
        <v>0</v>
      </c>
      <c r="J678" t="n">
        <v>0</v>
      </c>
      <c r="K678" t="n">
        <v>0</v>
      </c>
      <c r="L678" t="n">
        <v>0</v>
      </c>
      <c r="M678" t="n">
        <v>0</v>
      </c>
      <c r="N678" t="n">
        <v>0</v>
      </c>
      <c r="O678" t="n">
        <v>0</v>
      </c>
      <c r="P678" t="n">
        <v>0</v>
      </c>
      <c r="Q678" t="n">
        <v>0</v>
      </c>
      <c r="R678" s="2" t="inlineStr"/>
    </row>
    <row r="679" ht="15" customHeight="1">
      <c r="A679" t="inlineStr">
        <is>
          <t>A 51729-2023</t>
        </is>
      </c>
      <c r="B679" s="1" t="n">
        <v>45215</v>
      </c>
      <c r="C679" s="1" t="n">
        <v>45795</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50721-2023</t>
        </is>
      </c>
      <c r="B680" s="1" t="n">
        <v>45217</v>
      </c>
      <c r="C680" s="1" t="n">
        <v>45795</v>
      </c>
      <c r="D680" t="inlineStr">
        <is>
          <t>DALARNAS LÄN</t>
        </is>
      </c>
      <c r="E680" t="inlineStr">
        <is>
          <t>MORA</t>
        </is>
      </c>
      <c r="G680" t="n">
        <v>3.9</v>
      </c>
      <c r="H680" t="n">
        <v>0</v>
      </c>
      <c r="I680" t="n">
        <v>0</v>
      </c>
      <c r="J680" t="n">
        <v>0</v>
      </c>
      <c r="K680" t="n">
        <v>0</v>
      </c>
      <c r="L680" t="n">
        <v>0</v>
      </c>
      <c r="M680" t="n">
        <v>0</v>
      </c>
      <c r="N680" t="n">
        <v>0</v>
      </c>
      <c r="O680" t="n">
        <v>0</v>
      </c>
      <c r="P680" t="n">
        <v>0</v>
      </c>
      <c r="Q680" t="n">
        <v>0</v>
      </c>
      <c r="R680" s="2" t="inlineStr"/>
    </row>
    <row r="681" ht="15" customHeight="1">
      <c r="A681" t="inlineStr">
        <is>
          <t>A 50759-2023</t>
        </is>
      </c>
      <c r="B681" s="1" t="n">
        <v>45217</v>
      </c>
      <c r="C681" s="1" t="n">
        <v>45795</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51150-2023</t>
        </is>
      </c>
      <c r="B682" s="1" t="n">
        <v>45219</v>
      </c>
      <c r="C682" s="1" t="n">
        <v>45795</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51348-2023</t>
        </is>
      </c>
      <c r="B683" s="1" t="n">
        <v>45219</v>
      </c>
      <c r="C683" s="1" t="n">
        <v>45795</v>
      </c>
      <c r="D683" t="inlineStr">
        <is>
          <t>DALARNAS LÄN</t>
        </is>
      </c>
      <c r="E683" t="inlineStr">
        <is>
          <t>MORA</t>
        </is>
      </c>
      <c r="F683" t="inlineStr">
        <is>
          <t>Bergvik skog öst AB</t>
        </is>
      </c>
      <c r="G683" t="n">
        <v>3.2</v>
      </c>
      <c r="H683" t="n">
        <v>0</v>
      </c>
      <c r="I683" t="n">
        <v>0</v>
      </c>
      <c r="J683" t="n">
        <v>0</v>
      </c>
      <c r="K683" t="n">
        <v>0</v>
      </c>
      <c r="L683" t="n">
        <v>0</v>
      </c>
      <c r="M683" t="n">
        <v>0</v>
      </c>
      <c r="N683" t="n">
        <v>0</v>
      </c>
      <c r="O683" t="n">
        <v>0</v>
      </c>
      <c r="P683" t="n">
        <v>0</v>
      </c>
      <c r="Q683" t="n">
        <v>0</v>
      </c>
      <c r="R683" s="2" t="inlineStr"/>
    </row>
    <row r="684" ht="15" customHeight="1">
      <c r="A684" t="inlineStr">
        <is>
          <t>A 51253-2023</t>
        </is>
      </c>
      <c r="B684" s="1" t="n">
        <v>45219</v>
      </c>
      <c r="C684" s="1" t="n">
        <v>45795</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51146-2023</t>
        </is>
      </c>
      <c r="B685" s="1" t="n">
        <v>45219</v>
      </c>
      <c r="C685" s="1" t="n">
        <v>45795</v>
      </c>
      <c r="D685" t="inlineStr">
        <is>
          <t>DALARNAS LÄN</t>
        </is>
      </c>
      <c r="E685" t="inlineStr">
        <is>
          <t>MORA</t>
        </is>
      </c>
      <c r="G685" t="n">
        <v>6.9</v>
      </c>
      <c r="H685" t="n">
        <v>0</v>
      </c>
      <c r="I685" t="n">
        <v>0</v>
      </c>
      <c r="J685" t="n">
        <v>0</v>
      </c>
      <c r="K685" t="n">
        <v>0</v>
      </c>
      <c r="L685" t="n">
        <v>0</v>
      </c>
      <c r="M685" t="n">
        <v>0</v>
      </c>
      <c r="N685" t="n">
        <v>0</v>
      </c>
      <c r="O685" t="n">
        <v>0</v>
      </c>
      <c r="P685" t="n">
        <v>0</v>
      </c>
      <c r="Q685" t="n">
        <v>0</v>
      </c>
      <c r="R685" s="2" t="inlineStr"/>
    </row>
    <row r="686" ht="15" customHeight="1">
      <c r="A686" t="inlineStr">
        <is>
          <t>A 51650-2023</t>
        </is>
      </c>
      <c r="B686" s="1" t="n">
        <v>45222</v>
      </c>
      <c r="C686" s="1" t="n">
        <v>45795</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51739-2023</t>
        </is>
      </c>
      <c r="B687" s="1" t="n">
        <v>45222</v>
      </c>
      <c r="C687" s="1" t="n">
        <v>45795</v>
      </c>
      <c r="D687" t="inlineStr">
        <is>
          <t>DALARNAS LÄN</t>
        </is>
      </c>
      <c r="E687" t="inlineStr">
        <is>
          <t>MORA</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51570-2023</t>
        </is>
      </c>
      <c r="B688" s="1" t="n">
        <v>45222</v>
      </c>
      <c r="C688" s="1" t="n">
        <v>45795</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51628-2023</t>
        </is>
      </c>
      <c r="B689" s="1" t="n">
        <v>45222</v>
      </c>
      <c r="C689" s="1" t="n">
        <v>45795</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51780-2023</t>
        </is>
      </c>
      <c r="B690" s="1" t="n">
        <v>45222</v>
      </c>
      <c r="C690" s="1" t="n">
        <v>45795</v>
      </c>
      <c r="D690" t="inlineStr">
        <is>
          <t>DALARNAS LÄN</t>
        </is>
      </c>
      <c r="E690" t="inlineStr">
        <is>
          <t>MORA</t>
        </is>
      </c>
      <c r="G690" t="n">
        <v>9.9</v>
      </c>
      <c r="H690" t="n">
        <v>0</v>
      </c>
      <c r="I690" t="n">
        <v>0</v>
      </c>
      <c r="J690" t="n">
        <v>0</v>
      </c>
      <c r="K690" t="n">
        <v>0</v>
      </c>
      <c r="L690" t="n">
        <v>0</v>
      </c>
      <c r="M690" t="n">
        <v>0</v>
      </c>
      <c r="N690" t="n">
        <v>0</v>
      </c>
      <c r="O690" t="n">
        <v>0</v>
      </c>
      <c r="P690" t="n">
        <v>0</v>
      </c>
      <c r="Q690" t="n">
        <v>0</v>
      </c>
      <c r="R690" s="2" t="inlineStr"/>
    </row>
    <row r="691" ht="15" customHeight="1">
      <c r="A691" t="inlineStr">
        <is>
          <t>A 52006-2023</t>
        </is>
      </c>
      <c r="B691" s="1" t="n">
        <v>45223</v>
      </c>
      <c r="C691" s="1" t="n">
        <v>45795</v>
      </c>
      <c r="D691" t="inlineStr">
        <is>
          <t>DALARNAS LÄN</t>
        </is>
      </c>
      <c r="E691" t="inlineStr">
        <is>
          <t>MORA</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52584-2023</t>
        </is>
      </c>
      <c r="B692" s="1" t="n">
        <v>45225</v>
      </c>
      <c r="C692" s="1" t="n">
        <v>45795</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52766-2023</t>
        </is>
      </c>
      <c r="B693" s="1" t="n">
        <v>45226</v>
      </c>
      <c r="C693" s="1" t="n">
        <v>45795</v>
      </c>
      <c r="D693" t="inlineStr">
        <is>
          <t>DALARNAS LÄN</t>
        </is>
      </c>
      <c r="E693" t="inlineStr">
        <is>
          <t>MORA</t>
        </is>
      </c>
      <c r="G693" t="n">
        <v>4.3</v>
      </c>
      <c r="H693" t="n">
        <v>0</v>
      </c>
      <c r="I693" t="n">
        <v>0</v>
      </c>
      <c r="J693" t="n">
        <v>0</v>
      </c>
      <c r="K693" t="n">
        <v>0</v>
      </c>
      <c r="L693" t="n">
        <v>0</v>
      </c>
      <c r="M693" t="n">
        <v>0</v>
      </c>
      <c r="N693" t="n">
        <v>0</v>
      </c>
      <c r="O693" t="n">
        <v>0</v>
      </c>
      <c r="P693" t="n">
        <v>0</v>
      </c>
      <c r="Q693" t="n">
        <v>0</v>
      </c>
      <c r="R693" s="2" t="inlineStr"/>
    </row>
    <row r="694" ht="15" customHeight="1">
      <c r="A694" t="inlineStr">
        <is>
          <t>A 52919-2023</t>
        </is>
      </c>
      <c r="B694" s="1" t="n">
        <v>45226</v>
      </c>
      <c r="C694" s="1" t="n">
        <v>45795</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52908-2023</t>
        </is>
      </c>
      <c r="B695" s="1" t="n">
        <v>45226</v>
      </c>
      <c r="C695" s="1" t="n">
        <v>45795</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53026-2023</t>
        </is>
      </c>
      <c r="B696" s="1" t="n">
        <v>45226</v>
      </c>
      <c r="C696" s="1" t="n">
        <v>45795</v>
      </c>
      <c r="D696" t="inlineStr">
        <is>
          <t>DALARNAS LÄN</t>
        </is>
      </c>
      <c r="E696" t="inlineStr">
        <is>
          <t>MORA</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52804-2023</t>
        </is>
      </c>
      <c r="B697" s="1" t="n">
        <v>45226</v>
      </c>
      <c r="C697" s="1" t="n">
        <v>45795</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54626-2023</t>
        </is>
      </c>
      <c r="B698" s="1" t="n">
        <v>45228</v>
      </c>
      <c r="C698" s="1" t="n">
        <v>45795</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54593-2023</t>
        </is>
      </c>
      <c r="B699" s="1" t="n">
        <v>45228</v>
      </c>
      <c r="C699" s="1" t="n">
        <v>45795</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54627-2023</t>
        </is>
      </c>
      <c r="B700" s="1" t="n">
        <v>45228</v>
      </c>
      <c r="C700" s="1" t="n">
        <v>45795</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54594-2023</t>
        </is>
      </c>
      <c r="B701" s="1" t="n">
        <v>45228</v>
      </c>
      <c r="C701" s="1" t="n">
        <v>45795</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53344-2023</t>
        </is>
      </c>
      <c r="B702" s="1" t="n">
        <v>45229</v>
      </c>
      <c r="C702" s="1" t="n">
        <v>45795</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53349-2023</t>
        </is>
      </c>
      <c r="B703" s="1" t="n">
        <v>45229</v>
      </c>
      <c r="C703" s="1" t="n">
        <v>45795</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53297-2023</t>
        </is>
      </c>
      <c r="B704" s="1" t="n">
        <v>45229</v>
      </c>
      <c r="C704" s="1" t="n">
        <v>45795</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53341-2023</t>
        </is>
      </c>
      <c r="B705" s="1" t="n">
        <v>45229</v>
      </c>
      <c r="C705" s="1" t="n">
        <v>45795</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54003-2023</t>
        </is>
      </c>
      <c r="B706" s="1" t="n">
        <v>45231</v>
      </c>
      <c r="C706" s="1" t="n">
        <v>45795</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55225-2023</t>
        </is>
      </c>
      <c r="B707" s="1" t="n">
        <v>45231</v>
      </c>
      <c r="C707" s="1" t="n">
        <v>45795</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53994-2023</t>
        </is>
      </c>
      <c r="B708" s="1" t="n">
        <v>45231</v>
      </c>
      <c r="C708" s="1" t="n">
        <v>45795</v>
      </c>
      <c r="D708" t="inlineStr">
        <is>
          <t>DALARNAS LÄN</t>
        </is>
      </c>
      <c r="E708" t="inlineStr">
        <is>
          <t>MORA</t>
        </is>
      </c>
      <c r="F708" t="inlineStr">
        <is>
          <t>Bergvik skog öst AB</t>
        </is>
      </c>
      <c r="G708" t="n">
        <v>3.5</v>
      </c>
      <c r="H708" t="n">
        <v>0</v>
      </c>
      <c r="I708" t="n">
        <v>0</v>
      </c>
      <c r="J708" t="n">
        <v>0</v>
      </c>
      <c r="K708" t="n">
        <v>0</v>
      </c>
      <c r="L708" t="n">
        <v>0</v>
      </c>
      <c r="M708" t="n">
        <v>0</v>
      </c>
      <c r="N708" t="n">
        <v>0</v>
      </c>
      <c r="O708" t="n">
        <v>0</v>
      </c>
      <c r="P708" t="n">
        <v>0</v>
      </c>
      <c r="Q708" t="n">
        <v>0</v>
      </c>
      <c r="R708" s="2" t="inlineStr"/>
    </row>
    <row r="709" ht="15" customHeight="1">
      <c r="A709" t="inlineStr">
        <is>
          <t>A 54097-2023</t>
        </is>
      </c>
      <c r="B709" s="1" t="n">
        <v>45232</v>
      </c>
      <c r="C709" s="1" t="n">
        <v>45795</v>
      </c>
      <c r="D709" t="inlineStr">
        <is>
          <t>DALARNAS LÄN</t>
        </is>
      </c>
      <c r="E709" t="inlineStr">
        <is>
          <t>MORA</t>
        </is>
      </c>
      <c r="G709" t="n">
        <v>5.6</v>
      </c>
      <c r="H709" t="n">
        <v>0</v>
      </c>
      <c r="I709" t="n">
        <v>0</v>
      </c>
      <c r="J709" t="n">
        <v>0</v>
      </c>
      <c r="K709" t="n">
        <v>0</v>
      </c>
      <c r="L709" t="n">
        <v>0</v>
      </c>
      <c r="M709" t="n">
        <v>0</v>
      </c>
      <c r="N709" t="n">
        <v>0</v>
      </c>
      <c r="O709" t="n">
        <v>0</v>
      </c>
      <c r="P709" t="n">
        <v>0</v>
      </c>
      <c r="Q709" t="n">
        <v>0</v>
      </c>
      <c r="R709" s="2" t="inlineStr"/>
    </row>
    <row r="710" ht="15" customHeight="1">
      <c r="A710" t="inlineStr">
        <is>
          <t>A 54121-2023</t>
        </is>
      </c>
      <c r="B710" s="1" t="n">
        <v>45232</v>
      </c>
      <c r="C710" s="1" t="n">
        <v>45795</v>
      </c>
      <c r="D710" t="inlineStr">
        <is>
          <t>DALARNAS LÄN</t>
        </is>
      </c>
      <c r="E710" t="inlineStr">
        <is>
          <t>MORA</t>
        </is>
      </c>
      <c r="G710" t="n">
        <v>7</v>
      </c>
      <c r="H710" t="n">
        <v>0</v>
      </c>
      <c r="I710" t="n">
        <v>0</v>
      </c>
      <c r="J710" t="n">
        <v>0</v>
      </c>
      <c r="K710" t="n">
        <v>0</v>
      </c>
      <c r="L710" t="n">
        <v>0</v>
      </c>
      <c r="M710" t="n">
        <v>0</v>
      </c>
      <c r="N710" t="n">
        <v>0</v>
      </c>
      <c r="O710" t="n">
        <v>0</v>
      </c>
      <c r="P710" t="n">
        <v>0</v>
      </c>
      <c r="Q710" t="n">
        <v>0</v>
      </c>
      <c r="R710" s="2" t="inlineStr"/>
    </row>
    <row r="711" ht="15" customHeight="1">
      <c r="A711" t="inlineStr">
        <is>
          <t>A 54129-2023</t>
        </is>
      </c>
      <c r="B711" s="1" t="n">
        <v>45232</v>
      </c>
      <c r="C711" s="1" t="n">
        <v>45795</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54193-2023</t>
        </is>
      </c>
      <c r="B712" s="1" t="n">
        <v>45232</v>
      </c>
      <c r="C712" s="1" t="n">
        <v>45795</v>
      </c>
      <c r="D712" t="inlineStr">
        <is>
          <t>DALARNAS LÄN</t>
        </is>
      </c>
      <c r="E712" t="inlineStr">
        <is>
          <t>MORA</t>
        </is>
      </c>
      <c r="G712" t="n">
        <v>5.7</v>
      </c>
      <c r="H712" t="n">
        <v>0</v>
      </c>
      <c r="I712" t="n">
        <v>0</v>
      </c>
      <c r="J712" t="n">
        <v>0</v>
      </c>
      <c r="K712" t="n">
        <v>0</v>
      </c>
      <c r="L712" t="n">
        <v>0</v>
      </c>
      <c r="M712" t="n">
        <v>0</v>
      </c>
      <c r="N712" t="n">
        <v>0</v>
      </c>
      <c r="O712" t="n">
        <v>0</v>
      </c>
      <c r="P712" t="n">
        <v>0</v>
      </c>
      <c r="Q712" t="n">
        <v>0</v>
      </c>
      <c r="R712" s="2" t="inlineStr"/>
    </row>
    <row r="713" ht="15" customHeight="1">
      <c r="A713" t="inlineStr">
        <is>
          <t>A 54194-2023</t>
        </is>
      </c>
      <c r="B713" s="1" t="n">
        <v>45232</v>
      </c>
      <c r="C713" s="1" t="n">
        <v>45795</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v>
      </c>
      <c r="C714" s="1" t="n">
        <v>45795</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v>
      </c>
      <c r="C715" s="1" t="n">
        <v>45795</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54257-2023</t>
        </is>
      </c>
      <c r="B716" s="1" t="n">
        <v>45232</v>
      </c>
      <c r="C716" s="1" t="n">
        <v>45795</v>
      </c>
      <c r="D716" t="inlineStr">
        <is>
          <t>DALARNAS LÄN</t>
        </is>
      </c>
      <c r="E716" t="inlineStr">
        <is>
          <t>MORA</t>
        </is>
      </c>
      <c r="G716" t="n">
        <v>4</v>
      </c>
      <c r="H716" t="n">
        <v>0</v>
      </c>
      <c r="I716" t="n">
        <v>0</v>
      </c>
      <c r="J716" t="n">
        <v>0</v>
      </c>
      <c r="K716" t="n">
        <v>0</v>
      </c>
      <c r="L716" t="n">
        <v>0</v>
      </c>
      <c r="M716" t="n">
        <v>0</v>
      </c>
      <c r="N716" t="n">
        <v>0</v>
      </c>
      <c r="O716" t="n">
        <v>0</v>
      </c>
      <c r="P716" t="n">
        <v>0</v>
      </c>
      <c r="Q716" t="n">
        <v>0</v>
      </c>
      <c r="R716" s="2" t="inlineStr"/>
    </row>
    <row r="717" ht="15" customHeight="1">
      <c r="A717" t="inlineStr">
        <is>
          <t>A 54827-2023</t>
        </is>
      </c>
      <c r="B717" s="1" t="n">
        <v>45236</v>
      </c>
      <c r="C717" s="1" t="n">
        <v>45795</v>
      </c>
      <c r="D717" t="inlineStr">
        <is>
          <t>DALARNAS LÄN</t>
        </is>
      </c>
      <c r="E717" t="inlineStr">
        <is>
          <t>MORA</t>
        </is>
      </c>
      <c r="G717" t="n">
        <v>18.7</v>
      </c>
      <c r="H717" t="n">
        <v>0</v>
      </c>
      <c r="I717" t="n">
        <v>0</v>
      </c>
      <c r="J717" t="n">
        <v>0</v>
      </c>
      <c r="K717" t="n">
        <v>0</v>
      </c>
      <c r="L717" t="n">
        <v>0</v>
      </c>
      <c r="M717" t="n">
        <v>0</v>
      </c>
      <c r="N717" t="n">
        <v>0</v>
      </c>
      <c r="O717" t="n">
        <v>0</v>
      </c>
      <c r="P717" t="n">
        <v>0</v>
      </c>
      <c r="Q717" t="n">
        <v>0</v>
      </c>
      <c r="R717" s="2" t="inlineStr"/>
    </row>
    <row r="718" ht="15" customHeight="1">
      <c r="A718" t="inlineStr">
        <is>
          <t>A 54923-2023</t>
        </is>
      </c>
      <c r="B718" s="1" t="n">
        <v>45236</v>
      </c>
      <c r="C718" s="1" t="n">
        <v>45795</v>
      </c>
      <c r="D718" t="inlineStr">
        <is>
          <t>DALARNAS LÄN</t>
        </is>
      </c>
      <c r="E718" t="inlineStr">
        <is>
          <t>MORA</t>
        </is>
      </c>
      <c r="G718" t="n">
        <v>7.3</v>
      </c>
      <c r="H718" t="n">
        <v>0</v>
      </c>
      <c r="I718" t="n">
        <v>0</v>
      </c>
      <c r="J718" t="n">
        <v>0</v>
      </c>
      <c r="K718" t="n">
        <v>0</v>
      </c>
      <c r="L718" t="n">
        <v>0</v>
      </c>
      <c r="M718" t="n">
        <v>0</v>
      </c>
      <c r="N718" t="n">
        <v>0</v>
      </c>
      <c r="O718" t="n">
        <v>0</v>
      </c>
      <c r="P718" t="n">
        <v>0</v>
      </c>
      <c r="Q718" t="n">
        <v>0</v>
      </c>
      <c r="R718" s="2" t="inlineStr"/>
    </row>
    <row r="719" ht="15" customHeight="1">
      <c r="A719" t="inlineStr">
        <is>
          <t>A 55222-2023</t>
        </is>
      </c>
      <c r="B719" s="1" t="n">
        <v>45237</v>
      </c>
      <c r="C719" s="1" t="n">
        <v>45795</v>
      </c>
      <c r="D719" t="inlineStr">
        <is>
          <t>DALARNAS LÄN</t>
        </is>
      </c>
      <c r="E719" t="inlineStr">
        <is>
          <t>MORA</t>
        </is>
      </c>
      <c r="F719" t="inlineStr">
        <is>
          <t>Allmännings- och besparingsskogar</t>
        </is>
      </c>
      <c r="G719" t="n">
        <v>19.8</v>
      </c>
      <c r="H719" t="n">
        <v>0</v>
      </c>
      <c r="I719" t="n">
        <v>0</v>
      </c>
      <c r="J719" t="n">
        <v>0</v>
      </c>
      <c r="K719" t="n">
        <v>0</v>
      </c>
      <c r="L719" t="n">
        <v>0</v>
      </c>
      <c r="M719" t="n">
        <v>0</v>
      </c>
      <c r="N719" t="n">
        <v>0</v>
      </c>
      <c r="O719" t="n">
        <v>0</v>
      </c>
      <c r="P719" t="n">
        <v>0</v>
      </c>
      <c r="Q719" t="n">
        <v>0</v>
      </c>
      <c r="R719" s="2" t="inlineStr"/>
    </row>
    <row r="720" ht="15" customHeight="1">
      <c r="A720" t="inlineStr">
        <is>
          <t>A 55398-2023</t>
        </is>
      </c>
      <c r="B720" s="1" t="n">
        <v>45238</v>
      </c>
      <c r="C720" s="1" t="n">
        <v>45795</v>
      </c>
      <c r="D720" t="inlineStr">
        <is>
          <t>DALARNAS LÄN</t>
        </is>
      </c>
      <c r="E720" t="inlineStr">
        <is>
          <t>MORA</t>
        </is>
      </c>
      <c r="G720" t="n">
        <v>7.2</v>
      </c>
      <c r="H720" t="n">
        <v>0</v>
      </c>
      <c r="I720" t="n">
        <v>0</v>
      </c>
      <c r="J720" t="n">
        <v>0</v>
      </c>
      <c r="K720" t="n">
        <v>0</v>
      </c>
      <c r="L720" t="n">
        <v>0</v>
      </c>
      <c r="M720" t="n">
        <v>0</v>
      </c>
      <c r="N720" t="n">
        <v>0</v>
      </c>
      <c r="O720" t="n">
        <v>0</v>
      </c>
      <c r="P720" t="n">
        <v>0</v>
      </c>
      <c r="Q720" t="n">
        <v>0</v>
      </c>
      <c r="R720" s="2" t="inlineStr"/>
    </row>
    <row r="721" ht="15" customHeight="1">
      <c r="A721" t="inlineStr">
        <is>
          <t>A 55691-2023</t>
        </is>
      </c>
      <c r="B721" s="1" t="n">
        <v>45239</v>
      </c>
      <c r="C721" s="1" t="n">
        <v>45795</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55848-2023</t>
        </is>
      </c>
      <c r="B722" s="1" t="n">
        <v>45239</v>
      </c>
      <c r="C722" s="1" t="n">
        <v>45795</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56010-2023</t>
        </is>
      </c>
      <c r="B723" s="1" t="n">
        <v>45240</v>
      </c>
      <c r="C723" s="1" t="n">
        <v>45795</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56037-2023</t>
        </is>
      </c>
      <c r="B724" s="1" t="n">
        <v>45240</v>
      </c>
      <c r="C724" s="1" t="n">
        <v>45795</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56020-2023</t>
        </is>
      </c>
      <c r="B725" s="1" t="n">
        <v>45240</v>
      </c>
      <c r="C725" s="1" t="n">
        <v>45795</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56012-2023</t>
        </is>
      </c>
      <c r="B726" s="1" t="n">
        <v>45240</v>
      </c>
      <c r="C726" s="1" t="n">
        <v>45795</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56239-2023</t>
        </is>
      </c>
      <c r="B727" s="1" t="n">
        <v>45240</v>
      </c>
      <c r="C727" s="1" t="n">
        <v>45795</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56032-2023</t>
        </is>
      </c>
      <c r="B728" s="1" t="n">
        <v>45240</v>
      </c>
      <c r="C728" s="1" t="n">
        <v>45795</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55977-2023</t>
        </is>
      </c>
      <c r="B729" s="1" t="n">
        <v>45240</v>
      </c>
      <c r="C729" s="1" t="n">
        <v>45795</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56009-2023</t>
        </is>
      </c>
      <c r="B730" s="1" t="n">
        <v>45240</v>
      </c>
      <c r="C730" s="1" t="n">
        <v>45795</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55984-2023</t>
        </is>
      </c>
      <c r="B731" s="1" t="n">
        <v>45240</v>
      </c>
      <c r="C731" s="1" t="n">
        <v>45795</v>
      </c>
      <c r="D731" t="inlineStr">
        <is>
          <t>DALARNAS LÄN</t>
        </is>
      </c>
      <c r="E731" t="inlineStr">
        <is>
          <t>MORA</t>
        </is>
      </c>
      <c r="G731" t="n">
        <v>5.3</v>
      </c>
      <c r="H731" t="n">
        <v>0</v>
      </c>
      <c r="I731" t="n">
        <v>0</v>
      </c>
      <c r="J731" t="n">
        <v>0</v>
      </c>
      <c r="K731" t="n">
        <v>0</v>
      </c>
      <c r="L731" t="n">
        <v>0</v>
      </c>
      <c r="M731" t="n">
        <v>0</v>
      </c>
      <c r="N731" t="n">
        <v>0</v>
      </c>
      <c r="O731" t="n">
        <v>0</v>
      </c>
      <c r="P731" t="n">
        <v>0</v>
      </c>
      <c r="Q731" t="n">
        <v>0</v>
      </c>
      <c r="R731" s="2" t="inlineStr"/>
    </row>
    <row r="732" ht="15" customHeight="1">
      <c r="A732" t="inlineStr">
        <is>
          <t>A 56711-2023</t>
        </is>
      </c>
      <c r="B732" s="1" t="n">
        <v>45244</v>
      </c>
      <c r="C732" s="1" t="n">
        <v>45795</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56767-2023</t>
        </is>
      </c>
      <c r="B733" s="1" t="n">
        <v>45244</v>
      </c>
      <c r="C733" s="1" t="n">
        <v>45795</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56934-2023</t>
        </is>
      </c>
      <c r="B734" s="1" t="n">
        <v>45244</v>
      </c>
      <c r="C734" s="1" t="n">
        <v>45795</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v>
      </c>
      <c r="C735" s="1" t="n">
        <v>45795</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57314-2023</t>
        </is>
      </c>
      <c r="B736" s="1" t="n">
        <v>45245</v>
      </c>
      <c r="C736" s="1" t="n">
        <v>45795</v>
      </c>
      <c r="D736" t="inlineStr">
        <is>
          <t>DALARNAS LÄN</t>
        </is>
      </c>
      <c r="E736" t="inlineStr">
        <is>
          <t>MORA</t>
        </is>
      </c>
      <c r="G736" t="n">
        <v>2.7</v>
      </c>
      <c r="H736" t="n">
        <v>0</v>
      </c>
      <c r="I736" t="n">
        <v>0</v>
      </c>
      <c r="J736" t="n">
        <v>0</v>
      </c>
      <c r="K736" t="n">
        <v>0</v>
      </c>
      <c r="L736" t="n">
        <v>0</v>
      </c>
      <c r="M736" t="n">
        <v>0</v>
      </c>
      <c r="N736" t="n">
        <v>0</v>
      </c>
      <c r="O736" t="n">
        <v>0</v>
      </c>
      <c r="P736" t="n">
        <v>0</v>
      </c>
      <c r="Q736" t="n">
        <v>0</v>
      </c>
      <c r="R736" s="2" t="inlineStr"/>
    </row>
    <row r="737" ht="15" customHeight="1">
      <c r="A737" t="inlineStr">
        <is>
          <t>A 57625-2023</t>
        </is>
      </c>
      <c r="B737" s="1" t="n">
        <v>45246</v>
      </c>
      <c r="C737" s="1" t="n">
        <v>45795</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57989-2023</t>
        </is>
      </c>
      <c r="B738" s="1" t="n">
        <v>45247</v>
      </c>
      <c r="C738" s="1" t="n">
        <v>45795</v>
      </c>
      <c r="D738" t="inlineStr">
        <is>
          <t>DALARNAS LÄN</t>
        </is>
      </c>
      <c r="E738" t="inlineStr">
        <is>
          <t>MORA</t>
        </is>
      </c>
      <c r="G738" t="n">
        <v>0.6</v>
      </c>
      <c r="H738" t="n">
        <v>0</v>
      </c>
      <c r="I738" t="n">
        <v>0</v>
      </c>
      <c r="J738" t="n">
        <v>0</v>
      </c>
      <c r="K738" t="n">
        <v>0</v>
      </c>
      <c r="L738" t="n">
        <v>0</v>
      </c>
      <c r="M738" t="n">
        <v>0</v>
      </c>
      <c r="N738" t="n">
        <v>0</v>
      </c>
      <c r="O738" t="n">
        <v>0</v>
      </c>
      <c r="P738" t="n">
        <v>0</v>
      </c>
      <c r="Q738" t="n">
        <v>0</v>
      </c>
      <c r="R738" s="2" t="inlineStr"/>
    </row>
    <row r="739" ht="15" customHeight="1">
      <c r="A739" t="inlineStr">
        <is>
          <t>A 57999-2023</t>
        </is>
      </c>
      <c r="B739" s="1" t="n">
        <v>45247</v>
      </c>
      <c r="C739" s="1" t="n">
        <v>45795</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58075-2023</t>
        </is>
      </c>
      <c r="B740" s="1" t="n">
        <v>45247</v>
      </c>
      <c r="C740" s="1" t="n">
        <v>45795</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57889-2023</t>
        </is>
      </c>
      <c r="B741" s="1" t="n">
        <v>45247</v>
      </c>
      <c r="C741" s="1" t="n">
        <v>45795</v>
      </c>
      <c r="D741" t="inlineStr">
        <is>
          <t>DALARNAS LÄN</t>
        </is>
      </c>
      <c r="E741" t="inlineStr">
        <is>
          <t>MORA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58972-2023</t>
        </is>
      </c>
      <c r="B742" s="1" t="n">
        <v>45252</v>
      </c>
      <c r="C742" s="1" t="n">
        <v>45795</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58977-2023</t>
        </is>
      </c>
      <c r="B743" s="1" t="n">
        <v>45252</v>
      </c>
      <c r="C743" s="1" t="n">
        <v>45795</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58892-2023</t>
        </is>
      </c>
      <c r="B744" s="1" t="n">
        <v>45252</v>
      </c>
      <c r="C744" s="1" t="n">
        <v>45795</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59168-2023</t>
        </is>
      </c>
      <c r="B745" s="1" t="n">
        <v>45253</v>
      </c>
      <c r="C745" s="1" t="n">
        <v>45795</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59174-2023</t>
        </is>
      </c>
      <c r="B746" s="1" t="n">
        <v>45253</v>
      </c>
      <c r="C746" s="1" t="n">
        <v>45795</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59170-2023</t>
        </is>
      </c>
      <c r="B747" s="1" t="n">
        <v>45253</v>
      </c>
      <c r="C747" s="1" t="n">
        <v>45795</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59180-2023</t>
        </is>
      </c>
      <c r="B748" s="1" t="n">
        <v>45253</v>
      </c>
      <c r="C748" s="1" t="n">
        <v>45795</v>
      </c>
      <c r="D748" t="inlineStr">
        <is>
          <t>DALARNAS LÄN</t>
        </is>
      </c>
      <c r="E748" t="inlineStr">
        <is>
          <t>MORA</t>
        </is>
      </c>
      <c r="G748" t="n">
        <v>6</v>
      </c>
      <c r="H748" t="n">
        <v>0</v>
      </c>
      <c r="I748" t="n">
        <v>0</v>
      </c>
      <c r="J748" t="n">
        <v>0</v>
      </c>
      <c r="K748" t="n">
        <v>0</v>
      </c>
      <c r="L748" t="n">
        <v>0</v>
      </c>
      <c r="M748" t="n">
        <v>0</v>
      </c>
      <c r="N748" t="n">
        <v>0</v>
      </c>
      <c r="O748" t="n">
        <v>0</v>
      </c>
      <c r="P748" t="n">
        <v>0</v>
      </c>
      <c r="Q748" t="n">
        <v>0</v>
      </c>
      <c r="R748" s="2" t="inlineStr"/>
    </row>
    <row r="749" ht="15" customHeight="1">
      <c r="A749" t="inlineStr">
        <is>
          <t>A 59182-2023</t>
        </is>
      </c>
      <c r="B749" s="1" t="n">
        <v>45253</v>
      </c>
      <c r="C749" s="1" t="n">
        <v>45795</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59995-2023</t>
        </is>
      </c>
      <c r="B750" s="1" t="n">
        <v>45254</v>
      </c>
      <c r="C750" s="1" t="n">
        <v>45795</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59891-2023</t>
        </is>
      </c>
      <c r="B751" s="1" t="n">
        <v>45254</v>
      </c>
      <c r="C751" s="1" t="n">
        <v>45795</v>
      </c>
      <c r="D751" t="inlineStr">
        <is>
          <t>DALARNAS LÄN</t>
        </is>
      </c>
      <c r="E751" t="inlineStr">
        <is>
          <t>MORA</t>
        </is>
      </c>
      <c r="G751" t="n">
        <v>9</v>
      </c>
      <c r="H751" t="n">
        <v>0</v>
      </c>
      <c r="I751" t="n">
        <v>0</v>
      </c>
      <c r="J751" t="n">
        <v>0</v>
      </c>
      <c r="K751" t="n">
        <v>0</v>
      </c>
      <c r="L751" t="n">
        <v>0</v>
      </c>
      <c r="M751" t="n">
        <v>0</v>
      </c>
      <c r="N751" t="n">
        <v>0</v>
      </c>
      <c r="O751" t="n">
        <v>0</v>
      </c>
      <c r="P751" t="n">
        <v>0</v>
      </c>
      <c r="Q751" t="n">
        <v>0</v>
      </c>
      <c r="R751" s="2" t="inlineStr"/>
    </row>
    <row r="752" ht="15" customHeight="1">
      <c r="A752" t="inlineStr">
        <is>
          <t>A 59850-2023</t>
        </is>
      </c>
      <c r="B752" s="1" t="n">
        <v>45257</v>
      </c>
      <c r="C752" s="1" t="n">
        <v>45795</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59868-2023</t>
        </is>
      </c>
      <c r="B753" s="1" t="n">
        <v>45257</v>
      </c>
      <c r="C753" s="1" t="n">
        <v>45795</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60258-2023</t>
        </is>
      </c>
      <c r="B754" s="1" t="n">
        <v>45258</v>
      </c>
      <c r="C754" s="1" t="n">
        <v>45795</v>
      </c>
      <c r="D754" t="inlineStr">
        <is>
          <t>DALARNAS LÄN</t>
        </is>
      </c>
      <c r="E754" t="inlineStr">
        <is>
          <t>MORA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60360-2023</t>
        </is>
      </c>
      <c r="B755" s="1" t="n">
        <v>45259</v>
      </c>
      <c r="C755" s="1" t="n">
        <v>45795</v>
      </c>
      <c r="D755" t="inlineStr">
        <is>
          <t>DALARNAS LÄN</t>
        </is>
      </c>
      <c r="E755" t="inlineStr">
        <is>
          <t>MORA</t>
        </is>
      </c>
      <c r="G755" t="n">
        <v>2.9</v>
      </c>
      <c r="H755" t="n">
        <v>0</v>
      </c>
      <c r="I755" t="n">
        <v>0</v>
      </c>
      <c r="J755" t="n">
        <v>0</v>
      </c>
      <c r="K755" t="n">
        <v>0</v>
      </c>
      <c r="L755" t="n">
        <v>0</v>
      </c>
      <c r="M755" t="n">
        <v>0</v>
      </c>
      <c r="N755" t="n">
        <v>0</v>
      </c>
      <c r="O755" t="n">
        <v>0</v>
      </c>
      <c r="P755" t="n">
        <v>0</v>
      </c>
      <c r="Q755" t="n">
        <v>0</v>
      </c>
      <c r="R755" s="2" t="inlineStr"/>
    </row>
    <row r="756" ht="15" customHeight="1">
      <c r="A756" t="inlineStr">
        <is>
          <t>A 60526-2023</t>
        </is>
      </c>
      <c r="B756" s="1" t="n">
        <v>45259</v>
      </c>
      <c r="C756" s="1" t="n">
        <v>45795</v>
      </c>
      <c r="D756" t="inlineStr">
        <is>
          <t>DALARNAS LÄN</t>
        </is>
      </c>
      <c r="E756" t="inlineStr">
        <is>
          <t>MORA</t>
        </is>
      </c>
      <c r="G756" t="n">
        <v>6.7</v>
      </c>
      <c r="H756" t="n">
        <v>0</v>
      </c>
      <c r="I756" t="n">
        <v>0</v>
      </c>
      <c r="J756" t="n">
        <v>0</v>
      </c>
      <c r="K756" t="n">
        <v>0</v>
      </c>
      <c r="L756" t="n">
        <v>0</v>
      </c>
      <c r="M756" t="n">
        <v>0</v>
      </c>
      <c r="N756" t="n">
        <v>0</v>
      </c>
      <c r="O756" t="n">
        <v>0</v>
      </c>
      <c r="P756" t="n">
        <v>0</v>
      </c>
      <c r="Q756" t="n">
        <v>0</v>
      </c>
      <c r="R756" s="2" t="inlineStr"/>
    </row>
    <row r="757" ht="15" customHeight="1">
      <c r="A757" t="inlineStr">
        <is>
          <t>A 60428-2023</t>
        </is>
      </c>
      <c r="B757" s="1" t="n">
        <v>45259</v>
      </c>
      <c r="C757" s="1" t="n">
        <v>45795</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60465-2023</t>
        </is>
      </c>
      <c r="B758" s="1" t="n">
        <v>45259</v>
      </c>
      <c r="C758" s="1" t="n">
        <v>45795</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60666-2023</t>
        </is>
      </c>
      <c r="B759" s="1" t="n">
        <v>45260</v>
      </c>
      <c r="C759" s="1" t="n">
        <v>45795</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60674-2023</t>
        </is>
      </c>
      <c r="B760" s="1" t="n">
        <v>45260</v>
      </c>
      <c r="C760" s="1" t="n">
        <v>45795</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60673-2023</t>
        </is>
      </c>
      <c r="B761" s="1" t="n">
        <v>45260</v>
      </c>
      <c r="C761" s="1" t="n">
        <v>45795</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60715-2023</t>
        </is>
      </c>
      <c r="B762" s="1" t="n">
        <v>45260</v>
      </c>
      <c r="C762" s="1" t="n">
        <v>45795</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60718-2023</t>
        </is>
      </c>
      <c r="B763" s="1" t="n">
        <v>45260</v>
      </c>
      <c r="C763" s="1" t="n">
        <v>45795</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61249-2023</t>
        </is>
      </c>
      <c r="B764" s="1" t="n">
        <v>45264</v>
      </c>
      <c r="C764" s="1" t="n">
        <v>45795</v>
      </c>
      <c r="D764" t="inlineStr">
        <is>
          <t>DALARNAS LÄN</t>
        </is>
      </c>
      <c r="E764" t="inlineStr">
        <is>
          <t>MORA</t>
        </is>
      </c>
      <c r="F764" t="inlineStr">
        <is>
          <t>Allmännings- och besparingsskogar</t>
        </is>
      </c>
      <c r="G764" t="n">
        <v>1.7</v>
      </c>
      <c r="H764" t="n">
        <v>0</v>
      </c>
      <c r="I764" t="n">
        <v>0</v>
      </c>
      <c r="J764" t="n">
        <v>0</v>
      </c>
      <c r="K764" t="n">
        <v>0</v>
      </c>
      <c r="L764" t="n">
        <v>0</v>
      </c>
      <c r="M764" t="n">
        <v>0</v>
      </c>
      <c r="N764" t="n">
        <v>0</v>
      </c>
      <c r="O764" t="n">
        <v>0</v>
      </c>
      <c r="P764" t="n">
        <v>0</v>
      </c>
      <c r="Q764" t="n">
        <v>0</v>
      </c>
      <c r="R764" s="2" t="inlineStr"/>
    </row>
    <row r="765" ht="15" customHeight="1">
      <c r="A765" t="inlineStr">
        <is>
          <t>A 61405-2023</t>
        </is>
      </c>
      <c r="B765" s="1" t="n">
        <v>45264</v>
      </c>
      <c r="C765" s="1" t="n">
        <v>45795</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61273-2023</t>
        </is>
      </c>
      <c r="B766" s="1" t="n">
        <v>45264</v>
      </c>
      <c r="C766" s="1" t="n">
        <v>45795</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61217-2023</t>
        </is>
      </c>
      <c r="B767" s="1" t="n">
        <v>45264</v>
      </c>
      <c r="C767" s="1" t="n">
        <v>45795</v>
      </c>
      <c r="D767" t="inlineStr">
        <is>
          <t>DALARNAS LÄN</t>
        </is>
      </c>
      <c r="E767" t="inlineStr">
        <is>
          <t>MORA</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61261-2023</t>
        </is>
      </c>
      <c r="B768" s="1" t="n">
        <v>45264</v>
      </c>
      <c r="C768" s="1" t="n">
        <v>45795</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61270-2023</t>
        </is>
      </c>
      <c r="B769" s="1" t="n">
        <v>45264</v>
      </c>
      <c r="C769" s="1" t="n">
        <v>45795</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61392-2023</t>
        </is>
      </c>
      <c r="B770" s="1" t="n">
        <v>45264</v>
      </c>
      <c r="C770" s="1" t="n">
        <v>45795</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61209-2023</t>
        </is>
      </c>
      <c r="B771" s="1" t="n">
        <v>45264</v>
      </c>
      <c r="C771" s="1" t="n">
        <v>45795</v>
      </c>
      <c r="D771" t="inlineStr">
        <is>
          <t>DALARNAS LÄN</t>
        </is>
      </c>
      <c r="E771" t="inlineStr">
        <is>
          <t>MORA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61218-2023</t>
        </is>
      </c>
      <c r="B772" s="1" t="n">
        <v>45264</v>
      </c>
      <c r="C772" s="1" t="n">
        <v>45795</v>
      </c>
      <c r="D772" t="inlineStr">
        <is>
          <t>DALARNAS LÄN</t>
        </is>
      </c>
      <c r="E772" t="inlineStr">
        <is>
          <t>MORA</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61222-2023</t>
        </is>
      </c>
      <c r="B773" s="1" t="n">
        <v>45264</v>
      </c>
      <c r="C773" s="1" t="n">
        <v>45795</v>
      </c>
      <c r="D773" t="inlineStr">
        <is>
          <t>DALARNAS LÄN</t>
        </is>
      </c>
      <c r="E773" t="inlineStr">
        <is>
          <t>MORA</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61425-2023</t>
        </is>
      </c>
      <c r="B774" s="1" t="n">
        <v>45264</v>
      </c>
      <c r="C774" s="1" t="n">
        <v>45795</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61529-2023</t>
        </is>
      </c>
      <c r="B775" s="1" t="n">
        <v>45265</v>
      </c>
      <c r="C775" s="1" t="n">
        <v>45795</v>
      </c>
      <c r="D775" t="inlineStr">
        <is>
          <t>DALARNAS LÄN</t>
        </is>
      </c>
      <c r="E775" t="inlineStr">
        <is>
          <t>MORA</t>
        </is>
      </c>
      <c r="G775" t="n">
        <v>29.6</v>
      </c>
      <c r="H775" t="n">
        <v>0</v>
      </c>
      <c r="I775" t="n">
        <v>0</v>
      </c>
      <c r="J775" t="n">
        <v>0</v>
      </c>
      <c r="K775" t="n">
        <v>0</v>
      </c>
      <c r="L775" t="n">
        <v>0</v>
      </c>
      <c r="M775" t="n">
        <v>0</v>
      </c>
      <c r="N775" t="n">
        <v>0</v>
      </c>
      <c r="O775" t="n">
        <v>0</v>
      </c>
      <c r="P775" t="n">
        <v>0</v>
      </c>
      <c r="Q775" t="n">
        <v>0</v>
      </c>
      <c r="R775" s="2" t="inlineStr"/>
    </row>
    <row r="776" ht="15" customHeight="1">
      <c r="A776" t="inlineStr">
        <is>
          <t>A 61990-2023</t>
        </is>
      </c>
      <c r="B776" s="1" t="n">
        <v>45265</v>
      </c>
      <c r="C776" s="1" t="n">
        <v>45795</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61998-2023</t>
        </is>
      </c>
      <c r="B777" s="1" t="n">
        <v>45265</v>
      </c>
      <c r="C777" s="1" t="n">
        <v>45795</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61922-2023</t>
        </is>
      </c>
      <c r="B778" s="1" t="n">
        <v>45266</v>
      </c>
      <c r="C778" s="1" t="n">
        <v>45795</v>
      </c>
      <c r="D778" t="inlineStr">
        <is>
          <t>DALARNAS LÄN</t>
        </is>
      </c>
      <c r="E778" t="inlineStr">
        <is>
          <t>MORA</t>
        </is>
      </c>
      <c r="G778" t="n">
        <v>4.9</v>
      </c>
      <c r="H778" t="n">
        <v>0</v>
      </c>
      <c r="I778" t="n">
        <v>0</v>
      </c>
      <c r="J778" t="n">
        <v>0</v>
      </c>
      <c r="K778" t="n">
        <v>0</v>
      </c>
      <c r="L778" t="n">
        <v>0</v>
      </c>
      <c r="M778" t="n">
        <v>0</v>
      </c>
      <c r="N778" t="n">
        <v>0</v>
      </c>
      <c r="O778" t="n">
        <v>0</v>
      </c>
      <c r="P778" t="n">
        <v>0</v>
      </c>
      <c r="Q778" t="n">
        <v>0</v>
      </c>
      <c r="R778" s="2" t="inlineStr"/>
    </row>
    <row r="779" ht="15" customHeight="1">
      <c r="A779" t="inlineStr">
        <is>
          <t>A 62246-2023</t>
        </is>
      </c>
      <c r="B779" s="1" t="n">
        <v>45266</v>
      </c>
      <c r="C779" s="1" t="n">
        <v>45795</v>
      </c>
      <c r="D779" t="inlineStr">
        <is>
          <t>DALARNAS LÄN</t>
        </is>
      </c>
      <c r="E779" t="inlineStr">
        <is>
          <t>MORA</t>
        </is>
      </c>
      <c r="G779" t="n">
        <v>10.7</v>
      </c>
      <c r="H779" t="n">
        <v>0</v>
      </c>
      <c r="I779" t="n">
        <v>0</v>
      </c>
      <c r="J779" t="n">
        <v>0</v>
      </c>
      <c r="K779" t="n">
        <v>0</v>
      </c>
      <c r="L779" t="n">
        <v>0</v>
      </c>
      <c r="M779" t="n">
        <v>0</v>
      </c>
      <c r="N779" t="n">
        <v>0</v>
      </c>
      <c r="O779" t="n">
        <v>0</v>
      </c>
      <c r="P779" t="n">
        <v>0</v>
      </c>
      <c r="Q779" t="n">
        <v>0</v>
      </c>
      <c r="R779" s="2" t="inlineStr"/>
    </row>
    <row r="780" ht="15" customHeight="1">
      <c r="A780" t="inlineStr">
        <is>
          <t>A 62660-2023</t>
        </is>
      </c>
      <c r="B780" s="1" t="n">
        <v>45271</v>
      </c>
      <c r="C780" s="1" t="n">
        <v>45795</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62853-2023</t>
        </is>
      </c>
      <c r="B781" s="1" t="n">
        <v>45272</v>
      </c>
      <c r="C781" s="1" t="n">
        <v>45795</v>
      </c>
      <c r="D781" t="inlineStr">
        <is>
          <t>DALARNAS LÄN</t>
        </is>
      </c>
      <c r="E781" t="inlineStr">
        <is>
          <t>MORA</t>
        </is>
      </c>
      <c r="G781" t="n">
        <v>13.6</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45795</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63168-2023</t>
        </is>
      </c>
      <c r="B783" s="1" t="n">
        <v>45273</v>
      </c>
      <c r="C783" s="1" t="n">
        <v>45795</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63958-2023</t>
        </is>
      </c>
      <c r="B784" s="1" t="n">
        <v>45278</v>
      </c>
      <c r="C784" s="1" t="n">
        <v>45795</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64099-2023</t>
        </is>
      </c>
      <c r="B785" s="1" t="n">
        <v>45279</v>
      </c>
      <c r="C785" s="1" t="n">
        <v>45795</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64088-2023</t>
        </is>
      </c>
      <c r="B786" s="1" t="n">
        <v>45279</v>
      </c>
      <c r="C786" s="1" t="n">
        <v>45795</v>
      </c>
      <c r="D786" t="inlineStr">
        <is>
          <t>DALARNAS LÄN</t>
        </is>
      </c>
      <c r="E786" t="inlineStr">
        <is>
          <t>MORA</t>
        </is>
      </c>
      <c r="G786" t="n">
        <v>1</v>
      </c>
      <c r="H786" t="n">
        <v>0</v>
      </c>
      <c r="I786" t="n">
        <v>0</v>
      </c>
      <c r="J786" t="n">
        <v>0</v>
      </c>
      <c r="K786" t="n">
        <v>0</v>
      </c>
      <c r="L786" t="n">
        <v>0</v>
      </c>
      <c r="M786" t="n">
        <v>0</v>
      </c>
      <c r="N786" t="n">
        <v>0</v>
      </c>
      <c r="O786" t="n">
        <v>0</v>
      </c>
      <c r="P786" t="n">
        <v>0</v>
      </c>
      <c r="Q786" t="n">
        <v>0</v>
      </c>
      <c r="R786" s="2" t="inlineStr"/>
    </row>
    <row r="787" ht="15" customHeight="1">
      <c r="A787" t="inlineStr">
        <is>
          <t>A 64093-2023</t>
        </is>
      </c>
      <c r="B787" s="1" t="n">
        <v>45279</v>
      </c>
      <c r="C787" s="1" t="n">
        <v>45795</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64327-2023</t>
        </is>
      </c>
      <c r="B788" s="1" t="n">
        <v>45280</v>
      </c>
      <c r="C788" s="1" t="n">
        <v>45795</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439-2024</t>
        </is>
      </c>
      <c r="B789" s="1" t="n">
        <v>45296</v>
      </c>
      <c r="C789" s="1" t="n">
        <v>45795</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442-2024</t>
        </is>
      </c>
      <c r="B790" s="1" t="n">
        <v>45296</v>
      </c>
      <c r="C790" s="1" t="n">
        <v>45795</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437-2024</t>
        </is>
      </c>
      <c r="B791" s="1" t="n">
        <v>45296</v>
      </c>
      <c r="C791" s="1" t="n">
        <v>45795</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501-2024</t>
        </is>
      </c>
      <c r="B792" s="1" t="n">
        <v>45299</v>
      </c>
      <c r="C792" s="1" t="n">
        <v>45795</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571-2024</t>
        </is>
      </c>
      <c r="B793" s="1" t="n">
        <v>45299</v>
      </c>
      <c r="C793" s="1" t="n">
        <v>45795</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573-2024</t>
        </is>
      </c>
      <c r="B794" s="1" t="n">
        <v>45299</v>
      </c>
      <c r="C794" s="1" t="n">
        <v>45795</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2084-2024</t>
        </is>
      </c>
      <c r="B795" s="1" t="n">
        <v>45309</v>
      </c>
      <c r="C795" s="1" t="n">
        <v>45795</v>
      </c>
      <c r="D795" t="inlineStr">
        <is>
          <t>DALARNAS LÄN</t>
        </is>
      </c>
      <c r="E795" t="inlineStr">
        <is>
          <t>MORA</t>
        </is>
      </c>
      <c r="G795" t="n">
        <v>1.9</v>
      </c>
      <c r="H795" t="n">
        <v>0</v>
      </c>
      <c r="I795" t="n">
        <v>0</v>
      </c>
      <c r="J795" t="n">
        <v>0</v>
      </c>
      <c r="K795" t="n">
        <v>0</v>
      </c>
      <c r="L795" t="n">
        <v>0</v>
      </c>
      <c r="M795" t="n">
        <v>0</v>
      </c>
      <c r="N795" t="n">
        <v>0</v>
      </c>
      <c r="O795" t="n">
        <v>0</v>
      </c>
      <c r="P795" t="n">
        <v>0</v>
      </c>
      <c r="Q795" t="n">
        <v>0</v>
      </c>
      <c r="R795" s="2" t="inlineStr"/>
    </row>
    <row r="796" ht="15" customHeight="1">
      <c r="A796" t="inlineStr">
        <is>
          <t>A 2276-2024</t>
        </is>
      </c>
      <c r="B796" s="1" t="n">
        <v>45310</v>
      </c>
      <c r="C796" s="1" t="n">
        <v>45795</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2292-2024</t>
        </is>
      </c>
      <c r="B797" s="1" t="n">
        <v>45310</v>
      </c>
      <c r="C797" s="1" t="n">
        <v>45795</v>
      </c>
      <c r="D797" t="inlineStr">
        <is>
          <t>DALARNAS LÄN</t>
        </is>
      </c>
      <c r="E797" t="inlineStr">
        <is>
          <t>MORA</t>
        </is>
      </c>
      <c r="G797" t="n">
        <v>2.9</v>
      </c>
      <c r="H797" t="n">
        <v>0</v>
      </c>
      <c r="I797" t="n">
        <v>0</v>
      </c>
      <c r="J797" t="n">
        <v>0</v>
      </c>
      <c r="K797" t="n">
        <v>0</v>
      </c>
      <c r="L797" t="n">
        <v>0</v>
      </c>
      <c r="M797" t="n">
        <v>0</v>
      </c>
      <c r="N797" t="n">
        <v>0</v>
      </c>
      <c r="O797" t="n">
        <v>0</v>
      </c>
      <c r="P797" t="n">
        <v>0</v>
      </c>
      <c r="Q797" t="n">
        <v>0</v>
      </c>
      <c r="R797" s="2" t="inlineStr"/>
    </row>
    <row r="798" ht="15" customHeight="1">
      <c r="A798" t="inlineStr">
        <is>
          <t>A 3107-2024</t>
        </is>
      </c>
      <c r="B798" s="1" t="n">
        <v>45316</v>
      </c>
      <c r="C798" s="1" t="n">
        <v>45795</v>
      </c>
      <c r="D798" t="inlineStr">
        <is>
          <t>DALARNAS LÄN</t>
        </is>
      </c>
      <c r="E798" t="inlineStr">
        <is>
          <t>MORA</t>
        </is>
      </c>
      <c r="G798" t="n">
        <v>4.1</v>
      </c>
      <c r="H798" t="n">
        <v>0</v>
      </c>
      <c r="I798" t="n">
        <v>0</v>
      </c>
      <c r="J798" t="n">
        <v>0</v>
      </c>
      <c r="K798" t="n">
        <v>0</v>
      </c>
      <c r="L798" t="n">
        <v>0</v>
      </c>
      <c r="M798" t="n">
        <v>0</v>
      </c>
      <c r="N798" t="n">
        <v>0</v>
      </c>
      <c r="O798" t="n">
        <v>0</v>
      </c>
      <c r="P798" t="n">
        <v>0</v>
      </c>
      <c r="Q798" t="n">
        <v>0</v>
      </c>
      <c r="R798" s="2" t="inlineStr"/>
    </row>
    <row r="799" ht="15" customHeight="1">
      <c r="A799" t="inlineStr">
        <is>
          <t>A 3219-2024</t>
        </is>
      </c>
      <c r="B799" s="1" t="n">
        <v>45316</v>
      </c>
      <c r="C799" s="1" t="n">
        <v>45795</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3322-2024</t>
        </is>
      </c>
      <c r="B800" s="1" t="n">
        <v>45317</v>
      </c>
      <c r="C800" s="1" t="n">
        <v>45795</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ht="15" customHeight="1">
      <c r="A801" t="inlineStr">
        <is>
          <t>A 3531-2024</t>
        </is>
      </c>
      <c r="B801" s="1" t="n">
        <v>45320</v>
      </c>
      <c r="C801" s="1" t="n">
        <v>45795</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c r="U801">
        <f>HYPERLINK("https://klasma.github.io/Logging_2062/knärot/A 3531-2024 karta knärot.png", "A 3531-2024")</f>
        <v/>
      </c>
      <c r="V801">
        <f>HYPERLINK("https://klasma.github.io/Logging_2062/klagomål/A 3531-2024 FSC-klagomål.docx", "A 3531-2024")</f>
        <v/>
      </c>
      <c r="W801">
        <f>HYPERLINK("https://klasma.github.io/Logging_2062/klagomålsmail/A 3531-2024 FSC-klagomål mail.docx", "A 3531-2024")</f>
        <v/>
      </c>
      <c r="X801">
        <f>HYPERLINK("https://klasma.github.io/Logging_2062/tillsyn/A 3531-2024 tillsynsbegäran.docx", "A 3531-2024")</f>
        <v/>
      </c>
      <c r="Y801">
        <f>HYPERLINK("https://klasma.github.io/Logging_2062/tillsynsmail/A 3531-2024 tillsynsbegäran mail.docx", "A 3531-2024")</f>
        <v/>
      </c>
    </row>
    <row r="802" ht="15" customHeight="1">
      <c r="A802" t="inlineStr">
        <is>
          <t>A 4479-2024</t>
        </is>
      </c>
      <c r="B802" s="1" t="n">
        <v>45327</v>
      </c>
      <c r="C802" s="1" t="n">
        <v>45795</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4773-2024</t>
        </is>
      </c>
      <c r="B803" s="1" t="n">
        <v>45328</v>
      </c>
      <c r="C803" s="1" t="n">
        <v>45795</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5217-2024</t>
        </is>
      </c>
      <c r="B804" s="1" t="n">
        <v>45330</v>
      </c>
      <c r="C804" s="1" t="n">
        <v>45795</v>
      </c>
      <c r="D804" t="inlineStr">
        <is>
          <t>DALARNAS LÄN</t>
        </is>
      </c>
      <c r="E804" t="inlineStr">
        <is>
          <t>MORA</t>
        </is>
      </c>
      <c r="G804" t="n">
        <v>4.2</v>
      </c>
      <c r="H804" t="n">
        <v>0</v>
      </c>
      <c r="I804" t="n">
        <v>0</v>
      </c>
      <c r="J804" t="n">
        <v>0</v>
      </c>
      <c r="K804" t="n">
        <v>0</v>
      </c>
      <c r="L804" t="n">
        <v>0</v>
      </c>
      <c r="M804" t="n">
        <v>0</v>
      </c>
      <c r="N804" t="n">
        <v>0</v>
      </c>
      <c r="O804" t="n">
        <v>0</v>
      </c>
      <c r="P804" t="n">
        <v>0</v>
      </c>
      <c r="Q804" t="n">
        <v>0</v>
      </c>
      <c r="R804" s="2" t="inlineStr"/>
    </row>
    <row r="805" ht="15" customHeight="1">
      <c r="A805" t="inlineStr">
        <is>
          <t>A 5461-2024</t>
        </is>
      </c>
      <c r="B805" s="1" t="n">
        <v>45332</v>
      </c>
      <c r="C805" s="1" t="n">
        <v>45795</v>
      </c>
      <c r="D805" t="inlineStr">
        <is>
          <t>DALARNAS LÄN</t>
        </is>
      </c>
      <c r="E805" t="inlineStr">
        <is>
          <t>MORA</t>
        </is>
      </c>
      <c r="G805" t="n">
        <v>6.7</v>
      </c>
      <c r="H805" t="n">
        <v>0</v>
      </c>
      <c r="I805" t="n">
        <v>0</v>
      </c>
      <c r="J805" t="n">
        <v>0</v>
      </c>
      <c r="K805" t="n">
        <v>0</v>
      </c>
      <c r="L805" t="n">
        <v>0</v>
      </c>
      <c r="M805" t="n">
        <v>0</v>
      </c>
      <c r="N805" t="n">
        <v>0</v>
      </c>
      <c r="O805" t="n">
        <v>0</v>
      </c>
      <c r="P805" t="n">
        <v>0</v>
      </c>
      <c r="Q805" t="n">
        <v>0</v>
      </c>
      <c r="R805" s="2" t="inlineStr"/>
    </row>
    <row r="806" ht="15" customHeight="1">
      <c r="A806" t="inlineStr">
        <is>
          <t>A 5542-2024</t>
        </is>
      </c>
      <c r="B806" s="1" t="n">
        <v>45334</v>
      </c>
      <c r="C806" s="1" t="n">
        <v>45795</v>
      </c>
      <c r="D806" t="inlineStr">
        <is>
          <t>DALARNAS LÄN</t>
        </is>
      </c>
      <c r="E806" t="inlineStr">
        <is>
          <t>MORA</t>
        </is>
      </c>
      <c r="F806" t="inlineStr">
        <is>
          <t>Kommuner</t>
        </is>
      </c>
      <c r="G806" t="n">
        <v>0.1</v>
      </c>
      <c r="H806" t="n">
        <v>0</v>
      </c>
      <c r="I806" t="n">
        <v>0</v>
      </c>
      <c r="J806" t="n">
        <v>0</v>
      </c>
      <c r="K806" t="n">
        <v>0</v>
      </c>
      <c r="L806" t="n">
        <v>0</v>
      </c>
      <c r="M806" t="n">
        <v>0</v>
      </c>
      <c r="N806" t="n">
        <v>0</v>
      </c>
      <c r="O806" t="n">
        <v>0</v>
      </c>
      <c r="P806" t="n">
        <v>0</v>
      </c>
      <c r="Q806" t="n">
        <v>0</v>
      </c>
      <c r="R806" s="2" t="inlineStr"/>
    </row>
    <row r="807" ht="15" customHeight="1">
      <c r="A807" t="inlineStr">
        <is>
          <t>A 5527-2024</t>
        </is>
      </c>
      <c r="B807" s="1" t="n">
        <v>45334</v>
      </c>
      <c r="C807" s="1" t="n">
        <v>45795</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5532-2024</t>
        </is>
      </c>
      <c r="B808" s="1" t="n">
        <v>45334</v>
      </c>
      <c r="C808" s="1" t="n">
        <v>45795</v>
      </c>
      <c r="D808" t="inlineStr">
        <is>
          <t>DALARNAS LÄN</t>
        </is>
      </c>
      <c r="E808" t="inlineStr">
        <is>
          <t>MORA</t>
        </is>
      </c>
      <c r="G808" t="n">
        <v>8.4</v>
      </c>
      <c r="H808" t="n">
        <v>0</v>
      </c>
      <c r="I808" t="n">
        <v>0</v>
      </c>
      <c r="J808" t="n">
        <v>0</v>
      </c>
      <c r="K808" t="n">
        <v>0</v>
      </c>
      <c r="L808" t="n">
        <v>0</v>
      </c>
      <c r="M808" t="n">
        <v>0</v>
      </c>
      <c r="N808" t="n">
        <v>0</v>
      </c>
      <c r="O808" t="n">
        <v>0</v>
      </c>
      <c r="P808" t="n">
        <v>0</v>
      </c>
      <c r="Q808" t="n">
        <v>0</v>
      </c>
      <c r="R808" s="2" t="inlineStr"/>
    </row>
    <row r="809" ht="15" customHeight="1">
      <c r="A809" t="inlineStr">
        <is>
          <t>A 5540-2024</t>
        </is>
      </c>
      <c r="B809" s="1" t="n">
        <v>45334</v>
      </c>
      <c r="C809" s="1" t="n">
        <v>45795</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5541-2024</t>
        </is>
      </c>
      <c r="B810" s="1" t="n">
        <v>45334</v>
      </c>
      <c r="C810" s="1" t="n">
        <v>45795</v>
      </c>
      <c r="D810" t="inlineStr">
        <is>
          <t>DALARNAS LÄN</t>
        </is>
      </c>
      <c r="E810" t="inlineStr">
        <is>
          <t>MORA</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5644-2024</t>
        </is>
      </c>
      <c r="B811" s="1" t="n">
        <v>45334</v>
      </c>
      <c r="C811" s="1" t="n">
        <v>45795</v>
      </c>
      <c r="D811" t="inlineStr">
        <is>
          <t>DALARNAS LÄN</t>
        </is>
      </c>
      <c r="E811" t="inlineStr">
        <is>
          <t>MORA</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6007-2024</t>
        </is>
      </c>
      <c r="B812" s="1" t="n">
        <v>45336</v>
      </c>
      <c r="C812" s="1" t="n">
        <v>45795</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6183-2024</t>
        </is>
      </c>
      <c r="B813" s="1" t="n">
        <v>45337</v>
      </c>
      <c r="C813" s="1" t="n">
        <v>45795</v>
      </c>
      <c r="D813" t="inlineStr">
        <is>
          <t>DALARNAS LÄN</t>
        </is>
      </c>
      <c r="E813" t="inlineStr">
        <is>
          <t>MORA</t>
        </is>
      </c>
      <c r="G813" t="n">
        <v>7.9</v>
      </c>
      <c r="H813" t="n">
        <v>0</v>
      </c>
      <c r="I813" t="n">
        <v>0</v>
      </c>
      <c r="J813" t="n">
        <v>0</v>
      </c>
      <c r="K813" t="n">
        <v>0</v>
      </c>
      <c r="L813" t="n">
        <v>0</v>
      </c>
      <c r="M813" t="n">
        <v>0</v>
      </c>
      <c r="N813" t="n">
        <v>0</v>
      </c>
      <c r="O813" t="n">
        <v>0</v>
      </c>
      <c r="P813" t="n">
        <v>0</v>
      </c>
      <c r="Q813" t="n">
        <v>0</v>
      </c>
      <c r="R813" s="2" t="inlineStr"/>
    </row>
    <row r="814" ht="15" customHeight="1">
      <c r="A814" t="inlineStr">
        <is>
          <t>A 6175-2024</t>
        </is>
      </c>
      <c r="B814" s="1" t="n">
        <v>45337</v>
      </c>
      <c r="C814" s="1" t="n">
        <v>45795</v>
      </c>
      <c r="D814" t="inlineStr">
        <is>
          <t>DALARNAS LÄN</t>
        </is>
      </c>
      <c r="E814" t="inlineStr">
        <is>
          <t>MORA</t>
        </is>
      </c>
      <c r="G814" t="n">
        <v>16.1</v>
      </c>
      <c r="H814" t="n">
        <v>0</v>
      </c>
      <c r="I814" t="n">
        <v>0</v>
      </c>
      <c r="J814" t="n">
        <v>0</v>
      </c>
      <c r="K814" t="n">
        <v>0</v>
      </c>
      <c r="L814" t="n">
        <v>0</v>
      </c>
      <c r="M814" t="n">
        <v>0</v>
      </c>
      <c r="N814" t="n">
        <v>0</v>
      </c>
      <c r="O814" t="n">
        <v>0</v>
      </c>
      <c r="P814" t="n">
        <v>0</v>
      </c>
      <c r="Q814" t="n">
        <v>0</v>
      </c>
      <c r="R814" s="2" t="inlineStr"/>
    </row>
    <row r="815" ht="15" customHeight="1">
      <c r="A815" t="inlineStr">
        <is>
          <t>A 7116-2024</t>
        </is>
      </c>
      <c r="B815" s="1" t="n">
        <v>45343</v>
      </c>
      <c r="C815" s="1" t="n">
        <v>45795</v>
      </c>
      <c r="D815" t="inlineStr">
        <is>
          <t>DALARNAS LÄN</t>
        </is>
      </c>
      <c r="E815" t="inlineStr">
        <is>
          <t>MORA</t>
        </is>
      </c>
      <c r="G815" t="n">
        <v>0.3</v>
      </c>
      <c r="H815" t="n">
        <v>0</v>
      </c>
      <c r="I815" t="n">
        <v>0</v>
      </c>
      <c r="J815" t="n">
        <v>0</v>
      </c>
      <c r="K815" t="n">
        <v>0</v>
      </c>
      <c r="L815" t="n">
        <v>0</v>
      </c>
      <c r="M815" t="n">
        <v>0</v>
      </c>
      <c r="N815" t="n">
        <v>0</v>
      </c>
      <c r="O815" t="n">
        <v>0</v>
      </c>
      <c r="P815" t="n">
        <v>0</v>
      </c>
      <c r="Q815" t="n">
        <v>0</v>
      </c>
      <c r="R815" s="2" t="inlineStr"/>
    </row>
    <row r="816" ht="15" customHeight="1">
      <c r="A816" t="inlineStr">
        <is>
          <t>A 7414-2024</t>
        </is>
      </c>
      <c r="B816" s="1" t="n">
        <v>45345</v>
      </c>
      <c r="C816" s="1" t="n">
        <v>45795</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7945-2024</t>
        </is>
      </c>
      <c r="B817" s="1" t="n">
        <v>45350</v>
      </c>
      <c r="C817" s="1" t="n">
        <v>45795</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7972-2024</t>
        </is>
      </c>
      <c r="B818" s="1" t="n">
        <v>45350</v>
      </c>
      <c r="C818" s="1" t="n">
        <v>45795</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8068-2024</t>
        </is>
      </c>
      <c r="B819" s="1" t="n">
        <v>45351</v>
      </c>
      <c r="C819" s="1" t="n">
        <v>45795</v>
      </c>
      <c r="D819" t="inlineStr">
        <is>
          <t>DALARNAS LÄN</t>
        </is>
      </c>
      <c r="E819" t="inlineStr">
        <is>
          <t>MORA</t>
        </is>
      </c>
      <c r="G819" t="n">
        <v>6.4</v>
      </c>
      <c r="H819" t="n">
        <v>0</v>
      </c>
      <c r="I819" t="n">
        <v>0</v>
      </c>
      <c r="J819" t="n">
        <v>0</v>
      </c>
      <c r="K819" t="n">
        <v>0</v>
      </c>
      <c r="L819" t="n">
        <v>0</v>
      </c>
      <c r="M819" t="n">
        <v>0</v>
      </c>
      <c r="N819" t="n">
        <v>0</v>
      </c>
      <c r="O819" t="n">
        <v>0</v>
      </c>
      <c r="P819" t="n">
        <v>0</v>
      </c>
      <c r="Q819" t="n">
        <v>0</v>
      </c>
      <c r="R819" s="2" t="inlineStr"/>
    </row>
    <row r="820" ht="15" customHeight="1">
      <c r="A820" t="inlineStr">
        <is>
          <t>A 8100-2024</t>
        </is>
      </c>
      <c r="B820" s="1" t="n">
        <v>45351</v>
      </c>
      <c r="C820" s="1" t="n">
        <v>45795</v>
      </c>
      <c r="D820" t="inlineStr">
        <is>
          <t>DALARNAS LÄN</t>
        </is>
      </c>
      <c r="E820" t="inlineStr">
        <is>
          <t>MORA</t>
        </is>
      </c>
      <c r="G820" t="n">
        <v>3.2</v>
      </c>
      <c r="H820" t="n">
        <v>0</v>
      </c>
      <c r="I820" t="n">
        <v>0</v>
      </c>
      <c r="J820" t="n">
        <v>0</v>
      </c>
      <c r="K820" t="n">
        <v>0</v>
      </c>
      <c r="L820" t="n">
        <v>0</v>
      </c>
      <c r="M820" t="n">
        <v>0</v>
      </c>
      <c r="N820" t="n">
        <v>0</v>
      </c>
      <c r="O820" t="n">
        <v>0</v>
      </c>
      <c r="P820" t="n">
        <v>0</v>
      </c>
      <c r="Q820" t="n">
        <v>0</v>
      </c>
      <c r="R820" s="2" t="inlineStr"/>
    </row>
    <row r="821" ht="15" customHeight="1">
      <c r="A821" t="inlineStr">
        <is>
          <t>A 9276-2024</t>
        </is>
      </c>
      <c r="B821" s="1" t="n">
        <v>45358</v>
      </c>
      <c r="C821" s="1" t="n">
        <v>45795</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9277-2024</t>
        </is>
      </c>
      <c r="B822" s="1" t="n">
        <v>45358</v>
      </c>
      <c r="C822" s="1" t="n">
        <v>45795</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9855-2024</t>
        </is>
      </c>
      <c r="B823" s="1" t="n">
        <v>45363</v>
      </c>
      <c r="C823" s="1" t="n">
        <v>45795</v>
      </c>
      <c r="D823" t="inlineStr">
        <is>
          <t>DALARNAS LÄN</t>
        </is>
      </c>
      <c r="E823" t="inlineStr">
        <is>
          <t>MORA</t>
        </is>
      </c>
      <c r="G823" t="n">
        <v>8.6</v>
      </c>
      <c r="H823" t="n">
        <v>0</v>
      </c>
      <c r="I823" t="n">
        <v>0</v>
      </c>
      <c r="J823" t="n">
        <v>0</v>
      </c>
      <c r="K823" t="n">
        <v>0</v>
      </c>
      <c r="L823" t="n">
        <v>0</v>
      </c>
      <c r="M823" t="n">
        <v>0</v>
      </c>
      <c r="N823" t="n">
        <v>0</v>
      </c>
      <c r="O823" t="n">
        <v>0</v>
      </c>
      <c r="P823" t="n">
        <v>0</v>
      </c>
      <c r="Q823" t="n">
        <v>0</v>
      </c>
      <c r="R823" s="2" t="inlineStr"/>
    </row>
    <row r="824" ht="15" customHeight="1">
      <c r="A824" t="inlineStr">
        <is>
          <t>A 11218-2024</t>
        </is>
      </c>
      <c r="B824" s="1" t="n">
        <v>45371</v>
      </c>
      <c r="C824" s="1" t="n">
        <v>45795</v>
      </c>
      <c r="D824" t="inlineStr">
        <is>
          <t>DALARNAS LÄN</t>
        </is>
      </c>
      <c r="E824" t="inlineStr">
        <is>
          <t>MORA</t>
        </is>
      </c>
      <c r="G824" t="n">
        <v>11.9</v>
      </c>
      <c r="H824" t="n">
        <v>0</v>
      </c>
      <c r="I824" t="n">
        <v>0</v>
      </c>
      <c r="J824" t="n">
        <v>0</v>
      </c>
      <c r="K824" t="n">
        <v>0</v>
      </c>
      <c r="L824" t="n">
        <v>0</v>
      </c>
      <c r="M824" t="n">
        <v>0</v>
      </c>
      <c r="N824" t="n">
        <v>0</v>
      </c>
      <c r="O824" t="n">
        <v>0</v>
      </c>
      <c r="P824" t="n">
        <v>0</v>
      </c>
      <c r="Q824" t="n">
        <v>0</v>
      </c>
      <c r="R824" s="2" t="inlineStr"/>
    </row>
    <row r="825" ht="15" customHeight="1">
      <c r="A825" t="inlineStr">
        <is>
          <t>A 11354-2024</t>
        </is>
      </c>
      <c r="B825" s="1" t="n">
        <v>45372</v>
      </c>
      <c r="C825" s="1" t="n">
        <v>45795</v>
      </c>
      <c r="D825" t="inlineStr">
        <is>
          <t>DALARNAS LÄN</t>
        </is>
      </c>
      <c r="E825" t="inlineStr">
        <is>
          <t>MORA</t>
        </is>
      </c>
      <c r="G825" t="n">
        <v>2.5</v>
      </c>
      <c r="H825" t="n">
        <v>0</v>
      </c>
      <c r="I825" t="n">
        <v>0</v>
      </c>
      <c r="J825" t="n">
        <v>0</v>
      </c>
      <c r="K825" t="n">
        <v>0</v>
      </c>
      <c r="L825" t="n">
        <v>0</v>
      </c>
      <c r="M825" t="n">
        <v>0</v>
      </c>
      <c r="N825" t="n">
        <v>0</v>
      </c>
      <c r="O825" t="n">
        <v>0</v>
      </c>
      <c r="P825" t="n">
        <v>0</v>
      </c>
      <c r="Q825" t="n">
        <v>0</v>
      </c>
      <c r="R825" s="2" t="inlineStr"/>
    </row>
    <row r="826" ht="15" customHeight="1">
      <c r="A826" t="inlineStr">
        <is>
          <t>A 11463-2024</t>
        </is>
      </c>
      <c r="B826" s="1" t="n">
        <v>45372</v>
      </c>
      <c r="C826" s="1" t="n">
        <v>45795</v>
      </c>
      <c r="D826" t="inlineStr">
        <is>
          <t>DALARNAS LÄN</t>
        </is>
      </c>
      <c r="E826" t="inlineStr">
        <is>
          <t>MORA</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11919-2024</t>
        </is>
      </c>
      <c r="B827" s="1" t="n">
        <v>45376</v>
      </c>
      <c r="C827" s="1" t="n">
        <v>45795</v>
      </c>
      <c r="D827" t="inlineStr">
        <is>
          <t>DALARNAS LÄN</t>
        </is>
      </c>
      <c r="E827" t="inlineStr">
        <is>
          <t>MORA</t>
        </is>
      </c>
      <c r="G827" t="n">
        <v>3.5</v>
      </c>
      <c r="H827" t="n">
        <v>0</v>
      </c>
      <c r="I827" t="n">
        <v>0</v>
      </c>
      <c r="J827" t="n">
        <v>0</v>
      </c>
      <c r="K827" t="n">
        <v>0</v>
      </c>
      <c r="L827" t="n">
        <v>0</v>
      </c>
      <c r="M827" t="n">
        <v>0</v>
      </c>
      <c r="N827" t="n">
        <v>0</v>
      </c>
      <c r="O827" t="n">
        <v>0</v>
      </c>
      <c r="P827" t="n">
        <v>0</v>
      </c>
      <c r="Q827" t="n">
        <v>0</v>
      </c>
      <c r="R827" s="2" t="inlineStr"/>
    </row>
    <row r="828" ht="15" customHeight="1">
      <c r="A828" t="inlineStr">
        <is>
          <t>A 12987-2024</t>
        </is>
      </c>
      <c r="B828" s="1" t="n">
        <v>45385</v>
      </c>
      <c r="C828" s="1" t="n">
        <v>45795</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13492-2024</t>
        </is>
      </c>
      <c r="B829" s="1" t="n">
        <v>45387</v>
      </c>
      <c r="C829" s="1" t="n">
        <v>45795</v>
      </c>
      <c r="D829" t="inlineStr">
        <is>
          <t>DALARNAS LÄN</t>
        </is>
      </c>
      <c r="E829" t="inlineStr">
        <is>
          <t>MORA</t>
        </is>
      </c>
      <c r="G829" t="n">
        <v>0.5</v>
      </c>
      <c r="H829" t="n">
        <v>0</v>
      </c>
      <c r="I829" t="n">
        <v>0</v>
      </c>
      <c r="J829" t="n">
        <v>0</v>
      </c>
      <c r="K829" t="n">
        <v>0</v>
      </c>
      <c r="L829" t="n">
        <v>0</v>
      </c>
      <c r="M829" t="n">
        <v>0</v>
      </c>
      <c r="N829" t="n">
        <v>0</v>
      </c>
      <c r="O829" t="n">
        <v>0</v>
      </c>
      <c r="P829" t="n">
        <v>0</v>
      </c>
      <c r="Q829" t="n">
        <v>0</v>
      </c>
      <c r="R829" s="2" t="inlineStr"/>
    </row>
    <row r="830" ht="15" customHeight="1">
      <c r="A830" t="inlineStr">
        <is>
          <t>A 13479-2024</t>
        </is>
      </c>
      <c r="B830" s="1" t="n">
        <v>45387</v>
      </c>
      <c r="C830" s="1" t="n">
        <v>45795</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13410-2024</t>
        </is>
      </c>
      <c r="B831" s="1" t="n">
        <v>45387</v>
      </c>
      <c r="C831" s="1" t="n">
        <v>45795</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13386-2024</t>
        </is>
      </c>
      <c r="B832" s="1" t="n">
        <v>45387</v>
      </c>
      <c r="C832" s="1" t="n">
        <v>45795</v>
      </c>
      <c r="D832" t="inlineStr">
        <is>
          <t>DALARNAS LÄN</t>
        </is>
      </c>
      <c r="E832" t="inlineStr">
        <is>
          <t>MORA</t>
        </is>
      </c>
      <c r="G832" t="n">
        <v>2.4</v>
      </c>
      <c r="H832" t="n">
        <v>0</v>
      </c>
      <c r="I832" t="n">
        <v>0</v>
      </c>
      <c r="J832" t="n">
        <v>0</v>
      </c>
      <c r="K832" t="n">
        <v>0</v>
      </c>
      <c r="L832" t="n">
        <v>0</v>
      </c>
      <c r="M832" t="n">
        <v>0</v>
      </c>
      <c r="N832" t="n">
        <v>0</v>
      </c>
      <c r="O832" t="n">
        <v>0</v>
      </c>
      <c r="P832" t="n">
        <v>0</v>
      </c>
      <c r="Q832" t="n">
        <v>0</v>
      </c>
      <c r="R832" s="2" t="inlineStr"/>
    </row>
    <row r="833" ht="15" customHeight="1">
      <c r="A833" t="inlineStr">
        <is>
          <t>A 13403-2024</t>
        </is>
      </c>
      <c r="B833" s="1" t="n">
        <v>45387</v>
      </c>
      <c r="C833" s="1" t="n">
        <v>45795</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13433-2024</t>
        </is>
      </c>
      <c r="B834" s="1" t="n">
        <v>45387</v>
      </c>
      <c r="C834" s="1" t="n">
        <v>45795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13589-2024</t>
        </is>
      </c>
      <c r="B835" s="1" t="n">
        <v>45389</v>
      </c>
      <c r="C835" s="1" t="n">
        <v>45795</v>
      </c>
      <c r="D835" t="inlineStr">
        <is>
          <t>DALARNAS LÄN</t>
        </is>
      </c>
      <c r="E835" t="inlineStr">
        <is>
          <t>MORA</t>
        </is>
      </c>
      <c r="G835" t="n">
        <v>1.6</v>
      </c>
      <c r="H835" t="n">
        <v>0</v>
      </c>
      <c r="I835" t="n">
        <v>0</v>
      </c>
      <c r="J835" t="n">
        <v>0</v>
      </c>
      <c r="K835" t="n">
        <v>0</v>
      </c>
      <c r="L835" t="n">
        <v>0</v>
      </c>
      <c r="M835" t="n">
        <v>0</v>
      </c>
      <c r="N835" t="n">
        <v>0</v>
      </c>
      <c r="O835" t="n">
        <v>0</v>
      </c>
      <c r="P835" t="n">
        <v>0</v>
      </c>
      <c r="Q835" t="n">
        <v>0</v>
      </c>
      <c r="R835" s="2" t="inlineStr"/>
    </row>
    <row r="836" ht="15" customHeight="1">
      <c r="A836" t="inlineStr">
        <is>
          <t>A 13985-2024</t>
        </is>
      </c>
      <c r="B836" s="1" t="n">
        <v>45392</v>
      </c>
      <c r="C836" s="1" t="n">
        <v>45795</v>
      </c>
      <c r="D836" t="inlineStr">
        <is>
          <t>DALARNAS LÄN</t>
        </is>
      </c>
      <c r="E836" t="inlineStr">
        <is>
          <t>MORA</t>
        </is>
      </c>
      <c r="G836" t="n">
        <v>6.5</v>
      </c>
      <c r="H836" t="n">
        <v>0</v>
      </c>
      <c r="I836" t="n">
        <v>0</v>
      </c>
      <c r="J836" t="n">
        <v>0</v>
      </c>
      <c r="K836" t="n">
        <v>0</v>
      </c>
      <c r="L836" t="n">
        <v>0</v>
      </c>
      <c r="M836" t="n">
        <v>0</v>
      </c>
      <c r="N836" t="n">
        <v>0</v>
      </c>
      <c r="O836" t="n">
        <v>0</v>
      </c>
      <c r="P836" t="n">
        <v>0</v>
      </c>
      <c r="Q836" t="n">
        <v>0</v>
      </c>
      <c r="R836" s="2" t="inlineStr"/>
    </row>
    <row r="837" ht="15" customHeight="1">
      <c r="A837" t="inlineStr">
        <is>
          <t>A 14842-2024</t>
        </is>
      </c>
      <c r="B837" s="1" t="n">
        <v>45397</v>
      </c>
      <c r="C837" s="1" t="n">
        <v>45795</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14833-2024</t>
        </is>
      </c>
      <c r="B838" s="1" t="n">
        <v>45397</v>
      </c>
      <c r="C838" s="1" t="n">
        <v>45795</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15592-2024</t>
        </is>
      </c>
      <c r="B839" s="1" t="n">
        <v>45401</v>
      </c>
      <c r="C839" s="1" t="n">
        <v>45795</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15435-2024</t>
        </is>
      </c>
      <c r="B840" s="1" t="n">
        <v>45401</v>
      </c>
      <c r="C840" s="1" t="n">
        <v>45795</v>
      </c>
      <c r="D840" t="inlineStr">
        <is>
          <t>DALARNAS LÄN</t>
        </is>
      </c>
      <c r="E840" t="inlineStr">
        <is>
          <t>MORA</t>
        </is>
      </c>
      <c r="G840" t="n">
        <v>2.1</v>
      </c>
      <c r="H840" t="n">
        <v>0</v>
      </c>
      <c r="I840" t="n">
        <v>0</v>
      </c>
      <c r="J840" t="n">
        <v>0</v>
      </c>
      <c r="K840" t="n">
        <v>0</v>
      </c>
      <c r="L840" t="n">
        <v>0</v>
      </c>
      <c r="M840" t="n">
        <v>0</v>
      </c>
      <c r="N840" t="n">
        <v>0</v>
      </c>
      <c r="O840" t="n">
        <v>0</v>
      </c>
      <c r="P840" t="n">
        <v>0</v>
      </c>
      <c r="Q840" t="n">
        <v>0</v>
      </c>
      <c r="R840" s="2" t="inlineStr"/>
    </row>
    <row r="841" ht="15" customHeight="1">
      <c r="A841" t="inlineStr">
        <is>
          <t>A 15508-2024</t>
        </is>
      </c>
      <c r="B841" s="1" t="n">
        <v>45401</v>
      </c>
      <c r="C841" s="1" t="n">
        <v>45795</v>
      </c>
      <c r="D841" t="inlineStr">
        <is>
          <t>DALARNAS LÄN</t>
        </is>
      </c>
      <c r="E841" t="inlineStr">
        <is>
          <t>MORA</t>
        </is>
      </c>
      <c r="G841" t="n">
        <v>3.1</v>
      </c>
      <c r="H841" t="n">
        <v>0</v>
      </c>
      <c r="I841" t="n">
        <v>0</v>
      </c>
      <c r="J841" t="n">
        <v>0</v>
      </c>
      <c r="K841" t="n">
        <v>0</v>
      </c>
      <c r="L841" t="n">
        <v>0</v>
      </c>
      <c r="M841" t="n">
        <v>0</v>
      </c>
      <c r="N841" t="n">
        <v>0</v>
      </c>
      <c r="O841" t="n">
        <v>0</v>
      </c>
      <c r="P841" t="n">
        <v>0</v>
      </c>
      <c r="Q841" t="n">
        <v>0</v>
      </c>
      <c r="R841" s="2" t="inlineStr"/>
    </row>
    <row r="842" ht="15" customHeight="1">
      <c r="A842" t="inlineStr">
        <is>
          <t>A 15499-2024</t>
        </is>
      </c>
      <c r="B842" s="1" t="n">
        <v>45401</v>
      </c>
      <c r="C842" s="1" t="n">
        <v>45795</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15440-2024</t>
        </is>
      </c>
      <c r="B843" s="1" t="n">
        <v>45401</v>
      </c>
      <c r="C843" s="1" t="n">
        <v>45795</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15784-2024</t>
        </is>
      </c>
      <c r="B844" s="1" t="n">
        <v>45404</v>
      </c>
      <c r="C844" s="1" t="n">
        <v>45795</v>
      </c>
      <c r="D844" t="inlineStr">
        <is>
          <t>DALARNAS LÄN</t>
        </is>
      </c>
      <c r="E844" t="inlineStr">
        <is>
          <t>MORA</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15786-2024</t>
        </is>
      </c>
      <c r="B845" s="1" t="n">
        <v>45404</v>
      </c>
      <c r="C845" s="1" t="n">
        <v>45795</v>
      </c>
      <c r="D845" t="inlineStr">
        <is>
          <t>DALARNAS LÄN</t>
        </is>
      </c>
      <c r="E845" t="inlineStr">
        <is>
          <t>MORA</t>
        </is>
      </c>
      <c r="F845" t="inlineStr">
        <is>
          <t>Bergvik skog öst AB</t>
        </is>
      </c>
      <c r="G845" t="n">
        <v>2.7</v>
      </c>
      <c r="H845" t="n">
        <v>0</v>
      </c>
      <c r="I845" t="n">
        <v>0</v>
      </c>
      <c r="J845" t="n">
        <v>0</v>
      </c>
      <c r="K845" t="n">
        <v>0</v>
      </c>
      <c r="L845" t="n">
        <v>0</v>
      </c>
      <c r="M845" t="n">
        <v>0</v>
      </c>
      <c r="N845" t="n">
        <v>0</v>
      </c>
      <c r="O845" t="n">
        <v>0</v>
      </c>
      <c r="P845" t="n">
        <v>0</v>
      </c>
      <c r="Q845" t="n">
        <v>0</v>
      </c>
      <c r="R845" s="2" t="inlineStr"/>
    </row>
    <row r="846" ht="15" customHeight="1">
      <c r="A846" t="inlineStr">
        <is>
          <t>A 15818-2024</t>
        </is>
      </c>
      <c r="B846" s="1" t="n">
        <v>45404</v>
      </c>
      <c r="C846" s="1" t="n">
        <v>45795</v>
      </c>
      <c r="D846" t="inlineStr">
        <is>
          <t>DALARNAS LÄN</t>
        </is>
      </c>
      <c r="E846" t="inlineStr">
        <is>
          <t>MORA</t>
        </is>
      </c>
      <c r="G846" t="n">
        <v>7</v>
      </c>
      <c r="H846" t="n">
        <v>0</v>
      </c>
      <c r="I846" t="n">
        <v>0</v>
      </c>
      <c r="J846" t="n">
        <v>0</v>
      </c>
      <c r="K846" t="n">
        <v>0</v>
      </c>
      <c r="L846" t="n">
        <v>0</v>
      </c>
      <c r="M846" t="n">
        <v>0</v>
      </c>
      <c r="N846" t="n">
        <v>0</v>
      </c>
      <c r="O846" t="n">
        <v>0</v>
      </c>
      <c r="P846" t="n">
        <v>0</v>
      </c>
      <c r="Q846" t="n">
        <v>0</v>
      </c>
      <c r="R846" s="2" t="inlineStr"/>
    </row>
    <row r="847" ht="15" customHeight="1">
      <c r="A847" t="inlineStr">
        <is>
          <t>A 15817-2024</t>
        </is>
      </c>
      <c r="B847" s="1" t="n">
        <v>45404</v>
      </c>
      <c r="C847" s="1" t="n">
        <v>45795</v>
      </c>
      <c r="D847" t="inlineStr">
        <is>
          <t>DALARNAS LÄN</t>
        </is>
      </c>
      <c r="E847" t="inlineStr">
        <is>
          <t>MORA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16129-2024</t>
        </is>
      </c>
      <c r="B848" s="1" t="n">
        <v>45406</v>
      </c>
      <c r="C848" s="1" t="n">
        <v>45795</v>
      </c>
      <c r="D848" t="inlineStr">
        <is>
          <t>DALARNAS LÄN</t>
        </is>
      </c>
      <c r="E848" t="inlineStr">
        <is>
          <t>MORA</t>
        </is>
      </c>
      <c r="G848" t="n">
        <v>0.7</v>
      </c>
      <c r="H848" t="n">
        <v>0</v>
      </c>
      <c r="I848" t="n">
        <v>0</v>
      </c>
      <c r="J848" t="n">
        <v>0</v>
      </c>
      <c r="K848" t="n">
        <v>0</v>
      </c>
      <c r="L848" t="n">
        <v>0</v>
      </c>
      <c r="M848" t="n">
        <v>0</v>
      </c>
      <c r="N848" t="n">
        <v>0</v>
      </c>
      <c r="O848" t="n">
        <v>0</v>
      </c>
      <c r="P848" t="n">
        <v>0</v>
      </c>
      <c r="Q848" t="n">
        <v>0</v>
      </c>
      <c r="R848" s="2" t="inlineStr"/>
    </row>
    <row r="849" ht="15" customHeight="1">
      <c r="A849" t="inlineStr">
        <is>
          <t>A 16573-2024</t>
        </is>
      </c>
      <c r="B849" s="1" t="n">
        <v>45408</v>
      </c>
      <c r="C849" s="1" t="n">
        <v>45795</v>
      </c>
      <c r="D849" t="inlineStr">
        <is>
          <t>DALARNAS LÄN</t>
        </is>
      </c>
      <c r="E849" t="inlineStr">
        <is>
          <t>MORA</t>
        </is>
      </c>
      <c r="G849" t="n">
        <v>4.5</v>
      </c>
      <c r="H849" t="n">
        <v>0</v>
      </c>
      <c r="I849" t="n">
        <v>0</v>
      </c>
      <c r="J849" t="n">
        <v>0</v>
      </c>
      <c r="K849" t="n">
        <v>0</v>
      </c>
      <c r="L849" t="n">
        <v>0</v>
      </c>
      <c r="M849" t="n">
        <v>0</v>
      </c>
      <c r="N849" t="n">
        <v>0</v>
      </c>
      <c r="O849" t="n">
        <v>0</v>
      </c>
      <c r="P849" t="n">
        <v>0</v>
      </c>
      <c r="Q849" t="n">
        <v>0</v>
      </c>
      <c r="R849" s="2" t="inlineStr"/>
    </row>
    <row r="850" ht="15" customHeight="1">
      <c r="A850" t="inlineStr">
        <is>
          <t>A 16522-2024</t>
        </is>
      </c>
      <c r="B850" s="1" t="n">
        <v>45408</v>
      </c>
      <c r="C850" s="1" t="n">
        <v>45795</v>
      </c>
      <c r="D850" t="inlineStr">
        <is>
          <t>DALARNAS LÄN</t>
        </is>
      </c>
      <c r="E850" t="inlineStr">
        <is>
          <t>MORA</t>
        </is>
      </c>
      <c r="G850" t="n">
        <v>11.2</v>
      </c>
      <c r="H850" t="n">
        <v>0</v>
      </c>
      <c r="I850" t="n">
        <v>0</v>
      </c>
      <c r="J850" t="n">
        <v>0</v>
      </c>
      <c r="K850" t="n">
        <v>0</v>
      </c>
      <c r="L850" t="n">
        <v>0</v>
      </c>
      <c r="M850" t="n">
        <v>0</v>
      </c>
      <c r="N850" t="n">
        <v>0</v>
      </c>
      <c r="O850" t="n">
        <v>0</v>
      </c>
      <c r="P850" t="n">
        <v>0</v>
      </c>
      <c r="Q850" t="n">
        <v>0</v>
      </c>
      <c r="R850" s="2" t="inlineStr"/>
    </row>
    <row r="851" ht="15" customHeight="1">
      <c r="A851" t="inlineStr">
        <is>
          <t>A 16574-2024</t>
        </is>
      </c>
      <c r="B851" s="1" t="n">
        <v>45408</v>
      </c>
      <c r="C851" s="1" t="n">
        <v>45795</v>
      </c>
      <c r="D851" t="inlineStr">
        <is>
          <t>DALARNAS LÄN</t>
        </is>
      </c>
      <c r="E851" t="inlineStr">
        <is>
          <t>MORA</t>
        </is>
      </c>
      <c r="G851" t="n">
        <v>3</v>
      </c>
      <c r="H851" t="n">
        <v>0</v>
      </c>
      <c r="I851" t="n">
        <v>0</v>
      </c>
      <c r="J851" t="n">
        <v>0</v>
      </c>
      <c r="K851" t="n">
        <v>0</v>
      </c>
      <c r="L851" t="n">
        <v>0</v>
      </c>
      <c r="M851" t="n">
        <v>0</v>
      </c>
      <c r="N851" t="n">
        <v>0</v>
      </c>
      <c r="O851" t="n">
        <v>0</v>
      </c>
      <c r="P851" t="n">
        <v>0</v>
      </c>
      <c r="Q851" t="n">
        <v>0</v>
      </c>
      <c r="R851" s="2" t="inlineStr"/>
    </row>
    <row r="852" ht="15" customHeight="1">
      <c r="A852" t="inlineStr">
        <is>
          <t>A 16733-2024</t>
        </is>
      </c>
      <c r="B852" s="1" t="n">
        <v>45410</v>
      </c>
      <c r="C852" s="1" t="n">
        <v>45795</v>
      </c>
      <c r="D852" t="inlineStr">
        <is>
          <t>DALARNAS LÄN</t>
        </is>
      </c>
      <c r="E852" t="inlineStr">
        <is>
          <t>MORA</t>
        </is>
      </c>
      <c r="G852" t="n">
        <v>6.3</v>
      </c>
      <c r="H852" t="n">
        <v>0</v>
      </c>
      <c r="I852" t="n">
        <v>0</v>
      </c>
      <c r="J852" t="n">
        <v>0</v>
      </c>
      <c r="K852" t="n">
        <v>0</v>
      </c>
      <c r="L852" t="n">
        <v>0</v>
      </c>
      <c r="M852" t="n">
        <v>0</v>
      </c>
      <c r="N852" t="n">
        <v>0</v>
      </c>
      <c r="O852" t="n">
        <v>0</v>
      </c>
      <c r="P852" t="n">
        <v>0</v>
      </c>
      <c r="Q852" t="n">
        <v>0</v>
      </c>
      <c r="R852" s="2" t="inlineStr"/>
    </row>
    <row r="853" ht="15" customHeight="1">
      <c r="A853" t="inlineStr">
        <is>
          <t>A 17145-2024</t>
        </is>
      </c>
      <c r="B853" s="1" t="n">
        <v>45412</v>
      </c>
      <c r="C853" s="1" t="n">
        <v>45795</v>
      </c>
      <c r="D853" t="inlineStr">
        <is>
          <t>DALARNAS LÄN</t>
        </is>
      </c>
      <c r="E853" t="inlineStr">
        <is>
          <t>MORA</t>
        </is>
      </c>
      <c r="G853" t="n">
        <v>1.4</v>
      </c>
      <c r="H853" t="n">
        <v>0</v>
      </c>
      <c r="I853" t="n">
        <v>0</v>
      </c>
      <c r="J853" t="n">
        <v>0</v>
      </c>
      <c r="K853" t="n">
        <v>0</v>
      </c>
      <c r="L853" t="n">
        <v>0</v>
      </c>
      <c r="M853" t="n">
        <v>0</v>
      </c>
      <c r="N853" t="n">
        <v>0</v>
      </c>
      <c r="O853" t="n">
        <v>0</v>
      </c>
      <c r="P853" t="n">
        <v>0</v>
      </c>
      <c r="Q853" t="n">
        <v>0</v>
      </c>
      <c r="R853" s="2" t="inlineStr"/>
    </row>
    <row r="854" ht="15" customHeight="1">
      <c r="A854" t="inlineStr">
        <is>
          <t>A 17217-2024</t>
        </is>
      </c>
      <c r="B854" s="1" t="n">
        <v>45414</v>
      </c>
      <c r="C854" s="1" t="n">
        <v>45795</v>
      </c>
      <c r="D854" t="inlineStr">
        <is>
          <t>DALARNAS LÄN</t>
        </is>
      </c>
      <c r="E854" t="inlineStr">
        <is>
          <t>MORA</t>
        </is>
      </c>
      <c r="G854" t="n">
        <v>11.3</v>
      </c>
      <c r="H854" t="n">
        <v>0</v>
      </c>
      <c r="I854" t="n">
        <v>0</v>
      </c>
      <c r="J854" t="n">
        <v>0</v>
      </c>
      <c r="K854" t="n">
        <v>0</v>
      </c>
      <c r="L854" t="n">
        <v>0</v>
      </c>
      <c r="M854" t="n">
        <v>0</v>
      </c>
      <c r="N854" t="n">
        <v>0</v>
      </c>
      <c r="O854" t="n">
        <v>0</v>
      </c>
      <c r="P854" t="n">
        <v>0</v>
      </c>
      <c r="Q854" t="n">
        <v>0</v>
      </c>
      <c r="R854" s="2" t="inlineStr"/>
    </row>
    <row r="855" ht="15" customHeight="1">
      <c r="A855" t="inlineStr">
        <is>
          <t>A 17368-2024</t>
        </is>
      </c>
      <c r="B855" s="1" t="n">
        <v>45414</v>
      </c>
      <c r="C855" s="1" t="n">
        <v>45795</v>
      </c>
      <c r="D855" t="inlineStr">
        <is>
          <t>DALARNAS LÄN</t>
        </is>
      </c>
      <c r="E855" t="inlineStr">
        <is>
          <t>MORA</t>
        </is>
      </c>
      <c r="G855" t="n">
        <v>5</v>
      </c>
      <c r="H855" t="n">
        <v>0</v>
      </c>
      <c r="I855" t="n">
        <v>0</v>
      </c>
      <c r="J855" t="n">
        <v>0</v>
      </c>
      <c r="K855" t="n">
        <v>0</v>
      </c>
      <c r="L855" t="n">
        <v>0</v>
      </c>
      <c r="M855" t="n">
        <v>0</v>
      </c>
      <c r="N855" t="n">
        <v>0</v>
      </c>
      <c r="O855" t="n">
        <v>0</v>
      </c>
      <c r="P855" t="n">
        <v>0</v>
      </c>
      <c r="Q855" t="n">
        <v>0</v>
      </c>
      <c r="R855" s="2" t="inlineStr"/>
    </row>
    <row r="856" ht="15" customHeight="1">
      <c r="A856" t="inlineStr">
        <is>
          <t>A 17468-2024</t>
        </is>
      </c>
      <c r="B856" s="1" t="n">
        <v>45415</v>
      </c>
      <c r="C856" s="1" t="n">
        <v>45795</v>
      </c>
      <c r="D856" t="inlineStr">
        <is>
          <t>DALARNAS LÄN</t>
        </is>
      </c>
      <c r="E856" t="inlineStr">
        <is>
          <t>MORA</t>
        </is>
      </c>
      <c r="G856" t="n">
        <v>8</v>
      </c>
      <c r="H856" t="n">
        <v>0</v>
      </c>
      <c r="I856" t="n">
        <v>0</v>
      </c>
      <c r="J856" t="n">
        <v>0</v>
      </c>
      <c r="K856" t="n">
        <v>0</v>
      </c>
      <c r="L856" t="n">
        <v>0</v>
      </c>
      <c r="M856" t="n">
        <v>0</v>
      </c>
      <c r="N856" t="n">
        <v>0</v>
      </c>
      <c r="O856" t="n">
        <v>0</v>
      </c>
      <c r="P856" t="n">
        <v>0</v>
      </c>
      <c r="Q856" t="n">
        <v>0</v>
      </c>
      <c r="R856" s="2" t="inlineStr"/>
    </row>
    <row r="857" ht="15" customHeight="1">
      <c r="A857" t="inlineStr">
        <is>
          <t>A 17516-2024</t>
        </is>
      </c>
      <c r="B857" s="1" t="n">
        <v>45415</v>
      </c>
      <c r="C857" s="1" t="n">
        <v>45795</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17645-2024</t>
        </is>
      </c>
      <c r="B858" s="1" t="n">
        <v>45418</v>
      </c>
      <c r="C858" s="1" t="n">
        <v>45795</v>
      </c>
      <c r="D858" t="inlineStr">
        <is>
          <t>DALARNAS LÄN</t>
        </is>
      </c>
      <c r="E858" t="inlineStr">
        <is>
          <t>MORA</t>
        </is>
      </c>
      <c r="G858" t="n">
        <v>1.9</v>
      </c>
      <c r="H858" t="n">
        <v>0</v>
      </c>
      <c r="I858" t="n">
        <v>0</v>
      </c>
      <c r="J858" t="n">
        <v>0</v>
      </c>
      <c r="K858" t="n">
        <v>0</v>
      </c>
      <c r="L858" t="n">
        <v>0</v>
      </c>
      <c r="M858" t="n">
        <v>0</v>
      </c>
      <c r="N858" t="n">
        <v>0</v>
      </c>
      <c r="O858" t="n">
        <v>0</v>
      </c>
      <c r="P858" t="n">
        <v>0</v>
      </c>
      <c r="Q858" t="n">
        <v>0</v>
      </c>
      <c r="R858" s="2" t="inlineStr"/>
    </row>
    <row r="859" ht="15" customHeight="1">
      <c r="A859" t="inlineStr">
        <is>
          <t>A 17647-2024</t>
        </is>
      </c>
      <c r="B859" s="1" t="n">
        <v>45418</v>
      </c>
      <c r="C859" s="1" t="n">
        <v>45795</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17692-2024</t>
        </is>
      </c>
      <c r="B860" s="1" t="n">
        <v>45418</v>
      </c>
      <c r="C860" s="1" t="n">
        <v>45795</v>
      </c>
      <c r="D860" t="inlineStr">
        <is>
          <t>DALARNAS LÄN</t>
        </is>
      </c>
      <c r="E860" t="inlineStr">
        <is>
          <t>MORA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17646-2024</t>
        </is>
      </c>
      <c r="B861" s="1" t="n">
        <v>45418</v>
      </c>
      <c r="C861" s="1" t="n">
        <v>45795</v>
      </c>
      <c r="D861" t="inlineStr">
        <is>
          <t>DALARNAS LÄN</t>
        </is>
      </c>
      <c r="E861" t="inlineStr">
        <is>
          <t>MORA</t>
        </is>
      </c>
      <c r="G861" t="n">
        <v>0.8</v>
      </c>
      <c r="H861" t="n">
        <v>0</v>
      </c>
      <c r="I861" t="n">
        <v>0</v>
      </c>
      <c r="J861" t="n">
        <v>0</v>
      </c>
      <c r="K861" t="n">
        <v>0</v>
      </c>
      <c r="L861" t="n">
        <v>0</v>
      </c>
      <c r="M861" t="n">
        <v>0</v>
      </c>
      <c r="N861" t="n">
        <v>0</v>
      </c>
      <c r="O861" t="n">
        <v>0</v>
      </c>
      <c r="P861" t="n">
        <v>0</v>
      </c>
      <c r="Q861" t="n">
        <v>0</v>
      </c>
      <c r="R861" s="2" t="inlineStr"/>
    </row>
    <row r="862" ht="15" customHeight="1">
      <c r="A862" t="inlineStr">
        <is>
          <t>A 17894-2024</t>
        </is>
      </c>
      <c r="B862" s="1" t="n">
        <v>45419</v>
      </c>
      <c r="C862" s="1" t="n">
        <v>45795</v>
      </c>
      <c r="D862" t="inlineStr">
        <is>
          <t>DALARNAS LÄN</t>
        </is>
      </c>
      <c r="E862" t="inlineStr">
        <is>
          <t>MORA</t>
        </is>
      </c>
      <c r="G862" t="n">
        <v>3.5</v>
      </c>
      <c r="H862" t="n">
        <v>0</v>
      </c>
      <c r="I862" t="n">
        <v>0</v>
      </c>
      <c r="J862" t="n">
        <v>0</v>
      </c>
      <c r="K862" t="n">
        <v>0</v>
      </c>
      <c r="L862" t="n">
        <v>0</v>
      </c>
      <c r="M862" t="n">
        <v>0</v>
      </c>
      <c r="N862" t="n">
        <v>0</v>
      </c>
      <c r="O862" t="n">
        <v>0</v>
      </c>
      <c r="P862" t="n">
        <v>0</v>
      </c>
      <c r="Q862" t="n">
        <v>0</v>
      </c>
      <c r="R862" s="2" t="inlineStr"/>
    </row>
    <row r="863" ht="15" customHeight="1">
      <c r="A863" t="inlineStr">
        <is>
          <t>A 17950-2024</t>
        </is>
      </c>
      <c r="B863" s="1" t="n">
        <v>45419</v>
      </c>
      <c r="C863" s="1" t="n">
        <v>45795</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18118-2024</t>
        </is>
      </c>
      <c r="B864" s="1" t="n">
        <v>45420</v>
      </c>
      <c r="C864" s="1" t="n">
        <v>45795</v>
      </c>
      <c r="D864" t="inlineStr">
        <is>
          <t>DALARNAS LÄN</t>
        </is>
      </c>
      <c r="E864" t="inlineStr">
        <is>
          <t>MORA</t>
        </is>
      </c>
      <c r="F864" t="inlineStr">
        <is>
          <t>Bergvik skog öst AB</t>
        </is>
      </c>
      <c r="G864" t="n">
        <v>5.2</v>
      </c>
      <c r="H864" t="n">
        <v>0</v>
      </c>
      <c r="I864" t="n">
        <v>0</v>
      </c>
      <c r="J864" t="n">
        <v>0</v>
      </c>
      <c r="K864" t="n">
        <v>0</v>
      </c>
      <c r="L864" t="n">
        <v>0</v>
      </c>
      <c r="M864" t="n">
        <v>0</v>
      </c>
      <c r="N864" t="n">
        <v>0</v>
      </c>
      <c r="O864" t="n">
        <v>0</v>
      </c>
      <c r="P864" t="n">
        <v>0</v>
      </c>
      <c r="Q864" t="n">
        <v>0</v>
      </c>
      <c r="R864" s="2" t="inlineStr"/>
    </row>
    <row r="865" ht="15" customHeight="1">
      <c r="A865" t="inlineStr">
        <is>
          <t>A 18202-2024</t>
        </is>
      </c>
      <c r="B865" s="1" t="n">
        <v>45420</v>
      </c>
      <c r="C865" s="1" t="n">
        <v>45795</v>
      </c>
      <c r="D865" t="inlineStr">
        <is>
          <t>DALARNAS LÄN</t>
        </is>
      </c>
      <c r="E865" t="inlineStr">
        <is>
          <t>MORA</t>
        </is>
      </c>
      <c r="G865" t="n">
        <v>2</v>
      </c>
      <c r="H865" t="n">
        <v>0</v>
      </c>
      <c r="I865" t="n">
        <v>0</v>
      </c>
      <c r="J865" t="n">
        <v>0</v>
      </c>
      <c r="K865" t="n">
        <v>0</v>
      </c>
      <c r="L865" t="n">
        <v>0</v>
      </c>
      <c r="M865" t="n">
        <v>0</v>
      </c>
      <c r="N865" t="n">
        <v>0</v>
      </c>
      <c r="O865" t="n">
        <v>0</v>
      </c>
      <c r="P865" t="n">
        <v>0</v>
      </c>
      <c r="Q865" t="n">
        <v>0</v>
      </c>
      <c r="R865" s="2" t="inlineStr"/>
    </row>
    <row r="866" ht="15" customHeight="1">
      <c r="A866" t="inlineStr">
        <is>
          <t>A 18214-2024</t>
        </is>
      </c>
      <c r="B866" s="1" t="n">
        <v>45420</v>
      </c>
      <c r="C866" s="1" t="n">
        <v>45795</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18119-2024</t>
        </is>
      </c>
      <c r="B867" s="1" t="n">
        <v>45420</v>
      </c>
      <c r="C867" s="1" t="n">
        <v>45795</v>
      </c>
      <c r="D867" t="inlineStr">
        <is>
          <t>DALARNAS LÄN</t>
        </is>
      </c>
      <c r="E867" t="inlineStr">
        <is>
          <t>MORA</t>
        </is>
      </c>
      <c r="F867" t="inlineStr">
        <is>
          <t>Bergvik skog öst AB</t>
        </is>
      </c>
      <c r="G867" t="n">
        <v>5.8</v>
      </c>
      <c r="H867" t="n">
        <v>0</v>
      </c>
      <c r="I867" t="n">
        <v>0</v>
      </c>
      <c r="J867" t="n">
        <v>0</v>
      </c>
      <c r="K867" t="n">
        <v>0</v>
      </c>
      <c r="L867" t="n">
        <v>0</v>
      </c>
      <c r="M867" t="n">
        <v>0</v>
      </c>
      <c r="N867" t="n">
        <v>0</v>
      </c>
      <c r="O867" t="n">
        <v>0</v>
      </c>
      <c r="P867" t="n">
        <v>0</v>
      </c>
      <c r="Q867" t="n">
        <v>0</v>
      </c>
      <c r="R867" s="2" t="inlineStr"/>
    </row>
    <row r="868" ht="15" customHeight="1">
      <c r="A868" t="inlineStr">
        <is>
          <t>A 18429-2024</t>
        </is>
      </c>
      <c r="B868" s="1" t="n">
        <v>45425</v>
      </c>
      <c r="C868" s="1" t="n">
        <v>45795</v>
      </c>
      <c r="D868" t="inlineStr">
        <is>
          <t>DALARNAS LÄN</t>
        </is>
      </c>
      <c r="E868" t="inlineStr">
        <is>
          <t>MORA</t>
        </is>
      </c>
      <c r="G868" t="n">
        <v>2.3</v>
      </c>
      <c r="H868" t="n">
        <v>0</v>
      </c>
      <c r="I868" t="n">
        <v>0</v>
      </c>
      <c r="J868" t="n">
        <v>0</v>
      </c>
      <c r="K868" t="n">
        <v>0</v>
      </c>
      <c r="L868" t="n">
        <v>0</v>
      </c>
      <c r="M868" t="n">
        <v>0</v>
      </c>
      <c r="N868" t="n">
        <v>0</v>
      </c>
      <c r="O868" t="n">
        <v>0</v>
      </c>
      <c r="P868" t="n">
        <v>0</v>
      </c>
      <c r="Q868" t="n">
        <v>0</v>
      </c>
      <c r="R868" s="2" t="inlineStr"/>
    </row>
    <row r="869" ht="15" customHeight="1">
      <c r="A869" t="inlineStr">
        <is>
          <t>A 18444-2024</t>
        </is>
      </c>
      <c r="B869" s="1" t="n">
        <v>45425</v>
      </c>
      <c r="C869" s="1" t="n">
        <v>45795</v>
      </c>
      <c r="D869" t="inlineStr">
        <is>
          <t>DALARNAS LÄN</t>
        </is>
      </c>
      <c r="E869" t="inlineStr">
        <is>
          <t>MORA</t>
        </is>
      </c>
      <c r="G869" t="n">
        <v>5</v>
      </c>
      <c r="H869" t="n">
        <v>0</v>
      </c>
      <c r="I869" t="n">
        <v>0</v>
      </c>
      <c r="J869" t="n">
        <v>0</v>
      </c>
      <c r="K869" t="n">
        <v>0</v>
      </c>
      <c r="L869" t="n">
        <v>0</v>
      </c>
      <c r="M869" t="n">
        <v>0</v>
      </c>
      <c r="N869" t="n">
        <v>0</v>
      </c>
      <c r="O869" t="n">
        <v>0</v>
      </c>
      <c r="P869" t="n">
        <v>0</v>
      </c>
      <c r="Q869" t="n">
        <v>0</v>
      </c>
      <c r="R869" s="2" t="inlineStr"/>
    </row>
    <row r="870" ht="15" customHeight="1">
      <c r="A870" t="inlineStr">
        <is>
          <t>A 18559-2024</t>
        </is>
      </c>
      <c r="B870" s="1" t="n">
        <v>45425</v>
      </c>
      <c r="C870" s="1" t="n">
        <v>45795</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18696-2024</t>
        </is>
      </c>
      <c r="B871" s="1" t="n">
        <v>45426</v>
      </c>
      <c r="C871" s="1" t="n">
        <v>45795</v>
      </c>
      <c r="D871" t="inlineStr">
        <is>
          <t>DALARNAS LÄN</t>
        </is>
      </c>
      <c r="E871" t="inlineStr">
        <is>
          <t>MORA</t>
        </is>
      </c>
      <c r="G871" t="n">
        <v>9.6</v>
      </c>
      <c r="H871" t="n">
        <v>0</v>
      </c>
      <c r="I871" t="n">
        <v>0</v>
      </c>
      <c r="J871" t="n">
        <v>0</v>
      </c>
      <c r="K871" t="n">
        <v>0</v>
      </c>
      <c r="L871" t="n">
        <v>0</v>
      </c>
      <c r="M871" t="n">
        <v>0</v>
      </c>
      <c r="N871" t="n">
        <v>0</v>
      </c>
      <c r="O871" t="n">
        <v>0</v>
      </c>
      <c r="P871" t="n">
        <v>0</v>
      </c>
      <c r="Q871" t="n">
        <v>0</v>
      </c>
      <c r="R871" s="2" t="inlineStr"/>
    </row>
    <row r="872" ht="15" customHeight="1">
      <c r="A872" t="inlineStr">
        <is>
          <t>A 18941-2024</t>
        </is>
      </c>
      <c r="B872" s="1" t="n">
        <v>45427</v>
      </c>
      <c r="C872" s="1" t="n">
        <v>45795</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18922-2024</t>
        </is>
      </c>
      <c r="B873" s="1" t="n">
        <v>45427</v>
      </c>
      <c r="C873" s="1" t="n">
        <v>45795</v>
      </c>
      <c r="D873" t="inlineStr">
        <is>
          <t>DALARNAS LÄN</t>
        </is>
      </c>
      <c r="E873" t="inlineStr">
        <is>
          <t>MORA</t>
        </is>
      </c>
      <c r="G873" t="n">
        <v>2.6</v>
      </c>
      <c r="H873" t="n">
        <v>0</v>
      </c>
      <c r="I873" t="n">
        <v>0</v>
      </c>
      <c r="J873" t="n">
        <v>0</v>
      </c>
      <c r="K873" t="n">
        <v>0</v>
      </c>
      <c r="L873" t="n">
        <v>0</v>
      </c>
      <c r="M873" t="n">
        <v>0</v>
      </c>
      <c r="N873" t="n">
        <v>0</v>
      </c>
      <c r="O873" t="n">
        <v>0</v>
      </c>
      <c r="P873" t="n">
        <v>0</v>
      </c>
      <c r="Q873" t="n">
        <v>0</v>
      </c>
      <c r="R873" s="2" t="inlineStr"/>
    </row>
    <row r="874" ht="15" customHeight="1">
      <c r="A874" t="inlineStr">
        <is>
          <t>A 18895-2024</t>
        </is>
      </c>
      <c r="B874" s="1" t="n">
        <v>45427</v>
      </c>
      <c r="C874" s="1" t="n">
        <v>45795</v>
      </c>
      <c r="D874" t="inlineStr">
        <is>
          <t>DALARNAS LÄN</t>
        </is>
      </c>
      <c r="E874" t="inlineStr">
        <is>
          <t>MORA</t>
        </is>
      </c>
      <c r="G874" t="n">
        <v>11.5</v>
      </c>
      <c r="H874" t="n">
        <v>0</v>
      </c>
      <c r="I874" t="n">
        <v>0</v>
      </c>
      <c r="J874" t="n">
        <v>0</v>
      </c>
      <c r="K874" t="n">
        <v>0</v>
      </c>
      <c r="L874" t="n">
        <v>0</v>
      </c>
      <c r="M874" t="n">
        <v>0</v>
      </c>
      <c r="N874" t="n">
        <v>0</v>
      </c>
      <c r="O874" t="n">
        <v>0</v>
      </c>
      <c r="P874" t="n">
        <v>0</v>
      </c>
      <c r="Q874" t="n">
        <v>0</v>
      </c>
      <c r="R874" s="2" t="inlineStr"/>
    </row>
    <row r="875" ht="15" customHeight="1">
      <c r="A875" t="inlineStr">
        <is>
          <t>A 18901-2024</t>
        </is>
      </c>
      <c r="B875" s="1" t="n">
        <v>45427</v>
      </c>
      <c r="C875" s="1" t="n">
        <v>45795</v>
      </c>
      <c r="D875" t="inlineStr">
        <is>
          <t>DALARNAS LÄN</t>
        </is>
      </c>
      <c r="E875" t="inlineStr">
        <is>
          <t>MORA</t>
        </is>
      </c>
      <c r="G875" t="n">
        <v>6.6</v>
      </c>
      <c r="H875" t="n">
        <v>0</v>
      </c>
      <c r="I875" t="n">
        <v>0</v>
      </c>
      <c r="J875" t="n">
        <v>0</v>
      </c>
      <c r="K875" t="n">
        <v>0</v>
      </c>
      <c r="L875" t="n">
        <v>0</v>
      </c>
      <c r="M875" t="n">
        <v>0</v>
      </c>
      <c r="N875" t="n">
        <v>0</v>
      </c>
      <c r="O875" t="n">
        <v>0</v>
      </c>
      <c r="P875" t="n">
        <v>0</v>
      </c>
      <c r="Q875" t="n">
        <v>0</v>
      </c>
      <c r="R875" s="2" t="inlineStr"/>
    </row>
    <row r="876" ht="15" customHeight="1">
      <c r="A876" t="inlineStr">
        <is>
          <t>A 18992-2024</t>
        </is>
      </c>
      <c r="B876" s="1" t="n">
        <v>45427</v>
      </c>
      <c r="C876" s="1" t="n">
        <v>45795</v>
      </c>
      <c r="D876" t="inlineStr">
        <is>
          <t>DALARNAS LÄN</t>
        </is>
      </c>
      <c r="E876" t="inlineStr">
        <is>
          <t>MORA</t>
        </is>
      </c>
      <c r="G876" t="n">
        <v>9.9</v>
      </c>
      <c r="H876" t="n">
        <v>0</v>
      </c>
      <c r="I876" t="n">
        <v>0</v>
      </c>
      <c r="J876" t="n">
        <v>0</v>
      </c>
      <c r="K876" t="n">
        <v>0</v>
      </c>
      <c r="L876" t="n">
        <v>0</v>
      </c>
      <c r="M876" t="n">
        <v>0</v>
      </c>
      <c r="N876" t="n">
        <v>0</v>
      </c>
      <c r="O876" t="n">
        <v>0</v>
      </c>
      <c r="P876" t="n">
        <v>0</v>
      </c>
      <c r="Q876" t="n">
        <v>0</v>
      </c>
      <c r="R876" s="2" t="inlineStr"/>
    </row>
    <row r="877" ht="15" customHeight="1">
      <c r="A877" t="inlineStr">
        <is>
          <t>A 19686-2024</t>
        </is>
      </c>
      <c r="B877" s="1" t="n">
        <v>45432</v>
      </c>
      <c r="C877" s="1" t="n">
        <v>45795</v>
      </c>
      <c r="D877" t="inlineStr">
        <is>
          <t>DALARNAS LÄN</t>
        </is>
      </c>
      <c r="E877" t="inlineStr">
        <is>
          <t>MORA</t>
        </is>
      </c>
      <c r="G877" t="n">
        <v>5.6</v>
      </c>
      <c r="H877" t="n">
        <v>0</v>
      </c>
      <c r="I877" t="n">
        <v>0</v>
      </c>
      <c r="J877" t="n">
        <v>0</v>
      </c>
      <c r="K877" t="n">
        <v>0</v>
      </c>
      <c r="L877" t="n">
        <v>0</v>
      </c>
      <c r="M877" t="n">
        <v>0</v>
      </c>
      <c r="N877" t="n">
        <v>0</v>
      </c>
      <c r="O877" t="n">
        <v>0</v>
      </c>
      <c r="P877" t="n">
        <v>0</v>
      </c>
      <c r="Q877" t="n">
        <v>0</v>
      </c>
      <c r="R877" s="2" t="inlineStr"/>
    </row>
    <row r="878" ht="15" customHeight="1">
      <c r="A878" t="inlineStr">
        <is>
          <t>A 19910-2024</t>
        </is>
      </c>
      <c r="B878" s="1" t="n">
        <v>45433</v>
      </c>
      <c r="C878" s="1" t="n">
        <v>45795</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20036-2024</t>
        </is>
      </c>
      <c r="B879" s="1" t="n">
        <v>45434</v>
      </c>
      <c r="C879" s="1" t="n">
        <v>45795</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20674-2024</t>
        </is>
      </c>
      <c r="B880" s="1" t="n">
        <v>45436</v>
      </c>
      <c r="C880" s="1" t="n">
        <v>45795</v>
      </c>
      <c r="D880" t="inlineStr">
        <is>
          <t>DALARNAS LÄN</t>
        </is>
      </c>
      <c r="E880" t="inlineStr">
        <is>
          <t>MORA</t>
        </is>
      </c>
      <c r="G880" t="n">
        <v>16</v>
      </c>
      <c r="H880" t="n">
        <v>0</v>
      </c>
      <c r="I880" t="n">
        <v>0</v>
      </c>
      <c r="J880" t="n">
        <v>0</v>
      </c>
      <c r="K880" t="n">
        <v>0</v>
      </c>
      <c r="L880" t="n">
        <v>0</v>
      </c>
      <c r="M880" t="n">
        <v>0</v>
      </c>
      <c r="N880" t="n">
        <v>0</v>
      </c>
      <c r="O880" t="n">
        <v>0</v>
      </c>
      <c r="P880" t="n">
        <v>0</v>
      </c>
      <c r="Q880" t="n">
        <v>0</v>
      </c>
      <c r="R880" s="2" t="inlineStr"/>
    </row>
    <row r="881" ht="15" customHeight="1">
      <c r="A881" t="inlineStr">
        <is>
          <t>A 20889-2024</t>
        </is>
      </c>
      <c r="B881" s="1" t="n">
        <v>45439</v>
      </c>
      <c r="C881" s="1" t="n">
        <v>45795</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21049-2024</t>
        </is>
      </c>
      <c r="B882" s="1" t="n">
        <v>45439</v>
      </c>
      <c r="C882" s="1" t="n">
        <v>45795</v>
      </c>
      <c r="D882" t="inlineStr">
        <is>
          <t>DALARNAS LÄN</t>
        </is>
      </c>
      <c r="E882" t="inlineStr">
        <is>
          <t>MORA</t>
        </is>
      </c>
      <c r="G882" t="n">
        <v>11</v>
      </c>
      <c r="H882" t="n">
        <v>0</v>
      </c>
      <c r="I882" t="n">
        <v>0</v>
      </c>
      <c r="J882" t="n">
        <v>0</v>
      </c>
      <c r="K882" t="n">
        <v>0</v>
      </c>
      <c r="L882" t="n">
        <v>0</v>
      </c>
      <c r="M882" t="n">
        <v>0</v>
      </c>
      <c r="N882" t="n">
        <v>0</v>
      </c>
      <c r="O882" t="n">
        <v>0</v>
      </c>
      <c r="P882" t="n">
        <v>0</v>
      </c>
      <c r="Q882" t="n">
        <v>0</v>
      </c>
      <c r="R882" s="2" t="inlineStr"/>
    </row>
    <row r="883" ht="15" customHeight="1">
      <c r="A883" t="inlineStr">
        <is>
          <t>A 20885-2024</t>
        </is>
      </c>
      <c r="B883" s="1" t="n">
        <v>45439</v>
      </c>
      <c r="C883" s="1" t="n">
        <v>45795</v>
      </c>
      <c r="D883" t="inlineStr">
        <is>
          <t>DALARNAS LÄN</t>
        </is>
      </c>
      <c r="E883" t="inlineStr">
        <is>
          <t>MORA</t>
        </is>
      </c>
      <c r="G883" t="n">
        <v>5</v>
      </c>
      <c r="H883" t="n">
        <v>0</v>
      </c>
      <c r="I883" t="n">
        <v>0</v>
      </c>
      <c r="J883" t="n">
        <v>0</v>
      </c>
      <c r="K883" t="n">
        <v>0</v>
      </c>
      <c r="L883" t="n">
        <v>0</v>
      </c>
      <c r="M883" t="n">
        <v>0</v>
      </c>
      <c r="N883" t="n">
        <v>0</v>
      </c>
      <c r="O883" t="n">
        <v>0</v>
      </c>
      <c r="P883" t="n">
        <v>0</v>
      </c>
      <c r="Q883" t="n">
        <v>0</v>
      </c>
      <c r="R883" s="2" t="inlineStr"/>
    </row>
    <row r="884" ht="15" customHeight="1">
      <c r="A884" t="inlineStr">
        <is>
          <t>A 20986-2024</t>
        </is>
      </c>
      <c r="B884" s="1" t="n">
        <v>45439</v>
      </c>
      <c r="C884" s="1" t="n">
        <v>45795</v>
      </c>
      <c r="D884" t="inlineStr">
        <is>
          <t>DALARNAS LÄN</t>
        </is>
      </c>
      <c r="E884" t="inlineStr">
        <is>
          <t>MORA</t>
        </is>
      </c>
      <c r="F884" t="inlineStr">
        <is>
          <t>Bergvik skog öst AB</t>
        </is>
      </c>
      <c r="G884" t="n">
        <v>18.7</v>
      </c>
      <c r="H884" t="n">
        <v>0</v>
      </c>
      <c r="I884" t="n">
        <v>0</v>
      </c>
      <c r="J884" t="n">
        <v>0</v>
      </c>
      <c r="K884" t="n">
        <v>0</v>
      </c>
      <c r="L884" t="n">
        <v>0</v>
      </c>
      <c r="M884" t="n">
        <v>0</v>
      </c>
      <c r="N884" t="n">
        <v>0</v>
      </c>
      <c r="O884" t="n">
        <v>0</v>
      </c>
      <c r="P884" t="n">
        <v>0</v>
      </c>
      <c r="Q884" t="n">
        <v>0</v>
      </c>
      <c r="R884" s="2" t="inlineStr"/>
    </row>
    <row r="885" ht="15" customHeight="1">
      <c r="A885" t="inlineStr">
        <is>
          <t>A 20989-2024</t>
        </is>
      </c>
      <c r="B885" s="1" t="n">
        <v>45439</v>
      </c>
      <c r="C885" s="1" t="n">
        <v>45795</v>
      </c>
      <c r="D885" t="inlineStr">
        <is>
          <t>DALARNAS LÄN</t>
        </is>
      </c>
      <c r="E885" t="inlineStr">
        <is>
          <t>MORA</t>
        </is>
      </c>
      <c r="F885" t="inlineStr">
        <is>
          <t>Bergvik skog öst AB</t>
        </is>
      </c>
      <c r="G885" t="n">
        <v>14.7</v>
      </c>
      <c r="H885" t="n">
        <v>0</v>
      </c>
      <c r="I885" t="n">
        <v>0</v>
      </c>
      <c r="J885" t="n">
        <v>0</v>
      </c>
      <c r="K885" t="n">
        <v>0</v>
      </c>
      <c r="L885" t="n">
        <v>0</v>
      </c>
      <c r="M885" t="n">
        <v>0</v>
      </c>
      <c r="N885" t="n">
        <v>0</v>
      </c>
      <c r="O885" t="n">
        <v>0</v>
      </c>
      <c r="P885" t="n">
        <v>0</v>
      </c>
      <c r="Q885" t="n">
        <v>0</v>
      </c>
      <c r="R885" s="2" t="inlineStr"/>
    </row>
    <row r="886" ht="15" customHeight="1">
      <c r="A886" t="inlineStr">
        <is>
          <t>A 20930-2024</t>
        </is>
      </c>
      <c r="B886" s="1" t="n">
        <v>45439</v>
      </c>
      <c r="C886" s="1" t="n">
        <v>45795</v>
      </c>
      <c r="D886" t="inlineStr">
        <is>
          <t>DALARNAS LÄN</t>
        </is>
      </c>
      <c r="E886" t="inlineStr">
        <is>
          <t>MORA</t>
        </is>
      </c>
      <c r="F886" t="inlineStr">
        <is>
          <t>Bergvik skog väst AB</t>
        </is>
      </c>
      <c r="G886" t="n">
        <v>5.3</v>
      </c>
      <c r="H886" t="n">
        <v>0</v>
      </c>
      <c r="I886" t="n">
        <v>0</v>
      </c>
      <c r="J886" t="n">
        <v>0</v>
      </c>
      <c r="K886" t="n">
        <v>0</v>
      </c>
      <c r="L886" t="n">
        <v>0</v>
      </c>
      <c r="M886" t="n">
        <v>0</v>
      </c>
      <c r="N886" t="n">
        <v>0</v>
      </c>
      <c r="O886" t="n">
        <v>0</v>
      </c>
      <c r="P886" t="n">
        <v>0</v>
      </c>
      <c r="Q886" t="n">
        <v>0</v>
      </c>
      <c r="R886" s="2" t="inlineStr"/>
    </row>
    <row r="887" ht="15" customHeight="1">
      <c r="A887" t="inlineStr">
        <is>
          <t>A 21221-2024</t>
        </is>
      </c>
      <c r="B887" s="1" t="n">
        <v>45440</v>
      </c>
      <c r="C887" s="1" t="n">
        <v>45795</v>
      </c>
      <c r="D887" t="inlineStr">
        <is>
          <t>DALARNAS LÄN</t>
        </is>
      </c>
      <c r="E887" t="inlineStr">
        <is>
          <t>MORA</t>
        </is>
      </c>
      <c r="G887" t="n">
        <v>6.7</v>
      </c>
      <c r="H887" t="n">
        <v>0</v>
      </c>
      <c r="I887" t="n">
        <v>0</v>
      </c>
      <c r="J887" t="n">
        <v>0</v>
      </c>
      <c r="K887" t="n">
        <v>0</v>
      </c>
      <c r="L887" t="n">
        <v>0</v>
      </c>
      <c r="M887" t="n">
        <v>0</v>
      </c>
      <c r="N887" t="n">
        <v>0</v>
      </c>
      <c r="O887" t="n">
        <v>0</v>
      </c>
      <c r="P887" t="n">
        <v>0</v>
      </c>
      <c r="Q887" t="n">
        <v>0</v>
      </c>
      <c r="R887" s="2" t="inlineStr"/>
    </row>
    <row r="888" ht="15" customHeight="1">
      <c r="A888" t="inlineStr">
        <is>
          <t>A 21244-2024</t>
        </is>
      </c>
      <c r="B888" s="1" t="n">
        <v>45440</v>
      </c>
      <c r="C888" s="1" t="n">
        <v>45795</v>
      </c>
      <c r="D888" t="inlineStr">
        <is>
          <t>DALARNAS LÄN</t>
        </is>
      </c>
      <c r="E888" t="inlineStr">
        <is>
          <t>MORA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21256-2024</t>
        </is>
      </c>
      <c r="B889" s="1" t="n">
        <v>45440</v>
      </c>
      <c r="C889" s="1" t="n">
        <v>45795</v>
      </c>
      <c r="D889" t="inlineStr">
        <is>
          <t>DALARNAS LÄN</t>
        </is>
      </c>
      <c r="E889" t="inlineStr">
        <is>
          <t>MORA</t>
        </is>
      </c>
      <c r="G889" t="n">
        <v>3</v>
      </c>
      <c r="H889" t="n">
        <v>0</v>
      </c>
      <c r="I889" t="n">
        <v>0</v>
      </c>
      <c r="J889" t="n">
        <v>0</v>
      </c>
      <c r="K889" t="n">
        <v>0</v>
      </c>
      <c r="L889" t="n">
        <v>0</v>
      </c>
      <c r="M889" t="n">
        <v>0</v>
      </c>
      <c r="N889" t="n">
        <v>0</v>
      </c>
      <c r="O889" t="n">
        <v>0</v>
      </c>
      <c r="P889" t="n">
        <v>0</v>
      </c>
      <c r="Q889" t="n">
        <v>0</v>
      </c>
      <c r="R889" s="2" t="inlineStr"/>
    </row>
    <row r="890" ht="15" customHeight="1">
      <c r="A890" t="inlineStr">
        <is>
          <t>A 21650-2024</t>
        </is>
      </c>
      <c r="B890" s="1" t="n">
        <v>45442</v>
      </c>
      <c r="C890" s="1" t="n">
        <v>45795</v>
      </c>
      <c r="D890" t="inlineStr">
        <is>
          <t>DALARNAS LÄN</t>
        </is>
      </c>
      <c r="E890" t="inlineStr">
        <is>
          <t>MORA</t>
        </is>
      </c>
      <c r="G890" t="n">
        <v>3.8</v>
      </c>
      <c r="H890" t="n">
        <v>0</v>
      </c>
      <c r="I890" t="n">
        <v>0</v>
      </c>
      <c r="J890" t="n">
        <v>0</v>
      </c>
      <c r="K890" t="n">
        <v>0</v>
      </c>
      <c r="L890" t="n">
        <v>0</v>
      </c>
      <c r="M890" t="n">
        <v>0</v>
      </c>
      <c r="N890" t="n">
        <v>0</v>
      </c>
      <c r="O890" t="n">
        <v>0</v>
      </c>
      <c r="P890" t="n">
        <v>0</v>
      </c>
      <c r="Q890" t="n">
        <v>0</v>
      </c>
      <c r="R890" s="2" t="inlineStr"/>
    </row>
    <row r="891" ht="15" customHeight="1">
      <c r="A891" t="inlineStr">
        <is>
          <t>A 21635-2024</t>
        </is>
      </c>
      <c r="B891" s="1" t="n">
        <v>45442</v>
      </c>
      <c r="C891" s="1" t="n">
        <v>45795</v>
      </c>
      <c r="D891" t="inlineStr">
        <is>
          <t>DALARNAS LÄN</t>
        </is>
      </c>
      <c r="E891" t="inlineStr">
        <is>
          <t>MORA</t>
        </is>
      </c>
      <c r="G891" t="n">
        <v>2.7</v>
      </c>
      <c r="H891" t="n">
        <v>0</v>
      </c>
      <c r="I891" t="n">
        <v>0</v>
      </c>
      <c r="J891" t="n">
        <v>0</v>
      </c>
      <c r="K891" t="n">
        <v>0</v>
      </c>
      <c r="L891" t="n">
        <v>0</v>
      </c>
      <c r="M891" t="n">
        <v>0</v>
      </c>
      <c r="N891" t="n">
        <v>0</v>
      </c>
      <c r="O891" t="n">
        <v>0</v>
      </c>
      <c r="P891" t="n">
        <v>0</v>
      </c>
      <c r="Q891" t="n">
        <v>0</v>
      </c>
      <c r="R891" s="2" t="inlineStr"/>
    </row>
    <row r="892" ht="15" customHeight="1">
      <c r="A892" t="inlineStr">
        <is>
          <t>A 21660-2024</t>
        </is>
      </c>
      <c r="B892" s="1" t="n">
        <v>45442</v>
      </c>
      <c r="C892" s="1" t="n">
        <v>45795</v>
      </c>
      <c r="D892" t="inlineStr">
        <is>
          <t>DALARNAS LÄN</t>
        </is>
      </c>
      <c r="E892" t="inlineStr">
        <is>
          <t>MORA</t>
        </is>
      </c>
      <c r="G892" t="n">
        <v>2</v>
      </c>
      <c r="H892" t="n">
        <v>0</v>
      </c>
      <c r="I892" t="n">
        <v>0</v>
      </c>
      <c r="J892" t="n">
        <v>0</v>
      </c>
      <c r="K892" t="n">
        <v>0</v>
      </c>
      <c r="L892" t="n">
        <v>0</v>
      </c>
      <c r="M892" t="n">
        <v>0</v>
      </c>
      <c r="N892" t="n">
        <v>0</v>
      </c>
      <c r="O892" t="n">
        <v>0</v>
      </c>
      <c r="P892" t="n">
        <v>0</v>
      </c>
      <c r="Q892" t="n">
        <v>0</v>
      </c>
      <c r="R892" s="2" t="inlineStr"/>
    </row>
    <row r="893" ht="15" customHeight="1">
      <c r="A893" t="inlineStr">
        <is>
          <t>A 21886-2024</t>
        </is>
      </c>
      <c r="B893" s="1" t="n">
        <v>45443</v>
      </c>
      <c r="C893" s="1" t="n">
        <v>45795</v>
      </c>
      <c r="D893" t="inlineStr">
        <is>
          <t>DALARNAS LÄN</t>
        </is>
      </c>
      <c r="E893" t="inlineStr">
        <is>
          <t>MORA</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22390-2024</t>
        </is>
      </c>
      <c r="B894" s="1" t="n">
        <v>45446</v>
      </c>
      <c r="C894" s="1" t="n">
        <v>45795</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22598-2024</t>
        </is>
      </c>
      <c r="B895" s="1" t="n">
        <v>45447</v>
      </c>
      <c r="C895" s="1" t="n">
        <v>45795</v>
      </c>
      <c r="D895" t="inlineStr">
        <is>
          <t>DALARNAS LÄN</t>
        </is>
      </c>
      <c r="E895" t="inlineStr">
        <is>
          <t>MORA</t>
        </is>
      </c>
      <c r="G895" t="n">
        <v>7.2</v>
      </c>
      <c r="H895" t="n">
        <v>0</v>
      </c>
      <c r="I895" t="n">
        <v>0</v>
      </c>
      <c r="J895" t="n">
        <v>0</v>
      </c>
      <c r="K895" t="n">
        <v>0</v>
      </c>
      <c r="L895" t="n">
        <v>0</v>
      </c>
      <c r="M895" t="n">
        <v>0</v>
      </c>
      <c r="N895" t="n">
        <v>0</v>
      </c>
      <c r="O895" t="n">
        <v>0</v>
      </c>
      <c r="P895" t="n">
        <v>0</v>
      </c>
      <c r="Q895" t="n">
        <v>0</v>
      </c>
      <c r="R895" s="2" t="inlineStr"/>
    </row>
    <row r="896" ht="15" customHeight="1">
      <c r="A896" t="inlineStr">
        <is>
          <t>A 25515-2024</t>
        </is>
      </c>
      <c r="B896" s="1" t="n">
        <v>45448</v>
      </c>
      <c r="C896" s="1" t="n">
        <v>45795</v>
      </c>
      <c r="D896" t="inlineStr">
        <is>
          <t>DALARNAS LÄN</t>
        </is>
      </c>
      <c r="E896" t="inlineStr">
        <is>
          <t>MORA</t>
        </is>
      </c>
      <c r="G896" t="n">
        <v>24.5</v>
      </c>
      <c r="H896" t="n">
        <v>0</v>
      </c>
      <c r="I896" t="n">
        <v>0</v>
      </c>
      <c r="J896" t="n">
        <v>0</v>
      </c>
      <c r="K896" t="n">
        <v>0</v>
      </c>
      <c r="L896" t="n">
        <v>0</v>
      </c>
      <c r="M896" t="n">
        <v>0</v>
      </c>
      <c r="N896" t="n">
        <v>0</v>
      </c>
      <c r="O896" t="n">
        <v>0</v>
      </c>
      <c r="P896" t="n">
        <v>0</v>
      </c>
      <c r="Q896" t="n">
        <v>0</v>
      </c>
      <c r="R896" s="2" t="inlineStr"/>
    </row>
    <row r="897" ht="15" customHeight="1">
      <c r="A897" t="inlineStr">
        <is>
          <t>A 22732-2024</t>
        </is>
      </c>
      <c r="B897" s="1" t="n">
        <v>45448</v>
      </c>
      <c r="C897" s="1" t="n">
        <v>45795</v>
      </c>
      <c r="D897" t="inlineStr">
        <is>
          <t>DALARNAS LÄN</t>
        </is>
      </c>
      <c r="E897" t="inlineStr">
        <is>
          <t>MORA</t>
        </is>
      </c>
      <c r="G897" t="n">
        <v>3.6</v>
      </c>
      <c r="H897" t="n">
        <v>0</v>
      </c>
      <c r="I897" t="n">
        <v>0</v>
      </c>
      <c r="J897" t="n">
        <v>0</v>
      </c>
      <c r="K897" t="n">
        <v>0</v>
      </c>
      <c r="L897" t="n">
        <v>0</v>
      </c>
      <c r="M897" t="n">
        <v>0</v>
      </c>
      <c r="N897" t="n">
        <v>0</v>
      </c>
      <c r="O897" t="n">
        <v>0</v>
      </c>
      <c r="P897" t="n">
        <v>0</v>
      </c>
      <c r="Q897" t="n">
        <v>0</v>
      </c>
      <c r="R897" s="2" t="inlineStr"/>
    </row>
    <row r="898" ht="15" customHeight="1">
      <c r="A898" t="inlineStr">
        <is>
          <t>A 22737-2024</t>
        </is>
      </c>
      <c r="B898" s="1" t="n">
        <v>45448</v>
      </c>
      <c r="C898" s="1" t="n">
        <v>45795</v>
      </c>
      <c r="D898" t="inlineStr">
        <is>
          <t>DALARNAS LÄN</t>
        </is>
      </c>
      <c r="E898" t="inlineStr">
        <is>
          <t>MORA</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23057-2024</t>
        </is>
      </c>
      <c r="B899" s="1" t="n">
        <v>45450</v>
      </c>
      <c r="C899" s="1" t="n">
        <v>45795</v>
      </c>
      <c r="D899" t="inlineStr">
        <is>
          <t>DALARNAS LÄN</t>
        </is>
      </c>
      <c r="E899" t="inlineStr">
        <is>
          <t>MORA</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23311-2024</t>
        </is>
      </c>
      <c r="B900" s="1" t="n">
        <v>45453</v>
      </c>
      <c r="C900" s="1" t="n">
        <v>45795</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23364-2024</t>
        </is>
      </c>
      <c r="B901" s="1" t="n">
        <v>45453</v>
      </c>
      <c r="C901" s="1" t="n">
        <v>45795</v>
      </c>
      <c r="D901" t="inlineStr">
        <is>
          <t>DALARNAS LÄN</t>
        </is>
      </c>
      <c r="E901" t="inlineStr">
        <is>
          <t>MORA</t>
        </is>
      </c>
      <c r="G901" t="n">
        <v>4.8</v>
      </c>
      <c r="H901" t="n">
        <v>0</v>
      </c>
      <c r="I901" t="n">
        <v>0</v>
      </c>
      <c r="J901" t="n">
        <v>0</v>
      </c>
      <c r="K901" t="n">
        <v>0</v>
      </c>
      <c r="L901" t="n">
        <v>0</v>
      </c>
      <c r="M901" t="n">
        <v>0</v>
      </c>
      <c r="N901" t="n">
        <v>0</v>
      </c>
      <c r="O901" t="n">
        <v>0</v>
      </c>
      <c r="P901" t="n">
        <v>0</v>
      </c>
      <c r="Q901" t="n">
        <v>0</v>
      </c>
      <c r="R901" s="2" t="inlineStr"/>
    </row>
    <row r="902" ht="15" customHeight="1">
      <c r="A902" t="inlineStr">
        <is>
          <t>A 23300-2024</t>
        </is>
      </c>
      <c r="B902" s="1" t="n">
        <v>45453</v>
      </c>
      <c r="C902" s="1" t="n">
        <v>45795</v>
      </c>
      <c r="D902" t="inlineStr">
        <is>
          <t>DALARNAS LÄN</t>
        </is>
      </c>
      <c r="E902" t="inlineStr">
        <is>
          <t>MORA</t>
        </is>
      </c>
      <c r="G902" t="n">
        <v>0.5</v>
      </c>
      <c r="H902" t="n">
        <v>0</v>
      </c>
      <c r="I902" t="n">
        <v>0</v>
      </c>
      <c r="J902" t="n">
        <v>0</v>
      </c>
      <c r="K902" t="n">
        <v>0</v>
      </c>
      <c r="L902" t="n">
        <v>0</v>
      </c>
      <c r="M902" t="n">
        <v>0</v>
      </c>
      <c r="N902" t="n">
        <v>0</v>
      </c>
      <c r="O902" t="n">
        <v>0</v>
      </c>
      <c r="P902" t="n">
        <v>0</v>
      </c>
      <c r="Q902" t="n">
        <v>0</v>
      </c>
      <c r="R902" s="2" t="inlineStr"/>
    </row>
    <row r="903" ht="15" customHeight="1">
      <c r="A903" t="inlineStr">
        <is>
          <t>A 23318-2024</t>
        </is>
      </c>
      <c r="B903" s="1" t="n">
        <v>45453</v>
      </c>
      <c r="C903" s="1" t="n">
        <v>45795</v>
      </c>
      <c r="D903" t="inlineStr">
        <is>
          <t>DALARNAS LÄN</t>
        </is>
      </c>
      <c r="E903" t="inlineStr">
        <is>
          <t>MORA</t>
        </is>
      </c>
      <c r="G903" t="n">
        <v>5.9</v>
      </c>
      <c r="H903" t="n">
        <v>0</v>
      </c>
      <c r="I903" t="n">
        <v>0</v>
      </c>
      <c r="J903" t="n">
        <v>0</v>
      </c>
      <c r="K903" t="n">
        <v>0</v>
      </c>
      <c r="L903" t="n">
        <v>0</v>
      </c>
      <c r="M903" t="n">
        <v>0</v>
      </c>
      <c r="N903" t="n">
        <v>0</v>
      </c>
      <c r="O903" t="n">
        <v>0</v>
      </c>
      <c r="P903" t="n">
        <v>0</v>
      </c>
      <c r="Q903" t="n">
        <v>0</v>
      </c>
      <c r="R903" s="2" t="inlineStr"/>
    </row>
    <row r="904" ht="15" customHeight="1">
      <c r="A904" t="inlineStr">
        <is>
          <t>A 23306-2024</t>
        </is>
      </c>
      <c r="B904" s="1" t="n">
        <v>45453</v>
      </c>
      <c r="C904" s="1" t="n">
        <v>45795</v>
      </c>
      <c r="D904" t="inlineStr">
        <is>
          <t>DALARNAS LÄN</t>
        </is>
      </c>
      <c r="E904" t="inlineStr">
        <is>
          <t>MORA</t>
        </is>
      </c>
      <c r="G904" t="n">
        <v>5.1</v>
      </c>
      <c r="H904" t="n">
        <v>0</v>
      </c>
      <c r="I904" t="n">
        <v>0</v>
      </c>
      <c r="J904" t="n">
        <v>0</v>
      </c>
      <c r="K904" t="n">
        <v>0</v>
      </c>
      <c r="L904" t="n">
        <v>0</v>
      </c>
      <c r="M904" t="n">
        <v>0</v>
      </c>
      <c r="N904" t="n">
        <v>0</v>
      </c>
      <c r="O904" t="n">
        <v>0</v>
      </c>
      <c r="P904" t="n">
        <v>0</v>
      </c>
      <c r="Q904" t="n">
        <v>0</v>
      </c>
      <c r="R904" s="2" t="inlineStr"/>
    </row>
    <row r="905" ht="15" customHeight="1">
      <c r="A905" t="inlineStr">
        <is>
          <t>A 23302-2024</t>
        </is>
      </c>
      <c r="B905" s="1" t="n">
        <v>45453</v>
      </c>
      <c r="C905" s="1" t="n">
        <v>45795</v>
      </c>
      <c r="D905" t="inlineStr">
        <is>
          <t>DALARNAS LÄN</t>
        </is>
      </c>
      <c r="E905" t="inlineStr">
        <is>
          <t>MORA</t>
        </is>
      </c>
      <c r="G905" t="n">
        <v>1.3</v>
      </c>
      <c r="H905" t="n">
        <v>0</v>
      </c>
      <c r="I905" t="n">
        <v>0</v>
      </c>
      <c r="J905" t="n">
        <v>0</v>
      </c>
      <c r="K905" t="n">
        <v>0</v>
      </c>
      <c r="L905" t="n">
        <v>0</v>
      </c>
      <c r="M905" t="n">
        <v>0</v>
      </c>
      <c r="N905" t="n">
        <v>0</v>
      </c>
      <c r="O905" t="n">
        <v>0</v>
      </c>
      <c r="P905" t="n">
        <v>0</v>
      </c>
      <c r="Q905" t="n">
        <v>0</v>
      </c>
      <c r="R905" s="2" t="inlineStr"/>
    </row>
    <row r="906" ht="15" customHeight="1">
      <c r="A906" t="inlineStr">
        <is>
          <t>A 23298-2024</t>
        </is>
      </c>
      <c r="B906" s="1" t="n">
        <v>45453</v>
      </c>
      <c r="C906" s="1" t="n">
        <v>45795</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23669-2024</t>
        </is>
      </c>
      <c r="B907" s="1" t="n">
        <v>45454</v>
      </c>
      <c r="C907" s="1" t="n">
        <v>45795</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23797-2024</t>
        </is>
      </c>
      <c r="B908" s="1" t="n">
        <v>45455</v>
      </c>
      <c r="C908" s="1" t="n">
        <v>45795</v>
      </c>
      <c r="D908" t="inlineStr">
        <is>
          <t>DALARNAS LÄN</t>
        </is>
      </c>
      <c r="E908" t="inlineStr">
        <is>
          <t>MORA</t>
        </is>
      </c>
      <c r="G908" t="n">
        <v>2.9</v>
      </c>
      <c r="H908" t="n">
        <v>0</v>
      </c>
      <c r="I908" t="n">
        <v>0</v>
      </c>
      <c r="J908" t="n">
        <v>0</v>
      </c>
      <c r="K908" t="n">
        <v>0</v>
      </c>
      <c r="L908" t="n">
        <v>0</v>
      </c>
      <c r="M908" t="n">
        <v>0</v>
      </c>
      <c r="N908" t="n">
        <v>0</v>
      </c>
      <c r="O908" t="n">
        <v>0</v>
      </c>
      <c r="P908" t="n">
        <v>0</v>
      </c>
      <c r="Q908" t="n">
        <v>0</v>
      </c>
      <c r="R908" s="2" t="inlineStr"/>
    </row>
    <row r="909" ht="15" customHeight="1">
      <c r="A909" t="inlineStr">
        <is>
          <t>A 23866-2024</t>
        </is>
      </c>
      <c r="B909" s="1" t="n">
        <v>45455</v>
      </c>
      <c r="C909" s="1" t="n">
        <v>45795</v>
      </c>
      <c r="D909" t="inlineStr">
        <is>
          <t>DALARNAS LÄN</t>
        </is>
      </c>
      <c r="E909" t="inlineStr">
        <is>
          <t>MORA</t>
        </is>
      </c>
      <c r="G909" t="n">
        <v>3.4</v>
      </c>
      <c r="H909" t="n">
        <v>0</v>
      </c>
      <c r="I909" t="n">
        <v>0</v>
      </c>
      <c r="J909" t="n">
        <v>0</v>
      </c>
      <c r="K909" t="n">
        <v>0</v>
      </c>
      <c r="L909" t="n">
        <v>0</v>
      </c>
      <c r="M909" t="n">
        <v>0</v>
      </c>
      <c r="N909" t="n">
        <v>0</v>
      </c>
      <c r="O909" t="n">
        <v>0</v>
      </c>
      <c r="P909" t="n">
        <v>0</v>
      </c>
      <c r="Q909" t="n">
        <v>0</v>
      </c>
      <c r="R909" s="2" t="inlineStr"/>
    </row>
    <row r="910" ht="15" customHeight="1">
      <c r="A910" t="inlineStr">
        <is>
          <t>A 24350-2024</t>
        </is>
      </c>
      <c r="B910" s="1" t="n">
        <v>45457</v>
      </c>
      <c r="C910" s="1" t="n">
        <v>45795</v>
      </c>
      <c r="D910" t="inlineStr">
        <is>
          <t>DALARNAS LÄN</t>
        </is>
      </c>
      <c r="E910" t="inlineStr">
        <is>
          <t>MORA</t>
        </is>
      </c>
      <c r="F910" t="inlineStr">
        <is>
          <t>Bergvik skog öst AB</t>
        </is>
      </c>
      <c r="G910" t="n">
        <v>9.6</v>
      </c>
      <c r="H910" t="n">
        <v>0</v>
      </c>
      <c r="I910" t="n">
        <v>0</v>
      </c>
      <c r="J910" t="n">
        <v>0</v>
      </c>
      <c r="K910" t="n">
        <v>0</v>
      </c>
      <c r="L910" t="n">
        <v>0</v>
      </c>
      <c r="M910" t="n">
        <v>0</v>
      </c>
      <c r="N910" t="n">
        <v>0</v>
      </c>
      <c r="O910" t="n">
        <v>0</v>
      </c>
      <c r="P910" t="n">
        <v>0</v>
      </c>
      <c r="Q910" t="n">
        <v>0</v>
      </c>
      <c r="R910" s="2" t="inlineStr"/>
    </row>
    <row r="911" ht="15" customHeight="1">
      <c r="A911" t="inlineStr">
        <is>
          <t>A 24343-2024</t>
        </is>
      </c>
      <c r="B911" s="1" t="n">
        <v>45457</v>
      </c>
      <c r="C911" s="1" t="n">
        <v>45795</v>
      </c>
      <c r="D911" t="inlineStr">
        <is>
          <t>DALARNAS LÄN</t>
        </is>
      </c>
      <c r="E911" t="inlineStr">
        <is>
          <t>MORA</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24768-2024</t>
        </is>
      </c>
      <c r="B912" s="1" t="n">
        <v>45460</v>
      </c>
      <c r="C912" s="1" t="n">
        <v>45795</v>
      </c>
      <c r="D912" t="inlineStr">
        <is>
          <t>DALARNAS LÄN</t>
        </is>
      </c>
      <c r="E912" t="inlineStr">
        <is>
          <t>MORA</t>
        </is>
      </c>
      <c r="G912" t="n">
        <v>2.4</v>
      </c>
      <c r="H912" t="n">
        <v>0</v>
      </c>
      <c r="I912" t="n">
        <v>0</v>
      </c>
      <c r="J912" t="n">
        <v>0</v>
      </c>
      <c r="K912" t="n">
        <v>0</v>
      </c>
      <c r="L912" t="n">
        <v>0</v>
      </c>
      <c r="M912" t="n">
        <v>0</v>
      </c>
      <c r="N912" t="n">
        <v>0</v>
      </c>
      <c r="O912" t="n">
        <v>0</v>
      </c>
      <c r="P912" t="n">
        <v>0</v>
      </c>
      <c r="Q912" t="n">
        <v>0</v>
      </c>
      <c r="R912" s="2" t="inlineStr"/>
    </row>
    <row r="913" ht="15" customHeight="1">
      <c r="A913" t="inlineStr">
        <is>
          <t>A 24772-2024</t>
        </is>
      </c>
      <c r="B913" s="1" t="n">
        <v>45460</v>
      </c>
      <c r="C913" s="1" t="n">
        <v>45795</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24590-2024</t>
        </is>
      </c>
      <c r="B914" s="1" t="n">
        <v>45460</v>
      </c>
      <c r="C914" s="1" t="n">
        <v>45795</v>
      </c>
      <c r="D914" t="inlineStr">
        <is>
          <t>DALARNAS LÄN</t>
        </is>
      </c>
      <c r="E914" t="inlineStr">
        <is>
          <t>MORA</t>
        </is>
      </c>
      <c r="G914" t="n">
        <v>0.6</v>
      </c>
      <c r="H914" t="n">
        <v>0</v>
      </c>
      <c r="I914" t="n">
        <v>0</v>
      </c>
      <c r="J914" t="n">
        <v>0</v>
      </c>
      <c r="K914" t="n">
        <v>0</v>
      </c>
      <c r="L914" t="n">
        <v>0</v>
      </c>
      <c r="M914" t="n">
        <v>0</v>
      </c>
      <c r="N914" t="n">
        <v>0</v>
      </c>
      <c r="O914" t="n">
        <v>0</v>
      </c>
      <c r="P914" t="n">
        <v>0</v>
      </c>
      <c r="Q914" t="n">
        <v>0</v>
      </c>
      <c r="R914" s="2" t="inlineStr"/>
    </row>
    <row r="915" ht="15" customHeight="1">
      <c r="A915" t="inlineStr">
        <is>
          <t>A 24593-2024</t>
        </is>
      </c>
      <c r="B915" s="1" t="n">
        <v>45460</v>
      </c>
      <c r="C915" s="1" t="n">
        <v>45795</v>
      </c>
      <c r="D915" t="inlineStr">
        <is>
          <t>DALARNAS LÄN</t>
        </is>
      </c>
      <c r="E915" t="inlineStr">
        <is>
          <t>MORA</t>
        </is>
      </c>
      <c r="G915" t="n">
        <v>6.6</v>
      </c>
      <c r="H915" t="n">
        <v>0</v>
      </c>
      <c r="I915" t="n">
        <v>0</v>
      </c>
      <c r="J915" t="n">
        <v>0</v>
      </c>
      <c r="K915" t="n">
        <v>0</v>
      </c>
      <c r="L915" t="n">
        <v>0</v>
      </c>
      <c r="M915" t="n">
        <v>0</v>
      </c>
      <c r="N915" t="n">
        <v>0</v>
      </c>
      <c r="O915" t="n">
        <v>0</v>
      </c>
      <c r="P915" t="n">
        <v>0</v>
      </c>
      <c r="Q915" t="n">
        <v>0</v>
      </c>
      <c r="R915" s="2" t="inlineStr"/>
    </row>
    <row r="916" ht="15" customHeight="1">
      <c r="A916" t="inlineStr">
        <is>
          <t>A 25499-2024</t>
        </is>
      </c>
      <c r="B916" s="1" t="n">
        <v>45463</v>
      </c>
      <c r="C916" s="1" t="n">
        <v>45795</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25494-2024</t>
        </is>
      </c>
      <c r="B917" s="1" t="n">
        <v>45463</v>
      </c>
      <c r="C917" s="1" t="n">
        <v>45795</v>
      </c>
      <c r="D917" t="inlineStr">
        <is>
          <t>DALARNAS LÄN</t>
        </is>
      </c>
      <c r="E917" t="inlineStr">
        <is>
          <t>MORA</t>
        </is>
      </c>
      <c r="G917" t="n">
        <v>4.9</v>
      </c>
      <c r="H917" t="n">
        <v>0</v>
      </c>
      <c r="I917" t="n">
        <v>0</v>
      </c>
      <c r="J917" t="n">
        <v>0</v>
      </c>
      <c r="K917" t="n">
        <v>0</v>
      </c>
      <c r="L917" t="n">
        <v>0</v>
      </c>
      <c r="M917" t="n">
        <v>0</v>
      </c>
      <c r="N917" t="n">
        <v>0</v>
      </c>
      <c r="O917" t="n">
        <v>0</v>
      </c>
      <c r="P917" t="n">
        <v>0</v>
      </c>
      <c r="Q917" t="n">
        <v>0</v>
      </c>
      <c r="R917" s="2" t="inlineStr"/>
    </row>
    <row r="918" ht="15" customHeight="1">
      <c r="A918" t="inlineStr">
        <is>
          <t>A 25426-2024</t>
        </is>
      </c>
      <c r="B918" s="1" t="n">
        <v>45463</v>
      </c>
      <c r="C918" s="1" t="n">
        <v>45795</v>
      </c>
      <c r="D918" t="inlineStr">
        <is>
          <t>DALARNAS LÄN</t>
        </is>
      </c>
      <c r="E918" t="inlineStr">
        <is>
          <t>MORA</t>
        </is>
      </c>
      <c r="G918" t="n">
        <v>14.1</v>
      </c>
      <c r="H918" t="n">
        <v>0</v>
      </c>
      <c r="I918" t="n">
        <v>0</v>
      </c>
      <c r="J918" t="n">
        <v>0</v>
      </c>
      <c r="K918" t="n">
        <v>0</v>
      </c>
      <c r="L918" t="n">
        <v>0</v>
      </c>
      <c r="M918" t="n">
        <v>0</v>
      </c>
      <c r="N918" t="n">
        <v>0</v>
      </c>
      <c r="O918" t="n">
        <v>0</v>
      </c>
      <c r="P918" t="n">
        <v>0</v>
      </c>
      <c r="Q918" t="n">
        <v>0</v>
      </c>
      <c r="R918" s="2" t="inlineStr"/>
    </row>
    <row r="919" ht="15" customHeight="1">
      <c r="A919" t="inlineStr">
        <is>
          <t>A 25856-2024</t>
        </is>
      </c>
      <c r="B919" s="1" t="n">
        <v>45467</v>
      </c>
      <c r="C919" s="1" t="n">
        <v>45795</v>
      </c>
      <c r="D919" t="inlineStr">
        <is>
          <t>DALARNAS LÄN</t>
        </is>
      </c>
      <c r="E919" t="inlineStr">
        <is>
          <t>MORA</t>
        </is>
      </c>
      <c r="G919" t="n">
        <v>2.8</v>
      </c>
      <c r="H919" t="n">
        <v>0</v>
      </c>
      <c r="I919" t="n">
        <v>0</v>
      </c>
      <c r="J919" t="n">
        <v>0</v>
      </c>
      <c r="K919" t="n">
        <v>0</v>
      </c>
      <c r="L919" t="n">
        <v>0</v>
      </c>
      <c r="M919" t="n">
        <v>0</v>
      </c>
      <c r="N919" t="n">
        <v>0</v>
      </c>
      <c r="O919" t="n">
        <v>0</v>
      </c>
      <c r="P919" t="n">
        <v>0</v>
      </c>
      <c r="Q919" t="n">
        <v>0</v>
      </c>
      <c r="R919" s="2" t="inlineStr"/>
    </row>
    <row r="920" ht="15" customHeight="1">
      <c r="A920" t="inlineStr">
        <is>
          <t>A 26577-2024</t>
        </is>
      </c>
      <c r="B920" s="1" t="n">
        <v>45469</v>
      </c>
      <c r="C920" s="1" t="n">
        <v>45795</v>
      </c>
      <c r="D920" t="inlineStr">
        <is>
          <t>DALARNAS LÄN</t>
        </is>
      </c>
      <c r="E920" t="inlineStr">
        <is>
          <t>MORA</t>
        </is>
      </c>
      <c r="G920" t="n">
        <v>5.4</v>
      </c>
      <c r="H920" t="n">
        <v>0</v>
      </c>
      <c r="I920" t="n">
        <v>0</v>
      </c>
      <c r="J920" t="n">
        <v>0</v>
      </c>
      <c r="K920" t="n">
        <v>0</v>
      </c>
      <c r="L920" t="n">
        <v>0</v>
      </c>
      <c r="M920" t="n">
        <v>0</v>
      </c>
      <c r="N920" t="n">
        <v>0</v>
      </c>
      <c r="O920" t="n">
        <v>0</v>
      </c>
      <c r="P920" t="n">
        <v>0</v>
      </c>
      <c r="Q920" t="n">
        <v>0</v>
      </c>
      <c r="R920" s="2" t="inlineStr"/>
    </row>
    <row r="921" ht="15" customHeight="1">
      <c r="A921" t="inlineStr">
        <is>
          <t>A 26810-2024</t>
        </is>
      </c>
      <c r="B921" s="1" t="n">
        <v>45470</v>
      </c>
      <c r="C921" s="1" t="n">
        <v>45795</v>
      </c>
      <c r="D921" t="inlineStr">
        <is>
          <t>DALARNAS LÄN</t>
        </is>
      </c>
      <c r="E921" t="inlineStr">
        <is>
          <t>MORA</t>
        </is>
      </c>
      <c r="G921" t="n">
        <v>2.7</v>
      </c>
      <c r="H921" t="n">
        <v>0</v>
      </c>
      <c r="I921" t="n">
        <v>0</v>
      </c>
      <c r="J921" t="n">
        <v>0</v>
      </c>
      <c r="K921" t="n">
        <v>0</v>
      </c>
      <c r="L921" t="n">
        <v>0</v>
      </c>
      <c r="M921" t="n">
        <v>0</v>
      </c>
      <c r="N921" t="n">
        <v>0</v>
      </c>
      <c r="O921" t="n">
        <v>0</v>
      </c>
      <c r="P921" t="n">
        <v>0</v>
      </c>
      <c r="Q921" t="n">
        <v>0</v>
      </c>
      <c r="R921" s="2" t="inlineStr"/>
    </row>
    <row r="922" ht="15" customHeight="1">
      <c r="A922" t="inlineStr">
        <is>
          <t>A 26724-2024</t>
        </is>
      </c>
      <c r="B922" s="1" t="n">
        <v>45470</v>
      </c>
      <c r="C922" s="1" t="n">
        <v>45795</v>
      </c>
      <c r="D922" t="inlineStr">
        <is>
          <t>DALARNAS LÄN</t>
        </is>
      </c>
      <c r="E922" t="inlineStr">
        <is>
          <t>MORA</t>
        </is>
      </c>
      <c r="G922" t="n">
        <v>5.1</v>
      </c>
      <c r="H922" t="n">
        <v>0</v>
      </c>
      <c r="I922" t="n">
        <v>0</v>
      </c>
      <c r="J922" t="n">
        <v>0</v>
      </c>
      <c r="K922" t="n">
        <v>0</v>
      </c>
      <c r="L922" t="n">
        <v>0</v>
      </c>
      <c r="M922" t="n">
        <v>0</v>
      </c>
      <c r="N922" t="n">
        <v>0</v>
      </c>
      <c r="O922" t="n">
        <v>0</v>
      </c>
      <c r="P922" t="n">
        <v>0</v>
      </c>
      <c r="Q922" t="n">
        <v>0</v>
      </c>
      <c r="R922" s="2" t="inlineStr"/>
    </row>
    <row r="923" ht="15" customHeight="1">
      <c r="A923" t="inlineStr">
        <is>
          <t>A 26758-2024</t>
        </is>
      </c>
      <c r="B923" s="1" t="n">
        <v>45470</v>
      </c>
      <c r="C923" s="1" t="n">
        <v>45795</v>
      </c>
      <c r="D923" t="inlineStr">
        <is>
          <t>DALARNAS LÄN</t>
        </is>
      </c>
      <c r="E923" t="inlineStr">
        <is>
          <t>MORA</t>
        </is>
      </c>
      <c r="G923" t="n">
        <v>1.4</v>
      </c>
      <c r="H923" t="n">
        <v>0</v>
      </c>
      <c r="I923" t="n">
        <v>0</v>
      </c>
      <c r="J923" t="n">
        <v>0</v>
      </c>
      <c r="K923" t="n">
        <v>0</v>
      </c>
      <c r="L923" t="n">
        <v>0</v>
      </c>
      <c r="M923" t="n">
        <v>0</v>
      </c>
      <c r="N923" t="n">
        <v>0</v>
      </c>
      <c r="O923" t="n">
        <v>0</v>
      </c>
      <c r="P923" t="n">
        <v>0</v>
      </c>
      <c r="Q923" t="n">
        <v>0</v>
      </c>
      <c r="R923" s="2" t="inlineStr"/>
    </row>
    <row r="924" ht="15" customHeight="1">
      <c r="A924" t="inlineStr">
        <is>
          <t>A 26753-2024</t>
        </is>
      </c>
      <c r="B924" s="1" t="n">
        <v>45470</v>
      </c>
      <c r="C924" s="1" t="n">
        <v>45795</v>
      </c>
      <c r="D924" t="inlineStr">
        <is>
          <t>DALARNAS LÄN</t>
        </is>
      </c>
      <c r="E924" t="inlineStr">
        <is>
          <t>MORA</t>
        </is>
      </c>
      <c r="G924" t="n">
        <v>4</v>
      </c>
      <c r="H924" t="n">
        <v>0</v>
      </c>
      <c r="I924" t="n">
        <v>0</v>
      </c>
      <c r="J924" t="n">
        <v>0</v>
      </c>
      <c r="K924" t="n">
        <v>0</v>
      </c>
      <c r="L924" t="n">
        <v>0</v>
      </c>
      <c r="M924" t="n">
        <v>0</v>
      </c>
      <c r="N924" t="n">
        <v>0</v>
      </c>
      <c r="O924" t="n">
        <v>0</v>
      </c>
      <c r="P924" t="n">
        <v>0</v>
      </c>
      <c r="Q924" t="n">
        <v>0</v>
      </c>
      <c r="R924" s="2" t="inlineStr"/>
    </row>
    <row r="925" ht="15" customHeight="1">
      <c r="A925" t="inlineStr">
        <is>
          <t>A 27125-2024</t>
        </is>
      </c>
      <c r="B925" s="1" t="n">
        <v>45471</v>
      </c>
      <c r="C925" s="1" t="n">
        <v>45795</v>
      </c>
      <c r="D925" t="inlineStr">
        <is>
          <t>DALARNAS LÄN</t>
        </is>
      </c>
      <c r="E925" t="inlineStr">
        <is>
          <t>MORA</t>
        </is>
      </c>
      <c r="G925" t="n">
        <v>2.3</v>
      </c>
      <c r="H925" t="n">
        <v>0</v>
      </c>
      <c r="I925" t="n">
        <v>0</v>
      </c>
      <c r="J925" t="n">
        <v>0</v>
      </c>
      <c r="K925" t="n">
        <v>0</v>
      </c>
      <c r="L925" t="n">
        <v>0</v>
      </c>
      <c r="M925" t="n">
        <v>0</v>
      </c>
      <c r="N925" t="n">
        <v>0</v>
      </c>
      <c r="O925" t="n">
        <v>0</v>
      </c>
      <c r="P925" t="n">
        <v>0</v>
      </c>
      <c r="Q925" t="n">
        <v>0</v>
      </c>
      <c r="R925" s="2" t="inlineStr"/>
    </row>
    <row r="926" ht="15" customHeight="1">
      <c r="A926" t="inlineStr">
        <is>
          <t>A 27186-2024</t>
        </is>
      </c>
      <c r="B926" s="1" t="n">
        <v>45471</v>
      </c>
      <c r="C926" s="1" t="n">
        <v>45795</v>
      </c>
      <c r="D926" t="inlineStr">
        <is>
          <t>DALARNAS LÄN</t>
        </is>
      </c>
      <c r="E926" t="inlineStr">
        <is>
          <t>MORA</t>
        </is>
      </c>
      <c r="G926" t="n">
        <v>1.7</v>
      </c>
      <c r="H926" t="n">
        <v>0</v>
      </c>
      <c r="I926" t="n">
        <v>0</v>
      </c>
      <c r="J926" t="n">
        <v>0</v>
      </c>
      <c r="K926" t="n">
        <v>0</v>
      </c>
      <c r="L926" t="n">
        <v>0</v>
      </c>
      <c r="M926" t="n">
        <v>0</v>
      </c>
      <c r="N926" t="n">
        <v>0</v>
      </c>
      <c r="O926" t="n">
        <v>0</v>
      </c>
      <c r="P926" t="n">
        <v>0</v>
      </c>
      <c r="Q926" t="n">
        <v>0</v>
      </c>
      <c r="R926" s="2" t="inlineStr"/>
    </row>
    <row r="927" ht="15" customHeight="1">
      <c r="A927" t="inlineStr">
        <is>
          <t>A 27254-2024</t>
        </is>
      </c>
      <c r="B927" s="1" t="n">
        <v>45471</v>
      </c>
      <c r="C927" s="1" t="n">
        <v>45795</v>
      </c>
      <c r="D927" t="inlineStr">
        <is>
          <t>DALARNAS LÄN</t>
        </is>
      </c>
      <c r="E927" t="inlineStr">
        <is>
          <t>MORA</t>
        </is>
      </c>
      <c r="G927" t="n">
        <v>0.8</v>
      </c>
      <c r="H927" t="n">
        <v>0</v>
      </c>
      <c r="I927" t="n">
        <v>0</v>
      </c>
      <c r="J927" t="n">
        <v>0</v>
      </c>
      <c r="K927" t="n">
        <v>0</v>
      </c>
      <c r="L927" t="n">
        <v>0</v>
      </c>
      <c r="M927" t="n">
        <v>0</v>
      </c>
      <c r="N927" t="n">
        <v>0</v>
      </c>
      <c r="O927" t="n">
        <v>0</v>
      </c>
      <c r="P927" t="n">
        <v>0</v>
      </c>
      <c r="Q927" t="n">
        <v>0</v>
      </c>
      <c r="R927" s="2" t="inlineStr"/>
    </row>
    <row r="928" ht="15" customHeight="1">
      <c r="A928" t="inlineStr">
        <is>
          <t>A 27420-2024</t>
        </is>
      </c>
      <c r="B928" s="1" t="n">
        <v>45474</v>
      </c>
      <c r="C928" s="1" t="n">
        <v>45795</v>
      </c>
      <c r="D928" t="inlineStr">
        <is>
          <t>DALARNAS LÄN</t>
        </is>
      </c>
      <c r="E928" t="inlineStr">
        <is>
          <t>MORA</t>
        </is>
      </c>
      <c r="G928" t="n">
        <v>7.3</v>
      </c>
      <c r="H928" t="n">
        <v>0</v>
      </c>
      <c r="I928" t="n">
        <v>0</v>
      </c>
      <c r="J928" t="n">
        <v>0</v>
      </c>
      <c r="K928" t="n">
        <v>0</v>
      </c>
      <c r="L928" t="n">
        <v>0</v>
      </c>
      <c r="M928" t="n">
        <v>0</v>
      </c>
      <c r="N928" t="n">
        <v>0</v>
      </c>
      <c r="O928" t="n">
        <v>0</v>
      </c>
      <c r="P928" t="n">
        <v>0</v>
      </c>
      <c r="Q928" t="n">
        <v>0</v>
      </c>
      <c r="R928" s="2" t="inlineStr"/>
    </row>
    <row r="929" ht="15" customHeight="1">
      <c r="A929" t="inlineStr">
        <is>
          <t>A 27483-2024</t>
        </is>
      </c>
      <c r="B929" s="1" t="n">
        <v>45474</v>
      </c>
      <c r="C929" s="1" t="n">
        <v>45795</v>
      </c>
      <c r="D929" t="inlineStr">
        <is>
          <t>DALARNAS LÄN</t>
        </is>
      </c>
      <c r="E929" t="inlineStr">
        <is>
          <t>MORA</t>
        </is>
      </c>
      <c r="G929" t="n">
        <v>0.9</v>
      </c>
      <c r="H929" t="n">
        <v>0</v>
      </c>
      <c r="I929" t="n">
        <v>0</v>
      </c>
      <c r="J929" t="n">
        <v>0</v>
      </c>
      <c r="K929" t="n">
        <v>0</v>
      </c>
      <c r="L929" t="n">
        <v>0</v>
      </c>
      <c r="M929" t="n">
        <v>0</v>
      </c>
      <c r="N929" t="n">
        <v>0</v>
      </c>
      <c r="O929" t="n">
        <v>0</v>
      </c>
      <c r="P929" t="n">
        <v>0</v>
      </c>
      <c r="Q929" t="n">
        <v>0</v>
      </c>
      <c r="R929" s="2" t="inlineStr"/>
    </row>
    <row r="930" ht="15" customHeight="1">
      <c r="A930" t="inlineStr">
        <is>
          <t>A 28130-2024</t>
        </is>
      </c>
      <c r="B930" s="1" t="n">
        <v>45476</v>
      </c>
      <c r="C930" s="1" t="n">
        <v>45795</v>
      </c>
      <c r="D930" t="inlineStr">
        <is>
          <t>DALARNAS LÄN</t>
        </is>
      </c>
      <c r="E930" t="inlineStr">
        <is>
          <t>MORA</t>
        </is>
      </c>
      <c r="G930" t="n">
        <v>1.5</v>
      </c>
      <c r="H930" t="n">
        <v>0</v>
      </c>
      <c r="I930" t="n">
        <v>0</v>
      </c>
      <c r="J930" t="n">
        <v>0</v>
      </c>
      <c r="K930" t="n">
        <v>0</v>
      </c>
      <c r="L930" t="n">
        <v>0</v>
      </c>
      <c r="M930" t="n">
        <v>0</v>
      </c>
      <c r="N930" t="n">
        <v>0</v>
      </c>
      <c r="O930" t="n">
        <v>0</v>
      </c>
      <c r="P930" t="n">
        <v>0</v>
      </c>
      <c r="Q930" t="n">
        <v>0</v>
      </c>
      <c r="R930" s="2" t="inlineStr"/>
    </row>
    <row r="931" ht="15" customHeight="1">
      <c r="A931" t="inlineStr">
        <is>
          <t>A 28131-2024</t>
        </is>
      </c>
      <c r="B931" s="1" t="n">
        <v>45476</v>
      </c>
      <c r="C931" s="1" t="n">
        <v>45795</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28014-2024</t>
        </is>
      </c>
      <c r="B932" s="1" t="n">
        <v>45476</v>
      </c>
      <c r="C932" s="1" t="n">
        <v>45795</v>
      </c>
      <c r="D932" t="inlineStr">
        <is>
          <t>DALARNAS LÄN</t>
        </is>
      </c>
      <c r="E932" t="inlineStr">
        <is>
          <t>MORA</t>
        </is>
      </c>
      <c r="G932" t="n">
        <v>2.6</v>
      </c>
      <c r="H932" t="n">
        <v>0</v>
      </c>
      <c r="I932" t="n">
        <v>0</v>
      </c>
      <c r="J932" t="n">
        <v>0</v>
      </c>
      <c r="K932" t="n">
        <v>0</v>
      </c>
      <c r="L932" t="n">
        <v>0</v>
      </c>
      <c r="M932" t="n">
        <v>0</v>
      </c>
      <c r="N932" t="n">
        <v>0</v>
      </c>
      <c r="O932" t="n">
        <v>0</v>
      </c>
      <c r="P932" t="n">
        <v>0</v>
      </c>
      <c r="Q932" t="n">
        <v>0</v>
      </c>
      <c r="R932" s="2" t="inlineStr"/>
    </row>
    <row r="933" ht="15" customHeight="1">
      <c r="A933" t="inlineStr">
        <is>
          <t>A 28132-2024</t>
        </is>
      </c>
      <c r="B933" s="1" t="n">
        <v>45476</v>
      </c>
      <c r="C933" s="1" t="n">
        <v>45795</v>
      </c>
      <c r="D933" t="inlineStr">
        <is>
          <t>DALARNAS LÄN</t>
        </is>
      </c>
      <c r="E933" t="inlineStr">
        <is>
          <t>MORA</t>
        </is>
      </c>
      <c r="G933" t="n">
        <v>0.2</v>
      </c>
      <c r="H933" t="n">
        <v>0</v>
      </c>
      <c r="I933" t="n">
        <v>0</v>
      </c>
      <c r="J933" t="n">
        <v>0</v>
      </c>
      <c r="K933" t="n">
        <v>0</v>
      </c>
      <c r="L933" t="n">
        <v>0</v>
      </c>
      <c r="M933" t="n">
        <v>0</v>
      </c>
      <c r="N933" t="n">
        <v>0</v>
      </c>
      <c r="O933" t="n">
        <v>0</v>
      </c>
      <c r="P933" t="n">
        <v>0</v>
      </c>
      <c r="Q933" t="n">
        <v>0</v>
      </c>
      <c r="R933" s="2" t="inlineStr"/>
    </row>
    <row r="934" ht="15" customHeight="1">
      <c r="A934" t="inlineStr">
        <is>
          <t>A 28384-2024</t>
        </is>
      </c>
      <c r="B934" s="1" t="n">
        <v>45477</v>
      </c>
      <c r="C934" s="1" t="n">
        <v>45795</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28487-2024</t>
        </is>
      </c>
      <c r="B935" s="1" t="n">
        <v>45477</v>
      </c>
      <c r="C935" s="1" t="n">
        <v>45795</v>
      </c>
      <c r="D935" t="inlineStr">
        <is>
          <t>DALARNAS LÄN</t>
        </is>
      </c>
      <c r="E935" t="inlineStr">
        <is>
          <t>MORA</t>
        </is>
      </c>
      <c r="G935" t="n">
        <v>3.1</v>
      </c>
      <c r="H935" t="n">
        <v>0</v>
      </c>
      <c r="I935" t="n">
        <v>0</v>
      </c>
      <c r="J935" t="n">
        <v>0</v>
      </c>
      <c r="K935" t="n">
        <v>0</v>
      </c>
      <c r="L935" t="n">
        <v>0</v>
      </c>
      <c r="M935" t="n">
        <v>0</v>
      </c>
      <c r="N935" t="n">
        <v>0</v>
      </c>
      <c r="O935" t="n">
        <v>0</v>
      </c>
      <c r="P935" t="n">
        <v>0</v>
      </c>
      <c r="Q935" t="n">
        <v>0</v>
      </c>
      <c r="R935" s="2" t="inlineStr"/>
    </row>
    <row r="936" ht="15" customHeight="1">
      <c r="A936" t="inlineStr">
        <is>
          <t>A 28372-2024</t>
        </is>
      </c>
      <c r="B936" s="1" t="n">
        <v>45477</v>
      </c>
      <c r="C936" s="1" t="n">
        <v>45795</v>
      </c>
      <c r="D936" t="inlineStr">
        <is>
          <t>DALARNAS LÄN</t>
        </is>
      </c>
      <c r="E936" t="inlineStr">
        <is>
          <t>MORA</t>
        </is>
      </c>
      <c r="G936" t="n">
        <v>3.4</v>
      </c>
      <c r="H936" t="n">
        <v>0</v>
      </c>
      <c r="I936" t="n">
        <v>0</v>
      </c>
      <c r="J936" t="n">
        <v>0</v>
      </c>
      <c r="K936" t="n">
        <v>0</v>
      </c>
      <c r="L936" t="n">
        <v>0</v>
      </c>
      <c r="M936" t="n">
        <v>0</v>
      </c>
      <c r="N936" t="n">
        <v>0</v>
      </c>
      <c r="O936" t="n">
        <v>0</v>
      </c>
      <c r="P936" t="n">
        <v>0</v>
      </c>
      <c r="Q936" t="n">
        <v>0</v>
      </c>
      <c r="R936" s="2" t="inlineStr"/>
    </row>
    <row r="937" ht="15" customHeight="1">
      <c r="A937" t="inlineStr">
        <is>
          <t>A 28264-2024</t>
        </is>
      </c>
      <c r="B937" s="1" t="n">
        <v>45477</v>
      </c>
      <c r="C937" s="1" t="n">
        <v>45795</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29043-2024</t>
        </is>
      </c>
      <c r="B938" s="1" t="n">
        <v>45481</v>
      </c>
      <c r="C938" s="1" t="n">
        <v>45795</v>
      </c>
      <c r="D938" t="inlineStr">
        <is>
          <t>DALARNAS LÄN</t>
        </is>
      </c>
      <c r="E938" t="inlineStr">
        <is>
          <t>MORA</t>
        </is>
      </c>
      <c r="G938" t="n">
        <v>2.4</v>
      </c>
      <c r="H938" t="n">
        <v>0</v>
      </c>
      <c r="I938" t="n">
        <v>0</v>
      </c>
      <c r="J938" t="n">
        <v>0</v>
      </c>
      <c r="K938" t="n">
        <v>0</v>
      </c>
      <c r="L938" t="n">
        <v>0</v>
      </c>
      <c r="M938" t="n">
        <v>0</v>
      </c>
      <c r="N938" t="n">
        <v>0</v>
      </c>
      <c r="O938" t="n">
        <v>0</v>
      </c>
      <c r="P938" t="n">
        <v>0</v>
      </c>
      <c r="Q938" t="n">
        <v>0</v>
      </c>
      <c r="R938" s="2" t="inlineStr"/>
    </row>
    <row r="939" ht="15" customHeight="1">
      <c r="A939" t="inlineStr">
        <is>
          <t>A 28964-2024</t>
        </is>
      </c>
      <c r="B939" s="1" t="n">
        <v>45481</v>
      </c>
      <c r="C939" s="1" t="n">
        <v>45795</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28952-2024</t>
        </is>
      </c>
      <c r="B940" s="1" t="n">
        <v>45481</v>
      </c>
      <c r="C940" s="1" t="n">
        <v>45795</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29182-2024</t>
        </is>
      </c>
      <c r="B941" s="1" t="n">
        <v>45482</v>
      </c>
      <c r="C941" s="1" t="n">
        <v>45795</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29178-2024</t>
        </is>
      </c>
      <c r="B942" s="1" t="n">
        <v>45482</v>
      </c>
      <c r="C942" s="1" t="n">
        <v>45795</v>
      </c>
      <c r="D942" t="inlineStr">
        <is>
          <t>DALARNAS LÄN</t>
        </is>
      </c>
      <c r="E942" t="inlineStr">
        <is>
          <t>MORA</t>
        </is>
      </c>
      <c r="G942" t="n">
        <v>3.9</v>
      </c>
      <c r="H942" t="n">
        <v>0</v>
      </c>
      <c r="I942" t="n">
        <v>0</v>
      </c>
      <c r="J942" t="n">
        <v>0</v>
      </c>
      <c r="K942" t="n">
        <v>0</v>
      </c>
      <c r="L942" t="n">
        <v>0</v>
      </c>
      <c r="M942" t="n">
        <v>0</v>
      </c>
      <c r="N942" t="n">
        <v>0</v>
      </c>
      <c r="O942" t="n">
        <v>0</v>
      </c>
      <c r="P942" t="n">
        <v>0</v>
      </c>
      <c r="Q942" t="n">
        <v>0</v>
      </c>
      <c r="R942" s="2" t="inlineStr"/>
    </row>
    <row r="943" ht="15" customHeight="1">
      <c r="A943" t="inlineStr">
        <is>
          <t>A 29302-2024</t>
        </is>
      </c>
      <c r="B943" s="1" t="n">
        <v>45483</v>
      </c>
      <c r="C943" s="1" t="n">
        <v>45795</v>
      </c>
      <c r="D943" t="inlineStr">
        <is>
          <t>DALARNAS LÄN</t>
        </is>
      </c>
      <c r="E943" t="inlineStr">
        <is>
          <t>MORA</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29316-2024</t>
        </is>
      </c>
      <c r="B944" s="1" t="n">
        <v>45483</v>
      </c>
      <c r="C944" s="1" t="n">
        <v>45795</v>
      </c>
      <c r="D944" t="inlineStr">
        <is>
          <t>DALARNAS LÄN</t>
        </is>
      </c>
      <c r="E944" t="inlineStr">
        <is>
          <t>MORA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29799-2024</t>
        </is>
      </c>
      <c r="B945" s="1" t="n">
        <v>45485</v>
      </c>
      <c r="C945" s="1" t="n">
        <v>45795</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29801-2024</t>
        </is>
      </c>
      <c r="B946" s="1" t="n">
        <v>45485</v>
      </c>
      <c r="C946" s="1" t="n">
        <v>45795</v>
      </c>
      <c r="D946" t="inlineStr">
        <is>
          <t>DALARNAS LÄN</t>
        </is>
      </c>
      <c r="E946" t="inlineStr">
        <is>
          <t>MORA</t>
        </is>
      </c>
      <c r="G946" t="n">
        <v>2</v>
      </c>
      <c r="H946" t="n">
        <v>0</v>
      </c>
      <c r="I946" t="n">
        <v>0</v>
      </c>
      <c r="J946" t="n">
        <v>0</v>
      </c>
      <c r="K946" t="n">
        <v>0</v>
      </c>
      <c r="L946" t="n">
        <v>0</v>
      </c>
      <c r="M946" t="n">
        <v>0</v>
      </c>
      <c r="N946" t="n">
        <v>0</v>
      </c>
      <c r="O946" t="n">
        <v>0</v>
      </c>
      <c r="P946" t="n">
        <v>0</v>
      </c>
      <c r="Q946" t="n">
        <v>0</v>
      </c>
      <c r="R946" s="2" t="inlineStr"/>
    </row>
    <row r="947" ht="15" customHeight="1">
      <c r="A947" t="inlineStr">
        <is>
          <t>A 29901-2024</t>
        </is>
      </c>
      <c r="B947" s="1" t="n">
        <v>45487</v>
      </c>
      <c r="C947" s="1" t="n">
        <v>45795</v>
      </c>
      <c r="D947" t="inlineStr">
        <is>
          <t>DALARNAS LÄN</t>
        </is>
      </c>
      <c r="E947" t="inlineStr">
        <is>
          <t>MORA</t>
        </is>
      </c>
      <c r="F947" t="inlineStr">
        <is>
          <t>Bergvik skog öst AB</t>
        </is>
      </c>
      <c r="G947" t="n">
        <v>1.2</v>
      </c>
      <c r="H947" t="n">
        <v>0</v>
      </c>
      <c r="I947" t="n">
        <v>0</v>
      </c>
      <c r="J947" t="n">
        <v>0</v>
      </c>
      <c r="K947" t="n">
        <v>0</v>
      </c>
      <c r="L947" t="n">
        <v>0</v>
      </c>
      <c r="M947" t="n">
        <v>0</v>
      </c>
      <c r="N947" t="n">
        <v>0</v>
      </c>
      <c r="O947" t="n">
        <v>0</v>
      </c>
      <c r="P947" t="n">
        <v>0</v>
      </c>
      <c r="Q947" t="n">
        <v>0</v>
      </c>
      <c r="R947" s="2" t="inlineStr"/>
    </row>
    <row r="948" ht="15" customHeight="1">
      <c r="A948" t="inlineStr">
        <is>
          <t>A 29896-2024</t>
        </is>
      </c>
      <c r="B948" s="1" t="n">
        <v>45487</v>
      </c>
      <c r="C948" s="1" t="n">
        <v>45795</v>
      </c>
      <c r="D948" t="inlineStr">
        <is>
          <t>DALARNAS LÄN</t>
        </is>
      </c>
      <c r="E948" t="inlineStr">
        <is>
          <t>MORA</t>
        </is>
      </c>
      <c r="G948" t="n">
        <v>7.9</v>
      </c>
      <c r="H948" t="n">
        <v>0</v>
      </c>
      <c r="I948" t="n">
        <v>0</v>
      </c>
      <c r="J948" t="n">
        <v>0</v>
      </c>
      <c r="K948" t="n">
        <v>0</v>
      </c>
      <c r="L948" t="n">
        <v>0</v>
      </c>
      <c r="M948" t="n">
        <v>0</v>
      </c>
      <c r="N948" t="n">
        <v>0</v>
      </c>
      <c r="O948" t="n">
        <v>0</v>
      </c>
      <c r="P948" t="n">
        <v>0</v>
      </c>
      <c r="Q948" t="n">
        <v>0</v>
      </c>
      <c r="R948" s="2" t="inlineStr"/>
    </row>
    <row r="949" ht="15" customHeight="1">
      <c r="A949" t="inlineStr">
        <is>
          <t>A 29900-2024</t>
        </is>
      </c>
      <c r="B949" s="1" t="n">
        <v>45487</v>
      </c>
      <c r="C949" s="1" t="n">
        <v>45795</v>
      </c>
      <c r="D949" t="inlineStr">
        <is>
          <t>DALARNAS LÄN</t>
        </is>
      </c>
      <c r="E949" t="inlineStr">
        <is>
          <t>MORA</t>
        </is>
      </c>
      <c r="F949" t="inlineStr">
        <is>
          <t>Bergvik skog öst AB</t>
        </is>
      </c>
      <c r="G949" t="n">
        <v>1</v>
      </c>
      <c r="H949" t="n">
        <v>0</v>
      </c>
      <c r="I949" t="n">
        <v>0</v>
      </c>
      <c r="J949" t="n">
        <v>0</v>
      </c>
      <c r="K949" t="n">
        <v>0</v>
      </c>
      <c r="L949" t="n">
        <v>0</v>
      </c>
      <c r="M949" t="n">
        <v>0</v>
      </c>
      <c r="N949" t="n">
        <v>0</v>
      </c>
      <c r="O949" t="n">
        <v>0</v>
      </c>
      <c r="P949" t="n">
        <v>0</v>
      </c>
      <c r="Q949" t="n">
        <v>0</v>
      </c>
      <c r="R949" s="2" t="inlineStr"/>
    </row>
    <row r="950" ht="15" customHeight="1">
      <c r="A950" t="inlineStr">
        <is>
          <t>A 30203-2024</t>
        </is>
      </c>
      <c r="B950" s="1" t="n">
        <v>45490</v>
      </c>
      <c r="C950" s="1" t="n">
        <v>45795</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30202-2024</t>
        </is>
      </c>
      <c r="B951" s="1" t="n">
        <v>45490</v>
      </c>
      <c r="C951" s="1" t="n">
        <v>45795</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30194-2024</t>
        </is>
      </c>
      <c r="B952" s="1" t="n">
        <v>45490</v>
      </c>
      <c r="C952" s="1" t="n">
        <v>45795</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30402-2024</t>
        </is>
      </c>
      <c r="B953" s="1" t="n">
        <v>45491</v>
      </c>
      <c r="C953" s="1" t="n">
        <v>45795</v>
      </c>
      <c r="D953" t="inlineStr">
        <is>
          <t>DALARNAS LÄN</t>
        </is>
      </c>
      <c r="E953" t="inlineStr">
        <is>
          <t>MORA</t>
        </is>
      </c>
      <c r="G953" t="n">
        <v>17.6</v>
      </c>
      <c r="H953" t="n">
        <v>0</v>
      </c>
      <c r="I953" t="n">
        <v>0</v>
      </c>
      <c r="J953" t="n">
        <v>0</v>
      </c>
      <c r="K953" t="n">
        <v>0</v>
      </c>
      <c r="L953" t="n">
        <v>0</v>
      </c>
      <c r="M953" t="n">
        <v>0</v>
      </c>
      <c r="N953" t="n">
        <v>0</v>
      </c>
      <c r="O953" t="n">
        <v>0</v>
      </c>
      <c r="P953" t="n">
        <v>0</v>
      </c>
      <c r="Q953" t="n">
        <v>0</v>
      </c>
      <c r="R953" s="2" t="inlineStr"/>
    </row>
    <row r="954" ht="15" customHeight="1">
      <c r="A954" t="inlineStr">
        <is>
          <t>A 30631-2024</t>
        </is>
      </c>
      <c r="B954" s="1" t="n">
        <v>45495</v>
      </c>
      <c r="C954" s="1" t="n">
        <v>45795</v>
      </c>
      <c r="D954" t="inlineStr">
        <is>
          <t>DALARNAS LÄN</t>
        </is>
      </c>
      <c r="E954" t="inlineStr">
        <is>
          <t>MORA</t>
        </is>
      </c>
      <c r="G954" t="n">
        <v>3.2</v>
      </c>
      <c r="H954" t="n">
        <v>0</v>
      </c>
      <c r="I954" t="n">
        <v>0</v>
      </c>
      <c r="J954" t="n">
        <v>0</v>
      </c>
      <c r="K954" t="n">
        <v>0</v>
      </c>
      <c r="L954" t="n">
        <v>0</v>
      </c>
      <c r="M954" t="n">
        <v>0</v>
      </c>
      <c r="N954" t="n">
        <v>0</v>
      </c>
      <c r="O954" t="n">
        <v>0</v>
      </c>
      <c r="P954" t="n">
        <v>0</v>
      </c>
      <c r="Q954" t="n">
        <v>0</v>
      </c>
      <c r="R954" s="2" t="inlineStr"/>
    </row>
    <row r="955" ht="15" customHeight="1">
      <c r="A955" t="inlineStr">
        <is>
          <t>A 30826-2024</t>
        </is>
      </c>
      <c r="B955" s="1" t="n">
        <v>45497</v>
      </c>
      <c r="C955" s="1" t="n">
        <v>45795</v>
      </c>
      <c r="D955" t="inlineStr">
        <is>
          <t>DALARNAS LÄN</t>
        </is>
      </c>
      <c r="E955" t="inlineStr">
        <is>
          <t>MORA</t>
        </is>
      </c>
      <c r="G955" t="n">
        <v>3.8</v>
      </c>
      <c r="H955" t="n">
        <v>0</v>
      </c>
      <c r="I955" t="n">
        <v>0</v>
      </c>
      <c r="J955" t="n">
        <v>0</v>
      </c>
      <c r="K955" t="n">
        <v>0</v>
      </c>
      <c r="L955" t="n">
        <v>0</v>
      </c>
      <c r="M955" t="n">
        <v>0</v>
      </c>
      <c r="N955" t="n">
        <v>0</v>
      </c>
      <c r="O955" t="n">
        <v>0</v>
      </c>
      <c r="P955" t="n">
        <v>0</v>
      </c>
      <c r="Q955" t="n">
        <v>0</v>
      </c>
      <c r="R955" s="2" t="inlineStr"/>
    </row>
    <row r="956" ht="15" customHeight="1">
      <c r="A956" t="inlineStr">
        <is>
          <t>A 30822-2024</t>
        </is>
      </c>
      <c r="B956" s="1" t="n">
        <v>45497</v>
      </c>
      <c r="C956" s="1" t="n">
        <v>45795</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30819-2024</t>
        </is>
      </c>
      <c r="B957" s="1" t="n">
        <v>45497</v>
      </c>
      <c r="C957" s="1" t="n">
        <v>45795</v>
      </c>
      <c r="D957" t="inlineStr">
        <is>
          <t>DALARNAS LÄN</t>
        </is>
      </c>
      <c r="E957" t="inlineStr">
        <is>
          <t>MORA</t>
        </is>
      </c>
      <c r="G957" t="n">
        <v>2.2</v>
      </c>
      <c r="H957" t="n">
        <v>0</v>
      </c>
      <c r="I957" t="n">
        <v>0</v>
      </c>
      <c r="J957" t="n">
        <v>0</v>
      </c>
      <c r="K957" t="n">
        <v>0</v>
      </c>
      <c r="L957" t="n">
        <v>0</v>
      </c>
      <c r="M957" t="n">
        <v>0</v>
      </c>
      <c r="N957" t="n">
        <v>0</v>
      </c>
      <c r="O957" t="n">
        <v>0</v>
      </c>
      <c r="P957" t="n">
        <v>0</v>
      </c>
      <c r="Q957" t="n">
        <v>0</v>
      </c>
      <c r="R957" s="2" t="inlineStr"/>
    </row>
    <row r="958" ht="15" customHeight="1">
      <c r="A958" t="inlineStr">
        <is>
          <t>A 30984-2024</t>
        </is>
      </c>
      <c r="B958" s="1" t="n">
        <v>45499</v>
      </c>
      <c r="C958" s="1" t="n">
        <v>45795</v>
      </c>
      <c r="D958" t="inlineStr">
        <is>
          <t>DALARNAS LÄN</t>
        </is>
      </c>
      <c r="E958" t="inlineStr">
        <is>
          <t>MORA</t>
        </is>
      </c>
      <c r="G958" t="n">
        <v>1.5</v>
      </c>
      <c r="H958" t="n">
        <v>0</v>
      </c>
      <c r="I958" t="n">
        <v>0</v>
      </c>
      <c r="J958" t="n">
        <v>0</v>
      </c>
      <c r="K958" t="n">
        <v>0</v>
      </c>
      <c r="L958" t="n">
        <v>0</v>
      </c>
      <c r="M958" t="n">
        <v>0</v>
      </c>
      <c r="N958" t="n">
        <v>0</v>
      </c>
      <c r="O958" t="n">
        <v>0</v>
      </c>
      <c r="P958" t="n">
        <v>0</v>
      </c>
      <c r="Q958" t="n">
        <v>0</v>
      </c>
      <c r="R958" s="2" t="inlineStr"/>
    </row>
    <row r="959" ht="15" customHeight="1">
      <c r="A959" t="inlineStr">
        <is>
          <t>A 30985-2024</t>
        </is>
      </c>
      <c r="B959" s="1" t="n">
        <v>45499</v>
      </c>
      <c r="C959" s="1" t="n">
        <v>45795</v>
      </c>
      <c r="D959" t="inlineStr">
        <is>
          <t>DALARNAS LÄN</t>
        </is>
      </c>
      <c r="E959" t="inlineStr">
        <is>
          <t>MORA</t>
        </is>
      </c>
      <c r="G959" t="n">
        <v>0.7</v>
      </c>
      <c r="H959" t="n">
        <v>0</v>
      </c>
      <c r="I959" t="n">
        <v>0</v>
      </c>
      <c r="J959" t="n">
        <v>0</v>
      </c>
      <c r="K959" t="n">
        <v>0</v>
      </c>
      <c r="L959" t="n">
        <v>0</v>
      </c>
      <c r="M959" t="n">
        <v>0</v>
      </c>
      <c r="N959" t="n">
        <v>0</v>
      </c>
      <c r="O959" t="n">
        <v>0</v>
      </c>
      <c r="P959" t="n">
        <v>0</v>
      </c>
      <c r="Q959" t="n">
        <v>0</v>
      </c>
      <c r="R959" s="2" t="inlineStr"/>
    </row>
    <row r="960" ht="15" customHeight="1">
      <c r="A960" t="inlineStr">
        <is>
          <t>A 31107-2024</t>
        </is>
      </c>
      <c r="B960" s="1" t="n">
        <v>45502</v>
      </c>
      <c r="C960" s="1" t="n">
        <v>45795</v>
      </c>
      <c r="D960" t="inlineStr">
        <is>
          <t>DALARNAS LÄN</t>
        </is>
      </c>
      <c r="E960" t="inlineStr">
        <is>
          <t>MORA</t>
        </is>
      </c>
      <c r="G960" t="n">
        <v>1.1</v>
      </c>
      <c r="H960" t="n">
        <v>0</v>
      </c>
      <c r="I960" t="n">
        <v>0</v>
      </c>
      <c r="J960" t="n">
        <v>0</v>
      </c>
      <c r="K960" t="n">
        <v>0</v>
      </c>
      <c r="L960" t="n">
        <v>0</v>
      </c>
      <c r="M960" t="n">
        <v>0</v>
      </c>
      <c r="N960" t="n">
        <v>0</v>
      </c>
      <c r="O960" t="n">
        <v>0</v>
      </c>
      <c r="P960" t="n">
        <v>0</v>
      </c>
      <c r="Q960" t="n">
        <v>0</v>
      </c>
      <c r="R960" s="2" t="inlineStr"/>
    </row>
    <row r="961" ht="15" customHeight="1">
      <c r="A961" t="inlineStr">
        <is>
          <t>A 31083-2024</t>
        </is>
      </c>
      <c r="B961" s="1" t="n">
        <v>45502</v>
      </c>
      <c r="C961" s="1" t="n">
        <v>45795</v>
      </c>
      <c r="D961" t="inlineStr">
        <is>
          <t>DALARNAS LÄN</t>
        </is>
      </c>
      <c r="E961" t="inlineStr">
        <is>
          <t>MORA</t>
        </is>
      </c>
      <c r="G961" t="n">
        <v>0.8</v>
      </c>
      <c r="H961" t="n">
        <v>0</v>
      </c>
      <c r="I961" t="n">
        <v>0</v>
      </c>
      <c r="J961" t="n">
        <v>0</v>
      </c>
      <c r="K961" t="n">
        <v>0</v>
      </c>
      <c r="L961" t="n">
        <v>0</v>
      </c>
      <c r="M961" t="n">
        <v>0</v>
      </c>
      <c r="N961" t="n">
        <v>0</v>
      </c>
      <c r="O961" t="n">
        <v>0</v>
      </c>
      <c r="P961" t="n">
        <v>0</v>
      </c>
      <c r="Q961" t="n">
        <v>0</v>
      </c>
      <c r="R961" s="2" t="inlineStr"/>
    </row>
    <row r="962" ht="15" customHeight="1">
      <c r="A962" t="inlineStr">
        <is>
          <t>A 31112-2024</t>
        </is>
      </c>
      <c r="B962" s="1" t="n">
        <v>45502</v>
      </c>
      <c r="C962" s="1" t="n">
        <v>45795</v>
      </c>
      <c r="D962" t="inlineStr">
        <is>
          <t>DALARNAS LÄN</t>
        </is>
      </c>
      <c r="E962" t="inlineStr">
        <is>
          <t>MORA</t>
        </is>
      </c>
      <c r="G962" t="n">
        <v>0.6</v>
      </c>
      <c r="H962" t="n">
        <v>0</v>
      </c>
      <c r="I962" t="n">
        <v>0</v>
      </c>
      <c r="J962" t="n">
        <v>0</v>
      </c>
      <c r="K962" t="n">
        <v>0</v>
      </c>
      <c r="L962" t="n">
        <v>0</v>
      </c>
      <c r="M962" t="n">
        <v>0</v>
      </c>
      <c r="N962" t="n">
        <v>0</v>
      </c>
      <c r="O962" t="n">
        <v>0</v>
      </c>
      <c r="P962" t="n">
        <v>0</v>
      </c>
      <c r="Q962" t="n">
        <v>0</v>
      </c>
      <c r="R962" s="2" t="inlineStr"/>
    </row>
    <row r="963" ht="15" customHeight="1">
      <c r="A963" t="inlineStr">
        <is>
          <t>A 31108-2024</t>
        </is>
      </c>
      <c r="B963" s="1" t="n">
        <v>45502</v>
      </c>
      <c r="C963" s="1" t="n">
        <v>45795</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31113-2024</t>
        </is>
      </c>
      <c r="B964" s="1" t="n">
        <v>45502</v>
      </c>
      <c r="C964" s="1" t="n">
        <v>45795</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31109-2024</t>
        </is>
      </c>
      <c r="B965" s="1" t="n">
        <v>45502</v>
      </c>
      <c r="C965" s="1" t="n">
        <v>45795</v>
      </c>
      <c r="D965" t="inlineStr">
        <is>
          <t>DALARNAS LÄN</t>
        </is>
      </c>
      <c r="E965" t="inlineStr">
        <is>
          <t>MORA</t>
        </is>
      </c>
      <c r="G965" t="n">
        <v>1.3</v>
      </c>
      <c r="H965" t="n">
        <v>0</v>
      </c>
      <c r="I965" t="n">
        <v>0</v>
      </c>
      <c r="J965" t="n">
        <v>0</v>
      </c>
      <c r="K965" t="n">
        <v>0</v>
      </c>
      <c r="L965" t="n">
        <v>0</v>
      </c>
      <c r="M965" t="n">
        <v>0</v>
      </c>
      <c r="N965" t="n">
        <v>0</v>
      </c>
      <c r="O965" t="n">
        <v>0</v>
      </c>
      <c r="P965" t="n">
        <v>0</v>
      </c>
      <c r="Q965" t="n">
        <v>0</v>
      </c>
      <c r="R965" s="2" t="inlineStr"/>
    </row>
    <row r="966" ht="15" customHeight="1">
      <c r="A966" t="inlineStr">
        <is>
          <t>A 31085-2024</t>
        </is>
      </c>
      <c r="B966" s="1" t="n">
        <v>45502</v>
      </c>
      <c r="C966" s="1" t="n">
        <v>45795</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31376-2024</t>
        </is>
      </c>
      <c r="B967" s="1" t="n">
        <v>45505</v>
      </c>
      <c r="C967" s="1" t="n">
        <v>45795</v>
      </c>
      <c r="D967" t="inlineStr">
        <is>
          <t>DALARNAS LÄN</t>
        </is>
      </c>
      <c r="E967" t="inlineStr">
        <is>
          <t>MORA</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31383-2024</t>
        </is>
      </c>
      <c r="B968" s="1" t="n">
        <v>45505</v>
      </c>
      <c r="C968" s="1" t="n">
        <v>45795</v>
      </c>
      <c r="D968" t="inlineStr">
        <is>
          <t>DALARNAS LÄN</t>
        </is>
      </c>
      <c r="E968" t="inlineStr">
        <is>
          <t>MORA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31369-2024</t>
        </is>
      </c>
      <c r="B969" s="1" t="n">
        <v>45505</v>
      </c>
      <c r="C969" s="1" t="n">
        <v>45795</v>
      </c>
      <c r="D969" t="inlineStr">
        <is>
          <t>DALARNAS LÄN</t>
        </is>
      </c>
      <c r="E969" t="inlineStr">
        <is>
          <t>MORA</t>
        </is>
      </c>
      <c r="F969" t="inlineStr">
        <is>
          <t>Bergvik skog öst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31374-2024</t>
        </is>
      </c>
      <c r="B970" s="1" t="n">
        <v>45505</v>
      </c>
      <c r="C970" s="1" t="n">
        <v>45795</v>
      </c>
      <c r="D970" t="inlineStr">
        <is>
          <t>DALARNAS LÄN</t>
        </is>
      </c>
      <c r="E970" t="inlineStr">
        <is>
          <t>MORA</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31382-2024</t>
        </is>
      </c>
      <c r="B971" s="1" t="n">
        <v>45505</v>
      </c>
      <c r="C971" s="1" t="n">
        <v>45795</v>
      </c>
      <c r="D971" t="inlineStr">
        <is>
          <t>DALARNAS LÄN</t>
        </is>
      </c>
      <c r="E971" t="inlineStr">
        <is>
          <t>MORA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31398-2024</t>
        </is>
      </c>
      <c r="B972" s="1" t="n">
        <v>45505</v>
      </c>
      <c r="C972" s="1" t="n">
        <v>45795</v>
      </c>
      <c r="D972" t="inlineStr">
        <is>
          <t>DALARNAS LÄN</t>
        </is>
      </c>
      <c r="E972" t="inlineStr">
        <is>
          <t>MORA</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31395-2024</t>
        </is>
      </c>
      <c r="B973" s="1" t="n">
        <v>45505</v>
      </c>
      <c r="C973" s="1" t="n">
        <v>45795</v>
      </c>
      <c r="D973" t="inlineStr">
        <is>
          <t>DALARNAS LÄN</t>
        </is>
      </c>
      <c r="E973" t="inlineStr">
        <is>
          <t>MORA</t>
        </is>
      </c>
      <c r="F973" t="inlineStr">
        <is>
          <t>Bergvik skog öst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31829-2024</t>
        </is>
      </c>
      <c r="B974" s="1" t="n">
        <v>45509</v>
      </c>
      <c r="C974" s="1" t="n">
        <v>45795</v>
      </c>
      <c r="D974" t="inlineStr">
        <is>
          <t>DALARNAS LÄN</t>
        </is>
      </c>
      <c r="E974" t="inlineStr">
        <is>
          <t>MORA</t>
        </is>
      </c>
      <c r="F974" t="inlineStr">
        <is>
          <t>Bergvik skog öst AB</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31828-2024</t>
        </is>
      </c>
      <c r="B975" s="1" t="n">
        <v>45509</v>
      </c>
      <c r="C975" s="1" t="n">
        <v>45795</v>
      </c>
      <c r="D975" t="inlineStr">
        <is>
          <t>DALARNAS LÄN</t>
        </is>
      </c>
      <c r="E975" t="inlineStr">
        <is>
          <t>MORA</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31929-2024</t>
        </is>
      </c>
      <c r="B976" s="1" t="n">
        <v>45510</v>
      </c>
      <c r="C976" s="1" t="n">
        <v>45795</v>
      </c>
      <c r="D976" t="inlineStr">
        <is>
          <t>DALARNAS LÄN</t>
        </is>
      </c>
      <c r="E976" t="inlineStr">
        <is>
          <t>MORA</t>
        </is>
      </c>
      <c r="G976" t="n">
        <v>10.8</v>
      </c>
      <c r="H976" t="n">
        <v>0</v>
      </c>
      <c r="I976" t="n">
        <v>0</v>
      </c>
      <c r="J976" t="n">
        <v>0</v>
      </c>
      <c r="K976" t="n">
        <v>0</v>
      </c>
      <c r="L976" t="n">
        <v>0</v>
      </c>
      <c r="M976" t="n">
        <v>0</v>
      </c>
      <c r="N976" t="n">
        <v>0</v>
      </c>
      <c r="O976" t="n">
        <v>0</v>
      </c>
      <c r="P976" t="n">
        <v>0</v>
      </c>
      <c r="Q976" t="n">
        <v>0</v>
      </c>
      <c r="R976" s="2" t="inlineStr"/>
    </row>
    <row r="977" ht="15" customHeight="1">
      <c r="A977" t="inlineStr">
        <is>
          <t>A 32410-2024</t>
        </is>
      </c>
      <c r="B977" s="1" t="n">
        <v>45512</v>
      </c>
      <c r="C977" s="1" t="n">
        <v>45795</v>
      </c>
      <c r="D977" t="inlineStr">
        <is>
          <t>DALARNAS LÄN</t>
        </is>
      </c>
      <c r="E977" t="inlineStr">
        <is>
          <t>MORA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32385-2024</t>
        </is>
      </c>
      <c r="B978" s="1" t="n">
        <v>45512</v>
      </c>
      <c r="C978" s="1" t="n">
        <v>45795</v>
      </c>
      <c r="D978" t="inlineStr">
        <is>
          <t>DALARNAS LÄN</t>
        </is>
      </c>
      <c r="E978" t="inlineStr">
        <is>
          <t>MORA</t>
        </is>
      </c>
      <c r="G978" t="n">
        <v>3</v>
      </c>
      <c r="H978" t="n">
        <v>0</v>
      </c>
      <c r="I978" t="n">
        <v>0</v>
      </c>
      <c r="J978" t="n">
        <v>0</v>
      </c>
      <c r="K978" t="n">
        <v>0</v>
      </c>
      <c r="L978" t="n">
        <v>0</v>
      </c>
      <c r="M978" t="n">
        <v>0</v>
      </c>
      <c r="N978" t="n">
        <v>0</v>
      </c>
      <c r="O978" t="n">
        <v>0</v>
      </c>
      <c r="P978" t="n">
        <v>0</v>
      </c>
      <c r="Q978" t="n">
        <v>0</v>
      </c>
      <c r="R978" s="2" t="inlineStr"/>
    </row>
    <row r="979" ht="15" customHeight="1">
      <c r="A979" t="inlineStr">
        <is>
          <t>A 32811-2024</t>
        </is>
      </c>
      <c r="B979" s="1" t="n">
        <v>45516</v>
      </c>
      <c r="C979" s="1" t="n">
        <v>45795</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32780-2024</t>
        </is>
      </c>
      <c r="B980" s="1" t="n">
        <v>45516</v>
      </c>
      <c r="C980" s="1" t="n">
        <v>45795</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32721-2024</t>
        </is>
      </c>
      <c r="B981" s="1" t="n">
        <v>45516</v>
      </c>
      <c r="C981" s="1" t="n">
        <v>45795</v>
      </c>
      <c r="D981" t="inlineStr">
        <is>
          <t>DALARNAS LÄN</t>
        </is>
      </c>
      <c r="E981" t="inlineStr">
        <is>
          <t>MORA</t>
        </is>
      </c>
      <c r="G981" t="n">
        <v>4.2</v>
      </c>
      <c r="H981" t="n">
        <v>0</v>
      </c>
      <c r="I981" t="n">
        <v>0</v>
      </c>
      <c r="J981" t="n">
        <v>0</v>
      </c>
      <c r="K981" t="n">
        <v>0</v>
      </c>
      <c r="L981" t="n">
        <v>0</v>
      </c>
      <c r="M981" t="n">
        <v>0</v>
      </c>
      <c r="N981" t="n">
        <v>0</v>
      </c>
      <c r="O981" t="n">
        <v>0</v>
      </c>
      <c r="P981" t="n">
        <v>0</v>
      </c>
      <c r="Q981" t="n">
        <v>0</v>
      </c>
      <c r="R981" s="2" t="inlineStr"/>
    </row>
    <row r="982" ht="15" customHeight="1">
      <c r="A982" t="inlineStr">
        <is>
          <t>A 32718-2024</t>
        </is>
      </c>
      <c r="B982" s="1" t="n">
        <v>45516</v>
      </c>
      <c r="C982" s="1" t="n">
        <v>45795</v>
      </c>
      <c r="D982" t="inlineStr">
        <is>
          <t>DALARNAS LÄN</t>
        </is>
      </c>
      <c r="E982" t="inlineStr">
        <is>
          <t>MORA</t>
        </is>
      </c>
      <c r="G982" t="n">
        <v>1.8</v>
      </c>
      <c r="H982" t="n">
        <v>0</v>
      </c>
      <c r="I982" t="n">
        <v>0</v>
      </c>
      <c r="J982" t="n">
        <v>0</v>
      </c>
      <c r="K982" t="n">
        <v>0</v>
      </c>
      <c r="L982" t="n">
        <v>0</v>
      </c>
      <c r="M982" t="n">
        <v>0</v>
      </c>
      <c r="N982" t="n">
        <v>0</v>
      </c>
      <c r="O982" t="n">
        <v>0</v>
      </c>
      <c r="P982" t="n">
        <v>0</v>
      </c>
      <c r="Q982" t="n">
        <v>0</v>
      </c>
      <c r="R982" s="2" t="inlineStr"/>
    </row>
    <row r="983" ht="15" customHeight="1">
      <c r="A983" t="inlineStr">
        <is>
          <t>A 33501-2024</t>
        </is>
      </c>
      <c r="B983" s="1" t="n">
        <v>45519</v>
      </c>
      <c r="C983" s="1" t="n">
        <v>45795</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33510-2024</t>
        </is>
      </c>
      <c r="B984" s="1" t="n">
        <v>45519</v>
      </c>
      <c r="C984" s="1" t="n">
        <v>45795</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33414-2024</t>
        </is>
      </c>
      <c r="B985" s="1" t="n">
        <v>45519</v>
      </c>
      <c r="C985" s="1" t="n">
        <v>45795</v>
      </c>
      <c r="D985" t="inlineStr">
        <is>
          <t>DALARNAS LÄN</t>
        </is>
      </c>
      <c r="E985" t="inlineStr">
        <is>
          <t>MORA</t>
        </is>
      </c>
      <c r="G985" t="n">
        <v>7.3</v>
      </c>
      <c r="H985" t="n">
        <v>0</v>
      </c>
      <c r="I985" t="n">
        <v>0</v>
      </c>
      <c r="J985" t="n">
        <v>0</v>
      </c>
      <c r="K985" t="n">
        <v>0</v>
      </c>
      <c r="L985" t="n">
        <v>0</v>
      </c>
      <c r="M985" t="n">
        <v>0</v>
      </c>
      <c r="N985" t="n">
        <v>0</v>
      </c>
      <c r="O985" t="n">
        <v>0</v>
      </c>
      <c r="P985" t="n">
        <v>0</v>
      </c>
      <c r="Q985" t="n">
        <v>0</v>
      </c>
      <c r="R985" s="2" t="inlineStr"/>
    </row>
    <row r="986" ht="15" customHeight="1">
      <c r="A986" t="inlineStr">
        <is>
          <t>A 33531-2024</t>
        </is>
      </c>
      <c r="B986" s="1" t="n">
        <v>45519</v>
      </c>
      <c r="C986" s="1" t="n">
        <v>45795</v>
      </c>
      <c r="D986" t="inlineStr">
        <is>
          <t>DALARNAS LÄN</t>
        </is>
      </c>
      <c r="E986" t="inlineStr">
        <is>
          <t>MORA</t>
        </is>
      </c>
      <c r="G986" t="n">
        <v>14.8</v>
      </c>
      <c r="H986" t="n">
        <v>0</v>
      </c>
      <c r="I986" t="n">
        <v>0</v>
      </c>
      <c r="J986" t="n">
        <v>0</v>
      </c>
      <c r="K986" t="n">
        <v>0</v>
      </c>
      <c r="L986" t="n">
        <v>0</v>
      </c>
      <c r="M986" t="n">
        <v>0</v>
      </c>
      <c r="N986" t="n">
        <v>0</v>
      </c>
      <c r="O986" t="n">
        <v>0</v>
      </c>
      <c r="P986" t="n">
        <v>0</v>
      </c>
      <c r="Q986" t="n">
        <v>0</v>
      </c>
      <c r="R986" s="2" t="inlineStr"/>
    </row>
    <row r="987" ht="15" customHeight="1">
      <c r="A987" t="inlineStr">
        <is>
          <t>A 33513-2024</t>
        </is>
      </c>
      <c r="B987" s="1" t="n">
        <v>45519</v>
      </c>
      <c r="C987" s="1" t="n">
        <v>45795</v>
      </c>
      <c r="D987" t="inlineStr">
        <is>
          <t>DALARNAS LÄN</t>
        </is>
      </c>
      <c r="E987" t="inlineStr">
        <is>
          <t>MORA</t>
        </is>
      </c>
      <c r="G987" t="n">
        <v>5.9</v>
      </c>
      <c r="H987" t="n">
        <v>0</v>
      </c>
      <c r="I987" t="n">
        <v>0</v>
      </c>
      <c r="J987" t="n">
        <v>0</v>
      </c>
      <c r="K987" t="n">
        <v>0</v>
      </c>
      <c r="L987" t="n">
        <v>0</v>
      </c>
      <c r="M987" t="n">
        <v>0</v>
      </c>
      <c r="N987" t="n">
        <v>0</v>
      </c>
      <c r="O987" t="n">
        <v>0</v>
      </c>
      <c r="P987" t="n">
        <v>0</v>
      </c>
      <c r="Q987" t="n">
        <v>0</v>
      </c>
      <c r="R987" s="2" t="inlineStr"/>
    </row>
    <row r="988" ht="15" customHeight="1">
      <c r="A988" t="inlineStr">
        <is>
          <t>A 33627-2024</t>
        </is>
      </c>
      <c r="B988" s="1" t="n">
        <v>45520</v>
      </c>
      <c r="C988" s="1" t="n">
        <v>45795</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33666-2024</t>
        </is>
      </c>
      <c r="B989" s="1" t="n">
        <v>45520</v>
      </c>
      <c r="C989" s="1" t="n">
        <v>45795</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33937-2024</t>
        </is>
      </c>
      <c r="B990" s="1" t="n">
        <v>45523</v>
      </c>
      <c r="C990" s="1" t="n">
        <v>45795</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34282-2024</t>
        </is>
      </c>
      <c r="B991" s="1" t="n">
        <v>45524</v>
      </c>
      <c r="C991" s="1" t="n">
        <v>45795</v>
      </c>
      <c r="D991" t="inlineStr">
        <is>
          <t>DALARNAS LÄN</t>
        </is>
      </c>
      <c r="E991" t="inlineStr">
        <is>
          <t>MORA</t>
        </is>
      </c>
      <c r="G991" t="n">
        <v>0.5</v>
      </c>
      <c r="H991" t="n">
        <v>0</v>
      </c>
      <c r="I991" t="n">
        <v>0</v>
      </c>
      <c r="J991" t="n">
        <v>0</v>
      </c>
      <c r="K991" t="n">
        <v>0</v>
      </c>
      <c r="L991" t="n">
        <v>0</v>
      </c>
      <c r="M991" t="n">
        <v>0</v>
      </c>
      <c r="N991" t="n">
        <v>0</v>
      </c>
      <c r="O991" t="n">
        <v>0</v>
      </c>
      <c r="P991" t="n">
        <v>0</v>
      </c>
      <c r="Q991" t="n">
        <v>0</v>
      </c>
      <c r="R991" s="2" t="inlineStr"/>
    </row>
    <row r="992" ht="15" customHeight="1">
      <c r="A992" t="inlineStr">
        <is>
          <t>A 34270-2024</t>
        </is>
      </c>
      <c r="B992" s="1" t="n">
        <v>45524</v>
      </c>
      <c r="C992" s="1" t="n">
        <v>45795</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34248-2024</t>
        </is>
      </c>
      <c r="B993" s="1" t="n">
        <v>45524</v>
      </c>
      <c r="C993" s="1" t="n">
        <v>45795</v>
      </c>
      <c r="D993" t="inlineStr">
        <is>
          <t>DALARNAS LÄN</t>
        </is>
      </c>
      <c r="E993" t="inlineStr">
        <is>
          <t>MORA</t>
        </is>
      </c>
      <c r="G993" t="n">
        <v>3.3</v>
      </c>
      <c r="H993" t="n">
        <v>0</v>
      </c>
      <c r="I993" t="n">
        <v>0</v>
      </c>
      <c r="J993" t="n">
        <v>0</v>
      </c>
      <c r="K993" t="n">
        <v>0</v>
      </c>
      <c r="L993" t="n">
        <v>0</v>
      </c>
      <c r="M993" t="n">
        <v>0</v>
      </c>
      <c r="N993" t="n">
        <v>0</v>
      </c>
      <c r="O993" t="n">
        <v>0</v>
      </c>
      <c r="P993" t="n">
        <v>0</v>
      </c>
      <c r="Q993" t="n">
        <v>0</v>
      </c>
      <c r="R993" s="2" t="inlineStr"/>
    </row>
    <row r="994" ht="15" customHeight="1">
      <c r="A994" t="inlineStr">
        <is>
          <t>A 34268-2024</t>
        </is>
      </c>
      <c r="B994" s="1" t="n">
        <v>45524</v>
      </c>
      <c r="C994" s="1" t="n">
        <v>45795</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34272-2024</t>
        </is>
      </c>
      <c r="B995" s="1" t="n">
        <v>45524</v>
      </c>
      <c r="C995" s="1" t="n">
        <v>45795</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34277-2024</t>
        </is>
      </c>
      <c r="B996" s="1" t="n">
        <v>45524</v>
      </c>
      <c r="C996" s="1" t="n">
        <v>45795</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34288-2024</t>
        </is>
      </c>
      <c r="B997" s="1" t="n">
        <v>45524</v>
      </c>
      <c r="C997" s="1" t="n">
        <v>45795</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34292-2024</t>
        </is>
      </c>
      <c r="B998" s="1" t="n">
        <v>45524</v>
      </c>
      <c r="C998" s="1" t="n">
        <v>45795</v>
      </c>
      <c r="D998" t="inlineStr">
        <is>
          <t>DALARNAS LÄN</t>
        </is>
      </c>
      <c r="E998" t="inlineStr">
        <is>
          <t>MORA</t>
        </is>
      </c>
      <c r="G998" t="n">
        <v>1.7</v>
      </c>
      <c r="H998" t="n">
        <v>0</v>
      </c>
      <c r="I998" t="n">
        <v>0</v>
      </c>
      <c r="J998" t="n">
        <v>0</v>
      </c>
      <c r="K998" t="n">
        <v>0</v>
      </c>
      <c r="L998" t="n">
        <v>0</v>
      </c>
      <c r="M998" t="n">
        <v>0</v>
      </c>
      <c r="N998" t="n">
        <v>0</v>
      </c>
      <c r="O998" t="n">
        <v>0</v>
      </c>
      <c r="P998" t="n">
        <v>0</v>
      </c>
      <c r="Q998" t="n">
        <v>0</v>
      </c>
      <c r="R998" s="2" t="inlineStr"/>
    </row>
    <row r="999" ht="15" customHeight="1">
      <c r="A999" t="inlineStr">
        <is>
          <t>A 35287-2024</t>
        </is>
      </c>
      <c r="B999" s="1" t="n">
        <v>45530</v>
      </c>
      <c r="C999" s="1" t="n">
        <v>45795</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35176-2024</t>
        </is>
      </c>
      <c r="B1000" s="1" t="n">
        <v>45530</v>
      </c>
      <c r="C1000" s="1" t="n">
        <v>45795</v>
      </c>
      <c r="D1000" t="inlineStr">
        <is>
          <t>DALARNAS LÄN</t>
        </is>
      </c>
      <c r="E1000" t="inlineStr">
        <is>
          <t>MORA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35327-2024</t>
        </is>
      </c>
      <c r="B1001" s="1" t="n">
        <v>45530</v>
      </c>
      <c r="C1001" s="1" t="n">
        <v>45795</v>
      </c>
      <c r="D1001" t="inlineStr">
        <is>
          <t>DALARNAS LÄN</t>
        </is>
      </c>
      <c r="E1001" t="inlineStr">
        <is>
          <t>MORA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35259-2024</t>
        </is>
      </c>
      <c r="B1002" s="1" t="n">
        <v>45530</v>
      </c>
      <c r="C1002" s="1" t="n">
        <v>45795</v>
      </c>
      <c r="D1002" t="inlineStr">
        <is>
          <t>DALARNAS LÄN</t>
        </is>
      </c>
      <c r="E1002" t="inlineStr">
        <is>
          <t>MORA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35325-2024</t>
        </is>
      </c>
      <c r="B1003" s="1" t="n">
        <v>45530</v>
      </c>
      <c r="C1003" s="1" t="n">
        <v>45795</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35278-2024</t>
        </is>
      </c>
      <c r="B1004" s="1" t="n">
        <v>45530</v>
      </c>
      <c r="C1004" s="1" t="n">
        <v>45795</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35363-2024</t>
        </is>
      </c>
      <c r="B1005" s="1" t="n">
        <v>45531</v>
      </c>
      <c r="C1005" s="1" t="n">
        <v>45795</v>
      </c>
      <c r="D1005" t="inlineStr">
        <is>
          <t>DALARNAS LÄN</t>
        </is>
      </c>
      <c r="E1005" t="inlineStr">
        <is>
          <t>MORA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35381-2024</t>
        </is>
      </c>
      <c r="B1006" s="1" t="n">
        <v>45531</v>
      </c>
      <c r="C1006" s="1" t="n">
        <v>45795</v>
      </c>
      <c r="D1006" t="inlineStr">
        <is>
          <t>DALARNAS LÄN</t>
        </is>
      </c>
      <c r="E1006" t="inlineStr">
        <is>
          <t>MORA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35897-2024</t>
        </is>
      </c>
      <c r="B1007" s="1" t="n">
        <v>45533</v>
      </c>
      <c r="C1007" s="1" t="n">
        <v>45795</v>
      </c>
      <c r="D1007" t="inlineStr">
        <is>
          <t>DALARNAS LÄN</t>
        </is>
      </c>
      <c r="E1007" t="inlineStr">
        <is>
          <t>MORA</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36038-2024</t>
        </is>
      </c>
      <c r="B1008" s="1" t="n">
        <v>45533</v>
      </c>
      <c r="C1008" s="1" t="n">
        <v>45795</v>
      </c>
      <c r="D1008" t="inlineStr">
        <is>
          <t>DALARNAS LÄN</t>
        </is>
      </c>
      <c r="E1008" t="inlineStr">
        <is>
          <t>MORA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36058-2024</t>
        </is>
      </c>
      <c r="B1009" s="1" t="n">
        <v>45533</v>
      </c>
      <c r="C1009" s="1" t="n">
        <v>45795</v>
      </c>
      <c r="D1009" t="inlineStr">
        <is>
          <t>DALARNAS LÄN</t>
        </is>
      </c>
      <c r="E1009" t="inlineStr">
        <is>
          <t>MORA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35952-2024</t>
        </is>
      </c>
      <c r="B1010" s="1" t="n">
        <v>45533</v>
      </c>
      <c r="C1010" s="1" t="n">
        <v>45795</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36277-2024</t>
        </is>
      </c>
      <c r="B1011" s="1" t="n">
        <v>45534</v>
      </c>
      <c r="C1011" s="1" t="n">
        <v>45795</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36502-2024</t>
        </is>
      </c>
      <c r="B1012" s="1" t="n">
        <v>45537</v>
      </c>
      <c r="C1012" s="1" t="n">
        <v>45795</v>
      </c>
      <c r="D1012" t="inlineStr">
        <is>
          <t>DALARNAS LÄN</t>
        </is>
      </c>
      <c r="E1012" t="inlineStr">
        <is>
          <t>MORA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36659-2024</t>
        </is>
      </c>
      <c r="B1013" s="1" t="n">
        <v>45537</v>
      </c>
      <c r="C1013" s="1" t="n">
        <v>45795</v>
      </c>
      <c r="D1013" t="inlineStr">
        <is>
          <t>DALARNAS LÄN</t>
        </is>
      </c>
      <c r="E1013" t="inlineStr">
        <is>
          <t>MORA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37471-2024</t>
        </is>
      </c>
      <c r="B1014" s="1" t="n">
        <v>45540</v>
      </c>
      <c r="C1014" s="1" t="n">
        <v>45795</v>
      </c>
      <c r="D1014" t="inlineStr">
        <is>
          <t>DALARNAS LÄN</t>
        </is>
      </c>
      <c r="E1014" t="inlineStr">
        <is>
          <t>MORA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37695-2024</t>
        </is>
      </c>
      <c r="B1015" s="1" t="n">
        <v>45541</v>
      </c>
      <c r="C1015" s="1" t="n">
        <v>45795</v>
      </c>
      <c r="D1015" t="inlineStr">
        <is>
          <t>DALARNAS LÄN</t>
        </is>
      </c>
      <c r="E1015" t="inlineStr">
        <is>
          <t>MORA</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37750-2024</t>
        </is>
      </c>
      <c r="B1016" s="1" t="n">
        <v>45541</v>
      </c>
      <c r="C1016" s="1" t="n">
        <v>45795</v>
      </c>
      <c r="D1016" t="inlineStr">
        <is>
          <t>DALARNAS LÄN</t>
        </is>
      </c>
      <c r="E1016" t="inlineStr">
        <is>
          <t>MORA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37860-2024</t>
        </is>
      </c>
      <c r="B1017" s="1" t="n">
        <v>45544</v>
      </c>
      <c r="C1017" s="1" t="n">
        <v>45795</v>
      </c>
      <c r="D1017" t="inlineStr">
        <is>
          <t>DALARNAS LÄN</t>
        </is>
      </c>
      <c r="E1017" t="inlineStr">
        <is>
          <t>MORA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37971-2024</t>
        </is>
      </c>
      <c r="B1018" s="1" t="n">
        <v>45544</v>
      </c>
      <c r="C1018" s="1" t="n">
        <v>45795</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38055-2024</t>
        </is>
      </c>
      <c r="B1019" s="1" t="n">
        <v>45544</v>
      </c>
      <c r="C1019" s="1" t="n">
        <v>45795</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38203-2024</t>
        </is>
      </c>
      <c r="B1020" s="1" t="n">
        <v>45545</v>
      </c>
      <c r="C1020" s="1" t="n">
        <v>45795</v>
      </c>
      <c r="D1020" t="inlineStr">
        <is>
          <t>DALARNAS LÄN</t>
        </is>
      </c>
      <c r="E1020" t="inlineStr">
        <is>
          <t>MORA</t>
        </is>
      </c>
      <c r="G1020" t="n">
        <v>22.7</v>
      </c>
      <c r="H1020" t="n">
        <v>0</v>
      </c>
      <c r="I1020" t="n">
        <v>0</v>
      </c>
      <c r="J1020" t="n">
        <v>0</v>
      </c>
      <c r="K1020" t="n">
        <v>0</v>
      </c>
      <c r="L1020" t="n">
        <v>0</v>
      </c>
      <c r="M1020" t="n">
        <v>0</v>
      </c>
      <c r="N1020" t="n">
        <v>0</v>
      </c>
      <c r="O1020" t="n">
        <v>0</v>
      </c>
      <c r="P1020" t="n">
        <v>0</v>
      </c>
      <c r="Q1020" t="n">
        <v>0</v>
      </c>
      <c r="R1020" s="2" t="inlineStr"/>
    </row>
    <row r="1021" ht="15" customHeight="1">
      <c r="A1021" t="inlineStr">
        <is>
          <t>A 38563-2024</t>
        </is>
      </c>
      <c r="B1021" s="1" t="n">
        <v>45546</v>
      </c>
      <c r="C1021" s="1" t="n">
        <v>45795</v>
      </c>
      <c r="D1021" t="inlineStr">
        <is>
          <t>DALARNAS LÄN</t>
        </is>
      </c>
      <c r="E1021" t="inlineStr">
        <is>
          <t>MORA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38884-2024</t>
        </is>
      </c>
      <c r="B1022" s="1" t="n">
        <v>45547</v>
      </c>
      <c r="C1022" s="1" t="n">
        <v>45795</v>
      </c>
      <c r="D1022" t="inlineStr">
        <is>
          <t>DALARNAS LÄN</t>
        </is>
      </c>
      <c r="E1022" t="inlineStr">
        <is>
          <t>MORA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39328-2024</t>
        </is>
      </c>
      <c r="B1023" s="1" t="n">
        <v>45551</v>
      </c>
      <c r="C1023" s="1" t="n">
        <v>45795</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39344-2024</t>
        </is>
      </c>
      <c r="B1024" s="1" t="n">
        <v>45551</v>
      </c>
      <c r="C1024" s="1" t="n">
        <v>45795</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39348-2024</t>
        </is>
      </c>
      <c r="B1025" s="1" t="n">
        <v>45551</v>
      </c>
      <c r="C1025" s="1" t="n">
        <v>45795</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39453-2024</t>
        </is>
      </c>
      <c r="B1026" s="1" t="n">
        <v>45551</v>
      </c>
      <c r="C1026" s="1" t="n">
        <v>45795</v>
      </c>
      <c r="D1026" t="inlineStr">
        <is>
          <t>DALARNAS LÄN</t>
        </is>
      </c>
      <c r="E1026" t="inlineStr">
        <is>
          <t>MORA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39325-2024</t>
        </is>
      </c>
      <c r="B1027" s="1" t="n">
        <v>45551</v>
      </c>
      <c r="C1027" s="1" t="n">
        <v>45795</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39511-2024</t>
        </is>
      </c>
      <c r="B1028" s="1" t="n">
        <v>45551</v>
      </c>
      <c r="C1028" s="1" t="n">
        <v>45795</v>
      </c>
      <c r="D1028" t="inlineStr">
        <is>
          <t>DALARNAS LÄN</t>
        </is>
      </c>
      <c r="E1028" t="inlineStr">
        <is>
          <t>MORA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39671-2024</t>
        </is>
      </c>
      <c r="B1029" s="1" t="n">
        <v>45552</v>
      </c>
      <c r="C1029" s="1" t="n">
        <v>45795</v>
      </c>
      <c r="D1029" t="inlineStr">
        <is>
          <t>DALARNAS LÄN</t>
        </is>
      </c>
      <c r="E1029" t="inlineStr">
        <is>
          <t>MORA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39856-2024</t>
        </is>
      </c>
      <c r="B1030" s="1" t="n">
        <v>45553</v>
      </c>
      <c r="C1030" s="1" t="n">
        <v>45795</v>
      </c>
      <c r="D1030" t="inlineStr">
        <is>
          <t>DALARNAS LÄN</t>
        </is>
      </c>
      <c r="E1030" t="inlineStr">
        <is>
          <t>MORA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39888-2024</t>
        </is>
      </c>
      <c r="B1031" s="1" t="n">
        <v>45553</v>
      </c>
      <c r="C1031" s="1" t="n">
        <v>45795</v>
      </c>
      <c r="D1031" t="inlineStr">
        <is>
          <t>DALARNAS LÄN</t>
        </is>
      </c>
      <c r="E1031" t="inlineStr">
        <is>
          <t>MORA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39882-2024</t>
        </is>
      </c>
      <c r="B1032" s="1" t="n">
        <v>45553</v>
      </c>
      <c r="C1032" s="1" t="n">
        <v>45795</v>
      </c>
      <c r="D1032" t="inlineStr">
        <is>
          <t>DALARNAS LÄN</t>
        </is>
      </c>
      <c r="E1032" t="inlineStr">
        <is>
          <t>MORA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40286-2024</t>
        </is>
      </c>
      <c r="B1033" s="1" t="n">
        <v>45554</v>
      </c>
      <c r="C1033" s="1" t="n">
        <v>45795</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40325-2024</t>
        </is>
      </c>
      <c r="B1034" s="1" t="n">
        <v>45554</v>
      </c>
      <c r="C1034" s="1" t="n">
        <v>45795</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40771-2024</t>
        </is>
      </c>
      <c r="B1035" s="1" t="n">
        <v>45558</v>
      </c>
      <c r="C1035" s="1" t="n">
        <v>45795</v>
      </c>
      <c r="D1035" t="inlineStr">
        <is>
          <t>DALARNAS LÄN</t>
        </is>
      </c>
      <c r="E1035" t="inlineStr">
        <is>
          <t>MORA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41298-2024</t>
        </is>
      </c>
      <c r="B1036" s="1" t="n">
        <v>45559</v>
      </c>
      <c r="C1036" s="1" t="n">
        <v>45795</v>
      </c>
      <c r="D1036" t="inlineStr">
        <is>
          <t>DALARNAS LÄN</t>
        </is>
      </c>
      <c r="E1036" t="inlineStr">
        <is>
          <t>MORA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41812-2024</t>
        </is>
      </c>
      <c r="B1037" s="1" t="n">
        <v>45561</v>
      </c>
      <c r="C1037" s="1" t="n">
        <v>45795</v>
      </c>
      <c r="D1037" t="inlineStr">
        <is>
          <t>DALARNAS LÄN</t>
        </is>
      </c>
      <c r="E1037" t="inlineStr">
        <is>
          <t>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41897-2024</t>
        </is>
      </c>
      <c r="B1038" s="1" t="n">
        <v>45561</v>
      </c>
      <c r="C1038" s="1" t="n">
        <v>45795</v>
      </c>
      <c r="D1038" t="inlineStr">
        <is>
          <t>DALARNAS LÄN</t>
        </is>
      </c>
      <c r="E1038" t="inlineStr">
        <is>
          <t>MORA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42085-2024</t>
        </is>
      </c>
      <c r="B1039" s="1" t="n">
        <v>45562</v>
      </c>
      <c r="C1039" s="1" t="n">
        <v>45795</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42285-2024</t>
        </is>
      </c>
      <c r="B1040" s="1" t="n">
        <v>45562</v>
      </c>
      <c r="C1040" s="1" t="n">
        <v>45795</v>
      </c>
      <c r="D1040" t="inlineStr">
        <is>
          <t>DALARNAS LÄN</t>
        </is>
      </c>
      <c r="E1040" t="inlineStr">
        <is>
          <t>MORA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42408-2024</t>
        </is>
      </c>
      <c r="B1041" s="1" t="n">
        <v>45565</v>
      </c>
      <c r="C1041" s="1" t="n">
        <v>45795</v>
      </c>
      <c r="D1041" t="inlineStr">
        <is>
          <t>DALARNAS LÄN</t>
        </is>
      </c>
      <c r="E1041" t="inlineStr">
        <is>
          <t>MORA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42670-2024</t>
        </is>
      </c>
      <c r="B1042" s="1" t="n">
        <v>45566</v>
      </c>
      <c r="C1042" s="1" t="n">
        <v>45795</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42932-2024</t>
        </is>
      </c>
      <c r="B1043" s="1" t="n">
        <v>45567</v>
      </c>
      <c r="C1043" s="1" t="n">
        <v>45795</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43053-2024</t>
        </is>
      </c>
      <c r="B1044" s="1" t="n">
        <v>45567</v>
      </c>
      <c r="C1044" s="1" t="n">
        <v>45795</v>
      </c>
      <c r="D1044" t="inlineStr">
        <is>
          <t>DALARNAS LÄN</t>
        </is>
      </c>
      <c r="E1044" t="inlineStr">
        <is>
          <t>MORA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42928-2024</t>
        </is>
      </c>
      <c r="B1045" s="1" t="n">
        <v>45567</v>
      </c>
      <c r="C1045" s="1" t="n">
        <v>45795</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42941-2024</t>
        </is>
      </c>
      <c r="B1046" s="1" t="n">
        <v>45567</v>
      </c>
      <c r="C1046" s="1" t="n">
        <v>45795</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42943-2024</t>
        </is>
      </c>
      <c r="B1047" s="1" t="n">
        <v>45567</v>
      </c>
      <c r="C1047" s="1" t="n">
        <v>45795</v>
      </c>
      <c r="D1047" t="inlineStr">
        <is>
          <t>DALARNAS LÄN</t>
        </is>
      </c>
      <c r="E1047" t="inlineStr">
        <is>
          <t>MORA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42934-2024</t>
        </is>
      </c>
      <c r="B1048" s="1" t="n">
        <v>45567</v>
      </c>
      <c r="C1048" s="1" t="n">
        <v>45795</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42930-2024</t>
        </is>
      </c>
      <c r="B1049" s="1" t="n">
        <v>45567</v>
      </c>
      <c r="C1049" s="1" t="n">
        <v>45795</v>
      </c>
      <c r="D1049" t="inlineStr">
        <is>
          <t>DALARNAS LÄN</t>
        </is>
      </c>
      <c r="E1049" t="inlineStr">
        <is>
          <t>MORA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43436-2024</t>
        </is>
      </c>
      <c r="B1050" s="1" t="n">
        <v>45568</v>
      </c>
      <c r="C1050" s="1" t="n">
        <v>45795</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43432-2024</t>
        </is>
      </c>
      <c r="B1051" s="1" t="n">
        <v>45568</v>
      </c>
      <c r="C1051" s="1" t="n">
        <v>45795</v>
      </c>
      <c r="D1051" t="inlineStr">
        <is>
          <t>DALARNAS LÄN</t>
        </is>
      </c>
      <c r="E1051" t="inlineStr">
        <is>
          <t>MORA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43335-2024</t>
        </is>
      </c>
      <c r="B1052" s="1" t="n">
        <v>45568</v>
      </c>
      <c r="C1052" s="1" t="n">
        <v>45795</v>
      </c>
      <c r="D1052" t="inlineStr">
        <is>
          <t>DALARNAS LÄN</t>
        </is>
      </c>
      <c r="E1052" t="inlineStr">
        <is>
          <t>MORA</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43333-2024</t>
        </is>
      </c>
      <c r="B1053" s="1" t="n">
        <v>45568</v>
      </c>
      <c r="C1053" s="1" t="n">
        <v>45795</v>
      </c>
      <c r="D1053" t="inlineStr">
        <is>
          <t>DALARNAS LÄN</t>
        </is>
      </c>
      <c r="E1053" t="inlineStr">
        <is>
          <t>MORA</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43528-2024</t>
        </is>
      </c>
      <c r="B1054" s="1" t="n">
        <v>45569</v>
      </c>
      <c r="C1054" s="1" t="n">
        <v>45795</v>
      </c>
      <c r="D1054" t="inlineStr">
        <is>
          <t>DALARNAS LÄN</t>
        </is>
      </c>
      <c r="E1054" t="inlineStr">
        <is>
          <t>MORA</t>
        </is>
      </c>
      <c r="G1054" t="n">
        <v>31.7</v>
      </c>
      <c r="H1054" t="n">
        <v>0</v>
      </c>
      <c r="I1054" t="n">
        <v>0</v>
      </c>
      <c r="J1054" t="n">
        <v>0</v>
      </c>
      <c r="K1054" t="n">
        <v>0</v>
      </c>
      <c r="L1054" t="n">
        <v>0</v>
      </c>
      <c r="M1054" t="n">
        <v>0</v>
      </c>
      <c r="N1054" t="n">
        <v>0</v>
      </c>
      <c r="O1054" t="n">
        <v>0</v>
      </c>
      <c r="P1054" t="n">
        <v>0</v>
      </c>
      <c r="Q1054" t="n">
        <v>0</v>
      </c>
      <c r="R1054" s="2" t="inlineStr"/>
    </row>
    <row r="1055" ht="15" customHeight="1">
      <c r="A1055" t="inlineStr">
        <is>
          <t>A 43873-2024</t>
        </is>
      </c>
      <c r="B1055" s="1" t="n">
        <v>45572</v>
      </c>
      <c r="C1055" s="1" t="n">
        <v>45795</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43964-2024</t>
        </is>
      </c>
      <c r="B1056" s="1" t="n">
        <v>45572</v>
      </c>
      <c r="C1056" s="1" t="n">
        <v>45795</v>
      </c>
      <c r="D1056" t="inlineStr">
        <is>
          <t>DALARNAS LÄN</t>
        </is>
      </c>
      <c r="E1056" t="inlineStr">
        <is>
          <t>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43874-2024</t>
        </is>
      </c>
      <c r="B1057" s="1" t="n">
        <v>45572</v>
      </c>
      <c r="C1057" s="1" t="n">
        <v>45795</v>
      </c>
      <c r="D1057" t="inlineStr">
        <is>
          <t>DALARNAS LÄN</t>
        </is>
      </c>
      <c r="E1057" t="inlineStr">
        <is>
          <t>MORA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44071-2024</t>
        </is>
      </c>
      <c r="B1058" s="1" t="n">
        <v>45572</v>
      </c>
      <c r="C1058" s="1" t="n">
        <v>45795</v>
      </c>
      <c r="D1058" t="inlineStr">
        <is>
          <t>DALARNAS LÄN</t>
        </is>
      </c>
      <c r="E1058" t="inlineStr">
        <is>
          <t>MORA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44258-2024</t>
        </is>
      </c>
      <c r="B1059" s="1" t="n">
        <v>45573</v>
      </c>
      <c r="C1059" s="1" t="n">
        <v>45795</v>
      </c>
      <c r="D1059" t="inlineStr">
        <is>
          <t>DALARNAS LÄN</t>
        </is>
      </c>
      <c r="E1059" t="inlineStr">
        <is>
          <t>MORA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44351-2024</t>
        </is>
      </c>
      <c r="B1060" s="1" t="n">
        <v>45573</v>
      </c>
      <c r="C1060" s="1" t="n">
        <v>45795</v>
      </c>
      <c r="D1060" t="inlineStr">
        <is>
          <t>DALARNAS LÄN</t>
        </is>
      </c>
      <c r="E1060" t="inlineStr">
        <is>
          <t>MORA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45674-2024</t>
        </is>
      </c>
      <c r="B1061" s="1" t="n">
        <v>45573</v>
      </c>
      <c r="C1061" s="1" t="n">
        <v>45795</v>
      </c>
      <c r="D1061" t="inlineStr">
        <is>
          <t>DALARNAS LÄN</t>
        </is>
      </c>
      <c r="E1061" t="inlineStr">
        <is>
          <t>MORA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44595-2024</t>
        </is>
      </c>
      <c r="B1062" s="1" t="n">
        <v>45574</v>
      </c>
      <c r="C1062" s="1" t="n">
        <v>45795</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45057-2024</t>
        </is>
      </c>
      <c r="B1063" s="1" t="n">
        <v>45575</v>
      </c>
      <c r="C1063" s="1" t="n">
        <v>45795</v>
      </c>
      <c r="D1063" t="inlineStr">
        <is>
          <t>DALARNAS LÄN</t>
        </is>
      </c>
      <c r="E1063" t="inlineStr">
        <is>
          <t>MORA</t>
        </is>
      </c>
      <c r="F1063" t="inlineStr">
        <is>
          <t>Bergvik skog öst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45335-2024</t>
        </is>
      </c>
      <c r="B1064" s="1" t="n">
        <v>45576</v>
      </c>
      <c r="C1064" s="1" t="n">
        <v>45795</v>
      </c>
      <c r="D1064" t="inlineStr">
        <is>
          <t>DALARNAS LÄN</t>
        </is>
      </c>
      <c r="E1064" t="inlineStr">
        <is>
          <t>MORA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45339-2024</t>
        </is>
      </c>
      <c r="B1065" s="1" t="n">
        <v>45576</v>
      </c>
      <c r="C1065" s="1" t="n">
        <v>45795</v>
      </c>
      <c r="D1065" t="inlineStr">
        <is>
          <t>DALARNAS LÄN</t>
        </is>
      </c>
      <c r="E1065" t="inlineStr">
        <is>
          <t>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45390-2024</t>
        </is>
      </c>
      <c r="B1066" s="1" t="n">
        <v>45576</v>
      </c>
      <c r="C1066" s="1" t="n">
        <v>45795</v>
      </c>
      <c r="D1066" t="inlineStr">
        <is>
          <t>DALARNAS LÄN</t>
        </is>
      </c>
      <c r="E1066" t="inlineStr">
        <is>
          <t>MORA</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45378-2024</t>
        </is>
      </c>
      <c r="B1067" s="1" t="n">
        <v>45576</v>
      </c>
      <c r="C1067" s="1" t="n">
        <v>45795</v>
      </c>
      <c r="D1067" t="inlineStr">
        <is>
          <t>DALARNAS LÄN</t>
        </is>
      </c>
      <c r="E1067" t="inlineStr">
        <is>
          <t>MORA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45315-2024</t>
        </is>
      </c>
      <c r="B1068" s="1" t="n">
        <v>45576</v>
      </c>
      <c r="C1068" s="1" t="n">
        <v>45795</v>
      </c>
      <c r="D1068" t="inlineStr">
        <is>
          <t>DALARNAS LÄN</t>
        </is>
      </c>
      <c r="E1068" t="inlineStr">
        <is>
          <t>MORA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45291-2024</t>
        </is>
      </c>
      <c r="B1069" s="1" t="n">
        <v>45576</v>
      </c>
      <c r="C1069" s="1" t="n">
        <v>45795</v>
      </c>
      <c r="D1069" t="inlineStr">
        <is>
          <t>DALARNAS LÄN</t>
        </is>
      </c>
      <c r="E1069" t="inlineStr">
        <is>
          <t>MORA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45863-2024</t>
        </is>
      </c>
      <c r="B1070" s="1" t="n">
        <v>45580</v>
      </c>
      <c r="C1070" s="1" t="n">
        <v>45795</v>
      </c>
      <c r="D1070" t="inlineStr">
        <is>
          <t>DALARNAS LÄN</t>
        </is>
      </c>
      <c r="E1070" t="inlineStr">
        <is>
          <t>MORA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45867-2024</t>
        </is>
      </c>
      <c r="B1071" s="1" t="n">
        <v>45580</v>
      </c>
      <c r="C1071" s="1" t="n">
        <v>45795</v>
      </c>
      <c r="D1071" t="inlineStr">
        <is>
          <t>DALARNAS LÄN</t>
        </is>
      </c>
      <c r="E1071" t="inlineStr">
        <is>
          <t>MORA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46129-2024</t>
        </is>
      </c>
      <c r="B1072" s="1" t="n">
        <v>45581</v>
      </c>
      <c r="C1072" s="1" t="n">
        <v>45795</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46417-2024</t>
        </is>
      </c>
      <c r="B1073" s="1" t="n">
        <v>45582</v>
      </c>
      <c r="C1073" s="1" t="n">
        <v>45795</v>
      </c>
      <c r="D1073" t="inlineStr">
        <is>
          <t>DALARNAS LÄN</t>
        </is>
      </c>
      <c r="E1073" t="inlineStr">
        <is>
          <t>MORA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46414-2024</t>
        </is>
      </c>
      <c r="B1074" s="1" t="n">
        <v>45582</v>
      </c>
      <c r="C1074" s="1" t="n">
        <v>45795</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46412-2024</t>
        </is>
      </c>
      <c r="B1075" s="1" t="n">
        <v>45582</v>
      </c>
      <c r="C1075" s="1" t="n">
        <v>45795</v>
      </c>
      <c r="D1075" t="inlineStr">
        <is>
          <t>DALARNAS LÄN</t>
        </is>
      </c>
      <c r="E1075" t="inlineStr">
        <is>
          <t>MORA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46923-2024</t>
        </is>
      </c>
      <c r="B1076" s="1" t="n">
        <v>45584</v>
      </c>
      <c r="C1076" s="1" t="n">
        <v>45795</v>
      </c>
      <c r="D1076" t="inlineStr">
        <is>
          <t>DALARNAS LÄN</t>
        </is>
      </c>
      <c r="E1076" t="inlineStr">
        <is>
          <t>MORA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46937-2024</t>
        </is>
      </c>
      <c r="B1077" s="1" t="n">
        <v>45585</v>
      </c>
      <c r="C1077" s="1" t="n">
        <v>45795</v>
      </c>
      <c r="D1077" t="inlineStr">
        <is>
          <t>DALARNAS LÄN</t>
        </is>
      </c>
      <c r="E1077" t="inlineStr">
        <is>
          <t>MORA</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47454-2024</t>
        </is>
      </c>
      <c r="B1078" s="1" t="n">
        <v>45587</v>
      </c>
      <c r="C1078" s="1" t="n">
        <v>45795</v>
      </c>
      <c r="D1078" t="inlineStr">
        <is>
          <t>DALARNAS LÄN</t>
        </is>
      </c>
      <c r="E1078" t="inlineStr">
        <is>
          <t>MORA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47459-2024</t>
        </is>
      </c>
      <c r="B1079" s="1" t="n">
        <v>45587</v>
      </c>
      <c r="C1079" s="1" t="n">
        <v>45795</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47448-2024</t>
        </is>
      </c>
      <c r="B1080" s="1" t="n">
        <v>45587</v>
      </c>
      <c r="C1080" s="1" t="n">
        <v>45795</v>
      </c>
      <c r="D1080" t="inlineStr">
        <is>
          <t>DALARNAS LÄN</t>
        </is>
      </c>
      <c r="E1080" t="inlineStr">
        <is>
          <t>MORA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47784-2024</t>
        </is>
      </c>
      <c r="B1081" s="1" t="n">
        <v>45588</v>
      </c>
      <c r="C1081" s="1" t="n">
        <v>45795</v>
      </c>
      <c r="D1081" t="inlineStr">
        <is>
          <t>DALARNAS LÄN</t>
        </is>
      </c>
      <c r="E1081" t="inlineStr">
        <is>
          <t>MORA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48170-2024</t>
        </is>
      </c>
      <c r="B1082" s="1" t="n">
        <v>45589</v>
      </c>
      <c r="C1082" s="1" t="n">
        <v>45795</v>
      </c>
      <c r="D1082" t="inlineStr">
        <is>
          <t>DALARNAS LÄN</t>
        </is>
      </c>
      <c r="E1082" t="inlineStr">
        <is>
          <t>MORA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48390-2024</t>
        </is>
      </c>
      <c r="B1083" s="1" t="n">
        <v>45590</v>
      </c>
      <c r="C1083" s="1" t="n">
        <v>45795</v>
      </c>
      <c r="D1083" t="inlineStr">
        <is>
          <t>DALARNAS LÄN</t>
        </is>
      </c>
      <c r="E1083" t="inlineStr">
        <is>
          <t>MORA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48585-2024</t>
        </is>
      </c>
      <c r="B1084" s="1" t="n">
        <v>45593</v>
      </c>
      <c r="C1084" s="1" t="n">
        <v>45795</v>
      </c>
      <c r="D1084" t="inlineStr">
        <is>
          <t>DALARNAS LÄN</t>
        </is>
      </c>
      <c r="E1084" t="inlineStr">
        <is>
          <t>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48754-2024</t>
        </is>
      </c>
      <c r="B1085" s="1" t="n">
        <v>45593</v>
      </c>
      <c r="C1085" s="1" t="n">
        <v>45795</v>
      </c>
      <c r="D1085" t="inlineStr">
        <is>
          <t>DALARNAS LÄN</t>
        </is>
      </c>
      <c r="E1085" t="inlineStr">
        <is>
          <t>MORA</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48522-2024</t>
        </is>
      </c>
      <c r="B1086" s="1" t="n">
        <v>45593</v>
      </c>
      <c r="C1086" s="1" t="n">
        <v>45795</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49565-2024</t>
        </is>
      </c>
      <c r="B1087" s="1" t="n">
        <v>45596</v>
      </c>
      <c r="C1087" s="1" t="n">
        <v>45795</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49467-2024</t>
        </is>
      </c>
      <c r="B1088" s="1" t="n">
        <v>45596</v>
      </c>
      <c r="C1088" s="1" t="n">
        <v>45795</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50449-2024</t>
        </is>
      </c>
      <c r="B1089" s="1" t="n">
        <v>45601</v>
      </c>
      <c r="C1089" s="1" t="n">
        <v>45795</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50911-2024</t>
        </is>
      </c>
      <c r="B1090" s="1" t="n">
        <v>45602</v>
      </c>
      <c r="C1090" s="1" t="n">
        <v>45795</v>
      </c>
      <c r="D1090" t="inlineStr">
        <is>
          <t>DALARNAS LÄN</t>
        </is>
      </c>
      <c r="E1090" t="inlineStr">
        <is>
          <t>MORA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50793-2024</t>
        </is>
      </c>
      <c r="B1091" s="1" t="n">
        <v>45602</v>
      </c>
      <c r="C1091" s="1" t="n">
        <v>45795</v>
      </c>
      <c r="D1091" t="inlineStr">
        <is>
          <t>DALARNAS LÄN</t>
        </is>
      </c>
      <c r="E1091" t="inlineStr">
        <is>
          <t>MORA</t>
        </is>
      </c>
      <c r="F1091" t="inlineStr">
        <is>
          <t>Allmännings- och besparingsskogar</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51194-2024</t>
        </is>
      </c>
      <c r="B1092" s="1" t="n">
        <v>45603</v>
      </c>
      <c r="C1092" s="1" t="n">
        <v>45795</v>
      </c>
      <c r="D1092" t="inlineStr">
        <is>
          <t>DALARNAS LÄN</t>
        </is>
      </c>
      <c r="E1092" t="inlineStr">
        <is>
          <t>MORA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51201-2024</t>
        </is>
      </c>
      <c r="B1093" s="1" t="n">
        <v>45603</v>
      </c>
      <c r="C1093" s="1" t="n">
        <v>45795</v>
      </c>
      <c r="D1093" t="inlineStr">
        <is>
          <t>DALARNAS LÄN</t>
        </is>
      </c>
      <c r="E1093" t="inlineStr">
        <is>
          <t>MORA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51168-2024</t>
        </is>
      </c>
      <c r="B1094" s="1" t="n">
        <v>45603</v>
      </c>
      <c r="C1094" s="1" t="n">
        <v>45795</v>
      </c>
      <c r="D1094" t="inlineStr">
        <is>
          <t>DALARNAS LÄN</t>
        </is>
      </c>
      <c r="E1094" t="inlineStr">
        <is>
          <t>MORA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51237-2024</t>
        </is>
      </c>
      <c r="B1095" s="1" t="n">
        <v>45603</v>
      </c>
      <c r="C1095" s="1" t="n">
        <v>45795</v>
      </c>
      <c r="D1095" t="inlineStr">
        <is>
          <t>DALARNAS LÄN</t>
        </is>
      </c>
      <c r="E1095" t="inlineStr">
        <is>
          <t>MORA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51554-2024</t>
        </is>
      </c>
      <c r="B1096" s="1" t="n">
        <v>45604</v>
      </c>
      <c r="C1096" s="1" t="n">
        <v>45795</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51918-2024</t>
        </is>
      </c>
      <c r="B1097" s="1" t="n">
        <v>45607</v>
      </c>
      <c r="C1097" s="1" t="n">
        <v>45795</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51888-2024</t>
        </is>
      </c>
      <c r="B1098" s="1" t="n">
        <v>45607</v>
      </c>
      <c r="C1098" s="1" t="n">
        <v>45795</v>
      </c>
      <c r="D1098" t="inlineStr">
        <is>
          <t>DALARNAS LÄN</t>
        </is>
      </c>
      <c r="E1098" t="inlineStr">
        <is>
          <t>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51965-2024</t>
        </is>
      </c>
      <c r="B1099" s="1" t="n">
        <v>45607</v>
      </c>
      <c r="C1099" s="1" t="n">
        <v>45795</v>
      </c>
      <c r="D1099" t="inlineStr">
        <is>
          <t>DALARNAS LÄN</t>
        </is>
      </c>
      <c r="E1099" t="inlineStr">
        <is>
          <t>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51814-2024</t>
        </is>
      </c>
      <c r="B1100" s="1" t="n">
        <v>45607</v>
      </c>
      <c r="C1100" s="1" t="n">
        <v>45795</v>
      </c>
      <c r="D1100" t="inlineStr">
        <is>
          <t>DALARNAS LÄN</t>
        </is>
      </c>
      <c r="E1100" t="inlineStr">
        <is>
          <t>MORA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52288-2024</t>
        </is>
      </c>
      <c r="B1101" s="1" t="n">
        <v>45608</v>
      </c>
      <c r="C1101" s="1" t="n">
        <v>45795</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52510-2024</t>
        </is>
      </c>
      <c r="B1102" s="1" t="n">
        <v>45609</v>
      </c>
      <c r="C1102" s="1" t="n">
        <v>45795</v>
      </c>
      <c r="D1102" t="inlineStr">
        <is>
          <t>DALARNAS LÄN</t>
        </is>
      </c>
      <c r="E1102" t="inlineStr">
        <is>
          <t>MORA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52850-2024</t>
        </is>
      </c>
      <c r="B1103" s="1" t="n">
        <v>45610</v>
      </c>
      <c r="C1103" s="1" t="n">
        <v>45795</v>
      </c>
      <c r="D1103" t="inlineStr">
        <is>
          <t>DALARNAS LÄN</t>
        </is>
      </c>
      <c r="E1103" t="inlineStr">
        <is>
          <t>MORA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52894-2024</t>
        </is>
      </c>
      <c r="B1104" s="1" t="n">
        <v>45610</v>
      </c>
      <c r="C1104" s="1" t="n">
        <v>45795</v>
      </c>
      <c r="D1104" t="inlineStr">
        <is>
          <t>DALARNAS LÄN</t>
        </is>
      </c>
      <c r="E1104" t="inlineStr">
        <is>
          <t>MORA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53159-2024</t>
        </is>
      </c>
      <c r="B1105" s="1" t="n">
        <v>45611</v>
      </c>
      <c r="C1105" s="1" t="n">
        <v>45795</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53155-2024</t>
        </is>
      </c>
      <c r="B1106" s="1" t="n">
        <v>45611</v>
      </c>
      <c r="C1106" s="1" t="n">
        <v>45795</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53150-2024</t>
        </is>
      </c>
      <c r="B1107" s="1" t="n">
        <v>45611</v>
      </c>
      <c r="C1107" s="1" t="n">
        <v>45795</v>
      </c>
      <c r="D1107" t="inlineStr">
        <is>
          <t>DALARNAS LÄN</t>
        </is>
      </c>
      <c r="E1107" t="inlineStr">
        <is>
          <t>MORA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53157-2024</t>
        </is>
      </c>
      <c r="B1108" s="1" t="n">
        <v>45611</v>
      </c>
      <c r="C1108" s="1" t="n">
        <v>45795</v>
      </c>
      <c r="D1108" t="inlineStr">
        <is>
          <t>DALARNAS LÄN</t>
        </is>
      </c>
      <c r="E1108" t="inlineStr">
        <is>
          <t>MORA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53546-2024</t>
        </is>
      </c>
      <c r="B1109" s="1" t="n">
        <v>45614</v>
      </c>
      <c r="C1109" s="1" t="n">
        <v>45795</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53527-2024</t>
        </is>
      </c>
      <c r="B1110" s="1" t="n">
        <v>45614</v>
      </c>
      <c r="C1110" s="1" t="n">
        <v>45795</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53754-2024</t>
        </is>
      </c>
      <c r="B1111" s="1" t="n">
        <v>45615</v>
      </c>
      <c r="C1111" s="1" t="n">
        <v>45795</v>
      </c>
      <c r="D1111" t="inlineStr">
        <is>
          <t>DALARNAS LÄN</t>
        </is>
      </c>
      <c r="E1111" t="inlineStr">
        <is>
          <t>MORA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53750-2024</t>
        </is>
      </c>
      <c r="B1112" s="1" t="n">
        <v>45615</v>
      </c>
      <c r="C1112" s="1" t="n">
        <v>45795</v>
      </c>
      <c r="D1112" t="inlineStr">
        <is>
          <t>DALARNAS LÄN</t>
        </is>
      </c>
      <c r="E1112" t="inlineStr">
        <is>
          <t>MORA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53743-2024</t>
        </is>
      </c>
      <c r="B1113" s="1" t="n">
        <v>45615</v>
      </c>
      <c r="C1113" s="1" t="n">
        <v>45795</v>
      </c>
      <c r="D1113" t="inlineStr">
        <is>
          <t>DALARNAS LÄN</t>
        </is>
      </c>
      <c r="E1113" t="inlineStr">
        <is>
          <t>MORA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54129-2024</t>
        </is>
      </c>
      <c r="B1114" s="1" t="n">
        <v>45616</v>
      </c>
      <c r="C1114" s="1" t="n">
        <v>45795</v>
      </c>
      <c r="D1114" t="inlineStr">
        <is>
          <t>DALARNAS LÄN</t>
        </is>
      </c>
      <c r="E1114" t="inlineStr">
        <is>
          <t>MORA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53978-2024</t>
        </is>
      </c>
      <c r="B1115" s="1" t="n">
        <v>45616</v>
      </c>
      <c r="C1115" s="1" t="n">
        <v>45795</v>
      </c>
      <c r="D1115" t="inlineStr">
        <is>
          <t>DALARNAS LÄN</t>
        </is>
      </c>
      <c r="E1115" t="inlineStr">
        <is>
          <t>MORA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53980-2024</t>
        </is>
      </c>
      <c r="B1116" s="1" t="n">
        <v>45616</v>
      </c>
      <c r="C1116" s="1" t="n">
        <v>45795</v>
      </c>
      <c r="D1116" t="inlineStr">
        <is>
          <t>DALARNAS LÄN</t>
        </is>
      </c>
      <c r="E1116" t="inlineStr">
        <is>
          <t>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54042-2024</t>
        </is>
      </c>
      <c r="B1117" s="1" t="n">
        <v>45616</v>
      </c>
      <c r="C1117" s="1" t="n">
        <v>45795</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54507-2024</t>
        </is>
      </c>
      <c r="B1118" s="1" t="n">
        <v>45617</v>
      </c>
      <c r="C1118" s="1" t="n">
        <v>45795</v>
      </c>
      <c r="D1118" t="inlineStr">
        <is>
          <t>DALARNAS LÄN</t>
        </is>
      </c>
      <c r="E1118" t="inlineStr">
        <is>
          <t>MORA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54628-2024</t>
        </is>
      </c>
      <c r="B1119" s="1" t="n">
        <v>45617</v>
      </c>
      <c r="C1119" s="1" t="n">
        <v>45795</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54749-2024</t>
        </is>
      </c>
      <c r="B1120" s="1" t="n">
        <v>45618</v>
      </c>
      <c r="C1120" s="1" t="n">
        <v>45795</v>
      </c>
      <c r="D1120" t="inlineStr">
        <is>
          <t>DALARNAS LÄN</t>
        </is>
      </c>
      <c r="E1120" t="inlineStr">
        <is>
          <t>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54762-2024</t>
        </is>
      </c>
      <c r="B1121" s="1" t="n">
        <v>45618</v>
      </c>
      <c r="C1121" s="1" t="n">
        <v>45795</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54699-2024</t>
        </is>
      </c>
      <c r="B1122" s="1" t="n">
        <v>45618</v>
      </c>
      <c r="C1122" s="1" t="n">
        <v>45795</v>
      </c>
      <c r="D1122" t="inlineStr">
        <is>
          <t>DALARNAS LÄN</t>
        </is>
      </c>
      <c r="E1122" t="inlineStr">
        <is>
          <t>MORA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55114-2024</t>
        </is>
      </c>
      <c r="B1123" s="1" t="n">
        <v>45621</v>
      </c>
      <c r="C1123" s="1" t="n">
        <v>45795</v>
      </c>
      <c r="D1123" t="inlineStr">
        <is>
          <t>DALARNAS LÄN</t>
        </is>
      </c>
      <c r="E1123" t="inlineStr">
        <is>
          <t>MORA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55105-2024</t>
        </is>
      </c>
      <c r="B1124" s="1" t="n">
        <v>45621</v>
      </c>
      <c r="C1124" s="1" t="n">
        <v>45795</v>
      </c>
      <c r="D1124" t="inlineStr">
        <is>
          <t>DALARNAS LÄN</t>
        </is>
      </c>
      <c r="E1124" t="inlineStr">
        <is>
          <t>MORA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55120-2024</t>
        </is>
      </c>
      <c r="B1125" s="1" t="n">
        <v>45621</v>
      </c>
      <c r="C1125" s="1" t="n">
        <v>45795</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55402-2024</t>
        </is>
      </c>
      <c r="B1126" s="1" t="n">
        <v>45622</v>
      </c>
      <c r="C1126" s="1" t="n">
        <v>45795</v>
      </c>
      <c r="D1126" t="inlineStr">
        <is>
          <t>DALARNAS LÄN</t>
        </is>
      </c>
      <c r="E1126" t="inlineStr">
        <is>
          <t>MORA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55415-2024</t>
        </is>
      </c>
      <c r="B1127" s="1" t="n">
        <v>45622</v>
      </c>
      <c r="C1127" s="1" t="n">
        <v>45795</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55424-2024</t>
        </is>
      </c>
      <c r="B1128" s="1" t="n">
        <v>45622</v>
      </c>
      <c r="C1128" s="1" t="n">
        <v>45795</v>
      </c>
      <c r="D1128" t="inlineStr">
        <is>
          <t>DALARNAS LÄN</t>
        </is>
      </c>
      <c r="E1128" t="inlineStr">
        <is>
          <t>MORA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55625-2024</t>
        </is>
      </c>
      <c r="B1129" s="1" t="n">
        <v>45622</v>
      </c>
      <c r="C1129" s="1" t="n">
        <v>45795</v>
      </c>
      <c r="D1129" t="inlineStr">
        <is>
          <t>DALARNAS LÄN</t>
        </is>
      </c>
      <c r="E1129" t="inlineStr">
        <is>
          <t>MORA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55456-2024</t>
        </is>
      </c>
      <c r="B1130" s="1" t="n">
        <v>45622</v>
      </c>
      <c r="C1130" s="1" t="n">
        <v>45795</v>
      </c>
      <c r="D1130" t="inlineStr">
        <is>
          <t>DALARNAS LÄN</t>
        </is>
      </c>
      <c r="E1130" t="inlineStr">
        <is>
          <t>MORA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55671-2024</t>
        </is>
      </c>
      <c r="B1131" s="1" t="n">
        <v>45622</v>
      </c>
      <c r="C1131" s="1" t="n">
        <v>45795</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55809-2024</t>
        </is>
      </c>
      <c r="B1132" s="1" t="n">
        <v>45623</v>
      </c>
      <c r="C1132" s="1" t="n">
        <v>45795</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56078-2024</t>
        </is>
      </c>
      <c r="B1133" s="1" t="n">
        <v>45624</v>
      </c>
      <c r="C1133" s="1" t="n">
        <v>45795</v>
      </c>
      <c r="D1133" t="inlineStr">
        <is>
          <t>DALARNAS LÄN</t>
        </is>
      </c>
      <c r="E1133" t="inlineStr">
        <is>
          <t>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56268-2024</t>
        </is>
      </c>
      <c r="B1134" s="1" t="n">
        <v>45624</v>
      </c>
      <c r="C1134" s="1" t="n">
        <v>45795</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56521-2024</t>
        </is>
      </c>
      <c r="B1135" s="1" t="n">
        <v>45625</v>
      </c>
      <c r="C1135" s="1" t="n">
        <v>45795</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56425-2024</t>
        </is>
      </c>
      <c r="B1136" s="1" t="n">
        <v>45625</v>
      </c>
      <c r="C1136" s="1" t="n">
        <v>45795</v>
      </c>
      <c r="D1136" t="inlineStr">
        <is>
          <t>DALARNAS LÄN</t>
        </is>
      </c>
      <c r="E1136" t="inlineStr">
        <is>
          <t>MORA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56900-2024</t>
        </is>
      </c>
      <c r="B1137" s="1" t="n">
        <v>45625</v>
      </c>
      <c r="C1137" s="1" t="n">
        <v>45795</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56528-2024</t>
        </is>
      </c>
      <c r="B1138" s="1" t="n">
        <v>45625</v>
      </c>
      <c r="C1138" s="1" t="n">
        <v>45795</v>
      </c>
      <c r="D1138" t="inlineStr">
        <is>
          <t>DALARNAS LÄN</t>
        </is>
      </c>
      <c r="E1138" t="inlineStr">
        <is>
          <t>MORA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56532-2024</t>
        </is>
      </c>
      <c r="B1139" s="1" t="n">
        <v>45625</v>
      </c>
      <c r="C1139" s="1" t="n">
        <v>45795</v>
      </c>
      <c r="D1139" t="inlineStr">
        <is>
          <t>DALARNAS LÄN</t>
        </is>
      </c>
      <c r="E1139" t="inlineStr">
        <is>
          <t>MORA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56927-2024</t>
        </is>
      </c>
      <c r="B1140" s="1" t="n">
        <v>45625</v>
      </c>
      <c r="C1140" s="1" t="n">
        <v>45795</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56937-2024</t>
        </is>
      </c>
      <c r="B1141" s="1" t="n">
        <v>45625</v>
      </c>
      <c r="C1141" s="1" t="n">
        <v>45795</v>
      </c>
      <c r="D1141" t="inlineStr">
        <is>
          <t>DALARNAS LÄN</t>
        </is>
      </c>
      <c r="E1141" t="inlineStr">
        <is>
          <t>MORA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56935-2024</t>
        </is>
      </c>
      <c r="B1142" s="1" t="n">
        <v>45625</v>
      </c>
      <c r="C1142" s="1" t="n">
        <v>45795</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56834-2024</t>
        </is>
      </c>
      <c r="B1143" s="1" t="n">
        <v>45628</v>
      </c>
      <c r="C1143" s="1" t="n">
        <v>45795</v>
      </c>
      <c r="D1143" t="inlineStr">
        <is>
          <t>DALARNAS LÄN</t>
        </is>
      </c>
      <c r="E1143" t="inlineStr">
        <is>
          <t>MORA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56767-2024</t>
        </is>
      </c>
      <c r="B1144" s="1" t="n">
        <v>45628</v>
      </c>
      <c r="C1144" s="1" t="n">
        <v>45795</v>
      </c>
      <c r="D1144" t="inlineStr">
        <is>
          <t>DALARNAS LÄN</t>
        </is>
      </c>
      <c r="E1144" t="inlineStr">
        <is>
          <t>MORA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56770-2024</t>
        </is>
      </c>
      <c r="B1145" s="1" t="n">
        <v>45628</v>
      </c>
      <c r="C1145" s="1" t="n">
        <v>45795</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56828-2024</t>
        </is>
      </c>
      <c r="B1146" s="1" t="n">
        <v>45628</v>
      </c>
      <c r="C1146" s="1" t="n">
        <v>45795</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57957-2024</t>
        </is>
      </c>
      <c r="B1147" s="1" t="n">
        <v>45631</v>
      </c>
      <c r="C1147" s="1" t="n">
        <v>45795</v>
      </c>
      <c r="D1147" t="inlineStr">
        <is>
          <t>DALARNAS LÄN</t>
        </is>
      </c>
      <c r="E1147" t="inlineStr">
        <is>
          <t>MORA</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57994-2024</t>
        </is>
      </c>
      <c r="B1148" s="1" t="n">
        <v>45631</v>
      </c>
      <c r="C1148" s="1" t="n">
        <v>45795</v>
      </c>
      <c r="D1148" t="inlineStr">
        <is>
          <t>DALARNAS LÄN</t>
        </is>
      </c>
      <c r="E1148" t="inlineStr">
        <is>
          <t>MORA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58036-2024</t>
        </is>
      </c>
      <c r="B1149" s="1" t="n">
        <v>45631</v>
      </c>
      <c r="C1149" s="1" t="n">
        <v>45795</v>
      </c>
      <c r="D1149" t="inlineStr">
        <is>
          <t>DALARNAS LÄN</t>
        </is>
      </c>
      <c r="E1149" t="inlineStr">
        <is>
          <t>MORA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58089-2024</t>
        </is>
      </c>
      <c r="B1150" s="1" t="n">
        <v>45632</v>
      </c>
      <c r="C1150" s="1" t="n">
        <v>45795</v>
      </c>
      <c r="D1150" t="inlineStr">
        <is>
          <t>DALARNAS LÄN</t>
        </is>
      </c>
      <c r="E1150" t="inlineStr">
        <is>
          <t>MORA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58171-2024</t>
        </is>
      </c>
      <c r="B1151" s="1" t="n">
        <v>45632</v>
      </c>
      <c r="C1151" s="1" t="n">
        <v>45795</v>
      </c>
      <c r="D1151" t="inlineStr">
        <is>
          <t>DALARNAS LÄN</t>
        </is>
      </c>
      <c r="E1151" t="inlineStr">
        <is>
          <t>MORA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58177-2024</t>
        </is>
      </c>
      <c r="B1152" s="1" t="n">
        <v>45632</v>
      </c>
      <c r="C1152" s="1" t="n">
        <v>45795</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58131-2024</t>
        </is>
      </c>
      <c r="B1153" s="1" t="n">
        <v>45632</v>
      </c>
      <c r="C1153" s="1" t="n">
        <v>45795</v>
      </c>
      <c r="D1153" t="inlineStr">
        <is>
          <t>DALARNAS LÄN</t>
        </is>
      </c>
      <c r="E1153" t="inlineStr">
        <is>
          <t>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59002-2024</t>
        </is>
      </c>
      <c r="B1154" s="1" t="n">
        <v>45636</v>
      </c>
      <c r="C1154" s="1" t="n">
        <v>45795</v>
      </c>
      <c r="D1154" t="inlineStr">
        <is>
          <t>DALARNAS LÄN</t>
        </is>
      </c>
      <c r="E1154" t="inlineStr">
        <is>
          <t>MORA</t>
        </is>
      </c>
      <c r="F1154" t="inlineStr">
        <is>
          <t>Bergvik skog väst AB</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59101-2024</t>
        </is>
      </c>
      <c r="B1155" s="1" t="n">
        <v>45637</v>
      </c>
      <c r="C1155" s="1" t="n">
        <v>45795</v>
      </c>
      <c r="D1155" t="inlineStr">
        <is>
          <t>DALARNAS LÄN</t>
        </is>
      </c>
      <c r="E1155" t="inlineStr">
        <is>
          <t>MORA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59404-2024</t>
        </is>
      </c>
      <c r="B1156" s="1" t="n">
        <v>45638</v>
      </c>
      <c r="C1156" s="1" t="n">
        <v>45795</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59401-2024</t>
        </is>
      </c>
      <c r="B1157" s="1" t="n">
        <v>45638</v>
      </c>
      <c r="C1157" s="1" t="n">
        <v>45795</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59839-2024</t>
        </is>
      </c>
      <c r="B1158" s="1" t="n">
        <v>45639</v>
      </c>
      <c r="C1158" s="1" t="n">
        <v>45795</v>
      </c>
      <c r="D1158" t="inlineStr">
        <is>
          <t>DALARNAS LÄN</t>
        </is>
      </c>
      <c r="E1158" t="inlineStr">
        <is>
          <t>MORA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59646-2024</t>
        </is>
      </c>
      <c r="B1159" s="1" t="n">
        <v>45639</v>
      </c>
      <c r="C1159" s="1" t="n">
        <v>45795</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60187-2024</t>
        </is>
      </c>
      <c r="B1160" s="1" t="n">
        <v>45642</v>
      </c>
      <c r="C1160" s="1" t="n">
        <v>45795</v>
      </c>
      <c r="D1160" t="inlineStr">
        <is>
          <t>DALARNAS LÄN</t>
        </is>
      </c>
      <c r="E1160" t="inlineStr">
        <is>
          <t>MORA</t>
        </is>
      </c>
      <c r="F1160" t="inlineStr">
        <is>
          <t>Allmännings- och besparingsskogar</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60099-2024</t>
        </is>
      </c>
      <c r="B1161" s="1" t="n">
        <v>45642</v>
      </c>
      <c r="C1161" s="1" t="n">
        <v>45795</v>
      </c>
      <c r="D1161" t="inlineStr">
        <is>
          <t>DALARNAS LÄN</t>
        </is>
      </c>
      <c r="E1161" t="inlineStr">
        <is>
          <t>MORA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59983-2024</t>
        </is>
      </c>
      <c r="B1162" s="1" t="n">
        <v>45642</v>
      </c>
      <c r="C1162" s="1" t="n">
        <v>45795</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61188-2024</t>
        </is>
      </c>
      <c r="B1163" s="1" t="n">
        <v>45645</v>
      </c>
      <c r="C1163" s="1" t="n">
        <v>45795</v>
      </c>
      <c r="D1163" t="inlineStr">
        <is>
          <t>DALARNAS LÄN</t>
        </is>
      </c>
      <c r="E1163" t="inlineStr">
        <is>
          <t>MORA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60953-2024</t>
        </is>
      </c>
      <c r="B1164" s="1" t="n">
        <v>45645</v>
      </c>
      <c r="C1164" s="1" t="n">
        <v>45795</v>
      </c>
      <c r="D1164" t="inlineStr">
        <is>
          <t>DALARNAS LÄN</t>
        </is>
      </c>
      <c r="E1164" t="inlineStr">
        <is>
          <t>MORA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61191-2024</t>
        </is>
      </c>
      <c r="B1165" s="1" t="n">
        <v>45645</v>
      </c>
      <c r="C1165" s="1" t="n">
        <v>45795</v>
      </c>
      <c r="D1165" t="inlineStr">
        <is>
          <t>DALARNAS LÄN</t>
        </is>
      </c>
      <c r="E1165" t="inlineStr">
        <is>
          <t>MORA</t>
        </is>
      </c>
      <c r="F1165" t="inlineStr">
        <is>
          <t>Allmännings- och besparingsskogar</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61270-2024</t>
        </is>
      </c>
      <c r="B1166" s="1" t="n">
        <v>45645</v>
      </c>
      <c r="C1166" s="1" t="n">
        <v>45795</v>
      </c>
      <c r="D1166" t="inlineStr">
        <is>
          <t>DALARNAS LÄN</t>
        </is>
      </c>
      <c r="E1166" t="inlineStr">
        <is>
          <t>MORA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61278-2024</t>
        </is>
      </c>
      <c r="B1167" s="1" t="n">
        <v>45645</v>
      </c>
      <c r="C1167" s="1" t="n">
        <v>45795</v>
      </c>
      <c r="D1167" t="inlineStr">
        <is>
          <t>DALARNAS LÄN</t>
        </is>
      </c>
      <c r="E1167" t="inlineStr">
        <is>
          <t>MORA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61282-2024</t>
        </is>
      </c>
      <c r="B1168" s="1" t="n">
        <v>45645</v>
      </c>
      <c r="C1168" s="1" t="n">
        <v>45795</v>
      </c>
      <c r="D1168" t="inlineStr">
        <is>
          <t>DALARNAS LÄN</t>
        </is>
      </c>
      <c r="E1168" t="inlineStr">
        <is>
          <t>MORA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61654-2024</t>
        </is>
      </c>
      <c r="B1169" s="1" t="n">
        <v>45646</v>
      </c>
      <c r="C1169" s="1" t="n">
        <v>45795</v>
      </c>
      <c r="D1169" t="inlineStr">
        <is>
          <t>DALARNAS LÄN</t>
        </is>
      </c>
      <c r="E1169" t="inlineStr">
        <is>
          <t>MORA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61350-2024</t>
        </is>
      </c>
      <c r="B1170" s="1" t="n">
        <v>45646</v>
      </c>
      <c r="C1170" s="1" t="n">
        <v>45795</v>
      </c>
      <c r="D1170" t="inlineStr">
        <is>
          <t>DALARNAS LÄN</t>
        </is>
      </c>
      <c r="E1170" t="inlineStr">
        <is>
          <t>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1252-2025</t>
        </is>
      </c>
      <c r="B1171" s="1" t="n">
        <v>45667</v>
      </c>
      <c r="C1171" s="1" t="n">
        <v>45795</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1241-2025</t>
        </is>
      </c>
      <c r="B1172" s="1" t="n">
        <v>45667</v>
      </c>
      <c r="C1172" s="1" t="n">
        <v>45795</v>
      </c>
      <c r="D1172" t="inlineStr">
        <is>
          <t>DALARNAS LÄN</t>
        </is>
      </c>
      <c r="E1172" t="inlineStr">
        <is>
          <t>MORA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1314-2025</t>
        </is>
      </c>
      <c r="B1173" s="1" t="n">
        <v>45667</v>
      </c>
      <c r="C1173" s="1" t="n">
        <v>45795</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2784-2025</t>
        </is>
      </c>
      <c r="B1174" s="1" t="n">
        <v>45677</v>
      </c>
      <c r="C1174" s="1" t="n">
        <v>45795</v>
      </c>
      <c r="D1174" t="inlineStr">
        <is>
          <t>DALARNAS LÄN</t>
        </is>
      </c>
      <c r="E1174" t="inlineStr">
        <is>
          <t>MORA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4079-2025</t>
        </is>
      </c>
      <c r="B1175" s="1" t="n">
        <v>45684</v>
      </c>
      <c r="C1175" s="1" t="n">
        <v>45795</v>
      </c>
      <c r="D1175" t="inlineStr">
        <is>
          <t>DALARNAS LÄN</t>
        </is>
      </c>
      <c r="E1175" t="inlineStr">
        <is>
          <t>MORA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4768-2025</t>
        </is>
      </c>
      <c r="B1176" s="1" t="n">
        <v>45688</v>
      </c>
      <c r="C1176" s="1" t="n">
        <v>45795</v>
      </c>
      <c r="D1176" t="inlineStr">
        <is>
          <t>DALARNAS LÄN</t>
        </is>
      </c>
      <c r="E1176" t="inlineStr">
        <is>
          <t>MORA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4764-2025</t>
        </is>
      </c>
      <c r="B1177" s="1" t="n">
        <v>45688</v>
      </c>
      <c r="C1177" s="1" t="n">
        <v>45795</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4994-2025</t>
        </is>
      </c>
      <c r="B1178" s="1" t="n">
        <v>45691</v>
      </c>
      <c r="C1178" s="1" t="n">
        <v>45795</v>
      </c>
      <c r="D1178" t="inlineStr">
        <is>
          <t>DALARNAS LÄN</t>
        </is>
      </c>
      <c r="E1178" t="inlineStr">
        <is>
          <t>MORA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5001-2025</t>
        </is>
      </c>
      <c r="B1179" s="1" t="n">
        <v>45691</v>
      </c>
      <c r="C1179" s="1" t="n">
        <v>45795</v>
      </c>
      <c r="D1179" t="inlineStr">
        <is>
          <t>DALARNAS LÄN</t>
        </is>
      </c>
      <c r="E1179" t="inlineStr">
        <is>
          <t>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5216-2025</t>
        </is>
      </c>
      <c r="B1180" s="1" t="n">
        <v>45691</v>
      </c>
      <c r="C1180" s="1" t="n">
        <v>45795</v>
      </c>
      <c r="D1180" t="inlineStr">
        <is>
          <t>DALARNAS LÄN</t>
        </is>
      </c>
      <c r="E1180" t="inlineStr">
        <is>
          <t>MORA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5418-2025</t>
        </is>
      </c>
      <c r="B1181" s="1" t="n">
        <v>45692</v>
      </c>
      <c r="C1181" s="1" t="n">
        <v>45795</v>
      </c>
      <c r="D1181" t="inlineStr">
        <is>
          <t>DALARNAS LÄN</t>
        </is>
      </c>
      <c r="E1181" t="inlineStr">
        <is>
          <t>MORA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5769-2025</t>
        </is>
      </c>
      <c r="B1182" s="1" t="n">
        <v>45694</v>
      </c>
      <c r="C1182" s="1" t="n">
        <v>45795</v>
      </c>
      <c r="D1182" t="inlineStr">
        <is>
          <t>DALARNAS LÄN</t>
        </is>
      </c>
      <c r="E1182" t="inlineStr">
        <is>
          <t>MORA</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5922-2025</t>
        </is>
      </c>
      <c r="B1183" s="1" t="n">
        <v>45695</v>
      </c>
      <c r="C1183" s="1" t="n">
        <v>45795</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5980-2025</t>
        </is>
      </c>
      <c r="B1184" s="1" t="n">
        <v>45695</v>
      </c>
      <c r="C1184" s="1" t="n">
        <v>45795</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6520-2025</t>
        </is>
      </c>
      <c r="B1185" s="1" t="n">
        <v>45699</v>
      </c>
      <c r="C1185" s="1" t="n">
        <v>45795</v>
      </c>
      <c r="D1185" t="inlineStr">
        <is>
          <t>DALARNAS LÄN</t>
        </is>
      </c>
      <c r="E1185" t="inlineStr">
        <is>
          <t>MORA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7576-2025</t>
        </is>
      </c>
      <c r="B1186" s="1" t="n">
        <v>45705</v>
      </c>
      <c r="C1186" s="1" t="n">
        <v>45795</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7565-2025</t>
        </is>
      </c>
      <c r="B1187" s="1" t="n">
        <v>45705</v>
      </c>
      <c r="C1187" s="1" t="n">
        <v>45795</v>
      </c>
      <c r="D1187" t="inlineStr">
        <is>
          <t>DALARNAS LÄN</t>
        </is>
      </c>
      <c r="E1187" t="inlineStr">
        <is>
          <t>MORA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7552-2025</t>
        </is>
      </c>
      <c r="B1188" s="1" t="n">
        <v>45705</v>
      </c>
      <c r="C1188" s="1" t="n">
        <v>45795</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7766-2025</t>
        </is>
      </c>
      <c r="B1189" s="1" t="n">
        <v>45706</v>
      </c>
      <c r="C1189" s="1" t="n">
        <v>45795</v>
      </c>
      <c r="D1189" t="inlineStr">
        <is>
          <t>DALARNAS LÄN</t>
        </is>
      </c>
      <c r="E1189" t="inlineStr">
        <is>
          <t>MORA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8343-2025</t>
        </is>
      </c>
      <c r="B1190" s="1" t="n">
        <v>45708</v>
      </c>
      <c r="C1190" s="1" t="n">
        <v>45795</v>
      </c>
      <c r="D1190" t="inlineStr">
        <is>
          <t>DALARNAS LÄN</t>
        </is>
      </c>
      <c r="E1190" t="inlineStr">
        <is>
          <t>MORA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8687-2025</t>
        </is>
      </c>
      <c r="B1191" s="1" t="n">
        <v>45712</v>
      </c>
      <c r="C1191" s="1" t="n">
        <v>45795</v>
      </c>
      <c r="D1191" t="inlineStr">
        <is>
          <t>DALARNAS LÄN</t>
        </is>
      </c>
      <c r="E1191" t="inlineStr">
        <is>
          <t>MORA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9461-2025</t>
        </is>
      </c>
      <c r="B1192" s="1" t="n">
        <v>45715</v>
      </c>
      <c r="C1192" s="1" t="n">
        <v>45795</v>
      </c>
      <c r="D1192" t="inlineStr">
        <is>
          <t>DALARNAS LÄN</t>
        </is>
      </c>
      <c r="E1192" t="inlineStr">
        <is>
          <t>MORA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9554-2025</t>
        </is>
      </c>
      <c r="B1193" s="1" t="n">
        <v>45715</v>
      </c>
      <c r="C1193" s="1" t="n">
        <v>45795</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10777-2025</t>
        </is>
      </c>
      <c r="B1194" s="1" t="n">
        <v>45722</v>
      </c>
      <c r="C1194" s="1" t="n">
        <v>45795</v>
      </c>
      <c r="D1194" t="inlineStr">
        <is>
          <t>DALARNAS LÄN</t>
        </is>
      </c>
      <c r="E1194" t="inlineStr">
        <is>
          <t>MORA</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11193-2025</t>
        </is>
      </c>
      <c r="B1195" s="1" t="n">
        <v>45725</v>
      </c>
      <c r="C1195" s="1" t="n">
        <v>45795</v>
      </c>
      <c r="D1195" t="inlineStr">
        <is>
          <t>DALARNAS LÄN</t>
        </is>
      </c>
      <c r="E1195" t="inlineStr">
        <is>
          <t>MORA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12478-2025</t>
        </is>
      </c>
      <c r="B1196" s="1" t="n">
        <v>45730</v>
      </c>
      <c r="C1196" s="1" t="n">
        <v>45795</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12490-2025</t>
        </is>
      </c>
      <c r="B1197" s="1" t="n">
        <v>45730</v>
      </c>
      <c r="C1197" s="1" t="n">
        <v>45795</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14017-2025</t>
        </is>
      </c>
      <c r="B1198" s="1" t="n">
        <v>45740</v>
      </c>
      <c r="C1198" s="1" t="n">
        <v>45795</v>
      </c>
      <c r="D1198" t="inlineStr">
        <is>
          <t>DALARNAS LÄN</t>
        </is>
      </c>
      <c r="E1198" t="inlineStr">
        <is>
          <t>MORA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14372-2025</t>
        </is>
      </c>
      <c r="B1199" s="1" t="n">
        <v>45741</v>
      </c>
      <c r="C1199" s="1" t="n">
        <v>45795</v>
      </c>
      <c r="D1199" t="inlineStr">
        <is>
          <t>DALARNAS LÄN</t>
        </is>
      </c>
      <c r="E1199" t="inlineStr">
        <is>
          <t>MORA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14378-2025</t>
        </is>
      </c>
      <c r="B1200" s="1" t="n">
        <v>45741</v>
      </c>
      <c r="C1200" s="1" t="n">
        <v>45795</v>
      </c>
      <c r="D1200" t="inlineStr">
        <is>
          <t>DALARNAS LÄN</t>
        </is>
      </c>
      <c r="E1200" t="inlineStr">
        <is>
          <t>MORA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14479-2025</t>
        </is>
      </c>
      <c r="B1201" s="1" t="n">
        <v>45741</v>
      </c>
      <c r="C1201" s="1" t="n">
        <v>45795</v>
      </c>
      <c r="D1201" t="inlineStr">
        <is>
          <t>DALARNAS LÄN</t>
        </is>
      </c>
      <c r="E1201" t="inlineStr">
        <is>
          <t>MORA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14735-2025</t>
        </is>
      </c>
      <c r="B1202" s="1" t="n">
        <v>45742</v>
      </c>
      <c r="C1202" s="1" t="n">
        <v>45795</v>
      </c>
      <c r="D1202" t="inlineStr">
        <is>
          <t>DALARNAS LÄN</t>
        </is>
      </c>
      <c r="E1202" t="inlineStr">
        <is>
          <t>MORA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14611-2025</t>
        </is>
      </c>
      <c r="B1203" s="1" t="n">
        <v>45742</v>
      </c>
      <c r="C1203" s="1" t="n">
        <v>45795</v>
      </c>
      <c r="D1203" t="inlineStr">
        <is>
          <t>DALARNAS LÄN</t>
        </is>
      </c>
      <c r="E1203" t="inlineStr">
        <is>
          <t>MORA</t>
        </is>
      </c>
      <c r="F1203" t="inlineStr">
        <is>
          <t>Bergvik skog väst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14936-2025</t>
        </is>
      </c>
      <c r="B1204" s="1" t="n">
        <v>45743</v>
      </c>
      <c r="C1204" s="1" t="n">
        <v>45795</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15172-2025</t>
        </is>
      </c>
      <c r="B1205" s="1" t="n">
        <v>45744</v>
      </c>
      <c r="C1205" s="1" t="n">
        <v>45795</v>
      </c>
      <c r="D1205" t="inlineStr">
        <is>
          <t>DALARNAS LÄN</t>
        </is>
      </c>
      <c r="E1205" t="inlineStr">
        <is>
          <t>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15443-2025</t>
        </is>
      </c>
      <c r="B1206" s="1" t="n">
        <v>45747</v>
      </c>
      <c r="C1206" s="1" t="n">
        <v>45795</v>
      </c>
      <c r="D1206" t="inlineStr">
        <is>
          <t>DALARNAS LÄN</t>
        </is>
      </c>
      <c r="E1206" t="inlineStr">
        <is>
          <t>MORA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15643-2025</t>
        </is>
      </c>
      <c r="B1207" s="1" t="n">
        <v>45748</v>
      </c>
      <c r="C1207" s="1" t="n">
        <v>45795</v>
      </c>
      <c r="D1207" t="inlineStr">
        <is>
          <t>DALARNAS LÄN</t>
        </is>
      </c>
      <c r="E1207" t="inlineStr">
        <is>
          <t>MORA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15993-2025</t>
        </is>
      </c>
      <c r="B1208" s="1" t="n">
        <v>45749</v>
      </c>
      <c r="C1208" s="1" t="n">
        <v>45795</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16174-2025</t>
        </is>
      </c>
      <c r="B1209" s="1" t="n">
        <v>45750</v>
      </c>
      <c r="C1209" s="1" t="n">
        <v>45795</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16637-2025</t>
        </is>
      </c>
      <c r="B1210" s="1" t="n">
        <v>45754</v>
      </c>
      <c r="C1210" s="1" t="n">
        <v>45795</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45795</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16965-2025</t>
        </is>
      </c>
      <c r="B1212" s="1" t="n">
        <v>45755</v>
      </c>
      <c r="C1212" s="1" t="n">
        <v>45795</v>
      </c>
      <c r="D1212" t="inlineStr">
        <is>
          <t>DALARNAS LÄN</t>
        </is>
      </c>
      <c r="E1212" t="inlineStr">
        <is>
          <t>MORA</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16967-2025</t>
        </is>
      </c>
      <c r="B1213" s="1" t="n">
        <v>45755</v>
      </c>
      <c r="C1213" s="1" t="n">
        <v>45795</v>
      </c>
      <c r="D1213" t="inlineStr">
        <is>
          <t>DALARNAS LÄN</t>
        </is>
      </c>
      <c r="E1213" t="inlineStr">
        <is>
          <t>MORA</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45795</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45795</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45795</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45795</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45795</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45795</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45795</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17164-2025</t>
        </is>
      </c>
      <c r="B1221" s="1" t="n">
        <v>45756</v>
      </c>
      <c r="C1221" s="1" t="n">
        <v>45795</v>
      </c>
      <c r="D1221" t="inlineStr">
        <is>
          <t>DALARNAS LÄN</t>
        </is>
      </c>
      <c r="E1221" t="inlineStr">
        <is>
          <t>MORA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17172-2025</t>
        </is>
      </c>
      <c r="B1222" s="1" t="n">
        <v>45756</v>
      </c>
      <c r="C1222" s="1" t="n">
        <v>45795</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17494-2025</t>
        </is>
      </c>
      <c r="B1223" s="1" t="n">
        <v>45757</v>
      </c>
      <c r="C1223" s="1" t="n">
        <v>45795</v>
      </c>
      <c r="D1223" t="inlineStr">
        <is>
          <t>DALARNAS LÄN</t>
        </is>
      </c>
      <c r="E1223" t="inlineStr">
        <is>
          <t>MORA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17393-2025</t>
        </is>
      </c>
      <c r="B1224" s="1" t="n">
        <v>45757</v>
      </c>
      <c r="C1224" s="1" t="n">
        <v>45795</v>
      </c>
      <c r="D1224" t="inlineStr">
        <is>
          <t>DALARNAS LÄN</t>
        </is>
      </c>
      <c r="E1224" t="inlineStr">
        <is>
          <t>MORA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45795</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17737-2025</t>
        </is>
      </c>
      <c r="B1226" s="1" t="n">
        <v>45758</v>
      </c>
      <c r="C1226" s="1" t="n">
        <v>45795</v>
      </c>
      <c r="D1226" t="inlineStr">
        <is>
          <t>DALARNAS LÄN</t>
        </is>
      </c>
      <c r="E1226" t="inlineStr">
        <is>
          <t>MORA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17865-2025</t>
        </is>
      </c>
      <c r="B1227" s="1" t="n">
        <v>45758</v>
      </c>
      <c r="C1227" s="1" t="n">
        <v>45795</v>
      </c>
      <c r="D1227" t="inlineStr">
        <is>
          <t>DALARNAS LÄN</t>
        </is>
      </c>
      <c r="E1227" t="inlineStr">
        <is>
          <t>MORA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18122-2025</t>
        </is>
      </c>
      <c r="B1228" s="1" t="n">
        <v>45761</v>
      </c>
      <c r="C1228" s="1" t="n">
        <v>45795</v>
      </c>
      <c r="D1228" t="inlineStr">
        <is>
          <t>DALARNAS LÄN</t>
        </is>
      </c>
      <c r="E1228" t="inlineStr">
        <is>
          <t>MORA</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45795</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18134-2025</t>
        </is>
      </c>
      <c r="B1230" s="1" t="n">
        <v>45761</v>
      </c>
      <c r="C1230" s="1" t="n">
        <v>45795</v>
      </c>
      <c r="D1230" t="inlineStr">
        <is>
          <t>DALARNAS LÄN</t>
        </is>
      </c>
      <c r="E1230" t="inlineStr">
        <is>
          <t>MORA</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18139-2025</t>
        </is>
      </c>
      <c r="B1231" s="1" t="n">
        <v>45761</v>
      </c>
      <c r="C1231" s="1" t="n">
        <v>45795</v>
      </c>
      <c r="D1231" t="inlineStr">
        <is>
          <t>DALARNAS LÄN</t>
        </is>
      </c>
      <c r="E1231" t="inlineStr">
        <is>
          <t>MORA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18120-2025</t>
        </is>
      </c>
      <c r="B1232" s="1" t="n">
        <v>45761</v>
      </c>
      <c r="C1232" s="1" t="n">
        <v>45795</v>
      </c>
      <c r="D1232" t="inlineStr">
        <is>
          <t>DALARNAS LÄN</t>
        </is>
      </c>
      <c r="E1232" t="inlineStr">
        <is>
          <t>MORA</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45795</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18702-2025</t>
        </is>
      </c>
      <c r="B1234" s="1" t="n">
        <v>45763</v>
      </c>
      <c r="C1234" s="1" t="n">
        <v>45795</v>
      </c>
      <c r="D1234" t="inlineStr">
        <is>
          <t>DALARNAS LÄN</t>
        </is>
      </c>
      <c r="E1234" t="inlineStr">
        <is>
          <t>MORA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18806-2025</t>
        </is>
      </c>
      <c r="B1235" s="1" t="n">
        <v>45764</v>
      </c>
      <c r="C1235" s="1" t="n">
        <v>45795</v>
      </c>
      <c r="D1235" t="inlineStr">
        <is>
          <t>DALARNAS LÄN</t>
        </is>
      </c>
      <c r="E1235" t="inlineStr">
        <is>
          <t>MORA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45795</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19183-2025</t>
        </is>
      </c>
      <c r="B1237" s="1" t="n">
        <v>45769</v>
      </c>
      <c r="C1237" s="1" t="n">
        <v>45795</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19842-2025</t>
        </is>
      </c>
      <c r="B1238" s="1" t="n">
        <v>45771</v>
      </c>
      <c r="C1238" s="1" t="n">
        <v>45795</v>
      </c>
      <c r="D1238" t="inlineStr">
        <is>
          <t>DALARNAS LÄN</t>
        </is>
      </c>
      <c r="E1238" t="inlineStr">
        <is>
          <t>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45795</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45795</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20126-2025</t>
        </is>
      </c>
      <c r="B1241" s="1" t="n">
        <v>45772</v>
      </c>
      <c r="C1241" s="1" t="n">
        <v>45795</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45795</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20549-2025</t>
        </is>
      </c>
      <c r="B1243" s="1" t="n">
        <v>45775</v>
      </c>
      <c r="C1243" s="1" t="n">
        <v>45795</v>
      </c>
      <c r="D1243" t="inlineStr">
        <is>
          <t>DALARNAS LÄN</t>
        </is>
      </c>
      <c r="E1243" t="inlineStr">
        <is>
          <t>MORA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45795</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20538-2025</t>
        </is>
      </c>
      <c r="B1245" s="1" t="n">
        <v>45775</v>
      </c>
      <c r="C1245" s="1" t="n">
        <v>45795</v>
      </c>
      <c r="D1245" t="inlineStr">
        <is>
          <t>DALARNAS LÄN</t>
        </is>
      </c>
      <c r="E1245" t="inlineStr">
        <is>
          <t>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20531-2025</t>
        </is>
      </c>
      <c r="B1246" s="1" t="n">
        <v>45775</v>
      </c>
      <c r="C1246" s="1" t="n">
        <v>45795</v>
      </c>
      <c r="D1246" t="inlineStr">
        <is>
          <t>DALARNAS LÄN</t>
        </is>
      </c>
      <c r="E1246" t="inlineStr">
        <is>
          <t>MORA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20594-2025</t>
        </is>
      </c>
      <c r="B1247" s="1" t="n">
        <v>45775</v>
      </c>
      <c r="C1247" s="1" t="n">
        <v>45795</v>
      </c>
      <c r="D1247" t="inlineStr">
        <is>
          <t>DALARNAS LÄN</t>
        </is>
      </c>
      <c r="E1247" t="inlineStr">
        <is>
          <t>MORA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21894-2025</t>
        </is>
      </c>
      <c r="B1248" s="1" t="n">
        <v>45784</v>
      </c>
      <c r="C1248" s="1" t="n">
        <v>45795</v>
      </c>
      <c r="D1248" t="inlineStr">
        <is>
          <t>DALARNAS LÄN</t>
        </is>
      </c>
      <c r="E1248" t="inlineStr">
        <is>
          <t>MORA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45795</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45795</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45795</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22185-2025</t>
        </is>
      </c>
      <c r="B1252" s="1" t="n">
        <v>45785</v>
      </c>
      <c r="C1252" s="1" t="n">
        <v>45795</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22354-2025</t>
        </is>
      </c>
      <c r="B1253" s="1" t="n">
        <v>45786</v>
      </c>
      <c r="C1253" s="1" t="n">
        <v>45795</v>
      </c>
      <c r="D1253" t="inlineStr">
        <is>
          <t>DALARNAS LÄN</t>
        </is>
      </c>
      <c r="E1253" t="inlineStr">
        <is>
          <t>MORA</t>
        </is>
      </c>
      <c r="F1253" t="inlineStr">
        <is>
          <t>Bergvik skog öst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22409-2025</t>
        </is>
      </c>
      <c r="B1254" s="1" t="n">
        <v>45786</v>
      </c>
      <c r="C1254" s="1" t="n">
        <v>45795</v>
      </c>
      <c r="D1254" t="inlineStr">
        <is>
          <t>DALARNAS LÄN</t>
        </is>
      </c>
      <c r="E1254" t="inlineStr">
        <is>
          <t>MORA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22753-2025</t>
        </is>
      </c>
      <c r="B1255" s="1" t="n">
        <v>45789</v>
      </c>
      <c r="C1255" s="1" t="n">
        <v>45795</v>
      </c>
      <c r="D1255" t="inlineStr">
        <is>
          <t>DALARNAS LÄN</t>
        </is>
      </c>
      <c r="E1255" t="inlineStr">
        <is>
          <t>MORA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23368-2025</t>
        </is>
      </c>
      <c r="B1256" s="1" t="n">
        <v>45791</v>
      </c>
      <c r="C1256" s="1" t="n">
        <v>45795</v>
      </c>
      <c r="D1256" t="inlineStr">
        <is>
          <t>DALARNAS LÄN</t>
        </is>
      </c>
      <c r="E1256" t="inlineStr">
        <is>
          <t>MORA</t>
        </is>
      </c>
      <c r="G1256" t="n">
        <v>1.4</v>
      </c>
      <c r="H1256" t="n">
        <v>0</v>
      </c>
      <c r="I1256" t="n">
        <v>0</v>
      </c>
      <c r="J1256" t="n">
        <v>0</v>
      </c>
      <c r="K1256" t="n">
        <v>0</v>
      </c>
      <c r="L1256" t="n">
        <v>0</v>
      </c>
      <c r="M1256" t="n">
        <v>0</v>
      </c>
      <c r="N1256" t="n">
        <v>0</v>
      </c>
      <c r="O1256" t="n">
        <v>0</v>
      </c>
      <c r="P1256" t="n">
        <v>0</v>
      </c>
      <c r="Q1256" t="n">
        <v>0</v>
      </c>
      <c r="R1256" s="2" t="inlineStr"/>
    </row>
    <row r="1257">
      <c r="A1257" t="inlineStr">
        <is>
          <t>A 23535-2025</t>
        </is>
      </c>
      <c r="B1257" s="1" t="n">
        <v>45792</v>
      </c>
      <c r="C1257" s="1" t="n">
        <v>45795</v>
      </c>
      <c r="D1257" t="inlineStr">
        <is>
          <t>DALARNAS LÄN</t>
        </is>
      </c>
      <c r="E1257" t="inlineStr">
        <is>
          <t>MORA</t>
        </is>
      </c>
      <c r="G1257" t="n">
        <v>8.6</v>
      </c>
      <c r="H1257" t="n">
        <v>0</v>
      </c>
      <c r="I1257" t="n">
        <v>0</v>
      </c>
      <c r="J1257" t="n">
        <v>0</v>
      </c>
      <c r="K1257" t="n">
        <v>0</v>
      </c>
      <c r="L1257" t="n">
        <v>0</v>
      </c>
      <c r="M1257" t="n">
        <v>0</v>
      </c>
      <c r="N1257" t="n">
        <v>0</v>
      </c>
      <c r="O1257" t="n">
        <v>0</v>
      </c>
      <c r="P1257" t="n">
        <v>0</v>
      </c>
      <c r="Q1257" t="n">
        <v>0</v>
      </c>
      <c r="R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2025-05-18T17:26:11Z</dcterms:created>
  <dcterms:modified xmlns:dcterms="http://purl.org/dc/terms/" xmlns:xsi="http://www.w3.org/2001/XMLSchema-instance" xsi:type="dcterms:W3CDTF">2025-05-18T17:26:12Z</dcterms:modified>
</cp:coreProperties>
</file>