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45761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45761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45761</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45761</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45761</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45761</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45761</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45761</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45761</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45761</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45761</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45761</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24118-2023</t>
        </is>
      </c>
      <c r="B14" s="1" t="n">
        <v>45079</v>
      </c>
      <c r="C14" s="1" t="n">
        <v>45761</v>
      </c>
      <c r="D14" t="inlineStr">
        <is>
          <t>DALARNAS LÄN</t>
        </is>
      </c>
      <c r="E14" t="inlineStr">
        <is>
          <t>MORA</t>
        </is>
      </c>
      <c r="F14" t="inlineStr">
        <is>
          <t>Bergvik skog väst AB</t>
        </is>
      </c>
      <c r="G14" t="n">
        <v>6.1</v>
      </c>
      <c r="H14" t="n">
        <v>0</v>
      </c>
      <c r="I14" t="n">
        <v>0</v>
      </c>
      <c r="J14" t="n">
        <v>11</v>
      </c>
      <c r="K14" t="n">
        <v>1</v>
      </c>
      <c r="L14" t="n">
        <v>1</v>
      </c>
      <c r="M14" t="n">
        <v>0</v>
      </c>
      <c r="N14" t="n">
        <v>0</v>
      </c>
      <c r="O14" t="n">
        <v>13</v>
      </c>
      <c r="P14" t="n">
        <v>2</v>
      </c>
      <c r="Q14" t="n">
        <v>13</v>
      </c>
      <c r="R14" s="2" t="inlineStr">
        <is>
          <t>Urskogsticka
Fläckporing
Blanksvart spiklav
Blågrå svartspik
Dvärgbägarlav
Garnlav
Kolflarnlav
Kortskaftad ärgspik
Lunglav
Mörk kolflarnlav
Nordtagging
Vedflamlav
Vedskivlav</t>
        </is>
      </c>
      <c r="S14">
        <f>HYPERLINK("https://klasma.github.io/Logging_2062/artfynd/A 24118-2023 artfynd.xlsx", "A 24118-2023")</f>
        <v/>
      </c>
      <c r="T14">
        <f>HYPERLINK("https://klasma.github.io/Logging_2062/kartor/A 24118-2023 karta.png", "A 24118-2023")</f>
        <v/>
      </c>
      <c r="U14">
        <f>HYPERLINK("https://klasma.github.io/Logging_2062/knärot/A 24118-2023 karta knärot.png", "A 24118-2023")</f>
        <v/>
      </c>
      <c r="V14">
        <f>HYPERLINK("https://klasma.github.io/Logging_2062/klagomål/A 24118-2023 FSC-klagomål.docx", "A 24118-2023")</f>
        <v/>
      </c>
      <c r="W14">
        <f>HYPERLINK("https://klasma.github.io/Logging_2062/klagomålsmail/A 24118-2023 FSC-klagomål mail.docx", "A 24118-2023")</f>
        <v/>
      </c>
      <c r="X14">
        <f>HYPERLINK("https://klasma.github.io/Logging_2062/tillsyn/A 24118-2023 tillsynsbegäran.docx", "A 24118-2023")</f>
        <v/>
      </c>
      <c r="Y14">
        <f>HYPERLINK("https://klasma.github.io/Logging_2062/tillsynsmail/A 24118-2023 tillsynsbegäran mail.docx", "A 24118-2023")</f>
        <v/>
      </c>
    </row>
    <row r="15" ht="15" customHeight="1">
      <c r="A15" t="inlineStr">
        <is>
          <t>A 64406-2023</t>
        </is>
      </c>
      <c r="B15" s="1" t="n">
        <v>45280</v>
      </c>
      <c r="C15" s="1" t="n">
        <v>45761</v>
      </c>
      <c r="D15" t="inlineStr">
        <is>
          <t>DALARNAS LÄN</t>
        </is>
      </c>
      <c r="E15" t="inlineStr">
        <is>
          <t>MORA</t>
        </is>
      </c>
      <c r="G15" t="n">
        <v>2.2</v>
      </c>
      <c r="H15" t="n">
        <v>2</v>
      </c>
      <c r="I15" t="n">
        <v>0</v>
      </c>
      <c r="J15" t="n">
        <v>8</v>
      </c>
      <c r="K15" t="n">
        <v>1</v>
      </c>
      <c r="L15" t="n">
        <v>0</v>
      </c>
      <c r="M15" t="n">
        <v>0</v>
      </c>
      <c r="N15" t="n">
        <v>0</v>
      </c>
      <c r="O15" t="n">
        <v>9</v>
      </c>
      <c r="P15" t="n">
        <v>1</v>
      </c>
      <c r="Q15" t="n">
        <v>10</v>
      </c>
      <c r="R15" s="2" t="inlineStr">
        <is>
          <t>Gräddporing
Doftskinn
Garnlav
Mörk kolflarnlav
Spillkråka
Vedflamlav
Vedskivlav
Violettgrå tagellav
Vitgrynig nållav
Fläcknycklar</t>
        </is>
      </c>
      <c r="S15">
        <f>HYPERLINK("https://klasma.github.io/Logging_2062/artfynd/A 64406-2023 artfynd.xlsx", "A 64406-2023")</f>
        <v/>
      </c>
      <c r="T15">
        <f>HYPERLINK("https://klasma.github.io/Logging_2062/kartor/A 64406-2023 karta.png", "A 64406-2023")</f>
        <v/>
      </c>
      <c r="V15">
        <f>HYPERLINK("https://klasma.github.io/Logging_2062/klagomål/A 64406-2023 FSC-klagomål.docx", "A 64406-2023")</f>
        <v/>
      </c>
      <c r="W15">
        <f>HYPERLINK("https://klasma.github.io/Logging_2062/klagomålsmail/A 64406-2023 FSC-klagomål mail.docx", "A 64406-2023")</f>
        <v/>
      </c>
      <c r="X15">
        <f>HYPERLINK("https://klasma.github.io/Logging_2062/tillsyn/A 64406-2023 tillsynsbegäran.docx", "A 64406-2023")</f>
        <v/>
      </c>
      <c r="Y15">
        <f>HYPERLINK("https://klasma.github.io/Logging_2062/tillsynsmail/A 64406-2023 tillsynsbegäran mail.docx", "A 64406-2023")</f>
        <v/>
      </c>
      <c r="Z15">
        <f>HYPERLINK("https://klasma.github.io/Logging_2062/fåglar/A 64406-2023 prioriterade fågelarter.docx", "A 64406-2023")</f>
        <v/>
      </c>
    </row>
    <row r="16" ht="15" customHeight="1">
      <c r="A16" t="inlineStr">
        <is>
          <t>A 35944-2024</t>
        </is>
      </c>
      <c r="B16" s="1" t="n">
        <v>45533</v>
      </c>
      <c r="C16" s="1" t="n">
        <v>45761</v>
      </c>
      <c r="D16" t="inlineStr">
        <is>
          <t>DALARNAS LÄN</t>
        </is>
      </c>
      <c r="E16" t="inlineStr">
        <is>
          <t>MORA</t>
        </is>
      </c>
      <c r="G16" t="n">
        <v>1.7</v>
      </c>
      <c r="H16" t="n">
        <v>2</v>
      </c>
      <c r="I16" t="n">
        <v>4</v>
      </c>
      <c r="J16" t="n">
        <v>6</v>
      </c>
      <c r="K16" t="n">
        <v>0</v>
      </c>
      <c r="L16" t="n">
        <v>0</v>
      </c>
      <c r="M16" t="n">
        <v>0</v>
      </c>
      <c r="N16" t="n">
        <v>0</v>
      </c>
      <c r="O16" t="n">
        <v>6</v>
      </c>
      <c r="P16" t="n">
        <v>0</v>
      </c>
      <c r="Q16" t="n">
        <v>10</v>
      </c>
      <c r="R16" s="2" t="inlineStr">
        <is>
          <t>Garnlav
Kortskaftad ärgspik
Spillkråka
Talltita
Ullticka
Vedtrappmossa
Bronshjon
Mindre märgborre
Thomsons trägnagare
Vedticka</t>
        </is>
      </c>
      <c r="S16">
        <f>HYPERLINK("https://klasma.github.io/Logging_2062/artfynd/A 35944-2024 artfynd.xlsx", "A 35944-2024")</f>
        <v/>
      </c>
      <c r="T16">
        <f>HYPERLINK("https://klasma.github.io/Logging_2062/kartor/A 35944-2024 karta.png", "A 35944-2024")</f>
        <v/>
      </c>
      <c r="V16">
        <f>HYPERLINK("https://klasma.github.io/Logging_2062/klagomål/A 35944-2024 FSC-klagomål.docx", "A 35944-2024")</f>
        <v/>
      </c>
      <c r="W16">
        <f>HYPERLINK("https://klasma.github.io/Logging_2062/klagomålsmail/A 35944-2024 FSC-klagomål mail.docx", "A 35944-2024")</f>
        <v/>
      </c>
      <c r="X16">
        <f>HYPERLINK("https://klasma.github.io/Logging_2062/tillsyn/A 35944-2024 tillsynsbegäran.docx", "A 35944-2024")</f>
        <v/>
      </c>
      <c r="Y16">
        <f>HYPERLINK("https://klasma.github.io/Logging_2062/tillsynsmail/A 35944-2024 tillsynsbegäran mail.docx", "A 35944-2024")</f>
        <v/>
      </c>
      <c r="Z16">
        <f>HYPERLINK("https://klasma.github.io/Logging_2062/fåglar/A 35944-2024 prioriterade fågelarter.docx", "A 35944-2024")</f>
        <v/>
      </c>
    </row>
    <row r="17" ht="15" customHeight="1">
      <c r="A17" t="inlineStr">
        <is>
          <t>A 21041-2023</t>
        </is>
      </c>
      <c r="B17" s="1" t="n">
        <v>45061</v>
      </c>
      <c r="C17" s="1" t="n">
        <v>45761</v>
      </c>
      <c r="D17" t="inlineStr">
        <is>
          <t>DALARNAS LÄN</t>
        </is>
      </c>
      <c r="E17" t="inlineStr">
        <is>
          <t>MORA</t>
        </is>
      </c>
      <c r="F17" t="inlineStr">
        <is>
          <t>Bergvik skog öst AB</t>
        </is>
      </c>
      <c r="G17" t="n">
        <v>9.9</v>
      </c>
      <c r="H17" t="n">
        <v>0</v>
      </c>
      <c r="I17" t="n">
        <v>1</v>
      </c>
      <c r="J17" t="n">
        <v>8</v>
      </c>
      <c r="K17" t="n">
        <v>0</v>
      </c>
      <c r="L17" t="n">
        <v>0</v>
      </c>
      <c r="M17" t="n">
        <v>0</v>
      </c>
      <c r="N17" t="n">
        <v>0</v>
      </c>
      <c r="O17" t="n">
        <v>8</v>
      </c>
      <c r="P17" t="n">
        <v>0</v>
      </c>
      <c r="Q17" t="n">
        <v>9</v>
      </c>
      <c r="R17" s="2" t="inlineStr">
        <is>
          <t>Dvärgbägarlav
Garnlav
Kolflarnlav
Kortskaftad ärgspik
Mörk kolflarnlav
Vedflamlav
Vedskivlav
Violettgrå tagellav
Mindre märgborre</t>
        </is>
      </c>
      <c r="S17">
        <f>HYPERLINK("https://klasma.github.io/Logging_2062/artfynd/A 21041-2023 artfynd.xlsx", "A 21041-2023")</f>
        <v/>
      </c>
      <c r="T17">
        <f>HYPERLINK("https://klasma.github.io/Logging_2062/kartor/A 21041-2023 karta.png", "A 21041-2023")</f>
        <v/>
      </c>
      <c r="V17">
        <f>HYPERLINK("https://klasma.github.io/Logging_2062/klagomål/A 21041-2023 FSC-klagomål.docx", "A 21041-2023")</f>
        <v/>
      </c>
      <c r="W17">
        <f>HYPERLINK("https://klasma.github.io/Logging_2062/klagomålsmail/A 21041-2023 FSC-klagomål mail.docx", "A 21041-2023")</f>
        <v/>
      </c>
      <c r="X17">
        <f>HYPERLINK("https://klasma.github.io/Logging_2062/tillsyn/A 21041-2023 tillsynsbegäran.docx", "A 21041-2023")</f>
        <v/>
      </c>
      <c r="Y17">
        <f>HYPERLINK("https://klasma.github.io/Logging_2062/tillsynsmail/A 21041-2023 tillsynsbegäran mail.docx", "A 21041-2023")</f>
        <v/>
      </c>
    </row>
    <row r="18" ht="15" customHeight="1">
      <c r="A18" t="inlineStr">
        <is>
          <t>A 5134-2024</t>
        </is>
      </c>
      <c r="B18" s="1" t="n">
        <v>45330</v>
      </c>
      <c r="C18" s="1" t="n">
        <v>45761</v>
      </c>
      <c r="D18" t="inlineStr">
        <is>
          <t>DALARNAS LÄN</t>
        </is>
      </c>
      <c r="E18" t="inlineStr">
        <is>
          <t>MORA</t>
        </is>
      </c>
      <c r="G18" t="n">
        <v>2</v>
      </c>
      <c r="H18" t="n">
        <v>1</v>
      </c>
      <c r="I18" t="n">
        <v>2</v>
      </c>
      <c r="J18" t="n">
        <v>7</v>
      </c>
      <c r="K18" t="n">
        <v>0</v>
      </c>
      <c r="L18" t="n">
        <v>0</v>
      </c>
      <c r="M18" t="n">
        <v>0</v>
      </c>
      <c r="N18" t="n">
        <v>0</v>
      </c>
      <c r="O18" t="n">
        <v>7</v>
      </c>
      <c r="P18" t="n">
        <v>0</v>
      </c>
      <c r="Q18" t="n">
        <v>9</v>
      </c>
      <c r="R18" s="2" t="inlineStr">
        <is>
          <t>Blå taggsvamp
Dvärgbägarlav
Garnlav
Reliktbock
Tretåig hackspett
Vedskivlav
Vitgrynig nållav
Dropptaggsvamp
Mindre märgborre</t>
        </is>
      </c>
      <c r="S18">
        <f>HYPERLINK("https://klasma.github.io/Logging_2062/artfynd/A 5134-2024 artfynd.xlsx", "A 5134-2024")</f>
        <v/>
      </c>
      <c r="T18">
        <f>HYPERLINK("https://klasma.github.io/Logging_2062/kartor/A 5134-2024 karta.png", "A 5134-2024")</f>
        <v/>
      </c>
      <c r="V18">
        <f>HYPERLINK("https://klasma.github.io/Logging_2062/klagomål/A 5134-2024 FSC-klagomål.docx", "A 5134-2024")</f>
        <v/>
      </c>
      <c r="W18">
        <f>HYPERLINK("https://klasma.github.io/Logging_2062/klagomålsmail/A 5134-2024 FSC-klagomål mail.docx", "A 5134-2024")</f>
        <v/>
      </c>
      <c r="X18">
        <f>HYPERLINK("https://klasma.github.io/Logging_2062/tillsyn/A 5134-2024 tillsynsbegäran.docx", "A 5134-2024")</f>
        <v/>
      </c>
      <c r="Y18">
        <f>HYPERLINK("https://klasma.github.io/Logging_2062/tillsynsmail/A 5134-2024 tillsynsbegäran mail.docx", "A 5134-2024")</f>
        <v/>
      </c>
      <c r="Z18">
        <f>HYPERLINK("https://klasma.github.io/Logging_2062/fåglar/A 5134-2024 prioriterade fågelarter.docx", "A 5134-2024")</f>
        <v/>
      </c>
    </row>
    <row r="19" ht="15" customHeight="1">
      <c r="A19" t="inlineStr">
        <is>
          <t>A 56438-2024</t>
        </is>
      </c>
      <c r="B19" s="1" t="n">
        <v>45625</v>
      </c>
      <c r="C19" s="1" t="n">
        <v>45761</v>
      </c>
      <c r="D19" t="inlineStr">
        <is>
          <t>DALARNAS LÄN</t>
        </is>
      </c>
      <c r="E19" t="inlineStr">
        <is>
          <t>MORA</t>
        </is>
      </c>
      <c r="G19" t="n">
        <v>8.800000000000001</v>
      </c>
      <c r="H19" t="n">
        <v>2</v>
      </c>
      <c r="I19" t="n">
        <v>1</v>
      </c>
      <c r="J19" t="n">
        <v>8</v>
      </c>
      <c r="K19" t="n">
        <v>0</v>
      </c>
      <c r="L19" t="n">
        <v>0</v>
      </c>
      <c r="M19" t="n">
        <v>0</v>
      </c>
      <c r="N19" t="n">
        <v>0</v>
      </c>
      <c r="O19" t="n">
        <v>8</v>
      </c>
      <c r="P19" t="n">
        <v>0</v>
      </c>
      <c r="Q19" t="n">
        <v>9</v>
      </c>
      <c r="R19" s="2" t="inlineStr">
        <is>
          <t>Garnlav
Kolflarnlav
Spillkråka
Tallticka
Tretåig hackspett
Ullticka
Vedskivlav
Vitgrynig nållav
Bronshjon</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61943-2024</t>
        </is>
      </c>
      <c r="B20" s="1" t="n">
        <v>45653</v>
      </c>
      <c r="C20" s="1" t="n">
        <v>45761</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5064-2023</t>
        </is>
      </c>
      <c r="B21" s="1" t="n">
        <v>44958</v>
      </c>
      <c r="C21" s="1" t="n">
        <v>45761</v>
      </c>
      <c r="D21" t="inlineStr">
        <is>
          <t>DALARNAS LÄN</t>
        </is>
      </c>
      <c r="E21" t="inlineStr">
        <is>
          <t>MORA</t>
        </is>
      </c>
      <c r="G21" t="n">
        <v>3.9</v>
      </c>
      <c r="H21" t="n">
        <v>2</v>
      </c>
      <c r="I21" t="n">
        <v>1</v>
      </c>
      <c r="J21" t="n">
        <v>7</v>
      </c>
      <c r="K21" t="n">
        <v>0</v>
      </c>
      <c r="L21" t="n">
        <v>0</v>
      </c>
      <c r="M21" t="n">
        <v>0</v>
      </c>
      <c r="N21" t="n">
        <v>0</v>
      </c>
      <c r="O21" t="n">
        <v>7</v>
      </c>
      <c r="P21" t="n">
        <v>0</v>
      </c>
      <c r="Q21" t="n">
        <v>8</v>
      </c>
      <c r="R21" s="2" t="inlineStr">
        <is>
          <t>Garnlav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54028-2020</t>
        </is>
      </c>
      <c r="B22" s="1" t="n">
        <v>44125</v>
      </c>
      <c r="C22" s="1" t="n">
        <v>45761</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45761</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45761</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45761</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45761</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45761</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45761</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45761</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45761</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45761</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45761</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45761</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45761</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45761</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45761</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45761</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45761</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45761</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45761</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45761</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45761</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45761</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45761</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26587-2023</t>
        </is>
      </c>
      <c r="B45" s="1" t="n">
        <v>45092</v>
      </c>
      <c r="C45" s="1" t="n">
        <v>45761</v>
      </c>
      <c r="D45" t="inlineStr">
        <is>
          <t>DALARNAS LÄN</t>
        </is>
      </c>
      <c r="E45" t="inlineStr">
        <is>
          <t>MORA</t>
        </is>
      </c>
      <c r="G45" t="n">
        <v>2.1</v>
      </c>
      <c r="H45" t="n">
        <v>0</v>
      </c>
      <c r="I45" t="n">
        <v>1</v>
      </c>
      <c r="J45" t="n">
        <v>1</v>
      </c>
      <c r="K45" t="n">
        <v>0</v>
      </c>
      <c r="L45" t="n">
        <v>0</v>
      </c>
      <c r="M45" t="n">
        <v>0</v>
      </c>
      <c r="N45" t="n">
        <v>0</v>
      </c>
      <c r="O45" t="n">
        <v>1</v>
      </c>
      <c r="P45" t="n">
        <v>0</v>
      </c>
      <c r="Q45" t="n">
        <v>2</v>
      </c>
      <c r="R45" s="2" t="inlineStr">
        <is>
          <t>Motaggsvamp
Mindre märgborre</t>
        </is>
      </c>
      <c r="S45">
        <f>HYPERLINK("https://klasma.github.io/Logging_2062/artfynd/A 26587-2023 artfynd.xlsx", "A 26587-2023")</f>
        <v/>
      </c>
      <c r="T45">
        <f>HYPERLINK("https://klasma.github.io/Logging_2062/kartor/A 26587-2023 karta.png", "A 26587-2023")</f>
        <v/>
      </c>
      <c r="V45">
        <f>HYPERLINK("https://klasma.github.io/Logging_2062/klagomål/A 26587-2023 FSC-klagomål.docx", "A 26587-2023")</f>
        <v/>
      </c>
      <c r="W45">
        <f>HYPERLINK("https://klasma.github.io/Logging_2062/klagomålsmail/A 26587-2023 FSC-klagomål mail.docx", "A 26587-2023")</f>
        <v/>
      </c>
      <c r="X45">
        <f>HYPERLINK("https://klasma.github.io/Logging_2062/tillsyn/A 26587-2023 tillsynsbegäran.docx", "A 26587-2023")</f>
        <v/>
      </c>
      <c r="Y45">
        <f>HYPERLINK("https://klasma.github.io/Logging_2062/tillsynsmail/A 26587-2023 tillsynsbegäran mail.docx", "A 26587-2023")</f>
        <v/>
      </c>
    </row>
    <row r="46" ht="15" customHeight="1">
      <c r="A46" t="inlineStr">
        <is>
          <t>A 30278-2023</t>
        </is>
      </c>
      <c r="B46" s="1" t="n">
        <v>45110</v>
      </c>
      <c r="C46" s="1" t="n">
        <v>45761</v>
      </c>
      <c r="D46" t="inlineStr">
        <is>
          <t>DALARNAS LÄN</t>
        </is>
      </c>
      <c r="E46" t="inlineStr">
        <is>
          <t>MORA</t>
        </is>
      </c>
      <c r="G46" t="n">
        <v>16</v>
      </c>
      <c r="H46" t="n">
        <v>0</v>
      </c>
      <c r="I46" t="n">
        <v>1</v>
      </c>
      <c r="J46" t="n">
        <v>0</v>
      </c>
      <c r="K46" t="n">
        <v>1</v>
      </c>
      <c r="L46" t="n">
        <v>0</v>
      </c>
      <c r="M46" t="n">
        <v>0</v>
      </c>
      <c r="N46" t="n">
        <v>0</v>
      </c>
      <c r="O46" t="n">
        <v>1</v>
      </c>
      <c r="P46" t="n">
        <v>1</v>
      </c>
      <c r="Q46" t="n">
        <v>2</v>
      </c>
      <c r="R46" s="2" t="inlineStr">
        <is>
          <t>Tallbarksvartbagge
Mindre märgborre</t>
        </is>
      </c>
      <c r="S46">
        <f>HYPERLINK("https://klasma.github.io/Logging_2062/artfynd/A 30278-2023 artfynd.xlsx", "A 30278-2023")</f>
        <v/>
      </c>
      <c r="T46">
        <f>HYPERLINK("https://klasma.github.io/Logging_2062/kartor/A 30278-2023 karta.png", "A 30278-2023")</f>
        <v/>
      </c>
      <c r="V46">
        <f>HYPERLINK("https://klasma.github.io/Logging_2062/klagomål/A 30278-2023 FSC-klagomål.docx", "A 30278-2023")</f>
        <v/>
      </c>
      <c r="W46">
        <f>HYPERLINK("https://klasma.github.io/Logging_2062/klagomålsmail/A 30278-2023 FSC-klagomål mail.docx", "A 30278-2023")</f>
        <v/>
      </c>
      <c r="X46">
        <f>HYPERLINK("https://klasma.github.io/Logging_2062/tillsyn/A 30278-2023 tillsynsbegäran.docx", "A 30278-2023")</f>
        <v/>
      </c>
      <c r="Y46">
        <f>HYPERLINK("https://klasma.github.io/Logging_2062/tillsynsmail/A 30278-2023 tillsynsbegäran mail.docx", "A 30278-2023")</f>
        <v/>
      </c>
    </row>
    <row r="47" ht="15" customHeight="1">
      <c r="A47" t="inlineStr">
        <is>
          <t>A 42028-2023</t>
        </is>
      </c>
      <c r="B47" s="1" t="n">
        <v>45177</v>
      </c>
      <c r="C47" s="1" t="n">
        <v>45761</v>
      </c>
      <c r="D47" t="inlineStr">
        <is>
          <t>DALARNAS LÄN</t>
        </is>
      </c>
      <c r="E47" t="inlineStr">
        <is>
          <t>MORA</t>
        </is>
      </c>
      <c r="F47" t="inlineStr">
        <is>
          <t>Allmännings- och besparingsskogar</t>
        </is>
      </c>
      <c r="G47" t="n">
        <v>6.5</v>
      </c>
      <c r="H47" t="n">
        <v>0</v>
      </c>
      <c r="I47" t="n">
        <v>0</v>
      </c>
      <c r="J47" t="n">
        <v>2</v>
      </c>
      <c r="K47" t="n">
        <v>0</v>
      </c>
      <c r="L47" t="n">
        <v>0</v>
      </c>
      <c r="M47" t="n">
        <v>0</v>
      </c>
      <c r="N47" t="n">
        <v>0</v>
      </c>
      <c r="O47" t="n">
        <v>2</v>
      </c>
      <c r="P47" t="n">
        <v>0</v>
      </c>
      <c r="Q47" t="n">
        <v>2</v>
      </c>
      <c r="R47" s="2" t="inlineStr">
        <is>
          <t>Dvärgbägarlav
Vedskivlav</t>
        </is>
      </c>
      <c r="S47">
        <f>HYPERLINK("https://klasma.github.io/Logging_2062/artfynd/A 42028-2023 artfynd.xlsx", "A 42028-2023")</f>
        <v/>
      </c>
      <c r="T47">
        <f>HYPERLINK("https://klasma.github.io/Logging_2062/kartor/A 42028-2023 karta.png", "A 42028-2023")</f>
        <v/>
      </c>
      <c r="V47">
        <f>HYPERLINK("https://klasma.github.io/Logging_2062/klagomål/A 42028-2023 FSC-klagomål.docx", "A 42028-2023")</f>
        <v/>
      </c>
      <c r="W47">
        <f>HYPERLINK("https://klasma.github.io/Logging_2062/klagomålsmail/A 42028-2023 FSC-klagomål mail.docx", "A 42028-2023")</f>
        <v/>
      </c>
      <c r="X47">
        <f>HYPERLINK("https://klasma.github.io/Logging_2062/tillsyn/A 42028-2023 tillsynsbegäran.docx", "A 42028-2023")</f>
        <v/>
      </c>
      <c r="Y47">
        <f>HYPERLINK("https://klasma.github.io/Logging_2062/tillsynsmail/A 42028-2023 tillsynsbegäran mail.docx", "A 42028-2023")</f>
        <v/>
      </c>
    </row>
    <row r="48" ht="15" customHeight="1">
      <c r="A48" t="inlineStr">
        <is>
          <t>A 33968-2020</t>
        </is>
      </c>
      <c r="B48" s="1" t="n">
        <v>44028</v>
      </c>
      <c r="C48" s="1" t="n">
        <v>45761</v>
      </c>
      <c r="D48" t="inlineStr">
        <is>
          <t>DALARNAS LÄN</t>
        </is>
      </c>
      <c r="E48" t="inlineStr">
        <is>
          <t>MORA</t>
        </is>
      </c>
      <c r="G48" t="n">
        <v>0.5</v>
      </c>
      <c r="H48" t="n">
        <v>1</v>
      </c>
      <c r="I48" t="n">
        <v>0</v>
      </c>
      <c r="J48" t="n">
        <v>1</v>
      </c>
      <c r="K48" t="n">
        <v>0</v>
      </c>
      <c r="L48" t="n">
        <v>0</v>
      </c>
      <c r="M48" t="n">
        <v>0</v>
      </c>
      <c r="N48" t="n">
        <v>0</v>
      </c>
      <c r="O48" t="n">
        <v>1</v>
      </c>
      <c r="P48" t="n">
        <v>0</v>
      </c>
      <c r="Q48" t="n">
        <v>1</v>
      </c>
      <c r="R48" s="2" t="inlineStr">
        <is>
          <t>Spillkråka</t>
        </is>
      </c>
      <c r="S48">
        <f>HYPERLINK("https://klasma.github.io/Logging_2062/artfynd/A 33968-2020 artfynd.xlsx", "A 33968-2020")</f>
        <v/>
      </c>
      <c r="T48">
        <f>HYPERLINK("https://klasma.github.io/Logging_2062/kartor/A 33968-2020 karta.png", "A 33968-2020")</f>
        <v/>
      </c>
      <c r="V48">
        <f>HYPERLINK("https://klasma.github.io/Logging_2062/klagomål/A 33968-2020 FSC-klagomål.docx", "A 33968-2020")</f>
        <v/>
      </c>
      <c r="W48">
        <f>HYPERLINK("https://klasma.github.io/Logging_2062/klagomålsmail/A 33968-2020 FSC-klagomål mail.docx", "A 33968-2020")</f>
        <v/>
      </c>
      <c r="X48">
        <f>HYPERLINK("https://klasma.github.io/Logging_2062/tillsyn/A 33968-2020 tillsynsbegäran.docx", "A 33968-2020")</f>
        <v/>
      </c>
      <c r="Y48">
        <f>HYPERLINK("https://klasma.github.io/Logging_2062/tillsynsmail/A 33968-2020 tillsynsbegäran mail.docx", "A 33968-2020")</f>
        <v/>
      </c>
      <c r="Z48">
        <f>HYPERLINK("https://klasma.github.io/Logging_2062/fåglar/A 33968-2020 prioriterade fågelarter.docx", "A 33968-2020")</f>
        <v/>
      </c>
    </row>
    <row r="49" ht="15" customHeight="1">
      <c r="A49" t="inlineStr">
        <is>
          <t>A 30328-2021</t>
        </is>
      </c>
      <c r="B49" s="1" t="n">
        <v>44364</v>
      </c>
      <c r="C49" s="1" t="n">
        <v>45761</v>
      </c>
      <c r="D49" t="inlineStr">
        <is>
          <t>DALARNAS LÄN</t>
        </is>
      </c>
      <c r="E49" t="inlineStr">
        <is>
          <t>MORA</t>
        </is>
      </c>
      <c r="F49" t="inlineStr">
        <is>
          <t>Bergvik skog öst AB</t>
        </is>
      </c>
      <c r="G49" t="n">
        <v>1.1</v>
      </c>
      <c r="H49" t="n">
        <v>1</v>
      </c>
      <c r="I49" t="n">
        <v>0</v>
      </c>
      <c r="J49" t="n">
        <v>1</v>
      </c>
      <c r="K49" t="n">
        <v>0</v>
      </c>
      <c r="L49" t="n">
        <v>0</v>
      </c>
      <c r="M49" t="n">
        <v>0</v>
      </c>
      <c r="N49" t="n">
        <v>0</v>
      </c>
      <c r="O49" t="n">
        <v>1</v>
      </c>
      <c r="P49" t="n">
        <v>0</v>
      </c>
      <c r="Q49" t="n">
        <v>1</v>
      </c>
      <c r="R49" s="2" t="inlineStr">
        <is>
          <t>Fjällvråk</t>
        </is>
      </c>
      <c r="S49">
        <f>HYPERLINK("https://klasma.github.io/Logging_2062/artfynd/A 30328-2021 artfynd.xlsx", "A 30328-2021")</f>
        <v/>
      </c>
      <c r="T49">
        <f>HYPERLINK("https://klasma.github.io/Logging_2062/kartor/A 30328-2021 karta.png", "A 30328-2021")</f>
        <v/>
      </c>
      <c r="V49">
        <f>HYPERLINK("https://klasma.github.io/Logging_2062/klagomål/A 30328-2021 FSC-klagomål.docx", "A 30328-2021")</f>
        <v/>
      </c>
      <c r="W49">
        <f>HYPERLINK("https://klasma.github.io/Logging_2062/klagomålsmail/A 30328-2021 FSC-klagomål mail.docx", "A 30328-2021")</f>
        <v/>
      </c>
      <c r="X49">
        <f>HYPERLINK("https://klasma.github.io/Logging_2062/tillsyn/A 30328-2021 tillsynsbegäran.docx", "A 30328-2021")</f>
        <v/>
      </c>
      <c r="Y49">
        <f>HYPERLINK("https://klasma.github.io/Logging_2062/tillsynsmail/A 30328-2021 tillsynsbegäran mail.docx", "A 30328-2021")</f>
        <v/>
      </c>
      <c r="Z49">
        <f>HYPERLINK("https://klasma.github.io/Logging_2062/fåglar/A 30328-2021 prioriterade fågelarter.docx", "A 30328-2021")</f>
        <v/>
      </c>
    </row>
    <row r="50" ht="15" customHeight="1">
      <c r="A50" t="inlineStr">
        <is>
          <t>A 44426-2021</t>
        </is>
      </c>
      <c r="B50" s="1" t="n">
        <v>44435</v>
      </c>
      <c r="C50" s="1" t="n">
        <v>45761</v>
      </c>
      <c r="D50" t="inlineStr">
        <is>
          <t>DALARNAS LÄN</t>
        </is>
      </c>
      <c r="E50" t="inlineStr">
        <is>
          <t>MORA</t>
        </is>
      </c>
      <c r="G50" t="n">
        <v>2.2</v>
      </c>
      <c r="H50" t="n">
        <v>0</v>
      </c>
      <c r="I50" t="n">
        <v>0</v>
      </c>
      <c r="J50" t="n">
        <v>1</v>
      </c>
      <c r="K50" t="n">
        <v>0</v>
      </c>
      <c r="L50" t="n">
        <v>0</v>
      </c>
      <c r="M50" t="n">
        <v>0</v>
      </c>
      <c r="N50" t="n">
        <v>0</v>
      </c>
      <c r="O50" t="n">
        <v>1</v>
      </c>
      <c r="P50" t="n">
        <v>0</v>
      </c>
      <c r="Q50" t="n">
        <v>1</v>
      </c>
      <c r="R50" s="2" t="inlineStr">
        <is>
          <t>Garnlav</t>
        </is>
      </c>
      <c r="S50">
        <f>HYPERLINK("https://klasma.github.io/Logging_2062/artfynd/A 44426-2021 artfynd.xlsx", "A 44426-2021")</f>
        <v/>
      </c>
      <c r="T50">
        <f>HYPERLINK("https://klasma.github.io/Logging_2062/kartor/A 44426-2021 karta.png", "A 44426-2021")</f>
        <v/>
      </c>
      <c r="V50">
        <f>HYPERLINK("https://klasma.github.io/Logging_2062/klagomål/A 44426-2021 FSC-klagomål.docx", "A 44426-2021")</f>
        <v/>
      </c>
      <c r="W50">
        <f>HYPERLINK("https://klasma.github.io/Logging_2062/klagomålsmail/A 44426-2021 FSC-klagomål mail.docx", "A 44426-2021")</f>
        <v/>
      </c>
      <c r="X50">
        <f>HYPERLINK("https://klasma.github.io/Logging_2062/tillsyn/A 44426-2021 tillsynsbegäran.docx", "A 44426-2021")</f>
        <v/>
      </c>
      <c r="Y50">
        <f>HYPERLINK("https://klasma.github.io/Logging_2062/tillsynsmail/A 44426-2021 tillsynsbegäran mail.docx", "A 44426-2021")</f>
        <v/>
      </c>
    </row>
    <row r="51" ht="15" customHeight="1">
      <c r="A51" t="inlineStr">
        <is>
          <t>A 57669-2022</t>
        </is>
      </c>
      <c r="B51" s="1" t="n">
        <v>44897</v>
      </c>
      <c r="C51" s="1" t="n">
        <v>45761</v>
      </c>
      <c r="D51" t="inlineStr">
        <is>
          <t>DALARNAS LÄN</t>
        </is>
      </c>
      <c r="E51" t="inlineStr">
        <is>
          <t>MORA</t>
        </is>
      </c>
      <c r="G51" t="n">
        <v>4.1</v>
      </c>
      <c r="H51" t="n">
        <v>0</v>
      </c>
      <c r="I51" t="n">
        <v>0</v>
      </c>
      <c r="J51" t="n">
        <v>1</v>
      </c>
      <c r="K51" t="n">
        <v>0</v>
      </c>
      <c r="L51" t="n">
        <v>0</v>
      </c>
      <c r="M51" t="n">
        <v>0</v>
      </c>
      <c r="N51" t="n">
        <v>0</v>
      </c>
      <c r="O51" t="n">
        <v>1</v>
      </c>
      <c r="P51" t="n">
        <v>0</v>
      </c>
      <c r="Q51" t="n">
        <v>1</v>
      </c>
      <c r="R51" s="2" t="inlineStr">
        <is>
          <t>Igelkott</t>
        </is>
      </c>
      <c r="S51">
        <f>HYPERLINK("https://klasma.github.io/Logging_2062/artfynd/A 57669-2022 artfynd.xlsx", "A 57669-2022")</f>
        <v/>
      </c>
      <c r="T51">
        <f>HYPERLINK("https://klasma.github.io/Logging_2062/kartor/A 57669-2022 karta.png", "A 57669-2022")</f>
        <v/>
      </c>
      <c r="V51">
        <f>HYPERLINK("https://klasma.github.io/Logging_2062/klagomål/A 57669-2022 FSC-klagomål.docx", "A 57669-2022")</f>
        <v/>
      </c>
      <c r="W51">
        <f>HYPERLINK("https://klasma.github.io/Logging_2062/klagomålsmail/A 57669-2022 FSC-klagomål mail.docx", "A 57669-2022")</f>
        <v/>
      </c>
      <c r="X51">
        <f>HYPERLINK("https://klasma.github.io/Logging_2062/tillsyn/A 57669-2022 tillsynsbegäran.docx", "A 57669-2022")</f>
        <v/>
      </c>
      <c r="Y51">
        <f>HYPERLINK("https://klasma.github.io/Logging_2062/tillsynsmail/A 57669-2022 tillsynsbegäran mail.docx", "A 57669-2022")</f>
        <v/>
      </c>
    </row>
    <row r="52" ht="15" customHeight="1">
      <c r="A52" t="inlineStr">
        <is>
          <t>A 5304-2023</t>
        </is>
      </c>
      <c r="B52" s="1" t="n">
        <v>44959</v>
      </c>
      <c r="C52" s="1" t="n">
        <v>45761</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23736-2023</t>
        </is>
      </c>
      <c r="B53" s="1" t="n">
        <v>45077</v>
      </c>
      <c r="C53" s="1" t="n">
        <v>45761</v>
      </c>
      <c r="D53" t="inlineStr">
        <is>
          <t>DALARNAS LÄN</t>
        </is>
      </c>
      <c r="E53" t="inlineStr">
        <is>
          <t>MORA</t>
        </is>
      </c>
      <c r="G53" t="n">
        <v>7.2</v>
      </c>
      <c r="H53" t="n">
        <v>0</v>
      </c>
      <c r="I53" t="n">
        <v>0</v>
      </c>
      <c r="J53" t="n">
        <v>1</v>
      </c>
      <c r="K53" t="n">
        <v>0</v>
      </c>
      <c r="L53" t="n">
        <v>0</v>
      </c>
      <c r="M53" t="n">
        <v>0</v>
      </c>
      <c r="N53" t="n">
        <v>0</v>
      </c>
      <c r="O53" t="n">
        <v>1</v>
      </c>
      <c r="P53" t="n">
        <v>0</v>
      </c>
      <c r="Q53" t="n">
        <v>1</v>
      </c>
      <c r="R53" s="2" t="inlineStr">
        <is>
          <t>Reliktbock</t>
        </is>
      </c>
      <c r="S53">
        <f>HYPERLINK("https://klasma.github.io/Logging_2062/artfynd/A 23736-2023 artfynd.xlsx", "A 23736-2023")</f>
        <v/>
      </c>
      <c r="T53">
        <f>HYPERLINK("https://klasma.github.io/Logging_2062/kartor/A 23736-2023 karta.png", "A 23736-2023")</f>
        <v/>
      </c>
      <c r="V53">
        <f>HYPERLINK("https://klasma.github.io/Logging_2062/klagomål/A 23736-2023 FSC-klagomål.docx", "A 23736-2023")</f>
        <v/>
      </c>
      <c r="W53">
        <f>HYPERLINK("https://klasma.github.io/Logging_2062/klagomålsmail/A 23736-2023 FSC-klagomål mail.docx", "A 23736-2023")</f>
        <v/>
      </c>
      <c r="X53">
        <f>HYPERLINK("https://klasma.github.io/Logging_2062/tillsyn/A 23736-2023 tillsynsbegäran.docx", "A 23736-2023")</f>
        <v/>
      </c>
      <c r="Y53">
        <f>HYPERLINK("https://klasma.github.io/Logging_2062/tillsynsmail/A 23736-2023 tillsynsbegäran mail.docx", "A 23736-2023")</f>
        <v/>
      </c>
    </row>
    <row r="54" ht="15" customHeight="1">
      <c r="A54" t="inlineStr">
        <is>
          <t>A 24681-2023</t>
        </is>
      </c>
      <c r="B54" s="1" t="n">
        <v>45084</v>
      </c>
      <c r="C54" s="1" t="n">
        <v>45761</v>
      </c>
      <c r="D54" t="inlineStr">
        <is>
          <t>DALARNAS LÄN</t>
        </is>
      </c>
      <c r="E54" t="inlineStr">
        <is>
          <t>MORA</t>
        </is>
      </c>
      <c r="G54" t="n">
        <v>8.199999999999999</v>
      </c>
      <c r="H54" t="n">
        <v>0</v>
      </c>
      <c r="I54" t="n">
        <v>0</v>
      </c>
      <c r="J54" t="n">
        <v>1</v>
      </c>
      <c r="K54" t="n">
        <v>0</v>
      </c>
      <c r="L54" t="n">
        <v>0</v>
      </c>
      <c r="M54" t="n">
        <v>0</v>
      </c>
      <c r="N54" t="n">
        <v>0</v>
      </c>
      <c r="O54" t="n">
        <v>1</v>
      </c>
      <c r="P54" t="n">
        <v>0</v>
      </c>
      <c r="Q54" t="n">
        <v>1</v>
      </c>
      <c r="R54" s="2" t="inlineStr">
        <is>
          <t>Dvärgbägarlav</t>
        </is>
      </c>
      <c r="S54">
        <f>HYPERLINK("https://klasma.github.io/Logging_2062/artfynd/A 24681-2023 artfynd.xlsx", "A 24681-2023")</f>
        <v/>
      </c>
      <c r="T54">
        <f>HYPERLINK("https://klasma.github.io/Logging_2062/kartor/A 24681-2023 karta.png", "A 24681-2023")</f>
        <v/>
      </c>
      <c r="V54">
        <f>HYPERLINK("https://klasma.github.io/Logging_2062/klagomål/A 24681-2023 FSC-klagomål.docx", "A 24681-2023")</f>
        <v/>
      </c>
      <c r="W54">
        <f>HYPERLINK("https://klasma.github.io/Logging_2062/klagomålsmail/A 24681-2023 FSC-klagomål mail.docx", "A 24681-2023")</f>
        <v/>
      </c>
      <c r="X54">
        <f>HYPERLINK("https://klasma.github.io/Logging_2062/tillsyn/A 24681-2023 tillsynsbegäran.docx", "A 24681-2023")</f>
        <v/>
      </c>
      <c r="Y54">
        <f>HYPERLINK("https://klasma.github.io/Logging_2062/tillsynsmail/A 24681-2023 tillsynsbegäran mail.docx", "A 24681-2023")</f>
        <v/>
      </c>
    </row>
    <row r="55" ht="15" customHeight="1">
      <c r="A55" t="inlineStr">
        <is>
          <t>A 30906-2023</t>
        </is>
      </c>
      <c r="B55" s="1" t="n">
        <v>45113</v>
      </c>
      <c r="C55" s="1" t="n">
        <v>45761</v>
      </c>
      <c r="D55" t="inlineStr">
        <is>
          <t>DALARNAS LÄN</t>
        </is>
      </c>
      <c r="E55" t="inlineStr">
        <is>
          <t>MORA</t>
        </is>
      </c>
      <c r="G55" t="n">
        <v>3.1</v>
      </c>
      <c r="H55" t="n">
        <v>0</v>
      </c>
      <c r="I55" t="n">
        <v>0</v>
      </c>
      <c r="J55" t="n">
        <v>0</v>
      </c>
      <c r="K55" t="n">
        <v>1</v>
      </c>
      <c r="L55" t="n">
        <v>0</v>
      </c>
      <c r="M55" t="n">
        <v>0</v>
      </c>
      <c r="N55" t="n">
        <v>0</v>
      </c>
      <c r="O55" t="n">
        <v>1</v>
      </c>
      <c r="P55" t="n">
        <v>1</v>
      </c>
      <c r="Q55" t="n">
        <v>1</v>
      </c>
      <c r="R55" s="2" t="inlineStr">
        <is>
          <t>Jättemusseron</t>
        </is>
      </c>
      <c r="S55">
        <f>HYPERLINK("https://klasma.github.io/Logging_2062/artfynd/A 30906-2023 artfynd.xlsx", "A 30906-2023")</f>
        <v/>
      </c>
      <c r="T55">
        <f>HYPERLINK("https://klasma.github.io/Logging_2062/kartor/A 30906-2023 karta.png", "A 30906-2023")</f>
        <v/>
      </c>
      <c r="V55">
        <f>HYPERLINK("https://klasma.github.io/Logging_2062/klagomål/A 30906-2023 FSC-klagomål.docx", "A 30906-2023")</f>
        <v/>
      </c>
      <c r="W55">
        <f>HYPERLINK("https://klasma.github.io/Logging_2062/klagomålsmail/A 30906-2023 FSC-klagomål mail.docx", "A 30906-2023")</f>
        <v/>
      </c>
      <c r="X55">
        <f>HYPERLINK("https://klasma.github.io/Logging_2062/tillsyn/A 30906-2023 tillsynsbegäran.docx", "A 30906-2023")</f>
        <v/>
      </c>
      <c r="Y55">
        <f>HYPERLINK("https://klasma.github.io/Logging_2062/tillsynsmail/A 30906-2023 tillsynsbegäran mail.docx", "A 30906-2023")</f>
        <v/>
      </c>
    </row>
    <row r="56" ht="15" customHeight="1">
      <c r="A56" t="inlineStr">
        <is>
          <t>A 34194-2023</t>
        </is>
      </c>
      <c r="B56" s="1" t="n">
        <v>45138</v>
      </c>
      <c r="C56" s="1" t="n">
        <v>45761</v>
      </c>
      <c r="D56" t="inlineStr">
        <is>
          <t>DALARNAS LÄN</t>
        </is>
      </c>
      <c r="E56" t="inlineStr">
        <is>
          <t>MORA</t>
        </is>
      </c>
      <c r="G56" t="n">
        <v>8.699999999999999</v>
      </c>
      <c r="H56" t="n">
        <v>0</v>
      </c>
      <c r="I56" t="n">
        <v>0</v>
      </c>
      <c r="J56" t="n">
        <v>1</v>
      </c>
      <c r="K56" t="n">
        <v>0</v>
      </c>
      <c r="L56" t="n">
        <v>0</v>
      </c>
      <c r="M56" t="n">
        <v>0</v>
      </c>
      <c r="N56" t="n">
        <v>0</v>
      </c>
      <c r="O56" t="n">
        <v>1</v>
      </c>
      <c r="P56" t="n">
        <v>0</v>
      </c>
      <c r="Q56" t="n">
        <v>1</v>
      </c>
      <c r="R56" s="2" t="inlineStr">
        <is>
          <t>Motaggsvamp</t>
        </is>
      </c>
      <c r="S56">
        <f>HYPERLINK("https://klasma.github.io/Logging_2062/artfynd/A 34194-2023 artfynd.xlsx", "A 34194-2023")</f>
        <v/>
      </c>
      <c r="T56">
        <f>HYPERLINK("https://klasma.github.io/Logging_2062/kartor/A 34194-2023 karta.png", "A 34194-2023")</f>
        <v/>
      </c>
      <c r="V56">
        <f>HYPERLINK("https://klasma.github.io/Logging_2062/klagomål/A 34194-2023 FSC-klagomål.docx", "A 34194-2023")</f>
        <v/>
      </c>
      <c r="W56">
        <f>HYPERLINK("https://klasma.github.io/Logging_2062/klagomålsmail/A 34194-2023 FSC-klagomål mail.docx", "A 34194-2023")</f>
        <v/>
      </c>
      <c r="X56">
        <f>HYPERLINK("https://klasma.github.io/Logging_2062/tillsyn/A 34194-2023 tillsynsbegäran.docx", "A 34194-2023")</f>
        <v/>
      </c>
      <c r="Y56">
        <f>HYPERLINK("https://klasma.github.io/Logging_2062/tillsynsmail/A 34194-2023 tillsynsbegäran mail.docx", "A 34194-2023")</f>
        <v/>
      </c>
    </row>
    <row r="57" ht="15" customHeight="1">
      <c r="A57" t="inlineStr">
        <is>
          <t>A 54132-2023</t>
        </is>
      </c>
      <c r="B57" s="1" t="n">
        <v>45232</v>
      </c>
      <c r="C57" s="1" t="n">
        <v>45761</v>
      </c>
      <c r="D57" t="inlineStr">
        <is>
          <t>DALARNAS LÄN</t>
        </is>
      </c>
      <c r="E57" t="inlineStr">
        <is>
          <t>MORA</t>
        </is>
      </c>
      <c r="G57" t="n">
        <v>0.9</v>
      </c>
      <c r="H57" t="n">
        <v>0</v>
      </c>
      <c r="I57" t="n">
        <v>0</v>
      </c>
      <c r="J57" t="n">
        <v>0</v>
      </c>
      <c r="K57" t="n">
        <v>1</v>
      </c>
      <c r="L57" t="n">
        <v>0</v>
      </c>
      <c r="M57" t="n">
        <v>0</v>
      </c>
      <c r="N57" t="n">
        <v>0</v>
      </c>
      <c r="O57" t="n">
        <v>1</v>
      </c>
      <c r="P57" t="n">
        <v>1</v>
      </c>
      <c r="Q57" t="n">
        <v>1</v>
      </c>
      <c r="R57" s="2" t="inlineStr">
        <is>
          <t>Jättemusseron</t>
        </is>
      </c>
      <c r="S57">
        <f>HYPERLINK("https://klasma.github.io/Logging_2062/artfynd/A 54132-2023 artfynd.xlsx", "A 54132-2023")</f>
        <v/>
      </c>
      <c r="T57">
        <f>HYPERLINK("https://klasma.github.io/Logging_2062/kartor/A 54132-2023 karta.png", "A 54132-2023")</f>
        <v/>
      </c>
      <c r="V57">
        <f>HYPERLINK("https://klasma.github.io/Logging_2062/klagomål/A 54132-2023 FSC-klagomål.docx", "A 54132-2023")</f>
        <v/>
      </c>
      <c r="W57">
        <f>HYPERLINK("https://klasma.github.io/Logging_2062/klagomålsmail/A 54132-2023 FSC-klagomål mail.docx", "A 54132-2023")</f>
        <v/>
      </c>
      <c r="X57">
        <f>HYPERLINK("https://klasma.github.io/Logging_2062/tillsyn/A 54132-2023 tillsynsbegäran.docx", "A 54132-2023")</f>
        <v/>
      </c>
      <c r="Y57">
        <f>HYPERLINK("https://klasma.github.io/Logging_2062/tillsynsmail/A 54132-2023 tillsynsbegäran mail.docx", "A 54132-2023")</f>
        <v/>
      </c>
    </row>
    <row r="58" ht="15" customHeight="1">
      <c r="A58" t="inlineStr">
        <is>
          <t>A 5691-2024</t>
        </is>
      </c>
      <c r="B58" s="1" t="n">
        <v>45334</v>
      </c>
      <c r="C58" s="1" t="n">
        <v>45761</v>
      </c>
      <c r="D58" t="inlineStr">
        <is>
          <t>DALARNAS LÄN</t>
        </is>
      </c>
      <c r="E58" t="inlineStr">
        <is>
          <t>MORA</t>
        </is>
      </c>
      <c r="G58" t="n">
        <v>3.7</v>
      </c>
      <c r="H58" t="n">
        <v>1</v>
      </c>
      <c r="I58" t="n">
        <v>0</v>
      </c>
      <c r="J58" t="n">
        <v>0</v>
      </c>
      <c r="K58" t="n">
        <v>0</v>
      </c>
      <c r="L58" t="n">
        <v>0</v>
      </c>
      <c r="M58" t="n">
        <v>0</v>
      </c>
      <c r="N58" t="n">
        <v>0</v>
      </c>
      <c r="O58" t="n">
        <v>0</v>
      </c>
      <c r="P58" t="n">
        <v>0</v>
      </c>
      <c r="Q58" t="n">
        <v>1</v>
      </c>
      <c r="R58" s="2" t="inlineStr">
        <is>
          <t>Blåsippa</t>
        </is>
      </c>
      <c r="S58">
        <f>HYPERLINK("https://klasma.github.io/Logging_2062/artfynd/A 5691-2024 artfynd.xlsx", "A 5691-2024")</f>
        <v/>
      </c>
      <c r="T58">
        <f>HYPERLINK("https://klasma.github.io/Logging_2062/kartor/A 5691-2024 karta.png", "A 5691-2024")</f>
        <v/>
      </c>
      <c r="V58">
        <f>HYPERLINK("https://klasma.github.io/Logging_2062/klagomål/A 5691-2024 FSC-klagomål.docx", "A 5691-2024")</f>
        <v/>
      </c>
      <c r="W58">
        <f>HYPERLINK("https://klasma.github.io/Logging_2062/klagomålsmail/A 5691-2024 FSC-klagomål mail.docx", "A 5691-2024")</f>
        <v/>
      </c>
      <c r="X58">
        <f>HYPERLINK("https://klasma.github.io/Logging_2062/tillsyn/A 5691-2024 tillsynsbegäran.docx", "A 5691-2024")</f>
        <v/>
      </c>
      <c r="Y58">
        <f>HYPERLINK("https://klasma.github.io/Logging_2062/tillsynsmail/A 5691-2024 tillsynsbegäran mail.docx", "A 5691-2024")</f>
        <v/>
      </c>
    </row>
    <row r="59" ht="15" customHeight="1">
      <c r="A59" t="inlineStr">
        <is>
          <t>A 15820-2024</t>
        </is>
      </c>
      <c r="B59" s="1" t="n">
        <v>45404</v>
      </c>
      <c r="C59" s="1" t="n">
        <v>45761</v>
      </c>
      <c r="D59" t="inlineStr">
        <is>
          <t>DALARNAS LÄN</t>
        </is>
      </c>
      <c r="E59" t="inlineStr">
        <is>
          <t>MORA</t>
        </is>
      </c>
      <c r="G59" t="n">
        <v>3</v>
      </c>
      <c r="H59" t="n">
        <v>1</v>
      </c>
      <c r="I59" t="n">
        <v>0</v>
      </c>
      <c r="J59" t="n">
        <v>1</v>
      </c>
      <c r="K59" t="n">
        <v>0</v>
      </c>
      <c r="L59" t="n">
        <v>0</v>
      </c>
      <c r="M59" t="n">
        <v>0</v>
      </c>
      <c r="N59" t="n">
        <v>0</v>
      </c>
      <c r="O59" t="n">
        <v>1</v>
      </c>
      <c r="P59" t="n">
        <v>0</v>
      </c>
      <c r="Q59" t="n">
        <v>1</v>
      </c>
      <c r="R59" s="2" t="inlineStr">
        <is>
          <t>Slaguggla</t>
        </is>
      </c>
      <c r="S59">
        <f>HYPERLINK("https://klasma.github.io/Logging_2062/artfynd/A 15820-2024 artfynd.xlsx", "A 15820-2024")</f>
        <v/>
      </c>
      <c r="T59">
        <f>HYPERLINK("https://klasma.github.io/Logging_2062/kartor/A 15820-2024 karta.png", "A 15820-2024")</f>
        <v/>
      </c>
      <c r="V59">
        <f>HYPERLINK("https://klasma.github.io/Logging_2062/klagomål/A 15820-2024 FSC-klagomål.docx", "A 15820-2024")</f>
        <v/>
      </c>
      <c r="W59">
        <f>HYPERLINK("https://klasma.github.io/Logging_2062/klagomålsmail/A 15820-2024 FSC-klagomål mail.docx", "A 15820-2024")</f>
        <v/>
      </c>
      <c r="X59">
        <f>HYPERLINK("https://klasma.github.io/Logging_2062/tillsyn/A 15820-2024 tillsynsbegäran.docx", "A 15820-2024")</f>
        <v/>
      </c>
      <c r="Y59">
        <f>HYPERLINK("https://klasma.github.io/Logging_2062/tillsynsmail/A 15820-2024 tillsynsbegäran mail.docx", "A 15820-2024")</f>
        <v/>
      </c>
      <c r="Z59">
        <f>HYPERLINK("https://klasma.github.io/Logging_2062/fåglar/A 15820-2024 prioriterade fågelarter.docx", "A 15820-2024")</f>
        <v/>
      </c>
    </row>
    <row r="60" ht="15" customHeight="1">
      <c r="A60" t="inlineStr">
        <is>
          <t>A 16094-2024</t>
        </is>
      </c>
      <c r="B60" s="1" t="n">
        <v>45406</v>
      </c>
      <c r="C60" s="1" t="n">
        <v>45761</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26808-2024</t>
        </is>
      </c>
      <c r="B61" s="1" t="n">
        <v>45470</v>
      </c>
      <c r="C61" s="1" t="n">
        <v>45761</v>
      </c>
      <c r="D61" t="inlineStr">
        <is>
          <t>DALARNAS LÄN</t>
        </is>
      </c>
      <c r="E61" t="inlineStr">
        <is>
          <t>MORA</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HYPERLINK("https://klasma.github.io/Logging_2062/artfynd/A 26808-2024 artfynd.xlsx", "A 26808-2024")</f>
        <v/>
      </c>
      <c r="T61">
        <f>HYPERLINK("https://klasma.github.io/Logging_2062/kartor/A 26808-2024 karta.png", "A 26808-2024")</f>
        <v/>
      </c>
      <c r="V61">
        <f>HYPERLINK("https://klasma.github.io/Logging_2062/klagomål/A 26808-2024 FSC-klagomål.docx", "A 26808-2024")</f>
        <v/>
      </c>
      <c r="W61">
        <f>HYPERLINK("https://klasma.github.io/Logging_2062/klagomålsmail/A 26808-2024 FSC-klagomål mail.docx", "A 26808-2024")</f>
        <v/>
      </c>
      <c r="X61">
        <f>HYPERLINK("https://klasma.github.io/Logging_2062/tillsyn/A 26808-2024 tillsynsbegäran.docx", "A 26808-2024")</f>
        <v/>
      </c>
      <c r="Y61">
        <f>HYPERLINK("https://klasma.github.io/Logging_2062/tillsynsmail/A 26808-2024 tillsynsbegäran mail.docx", "A 26808-2024")</f>
        <v/>
      </c>
    </row>
    <row r="62" ht="15" customHeight="1">
      <c r="A62" t="inlineStr">
        <is>
          <t>A 27113-2024</t>
        </is>
      </c>
      <c r="B62" s="1" t="n">
        <v>45471</v>
      </c>
      <c r="C62" s="1" t="n">
        <v>45761</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45410-2024</t>
        </is>
      </c>
      <c r="B63" s="1" t="n">
        <v>45576</v>
      </c>
      <c r="C63" s="1" t="n">
        <v>45761</v>
      </c>
      <c r="D63" t="inlineStr">
        <is>
          <t>DALARNAS LÄN</t>
        </is>
      </c>
      <c r="E63" t="inlineStr">
        <is>
          <t>MORA</t>
        </is>
      </c>
      <c r="G63" t="n">
        <v>1.1</v>
      </c>
      <c r="H63" t="n">
        <v>0</v>
      </c>
      <c r="I63" t="n">
        <v>0</v>
      </c>
      <c r="J63" t="n">
        <v>1</v>
      </c>
      <c r="K63" t="n">
        <v>0</v>
      </c>
      <c r="L63" t="n">
        <v>0</v>
      </c>
      <c r="M63" t="n">
        <v>0</v>
      </c>
      <c r="N63" t="n">
        <v>0</v>
      </c>
      <c r="O63" t="n">
        <v>1</v>
      </c>
      <c r="P63" t="n">
        <v>0</v>
      </c>
      <c r="Q63" t="n">
        <v>1</v>
      </c>
      <c r="R63" s="2" t="inlineStr">
        <is>
          <t>Tallticka</t>
        </is>
      </c>
      <c r="S63">
        <f>HYPERLINK("https://klasma.github.io/Logging_2062/artfynd/A 45410-2024 artfynd.xlsx", "A 45410-2024")</f>
        <v/>
      </c>
      <c r="T63">
        <f>HYPERLINK("https://klasma.github.io/Logging_2062/kartor/A 45410-2024 karta.png", "A 45410-2024")</f>
        <v/>
      </c>
      <c r="V63">
        <f>HYPERLINK("https://klasma.github.io/Logging_2062/klagomål/A 45410-2024 FSC-klagomål.docx", "A 45410-2024")</f>
        <v/>
      </c>
      <c r="W63">
        <f>HYPERLINK("https://klasma.github.io/Logging_2062/klagomålsmail/A 45410-2024 FSC-klagomål mail.docx", "A 45410-2024")</f>
        <v/>
      </c>
      <c r="X63">
        <f>HYPERLINK("https://klasma.github.io/Logging_2062/tillsyn/A 45410-2024 tillsynsbegäran.docx", "A 45410-2024")</f>
        <v/>
      </c>
      <c r="Y63">
        <f>HYPERLINK("https://klasma.github.io/Logging_2062/tillsynsmail/A 45410-2024 tillsynsbegäran mail.docx", "A 45410-2024")</f>
        <v/>
      </c>
    </row>
    <row r="64" ht="15" customHeight="1">
      <c r="A64" t="inlineStr">
        <is>
          <t>A 45344-2024</t>
        </is>
      </c>
      <c r="B64" s="1" t="n">
        <v>45576</v>
      </c>
      <c r="C64" s="1" t="n">
        <v>45761</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51213-2024</t>
        </is>
      </c>
      <c r="B65" s="1" t="n">
        <v>45603</v>
      </c>
      <c r="C65" s="1" t="n">
        <v>45761</v>
      </c>
      <c r="D65" t="inlineStr">
        <is>
          <t>DALARNAS LÄN</t>
        </is>
      </c>
      <c r="E65" t="inlineStr">
        <is>
          <t>MORA</t>
        </is>
      </c>
      <c r="G65" t="n">
        <v>0.5</v>
      </c>
      <c r="H65" t="n">
        <v>1</v>
      </c>
      <c r="I65" t="n">
        <v>0</v>
      </c>
      <c r="J65" t="n">
        <v>0</v>
      </c>
      <c r="K65" t="n">
        <v>1</v>
      </c>
      <c r="L65" t="n">
        <v>0</v>
      </c>
      <c r="M65" t="n">
        <v>0</v>
      </c>
      <c r="N65" t="n">
        <v>0</v>
      </c>
      <c r="O65" t="n">
        <v>1</v>
      </c>
      <c r="P65" t="n">
        <v>1</v>
      </c>
      <c r="Q65" t="n">
        <v>1</v>
      </c>
      <c r="R65" s="2" t="inlineStr">
        <is>
          <t>Knärot</t>
        </is>
      </c>
      <c r="S65">
        <f>HYPERLINK("https://klasma.github.io/Logging_2062/artfynd/A 51213-2024 artfynd.xlsx", "A 51213-2024")</f>
        <v/>
      </c>
      <c r="T65">
        <f>HYPERLINK("https://klasma.github.io/Logging_2062/kartor/A 51213-2024 karta.png", "A 51213-2024")</f>
        <v/>
      </c>
      <c r="U65">
        <f>HYPERLINK("https://klasma.github.io/Logging_2062/knärot/A 51213-2024 karta knärot.png", "A 51213-2024")</f>
        <v/>
      </c>
      <c r="V65">
        <f>HYPERLINK("https://klasma.github.io/Logging_2062/klagomål/A 51213-2024 FSC-klagomål.docx", "A 51213-2024")</f>
        <v/>
      </c>
      <c r="W65">
        <f>HYPERLINK("https://klasma.github.io/Logging_2062/klagomålsmail/A 51213-2024 FSC-klagomål mail.docx", "A 51213-2024")</f>
        <v/>
      </c>
      <c r="X65">
        <f>HYPERLINK("https://klasma.github.io/Logging_2062/tillsyn/A 51213-2024 tillsynsbegäran.docx", "A 51213-2024")</f>
        <v/>
      </c>
      <c r="Y65">
        <f>HYPERLINK("https://klasma.github.io/Logging_2062/tillsynsmail/A 51213-2024 tillsynsbegäran mail.docx", "A 51213-2024")</f>
        <v/>
      </c>
    </row>
    <row r="66" ht="15" customHeight="1">
      <c r="A66" t="inlineStr">
        <is>
          <t>A 831-2025</t>
        </is>
      </c>
      <c r="B66" s="1" t="n">
        <v>45665</v>
      </c>
      <c r="C66" s="1" t="n">
        <v>45761</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20226-2019</t>
        </is>
      </c>
      <c r="B67" s="1" t="n">
        <v>43570</v>
      </c>
      <c r="C67" s="1" t="n">
        <v>45761</v>
      </c>
      <c r="D67" t="inlineStr">
        <is>
          <t>DALARNAS LÄN</t>
        </is>
      </c>
      <c r="E67" t="inlineStr">
        <is>
          <t>MORA</t>
        </is>
      </c>
      <c r="G67" t="n">
        <v>4.2</v>
      </c>
      <c r="H67" t="n">
        <v>0</v>
      </c>
      <c r="I67" t="n">
        <v>0</v>
      </c>
      <c r="J67" t="n">
        <v>0</v>
      </c>
      <c r="K67" t="n">
        <v>0</v>
      </c>
      <c r="L67" t="n">
        <v>0</v>
      </c>
      <c r="M67" t="n">
        <v>0</v>
      </c>
      <c r="N67" t="n">
        <v>0</v>
      </c>
      <c r="O67" t="n">
        <v>0</v>
      </c>
      <c r="P67" t="n">
        <v>0</v>
      </c>
      <c r="Q67" t="n">
        <v>0</v>
      </c>
      <c r="R67" s="2" t="inlineStr"/>
    </row>
    <row r="68" ht="15" customHeight="1">
      <c r="A68" t="inlineStr">
        <is>
          <t>A 20464-2019</t>
        </is>
      </c>
      <c r="B68" s="1" t="n">
        <v>43572</v>
      </c>
      <c r="C68" s="1" t="n">
        <v>45761</v>
      </c>
      <c r="D68" t="inlineStr">
        <is>
          <t>DALARNAS LÄN</t>
        </is>
      </c>
      <c r="E68" t="inlineStr">
        <is>
          <t>MORA</t>
        </is>
      </c>
      <c r="G68" t="n">
        <v>12.1</v>
      </c>
      <c r="H68" t="n">
        <v>0</v>
      </c>
      <c r="I68" t="n">
        <v>0</v>
      </c>
      <c r="J68" t="n">
        <v>0</v>
      </c>
      <c r="K68" t="n">
        <v>0</v>
      </c>
      <c r="L68" t="n">
        <v>0</v>
      </c>
      <c r="M68" t="n">
        <v>0</v>
      </c>
      <c r="N68" t="n">
        <v>0</v>
      </c>
      <c r="O68" t="n">
        <v>0</v>
      </c>
      <c r="P68" t="n">
        <v>0</v>
      </c>
      <c r="Q68" t="n">
        <v>0</v>
      </c>
      <c r="R68" s="2" t="inlineStr"/>
    </row>
    <row r="69" ht="15" customHeight="1">
      <c r="A69" t="inlineStr">
        <is>
          <t>A 22970-2019</t>
        </is>
      </c>
      <c r="B69" s="1" t="n">
        <v>43591</v>
      </c>
      <c r="C69" s="1" t="n">
        <v>45761</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23665-2019</t>
        </is>
      </c>
      <c r="B70" s="1" t="n">
        <v>43594</v>
      </c>
      <c r="C70" s="1" t="n">
        <v>45761</v>
      </c>
      <c r="D70" t="inlineStr">
        <is>
          <t>DALARNAS LÄN</t>
        </is>
      </c>
      <c r="E70" t="inlineStr">
        <is>
          <t>MORA</t>
        </is>
      </c>
      <c r="G70" t="n">
        <v>1.1</v>
      </c>
      <c r="H70" t="n">
        <v>0</v>
      </c>
      <c r="I70" t="n">
        <v>0</v>
      </c>
      <c r="J70" t="n">
        <v>0</v>
      </c>
      <c r="K70" t="n">
        <v>0</v>
      </c>
      <c r="L70" t="n">
        <v>0</v>
      </c>
      <c r="M70" t="n">
        <v>0</v>
      </c>
      <c r="N70" t="n">
        <v>0</v>
      </c>
      <c r="O70" t="n">
        <v>0</v>
      </c>
      <c r="P70" t="n">
        <v>0</v>
      </c>
      <c r="Q70" t="n">
        <v>0</v>
      </c>
      <c r="R70" s="2" t="inlineStr"/>
    </row>
    <row r="71" ht="15" customHeight="1">
      <c r="A71" t="inlineStr">
        <is>
          <t>A 23636-2019</t>
        </is>
      </c>
      <c r="B71" s="1" t="n">
        <v>43594</v>
      </c>
      <c r="C71" s="1" t="n">
        <v>45761</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24630-2019</t>
        </is>
      </c>
      <c r="B72" s="1" t="n">
        <v>43601</v>
      </c>
      <c r="C72" s="1" t="n">
        <v>45761</v>
      </c>
      <c r="D72" t="inlineStr">
        <is>
          <t>DALARNAS LÄN</t>
        </is>
      </c>
      <c r="E72" t="inlineStr">
        <is>
          <t>MORA</t>
        </is>
      </c>
      <c r="G72" t="n">
        <v>5.8</v>
      </c>
      <c r="H72" t="n">
        <v>0</v>
      </c>
      <c r="I72" t="n">
        <v>0</v>
      </c>
      <c r="J72" t="n">
        <v>0</v>
      </c>
      <c r="K72" t="n">
        <v>0</v>
      </c>
      <c r="L72" t="n">
        <v>0</v>
      </c>
      <c r="M72" t="n">
        <v>0</v>
      </c>
      <c r="N72" t="n">
        <v>0</v>
      </c>
      <c r="O72" t="n">
        <v>0</v>
      </c>
      <c r="P72" t="n">
        <v>0</v>
      </c>
      <c r="Q72" t="n">
        <v>0</v>
      </c>
      <c r="R72" s="2" t="inlineStr"/>
    </row>
    <row r="73" ht="15" customHeight="1">
      <c r="A73" t="inlineStr">
        <is>
          <t>A 25235-2019</t>
        </is>
      </c>
      <c r="B73" s="1" t="n">
        <v>43601</v>
      </c>
      <c r="C73" s="1" t="n">
        <v>45761</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24960-2019</t>
        </is>
      </c>
      <c r="B74" s="1" t="n">
        <v>43602</v>
      </c>
      <c r="C74" s="1" t="n">
        <v>45761</v>
      </c>
      <c r="D74" t="inlineStr">
        <is>
          <t>DALARNAS LÄN</t>
        </is>
      </c>
      <c r="E74" t="inlineStr">
        <is>
          <t>MORA</t>
        </is>
      </c>
      <c r="G74" t="n">
        <v>2.7</v>
      </c>
      <c r="H74" t="n">
        <v>0</v>
      </c>
      <c r="I74" t="n">
        <v>0</v>
      </c>
      <c r="J74" t="n">
        <v>0</v>
      </c>
      <c r="K74" t="n">
        <v>0</v>
      </c>
      <c r="L74" t="n">
        <v>0</v>
      </c>
      <c r="M74" t="n">
        <v>0</v>
      </c>
      <c r="N74" t="n">
        <v>0</v>
      </c>
      <c r="O74" t="n">
        <v>0</v>
      </c>
      <c r="P74" t="n">
        <v>0</v>
      </c>
      <c r="Q74" t="n">
        <v>0</v>
      </c>
      <c r="R74" s="2" t="inlineStr"/>
    </row>
    <row r="75" ht="15" customHeight="1">
      <c r="A75" t="inlineStr">
        <is>
          <t>A 28917-2019</t>
        </is>
      </c>
      <c r="B75" s="1" t="n">
        <v>43612</v>
      </c>
      <c r="C75" s="1" t="n">
        <v>45761</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26405-2019</t>
        </is>
      </c>
      <c r="B76" s="1" t="n">
        <v>43612</v>
      </c>
      <c r="C76" s="1" t="n">
        <v>45761</v>
      </c>
      <c r="D76" t="inlineStr">
        <is>
          <t>DALARNAS LÄN</t>
        </is>
      </c>
      <c r="E76" t="inlineStr">
        <is>
          <t>MORA</t>
        </is>
      </c>
      <c r="G76" t="n">
        <v>3.2</v>
      </c>
      <c r="H76" t="n">
        <v>0</v>
      </c>
      <c r="I76" t="n">
        <v>0</v>
      </c>
      <c r="J76" t="n">
        <v>0</v>
      </c>
      <c r="K76" t="n">
        <v>0</v>
      </c>
      <c r="L76" t="n">
        <v>0</v>
      </c>
      <c r="M76" t="n">
        <v>0</v>
      </c>
      <c r="N76" t="n">
        <v>0</v>
      </c>
      <c r="O76" t="n">
        <v>0</v>
      </c>
      <c r="P76" t="n">
        <v>0</v>
      </c>
      <c r="Q76" t="n">
        <v>0</v>
      </c>
      <c r="R76" s="2" t="inlineStr"/>
    </row>
    <row r="77" ht="15" customHeight="1">
      <c r="A77" t="inlineStr">
        <is>
          <t>A 29231-2019</t>
        </is>
      </c>
      <c r="B77" s="1" t="n">
        <v>43623</v>
      </c>
      <c r="C77" s="1" t="n">
        <v>45761</v>
      </c>
      <c r="D77" t="inlineStr">
        <is>
          <t>DALARNAS LÄN</t>
        </is>
      </c>
      <c r="E77" t="inlineStr">
        <is>
          <t>MORA</t>
        </is>
      </c>
      <c r="G77" t="n">
        <v>24.2</v>
      </c>
      <c r="H77" t="n">
        <v>0</v>
      </c>
      <c r="I77" t="n">
        <v>0</v>
      </c>
      <c r="J77" t="n">
        <v>0</v>
      </c>
      <c r="K77" t="n">
        <v>0</v>
      </c>
      <c r="L77" t="n">
        <v>0</v>
      </c>
      <c r="M77" t="n">
        <v>0</v>
      </c>
      <c r="N77" t="n">
        <v>0</v>
      </c>
      <c r="O77" t="n">
        <v>0</v>
      </c>
      <c r="P77" t="n">
        <v>0</v>
      </c>
      <c r="Q77" t="n">
        <v>0</v>
      </c>
      <c r="R77" s="2" t="inlineStr"/>
    </row>
    <row r="78" ht="15" customHeight="1">
      <c r="A78" t="inlineStr">
        <is>
          <t>A 29370-2019</t>
        </is>
      </c>
      <c r="B78" s="1" t="n">
        <v>43629</v>
      </c>
      <c r="C78" s="1" t="n">
        <v>45761</v>
      </c>
      <c r="D78" t="inlineStr">
        <is>
          <t>DALARNAS LÄN</t>
        </is>
      </c>
      <c r="E78" t="inlineStr">
        <is>
          <t>MORA</t>
        </is>
      </c>
      <c r="G78" t="n">
        <v>2.4</v>
      </c>
      <c r="H78" t="n">
        <v>0</v>
      </c>
      <c r="I78" t="n">
        <v>0</v>
      </c>
      <c r="J78" t="n">
        <v>0</v>
      </c>
      <c r="K78" t="n">
        <v>0</v>
      </c>
      <c r="L78" t="n">
        <v>0</v>
      </c>
      <c r="M78" t="n">
        <v>0</v>
      </c>
      <c r="N78" t="n">
        <v>0</v>
      </c>
      <c r="O78" t="n">
        <v>0</v>
      </c>
      <c r="P78" t="n">
        <v>0</v>
      </c>
      <c r="Q78" t="n">
        <v>0</v>
      </c>
      <c r="R78" s="2" t="inlineStr"/>
    </row>
    <row r="79" ht="15" customHeight="1">
      <c r="A79" t="inlineStr">
        <is>
          <t>A 29395-2019</t>
        </is>
      </c>
      <c r="B79" s="1" t="n">
        <v>43629</v>
      </c>
      <c r="C79" s="1" t="n">
        <v>45761</v>
      </c>
      <c r="D79" t="inlineStr">
        <is>
          <t>DALARNAS LÄN</t>
        </is>
      </c>
      <c r="E79" t="inlineStr">
        <is>
          <t>MORA</t>
        </is>
      </c>
      <c r="G79" t="n">
        <v>1.2</v>
      </c>
      <c r="H79" t="n">
        <v>0</v>
      </c>
      <c r="I79" t="n">
        <v>0</v>
      </c>
      <c r="J79" t="n">
        <v>0</v>
      </c>
      <c r="K79" t="n">
        <v>0</v>
      </c>
      <c r="L79" t="n">
        <v>0</v>
      </c>
      <c r="M79" t="n">
        <v>0</v>
      </c>
      <c r="N79" t="n">
        <v>0</v>
      </c>
      <c r="O79" t="n">
        <v>0</v>
      </c>
      <c r="P79" t="n">
        <v>0</v>
      </c>
      <c r="Q79" t="n">
        <v>0</v>
      </c>
      <c r="R79" s="2" t="inlineStr"/>
    </row>
    <row r="80" ht="15" customHeight="1">
      <c r="A80" t="inlineStr">
        <is>
          <t>A 30487-2019</t>
        </is>
      </c>
      <c r="B80" s="1" t="n">
        <v>43635</v>
      </c>
      <c r="C80" s="1" t="n">
        <v>45761</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30558-2019</t>
        </is>
      </c>
      <c r="B81" s="1" t="n">
        <v>43635</v>
      </c>
      <c r="C81" s="1" t="n">
        <v>45761</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30585-2019</t>
        </is>
      </c>
      <c r="B82" s="1" t="n">
        <v>43635</v>
      </c>
      <c r="C82" s="1" t="n">
        <v>45761</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30665-2019</t>
        </is>
      </c>
      <c r="B83" s="1" t="n">
        <v>43636</v>
      </c>
      <c r="C83" s="1" t="n">
        <v>45761</v>
      </c>
      <c r="D83" t="inlineStr">
        <is>
          <t>DALARNAS LÄN</t>
        </is>
      </c>
      <c r="E83" t="inlineStr">
        <is>
          <t>MORA</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30674-2019</t>
        </is>
      </c>
      <c r="B84" s="1" t="n">
        <v>43636</v>
      </c>
      <c r="C84" s="1" t="n">
        <v>45761</v>
      </c>
      <c r="D84" t="inlineStr">
        <is>
          <t>DALARNAS LÄN</t>
        </is>
      </c>
      <c r="E84" t="inlineStr">
        <is>
          <t>MORA</t>
        </is>
      </c>
      <c r="F84" t="inlineStr">
        <is>
          <t>Kyrkan</t>
        </is>
      </c>
      <c r="G84" t="n">
        <v>1.4</v>
      </c>
      <c r="H84" t="n">
        <v>0</v>
      </c>
      <c r="I84" t="n">
        <v>0</v>
      </c>
      <c r="J84" t="n">
        <v>0</v>
      </c>
      <c r="K84" t="n">
        <v>0</v>
      </c>
      <c r="L84" t="n">
        <v>0</v>
      </c>
      <c r="M84" t="n">
        <v>0</v>
      </c>
      <c r="N84" t="n">
        <v>0</v>
      </c>
      <c r="O84" t="n">
        <v>0</v>
      </c>
      <c r="P84" t="n">
        <v>0</v>
      </c>
      <c r="Q84" t="n">
        <v>0</v>
      </c>
      <c r="R84" s="2" t="inlineStr"/>
    </row>
    <row r="85" ht="15" customHeight="1">
      <c r="A85" t="inlineStr">
        <is>
          <t>A 31007-2019</t>
        </is>
      </c>
      <c r="B85" s="1" t="n">
        <v>43640</v>
      </c>
      <c r="C85" s="1" t="n">
        <v>45761</v>
      </c>
      <c r="D85" t="inlineStr">
        <is>
          <t>DALARNAS LÄN</t>
        </is>
      </c>
      <c r="E85" t="inlineStr">
        <is>
          <t>MORA</t>
        </is>
      </c>
      <c r="G85" t="n">
        <v>15.2</v>
      </c>
      <c r="H85" t="n">
        <v>0</v>
      </c>
      <c r="I85" t="n">
        <v>0</v>
      </c>
      <c r="J85" t="n">
        <v>0</v>
      </c>
      <c r="K85" t="n">
        <v>0</v>
      </c>
      <c r="L85" t="n">
        <v>0</v>
      </c>
      <c r="M85" t="n">
        <v>0</v>
      </c>
      <c r="N85" t="n">
        <v>0</v>
      </c>
      <c r="O85" t="n">
        <v>0</v>
      </c>
      <c r="P85" t="n">
        <v>0</v>
      </c>
      <c r="Q85" t="n">
        <v>0</v>
      </c>
      <c r="R85" s="2" t="inlineStr"/>
    </row>
    <row r="86" ht="15" customHeight="1">
      <c r="A86" t="inlineStr">
        <is>
          <t>A 31786-2019</t>
        </is>
      </c>
      <c r="B86" s="1" t="n">
        <v>43642</v>
      </c>
      <c r="C86" s="1" t="n">
        <v>45761</v>
      </c>
      <c r="D86" t="inlineStr">
        <is>
          <t>DALARNAS LÄN</t>
        </is>
      </c>
      <c r="E86" t="inlineStr">
        <is>
          <t>MORA</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32085-2019</t>
        </is>
      </c>
      <c r="B87" s="1" t="n">
        <v>43643</v>
      </c>
      <c r="C87" s="1" t="n">
        <v>45761</v>
      </c>
      <c r="D87" t="inlineStr">
        <is>
          <t>DALARNAS LÄN</t>
        </is>
      </c>
      <c r="E87" t="inlineStr">
        <is>
          <t>MORA</t>
        </is>
      </c>
      <c r="G87" t="n">
        <v>4.6</v>
      </c>
      <c r="H87" t="n">
        <v>0</v>
      </c>
      <c r="I87" t="n">
        <v>0</v>
      </c>
      <c r="J87" t="n">
        <v>0</v>
      </c>
      <c r="K87" t="n">
        <v>0</v>
      </c>
      <c r="L87" t="n">
        <v>0</v>
      </c>
      <c r="M87" t="n">
        <v>0</v>
      </c>
      <c r="N87" t="n">
        <v>0</v>
      </c>
      <c r="O87" t="n">
        <v>0</v>
      </c>
      <c r="P87" t="n">
        <v>0</v>
      </c>
      <c r="Q87" t="n">
        <v>0</v>
      </c>
      <c r="R87" s="2" t="inlineStr"/>
    </row>
    <row r="88" ht="15" customHeight="1">
      <c r="A88" t="inlineStr">
        <is>
          <t>A 33184-2019</t>
        </is>
      </c>
      <c r="B88" s="1" t="n">
        <v>43649</v>
      </c>
      <c r="C88" s="1" t="n">
        <v>45761</v>
      </c>
      <c r="D88" t="inlineStr">
        <is>
          <t>DALARNAS LÄN</t>
        </is>
      </c>
      <c r="E88" t="inlineStr">
        <is>
          <t>MORA</t>
        </is>
      </c>
      <c r="G88" t="n">
        <v>8.1</v>
      </c>
      <c r="H88" t="n">
        <v>0</v>
      </c>
      <c r="I88" t="n">
        <v>0</v>
      </c>
      <c r="J88" t="n">
        <v>0</v>
      </c>
      <c r="K88" t="n">
        <v>0</v>
      </c>
      <c r="L88" t="n">
        <v>0</v>
      </c>
      <c r="M88" t="n">
        <v>0</v>
      </c>
      <c r="N88" t="n">
        <v>0</v>
      </c>
      <c r="O88" t="n">
        <v>0</v>
      </c>
      <c r="P88" t="n">
        <v>0</v>
      </c>
      <c r="Q88" t="n">
        <v>0</v>
      </c>
      <c r="R88" s="2" t="inlineStr"/>
    </row>
    <row r="89" ht="15" customHeight="1">
      <c r="A89" t="inlineStr">
        <is>
          <t>A 33187-2019</t>
        </is>
      </c>
      <c r="B89" s="1" t="n">
        <v>43649</v>
      </c>
      <c r="C89" s="1" t="n">
        <v>45761</v>
      </c>
      <c r="D89" t="inlineStr">
        <is>
          <t>DALARNAS LÄN</t>
        </is>
      </c>
      <c r="E89" t="inlineStr">
        <is>
          <t>MORA</t>
        </is>
      </c>
      <c r="G89" t="n">
        <v>7.1</v>
      </c>
      <c r="H89" t="n">
        <v>0</v>
      </c>
      <c r="I89" t="n">
        <v>0</v>
      </c>
      <c r="J89" t="n">
        <v>0</v>
      </c>
      <c r="K89" t="n">
        <v>0</v>
      </c>
      <c r="L89" t="n">
        <v>0</v>
      </c>
      <c r="M89" t="n">
        <v>0</v>
      </c>
      <c r="N89" t="n">
        <v>0</v>
      </c>
      <c r="O89" t="n">
        <v>0</v>
      </c>
      <c r="P89" t="n">
        <v>0</v>
      </c>
      <c r="Q89" t="n">
        <v>0</v>
      </c>
      <c r="R89" s="2" t="inlineStr"/>
    </row>
    <row r="90" ht="15" customHeight="1">
      <c r="A90" t="inlineStr">
        <is>
          <t>A 33188-2019</t>
        </is>
      </c>
      <c r="B90" s="1" t="n">
        <v>43649</v>
      </c>
      <c r="C90" s="1" t="n">
        <v>45761</v>
      </c>
      <c r="D90" t="inlineStr">
        <is>
          <t>DALARNAS LÄN</t>
        </is>
      </c>
      <c r="E90" t="inlineStr">
        <is>
          <t>MORA</t>
        </is>
      </c>
      <c r="G90" t="n">
        <v>3.9</v>
      </c>
      <c r="H90" t="n">
        <v>0</v>
      </c>
      <c r="I90" t="n">
        <v>0</v>
      </c>
      <c r="J90" t="n">
        <v>0</v>
      </c>
      <c r="K90" t="n">
        <v>0</v>
      </c>
      <c r="L90" t="n">
        <v>0</v>
      </c>
      <c r="M90" t="n">
        <v>0</v>
      </c>
      <c r="N90" t="n">
        <v>0</v>
      </c>
      <c r="O90" t="n">
        <v>0</v>
      </c>
      <c r="P90" t="n">
        <v>0</v>
      </c>
      <c r="Q90" t="n">
        <v>0</v>
      </c>
      <c r="R90" s="2" t="inlineStr"/>
    </row>
    <row r="91" ht="15" customHeight="1">
      <c r="A91" t="inlineStr">
        <is>
          <t>A 33183-2019</t>
        </is>
      </c>
      <c r="B91" s="1" t="n">
        <v>43649</v>
      </c>
      <c r="C91" s="1" t="n">
        <v>45761</v>
      </c>
      <c r="D91" t="inlineStr">
        <is>
          <t>DALARNAS LÄN</t>
        </is>
      </c>
      <c r="E91" t="inlineStr">
        <is>
          <t>MORA</t>
        </is>
      </c>
      <c r="G91" t="n">
        <v>20.1</v>
      </c>
      <c r="H91" t="n">
        <v>0</v>
      </c>
      <c r="I91" t="n">
        <v>0</v>
      </c>
      <c r="J91" t="n">
        <v>0</v>
      </c>
      <c r="K91" t="n">
        <v>0</v>
      </c>
      <c r="L91" t="n">
        <v>0</v>
      </c>
      <c r="M91" t="n">
        <v>0</v>
      </c>
      <c r="N91" t="n">
        <v>0</v>
      </c>
      <c r="O91" t="n">
        <v>0</v>
      </c>
      <c r="P91" t="n">
        <v>0</v>
      </c>
      <c r="Q91" t="n">
        <v>0</v>
      </c>
      <c r="R91" s="2" t="inlineStr"/>
    </row>
    <row r="92" ht="15" customHeight="1">
      <c r="A92" t="inlineStr">
        <is>
          <t>A 33318-2019</t>
        </is>
      </c>
      <c r="B92" s="1" t="n">
        <v>43650</v>
      </c>
      <c r="C92" s="1" t="n">
        <v>45761</v>
      </c>
      <c r="D92" t="inlineStr">
        <is>
          <t>DALARNAS LÄN</t>
        </is>
      </c>
      <c r="E92" t="inlineStr">
        <is>
          <t>MORA</t>
        </is>
      </c>
      <c r="G92" t="n">
        <v>11.8</v>
      </c>
      <c r="H92" t="n">
        <v>0</v>
      </c>
      <c r="I92" t="n">
        <v>0</v>
      </c>
      <c r="J92" t="n">
        <v>0</v>
      </c>
      <c r="K92" t="n">
        <v>0</v>
      </c>
      <c r="L92" t="n">
        <v>0</v>
      </c>
      <c r="M92" t="n">
        <v>0</v>
      </c>
      <c r="N92" t="n">
        <v>0</v>
      </c>
      <c r="O92" t="n">
        <v>0</v>
      </c>
      <c r="P92" t="n">
        <v>0</v>
      </c>
      <c r="Q92" t="n">
        <v>0</v>
      </c>
      <c r="R92" s="2" t="inlineStr"/>
    </row>
    <row r="93" ht="15" customHeight="1">
      <c r="A93" t="inlineStr">
        <is>
          <t>A 35360-2019</t>
        </is>
      </c>
      <c r="B93" s="1" t="n">
        <v>43651</v>
      </c>
      <c r="C93" s="1" t="n">
        <v>45761</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34330-2019</t>
        </is>
      </c>
      <c r="B94" s="1" t="n">
        <v>43656</v>
      </c>
      <c r="C94" s="1" t="n">
        <v>45761</v>
      </c>
      <c r="D94" t="inlineStr">
        <is>
          <t>DALARNAS LÄN</t>
        </is>
      </c>
      <c r="E94" t="inlineStr">
        <is>
          <t>MORA</t>
        </is>
      </c>
      <c r="G94" t="n">
        <v>2.6</v>
      </c>
      <c r="H94" t="n">
        <v>0</v>
      </c>
      <c r="I94" t="n">
        <v>0</v>
      </c>
      <c r="J94" t="n">
        <v>0</v>
      </c>
      <c r="K94" t="n">
        <v>0</v>
      </c>
      <c r="L94" t="n">
        <v>0</v>
      </c>
      <c r="M94" t="n">
        <v>0</v>
      </c>
      <c r="N94" t="n">
        <v>0</v>
      </c>
      <c r="O94" t="n">
        <v>0</v>
      </c>
      <c r="P94" t="n">
        <v>0</v>
      </c>
      <c r="Q94" t="n">
        <v>0</v>
      </c>
      <c r="R94" s="2" t="inlineStr"/>
    </row>
    <row r="95" ht="15" customHeight="1">
      <c r="A95" t="inlineStr">
        <is>
          <t>A 36275-2019</t>
        </is>
      </c>
      <c r="B95" s="1" t="n">
        <v>43661</v>
      </c>
      <c r="C95" s="1" t="n">
        <v>45761</v>
      </c>
      <c r="D95" t="inlineStr">
        <is>
          <t>DALARNAS LÄN</t>
        </is>
      </c>
      <c r="E95" t="inlineStr">
        <is>
          <t>MORA</t>
        </is>
      </c>
      <c r="G95" t="n">
        <v>7.3</v>
      </c>
      <c r="H95" t="n">
        <v>0</v>
      </c>
      <c r="I95" t="n">
        <v>0</v>
      </c>
      <c r="J95" t="n">
        <v>0</v>
      </c>
      <c r="K95" t="n">
        <v>0</v>
      </c>
      <c r="L95" t="n">
        <v>0</v>
      </c>
      <c r="M95" t="n">
        <v>0</v>
      </c>
      <c r="N95" t="n">
        <v>0</v>
      </c>
      <c r="O95" t="n">
        <v>0</v>
      </c>
      <c r="P95" t="n">
        <v>0</v>
      </c>
      <c r="Q95" t="n">
        <v>0</v>
      </c>
      <c r="R95" s="2" t="inlineStr"/>
    </row>
    <row r="96" ht="15" customHeight="1">
      <c r="A96" t="inlineStr">
        <is>
          <t>A 36440-2019</t>
        </is>
      </c>
      <c r="B96" s="1" t="n">
        <v>43664</v>
      </c>
      <c r="C96" s="1" t="n">
        <v>45761</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37801-2019</t>
        </is>
      </c>
      <c r="B97" s="1" t="n">
        <v>43675</v>
      </c>
      <c r="C97" s="1" t="n">
        <v>45761</v>
      </c>
      <c r="D97" t="inlineStr">
        <is>
          <t>DALARNAS LÄN</t>
        </is>
      </c>
      <c r="E97" t="inlineStr">
        <is>
          <t>MORA</t>
        </is>
      </c>
      <c r="F97" t="inlineStr">
        <is>
          <t>Allmännings- och besparingsskogar</t>
        </is>
      </c>
      <c r="G97" t="n">
        <v>6.2</v>
      </c>
      <c r="H97" t="n">
        <v>0</v>
      </c>
      <c r="I97" t="n">
        <v>0</v>
      </c>
      <c r="J97" t="n">
        <v>0</v>
      </c>
      <c r="K97" t="n">
        <v>0</v>
      </c>
      <c r="L97" t="n">
        <v>0</v>
      </c>
      <c r="M97" t="n">
        <v>0</v>
      </c>
      <c r="N97" t="n">
        <v>0</v>
      </c>
      <c r="O97" t="n">
        <v>0</v>
      </c>
      <c r="P97" t="n">
        <v>0</v>
      </c>
      <c r="Q97" t="n">
        <v>0</v>
      </c>
      <c r="R97" s="2" t="inlineStr"/>
    </row>
    <row r="98" ht="15" customHeight="1">
      <c r="A98" t="inlineStr">
        <is>
          <t>A 37816-2019</t>
        </is>
      </c>
      <c r="B98" s="1" t="n">
        <v>43675</v>
      </c>
      <c r="C98" s="1" t="n">
        <v>45761</v>
      </c>
      <c r="D98" t="inlineStr">
        <is>
          <t>DALARNAS LÄN</t>
        </is>
      </c>
      <c r="E98" t="inlineStr">
        <is>
          <t>MORA</t>
        </is>
      </c>
      <c r="F98" t="inlineStr">
        <is>
          <t>Allmännings- och besparingsskogar</t>
        </is>
      </c>
      <c r="G98" t="n">
        <v>29.9</v>
      </c>
      <c r="H98" t="n">
        <v>0</v>
      </c>
      <c r="I98" t="n">
        <v>0</v>
      </c>
      <c r="J98" t="n">
        <v>0</v>
      </c>
      <c r="K98" t="n">
        <v>0</v>
      </c>
      <c r="L98" t="n">
        <v>0</v>
      </c>
      <c r="M98" t="n">
        <v>0</v>
      </c>
      <c r="N98" t="n">
        <v>0</v>
      </c>
      <c r="O98" t="n">
        <v>0</v>
      </c>
      <c r="P98" t="n">
        <v>0</v>
      </c>
      <c r="Q98" t="n">
        <v>0</v>
      </c>
      <c r="R98" s="2" t="inlineStr"/>
    </row>
    <row r="99" ht="15" customHeight="1">
      <c r="A99" t="inlineStr">
        <is>
          <t>A 36991-2019</t>
        </is>
      </c>
      <c r="B99" s="1" t="n">
        <v>43676</v>
      </c>
      <c r="C99" s="1" t="n">
        <v>45761</v>
      </c>
      <c r="D99" t="inlineStr">
        <is>
          <t>DALARNAS LÄN</t>
        </is>
      </c>
      <c r="E99" t="inlineStr">
        <is>
          <t>MORA</t>
        </is>
      </c>
      <c r="G99" t="n">
        <v>2.7</v>
      </c>
      <c r="H99" t="n">
        <v>0</v>
      </c>
      <c r="I99" t="n">
        <v>0</v>
      </c>
      <c r="J99" t="n">
        <v>0</v>
      </c>
      <c r="K99" t="n">
        <v>0</v>
      </c>
      <c r="L99" t="n">
        <v>0</v>
      </c>
      <c r="M99" t="n">
        <v>0</v>
      </c>
      <c r="N99" t="n">
        <v>0</v>
      </c>
      <c r="O99" t="n">
        <v>0</v>
      </c>
      <c r="P99" t="n">
        <v>0</v>
      </c>
      <c r="Q99" t="n">
        <v>0</v>
      </c>
      <c r="R99" s="2" t="inlineStr"/>
    </row>
    <row r="100" ht="15" customHeight="1">
      <c r="A100" t="inlineStr">
        <is>
          <t>A 38821-2019</t>
        </is>
      </c>
      <c r="B100" s="1" t="n">
        <v>43682</v>
      </c>
      <c r="C100" s="1" t="n">
        <v>45761</v>
      </c>
      <c r="D100" t="inlineStr">
        <is>
          <t>DALARNAS LÄN</t>
        </is>
      </c>
      <c r="E100" t="inlineStr">
        <is>
          <t>MORA</t>
        </is>
      </c>
      <c r="F100" t="inlineStr">
        <is>
          <t>Allmännings- och besparingsskogar</t>
        </is>
      </c>
      <c r="G100" t="n">
        <v>7.1</v>
      </c>
      <c r="H100" t="n">
        <v>0</v>
      </c>
      <c r="I100" t="n">
        <v>0</v>
      </c>
      <c r="J100" t="n">
        <v>0</v>
      </c>
      <c r="K100" t="n">
        <v>0</v>
      </c>
      <c r="L100" t="n">
        <v>0</v>
      </c>
      <c r="M100" t="n">
        <v>0</v>
      </c>
      <c r="N100" t="n">
        <v>0</v>
      </c>
      <c r="O100" t="n">
        <v>0</v>
      </c>
      <c r="P100" t="n">
        <v>0</v>
      </c>
      <c r="Q100" t="n">
        <v>0</v>
      </c>
      <c r="R100" s="2" t="inlineStr"/>
    </row>
    <row r="101" ht="15" customHeight="1">
      <c r="A101" t="inlineStr">
        <is>
          <t>A 38514-2019</t>
        </is>
      </c>
      <c r="B101" s="1" t="n">
        <v>43685</v>
      </c>
      <c r="C101" s="1" t="n">
        <v>45761</v>
      </c>
      <c r="D101" t="inlineStr">
        <is>
          <t>DALARNAS LÄN</t>
        </is>
      </c>
      <c r="E101" t="inlineStr">
        <is>
          <t>MORA</t>
        </is>
      </c>
      <c r="F101" t="inlineStr">
        <is>
          <t>Bergvik skog öst AB</t>
        </is>
      </c>
      <c r="G101" t="n">
        <v>7.4</v>
      </c>
      <c r="H101" t="n">
        <v>0</v>
      </c>
      <c r="I101" t="n">
        <v>0</v>
      </c>
      <c r="J101" t="n">
        <v>0</v>
      </c>
      <c r="K101" t="n">
        <v>0</v>
      </c>
      <c r="L101" t="n">
        <v>0</v>
      </c>
      <c r="M101" t="n">
        <v>0</v>
      </c>
      <c r="N101" t="n">
        <v>0</v>
      </c>
      <c r="O101" t="n">
        <v>0</v>
      </c>
      <c r="P101" t="n">
        <v>0</v>
      </c>
      <c r="Q101" t="n">
        <v>0</v>
      </c>
      <c r="R101" s="2" t="inlineStr"/>
    </row>
    <row r="102" ht="15" customHeight="1">
      <c r="A102" t="inlineStr">
        <is>
          <t>A 39809-2019</t>
        </is>
      </c>
      <c r="B102" s="1" t="n">
        <v>43692</v>
      </c>
      <c r="C102" s="1" t="n">
        <v>45761</v>
      </c>
      <c r="D102" t="inlineStr">
        <is>
          <t>DALARNAS LÄN</t>
        </is>
      </c>
      <c r="E102" t="inlineStr">
        <is>
          <t>MORA</t>
        </is>
      </c>
      <c r="F102" t="inlineStr">
        <is>
          <t>Bergvik skog öst AB</t>
        </is>
      </c>
      <c r="G102" t="n">
        <v>1.4</v>
      </c>
      <c r="H102" t="n">
        <v>0</v>
      </c>
      <c r="I102" t="n">
        <v>0</v>
      </c>
      <c r="J102" t="n">
        <v>0</v>
      </c>
      <c r="K102" t="n">
        <v>0</v>
      </c>
      <c r="L102" t="n">
        <v>0</v>
      </c>
      <c r="M102" t="n">
        <v>0</v>
      </c>
      <c r="N102" t="n">
        <v>0</v>
      </c>
      <c r="O102" t="n">
        <v>0</v>
      </c>
      <c r="P102" t="n">
        <v>0</v>
      </c>
      <c r="Q102" t="n">
        <v>0</v>
      </c>
      <c r="R102" s="2" t="inlineStr"/>
    </row>
    <row r="103" ht="15" customHeight="1">
      <c r="A103" t="inlineStr">
        <is>
          <t>A 39811-2019</t>
        </is>
      </c>
      <c r="B103" s="1" t="n">
        <v>43692</v>
      </c>
      <c r="C103" s="1" t="n">
        <v>45761</v>
      </c>
      <c r="D103" t="inlineStr">
        <is>
          <t>DALARNAS LÄN</t>
        </is>
      </c>
      <c r="E103" t="inlineStr">
        <is>
          <t>MORA</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40910-2019</t>
        </is>
      </c>
      <c r="B104" s="1" t="n">
        <v>43693</v>
      </c>
      <c r="C104" s="1" t="n">
        <v>45761</v>
      </c>
      <c r="D104" t="inlineStr">
        <is>
          <t>DALARNAS LÄN</t>
        </is>
      </c>
      <c r="E104" t="inlineStr">
        <is>
          <t>MORA</t>
        </is>
      </c>
      <c r="G104" t="n">
        <v>4.2</v>
      </c>
      <c r="H104" t="n">
        <v>0</v>
      </c>
      <c r="I104" t="n">
        <v>0</v>
      </c>
      <c r="J104" t="n">
        <v>0</v>
      </c>
      <c r="K104" t="n">
        <v>0</v>
      </c>
      <c r="L104" t="n">
        <v>0</v>
      </c>
      <c r="M104" t="n">
        <v>0</v>
      </c>
      <c r="N104" t="n">
        <v>0</v>
      </c>
      <c r="O104" t="n">
        <v>0</v>
      </c>
      <c r="P104" t="n">
        <v>0</v>
      </c>
      <c r="Q104" t="n">
        <v>0</v>
      </c>
      <c r="R104" s="2" t="inlineStr"/>
    </row>
    <row r="105" ht="15" customHeight="1">
      <c r="A105" t="inlineStr">
        <is>
          <t>A 42530-2019</t>
        </is>
      </c>
      <c r="B105" s="1" t="n">
        <v>43698</v>
      </c>
      <c r="C105" s="1" t="n">
        <v>45761</v>
      </c>
      <c r="D105" t="inlineStr">
        <is>
          <t>DALARNAS LÄN</t>
        </is>
      </c>
      <c r="E105" t="inlineStr">
        <is>
          <t>MORA</t>
        </is>
      </c>
      <c r="G105" t="n">
        <v>4.7</v>
      </c>
      <c r="H105" t="n">
        <v>0</v>
      </c>
      <c r="I105" t="n">
        <v>0</v>
      </c>
      <c r="J105" t="n">
        <v>0</v>
      </c>
      <c r="K105" t="n">
        <v>0</v>
      </c>
      <c r="L105" t="n">
        <v>0</v>
      </c>
      <c r="M105" t="n">
        <v>0</v>
      </c>
      <c r="N105" t="n">
        <v>0</v>
      </c>
      <c r="O105" t="n">
        <v>0</v>
      </c>
      <c r="P105" t="n">
        <v>0</v>
      </c>
      <c r="Q105" t="n">
        <v>0</v>
      </c>
      <c r="R105" s="2" t="inlineStr"/>
    </row>
    <row r="106" ht="15" customHeight="1">
      <c r="A106" t="inlineStr">
        <is>
          <t>A 43396-2019</t>
        </is>
      </c>
      <c r="B106" s="1" t="n">
        <v>43703</v>
      </c>
      <c r="C106" s="1" t="n">
        <v>45761</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43744-2019</t>
        </is>
      </c>
      <c r="B107" s="1" t="n">
        <v>43707</v>
      </c>
      <c r="C107" s="1" t="n">
        <v>45761</v>
      </c>
      <c r="D107" t="inlineStr">
        <is>
          <t>DALARNAS LÄN</t>
        </is>
      </c>
      <c r="E107" t="inlineStr">
        <is>
          <t>MORA</t>
        </is>
      </c>
      <c r="G107" t="n">
        <v>1.3</v>
      </c>
      <c r="H107" t="n">
        <v>0</v>
      </c>
      <c r="I107" t="n">
        <v>0</v>
      </c>
      <c r="J107" t="n">
        <v>0</v>
      </c>
      <c r="K107" t="n">
        <v>0</v>
      </c>
      <c r="L107" t="n">
        <v>0</v>
      </c>
      <c r="M107" t="n">
        <v>0</v>
      </c>
      <c r="N107" t="n">
        <v>0</v>
      </c>
      <c r="O107" t="n">
        <v>0</v>
      </c>
      <c r="P107" t="n">
        <v>0</v>
      </c>
      <c r="Q107" t="n">
        <v>0</v>
      </c>
      <c r="R107" s="2" t="inlineStr"/>
    </row>
    <row r="108" ht="15" customHeight="1">
      <c r="A108" t="inlineStr">
        <is>
          <t>A 43718-2019</t>
        </is>
      </c>
      <c r="B108" s="1" t="n">
        <v>43707</v>
      </c>
      <c r="C108" s="1" t="n">
        <v>45761</v>
      </c>
      <c r="D108" t="inlineStr">
        <is>
          <t>DALARNAS LÄN</t>
        </is>
      </c>
      <c r="E108" t="inlineStr">
        <is>
          <t>MORA</t>
        </is>
      </c>
      <c r="G108" t="n">
        <v>10.7</v>
      </c>
      <c r="H108" t="n">
        <v>0</v>
      </c>
      <c r="I108" t="n">
        <v>0</v>
      </c>
      <c r="J108" t="n">
        <v>0</v>
      </c>
      <c r="K108" t="n">
        <v>0</v>
      </c>
      <c r="L108" t="n">
        <v>0</v>
      </c>
      <c r="M108" t="n">
        <v>0</v>
      </c>
      <c r="N108" t="n">
        <v>0</v>
      </c>
      <c r="O108" t="n">
        <v>0</v>
      </c>
      <c r="P108" t="n">
        <v>0</v>
      </c>
      <c r="Q108" t="n">
        <v>0</v>
      </c>
      <c r="R108" s="2" t="inlineStr"/>
    </row>
    <row r="109" ht="15" customHeight="1">
      <c r="A109" t="inlineStr">
        <is>
          <t>A 44759-2019</t>
        </is>
      </c>
      <c r="B109" s="1" t="n">
        <v>43707</v>
      </c>
      <c r="C109" s="1" t="n">
        <v>45761</v>
      </c>
      <c r="D109" t="inlineStr">
        <is>
          <t>DALARNAS LÄN</t>
        </is>
      </c>
      <c r="E109" t="inlineStr">
        <is>
          <t>MORA</t>
        </is>
      </c>
      <c r="F109" t="inlineStr">
        <is>
          <t>Allmännings- och besparingsskogar</t>
        </is>
      </c>
      <c r="G109" t="n">
        <v>6.8</v>
      </c>
      <c r="H109" t="n">
        <v>0</v>
      </c>
      <c r="I109" t="n">
        <v>0</v>
      </c>
      <c r="J109" t="n">
        <v>0</v>
      </c>
      <c r="K109" t="n">
        <v>0</v>
      </c>
      <c r="L109" t="n">
        <v>0</v>
      </c>
      <c r="M109" t="n">
        <v>0</v>
      </c>
      <c r="N109" t="n">
        <v>0</v>
      </c>
      <c r="O109" t="n">
        <v>0</v>
      </c>
      <c r="P109" t="n">
        <v>0</v>
      </c>
      <c r="Q109" t="n">
        <v>0</v>
      </c>
      <c r="R109" s="2" t="inlineStr"/>
    </row>
    <row r="110" ht="15" customHeight="1">
      <c r="A110" t="inlineStr">
        <is>
          <t>A 44766-2019</t>
        </is>
      </c>
      <c r="B110" s="1" t="n">
        <v>43707</v>
      </c>
      <c r="C110" s="1" t="n">
        <v>45761</v>
      </c>
      <c r="D110" t="inlineStr">
        <is>
          <t>DALARNAS LÄN</t>
        </is>
      </c>
      <c r="E110" t="inlineStr">
        <is>
          <t>MORA</t>
        </is>
      </c>
      <c r="F110" t="inlineStr">
        <is>
          <t>Allmännings- och besparingsskogar</t>
        </is>
      </c>
      <c r="G110" t="n">
        <v>32.2</v>
      </c>
      <c r="H110" t="n">
        <v>0</v>
      </c>
      <c r="I110" t="n">
        <v>0</v>
      </c>
      <c r="J110" t="n">
        <v>0</v>
      </c>
      <c r="K110" t="n">
        <v>0</v>
      </c>
      <c r="L110" t="n">
        <v>0</v>
      </c>
      <c r="M110" t="n">
        <v>0</v>
      </c>
      <c r="N110" t="n">
        <v>0</v>
      </c>
      <c r="O110" t="n">
        <v>0</v>
      </c>
      <c r="P110" t="n">
        <v>0</v>
      </c>
      <c r="Q110" t="n">
        <v>0</v>
      </c>
      <c r="R110" s="2" t="inlineStr"/>
    </row>
    <row r="111" ht="15" customHeight="1">
      <c r="A111" t="inlineStr">
        <is>
          <t>A 45989-2019</t>
        </is>
      </c>
      <c r="B111" s="1" t="n">
        <v>43718</v>
      </c>
      <c r="C111" s="1" t="n">
        <v>45761</v>
      </c>
      <c r="D111" t="inlineStr">
        <is>
          <t>DALARNAS LÄN</t>
        </is>
      </c>
      <c r="E111" t="inlineStr">
        <is>
          <t>MORA</t>
        </is>
      </c>
      <c r="G111" t="n">
        <v>12.9</v>
      </c>
      <c r="H111" t="n">
        <v>0</v>
      </c>
      <c r="I111" t="n">
        <v>0</v>
      </c>
      <c r="J111" t="n">
        <v>0</v>
      </c>
      <c r="K111" t="n">
        <v>0</v>
      </c>
      <c r="L111" t="n">
        <v>0</v>
      </c>
      <c r="M111" t="n">
        <v>0</v>
      </c>
      <c r="N111" t="n">
        <v>0</v>
      </c>
      <c r="O111" t="n">
        <v>0</v>
      </c>
      <c r="P111" t="n">
        <v>0</v>
      </c>
      <c r="Q111" t="n">
        <v>0</v>
      </c>
      <c r="R111" s="2" t="inlineStr"/>
    </row>
    <row r="112" ht="15" customHeight="1">
      <c r="A112" t="inlineStr">
        <is>
          <t>A 46119-2019</t>
        </is>
      </c>
      <c r="B112" s="1" t="n">
        <v>43718</v>
      </c>
      <c r="C112" s="1" t="n">
        <v>45761</v>
      </c>
      <c r="D112" t="inlineStr">
        <is>
          <t>DALARNAS LÄN</t>
        </is>
      </c>
      <c r="E112" t="inlineStr">
        <is>
          <t>MORA</t>
        </is>
      </c>
      <c r="G112" t="n">
        <v>3.2</v>
      </c>
      <c r="H112" t="n">
        <v>0</v>
      </c>
      <c r="I112" t="n">
        <v>0</v>
      </c>
      <c r="J112" t="n">
        <v>0</v>
      </c>
      <c r="K112" t="n">
        <v>0</v>
      </c>
      <c r="L112" t="n">
        <v>0</v>
      </c>
      <c r="M112" t="n">
        <v>0</v>
      </c>
      <c r="N112" t="n">
        <v>0</v>
      </c>
      <c r="O112" t="n">
        <v>0</v>
      </c>
      <c r="P112" t="n">
        <v>0</v>
      </c>
      <c r="Q112" t="n">
        <v>0</v>
      </c>
      <c r="R112" s="2" t="inlineStr"/>
    </row>
    <row r="113" ht="15" customHeight="1">
      <c r="A113" t="inlineStr">
        <is>
          <t>A 46171-2019</t>
        </is>
      </c>
      <c r="B113" s="1" t="n">
        <v>43718</v>
      </c>
      <c r="C113" s="1" t="n">
        <v>45761</v>
      </c>
      <c r="D113" t="inlineStr">
        <is>
          <t>DALARNAS LÄN</t>
        </is>
      </c>
      <c r="E113" t="inlineStr">
        <is>
          <t>MORA</t>
        </is>
      </c>
      <c r="G113" t="n">
        <v>6.1</v>
      </c>
      <c r="H113" t="n">
        <v>0</v>
      </c>
      <c r="I113" t="n">
        <v>0</v>
      </c>
      <c r="J113" t="n">
        <v>0</v>
      </c>
      <c r="K113" t="n">
        <v>0</v>
      </c>
      <c r="L113" t="n">
        <v>0</v>
      </c>
      <c r="M113" t="n">
        <v>0</v>
      </c>
      <c r="N113" t="n">
        <v>0</v>
      </c>
      <c r="O113" t="n">
        <v>0</v>
      </c>
      <c r="P113" t="n">
        <v>0</v>
      </c>
      <c r="Q113" t="n">
        <v>0</v>
      </c>
      <c r="R113" s="2" t="inlineStr"/>
    </row>
    <row r="114" ht="15" customHeight="1">
      <c r="A114" t="inlineStr">
        <is>
          <t>A 47713-2019</t>
        </is>
      </c>
      <c r="B114" s="1" t="n">
        <v>43724</v>
      </c>
      <c r="C114" s="1" t="n">
        <v>45761</v>
      </c>
      <c r="D114" t="inlineStr">
        <is>
          <t>DALARNAS LÄN</t>
        </is>
      </c>
      <c r="E114" t="inlineStr">
        <is>
          <t>MORA</t>
        </is>
      </c>
      <c r="G114" t="n">
        <v>11.4</v>
      </c>
      <c r="H114" t="n">
        <v>0</v>
      </c>
      <c r="I114" t="n">
        <v>0</v>
      </c>
      <c r="J114" t="n">
        <v>0</v>
      </c>
      <c r="K114" t="n">
        <v>0</v>
      </c>
      <c r="L114" t="n">
        <v>0</v>
      </c>
      <c r="M114" t="n">
        <v>0</v>
      </c>
      <c r="N114" t="n">
        <v>0</v>
      </c>
      <c r="O114" t="n">
        <v>0</v>
      </c>
      <c r="P114" t="n">
        <v>0</v>
      </c>
      <c r="Q114" t="n">
        <v>0</v>
      </c>
      <c r="R114" s="2" t="inlineStr"/>
    </row>
    <row r="115" ht="15" customHeight="1">
      <c r="A115" t="inlineStr">
        <is>
          <t>A 49193-2019</t>
        </is>
      </c>
      <c r="B115" s="1" t="n">
        <v>43724</v>
      </c>
      <c r="C115" s="1" t="n">
        <v>45761</v>
      </c>
      <c r="D115" t="inlineStr">
        <is>
          <t>DALARNAS LÄN</t>
        </is>
      </c>
      <c r="E115" t="inlineStr">
        <is>
          <t>MORA</t>
        </is>
      </c>
      <c r="G115" t="n">
        <v>4.3</v>
      </c>
      <c r="H115" t="n">
        <v>0</v>
      </c>
      <c r="I115" t="n">
        <v>0</v>
      </c>
      <c r="J115" t="n">
        <v>0</v>
      </c>
      <c r="K115" t="n">
        <v>0</v>
      </c>
      <c r="L115" t="n">
        <v>0</v>
      </c>
      <c r="M115" t="n">
        <v>0</v>
      </c>
      <c r="N115" t="n">
        <v>0</v>
      </c>
      <c r="O115" t="n">
        <v>0</v>
      </c>
      <c r="P115" t="n">
        <v>0</v>
      </c>
      <c r="Q115" t="n">
        <v>0</v>
      </c>
      <c r="R115" s="2" t="inlineStr"/>
    </row>
    <row r="116" ht="15" customHeight="1">
      <c r="A116" t="inlineStr">
        <is>
          <t>A 48445-2019</t>
        </is>
      </c>
      <c r="B116" s="1" t="n">
        <v>43727</v>
      </c>
      <c r="C116" s="1" t="n">
        <v>45761</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48460-2019</t>
        </is>
      </c>
      <c r="B117" s="1" t="n">
        <v>43727</v>
      </c>
      <c r="C117" s="1" t="n">
        <v>45761</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49051-2019</t>
        </is>
      </c>
      <c r="B118" s="1" t="n">
        <v>43731</v>
      </c>
      <c r="C118" s="1" t="n">
        <v>45761</v>
      </c>
      <c r="D118" t="inlineStr">
        <is>
          <t>DALARNAS LÄN</t>
        </is>
      </c>
      <c r="E118" t="inlineStr">
        <is>
          <t>MORA</t>
        </is>
      </c>
      <c r="G118" t="n">
        <v>16</v>
      </c>
      <c r="H118" t="n">
        <v>0</v>
      </c>
      <c r="I118" t="n">
        <v>0</v>
      </c>
      <c r="J118" t="n">
        <v>0</v>
      </c>
      <c r="K118" t="n">
        <v>0</v>
      </c>
      <c r="L118" t="n">
        <v>0</v>
      </c>
      <c r="M118" t="n">
        <v>0</v>
      </c>
      <c r="N118" t="n">
        <v>0</v>
      </c>
      <c r="O118" t="n">
        <v>0</v>
      </c>
      <c r="P118" t="n">
        <v>0</v>
      </c>
      <c r="Q118" t="n">
        <v>0</v>
      </c>
      <c r="R118" s="2" t="inlineStr"/>
    </row>
    <row r="119" ht="15" customHeight="1">
      <c r="A119" t="inlineStr">
        <is>
          <t>A 49290-2019</t>
        </is>
      </c>
      <c r="B119" s="1" t="n">
        <v>43731</v>
      </c>
      <c r="C119" s="1" t="n">
        <v>45761</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49765-2019</t>
        </is>
      </c>
      <c r="B120" s="1" t="n">
        <v>43733</v>
      </c>
      <c r="C120" s="1" t="n">
        <v>45761</v>
      </c>
      <c r="D120" t="inlineStr">
        <is>
          <t>DALARNAS LÄN</t>
        </is>
      </c>
      <c r="E120" t="inlineStr">
        <is>
          <t>MORA</t>
        </is>
      </c>
      <c r="F120" t="inlineStr">
        <is>
          <t>Bergvik skog väst AB</t>
        </is>
      </c>
      <c r="G120" t="n">
        <v>9.6</v>
      </c>
      <c r="H120" t="n">
        <v>0</v>
      </c>
      <c r="I120" t="n">
        <v>0</v>
      </c>
      <c r="J120" t="n">
        <v>0</v>
      </c>
      <c r="K120" t="n">
        <v>0</v>
      </c>
      <c r="L120" t="n">
        <v>0</v>
      </c>
      <c r="M120" t="n">
        <v>0</v>
      </c>
      <c r="N120" t="n">
        <v>0</v>
      </c>
      <c r="O120" t="n">
        <v>0</v>
      </c>
      <c r="P120" t="n">
        <v>0</v>
      </c>
      <c r="Q120" t="n">
        <v>0</v>
      </c>
      <c r="R120" s="2" t="inlineStr"/>
    </row>
    <row r="121" ht="15" customHeight="1">
      <c r="A121" t="inlineStr">
        <is>
          <t>A 52958-2019</t>
        </is>
      </c>
      <c r="B121" s="1" t="n">
        <v>43747</v>
      </c>
      <c r="C121" s="1" t="n">
        <v>45761</v>
      </c>
      <c r="D121" t="inlineStr">
        <is>
          <t>DALARNAS LÄN</t>
        </is>
      </c>
      <c r="E121" t="inlineStr">
        <is>
          <t>MORA</t>
        </is>
      </c>
      <c r="G121" t="n">
        <v>6.8</v>
      </c>
      <c r="H121" t="n">
        <v>0</v>
      </c>
      <c r="I121" t="n">
        <v>0</v>
      </c>
      <c r="J121" t="n">
        <v>0</v>
      </c>
      <c r="K121" t="n">
        <v>0</v>
      </c>
      <c r="L121" t="n">
        <v>0</v>
      </c>
      <c r="M121" t="n">
        <v>0</v>
      </c>
      <c r="N121" t="n">
        <v>0</v>
      </c>
      <c r="O121" t="n">
        <v>0</v>
      </c>
      <c r="P121" t="n">
        <v>0</v>
      </c>
      <c r="Q121" t="n">
        <v>0</v>
      </c>
      <c r="R121" s="2" t="inlineStr"/>
    </row>
    <row r="122" ht="15" customHeight="1">
      <c r="A122" t="inlineStr">
        <is>
          <t>A 53336-2019</t>
        </is>
      </c>
      <c r="B122" s="1" t="n">
        <v>43748</v>
      </c>
      <c r="C122" s="1" t="n">
        <v>45761</v>
      </c>
      <c r="D122" t="inlineStr">
        <is>
          <t>DALARNAS LÄN</t>
        </is>
      </c>
      <c r="E122" t="inlineStr">
        <is>
          <t>MORA</t>
        </is>
      </c>
      <c r="G122" t="n">
        <v>4.4</v>
      </c>
      <c r="H122" t="n">
        <v>0</v>
      </c>
      <c r="I122" t="n">
        <v>0</v>
      </c>
      <c r="J122" t="n">
        <v>0</v>
      </c>
      <c r="K122" t="n">
        <v>0</v>
      </c>
      <c r="L122" t="n">
        <v>0</v>
      </c>
      <c r="M122" t="n">
        <v>0</v>
      </c>
      <c r="N122" t="n">
        <v>0</v>
      </c>
      <c r="O122" t="n">
        <v>0</v>
      </c>
      <c r="P122" t="n">
        <v>0</v>
      </c>
      <c r="Q122" t="n">
        <v>0</v>
      </c>
      <c r="R122" s="2" t="inlineStr"/>
    </row>
    <row r="123" ht="15" customHeight="1">
      <c r="A123" t="inlineStr">
        <is>
          <t>A 54605-2019</t>
        </is>
      </c>
      <c r="B123" s="1" t="n">
        <v>43754</v>
      </c>
      <c r="C123" s="1" t="n">
        <v>45761</v>
      </c>
      <c r="D123" t="inlineStr">
        <is>
          <t>DALARNAS LÄN</t>
        </is>
      </c>
      <c r="E123" t="inlineStr">
        <is>
          <t>MORA</t>
        </is>
      </c>
      <c r="F123" t="inlineStr">
        <is>
          <t>Övriga Aktiebolag</t>
        </is>
      </c>
      <c r="G123" t="n">
        <v>12.7</v>
      </c>
      <c r="H123" t="n">
        <v>0</v>
      </c>
      <c r="I123" t="n">
        <v>0</v>
      </c>
      <c r="J123" t="n">
        <v>0</v>
      </c>
      <c r="K123" t="n">
        <v>0</v>
      </c>
      <c r="L123" t="n">
        <v>0</v>
      </c>
      <c r="M123" t="n">
        <v>0</v>
      </c>
      <c r="N123" t="n">
        <v>0</v>
      </c>
      <c r="O123" t="n">
        <v>0</v>
      </c>
      <c r="P123" t="n">
        <v>0</v>
      </c>
      <c r="Q123" t="n">
        <v>0</v>
      </c>
      <c r="R123" s="2" t="inlineStr"/>
    </row>
    <row r="124" ht="15" customHeight="1">
      <c r="A124" t="inlineStr">
        <is>
          <t>A 56145-2019</t>
        </is>
      </c>
      <c r="B124" s="1" t="n">
        <v>43761</v>
      </c>
      <c r="C124" s="1" t="n">
        <v>45761</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57254-2019</t>
        </is>
      </c>
      <c r="B125" s="1" t="n">
        <v>43767</v>
      </c>
      <c r="C125" s="1" t="n">
        <v>45761</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57640-2019</t>
        </is>
      </c>
      <c r="B126" s="1" t="n">
        <v>43768</v>
      </c>
      <c r="C126" s="1" t="n">
        <v>45761</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57989-2019</t>
        </is>
      </c>
      <c r="B127" s="1" t="n">
        <v>43769</v>
      </c>
      <c r="C127" s="1" t="n">
        <v>45761</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57984-2019</t>
        </is>
      </c>
      <c r="B128" s="1" t="n">
        <v>43769</v>
      </c>
      <c r="C128" s="1" t="n">
        <v>45761</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58335-2019</t>
        </is>
      </c>
      <c r="B129" s="1" t="n">
        <v>43770</v>
      </c>
      <c r="C129" s="1" t="n">
        <v>45761</v>
      </c>
      <c r="D129" t="inlineStr">
        <is>
          <t>DALARNAS LÄN</t>
        </is>
      </c>
      <c r="E129" t="inlineStr">
        <is>
          <t>MORA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61077-2019</t>
        </is>
      </c>
      <c r="B130" s="1" t="n">
        <v>43782</v>
      </c>
      <c r="C130" s="1" t="n">
        <v>45761</v>
      </c>
      <c r="D130" t="inlineStr">
        <is>
          <t>DALARNAS LÄN</t>
        </is>
      </c>
      <c r="E130" t="inlineStr">
        <is>
          <t>MORA</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61063-2019</t>
        </is>
      </c>
      <c r="B131" s="1" t="n">
        <v>43782</v>
      </c>
      <c r="C131" s="1" t="n">
        <v>45761</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61324-2019</t>
        </is>
      </c>
      <c r="B132" s="1" t="n">
        <v>43783</v>
      </c>
      <c r="C132" s="1" t="n">
        <v>45761</v>
      </c>
      <c r="D132" t="inlineStr">
        <is>
          <t>DALARNAS LÄN</t>
        </is>
      </c>
      <c r="E132" t="inlineStr">
        <is>
          <t>MORA</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61646-2019</t>
        </is>
      </c>
      <c r="B133" s="1" t="n">
        <v>43784</v>
      </c>
      <c r="C133" s="1" t="n">
        <v>45761</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62001-2019</t>
        </is>
      </c>
      <c r="B134" s="1" t="n">
        <v>43787</v>
      </c>
      <c r="C134" s="1" t="n">
        <v>45761</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63093-2019</t>
        </is>
      </c>
      <c r="B135" s="1" t="n">
        <v>43791</v>
      </c>
      <c r="C135" s="1" t="n">
        <v>45761</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63072-2019</t>
        </is>
      </c>
      <c r="B136" s="1" t="n">
        <v>43791</v>
      </c>
      <c r="C136" s="1" t="n">
        <v>45761</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63655-2019</t>
        </is>
      </c>
      <c r="B137" s="1" t="n">
        <v>43795</v>
      </c>
      <c r="C137" s="1" t="n">
        <v>45761</v>
      </c>
      <c r="D137" t="inlineStr">
        <is>
          <t>DALARNAS LÄN</t>
        </is>
      </c>
      <c r="E137" t="inlineStr">
        <is>
          <t>MORA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65090-2019</t>
        </is>
      </c>
      <c r="B138" s="1" t="n">
        <v>43802</v>
      </c>
      <c r="C138" s="1" t="n">
        <v>45761</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65460-2019</t>
        </is>
      </c>
      <c r="B139" s="1" t="n">
        <v>43803</v>
      </c>
      <c r="C139" s="1" t="n">
        <v>45761</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65633-2019</t>
        </is>
      </c>
      <c r="B140" s="1" t="n">
        <v>43804</v>
      </c>
      <c r="C140" s="1" t="n">
        <v>45761</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66214-2019</t>
        </is>
      </c>
      <c r="B141" s="1" t="n">
        <v>43808</v>
      </c>
      <c r="C141" s="1" t="n">
        <v>45761</v>
      </c>
      <c r="D141" t="inlineStr">
        <is>
          <t>DALARNAS LÄN</t>
        </is>
      </c>
      <c r="E141" t="inlineStr">
        <is>
          <t>MORA</t>
        </is>
      </c>
      <c r="G141" t="n">
        <v>5.8</v>
      </c>
      <c r="H141" t="n">
        <v>0</v>
      </c>
      <c r="I141" t="n">
        <v>0</v>
      </c>
      <c r="J141" t="n">
        <v>0</v>
      </c>
      <c r="K141" t="n">
        <v>0</v>
      </c>
      <c r="L141" t="n">
        <v>0</v>
      </c>
      <c r="M141" t="n">
        <v>0</v>
      </c>
      <c r="N141" t="n">
        <v>0</v>
      </c>
      <c r="O141" t="n">
        <v>0</v>
      </c>
      <c r="P141" t="n">
        <v>0</v>
      </c>
      <c r="Q141" t="n">
        <v>0</v>
      </c>
      <c r="R141" s="2" t="inlineStr"/>
    </row>
    <row r="142" ht="15" customHeight="1">
      <c r="A142" t="inlineStr">
        <is>
          <t>A 66873-2019</t>
        </is>
      </c>
      <c r="B142" s="1" t="n">
        <v>43810</v>
      </c>
      <c r="C142" s="1" t="n">
        <v>45761</v>
      </c>
      <c r="D142" t="inlineStr">
        <is>
          <t>DALARNAS LÄN</t>
        </is>
      </c>
      <c r="E142" t="inlineStr">
        <is>
          <t>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66868-2019</t>
        </is>
      </c>
      <c r="B143" s="1" t="n">
        <v>43810</v>
      </c>
      <c r="C143" s="1" t="n">
        <v>45761</v>
      </c>
      <c r="D143" t="inlineStr">
        <is>
          <t>DALARNAS LÄN</t>
        </is>
      </c>
      <c r="E143" t="inlineStr">
        <is>
          <t>MORA</t>
        </is>
      </c>
      <c r="G143" t="n">
        <v>3.3</v>
      </c>
      <c r="H143" t="n">
        <v>0</v>
      </c>
      <c r="I143" t="n">
        <v>0</v>
      </c>
      <c r="J143" t="n">
        <v>0</v>
      </c>
      <c r="K143" t="n">
        <v>0</v>
      </c>
      <c r="L143" t="n">
        <v>0</v>
      </c>
      <c r="M143" t="n">
        <v>0</v>
      </c>
      <c r="N143" t="n">
        <v>0</v>
      </c>
      <c r="O143" t="n">
        <v>0</v>
      </c>
      <c r="P143" t="n">
        <v>0</v>
      </c>
      <c r="Q143" t="n">
        <v>0</v>
      </c>
      <c r="R143" s="2" t="inlineStr"/>
    </row>
    <row r="144" ht="15" customHeight="1">
      <c r="A144" t="inlineStr">
        <is>
          <t>A 66878-2019</t>
        </is>
      </c>
      <c r="B144" s="1" t="n">
        <v>43810</v>
      </c>
      <c r="C144" s="1" t="n">
        <v>45761</v>
      </c>
      <c r="D144" t="inlineStr">
        <is>
          <t>DALARNAS LÄN</t>
        </is>
      </c>
      <c r="E144" t="inlineStr">
        <is>
          <t>MORA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67986-2019</t>
        </is>
      </c>
      <c r="B145" s="1" t="n">
        <v>43811</v>
      </c>
      <c r="C145" s="1" t="n">
        <v>45761</v>
      </c>
      <c r="D145" t="inlineStr">
        <is>
          <t>DALARNAS LÄN</t>
        </is>
      </c>
      <c r="E145" t="inlineStr">
        <is>
          <t>MORA</t>
        </is>
      </c>
      <c r="G145" t="n">
        <v>3.8</v>
      </c>
      <c r="H145" t="n">
        <v>0</v>
      </c>
      <c r="I145" t="n">
        <v>0</v>
      </c>
      <c r="J145" t="n">
        <v>0</v>
      </c>
      <c r="K145" t="n">
        <v>0</v>
      </c>
      <c r="L145" t="n">
        <v>0</v>
      </c>
      <c r="M145" t="n">
        <v>0</v>
      </c>
      <c r="N145" t="n">
        <v>0</v>
      </c>
      <c r="O145" t="n">
        <v>0</v>
      </c>
      <c r="P145" t="n">
        <v>0</v>
      </c>
      <c r="Q145" t="n">
        <v>0</v>
      </c>
      <c r="R145" s="2" t="inlineStr"/>
    </row>
    <row r="146" ht="15" customHeight="1">
      <c r="A146" t="inlineStr">
        <is>
          <t>A 67633-2019</t>
        </is>
      </c>
      <c r="B146" s="1" t="n">
        <v>43815</v>
      </c>
      <c r="C146" s="1" t="n">
        <v>45761</v>
      </c>
      <c r="D146" t="inlineStr">
        <is>
          <t>DALARNAS LÄN</t>
        </is>
      </c>
      <c r="E146" t="inlineStr">
        <is>
          <t>MORA</t>
        </is>
      </c>
      <c r="G146" t="n">
        <v>4.7</v>
      </c>
      <c r="H146" t="n">
        <v>0</v>
      </c>
      <c r="I146" t="n">
        <v>0</v>
      </c>
      <c r="J146" t="n">
        <v>0</v>
      </c>
      <c r="K146" t="n">
        <v>0</v>
      </c>
      <c r="L146" t="n">
        <v>0</v>
      </c>
      <c r="M146" t="n">
        <v>0</v>
      </c>
      <c r="N146" t="n">
        <v>0</v>
      </c>
      <c r="O146" t="n">
        <v>0</v>
      </c>
      <c r="P146" t="n">
        <v>0</v>
      </c>
      <c r="Q146" t="n">
        <v>0</v>
      </c>
      <c r="R146" s="2" t="inlineStr"/>
    </row>
    <row r="147" ht="15" customHeight="1">
      <c r="A147" t="inlineStr">
        <is>
          <t>A 564-2020</t>
        </is>
      </c>
      <c r="B147" s="1" t="n">
        <v>43817</v>
      </c>
      <c r="C147" s="1" t="n">
        <v>45761</v>
      </c>
      <c r="D147" t="inlineStr">
        <is>
          <t>DALARNAS LÄN</t>
        </is>
      </c>
      <c r="E147" t="inlineStr">
        <is>
          <t>MORA</t>
        </is>
      </c>
      <c r="F147" t="inlineStr">
        <is>
          <t>Kommuner</t>
        </is>
      </c>
      <c r="G147" t="n">
        <v>56.1</v>
      </c>
      <c r="H147" t="n">
        <v>0</v>
      </c>
      <c r="I147" t="n">
        <v>0</v>
      </c>
      <c r="J147" t="n">
        <v>0</v>
      </c>
      <c r="K147" t="n">
        <v>0</v>
      </c>
      <c r="L147" t="n">
        <v>0</v>
      </c>
      <c r="M147" t="n">
        <v>0</v>
      </c>
      <c r="N147" t="n">
        <v>0</v>
      </c>
      <c r="O147" t="n">
        <v>0</v>
      </c>
      <c r="P147" t="n">
        <v>0</v>
      </c>
      <c r="Q147" t="n">
        <v>0</v>
      </c>
      <c r="R147" s="2" t="inlineStr"/>
    </row>
    <row r="148" ht="15" customHeight="1">
      <c r="A148" t="inlineStr">
        <is>
          <t>A 68092-2019</t>
        </is>
      </c>
      <c r="B148" s="1" t="n">
        <v>43817</v>
      </c>
      <c r="C148" s="1" t="n">
        <v>45761</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1506-2020</t>
        </is>
      </c>
      <c r="B149" s="1" t="n">
        <v>43826</v>
      </c>
      <c r="C149" s="1" t="n">
        <v>45761</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472-2020</t>
        </is>
      </c>
      <c r="B150" s="1" t="n">
        <v>43837</v>
      </c>
      <c r="C150" s="1" t="n">
        <v>45761</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1841-2020</t>
        </is>
      </c>
      <c r="B151" s="1" t="n">
        <v>43844</v>
      </c>
      <c r="C151" s="1" t="n">
        <v>45761</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3588-2020</t>
        </is>
      </c>
      <c r="B152" s="1" t="n">
        <v>43845</v>
      </c>
      <c r="C152" s="1" t="n">
        <v>45761</v>
      </c>
      <c r="D152" t="inlineStr">
        <is>
          <t>DALARNAS LÄN</t>
        </is>
      </c>
      <c r="E152" t="inlineStr">
        <is>
          <t>MORA</t>
        </is>
      </c>
      <c r="G152" t="n">
        <v>3</v>
      </c>
      <c r="H152" t="n">
        <v>0</v>
      </c>
      <c r="I152" t="n">
        <v>0</v>
      </c>
      <c r="J152" t="n">
        <v>0</v>
      </c>
      <c r="K152" t="n">
        <v>0</v>
      </c>
      <c r="L152" t="n">
        <v>0</v>
      </c>
      <c r="M152" t="n">
        <v>0</v>
      </c>
      <c r="N152" t="n">
        <v>0</v>
      </c>
      <c r="O152" t="n">
        <v>0</v>
      </c>
      <c r="P152" t="n">
        <v>0</v>
      </c>
      <c r="Q152" t="n">
        <v>0</v>
      </c>
      <c r="R152" s="2" t="inlineStr"/>
    </row>
    <row r="153" ht="15" customHeight="1">
      <c r="A153" t="inlineStr">
        <is>
          <t>A 4106-2020</t>
        </is>
      </c>
      <c r="B153" s="1" t="n">
        <v>43857</v>
      </c>
      <c r="C153" s="1" t="n">
        <v>45761</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4818-2020</t>
        </is>
      </c>
      <c r="B154" s="1" t="n">
        <v>43859</v>
      </c>
      <c r="C154" s="1" t="n">
        <v>45761</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6012-2020</t>
        </is>
      </c>
      <c r="B155" s="1" t="n">
        <v>43865</v>
      </c>
      <c r="C155" s="1" t="n">
        <v>45761</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7093-2020</t>
        </is>
      </c>
      <c r="B156" s="1" t="n">
        <v>43868</v>
      </c>
      <c r="C156" s="1" t="n">
        <v>45761</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7382-2020</t>
        </is>
      </c>
      <c r="B157" s="1" t="n">
        <v>43871</v>
      </c>
      <c r="C157" s="1" t="n">
        <v>45761</v>
      </c>
      <c r="D157" t="inlineStr">
        <is>
          <t>DALARNAS LÄN</t>
        </is>
      </c>
      <c r="E157" t="inlineStr">
        <is>
          <t>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10704-2020</t>
        </is>
      </c>
      <c r="B158" s="1" t="n">
        <v>43888</v>
      </c>
      <c r="C158" s="1" t="n">
        <v>45761</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12360-2020</t>
        </is>
      </c>
      <c r="B159" s="1" t="n">
        <v>43896</v>
      </c>
      <c r="C159" s="1" t="n">
        <v>45761</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12723-2020</t>
        </is>
      </c>
      <c r="B160" s="1" t="n">
        <v>43899</v>
      </c>
      <c r="C160" s="1" t="n">
        <v>45761</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13943-2020</t>
        </is>
      </c>
      <c r="B161" s="1" t="n">
        <v>43906</v>
      </c>
      <c r="C161" s="1" t="n">
        <v>45761</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16636-2020</t>
        </is>
      </c>
      <c r="B162" s="1" t="n">
        <v>43910</v>
      </c>
      <c r="C162" s="1" t="n">
        <v>45761</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16194-2020</t>
        </is>
      </c>
      <c r="B163" s="1" t="n">
        <v>43917</v>
      </c>
      <c r="C163" s="1" t="n">
        <v>45761</v>
      </c>
      <c r="D163" t="inlineStr">
        <is>
          <t>DALARNAS LÄN</t>
        </is>
      </c>
      <c r="E163" t="inlineStr">
        <is>
          <t>MORA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16195-2020</t>
        </is>
      </c>
      <c r="B164" s="1" t="n">
        <v>43917</v>
      </c>
      <c r="C164" s="1" t="n">
        <v>45761</v>
      </c>
      <c r="D164" t="inlineStr">
        <is>
          <t>DALARNAS LÄN</t>
        </is>
      </c>
      <c r="E164" t="inlineStr">
        <is>
          <t>MORA</t>
        </is>
      </c>
      <c r="F164" t="inlineStr">
        <is>
          <t>Bergvik skog väst AB</t>
        </is>
      </c>
      <c r="G164" t="n">
        <v>4.3</v>
      </c>
      <c r="H164" t="n">
        <v>0</v>
      </c>
      <c r="I164" t="n">
        <v>0</v>
      </c>
      <c r="J164" t="n">
        <v>0</v>
      </c>
      <c r="K164" t="n">
        <v>0</v>
      </c>
      <c r="L164" t="n">
        <v>0</v>
      </c>
      <c r="M164" t="n">
        <v>0</v>
      </c>
      <c r="N164" t="n">
        <v>0</v>
      </c>
      <c r="O164" t="n">
        <v>0</v>
      </c>
      <c r="P164" t="n">
        <v>0</v>
      </c>
      <c r="Q164" t="n">
        <v>0</v>
      </c>
      <c r="R164" s="2" t="inlineStr"/>
    </row>
    <row r="165" ht="15" customHeight="1">
      <c r="A165" t="inlineStr">
        <is>
          <t>A 18989-2020</t>
        </is>
      </c>
      <c r="B165" s="1" t="n">
        <v>43935</v>
      </c>
      <c r="C165" s="1" t="n">
        <v>45761</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18978-2020</t>
        </is>
      </c>
      <c r="B166" s="1" t="n">
        <v>43935</v>
      </c>
      <c r="C166" s="1" t="n">
        <v>45761</v>
      </c>
      <c r="D166" t="inlineStr">
        <is>
          <t>DALARNAS LÄN</t>
        </is>
      </c>
      <c r="E166" t="inlineStr">
        <is>
          <t>MORA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19507-2020</t>
        </is>
      </c>
      <c r="B167" s="1" t="n">
        <v>43938</v>
      </c>
      <c r="C167" s="1" t="n">
        <v>45761</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21122-2020</t>
        </is>
      </c>
      <c r="B168" s="1" t="n">
        <v>43951</v>
      </c>
      <c r="C168" s="1" t="n">
        <v>45761</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21951-2020</t>
        </is>
      </c>
      <c r="B169" s="1" t="n">
        <v>43958</v>
      </c>
      <c r="C169" s="1" t="n">
        <v>45761</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24719-2020</t>
        </is>
      </c>
      <c r="B170" s="1" t="n">
        <v>43978</v>
      </c>
      <c r="C170" s="1" t="n">
        <v>45761</v>
      </c>
      <c r="D170" t="inlineStr">
        <is>
          <t>DALARNAS LÄN</t>
        </is>
      </c>
      <c r="E170" t="inlineStr">
        <is>
          <t>MORA</t>
        </is>
      </c>
      <c r="F170" t="inlineStr">
        <is>
          <t>Allmännings- och besparingsskogar</t>
        </is>
      </c>
      <c r="G170" t="n">
        <v>0.8</v>
      </c>
      <c r="H170" t="n">
        <v>0</v>
      </c>
      <c r="I170" t="n">
        <v>0</v>
      </c>
      <c r="J170" t="n">
        <v>0</v>
      </c>
      <c r="K170" t="n">
        <v>0</v>
      </c>
      <c r="L170" t="n">
        <v>0</v>
      </c>
      <c r="M170" t="n">
        <v>0</v>
      </c>
      <c r="N170" t="n">
        <v>0</v>
      </c>
      <c r="O170" t="n">
        <v>0</v>
      </c>
      <c r="P170" t="n">
        <v>0</v>
      </c>
      <c r="Q170" t="n">
        <v>0</v>
      </c>
      <c r="R170" s="2" t="inlineStr"/>
    </row>
    <row r="171" ht="15" customHeight="1">
      <c r="A171" t="inlineStr">
        <is>
          <t>A 25852-2020</t>
        </is>
      </c>
      <c r="B171" s="1" t="n">
        <v>43984</v>
      </c>
      <c r="C171" s="1" t="n">
        <v>45761</v>
      </c>
      <c r="D171" t="inlineStr">
        <is>
          <t>DALARNAS LÄN</t>
        </is>
      </c>
      <c r="E171" t="inlineStr">
        <is>
          <t>MORA</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26454-2020</t>
        </is>
      </c>
      <c r="B172" s="1" t="n">
        <v>43987</v>
      </c>
      <c r="C172" s="1" t="n">
        <v>45761</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26460-2020</t>
        </is>
      </c>
      <c r="B173" s="1" t="n">
        <v>43987</v>
      </c>
      <c r="C173" s="1" t="n">
        <v>45761</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29751-2020</t>
        </is>
      </c>
      <c r="B174" s="1" t="n">
        <v>44005</v>
      </c>
      <c r="C174" s="1" t="n">
        <v>45761</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29881-2020</t>
        </is>
      </c>
      <c r="B175" s="1" t="n">
        <v>44006</v>
      </c>
      <c r="C175" s="1" t="n">
        <v>45761</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29960-2020</t>
        </is>
      </c>
      <c r="B176" s="1" t="n">
        <v>44006</v>
      </c>
      <c r="C176" s="1" t="n">
        <v>45761</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33581-2020</t>
        </is>
      </c>
      <c r="B177" s="1" t="n">
        <v>44022</v>
      </c>
      <c r="C177" s="1" t="n">
        <v>45761</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34455-2020</t>
        </is>
      </c>
      <c r="B178" s="1" t="n">
        <v>44032</v>
      </c>
      <c r="C178" s="1" t="n">
        <v>45761</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34454-2020</t>
        </is>
      </c>
      <c r="B179" s="1" t="n">
        <v>44032</v>
      </c>
      <c r="C179" s="1" t="n">
        <v>45761</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34446-2020</t>
        </is>
      </c>
      <c r="B180" s="1" t="n">
        <v>44032</v>
      </c>
      <c r="C180" s="1" t="n">
        <v>45761</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35976-2020</t>
        </is>
      </c>
      <c r="B181" s="1" t="n">
        <v>44047</v>
      </c>
      <c r="C181" s="1" t="n">
        <v>45761</v>
      </c>
      <c r="D181" t="inlineStr">
        <is>
          <t>DALARNAS LÄN</t>
        </is>
      </c>
      <c r="E181" t="inlineStr">
        <is>
          <t>MORA</t>
        </is>
      </c>
      <c r="G181" t="n">
        <v>6.7</v>
      </c>
      <c r="H181" t="n">
        <v>0</v>
      </c>
      <c r="I181" t="n">
        <v>0</v>
      </c>
      <c r="J181" t="n">
        <v>0</v>
      </c>
      <c r="K181" t="n">
        <v>0</v>
      </c>
      <c r="L181" t="n">
        <v>0</v>
      </c>
      <c r="M181" t="n">
        <v>0</v>
      </c>
      <c r="N181" t="n">
        <v>0</v>
      </c>
      <c r="O181" t="n">
        <v>0</v>
      </c>
      <c r="P181" t="n">
        <v>0</v>
      </c>
      <c r="Q181" t="n">
        <v>0</v>
      </c>
      <c r="R181" s="2" t="inlineStr"/>
    </row>
    <row r="182" ht="15" customHeight="1">
      <c r="A182" t="inlineStr">
        <is>
          <t>A 37403-2020</t>
        </is>
      </c>
      <c r="B182" s="1" t="n">
        <v>44055</v>
      </c>
      <c r="C182" s="1" t="n">
        <v>45761</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37840-2020</t>
        </is>
      </c>
      <c r="B183" s="1" t="n">
        <v>44057</v>
      </c>
      <c r="C183" s="1" t="n">
        <v>45761</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38910-2020</t>
        </is>
      </c>
      <c r="B184" s="1" t="n">
        <v>44062</v>
      </c>
      <c r="C184" s="1" t="n">
        <v>45761</v>
      </c>
      <c r="D184" t="inlineStr">
        <is>
          <t>DALARNAS LÄN</t>
        </is>
      </c>
      <c r="E184" t="inlineStr">
        <is>
          <t>MORA</t>
        </is>
      </c>
      <c r="G184" t="n">
        <v>7.8</v>
      </c>
      <c r="H184" t="n">
        <v>0</v>
      </c>
      <c r="I184" t="n">
        <v>0</v>
      </c>
      <c r="J184" t="n">
        <v>0</v>
      </c>
      <c r="K184" t="n">
        <v>0</v>
      </c>
      <c r="L184" t="n">
        <v>0</v>
      </c>
      <c r="M184" t="n">
        <v>0</v>
      </c>
      <c r="N184" t="n">
        <v>0</v>
      </c>
      <c r="O184" t="n">
        <v>0</v>
      </c>
      <c r="P184" t="n">
        <v>0</v>
      </c>
      <c r="Q184" t="n">
        <v>0</v>
      </c>
      <c r="R184" s="2" t="inlineStr"/>
    </row>
    <row r="185" ht="15" customHeight="1">
      <c r="A185" t="inlineStr">
        <is>
          <t>A 39585-2020</t>
        </is>
      </c>
      <c r="B185" s="1" t="n">
        <v>44064</v>
      </c>
      <c r="C185" s="1" t="n">
        <v>45761</v>
      </c>
      <c r="D185" t="inlineStr">
        <is>
          <t>DALARNAS LÄN</t>
        </is>
      </c>
      <c r="E185" t="inlineStr">
        <is>
          <t>MORA</t>
        </is>
      </c>
      <c r="G185" t="n">
        <v>6.5</v>
      </c>
      <c r="H185" t="n">
        <v>0</v>
      </c>
      <c r="I185" t="n">
        <v>0</v>
      </c>
      <c r="J185" t="n">
        <v>0</v>
      </c>
      <c r="K185" t="n">
        <v>0</v>
      </c>
      <c r="L185" t="n">
        <v>0</v>
      </c>
      <c r="M185" t="n">
        <v>0</v>
      </c>
      <c r="N185" t="n">
        <v>0</v>
      </c>
      <c r="O185" t="n">
        <v>0</v>
      </c>
      <c r="P185" t="n">
        <v>0</v>
      </c>
      <c r="Q185" t="n">
        <v>0</v>
      </c>
      <c r="R185" s="2" t="inlineStr"/>
    </row>
    <row r="186" ht="15" customHeight="1">
      <c r="A186" t="inlineStr">
        <is>
          <t>A 39959-2020</t>
        </is>
      </c>
      <c r="B186" s="1" t="n">
        <v>44067</v>
      </c>
      <c r="C186" s="1" t="n">
        <v>45761</v>
      </c>
      <c r="D186" t="inlineStr">
        <is>
          <t>DALARNAS LÄN</t>
        </is>
      </c>
      <c r="E186" t="inlineStr">
        <is>
          <t>MORA</t>
        </is>
      </c>
      <c r="G186" t="n">
        <v>25.7</v>
      </c>
      <c r="H186" t="n">
        <v>0</v>
      </c>
      <c r="I186" t="n">
        <v>0</v>
      </c>
      <c r="J186" t="n">
        <v>0</v>
      </c>
      <c r="K186" t="n">
        <v>0</v>
      </c>
      <c r="L186" t="n">
        <v>0</v>
      </c>
      <c r="M186" t="n">
        <v>0</v>
      </c>
      <c r="N186" t="n">
        <v>0</v>
      </c>
      <c r="O186" t="n">
        <v>0</v>
      </c>
      <c r="P186" t="n">
        <v>0</v>
      </c>
      <c r="Q186" t="n">
        <v>0</v>
      </c>
      <c r="R186" s="2" t="inlineStr"/>
    </row>
    <row r="187" ht="15" customHeight="1">
      <c r="A187" t="inlineStr">
        <is>
          <t>A 41768-2020</t>
        </is>
      </c>
      <c r="B187" s="1" t="n">
        <v>44074</v>
      </c>
      <c r="C187" s="1" t="n">
        <v>45761</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42362-2020</t>
        </is>
      </c>
      <c r="B188" s="1" t="n">
        <v>44074</v>
      </c>
      <c r="C188" s="1" t="n">
        <v>45761</v>
      </c>
      <c r="D188" t="inlineStr">
        <is>
          <t>DALARNAS LÄN</t>
        </is>
      </c>
      <c r="E188" t="inlineStr">
        <is>
          <t>MORA</t>
        </is>
      </c>
      <c r="G188" t="n">
        <v>4.5</v>
      </c>
      <c r="H188" t="n">
        <v>0</v>
      </c>
      <c r="I188" t="n">
        <v>0</v>
      </c>
      <c r="J188" t="n">
        <v>0</v>
      </c>
      <c r="K188" t="n">
        <v>0</v>
      </c>
      <c r="L188" t="n">
        <v>0</v>
      </c>
      <c r="M188" t="n">
        <v>0</v>
      </c>
      <c r="N188" t="n">
        <v>0</v>
      </c>
      <c r="O188" t="n">
        <v>0</v>
      </c>
      <c r="P188" t="n">
        <v>0</v>
      </c>
      <c r="Q188" t="n">
        <v>0</v>
      </c>
      <c r="R188" s="2" t="inlineStr"/>
    </row>
    <row r="189" ht="15" customHeight="1">
      <c r="A189" t="inlineStr">
        <is>
          <t>A 42377-2020</t>
        </is>
      </c>
      <c r="B189" s="1" t="n">
        <v>44076</v>
      </c>
      <c r="C189" s="1" t="n">
        <v>45761</v>
      </c>
      <c r="D189" t="inlineStr">
        <is>
          <t>DALARNAS LÄN</t>
        </is>
      </c>
      <c r="E189" t="inlineStr">
        <is>
          <t>MORA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43284-2020</t>
        </is>
      </c>
      <c r="B190" s="1" t="n">
        <v>44081</v>
      </c>
      <c r="C190" s="1" t="n">
        <v>45761</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48065-2020</t>
        </is>
      </c>
      <c r="B191" s="1" t="n">
        <v>44100</v>
      </c>
      <c r="C191" s="1" t="n">
        <v>45761</v>
      </c>
      <c r="D191" t="inlineStr">
        <is>
          <t>DALARNAS LÄN</t>
        </is>
      </c>
      <c r="E191" t="inlineStr">
        <is>
          <t>MORA</t>
        </is>
      </c>
      <c r="G191" t="n">
        <v>8.6</v>
      </c>
      <c r="H191" t="n">
        <v>0</v>
      </c>
      <c r="I191" t="n">
        <v>0</v>
      </c>
      <c r="J191" t="n">
        <v>0</v>
      </c>
      <c r="K191" t="n">
        <v>0</v>
      </c>
      <c r="L191" t="n">
        <v>0</v>
      </c>
      <c r="M191" t="n">
        <v>0</v>
      </c>
      <c r="N191" t="n">
        <v>0</v>
      </c>
      <c r="O191" t="n">
        <v>0</v>
      </c>
      <c r="P191" t="n">
        <v>0</v>
      </c>
      <c r="Q191" t="n">
        <v>0</v>
      </c>
      <c r="R191" s="2" t="inlineStr"/>
    </row>
    <row r="192" ht="15" customHeight="1">
      <c r="A192" t="inlineStr">
        <is>
          <t>A 51621-2020</t>
        </is>
      </c>
      <c r="B192" s="1" t="n">
        <v>44109</v>
      </c>
      <c r="C192" s="1" t="n">
        <v>45761</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51608-2020</t>
        </is>
      </c>
      <c r="B193" s="1" t="n">
        <v>44109</v>
      </c>
      <c r="C193" s="1" t="n">
        <v>45761</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52732-2020</t>
        </is>
      </c>
      <c r="B194" s="1" t="n">
        <v>44118</v>
      </c>
      <c r="C194" s="1" t="n">
        <v>45761</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55249-2020</t>
        </is>
      </c>
      <c r="B195" s="1" t="n">
        <v>44130</v>
      </c>
      <c r="C195" s="1" t="n">
        <v>45761</v>
      </c>
      <c r="D195" t="inlineStr">
        <is>
          <t>DALARNAS LÄN</t>
        </is>
      </c>
      <c r="E195" t="inlineStr">
        <is>
          <t>MORA</t>
        </is>
      </c>
      <c r="G195" t="n">
        <v>2.7</v>
      </c>
      <c r="H195" t="n">
        <v>0</v>
      </c>
      <c r="I195" t="n">
        <v>0</v>
      </c>
      <c r="J195" t="n">
        <v>0</v>
      </c>
      <c r="K195" t="n">
        <v>0</v>
      </c>
      <c r="L195" t="n">
        <v>0</v>
      </c>
      <c r="M195" t="n">
        <v>0</v>
      </c>
      <c r="N195" t="n">
        <v>0</v>
      </c>
      <c r="O195" t="n">
        <v>0</v>
      </c>
      <c r="P195" t="n">
        <v>0</v>
      </c>
      <c r="Q195" t="n">
        <v>0</v>
      </c>
      <c r="R195" s="2" t="inlineStr"/>
    </row>
    <row r="196" ht="15" customHeight="1">
      <c r="A196" t="inlineStr">
        <is>
          <t>A 56071-2020</t>
        </is>
      </c>
      <c r="B196" s="1" t="n">
        <v>44133</v>
      </c>
      <c r="C196" s="1" t="n">
        <v>45761</v>
      </c>
      <c r="D196" t="inlineStr">
        <is>
          <t>DALARNAS LÄN</t>
        </is>
      </c>
      <c r="E196" t="inlineStr">
        <is>
          <t>MORA</t>
        </is>
      </c>
      <c r="G196" t="n">
        <v>6.6</v>
      </c>
      <c r="H196" t="n">
        <v>0</v>
      </c>
      <c r="I196" t="n">
        <v>0</v>
      </c>
      <c r="J196" t="n">
        <v>0</v>
      </c>
      <c r="K196" t="n">
        <v>0</v>
      </c>
      <c r="L196" t="n">
        <v>0</v>
      </c>
      <c r="M196" t="n">
        <v>0</v>
      </c>
      <c r="N196" t="n">
        <v>0</v>
      </c>
      <c r="O196" t="n">
        <v>0</v>
      </c>
      <c r="P196" t="n">
        <v>0</v>
      </c>
      <c r="Q196" t="n">
        <v>0</v>
      </c>
      <c r="R196" s="2" t="inlineStr"/>
    </row>
    <row r="197" ht="15" customHeight="1">
      <c r="A197" t="inlineStr">
        <is>
          <t>A 56501-2020</t>
        </is>
      </c>
      <c r="B197" s="1" t="n">
        <v>44137</v>
      </c>
      <c r="C197" s="1" t="n">
        <v>45761</v>
      </c>
      <c r="D197" t="inlineStr">
        <is>
          <t>DALARNAS LÄN</t>
        </is>
      </c>
      <c r="E197" t="inlineStr">
        <is>
          <t>MORA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56976-2020</t>
        </is>
      </c>
      <c r="B198" s="1" t="n">
        <v>44138</v>
      </c>
      <c r="C198" s="1" t="n">
        <v>45761</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56974-2020</t>
        </is>
      </c>
      <c r="B199" s="1" t="n">
        <v>44138</v>
      </c>
      <c r="C199" s="1" t="n">
        <v>45761</v>
      </c>
      <c r="D199" t="inlineStr">
        <is>
          <t>DALARNAS LÄN</t>
        </is>
      </c>
      <c r="E199" t="inlineStr">
        <is>
          <t>MORA</t>
        </is>
      </c>
      <c r="F199" t="inlineStr">
        <is>
          <t>Allmännings- och besparingsskogar</t>
        </is>
      </c>
      <c r="G199" t="n">
        <v>5.1</v>
      </c>
      <c r="H199" t="n">
        <v>0</v>
      </c>
      <c r="I199" t="n">
        <v>0</v>
      </c>
      <c r="J199" t="n">
        <v>0</v>
      </c>
      <c r="K199" t="n">
        <v>0</v>
      </c>
      <c r="L199" t="n">
        <v>0</v>
      </c>
      <c r="M199" t="n">
        <v>0</v>
      </c>
      <c r="N199" t="n">
        <v>0</v>
      </c>
      <c r="O199" t="n">
        <v>0</v>
      </c>
      <c r="P199" t="n">
        <v>0</v>
      </c>
      <c r="Q199" t="n">
        <v>0</v>
      </c>
      <c r="R199" s="2" t="inlineStr"/>
    </row>
    <row r="200" ht="15" customHeight="1">
      <c r="A200" t="inlineStr">
        <is>
          <t>A 57268-2020</t>
        </is>
      </c>
      <c r="B200" s="1" t="n">
        <v>44139</v>
      </c>
      <c r="C200" s="1" t="n">
        <v>45761</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57848-2020</t>
        </is>
      </c>
      <c r="B201" s="1" t="n">
        <v>44141</v>
      </c>
      <c r="C201" s="1" t="n">
        <v>45761</v>
      </c>
      <c r="D201" t="inlineStr">
        <is>
          <t>DALARNAS LÄN</t>
        </is>
      </c>
      <c r="E201" t="inlineStr">
        <is>
          <t>MORA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57926-2020</t>
        </is>
      </c>
      <c r="B202" s="1" t="n">
        <v>44141</v>
      </c>
      <c r="C202" s="1" t="n">
        <v>45761</v>
      </c>
      <c r="D202" t="inlineStr">
        <is>
          <t>DALARNAS LÄN</t>
        </is>
      </c>
      <c r="E202" t="inlineStr">
        <is>
          <t>MORA</t>
        </is>
      </c>
      <c r="F202" t="inlineStr">
        <is>
          <t>Bergvik skog väst AB</t>
        </is>
      </c>
      <c r="G202" t="n">
        <v>13.1</v>
      </c>
      <c r="H202" t="n">
        <v>0</v>
      </c>
      <c r="I202" t="n">
        <v>0</v>
      </c>
      <c r="J202" t="n">
        <v>0</v>
      </c>
      <c r="K202" t="n">
        <v>0</v>
      </c>
      <c r="L202" t="n">
        <v>0</v>
      </c>
      <c r="M202" t="n">
        <v>0</v>
      </c>
      <c r="N202" t="n">
        <v>0</v>
      </c>
      <c r="O202" t="n">
        <v>0</v>
      </c>
      <c r="P202" t="n">
        <v>0</v>
      </c>
      <c r="Q202" t="n">
        <v>0</v>
      </c>
      <c r="R202" s="2" t="inlineStr"/>
    </row>
    <row r="203" ht="15" customHeight="1">
      <c r="A203" t="inlineStr">
        <is>
          <t>A 60250-2020</t>
        </is>
      </c>
      <c r="B203" s="1" t="n">
        <v>44152</v>
      </c>
      <c r="C203" s="1" t="n">
        <v>45761</v>
      </c>
      <c r="D203" t="inlineStr">
        <is>
          <t>DALARNAS LÄN</t>
        </is>
      </c>
      <c r="E203" t="inlineStr">
        <is>
          <t>MORA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61338-2020</t>
        </is>
      </c>
      <c r="B204" s="1" t="n">
        <v>44155</v>
      </c>
      <c r="C204" s="1" t="n">
        <v>45761</v>
      </c>
      <c r="D204" t="inlineStr">
        <is>
          <t>DALARNAS LÄN</t>
        </is>
      </c>
      <c r="E204" t="inlineStr">
        <is>
          <t>MORA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62301-2020</t>
        </is>
      </c>
      <c r="B205" s="1" t="n">
        <v>44160</v>
      </c>
      <c r="C205" s="1" t="n">
        <v>45761</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62266-2020</t>
        </is>
      </c>
      <c r="B206" s="1" t="n">
        <v>44160</v>
      </c>
      <c r="C206" s="1" t="n">
        <v>45761</v>
      </c>
      <c r="D206" t="inlineStr">
        <is>
          <t>DALARNAS LÄN</t>
        </is>
      </c>
      <c r="E206" t="inlineStr">
        <is>
          <t>MORA</t>
        </is>
      </c>
      <c r="F206" t="inlineStr">
        <is>
          <t>Bergvik skog väst AB</t>
        </is>
      </c>
      <c r="G206" t="n">
        <v>5.9</v>
      </c>
      <c r="H206" t="n">
        <v>0</v>
      </c>
      <c r="I206" t="n">
        <v>0</v>
      </c>
      <c r="J206" t="n">
        <v>0</v>
      </c>
      <c r="K206" t="n">
        <v>0</v>
      </c>
      <c r="L206" t="n">
        <v>0</v>
      </c>
      <c r="M206" t="n">
        <v>0</v>
      </c>
      <c r="N206" t="n">
        <v>0</v>
      </c>
      <c r="O206" t="n">
        <v>0</v>
      </c>
      <c r="P206" t="n">
        <v>0</v>
      </c>
      <c r="Q206" t="n">
        <v>0</v>
      </c>
      <c r="R206" s="2" t="inlineStr"/>
    </row>
    <row r="207" ht="15" customHeight="1">
      <c r="A207" t="inlineStr">
        <is>
          <t>A 62268-2020</t>
        </is>
      </c>
      <c r="B207" s="1" t="n">
        <v>44160</v>
      </c>
      <c r="C207" s="1" t="n">
        <v>45761</v>
      </c>
      <c r="D207" t="inlineStr">
        <is>
          <t>DALARNAS LÄN</t>
        </is>
      </c>
      <c r="E207" t="inlineStr">
        <is>
          <t>MORA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65301-2020</t>
        </is>
      </c>
      <c r="B208" s="1" t="n">
        <v>44169</v>
      </c>
      <c r="C208" s="1" t="n">
        <v>45761</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67028-2020</t>
        </is>
      </c>
      <c r="B209" s="1" t="n">
        <v>44180</v>
      </c>
      <c r="C209" s="1" t="n">
        <v>45761</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66990-2020</t>
        </is>
      </c>
      <c r="B210" s="1" t="n">
        <v>44180</v>
      </c>
      <c r="C210" s="1" t="n">
        <v>45761</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68468-2020</t>
        </is>
      </c>
      <c r="B211" s="1" t="n">
        <v>44186</v>
      </c>
      <c r="C211" s="1" t="n">
        <v>45761</v>
      </c>
      <c r="D211" t="inlineStr">
        <is>
          <t>DALARNAS LÄN</t>
        </is>
      </c>
      <c r="E211" t="inlineStr">
        <is>
          <t>MORA</t>
        </is>
      </c>
      <c r="F211" t="inlineStr">
        <is>
          <t>Bergvik skog öst AB</t>
        </is>
      </c>
      <c r="G211" t="n">
        <v>6.5</v>
      </c>
      <c r="H211" t="n">
        <v>0</v>
      </c>
      <c r="I211" t="n">
        <v>0</v>
      </c>
      <c r="J211" t="n">
        <v>0</v>
      </c>
      <c r="K211" t="n">
        <v>0</v>
      </c>
      <c r="L211" t="n">
        <v>0</v>
      </c>
      <c r="M211" t="n">
        <v>0</v>
      </c>
      <c r="N211" t="n">
        <v>0</v>
      </c>
      <c r="O211" t="n">
        <v>0</v>
      </c>
      <c r="P211" t="n">
        <v>0</v>
      </c>
      <c r="Q211" t="n">
        <v>0</v>
      </c>
      <c r="R211" s="2" t="inlineStr"/>
    </row>
    <row r="212" ht="15" customHeight="1">
      <c r="A212" t="inlineStr">
        <is>
          <t>A 68832-2020</t>
        </is>
      </c>
      <c r="B212" s="1" t="n">
        <v>44187</v>
      </c>
      <c r="C212" s="1" t="n">
        <v>45761</v>
      </c>
      <c r="D212" t="inlineStr">
        <is>
          <t>DALARNAS LÄN</t>
        </is>
      </c>
      <c r="E212" t="inlineStr">
        <is>
          <t>MORA</t>
        </is>
      </c>
      <c r="G212" t="n">
        <v>7.7</v>
      </c>
      <c r="H212" t="n">
        <v>0</v>
      </c>
      <c r="I212" t="n">
        <v>0</v>
      </c>
      <c r="J212" t="n">
        <v>0</v>
      </c>
      <c r="K212" t="n">
        <v>0</v>
      </c>
      <c r="L212" t="n">
        <v>0</v>
      </c>
      <c r="M212" t="n">
        <v>0</v>
      </c>
      <c r="N212" t="n">
        <v>0</v>
      </c>
      <c r="O212" t="n">
        <v>0</v>
      </c>
      <c r="P212" t="n">
        <v>0</v>
      </c>
      <c r="Q212" t="n">
        <v>0</v>
      </c>
      <c r="R212" s="2" t="inlineStr"/>
    </row>
    <row r="213" ht="15" customHeight="1">
      <c r="A213" t="inlineStr">
        <is>
          <t>A 69517-2020</t>
        </is>
      </c>
      <c r="B213" s="1" t="n">
        <v>44194</v>
      </c>
      <c r="C213" s="1" t="n">
        <v>45761</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69519-2020</t>
        </is>
      </c>
      <c r="B214" s="1" t="n">
        <v>44194</v>
      </c>
      <c r="C214" s="1" t="n">
        <v>45761</v>
      </c>
      <c r="D214" t="inlineStr">
        <is>
          <t>DALARNAS LÄN</t>
        </is>
      </c>
      <c r="E214" t="inlineStr">
        <is>
          <t>MORA</t>
        </is>
      </c>
      <c r="G214" t="n">
        <v>0.4</v>
      </c>
      <c r="H214" t="n">
        <v>0</v>
      </c>
      <c r="I214" t="n">
        <v>0</v>
      </c>
      <c r="J214" t="n">
        <v>0</v>
      </c>
      <c r="K214" t="n">
        <v>0</v>
      </c>
      <c r="L214" t="n">
        <v>0</v>
      </c>
      <c r="M214" t="n">
        <v>0</v>
      </c>
      <c r="N214" t="n">
        <v>0</v>
      </c>
      <c r="O214" t="n">
        <v>0</v>
      </c>
      <c r="P214" t="n">
        <v>0</v>
      </c>
      <c r="Q214" t="n">
        <v>0</v>
      </c>
      <c r="R214" s="2" t="inlineStr"/>
    </row>
    <row r="215" ht="15" customHeight="1">
      <c r="A215" t="inlineStr">
        <is>
          <t>A 655-2021</t>
        </is>
      </c>
      <c r="B215" s="1" t="n">
        <v>44203</v>
      </c>
      <c r="C215" s="1" t="n">
        <v>45761</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768-2021</t>
        </is>
      </c>
      <c r="B216" s="1" t="n">
        <v>44203</v>
      </c>
      <c r="C216" s="1" t="n">
        <v>45761</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770-2021</t>
        </is>
      </c>
      <c r="B217" s="1" t="n">
        <v>44203</v>
      </c>
      <c r="C217" s="1" t="n">
        <v>45761</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782-2021</t>
        </is>
      </c>
      <c r="B218" s="1" t="n">
        <v>44203</v>
      </c>
      <c r="C218" s="1" t="n">
        <v>45761</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787-2021</t>
        </is>
      </c>
      <c r="B219" s="1" t="n">
        <v>44203</v>
      </c>
      <c r="C219" s="1" t="n">
        <v>45761</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657-2021</t>
        </is>
      </c>
      <c r="B220" s="1" t="n">
        <v>44203</v>
      </c>
      <c r="C220" s="1" t="n">
        <v>45761</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769-2021</t>
        </is>
      </c>
      <c r="B221" s="1" t="n">
        <v>44203</v>
      </c>
      <c r="C221" s="1" t="n">
        <v>45761</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790-2021</t>
        </is>
      </c>
      <c r="B222" s="1" t="n">
        <v>44203</v>
      </c>
      <c r="C222" s="1" t="n">
        <v>45761</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837-2021</t>
        </is>
      </c>
      <c r="B223" s="1" t="n">
        <v>44204</v>
      </c>
      <c r="C223" s="1" t="n">
        <v>45761</v>
      </c>
      <c r="D223" t="inlineStr">
        <is>
          <t>DALARNAS LÄN</t>
        </is>
      </c>
      <c r="E223" t="inlineStr">
        <is>
          <t>MORA</t>
        </is>
      </c>
      <c r="G223" t="n">
        <v>10.4</v>
      </c>
      <c r="H223" t="n">
        <v>0</v>
      </c>
      <c r="I223" t="n">
        <v>0</v>
      </c>
      <c r="J223" t="n">
        <v>0</v>
      </c>
      <c r="K223" t="n">
        <v>0</v>
      </c>
      <c r="L223" t="n">
        <v>0</v>
      </c>
      <c r="M223" t="n">
        <v>0</v>
      </c>
      <c r="N223" t="n">
        <v>0</v>
      </c>
      <c r="O223" t="n">
        <v>0</v>
      </c>
      <c r="P223" t="n">
        <v>0</v>
      </c>
      <c r="Q223" t="n">
        <v>0</v>
      </c>
      <c r="R223" s="2" t="inlineStr"/>
    </row>
    <row r="224" ht="15" customHeight="1">
      <c r="A224" t="inlineStr">
        <is>
          <t>A 1951-2021</t>
        </is>
      </c>
      <c r="B224" s="1" t="n">
        <v>44210</v>
      </c>
      <c r="C224" s="1" t="n">
        <v>45761</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8064-2021</t>
        </is>
      </c>
      <c r="B225" s="1" t="n">
        <v>44243</v>
      </c>
      <c r="C225" s="1" t="n">
        <v>45761</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8146-2021</t>
        </is>
      </c>
      <c r="B226" s="1" t="n">
        <v>44244</v>
      </c>
      <c r="C226" s="1" t="n">
        <v>45761</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8153-2021</t>
        </is>
      </c>
      <c r="B227" s="1" t="n">
        <v>44244</v>
      </c>
      <c r="C227" s="1" t="n">
        <v>45761</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12151-2021</t>
        </is>
      </c>
      <c r="B228" s="1" t="n">
        <v>44266</v>
      </c>
      <c r="C228" s="1" t="n">
        <v>45761</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16840-2021</t>
        </is>
      </c>
      <c r="B229" s="1" t="n">
        <v>44295</v>
      </c>
      <c r="C229" s="1" t="n">
        <v>45761</v>
      </c>
      <c r="D229" t="inlineStr">
        <is>
          <t>DALARNAS LÄN</t>
        </is>
      </c>
      <c r="E229" t="inlineStr">
        <is>
          <t>MORA</t>
        </is>
      </c>
      <c r="G229" t="n">
        <v>11.5</v>
      </c>
      <c r="H229" t="n">
        <v>0</v>
      </c>
      <c r="I229" t="n">
        <v>0</v>
      </c>
      <c r="J229" t="n">
        <v>0</v>
      </c>
      <c r="K229" t="n">
        <v>0</v>
      </c>
      <c r="L229" t="n">
        <v>0</v>
      </c>
      <c r="M229" t="n">
        <v>0</v>
      </c>
      <c r="N229" t="n">
        <v>0</v>
      </c>
      <c r="O229" t="n">
        <v>0</v>
      </c>
      <c r="P229" t="n">
        <v>0</v>
      </c>
      <c r="Q229" t="n">
        <v>0</v>
      </c>
      <c r="R229" s="2" t="inlineStr"/>
    </row>
    <row r="230" ht="15" customHeight="1">
      <c r="A230" t="inlineStr">
        <is>
          <t>A 17915-2021</t>
        </is>
      </c>
      <c r="B230" s="1" t="n">
        <v>44301</v>
      </c>
      <c r="C230" s="1" t="n">
        <v>45761</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17904-2021</t>
        </is>
      </c>
      <c r="B231" s="1" t="n">
        <v>44301</v>
      </c>
      <c r="C231" s="1" t="n">
        <v>45761</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19383-2021</t>
        </is>
      </c>
      <c r="B232" s="1" t="n">
        <v>44309</v>
      </c>
      <c r="C232" s="1" t="n">
        <v>45761</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19896-2021</t>
        </is>
      </c>
      <c r="B233" s="1" t="n">
        <v>44313</v>
      </c>
      <c r="C233" s="1" t="n">
        <v>45761</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20125-2021</t>
        </is>
      </c>
      <c r="B234" s="1" t="n">
        <v>44314</v>
      </c>
      <c r="C234" s="1" t="n">
        <v>45761</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22931-2021</t>
        </is>
      </c>
      <c r="B235" s="1" t="n">
        <v>44326</v>
      </c>
      <c r="C235" s="1" t="n">
        <v>45761</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24465-2021</t>
        </is>
      </c>
      <c r="B236" s="1" t="n">
        <v>44337</v>
      </c>
      <c r="C236" s="1" t="n">
        <v>45761</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25750-2021</t>
        </is>
      </c>
      <c r="B237" s="1" t="n">
        <v>44343</v>
      </c>
      <c r="C237" s="1" t="n">
        <v>45761</v>
      </c>
      <c r="D237" t="inlineStr">
        <is>
          <t>DALARNAS LÄN</t>
        </is>
      </c>
      <c r="E237" t="inlineStr">
        <is>
          <t>MORA</t>
        </is>
      </c>
      <c r="G237" t="n">
        <v>3.4</v>
      </c>
      <c r="H237" t="n">
        <v>0</v>
      </c>
      <c r="I237" t="n">
        <v>0</v>
      </c>
      <c r="J237" t="n">
        <v>0</v>
      </c>
      <c r="K237" t="n">
        <v>0</v>
      </c>
      <c r="L237" t="n">
        <v>0</v>
      </c>
      <c r="M237" t="n">
        <v>0</v>
      </c>
      <c r="N237" t="n">
        <v>0</v>
      </c>
      <c r="O237" t="n">
        <v>0</v>
      </c>
      <c r="P237" t="n">
        <v>0</v>
      </c>
      <c r="Q237" t="n">
        <v>0</v>
      </c>
      <c r="R237" s="2" t="inlineStr"/>
    </row>
    <row r="238" ht="15" customHeight="1">
      <c r="A238" t="inlineStr">
        <is>
          <t>A 26314-2021</t>
        </is>
      </c>
      <c r="B238" s="1" t="n">
        <v>44347</v>
      </c>
      <c r="C238" s="1" t="n">
        <v>45761</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29697-2021</t>
        </is>
      </c>
      <c r="B239" s="1" t="n">
        <v>44362</v>
      </c>
      <c r="C239" s="1" t="n">
        <v>45761</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30030-2021</t>
        </is>
      </c>
      <c r="B240" s="1" t="n">
        <v>44363</v>
      </c>
      <c r="C240" s="1" t="n">
        <v>45761</v>
      </c>
      <c r="D240" t="inlineStr">
        <is>
          <t>DALARNAS LÄN</t>
        </is>
      </c>
      <c r="E240" t="inlineStr">
        <is>
          <t>MORA</t>
        </is>
      </c>
      <c r="G240" t="n">
        <v>7.1</v>
      </c>
      <c r="H240" t="n">
        <v>0</v>
      </c>
      <c r="I240" t="n">
        <v>0</v>
      </c>
      <c r="J240" t="n">
        <v>0</v>
      </c>
      <c r="K240" t="n">
        <v>0</v>
      </c>
      <c r="L240" t="n">
        <v>0</v>
      </c>
      <c r="M240" t="n">
        <v>0</v>
      </c>
      <c r="N240" t="n">
        <v>0</v>
      </c>
      <c r="O240" t="n">
        <v>0</v>
      </c>
      <c r="P240" t="n">
        <v>0</v>
      </c>
      <c r="Q240" t="n">
        <v>0</v>
      </c>
      <c r="R240" s="2" t="inlineStr"/>
    </row>
    <row r="241" ht="15" customHeight="1">
      <c r="A241" t="inlineStr">
        <is>
          <t>A 30895-2021</t>
        </is>
      </c>
      <c r="B241" s="1" t="n">
        <v>44365</v>
      </c>
      <c r="C241" s="1" t="n">
        <v>45761</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30888-2021</t>
        </is>
      </c>
      <c r="B242" s="1" t="n">
        <v>44365</v>
      </c>
      <c r="C242" s="1" t="n">
        <v>45761</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30905-2021</t>
        </is>
      </c>
      <c r="B243" s="1" t="n">
        <v>44365</v>
      </c>
      <c r="C243" s="1" t="n">
        <v>45761</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31169-2021</t>
        </is>
      </c>
      <c r="B244" s="1" t="n">
        <v>44368</v>
      </c>
      <c r="C244" s="1" t="n">
        <v>45761</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31177-2021</t>
        </is>
      </c>
      <c r="B245" s="1" t="n">
        <v>44368</v>
      </c>
      <c r="C245" s="1" t="n">
        <v>45761</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31689-2021</t>
        </is>
      </c>
      <c r="B246" s="1" t="n">
        <v>44369</v>
      </c>
      <c r="C246" s="1" t="n">
        <v>45761</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31705-2021</t>
        </is>
      </c>
      <c r="B247" s="1" t="n">
        <v>44369</v>
      </c>
      <c r="C247" s="1" t="n">
        <v>45761</v>
      </c>
      <c r="D247" t="inlineStr">
        <is>
          <t>DALARNAS LÄN</t>
        </is>
      </c>
      <c r="E247" t="inlineStr">
        <is>
          <t>MORA</t>
        </is>
      </c>
      <c r="G247" t="n">
        <v>0.2</v>
      </c>
      <c r="H247" t="n">
        <v>0</v>
      </c>
      <c r="I247" t="n">
        <v>0</v>
      </c>
      <c r="J247" t="n">
        <v>0</v>
      </c>
      <c r="K247" t="n">
        <v>0</v>
      </c>
      <c r="L247" t="n">
        <v>0</v>
      </c>
      <c r="M247" t="n">
        <v>0</v>
      </c>
      <c r="N247" t="n">
        <v>0</v>
      </c>
      <c r="O247" t="n">
        <v>0</v>
      </c>
      <c r="P247" t="n">
        <v>0</v>
      </c>
      <c r="Q247" t="n">
        <v>0</v>
      </c>
      <c r="R247" s="2" t="inlineStr"/>
    </row>
    <row r="248" ht="15" customHeight="1">
      <c r="A248" t="inlineStr">
        <is>
          <t>A 34018-2021</t>
        </is>
      </c>
      <c r="B248" s="1" t="n">
        <v>44379</v>
      </c>
      <c r="C248" s="1" t="n">
        <v>45761</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v>
      </c>
      <c r="C249" s="1" t="n">
        <v>45761</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34715-2021</t>
        </is>
      </c>
      <c r="B250" s="1" t="n">
        <v>44382</v>
      </c>
      <c r="C250" s="1" t="n">
        <v>45761</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34875-2021</t>
        </is>
      </c>
      <c r="B251" s="1" t="n">
        <v>44383</v>
      </c>
      <c r="C251" s="1" t="n">
        <v>45761</v>
      </c>
      <c r="D251" t="inlineStr">
        <is>
          <t>DALARNAS LÄN</t>
        </is>
      </c>
      <c r="E251" t="inlineStr">
        <is>
          <t>MORA</t>
        </is>
      </c>
      <c r="G251" t="n">
        <v>5.2</v>
      </c>
      <c r="H251" t="n">
        <v>0</v>
      </c>
      <c r="I251" t="n">
        <v>0</v>
      </c>
      <c r="J251" t="n">
        <v>0</v>
      </c>
      <c r="K251" t="n">
        <v>0</v>
      </c>
      <c r="L251" t="n">
        <v>0</v>
      </c>
      <c r="M251" t="n">
        <v>0</v>
      </c>
      <c r="N251" t="n">
        <v>0</v>
      </c>
      <c r="O251" t="n">
        <v>0</v>
      </c>
      <c r="P251" t="n">
        <v>0</v>
      </c>
      <c r="Q251" t="n">
        <v>0</v>
      </c>
      <c r="R251" s="2" t="inlineStr"/>
    </row>
    <row r="252" ht="15" customHeight="1">
      <c r="A252" t="inlineStr">
        <is>
          <t>A 35005-2021</t>
        </is>
      </c>
      <c r="B252" s="1" t="n">
        <v>44383</v>
      </c>
      <c r="C252" s="1" t="n">
        <v>45761</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36168-2021</t>
        </is>
      </c>
      <c r="B253" s="1" t="n">
        <v>44389</v>
      </c>
      <c r="C253" s="1" t="n">
        <v>45761</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36184-2021</t>
        </is>
      </c>
      <c r="B254" s="1" t="n">
        <v>44389</v>
      </c>
      <c r="C254" s="1" t="n">
        <v>45761</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36173-2021</t>
        </is>
      </c>
      <c r="B255" s="1" t="n">
        <v>44389</v>
      </c>
      <c r="C255" s="1" t="n">
        <v>45761</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38769-2021</t>
        </is>
      </c>
      <c r="B256" s="1" t="n">
        <v>44410</v>
      </c>
      <c r="C256" s="1" t="n">
        <v>45761</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39227-2021</t>
        </is>
      </c>
      <c r="B257" s="1" t="n">
        <v>44413</v>
      </c>
      <c r="C257" s="1" t="n">
        <v>45761</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39198-2021</t>
        </is>
      </c>
      <c r="B258" s="1" t="n">
        <v>44413</v>
      </c>
      <c r="C258" s="1" t="n">
        <v>45761</v>
      </c>
      <c r="D258" t="inlineStr">
        <is>
          <t>DALARNAS LÄN</t>
        </is>
      </c>
      <c r="E258" t="inlineStr">
        <is>
          <t>MORA</t>
        </is>
      </c>
      <c r="G258" t="n">
        <v>4.6</v>
      </c>
      <c r="H258" t="n">
        <v>0</v>
      </c>
      <c r="I258" t="n">
        <v>0</v>
      </c>
      <c r="J258" t="n">
        <v>0</v>
      </c>
      <c r="K258" t="n">
        <v>0</v>
      </c>
      <c r="L258" t="n">
        <v>0</v>
      </c>
      <c r="M258" t="n">
        <v>0</v>
      </c>
      <c r="N258" t="n">
        <v>0</v>
      </c>
      <c r="O258" t="n">
        <v>0</v>
      </c>
      <c r="P258" t="n">
        <v>0</v>
      </c>
      <c r="Q258" t="n">
        <v>0</v>
      </c>
      <c r="R258" s="2" t="inlineStr"/>
    </row>
    <row r="259" ht="15" customHeight="1">
      <c r="A259" t="inlineStr">
        <is>
          <t>A 39672-2021</t>
        </is>
      </c>
      <c r="B259" s="1" t="n">
        <v>44417</v>
      </c>
      <c r="C259" s="1" t="n">
        <v>45761</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41022-2021</t>
        </is>
      </c>
      <c r="B260" s="1" t="n">
        <v>44421</v>
      </c>
      <c r="C260" s="1" t="n">
        <v>45761</v>
      </c>
      <c r="D260" t="inlineStr">
        <is>
          <t>DALARNAS LÄN</t>
        </is>
      </c>
      <c r="E260" t="inlineStr">
        <is>
          <t>MORA</t>
        </is>
      </c>
      <c r="G260" t="n">
        <v>11.9</v>
      </c>
      <c r="H260" t="n">
        <v>0</v>
      </c>
      <c r="I260" t="n">
        <v>0</v>
      </c>
      <c r="J260" t="n">
        <v>0</v>
      </c>
      <c r="K260" t="n">
        <v>0</v>
      </c>
      <c r="L260" t="n">
        <v>0</v>
      </c>
      <c r="M260" t="n">
        <v>0</v>
      </c>
      <c r="N260" t="n">
        <v>0</v>
      </c>
      <c r="O260" t="n">
        <v>0</v>
      </c>
      <c r="P260" t="n">
        <v>0</v>
      </c>
      <c r="Q260" t="n">
        <v>0</v>
      </c>
      <c r="R260" s="2" t="inlineStr"/>
    </row>
    <row r="261" ht="15" customHeight="1">
      <c r="A261" t="inlineStr">
        <is>
          <t>A 41028-2021</t>
        </is>
      </c>
      <c r="B261" s="1" t="n">
        <v>44421</v>
      </c>
      <c r="C261" s="1" t="n">
        <v>45761</v>
      </c>
      <c r="D261" t="inlineStr">
        <is>
          <t>DALARNAS LÄN</t>
        </is>
      </c>
      <c r="E261" t="inlineStr">
        <is>
          <t>MORA</t>
        </is>
      </c>
      <c r="G261" t="n">
        <v>7.2</v>
      </c>
      <c r="H261" t="n">
        <v>0</v>
      </c>
      <c r="I261" t="n">
        <v>0</v>
      </c>
      <c r="J261" t="n">
        <v>0</v>
      </c>
      <c r="K261" t="n">
        <v>0</v>
      </c>
      <c r="L261" t="n">
        <v>0</v>
      </c>
      <c r="M261" t="n">
        <v>0</v>
      </c>
      <c r="N261" t="n">
        <v>0</v>
      </c>
      <c r="O261" t="n">
        <v>0</v>
      </c>
      <c r="P261" t="n">
        <v>0</v>
      </c>
      <c r="Q261" t="n">
        <v>0</v>
      </c>
      <c r="R261" s="2" t="inlineStr"/>
    </row>
    <row r="262" ht="15" customHeight="1">
      <c r="A262" t="inlineStr">
        <is>
          <t>A 41032-2021</t>
        </is>
      </c>
      <c r="B262" s="1" t="n">
        <v>44421</v>
      </c>
      <c r="C262" s="1" t="n">
        <v>45761</v>
      </c>
      <c r="D262" t="inlineStr">
        <is>
          <t>DALARNAS LÄN</t>
        </is>
      </c>
      <c r="E262" t="inlineStr">
        <is>
          <t>MORA</t>
        </is>
      </c>
      <c r="G262" t="n">
        <v>4.1</v>
      </c>
      <c r="H262" t="n">
        <v>0</v>
      </c>
      <c r="I262" t="n">
        <v>0</v>
      </c>
      <c r="J262" t="n">
        <v>0</v>
      </c>
      <c r="K262" t="n">
        <v>0</v>
      </c>
      <c r="L262" t="n">
        <v>0</v>
      </c>
      <c r="M262" t="n">
        <v>0</v>
      </c>
      <c r="N262" t="n">
        <v>0</v>
      </c>
      <c r="O262" t="n">
        <v>0</v>
      </c>
      <c r="P262" t="n">
        <v>0</v>
      </c>
      <c r="Q262" t="n">
        <v>0</v>
      </c>
      <c r="R262" s="2" t="inlineStr"/>
    </row>
    <row r="263" ht="15" customHeight="1">
      <c r="A263" t="inlineStr">
        <is>
          <t>A 41121-2021</t>
        </is>
      </c>
      <c r="B263" s="1" t="n">
        <v>44423</v>
      </c>
      <c r="C263" s="1" t="n">
        <v>45761</v>
      </c>
      <c r="D263" t="inlineStr">
        <is>
          <t>DALARNAS LÄN</t>
        </is>
      </c>
      <c r="E263" t="inlineStr">
        <is>
          <t>MORA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42508-2021</t>
        </is>
      </c>
      <c r="B264" s="1" t="n">
        <v>44427</v>
      </c>
      <c r="C264" s="1" t="n">
        <v>45761</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42505-2021</t>
        </is>
      </c>
      <c r="B265" s="1" t="n">
        <v>44427</v>
      </c>
      <c r="C265" s="1" t="n">
        <v>45761</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43458-2021</t>
        </is>
      </c>
      <c r="B266" s="1" t="n">
        <v>44432</v>
      </c>
      <c r="C266" s="1" t="n">
        <v>45761</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45761</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45761</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45761</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45761</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45761</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45761</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45761</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45761</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45761</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45761</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45761</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45761</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45761</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45761</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45761</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45761</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45761</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45761</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45761</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45761</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45761</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45761</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45761</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45761</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45761</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45761</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45761</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45761</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45761</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45761</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45761</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45761</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45761</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45761</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45761</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45761</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45761</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45761</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45761</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45761</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45761</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45761</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45761</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45761</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45761</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45761</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45761</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45761</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45761</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45761</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45761</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45761</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45761</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45761</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45761</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45761</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45761</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45761</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45761</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45761</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45761</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45761</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45761</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45761</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45761</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45761</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45761</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45761</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45761</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45761</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45761</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45761</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45761</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45761</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45761</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45761</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45761</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45761</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45761</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45761</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45761</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45761</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45761</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45761</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45761</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45761</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45761</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45761</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45761</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45761</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45761</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45761</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45761</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45761</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45761</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45761</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45761</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45761</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45761</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45761</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45761</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45761</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45761</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45761</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45761</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45761</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45761</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45761</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45761</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45761</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45761</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45761</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45761</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45761</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45761</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45761</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45761</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45761</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45761</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45761</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45761</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45761</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45761</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45761</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45761</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45761</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45761</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45761</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45761</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45761</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45761</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45761</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45761</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45761</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45761</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45761</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45761</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45761</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45761</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45761</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45761</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45761</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45761</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45761</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45761</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45761</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45761</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45761</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45761</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45761</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45761</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45761</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45761</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45761</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45761</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45761</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45761</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45761</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45761</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45761</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45761</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45761</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45761</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45761</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45761</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45761</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45761</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45761</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45761</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45761</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45761</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45761</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45761</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45761</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45761</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45761</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45761</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45761</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45761</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45761</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45761</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45761</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45761</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45761</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45761</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45761</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45761</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45761</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45761</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45761</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45761</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45761</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45761</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45761</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45761</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45761</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45761</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45761</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45761</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45761</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45761</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45761</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45761</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45761</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45761</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45761</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45761</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45761</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45761</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45761</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45761</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45761</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45761</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45761</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45761</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45761</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45761</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45761</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45761</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45761</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45761</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45761</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45761</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45761</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45761</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45761</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45761</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45761</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45761</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45761</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45761</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45761</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45761</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45761</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45761</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45761</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45761</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45761</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45761</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45761</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45761</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45761</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45761</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45761</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45761</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45761</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45761</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45761</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45761</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45761</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45761</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45761</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45761</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45761</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45761</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45761</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45761</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45761</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45761</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45761</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45761</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45761</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45761</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45761</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45761</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45761</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45761</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45761</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45761</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45761</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45761</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45761</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45761</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45761</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45761</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45761</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45761</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45761</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45761</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45761</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45761</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45761</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45761</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45761</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45761</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45761</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45761</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45761</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45761</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45761</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45761</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45761</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45761</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45761</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45761</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45761</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45761</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45761</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45761</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45761</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45761</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45761</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45761</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45761</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45761</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45761</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45761</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45761</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45761</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45761</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45761</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45761</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45761</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45761</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45761</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45761</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45761</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45761</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45761</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45761</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45761</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45761</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45761</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45761</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45761</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45761</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45761</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45761</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45761</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45761</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45761</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45761</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45761</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45761</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45761</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45761</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45761</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45761</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45761</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45761</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45761</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45761</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45761</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45761</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45761</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45761</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45761</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45761</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45761</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45761</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45761</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45761</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45761</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45761</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45761</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45761</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45761</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45761</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45761</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45761</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45761</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45761</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45761</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45761</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45761</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45761</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45761</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45761</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45761</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45761</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45761</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45761</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45761</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45761</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45761</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45761</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45761</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45761</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45761</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45761</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45761</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45761</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45761</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45761</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45761</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45761</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45761</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45761</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45761</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45761</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45761</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45761</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45761</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45761</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45761</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45761</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45761</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45761</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45761</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45761</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45761</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45761</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45761</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45761</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45761</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45761</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45761</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45761</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45761</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45761</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45761</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45761</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45761</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45761</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45761</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45761</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45761</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45761</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45761</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45761</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45761</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45761</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45761</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45761</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45761</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45761</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45761</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45761</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45761</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45761</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45761</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45761</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45761</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45761</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45761</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45761</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45761</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45761</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45761</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45761</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45761</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45761</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45761</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45761</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45761</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45761</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45761</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45761</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45761</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45761</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45761</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45761</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45761</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45761</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45761</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45761</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45761</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45761</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45761</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45761</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45761</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45761</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45761</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45761</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45761</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45761</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45761</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45761</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45761</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45761</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45761</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45761</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45761</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45761</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45761</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45761</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45761</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45761</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45761</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45761</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45761</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45761</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45761</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45761</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45761</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45761</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45761</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45761</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45761</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45761</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45761</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45761</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45761</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45761</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45761</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45761</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45761</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45761</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45761</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45761</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45761</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45761</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45761</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45761</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45761</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45761</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45761</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45761</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45761</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45761</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45761</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45761</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45761</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45761</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45761</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45761</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45761</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45761</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45761</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45761</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45761</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45761</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45761</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45761</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45761</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45761</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45761</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45761</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45761</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45761</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45761</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45761</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45761</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45761</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45761</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45761</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45761</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45761</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45761</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45761</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45761</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45761</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45761</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45761</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45761</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45761</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45761</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45761</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45761</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45761</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45761</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45761</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45761</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45761</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45761</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45761</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45761</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45761</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45761</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45761</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45761</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45761</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45761</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45761</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45761</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45761</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45761</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45761</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45761</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45761</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45761</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45761</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45761</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45761</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45761</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45761</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45761</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45761</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45761</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45761</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45761</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45761</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45761</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45761</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45761</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45761</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45761</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45761</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45761</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45761</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45761</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45761</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45761</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45761</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45761</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45761</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45761</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45761</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45761</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45761</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45761</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45761</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45761</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45761</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45761</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45761</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45761</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45761</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45761</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45761</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45761</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45761</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45761</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45761</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45761</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45761</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45761</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45761</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45761</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45761</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45761</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45761</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45761</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45761</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45761</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45761</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45761</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45761</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45761</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45761</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45761</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45761</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45761</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45761</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45761</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45761</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45761</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45761</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45761</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45761</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45761</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45761</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45761</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45761</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45761</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45761</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45761</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45761</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45761</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45761</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45761</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45761</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45761</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45761</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45761</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45761</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45761</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45761</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45761</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45761</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45761</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45761</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45761</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45761</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45761</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45761</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45761</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45761</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45761</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45761</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45761</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45761</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45761</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45761</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45761</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45761</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45761</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45761</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45761</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45761</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45761</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45761</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45761</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45761</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45761</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45761</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45761</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45761</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45761</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45761</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45761</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45761</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45761</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45761</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45761</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45761</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45761</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45761</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45761</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45761</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45761</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45761</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45761</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45761</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45761</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45761</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45761</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45761</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45761</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45761</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45761</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45761</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45761</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45761</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45761</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45761</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45761</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45761</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45761</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45761</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45761</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45761</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45761</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45761</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45761</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45761</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45761</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45761</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45761</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45761</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45761</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45761</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45761</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45761</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45761</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45761</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45761</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45761</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45761</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45761</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45761</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45761</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45761</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45761</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45761</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45761</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45761</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45761</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45761</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45761</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45761</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45761</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45761</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45761</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45761</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45761</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45761</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45761</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45761</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45761</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45761</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45761</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45761</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45761</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45761</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45761</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45761</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45761</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45761</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45761</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45761</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45761</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45761</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45761</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45761</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45761</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45761</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45761</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45761</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45761</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45761</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45761</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45761</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45761</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45761</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45761</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45761</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45761</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45761</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45761</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45761</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45761</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45761</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45761</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45761</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45761</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45761</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45761</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45761</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45761</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45761</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45761</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45761</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45761</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45761</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45761</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45761</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45761</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45761</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45761</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45761</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45761</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45761</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45761</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45761</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45761</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45761</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45761</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45761</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45761</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45761</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45761</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45761</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45761</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45761</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45761</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45761</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45761</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45761</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45761</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45761</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45761</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45761</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45761</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45761</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45761</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45761</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45761</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45761</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45761</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45761</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45761</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45761</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45761</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45761</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45761</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45761</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45761</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45761</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45761</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45761</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45761</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45761</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45761</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45761</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45761</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45761</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45761</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45761</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45761</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45761</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45761</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45761</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45761</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45761</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45761</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45761</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45761</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45761</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45761</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45761</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45761</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45761</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45761</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45761</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45761</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45761</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45761</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45761</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45761</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45761</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45761</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45761</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45761</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45761</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45761</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45761</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45761</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45761</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45761</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45761</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45761</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45761</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45761</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45761</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45761</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45761</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45761</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45761</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45761</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45761</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45761</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45761</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45761</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45761</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45761</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45761</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45761</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45761</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45761</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45761</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45761</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45761</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45761</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45761</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45761</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45761</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45761</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45761</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45761</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45761</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45761</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45761</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45761</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45761</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45761</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45761</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45761</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45761</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45761</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45761</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45761</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45761</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45761</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45761</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45761</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45761</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45761</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45761</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45761</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45761</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16961-2025</t>
        </is>
      </c>
      <c r="B1208" s="1" t="n">
        <v>45755</v>
      </c>
      <c r="C1208" s="1" t="n">
        <v>45761</v>
      </c>
      <c r="D1208" t="inlineStr">
        <is>
          <t>DALARNAS LÄN</t>
        </is>
      </c>
      <c r="E1208" t="inlineStr">
        <is>
          <t>MORA</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45761</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16967-2025</t>
        </is>
      </c>
      <c r="B1210" s="1" t="n">
        <v>45755</v>
      </c>
      <c r="C1210" s="1" t="n">
        <v>45761</v>
      </c>
      <c r="D1210" t="inlineStr">
        <is>
          <t>DALARNAS LÄN</t>
        </is>
      </c>
      <c r="E1210" t="inlineStr">
        <is>
          <t>MORA</t>
        </is>
      </c>
      <c r="F1210" t="inlineStr">
        <is>
          <t>Bergvik skog öst AB</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17278-2025</t>
        </is>
      </c>
      <c r="B1211" s="1" t="n">
        <v>45756</v>
      </c>
      <c r="C1211" s="1" t="n">
        <v>45761</v>
      </c>
      <c r="D1211" t="inlineStr">
        <is>
          <t>DALARNAS LÄN</t>
        </is>
      </c>
      <c r="E1211" t="inlineStr">
        <is>
          <t>MORA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17268-2025</t>
        </is>
      </c>
      <c r="B1212" s="1" t="n">
        <v>45756</v>
      </c>
      <c r="C1212" s="1" t="n">
        <v>45761</v>
      </c>
      <c r="D1212" t="inlineStr">
        <is>
          <t>DALARNAS LÄN</t>
        </is>
      </c>
      <c r="E1212" t="inlineStr">
        <is>
          <t>MORA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17280-2025</t>
        </is>
      </c>
      <c r="B1213" s="1" t="n">
        <v>45756</v>
      </c>
      <c r="C1213" s="1" t="n">
        <v>45761</v>
      </c>
      <c r="D1213" t="inlineStr">
        <is>
          <t>DALARNAS LÄN</t>
        </is>
      </c>
      <c r="E1213" t="inlineStr">
        <is>
          <t>MORA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17288-2025</t>
        </is>
      </c>
      <c r="B1214" s="1" t="n">
        <v>45756</v>
      </c>
      <c r="C1214" s="1" t="n">
        <v>45761</v>
      </c>
      <c r="D1214" t="inlineStr">
        <is>
          <t>DALARNAS LÄN</t>
        </is>
      </c>
      <c r="E1214" t="inlineStr">
        <is>
          <t>MORA</t>
        </is>
      </c>
      <c r="F1214" t="inlineStr">
        <is>
          <t>Kyrkan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17163-2025</t>
        </is>
      </c>
      <c r="B1215" s="1" t="n">
        <v>45756</v>
      </c>
      <c r="C1215" s="1" t="n">
        <v>45761</v>
      </c>
      <c r="D1215" t="inlineStr">
        <is>
          <t>DALARNAS LÄN</t>
        </is>
      </c>
      <c r="E1215" t="inlineStr">
        <is>
          <t>MORA</t>
        </is>
      </c>
      <c r="F1215" t="inlineStr">
        <is>
          <t>Bergvik skog öst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17167-2025</t>
        </is>
      </c>
      <c r="B1216" s="1" t="n">
        <v>45756</v>
      </c>
      <c r="C1216" s="1" t="n">
        <v>45761</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17176-2025</t>
        </is>
      </c>
      <c r="B1217" s="1" t="n">
        <v>45756</v>
      </c>
      <c r="C1217" s="1" t="n">
        <v>45761</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17164-2025</t>
        </is>
      </c>
      <c r="B1218" s="1" t="n">
        <v>45756</v>
      </c>
      <c r="C1218" s="1" t="n">
        <v>45761</v>
      </c>
      <c r="D1218" t="inlineStr">
        <is>
          <t>DALARNAS LÄN</t>
        </is>
      </c>
      <c r="E1218" t="inlineStr">
        <is>
          <t>MORA</t>
        </is>
      </c>
      <c r="F1218" t="inlineStr">
        <is>
          <t>Bergvik skog öst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17172-2025</t>
        </is>
      </c>
      <c r="B1219" s="1" t="n">
        <v>45756</v>
      </c>
      <c r="C1219" s="1" t="n">
        <v>45761</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17494-2025</t>
        </is>
      </c>
      <c r="B1220" s="1" t="n">
        <v>45757</v>
      </c>
      <c r="C1220" s="1" t="n">
        <v>45761</v>
      </c>
      <c r="D1220" t="inlineStr">
        <is>
          <t>DALARNAS LÄN</t>
        </is>
      </c>
      <c r="E1220" t="inlineStr">
        <is>
          <t>MORA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17393-2025</t>
        </is>
      </c>
      <c r="B1221" s="1" t="n">
        <v>45757</v>
      </c>
      <c r="C1221" s="1" t="n">
        <v>45761</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17674-2025</t>
        </is>
      </c>
      <c r="B1222" s="1" t="n">
        <v>45758</v>
      </c>
      <c r="C1222" s="1" t="n">
        <v>45761</v>
      </c>
      <c r="D1222" t="inlineStr">
        <is>
          <t>DALARNAS LÄN</t>
        </is>
      </c>
      <c r="E1222" t="inlineStr">
        <is>
          <t>MORA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17737-2025</t>
        </is>
      </c>
      <c r="B1223" s="1" t="n">
        <v>45758</v>
      </c>
      <c r="C1223" s="1" t="n">
        <v>45761</v>
      </c>
      <c r="D1223" t="inlineStr">
        <is>
          <t>DALARNAS LÄN</t>
        </is>
      </c>
      <c r="E1223" t="inlineStr">
        <is>
          <t>MORA</t>
        </is>
      </c>
      <c r="G1223" t="n">
        <v>2.2</v>
      </c>
      <c r="H1223" t="n">
        <v>0</v>
      </c>
      <c r="I1223" t="n">
        <v>0</v>
      </c>
      <c r="J1223" t="n">
        <v>0</v>
      </c>
      <c r="K1223" t="n">
        <v>0</v>
      </c>
      <c r="L1223" t="n">
        <v>0</v>
      </c>
      <c r="M1223" t="n">
        <v>0</v>
      </c>
      <c r="N1223" t="n">
        <v>0</v>
      </c>
      <c r="O1223" t="n">
        <v>0</v>
      </c>
      <c r="P1223" t="n">
        <v>0</v>
      </c>
      <c r="Q1223" t="n">
        <v>0</v>
      </c>
      <c r="R1223" s="2" t="inlineStr"/>
    </row>
    <row r="1224">
      <c r="A1224" t="inlineStr">
        <is>
          <t>A 17865-2025</t>
        </is>
      </c>
      <c r="B1224" s="1" t="n">
        <v>45758</v>
      </c>
      <c r="C1224" s="1" t="n">
        <v>45761</v>
      </c>
      <c r="D1224" t="inlineStr">
        <is>
          <t>DALARNAS LÄN</t>
        </is>
      </c>
      <c r="E1224" t="inlineStr">
        <is>
          <t>MORA</t>
        </is>
      </c>
      <c r="G1224" t="n">
        <v>1.6</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2025-04-14T16:46:03Z</dcterms:created>
  <dcterms:modified xmlns:dcterms="http://purl.org/dc/terms/" xmlns:xsi="http://www.w3.org/2001/XMLSchema-instance" xsi:type="dcterms:W3CDTF">2025-04-14T16:46:04Z</dcterms:modified>
</cp:coreProperties>
</file>