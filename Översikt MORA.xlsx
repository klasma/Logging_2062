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45901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45901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45901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45901</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45901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45901</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45901</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45901</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45901</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45901</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45901</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45901</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45901</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45901</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45901</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45901</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45901</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45901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29934-2025</t>
        </is>
      </c>
      <c r="B20" s="1" t="n">
        <v>45826.44267361111</v>
      </c>
      <c r="C20" s="1" t="n">
        <v>45901</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45901</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5064-2023</t>
        </is>
      </c>
      <c r="B22" s="1" t="n">
        <v>44958.60337962963</v>
      </c>
      <c r="C22" s="1" t="n">
        <v>45901</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21041-2023</t>
        </is>
      </c>
      <c r="B23" s="1" t="n">
        <v>45061.58952546296</v>
      </c>
      <c r="C23" s="1" t="n">
        <v>45901</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45901</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45901</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45901</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45901</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61259-2023</t>
        </is>
      </c>
      <c r="B28" s="1" t="n">
        <v>45264</v>
      </c>
      <c r="C28" s="1" t="n">
        <v>45901</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29380-2025</t>
        </is>
      </c>
      <c r="B29" s="1" t="n">
        <v>45824.59025462963</v>
      </c>
      <c r="C29" s="1" t="n">
        <v>45901</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29520-2025</t>
        </is>
      </c>
      <c r="B30" s="1" t="n">
        <v>45825.3303125</v>
      </c>
      <c r="C30" s="1" t="n">
        <v>45901</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34447-2024</t>
        </is>
      </c>
      <c r="B31" s="1" t="n">
        <v>45525</v>
      </c>
      <c r="C31" s="1" t="n">
        <v>45901</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45901</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25750-2021</t>
        </is>
      </c>
      <c r="B33" s="1" t="n">
        <v>44343</v>
      </c>
      <c r="C33" s="1" t="n">
        <v>45901</v>
      </c>
      <c r="D33" t="inlineStr">
        <is>
          <t>DALARNAS LÄN</t>
        </is>
      </c>
      <c r="E33" t="inlineStr">
        <is>
          <t>MORA</t>
        </is>
      </c>
      <c r="G33" t="n">
        <v>3.4</v>
      </c>
      <c r="H33" t="n">
        <v>2</v>
      </c>
      <c r="I33" t="n">
        <v>0</v>
      </c>
      <c r="J33" t="n">
        <v>4</v>
      </c>
      <c r="K33" t="n">
        <v>1</v>
      </c>
      <c r="L33" t="n">
        <v>0</v>
      </c>
      <c r="M33" t="n">
        <v>0</v>
      </c>
      <c r="N33" t="n">
        <v>0</v>
      </c>
      <c r="O33" t="n">
        <v>5</v>
      </c>
      <c r="P33" t="n">
        <v>1</v>
      </c>
      <c r="Q33" t="n">
        <v>5</v>
      </c>
      <c r="R33" s="2" t="inlineStr">
        <is>
          <t>Knärot
Garnlav
Kolflarnlav
Mörk kolflarnlav
Spillkråka</t>
        </is>
      </c>
      <c r="S33">
        <f>HYPERLINK("https://klasma.github.io/Logging_2062/artfynd/A 25750-2021 artfynd.xlsx", "A 25750-2021")</f>
        <v/>
      </c>
      <c r="T33">
        <f>HYPERLINK("https://klasma.github.io/Logging_2062/kartor/A 25750-2021 karta.png", "A 25750-2021")</f>
        <v/>
      </c>
      <c r="U33">
        <f>HYPERLINK("https://klasma.github.io/Logging_2062/knärot/A 25750-2021 karta knärot.png", "A 25750-2021")</f>
        <v/>
      </c>
      <c r="V33">
        <f>HYPERLINK("https://klasma.github.io/Logging_2062/klagomål/A 25750-2021 FSC-klagomål.docx", "A 25750-2021")</f>
        <v/>
      </c>
      <c r="W33">
        <f>HYPERLINK("https://klasma.github.io/Logging_2062/klagomålsmail/A 25750-2021 FSC-klagomål mail.docx", "A 25750-2021")</f>
        <v/>
      </c>
      <c r="X33">
        <f>HYPERLINK("https://klasma.github.io/Logging_2062/tillsyn/A 25750-2021 tillsynsbegäran.docx", "A 25750-2021")</f>
        <v/>
      </c>
      <c r="Y33">
        <f>HYPERLINK("https://klasma.github.io/Logging_2062/tillsynsmail/A 25750-2021 tillsynsbegäran mail.docx", "A 25750-2021")</f>
        <v/>
      </c>
      <c r="Z33">
        <f>HYPERLINK("https://klasma.github.io/Logging_2062/fåglar/A 25750-2021 prioriterade fågelarter.docx", "A 25750-2021")</f>
        <v/>
      </c>
    </row>
    <row r="34" ht="15" customHeight="1">
      <c r="A34" t="inlineStr">
        <is>
          <t>A 31539-2025</t>
        </is>
      </c>
      <c r="B34" s="1" t="n">
        <v>45833</v>
      </c>
      <c r="C34" s="1" t="n">
        <v>45901</v>
      </c>
      <c r="D34" t="inlineStr">
        <is>
          <t>DALARNAS LÄN</t>
        </is>
      </c>
      <c r="E34" t="inlineStr">
        <is>
          <t>MORA</t>
        </is>
      </c>
      <c r="G34" t="n">
        <v>5.3</v>
      </c>
      <c r="H34" t="n">
        <v>2</v>
      </c>
      <c r="I34" t="n">
        <v>2</v>
      </c>
      <c r="J34" t="n">
        <v>2</v>
      </c>
      <c r="K34" t="n">
        <v>1</v>
      </c>
      <c r="L34" t="n">
        <v>0</v>
      </c>
      <c r="M34" t="n">
        <v>0</v>
      </c>
      <c r="N34" t="n">
        <v>0</v>
      </c>
      <c r="O34" t="n">
        <v>3</v>
      </c>
      <c r="P34" t="n">
        <v>1</v>
      </c>
      <c r="Q34" t="n">
        <v>5</v>
      </c>
      <c r="R34" s="2" t="inlineStr">
        <is>
          <t>Knärot
Tallticka
Talltita
Bollvitmossa
Kattfotslav</t>
        </is>
      </c>
      <c r="S34">
        <f>HYPERLINK("https://klasma.github.io/Logging_2062/artfynd/A 31539-2025 artfynd.xlsx", "A 31539-2025")</f>
        <v/>
      </c>
      <c r="T34">
        <f>HYPERLINK("https://klasma.github.io/Logging_2062/kartor/A 31539-2025 karta.png", "A 31539-2025")</f>
        <v/>
      </c>
      <c r="U34">
        <f>HYPERLINK("https://klasma.github.io/Logging_2062/knärot/A 31539-2025 karta knärot.png", "A 31539-2025")</f>
        <v/>
      </c>
      <c r="V34">
        <f>HYPERLINK("https://klasma.github.io/Logging_2062/klagomål/A 31539-2025 FSC-klagomål.docx", "A 31539-2025")</f>
        <v/>
      </c>
      <c r="W34">
        <f>HYPERLINK("https://klasma.github.io/Logging_2062/klagomålsmail/A 31539-2025 FSC-klagomål mail.docx", "A 31539-2025")</f>
        <v/>
      </c>
      <c r="X34">
        <f>HYPERLINK("https://klasma.github.io/Logging_2062/tillsyn/A 31539-2025 tillsynsbegäran.docx", "A 31539-2025")</f>
        <v/>
      </c>
      <c r="Y34">
        <f>HYPERLINK("https://klasma.github.io/Logging_2062/tillsynsmail/A 31539-2025 tillsynsbegäran mail.docx", "A 31539-2025")</f>
        <v/>
      </c>
      <c r="Z34">
        <f>HYPERLINK("https://klasma.github.io/Logging_2062/fåglar/A 31539-2025 prioriterade fågelarter.docx", "A 31539-2025")</f>
        <v/>
      </c>
    </row>
    <row r="35" ht="15" customHeight="1">
      <c r="A35" t="inlineStr">
        <is>
          <t>A 8760-2025</t>
        </is>
      </c>
      <c r="B35" s="1" t="n">
        <v>45712.57467592593</v>
      </c>
      <c r="C35" s="1" t="n">
        <v>45901</v>
      </c>
      <c r="D35" t="inlineStr">
        <is>
          <t>DALARNAS LÄN</t>
        </is>
      </c>
      <c r="E35" t="inlineStr">
        <is>
          <t>MORA</t>
        </is>
      </c>
      <c r="F35" t="inlineStr">
        <is>
          <t>Allmännings- och besparingsskogar</t>
        </is>
      </c>
      <c r="G35" t="n">
        <v>36.6</v>
      </c>
      <c r="H35" t="n">
        <v>0</v>
      </c>
      <c r="I35" t="n">
        <v>0</v>
      </c>
      <c r="J35" t="n">
        <v>5</v>
      </c>
      <c r="K35" t="n">
        <v>0</v>
      </c>
      <c r="L35" t="n">
        <v>0</v>
      </c>
      <c r="M35" t="n">
        <v>0</v>
      </c>
      <c r="N35" t="n">
        <v>0</v>
      </c>
      <c r="O35" t="n">
        <v>5</v>
      </c>
      <c r="P35" t="n">
        <v>0</v>
      </c>
      <c r="Q35" t="n">
        <v>5</v>
      </c>
      <c r="R35" s="2" t="inlineStr">
        <is>
          <t>Garnlav
Mörk kolflarnlav
Skogshare
Vedflamlav
Vedskivlav</t>
        </is>
      </c>
      <c r="S35">
        <f>HYPERLINK("https://klasma.github.io/Logging_2062/artfynd/A 8760-2025 artfynd.xlsx", "A 8760-2025")</f>
        <v/>
      </c>
      <c r="T35">
        <f>HYPERLINK("https://klasma.github.io/Logging_2062/kartor/A 8760-2025 karta.png", "A 8760-2025")</f>
        <v/>
      </c>
      <c r="V35">
        <f>HYPERLINK("https://klasma.github.io/Logging_2062/klagomål/A 8760-2025 FSC-klagomål.docx", "A 8760-2025")</f>
        <v/>
      </c>
      <c r="W35">
        <f>HYPERLINK("https://klasma.github.io/Logging_2062/klagomålsmail/A 8760-2025 FSC-klagomål mail.docx", "A 8760-2025")</f>
        <v/>
      </c>
      <c r="X35">
        <f>HYPERLINK("https://klasma.github.io/Logging_2062/tillsyn/A 8760-2025 tillsynsbegäran.docx", "A 8760-2025")</f>
        <v/>
      </c>
      <c r="Y35">
        <f>HYPERLINK("https://klasma.github.io/Logging_2062/tillsynsmail/A 8760-2025 tillsynsbegäran mail.docx", "A 8760-2025")</f>
        <v/>
      </c>
    </row>
    <row r="36" ht="15" customHeight="1">
      <c r="A36" t="inlineStr">
        <is>
          <t>A 35487-2025</t>
        </is>
      </c>
      <c r="B36" s="1" t="n">
        <v>45855.75481481481</v>
      </c>
      <c r="C36" s="1" t="n">
        <v>45901</v>
      </c>
      <c r="D36" t="inlineStr">
        <is>
          <t>DALARNAS LÄN</t>
        </is>
      </c>
      <c r="E36" t="inlineStr">
        <is>
          <t>MORA</t>
        </is>
      </c>
      <c r="F36" t="inlineStr">
        <is>
          <t>Allmännings- och besparingsskogar</t>
        </is>
      </c>
      <c r="G36" t="n">
        <v>0.7</v>
      </c>
      <c r="H36" t="n">
        <v>2</v>
      </c>
      <c r="I36" t="n">
        <v>0</v>
      </c>
      <c r="J36" t="n">
        <v>3</v>
      </c>
      <c r="K36" t="n">
        <v>0</v>
      </c>
      <c r="L36" t="n">
        <v>0</v>
      </c>
      <c r="M36" t="n">
        <v>0</v>
      </c>
      <c r="N36" t="n">
        <v>0</v>
      </c>
      <c r="O36" t="n">
        <v>3</v>
      </c>
      <c r="P36" t="n">
        <v>0</v>
      </c>
      <c r="Q36" t="n">
        <v>5</v>
      </c>
      <c r="R36" s="2" t="inlineStr">
        <is>
          <t>Dvärgbägarlav
Garnlav
Vedskivlav
Tjäder
Revlummer</t>
        </is>
      </c>
      <c r="S36">
        <f>HYPERLINK("https://klasma.github.io/Logging_2062/artfynd/A 35487-2025 artfynd.xlsx", "A 35487-2025")</f>
        <v/>
      </c>
      <c r="T36">
        <f>HYPERLINK("https://klasma.github.io/Logging_2062/kartor/A 35487-2025 karta.png", "A 35487-2025")</f>
        <v/>
      </c>
      <c r="V36">
        <f>HYPERLINK("https://klasma.github.io/Logging_2062/klagomål/A 35487-2025 FSC-klagomål.docx", "A 35487-2025")</f>
        <v/>
      </c>
      <c r="W36">
        <f>HYPERLINK("https://klasma.github.io/Logging_2062/klagomålsmail/A 35487-2025 FSC-klagomål mail.docx", "A 35487-2025")</f>
        <v/>
      </c>
      <c r="X36">
        <f>HYPERLINK("https://klasma.github.io/Logging_2062/tillsyn/A 35487-2025 tillsynsbegäran.docx", "A 35487-2025")</f>
        <v/>
      </c>
      <c r="Y36">
        <f>HYPERLINK("https://klasma.github.io/Logging_2062/tillsynsmail/A 35487-2025 tillsynsbegäran mail.docx", "A 35487-2025")</f>
        <v/>
      </c>
      <c r="Z36">
        <f>HYPERLINK("https://klasma.github.io/Logging_2062/fåglar/A 35487-2025 prioriterade fågelarter.docx", "A 35487-2025")</f>
        <v/>
      </c>
    </row>
    <row r="37" ht="15" customHeight="1">
      <c r="A37" t="inlineStr">
        <is>
          <t>A 14293-2024</t>
        </is>
      </c>
      <c r="B37" s="1" t="n">
        <v>45393.63902777778</v>
      </c>
      <c r="C37" s="1" t="n">
        <v>45901</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45418.39261574074</v>
      </c>
      <c r="C38" s="1" t="n">
        <v>45901</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14829-2025</t>
        </is>
      </c>
      <c r="B39" s="1" t="n">
        <v>45743.36951388889</v>
      </c>
      <c r="C39" s="1" t="n">
        <v>45901</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32222-2025</t>
        </is>
      </c>
      <c r="B40" s="1" t="n">
        <v>45835.59140046296</v>
      </c>
      <c r="C40" s="1" t="n">
        <v>45901</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29392-2025</t>
        </is>
      </c>
      <c r="B41" s="1" t="n">
        <v>45824.60537037037</v>
      </c>
      <c r="C41" s="1" t="n">
        <v>45901</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20067-2025</t>
        </is>
      </c>
      <c r="B42" s="1" t="n">
        <v>45772.43609953704</v>
      </c>
      <c r="C42" s="1" t="n">
        <v>45901</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33380-2025</t>
        </is>
      </c>
      <c r="B43" s="1" t="n">
        <v>45841.40309027778</v>
      </c>
      <c r="C43" s="1" t="n">
        <v>45901</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45901</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45901</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45901</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45901</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45901</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45901</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45901</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30328-2021</t>
        </is>
      </c>
      <c r="B51" s="1" t="n">
        <v>44364</v>
      </c>
      <c r="C51" s="1" t="n">
        <v>45901</v>
      </c>
      <c r="D51" t="inlineStr">
        <is>
          <t>DALARNAS LÄN</t>
        </is>
      </c>
      <c r="E51" t="inlineStr">
        <is>
          <t>MORA</t>
        </is>
      </c>
      <c r="F51" t="inlineStr">
        <is>
          <t>Bergvik skog öst AB</t>
        </is>
      </c>
      <c r="G51" t="n">
        <v>1.1</v>
      </c>
      <c r="H51" t="n">
        <v>1</v>
      </c>
      <c r="I51" t="n">
        <v>0</v>
      </c>
      <c r="J51" t="n">
        <v>1</v>
      </c>
      <c r="K51" t="n">
        <v>0</v>
      </c>
      <c r="L51" t="n">
        <v>0</v>
      </c>
      <c r="M51" t="n">
        <v>0</v>
      </c>
      <c r="N51" t="n">
        <v>0</v>
      </c>
      <c r="O51" t="n">
        <v>1</v>
      </c>
      <c r="P51" t="n">
        <v>0</v>
      </c>
      <c r="Q51" t="n">
        <v>1</v>
      </c>
      <c r="R51" s="2" t="inlineStr">
        <is>
          <t>Fjällvråk</t>
        </is>
      </c>
      <c r="S51">
        <f>HYPERLINK("https://klasma.github.io/Logging_2062/artfynd/A 30328-2021 artfynd.xlsx", "A 30328-2021")</f>
        <v/>
      </c>
      <c r="T51">
        <f>HYPERLINK("https://klasma.github.io/Logging_2062/kartor/A 30328-2021 karta.png", "A 30328-2021")</f>
        <v/>
      </c>
      <c r="V51">
        <f>HYPERLINK("https://klasma.github.io/Logging_2062/klagomål/A 30328-2021 FSC-klagomål.docx", "A 30328-2021")</f>
        <v/>
      </c>
      <c r="W51">
        <f>HYPERLINK("https://klasma.github.io/Logging_2062/klagomålsmail/A 30328-2021 FSC-klagomål mail.docx", "A 30328-2021")</f>
        <v/>
      </c>
      <c r="X51">
        <f>HYPERLINK("https://klasma.github.io/Logging_2062/tillsyn/A 30328-2021 tillsynsbegäran.docx", "A 30328-2021")</f>
        <v/>
      </c>
      <c r="Y51">
        <f>HYPERLINK("https://klasma.github.io/Logging_2062/tillsynsmail/A 30328-2021 tillsynsbegäran mail.docx", "A 30328-2021")</f>
        <v/>
      </c>
      <c r="Z51">
        <f>HYPERLINK("https://klasma.github.io/Logging_2062/fåglar/A 30328-2021 prioriterade fågelarter.docx", "A 30328-2021")</f>
        <v/>
      </c>
    </row>
    <row r="52" ht="15" customHeight="1">
      <c r="A52" t="inlineStr">
        <is>
          <t>A 5304-2023</t>
        </is>
      </c>
      <c r="B52" s="1" t="n">
        <v>44959.55116898148</v>
      </c>
      <c r="C52" s="1" t="n">
        <v>45901</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16094-2024</t>
        </is>
      </c>
      <c r="B53" s="1" t="n">
        <v>45406.41648148148</v>
      </c>
      <c r="C53" s="1" t="n">
        <v>45901</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45901</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57669-2022</t>
        </is>
      </c>
      <c r="B55" s="1" t="n">
        <v>44897</v>
      </c>
      <c r="C55" s="1" t="n">
        <v>45901</v>
      </c>
      <c r="D55" t="inlineStr">
        <is>
          <t>DALARNAS LÄN</t>
        </is>
      </c>
      <c r="E55" t="inlineStr">
        <is>
          <t>MORA</t>
        </is>
      </c>
      <c r="G55" t="n">
        <v>4.1</v>
      </c>
      <c r="H55" t="n">
        <v>0</v>
      </c>
      <c r="I55" t="n">
        <v>0</v>
      </c>
      <c r="J55" t="n">
        <v>1</v>
      </c>
      <c r="K55" t="n">
        <v>0</v>
      </c>
      <c r="L55" t="n">
        <v>0</v>
      </c>
      <c r="M55" t="n">
        <v>0</v>
      </c>
      <c r="N55" t="n">
        <v>0</v>
      </c>
      <c r="O55" t="n">
        <v>1</v>
      </c>
      <c r="P55" t="n">
        <v>0</v>
      </c>
      <c r="Q55" t="n">
        <v>1</v>
      </c>
      <c r="R55" s="2" t="inlineStr">
        <is>
          <t>Igelkott</t>
        </is>
      </c>
      <c r="S55">
        <f>HYPERLINK("https://klasma.github.io/Logging_2062/artfynd/A 57669-2022 artfynd.xlsx", "A 57669-2022")</f>
        <v/>
      </c>
      <c r="T55">
        <f>HYPERLINK("https://klasma.github.io/Logging_2062/kartor/A 57669-2022 karta.png", "A 57669-2022")</f>
        <v/>
      </c>
      <c r="V55">
        <f>HYPERLINK("https://klasma.github.io/Logging_2062/klagomål/A 57669-2022 FSC-klagomål.docx", "A 57669-2022")</f>
        <v/>
      </c>
      <c r="W55">
        <f>HYPERLINK("https://klasma.github.io/Logging_2062/klagomålsmail/A 57669-2022 FSC-klagomål mail.docx", "A 57669-2022")</f>
        <v/>
      </c>
      <c r="X55">
        <f>HYPERLINK("https://klasma.github.io/Logging_2062/tillsyn/A 57669-2022 tillsynsbegäran.docx", "A 57669-2022")</f>
        <v/>
      </c>
      <c r="Y55">
        <f>HYPERLINK("https://klasma.github.io/Logging_2062/tillsynsmail/A 57669-2022 tillsynsbegäran mail.docx", "A 57669-2022")</f>
        <v/>
      </c>
    </row>
    <row r="56" ht="15" customHeight="1">
      <c r="A56" t="inlineStr">
        <is>
          <t>A 831-2025</t>
        </is>
      </c>
      <c r="B56" s="1" t="n">
        <v>45665.58001157407</v>
      </c>
      <c r="C56" s="1" t="n">
        <v>45901</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45344-2024</t>
        </is>
      </c>
      <c r="B57" s="1" t="n">
        <v>45576</v>
      </c>
      <c r="C57" s="1" t="n">
        <v>45901</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45344-2024 artfynd.xlsx", "A 45344-2024")</f>
        <v/>
      </c>
      <c r="T57">
        <f>HYPERLINK("https://klasma.github.io/Logging_2062/kartor/A 45344-2024 karta.png", "A 45344-2024")</f>
        <v/>
      </c>
      <c r="V57">
        <f>HYPERLINK("https://klasma.github.io/Logging_2062/klagomål/A 45344-2024 FSC-klagomål.docx", "A 45344-2024")</f>
        <v/>
      </c>
      <c r="W57">
        <f>HYPERLINK("https://klasma.github.io/Logging_2062/klagomålsmail/A 45344-2024 FSC-klagomål mail.docx", "A 45344-2024")</f>
        <v/>
      </c>
      <c r="X57">
        <f>HYPERLINK("https://klasma.github.io/Logging_2062/tillsyn/A 45344-2024 tillsynsbegäran.docx", "A 45344-2024")</f>
        <v/>
      </c>
      <c r="Y57">
        <f>HYPERLINK("https://klasma.github.io/Logging_2062/tillsynsmail/A 45344-2024 tillsynsbegäran mail.docx", "A 45344-2024")</f>
        <v/>
      </c>
    </row>
    <row r="58" ht="15" customHeight="1">
      <c r="A58" t="inlineStr">
        <is>
          <t>A 20538-2025</t>
        </is>
      </c>
      <c r="B58" s="1" t="n">
        <v>45775.62283564815</v>
      </c>
      <c r="C58" s="1" t="n">
        <v>45901</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20538-2025 artfynd.xlsx", "A 20538-2025")</f>
        <v/>
      </c>
      <c r="T58">
        <f>HYPERLINK("https://klasma.github.io/Logging_2062/kartor/A 20538-2025 karta.png", "A 20538-2025")</f>
        <v/>
      </c>
      <c r="V58">
        <f>HYPERLINK("https://klasma.github.io/Logging_2062/klagomål/A 20538-2025 FSC-klagomål.docx", "A 20538-2025")</f>
        <v/>
      </c>
      <c r="W58">
        <f>HYPERLINK("https://klasma.github.io/Logging_2062/klagomålsmail/A 20538-2025 FSC-klagomål mail.docx", "A 20538-2025")</f>
        <v/>
      </c>
      <c r="X58">
        <f>HYPERLINK("https://klasma.github.io/Logging_2062/tillsyn/A 20538-2025 tillsynsbegäran.docx", "A 20538-2025")</f>
        <v/>
      </c>
      <c r="Y58">
        <f>HYPERLINK("https://klasma.github.io/Logging_2062/tillsynsmail/A 20538-2025 tillsynsbegäran mail.docx", "A 20538-2025")</f>
        <v/>
      </c>
    </row>
    <row r="59" ht="15" customHeight="1">
      <c r="A59" t="inlineStr">
        <is>
          <t>A 13717-2023</t>
        </is>
      </c>
      <c r="B59" s="1" t="n">
        <v>45007</v>
      </c>
      <c r="C59" s="1" t="n">
        <v>45901</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23736-2023</t>
        </is>
      </c>
      <c r="B60" s="1" t="n">
        <v>45077</v>
      </c>
      <c r="C60" s="1" t="n">
        <v>45901</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66990-2020</t>
        </is>
      </c>
      <c r="B61" s="1" t="n">
        <v>44180</v>
      </c>
      <c r="C61" s="1" t="n">
        <v>45901</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45901</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45901</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52732-2020</t>
        </is>
      </c>
      <c r="B64" s="1" t="n">
        <v>44118</v>
      </c>
      <c r="C64" s="1" t="n">
        <v>45901</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45901</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45901</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45901</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45901</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45901</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45901</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45901</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45901</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45901</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45901</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65253-2021</t>
        </is>
      </c>
      <c r="B75" s="1" t="n">
        <v>44515</v>
      </c>
      <c r="C75" s="1" t="n">
        <v>45901</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1951-2021</t>
        </is>
      </c>
      <c r="B76" s="1" t="n">
        <v>44210</v>
      </c>
      <c r="C76" s="1" t="n">
        <v>45901</v>
      </c>
      <c r="D76" t="inlineStr">
        <is>
          <t>DALARNAS LÄN</t>
        </is>
      </c>
      <c r="E76" t="inlineStr">
        <is>
          <t>MORA</t>
        </is>
      </c>
      <c r="G76" t="n">
        <v>1.6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45901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54239-2021</t>
        </is>
      </c>
      <c r="B78" s="1" t="n">
        <v>44470.63695601852</v>
      </c>
      <c r="C78" s="1" t="n">
        <v>45901</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45901</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45901</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45901</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45901</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45901</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45901</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45901</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45901</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45901</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45901</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45901</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45901</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28344-2022</t>
        </is>
      </c>
      <c r="B91" s="1" t="n">
        <v>44747</v>
      </c>
      <c r="C91" s="1" t="n">
        <v>45901</v>
      </c>
      <c r="D91" t="inlineStr">
        <is>
          <t>DALARNAS LÄN</t>
        </is>
      </c>
      <c r="E91" t="inlineStr">
        <is>
          <t>MORA</t>
        </is>
      </c>
      <c r="F91" t="inlineStr">
        <is>
          <t>Kyrkan</t>
        </is>
      </c>
      <c r="G91" t="n">
        <v>6.4</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45901</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45901</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45901</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45901</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45901</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45901</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45901</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45901</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45901</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45901</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16706-2022</t>
        </is>
      </c>
      <c r="B102" s="1" t="n">
        <v>44673</v>
      </c>
      <c r="C102" s="1" t="n">
        <v>45901</v>
      </c>
      <c r="D102" t="inlineStr">
        <is>
          <t>DALARNAS LÄN</t>
        </is>
      </c>
      <c r="E102" t="inlineStr">
        <is>
          <t>MORA</t>
        </is>
      </c>
      <c r="G102" t="n">
        <v>9.1</v>
      </c>
      <c r="H102" t="n">
        <v>0</v>
      </c>
      <c r="I102" t="n">
        <v>0</v>
      </c>
      <c r="J102" t="n">
        <v>0</v>
      </c>
      <c r="K102" t="n">
        <v>0</v>
      </c>
      <c r="L102" t="n">
        <v>0</v>
      </c>
      <c r="M102" t="n">
        <v>0</v>
      </c>
      <c r="N102" t="n">
        <v>0</v>
      </c>
      <c r="O102" t="n">
        <v>0</v>
      </c>
      <c r="P102" t="n">
        <v>0</v>
      </c>
      <c r="Q102" t="n">
        <v>0</v>
      </c>
      <c r="R102" s="2" t="inlineStr"/>
    </row>
    <row r="103" ht="15" customHeight="1">
      <c r="A103" t="inlineStr">
        <is>
          <t>A 8064-2021</t>
        </is>
      </c>
      <c r="B103" s="1" t="n">
        <v>44243</v>
      </c>
      <c r="C103" s="1" t="n">
        <v>45901</v>
      </c>
      <c r="D103" t="inlineStr">
        <is>
          <t>DALARNAS LÄN</t>
        </is>
      </c>
      <c r="E103" t="inlineStr">
        <is>
          <t>MORA</t>
        </is>
      </c>
      <c r="G103" t="n">
        <v>4</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45901</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45901</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45901</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45901</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45901</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45901</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45901</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45901</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45901</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45901</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45901</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45901</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45901</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36168-2021</t>
        </is>
      </c>
      <c r="B117" s="1" t="n">
        <v>44389.62159722222</v>
      </c>
      <c r="C117" s="1" t="n">
        <v>45901</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32474-2022</t>
        </is>
      </c>
      <c r="B118" s="1" t="n">
        <v>44782</v>
      </c>
      <c r="C118" s="1" t="n">
        <v>45901</v>
      </c>
      <c r="D118" t="inlineStr">
        <is>
          <t>DALARNAS LÄN</t>
        </is>
      </c>
      <c r="E118" t="inlineStr">
        <is>
          <t>MORA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42377-2020</t>
        </is>
      </c>
      <c r="B119" s="1" t="n">
        <v>44076</v>
      </c>
      <c r="C119" s="1" t="n">
        <v>45901</v>
      </c>
      <c r="D119" t="inlineStr">
        <is>
          <t>DALARNAS LÄN</t>
        </is>
      </c>
      <c r="E119" t="inlineStr">
        <is>
          <t>MORA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45901</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45901</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45901</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45901</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45901</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37771-2022</t>
        </is>
      </c>
      <c r="B125" s="1" t="n">
        <v>44810.63806712963</v>
      </c>
      <c r="C125" s="1" t="n">
        <v>45901</v>
      </c>
      <c r="D125" t="inlineStr">
        <is>
          <t>DALARNAS LÄN</t>
        </is>
      </c>
      <c r="E125" t="inlineStr">
        <is>
          <t>MORA</t>
        </is>
      </c>
      <c r="G125" t="n">
        <v>0.9</v>
      </c>
      <c r="H125" t="n">
        <v>0</v>
      </c>
      <c r="I125" t="n">
        <v>0</v>
      </c>
      <c r="J125" t="n">
        <v>0</v>
      </c>
      <c r="K125" t="n">
        <v>0</v>
      </c>
      <c r="L125" t="n">
        <v>0</v>
      </c>
      <c r="M125" t="n">
        <v>0</v>
      </c>
      <c r="N125" t="n">
        <v>0</v>
      </c>
      <c r="O125" t="n">
        <v>0</v>
      </c>
      <c r="P125" t="n">
        <v>0</v>
      </c>
      <c r="Q125" t="n">
        <v>0</v>
      </c>
      <c r="R125" s="2" t="inlineStr"/>
    </row>
    <row r="126" ht="15" customHeight="1">
      <c r="A126" t="inlineStr">
        <is>
          <t>A 42362-2020</t>
        </is>
      </c>
      <c r="B126" s="1" t="n">
        <v>44074</v>
      </c>
      <c r="C126" s="1" t="n">
        <v>45901</v>
      </c>
      <c r="D126" t="inlineStr">
        <is>
          <t>DALARNAS LÄN</t>
        </is>
      </c>
      <c r="E126" t="inlineStr">
        <is>
          <t>MORA</t>
        </is>
      </c>
      <c r="G126" t="n">
        <v>4.5</v>
      </c>
      <c r="H126" t="n">
        <v>0</v>
      </c>
      <c r="I126" t="n">
        <v>0</v>
      </c>
      <c r="J126" t="n">
        <v>0</v>
      </c>
      <c r="K126" t="n">
        <v>0</v>
      </c>
      <c r="L126" t="n">
        <v>0</v>
      </c>
      <c r="M126" t="n">
        <v>0</v>
      </c>
      <c r="N126" t="n">
        <v>0</v>
      </c>
      <c r="O126" t="n">
        <v>0</v>
      </c>
      <c r="P126" t="n">
        <v>0</v>
      </c>
      <c r="Q126" t="n">
        <v>0</v>
      </c>
      <c r="R126" s="2" t="inlineStr"/>
    </row>
    <row r="127" ht="15" customHeight="1">
      <c r="A127" t="inlineStr">
        <is>
          <t>A 67045-2021</t>
        </is>
      </c>
      <c r="B127" s="1" t="n">
        <v>44522</v>
      </c>
      <c r="C127" s="1" t="n">
        <v>45901</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48065-2020</t>
        </is>
      </c>
      <c r="B128" s="1" t="n">
        <v>44100</v>
      </c>
      <c r="C128" s="1" t="n">
        <v>45901</v>
      </c>
      <c r="D128" t="inlineStr">
        <is>
          <t>DALARNAS LÄN</t>
        </is>
      </c>
      <c r="E128" t="inlineStr">
        <is>
          <t>MORA</t>
        </is>
      </c>
      <c r="G128" t="n">
        <v>8.6</v>
      </c>
      <c r="H128" t="n">
        <v>0</v>
      </c>
      <c r="I128" t="n">
        <v>0</v>
      </c>
      <c r="J128" t="n">
        <v>0</v>
      </c>
      <c r="K128" t="n">
        <v>0</v>
      </c>
      <c r="L128" t="n">
        <v>0</v>
      </c>
      <c r="M128" t="n">
        <v>0</v>
      </c>
      <c r="N128" t="n">
        <v>0</v>
      </c>
      <c r="O128" t="n">
        <v>0</v>
      </c>
      <c r="P128" t="n">
        <v>0</v>
      </c>
      <c r="Q128" t="n">
        <v>0</v>
      </c>
      <c r="R128" s="2" t="inlineStr"/>
    </row>
    <row r="129" ht="15" customHeight="1">
      <c r="A129" t="inlineStr">
        <is>
          <t>A 55249-2020</t>
        </is>
      </c>
      <c r="B129" s="1" t="n">
        <v>44130</v>
      </c>
      <c r="C129" s="1" t="n">
        <v>45901</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45901</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45901</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45901</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14744-2022</t>
        </is>
      </c>
      <c r="B133" s="1" t="n">
        <v>44656.37616898148</v>
      </c>
      <c r="C133" s="1" t="n">
        <v>45901</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8546-2022</t>
        </is>
      </c>
      <c r="B134" s="1" t="n">
        <v>44613</v>
      </c>
      <c r="C134" s="1" t="n">
        <v>45901</v>
      </c>
      <c r="D134" t="inlineStr">
        <is>
          <t>DALARNAS LÄN</t>
        </is>
      </c>
      <c r="E134" t="inlineStr">
        <is>
          <t>MORA</t>
        </is>
      </c>
      <c r="G134" t="n">
        <v>2.6</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45901</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45901</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45901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22931-2021</t>
        </is>
      </c>
      <c r="B138" s="1" t="n">
        <v>44326</v>
      </c>
      <c r="C138" s="1" t="n">
        <v>45901</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45901</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41768-2020</t>
        </is>
      </c>
      <c r="B140" s="1" t="n">
        <v>44074</v>
      </c>
      <c r="C140" s="1" t="n">
        <v>45901</v>
      </c>
      <c r="D140" t="inlineStr">
        <is>
          <t>DALARNAS LÄN</t>
        </is>
      </c>
      <c r="E140" t="inlineStr">
        <is>
          <t>MORA</t>
        </is>
      </c>
      <c r="G140" t="n">
        <v>0.6</v>
      </c>
      <c r="H140" t="n">
        <v>0</v>
      </c>
      <c r="I140" t="n">
        <v>0</v>
      </c>
      <c r="J140" t="n">
        <v>0</v>
      </c>
      <c r="K140" t="n">
        <v>0</v>
      </c>
      <c r="L140" t="n">
        <v>0</v>
      </c>
      <c r="M140" t="n">
        <v>0</v>
      </c>
      <c r="N140" t="n">
        <v>0</v>
      </c>
      <c r="O140" t="n">
        <v>0</v>
      </c>
      <c r="P140" t="n">
        <v>0</v>
      </c>
      <c r="Q140" t="n">
        <v>0</v>
      </c>
      <c r="R140" s="2" t="inlineStr"/>
    </row>
    <row r="141" ht="15" customHeight="1">
      <c r="A141" t="inlineStr">
        <is>
          <t>A 24393-2022</t>
        </is>
      </c>
      <c r="B141" s="1" t="n">
        <v>44726</v>
      </c>
      <c r="C141" s="1" t="n">
        <v>45901</v>
      </c>
      <c r="D141" t="inlineStr">
        <is>
          <t>DALARNAS LÄN</t>
        </is>
      </c>
      <c r="E141" t="inlineStr">
        <is>
          <t>MORA</t>
        </is>
      </c>
      <c r="G141" t="n">
        <v>2.1</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45901</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43284-2020</t>
        </is>
      </c>
      <c r="B143" s="1" t="n">
        <v>44081</v>
      </c>
      <c r="C143" s="1" t="n">
        <v>45901</v>
      </c>
      <c r="D143" t="inlineStr">
        <is>
          <t>DALARNAS LÄN</t>
        </is>
      </c>
      <c r="E143" t="inlineStr">
        <is>
          <t>MORA</t>
        </is>
      </c>
      <c r="G143" t="n">
        <v>2</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45901</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45901</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45901</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45901</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45901</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5527-2024</t>
        </is>
      </c>
      <c r="B149" s="1" t="n">
        <v>45334.38981481481</v>
      </c>
      <c r="C149" s="1" t="n">
        <v>45901</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57475-2022</t>
        </is>
      </c>
      <c r="B150" s="1" t="n">
        <v>44896</v>
      </c>
      <c r="C150" s="1" t="n">
        <v>45901</v>
      </c>
      <c r="D150" t="inlineStr">
        <is>
          <t>DALARNAS LÄN</t>
        </is>
      </c>
      <c r="E150" t="inlineStr">
        <is>
          <t>MORA</t>
        </is>
      </c>
      <c r="G150" t="n">
        <v>5.7</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45901</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45901</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45901</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15993-2025</t>
        </is>
      </c>
      <c r="B154" s="1" t="n">
        <v>45749.58428240741</v>
      </c>
      <c r="C154" s="1" t="n">
        <v>45901</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46414-2024</t>
        </is>
      </c>
      <c r="B155" s="1" t="n">
        <v>45582.45226851852</v>
      </c>
      <c r="C155" s="1" t="n">
        <v>45901</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46417-2024</t>
        </is>
      </c>
      <c r="B156" s="1" t="n">
        <v>45582.45449074074</v>
      </c>
      <c r="C156" s="1" t="n">
        <v>45901</v>
      </c>
      <c r="D156" t="inlineStr">
        <is>
          <t>DALARNAS LÄN</t>
        </is>
      </c>
      <c r="E156" t="inlineStr">
        <is>
          <t>MORA</t>
        </is>
      </c>
      <c r="G156" t="n">
        <v>0.8</v>
      </c>
      <c r="H156" t="n">
        <v>0</v>
      </c>
      <c r="I156" t="n">
        <v>0</v>
      </c>
      <c r="J156" t="n">
        <v>0</v>
      </c>
      <c r="K156" t="n">
        <v>0</v>
      </c>
      <c r="L156" t="n">
        <v>0</v>
      </c>
      <c r="M156" t="n">
        <v>0</v>
      </c>
      <c r="N156" t="n">
        <v>0</v>
      </c>
      <c r="O156" t="n">
        <v>0</v>
      </c>
      <c r="P156" t="n">
        <v>0</v>
      </c>
      <c r="Q156" t="n">
        <v>0</v>
      </c>
      <c r="R156" s="2" t="inlineStr"/>
    </row>
    <row r="157" ht="15" customHeight="1">
      <c r="A157" t="inlineStr">
        <is>
          <t>A 14832-2025</t>
        </is>
      </c>
      <c r="B157" s="1" t="n">
        <v>45743</v>
      </c>
      <c r="C157" s="1" t="n">
        <v>45901</v>
      </c>
      <c r="D157" t="inlineStr">
        <is>
          <t>DALARNAS LÄN</t>
        </is>
      </c>
      <c r="E157" t="inlineStr">
        <is>
          <t>MORA</t>
        </is>
      </c>
      <c r="G157" t="n">
        <v>9.1</v>
      </c>
      <c r="H157" t="n">
        <v>0</v>
      </c>
      <c r="I157" t="n">
        <v>0</v>
      </c>
      <c r="J157" t="n">
        <v>0</v>
      </c>
      <c r="K157" t="n">
        <v>0</v>
      </c>
      <c r="L157" t="n">
        <v>0</v>
      </c>
      <c r="M157" t="n">
        <v>0</v>
      </c>
      <c r="N157" t="n">
        <v>0</v>
      </c>
      <c r="O157" t="n">
        <v>0</v>
      </c>
      <c r="P157" t="n">
        <v>0</v>
      </c>
      <c r="Q157" t="n">
        <v>0</v>
      </c>
      <c r="R157" s="2" t="inlineStr"/>
    </row>
    <row r="158" ht="15" customHeight="1">
      <c r="A158" t="inlineStr">
        <is>
          <t>A 15443-2025</t>
        </is>
      </c>
      <c r="B158" s="1" t="n">
        <v>45747.48371527778</v>
      </c>
      <c r="C158" s="1" t="n">
        <v>45901</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45574-2023</t>
        </is>
      </c>
      <c r="B159" s="1" t="n">
        <v>45194</v>
      </c>
      <c r="C159" s="1" t="n">
        <v>45901</v>
      </c>
      <c r="D159" t="inlineStr">
        <is>
          <t>DALARNAS LÄN</t>
        </is>
      </c>
      <c r="E159" t="inlineStr">
        <is>
          <t>MORA</t>
        </is>
      </c>
      <c r="G159" t="n">
        <v>6.3</v>
      </c>
      <c r="H159" t="n">
        <v>0</v>
      </c>
      <c r="I159" t="n">
        <v>0</v>
      </c>
      <c r="J159" t="n">
        <v>0</v>
      </c>
      <c r="K159" t="n">
        <v>0</v>
      </c>
      <c r="L159" t="n">
        <v>0</v>
      </c>
      <c r="M159" t="n">
        <v>0</v>
      </c>
      <c r="N159" t="n">
        <v>0</v>
      </c>
      <c r="O159" t="n">
        <v>0</v>
      </c>
      <c r="P159" t="n">
        <v>0</v>
      </c>
      <c r="Q159" t="n">
        <v>0</v>
      </c>
      <c r="R159" s="2" t="inlineStr"/>
    </row>
    <row r="160" ht="15" customHeight="1">
      <c r="A160" t="inlineStr">
        <is>
          <t>A 17280-2025</t>
        </is>
      </c>
      <c r="B160" s="1" t="n">
        <v>45756</v>
      </c>
      <c r="C160" s="1" t="n">
        <v>45901</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61270-2024</t>
        </is>
      </c>
      <c r="B161" s="1" t="n">
        <v>45645.74694444444</v>
      </c>
      <c r="C161" s="1" t="n">
        <v>45901</v>
      </c>
      <c r="D161" t="inlineStr">
        <is>
          <t>DALARNAS LÄN</t>
        </is>
      </c>
      <c r="E161" t="inlineStr">
        <is>
          <t>MORA</t>
        </is>
      </c>
      <c r="G161" t="n">
        <v>5.1</v>
      </c>
      <c r="H161" t="n">
        <v>0</v>
      </c>
      <c r="I161" t="n">
        <v>0</v>
      </c>
      <c r="J161" t="n">
        <v>0</v>
      </c>
      <c r="K161" t="n">
        <v>0</v>
      </c>
      <c r="L161" t="n">
        <v>0</v>
      </c>
      <c r="M161" t="n">
        <v>0</v>
      </c>
      <c r="N161" t="n">
        <v>0</v>
      </c>
      <c r="O161" t="n">
        <v>0</v>
      </c>
      <c r="P161" t="n">
        <v>0</v>
      </c>
      <c r="Q161" t="n">
        <v>0</v>
      </c>
      <c r="R161" s="2" t="inlineStr"/>
    </row>
    <row r="162" ht="15" customHeight="1">
      <c r="A162" t="inlineStr">
        <is>
          <t>A 5922-2025</t>
        </is>
      </c>
      <c r="B162" s="1" t="n">
        <v>45695.42762731481</v>
      </c>
      <c r="C162" s="1" t="n">
        <v>45901</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45901</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19910-2024</t>
        </is>
      </c>
      <c r="B164" s="1" t="n">
        <v>45433.5741087963</v>
      </c>
      <c r="C164" s="1" t="n">
        <v>45901</v>
      </c>
      <c r="D164" t="inlineStr">
        <is>
          <t>DALARNAS LÄN</t>
        </is>
      </c>
      <c r="E164" t="inlineStr">
        <is>
          <t>MORA</t>
        </is>
      </c>
      <c r="G164" t="n">
        <v>0.9</v>
      </c>
      <c r="H164" t="n">
        <v>0</v>
      </c>
      <c r="I164" t="n">
        <v>0</v>
      </c>
      <c r="J164" t="n">
        <v>0</v>
      </c>
      <c r="K164" t="n">
        <v>0</v>
      </c>
      <c r="L164" t="n">
        <v>0</v>
      </c>
      <c r="M164" t="n">
        <v>0</v>
      </c>
      <c r="N164" t="n">
        <v>0</v>
      </c>
      <c r="O164" t="n">
        <v>0</v>
      </c>
      <c r="P164" t="n">
        <v>0</v>
      </c>
      <c r="Q164" t="n">
        <v>0</v>
      </c>
      <c r="R164" s="2" t="inlineStr"/>
    </row>
    <row r="165" ht="15" customHeight="1">
      <c r="A165" t="inlineStr">
        <is>
          <t>A 51780-2023</t>
        </is>
      </c>
      <c r="B165" s="1" t="n">
        <v>45222</v>
      </c>
      <c r="C165" s="1" t="n">
        <v>45901</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20126-2025</t>
        </is>
      </c>
      <c r="B166" s="1" t="n">
        <v>45772.49640046297</v>
      </c>
      <c r="C166" s="1" t="n">
        <v>45901</v>
      </c>
      <c r="D166" t="inlineStr">
        <is>
          <t>DALARNAS LÄN</t>
        </is>
      </c>
      <c r="E166" t="inlineStr">
        <is>
          <t>MORA</t>
        </is>
      </c>
      <c r="G166" t="n">
        <v>12.1</v>
      </c>
      <c r="H166" t="n">
        <v>0</v>
      </c>
      <c r="I166" t="n">
        <v>0</v>
      </c>
      <c r="J166" t="n">
        <v>0</v>
      </c>
      <c r="K166" t="n">
        <v>0</v>
      </c>
      <c r="L166" t="n">
        <v>0</v>
      </c>
      <c r="M166" t="n">
        <v>0</v>
      </c>
      <c r="N166" t="n">
        <v>0</v>
      </c>
      <c r="O166" t="n">
        <v>0</v>
      </c>
      <c r="P166" t="n">
        <v>0</v>
      </c>
      <c r="Q166" t="n">
        <v>0</v>
      </c>
      <c r="R166" s="2" t="inlineStr"/>
    </row>
    <row r="167" ht="15" customHeight="1">
      <c r="A167" t="inlineStr">
        <is>
          <t>A 15643-2025</t>
        </is>
      </c>
      <c r="B167" s="1" t="n">
        <v>45748.39222222222</v>
      </c>
      <c r="C167" s="1" t="n">
        <v>45901</v>
      </c>
      <c r="D167" t="inlineStr">
        <is>
          <t>DALARNAS LÄN</t>
        </is>
      </c>
      <c r="E167" t="inlineStr">
        <is>
          <t>MORA</t>
        </is>
      </c>
      <c r="G167" t="n">
        <v>7.6</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45901</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45901</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9277-2024</t>
        </is>
      </c>
      <c r="B170" s="1" t="n">
        <v>45358.63265046296</v>
      </c>
      <c r="C170" s="1" t="n">
        <v>45901</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17516-2024</t>
        </is>
      </c>
      <c r="B171" s="1" t="n">
        <v>45415.58502314815</v>
      </c>
      <c r="C171" s="1" t="n">
        <v>45901</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17692-2024</t>
        </is>
      </c>
      <c r="B172" s="1" t="n">
        <v>45418.44195601852</v>
      </c>
      <c r="C172" s="1" t="n">
        <v>45901</v>
      </c>
      <c r="D172" t="inlineStr">
        <is>
          <t>DALARNAS LÄN</t>
        </is>
      </c>
      <c r="E172" t="inlineStr">
        <is>
          <t>MORA</t>
        </is>
      </c>
      <c r="F172" t="inlineStr">
        <is>
          <t>Bergvik skog öst AB</t>
        </is>
      </c>
      <c r="G172" t="n">
        <v>7.9</v>
      </c>
      <c r="H172" t="n">
        <v>0</v>
      </c>
      <c r="I172" t="n">
        <v>0</v>
      </c>
      <c r="J172" t="n">
        <v>0</v>
      </c>
      <c r="K172" t="n">
        <v>0</v>
      </c>
      <c r="L172" t="n">
        <v>0</v>
      </c>
      <c r="M172" t="n">
        <v>0</v>
      </c>
      <c r="N172" t="n">
        <v>0</v>
      </c>
      <c r="O172" t="n">
        <v>0</v>
      </c>
      <c r="P172" t="n">
        <v>0</v>
      </c>
      <c r="Q172" t="n">
        <v>0</v>
      </c>
      <c r="R172" s="2" t="inlineStr"/>
    </row>
    <row r="173" ht="15" customHeight="1">
      <c r="A173" t="inlineStr">
        <is>
          <t>A 7116-2024</t>
        </is>
      </c>
      <c r="B173" s="1" t="n">
        <v>45343.95445601852</v>
      </c>
      <c r="C173" s="1" t="n">
        <v>45901</v>
      </c>
      <c r="D173" t="inlineStr">
        <is>
          <t>DALARNAS LÄN</t>
        </is>
      </c>
      <c r="E173" t="inlineStr">
        <is>
          <t>MORA</t>
        </is>
      </c>
      <c r="G173" t="n">
        <v>0.3</v>
      </c>
      <c r="H173" t="n">
        <v>0</v>
      </c>
      <c r="I173" t="n">
        <v>0</v>
      </c>
      <c r="J173" t="n">
        <v>0</v>
      </c>
      <c r="K173" t="n">
        <v>0</v>
      </c>
      <c r="L173" t="n">
        <v>0</v>
      </c>
      <c r="M173" t="n">
        <v>0</v>
      </c>
      <c r="N173" t="n">
        <v>0</v>
      </c>
      <c r="O173" t="n">
        <v>0</v>
      </c>
      <c r="P173" t="n">
        <v>0</v>
      </c>
      <c r="Q173" t="n">
        <v>0</v>
      </c>
      <c r="R173" s="2" t="inlineStr"/>
    </row>
    <row r="174" ht="15" customHeight="1">
      <c r="A174" t="inlineStr">
        <is>
          <t>A 59995-2023</t>
        </is>
      </c>
      <c r="B174" s="1" t="n">
        <v>45254</v>
      </c>
      <c r="C174" s="1" t="n">
        <v>45901</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13479-2024</t>
        </is>
      </c>
      <c r="B175" s="1" t="n">
        <v>45387.5900925926</v>
      </c>
      <c r="C175" s="1" t="n">
        <v>45901</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41812-2024</t>
        </is>
      </c>
      <c r="B176" s="1" t="n">
        <v>45561.3771412037</v>
      </c>
      <c r="C176" s="1" t="n">
        <v>45901</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42085-2024</t>
        </is>
      </c>
      <c r="B177" s="1" t="n">
        <v>45562.33179398148</v>
      </c>
      <c r="C177" s="1" t="n">
        <v>45901</v>
      </c>
      <c r="D177" t="inlineStr">
        <is>
          <t>DALARNAS LÄN</t>
        </is>
      </c>
      <c r="E177" t="inlineStr">
        <is>
          <t>MORA</t>
        </is>
      </c>
      <c r="G177" t="n">
        <v>4.9</v>
      </c>
      <c r="H177" t="n">
        <v>0</v>
      </c>
      <c r="I177" t="n">
        <v>0</v>
      </c>
      <c r="J177" t="n">
        <v>0</v>
      </c>
      <c r="K177" t="n">
        <v>0</v>
      </c>
      <c r="L177" t="n">
        <v>0</v>
      </c>
      <c r="M177" t="n">
        <v>0</v>
      </c>
      <c r="N177" t="n">
        <v>0</v>
      </c>
      <c r="O177" t="n">
        <v>0</v>
      </c>
      <c r="P177" t="n">
        <v>0</v>
      </c>
      <c r="Q177" t="n">
        <v>0</v>
      </c>
      <c r="R177" s="2" t="inlineStr"/>
    </row>
    <row r="178" ht="15" customHeight="1">
      <c r="A178" t="inlineStr">
        <is>
          <t>A 53026-2023</t>
        </is>
      </c>
      <c r="B178" s="1" t="n">
        <v>45226.6987037037</v>
      </c>
      <c r="C178" s="1" t="n">
        <v>45901</v>
      </c>
      <c r="D178" t="inlineStr">
        <is>
          <t>DALARNAS LÄN</t>
        </is>
      </c>
      <c r="E178" t="inlineStr">
        <is>
          <t>MORA</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60465-2023</t>
        </is>
      </c>
      <c r="B179" s="1" t="n">
        <v>45259.57872685185</v>
      </c>
      <c r="C179" s="1" t="n">
        <v>45901</v>
      </c>
      <c r="D179" t="inlineStr">
        <is>
          <t>DALARNAS LÄN</t>
        </is>
      </c>
      <c r="E179" t="inlineStr">
        <is>
          <t>MORA</t>
        </is>
      </c>
      <c r="G179" t="n">
        <v>1.3</v>
      </c>
      <c r="H179" t="n">
        <v>0</v>
      </c>
      <c r="I179" t="n">
        <v>0</v>
      </c>
      <c r="J179" t="n">
        <v>0</v>
      </c>
      <c r="K179" t="n">
        <v>0</v>
      </c>
      <c r="L179" t="n">
        <v>0</v>
      </c>
      <c r="M179" t="n">
        <v>0</v>
      </c>
      <c r="N179" t="n">
        <v>0</v>
      </c>
      <c r="O179" t="n">
        <v>0</v>
      </c>
      <c r="P179" t="n">
        <v>0</v>
      </c>
      <c r="Q179" t="n">
        <v>0</v>
      </c>
      <c r="R179" s="2" t="inlineStr"/>
    </row>
    <row r="180" ht="15" customHeight="1">
      <c r="A180" t="inlineStr">
        <is>
          <t>A 33676-2023</t>
        </is>
      </c>
      <c r="B180" s="1" t="n">
        <v>45132.6291550926</v>
      </c>
      <c r="C180" s="1" t="n">
        <v>45901</v>
      </c>
      <c r="D180" t="inlineStr">
        <is>
          <t>DALARNAS LÄN</t>
        </is>
      </c>
      <c r="E180" t="inlineStr">
        <is>
          <t>MORA</t>
        </is>
      </c>
      <c r="F180" t="inlineStr">
        <is>
          <t>Bergvik skog öst AB</t>
        </is>
      </c>
      <c r="G180" t="n">
        <v>2.7</v>
      </c>
      <c r="H180" t="n">
        <v>0</v>
      </c>
      <c r="I180" t="n">
        <v>0</v>
      </c>
      <c r="J180" t="n">
        <v>0</v>
      </c>
      <c r="K180" t="n">
        <v>0</v>
      </c>
      <c r="L180" t="n">
        <v>0</v>
      </c>
      <c r="M180" t="n">
        <v>0</v>
      </c>
      <c r="N180" t="n">
        <v>0</v>
      </c>
      <c r="O180" t="n">
        <v>0</v>
      </c>
      <c r="P180" t="n">
        <v>0</v>
      </c>
      <c r="Q180" t="n">
        <v>0</v>
      </c>
      <c r="R180" s="2" t="inlineStr"/>
    </row>
    <row r="181" ht="15" customHeight="1">
      <c r="A181" t="inlineStr">
        <is>
          <t>A 24772-2024</t>
        </is>
      </c>
      <c r="B181" s="1" t="n">
        <v>45460.70204861111</v>
      </c>
      <c r="C181" s="1" t="n">
        <v>45901</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29193-2023</t>
        </is>
      </c>
      <c r="B182" s="1" t="n">
        <v>45105.54791666667</v>
      </c>
      <c r="C182" s="1" t="n">
        <v>45901</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45901</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59174-2023</t>
        </is>
      </c>
      <c r="B184" s="1" t="n">
        <v>45253.43202546296</v>
      </c>
      <c r="C184" s="1" t="n">
        <v>45901</v>
      </c>
      <c r="D184" t="inlineStr">
        <is>
          <t>DALARNAS LÄN</t>
        </is>
      </c>
      <c r="E184" t="inlineStr">
        <is>
          <t>MORA</t>
        </is>
      </c>
      <c r="G184" t="n">
        <v>2.5</v>
      </c>
      <c r="H184" t="n">
        <v>0</v>
      </c>
      <c r="I184" t="n">
        <v>0</v>
      </c>
      <c r="J184" t="n">
        <v>0</v>
      </c>
      <c r="K184" t="n">
        <v>0</v>
      </c>
      <c r="L184" t="n">
        <v>0</v>
      </c>
      <c r="M184" t="n">
        <v>0</v>
      </c>
      <c r="N184" t="n">
        <v>0</v>
      </c>
      <c r="O184" t="n">
        <v>0</v>
      </c>
      <c r="P184" t="n">
        <v>0</v>
      </c>
      <c r="Q184" t="n">
        <v>0</v>
      </c>
      <c r="R184" s="2" t="inlineStr"/>
    </row>
    <row r="185" ht="15" customHeight="1">
      <c r="A185" t="inlineStr">
        <is>
          <t>A 36184-2021</t>
        </is>
      </c>
      <c r="B185" s="1" t="n">
        <v>44389</v>
      </c>
      <c r="C185" s="1" t="n">
        <v>45901</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21890-2025</t>
        </is>
      </c>
      <c r="B186" s="1" t="n">
        <v>45784.44481481481</v>
      </c>
      <c r="C186" s="1" t="n">
        <v>45901</v>
      </c>
      <c r="D186" t="inlineStr">
        <is>
          <t>DALARNAS LÄN</t>
        </is>
      </c>
      <c r="E186" t="inlineStr">
        <is>
          <t>MORA</t>
        </is>
      </c>
      <c r="G186" t="n">
        <v>3.8</v>
      </c>
      <c r="H186" t="n">
        <v>0</v>
      </c>
      <c r="I186" t="n">
        <v>0</v>
      </c>
      <c r="J186" t="n">
        <v>0</v>
      </c>
      <c r="K186" t="n">
        <v>0</v>
      </c>
      <c r="L186" t="n">
        <v>0</v>
      </c>
      <c r="M186" t="n">
        <v>0</v>
      </c>
      <c r="N186" t="n">
        <v>0</v>
      </c>
      <c r="O186" t="n">
        <v>0</v>
      </c>
      <c r="P186" t="n">
        <v>0</v>
      </c>
      <c r="Q186" t="n">
        <v>0</v>
      </c>
      <c r="R186" s="2" t="inlineStr"/>
    </row>
    <row r="187" ht="15" customHeight="1">
      <c r="A187" t="inlineStr">
        <is>
          <t>A 21895-2025</t>
        </is>
      </c>
      <c r="B187" s="1" t="n">
        <v>45784.45273148148</v>
      </c>
      <c r="C187" s="1" t="n">
        <v>45901</v>
      </c>
      <c r="D187" t="inlineStr">
        <is>
          <t>DALARNAS LÄN</t>
        </is>
      </c>
      <c r="E187" t="inlineStr">
        <is>
          <t>MORA</t>
        </is>
      </c>
      <c r="G187" t="n">
        <v>0.4</v>
      </c>
      <c r="H187" t="n">
        <v>0</v>
      </c>
      <c r="I187" t="n">
        <v>0</v>
      </c>
      <c r="J187" t="n">
        <v>0</v>
      </c>
      <c r="K187" t="n">
        <v>0</v>
      </c>
      <c r="L187" t="n">
        <v>0</v>
      </c>
      <c r="M187" t="n">
        <v>0</v>
      </c>
      <c r="N187" t="n">
        <v>0</v>
      </c>
      <c r="O187" t="n">
        <v>0</v>
      </c>
      <c r="P187" t="n">
        <v>0</v>
      </c>
      <c r="Q187" t="n">
        <v>0</v>
      </c>
      <c r="R187" s="2" t="inlineStr"/>
    </row>
    <row r="188" ht="15" customHeight="1">
      <c r="A188" t="inlineStr">
        <is>
          <t>A 35325-2024</t>
        </is>
      </c>
      <c r="B188" s="1" t="n">
        <v>45530.71158564815</v>
      </c>
      <c r="C188" s="1" t="n">
        <v>45901</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6371-2022</t>
        </is>
      </c>
      <c r="B189" s="1" t="n">
        <v>44600</v>
      </c>
      <c r="C189" s="1" t="n">
        <v>45901</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2276-2024</t>
        </is>
      </c>
      <c r="B190" s="1" t="n">
        <v>45310.37988425926</v>
      </c>
      <c r="C190" s="1" t="n">
        <v>45901</v>
      </c>
      <c r="D190" t="inlineStr">
        <is>
          <t>DALARNAS LÄN</t>
        </is>
      </c>
      <c r="E190" t="inlineStr">
        <is>
          <t>MORA</t>
        </is>
      </c>
      <c r="G190" t="n">
        <v>3.7</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45901</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21894-2025</t>
        </is>
      </c>
      <c r="B192" s="1" t="n">
        <v>45784.45060185185</v>
      </c>
      <c r="C192" s="1" t="n">
        <v>45901</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18202-2024</t>
        </is>
      </c>
      <c r="B193" s="1" t="n">
        <v>45420.68172453704</v>
      </c>
      <c r="C193" s="1" t="n">
        <v>45901</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23057-2024</t>
        </is>
      </c>
      <c r="B194" s="1" t="n">
        <v>45450</v>
      </c>
      <c r="C194" s="1" t="n">
        <v>45901</v>
      </c>
      <c r="D194" t="inlineStr">
        <is>
          <t>DALARNAS LÄN</t>
        </is>
      </c>
      <c r="E194" t="inlineStr">
        <is>
          <t>MORA</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64093-2023</t>
        </is>
      </c>
      <c r="B195" s="1" t="n">
        <v>45279</v>
      </c>
      <c r="C195" s="1" t="n">
        <v>45901</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28832-2023</t>
        </is>
      </c>
      <c r="B196" s="1" t="n">
        <v>45104.40493055555</v>
      </c>
      <c r="C196" s="1" t="n">
        <v>45901</v>
      </c>
      <c r="D196" t="inlineStr">
        <is>
          <t>DALARNAS LÄN</t>
        </is>
      </c>
      <c r="E196" t="inlineStr">
        <is>
          <t>MORA</t>
        </is>
      </c>
      <c r="F196" t="inlineStr">
        <is>
          <t>Bergvik skog öst AB</t>
        </is>
      </c>
      <c r="G196" t="n">
        <v>2</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45901</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25494-2024</t>
        </is>
      </c>
      <c r="B198" s="1" t="n">
        <v>45463</v>
      </c>
      <c r="C198" s="1" t="n">
        <v>45901</v>
      </c>
      <c r="D198" t="inlineStr">
        <is>
          <t>DALARNAS LÄN</t>
        </is>
      </c>
      <c r="E198" t="inlineStr">
        <is>
          <t>MORA</t>
        </is>
      </c>
      <c r="G198" t="n">
        <v>4.9</v>
      </c>
      <c r="H198" t="n">
        <v>0</v>
      </c>
      <c r="I198" t="n">
        <v>0</v>
      </c>
      <c r="J198" t="n">
        <v>0</v>
      </c>
      <c r="K198" t="n">
        <v>0</v>
      </c>
      <c r="L198" t="n">
        <v>0</v>
      </c>
      <c r="M198" t="n">
        <v>0</v>
      </c>
      <c r="N198" t="n">
        <v>0</v>
      </c>
      <c r="O198" t="n">
        <v>0</v>
      </c>
      <c r="P198" t="n">
        <v>0</v>
      </c>
      <c r="Q198" t="n">
        <v>0</v>
      </c>
      <c r="R198" s="2" t="inlineStr"/>
    </row>
    <row r="199" ht="15" customHeight="1">
      <c r="A199" t="inlineStr">
        <is>
          <t>A 37710-2023</t>
        </is>
      </c>
      <c r="B199" s="1" t="n">
        <v>45159.59186342593</v>
      </c>
      <c r="C199" s="1" t="n">
        <v>45901</v>
      </c>
      <c r="D199" t="inlineStr">
        <is>
          <t>DALARNAS LÄN</t>
        </is>
      </c>
      <c r="E199" t="inlineStr">
        <is>
          <t>MORA</t>
        </is>
      </c>
      <c r="G199" t="n">
        <v>1.9</v>
      </c>
      <c r="H199" t="n">
        <v>0</v>
      </c>
      <c r="I199" t="n">
        <v>0</v>
      </c>
      <c r="J199" t="n">
        <v>0</v>
      </c>
      <c r="K199" t="n">
        <v>0</v>
      </c>
      <c r="L199" t="n">
        <v>0</v>
      </c>
      <c r="M199" t="n">
        <v>0</v>
      </c>
      <c r="N199" t="n">
        <v>0</v>
      </c>
      <c r="O199" t="n">
        <v>0</v>
      </c>
      <c r="P199" t="n">
        <v>0</v>
      </c>
      <c r="Q199" t="n">
        <v>0</v>
      </c>
      <c r="R199" s="2" t="inlineStr"/>
    </row>
    <row r="200" ht="15" customHeight="1">
      <c r="A200" t="inlineStr">
        <is>
          <t>A 27188-2023</t>
        </is>
      </c>
      <c r="B200" s="1" t="n">
        <v>45096</v>
      </c>
      <c r="C200" s="1" t="n">
        <v>45901</v>
      </c>
      <c r="D200" t="inlineStr">
        <is>
          <t>DALARNAS LÄN</t>
        </is>
      </c>
      <c r="E200" t="inlineStr">
        <is>
          <t>MORA</t>
        </is>
      </c>
      <c r="G200" t="n">
        <v>4.8</v>
      </c>
      <c r="H200" t="n">
        <v>0</v>
      </c>
      <c r="I200" t="n">
        <v>0</v>
      </c>
      <c r="J200" t="n">
        <v>0</v>
      </c>
      <c r="K200" t="n">
        <v>0</v>
      </c>
      <c r="L200" t="n">
        <v>0</v>
      </c>
      <c r="M200" t="n">
        <v>0</v>
      </c>
      <c r="N200" t="n">
        <v>0</v>
      </c>
      <c r="O200" t="n">
        <v>0</v>
      </c>
      <c r="P200" t="n">
        <v>0</v>
      </c>
      <c r="Q200" t="n">
        <v>0</v>
      </c>
      <c r="R200" s="2" t="inlineStr"/>
    </row>
    <row r="201" ht="15" customHeight="1">
      <c r="A201" t="inlineStr">
        <is>
          <t>A 49159-2023</t>
        </is>
      </c>
      <c r="B201" s="1" t="n">
        <v>45210</v>
      </c>
      <c r="C201" s="1" t="n">
        <v>45901</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31395-2024</t>
        </is>
      </c>
      <c r="B202" s="1" t="n">
        <v>45505.47716435185</v>
      </c>
      <c r="C202" s="1" t="n">
        <v>45901</v>
      </c>
      <c r="D202" t="inlineStr">
        <is>
          <t>DALARNAS LÄN</t>
        </is>
      </c>
      <c r="E202" t="inlineStr">
        <is>
          <t>MORA</t>
        </is>
      </c>
      <c r="F202" t="inlineStr">
        <is>
          <t>Bergvik skog öst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16573-2024</t>
        </is>
      </c>
      <c r="B203" s="1" t="n">
        <v>45408.46980324074</v>
      </c>
      <c r="C203" s="1" t="n">
        <v>45901</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45901</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18444-2024</t>
        </is>
      </c>
      <c r="B205" s="1" t="n">
        <v>45425.45568287037</v>
      </c>
      <c r="C205" s="1" t="n">
        <v>45901</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18992-2024</t>
        </is>
      </c>
      <c r="B206" s="1" t="n">
        <v>45427.61516203704</v>
      </c>
      <c r="C206" s="1" t="n">
        <v>45901</v>
      </c>
      <c r="D206" t="inlineStr">
        <is>
          <t>DALARNAS LÄN</t>
        </is>
      </c>
      <c r="E206" t="inlineStr">
        <is>
          <t>MORA</t>
        </is>
      </c>
      <c r="G206" t="n">
        <v>9.9</v>
      </c>
      <c r="H206" t="n">
        <v>0</v>
      </c>
      <c r="I206" t="n">
        <v>0</v>
      </c>
      <c r="J206" t="n">
        <v>0</v>
      </c>
      <c r="K206" t="n">
        <v>0</v>
      </c>
      <c r="L206" t="n">
        <v>0</v>
      </c>
      <c r="M206" t="n">
        <v>0</v>
      </c>
      <c r="N206" t="n">
        <v>0</v>
      </c>
      <c r="O206" t="n">
        <v>0</v>
      </c>
      <c r="P206" t="n">
        <v>0</v>
      </c>
      <c r="Q206" t="n">
        <v>0</v>
      </c>
      <c r="R206" s="2" t="inlineStr"/>
    </row>
    <row r="207" ht="15" customHeight="1">
      <c r="A207" t="inlineStr">
        <is>
          <t>A 38055-2024</t>
        </is>
      </c>
      <c r="B207" s="1" t="n">
        <v>45544</v>
      </c>
      <c r="C207" s="1" t="n">
        <v>45901</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60673-2023</t>
        </is>
      </c>
      <c r="B208" s="1" t="n">
        <v>45260.46438657407</v>
      </c>
      <c r="C208" s="1" t="n">
        <v>45901</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35327-2024</t>
        </is>
      </c>
      <c r="B209" s="1" t="n">
        <v>45530.71334490741</v>
      </c>
      <c r="C209" s="1" t="n">
        <v>45901</v>
      </c>
      <c r="D209" t="inlineStr">
        <is>
          <t>DALARNAS LÄN</t>
        </is>
      </c>
      <c r="E209" t="inlineStr">
        <is>
          <t>MORA</t>
        </is>
      </c>
      <c r="G209" t="n">
        <v>5</v>
      </c>
      <c r="H209" t="n">
        <v>0</v>
      </c>
      <c r="I209" t="n">
        <v>0</v>
      </c>
      <c r="J209" t="n">
        <v>0</v>
      </c>
      <c r="K209" t="n">
        <v>0</v>
      </c>
      <c r="L209" t="n">
        <v>0</v>
      </c>
      <c r="M209" t="n">
        <v>0</v>
      </c>
      <c r="N209" t="n">
        <v>0</v>
      </c>
      <c r="O209" t="n">
        <v>0</v>
      </c>
      <c r="P209" t="n">
        <v>0</v>
      </c>
      <c r="Q209" t="n">
        <v>0</v>
      </c>
      <c r="R209" s="2" t="inlineStr"/>
    </row>
    <row r="210" ht="15" customHeight="1">
      <c r="A210" t="inlineStr">
        <is>
          <t>A 5486-2023</t>
        </is>
      </c>
      <c r="B210" s="1" t="n">
        <v>44957</v>
      </c>
      <c r="C210" s="1" t="n">
        <v>45901</v>
      </c>
      <c r="D210" t="inlineStr">
        <is>
          <t>DALARNAS LÄN</t>
        </is>
      </c>
      <c r="E210" t="inlineStr">
        <is>
          <t>MORA</t>
        </is>
      </c>
      <c r="G210" t="n">
        <v>3.2</v>
      </c>
      <c r="H210" t="n">
        <v>0</v>
      </c>
      <c r="I210" t="n">
        <v>0</v>
      </c>
      <c r="J210" t="n">
        <v>0</v>
      </c>
      <c r="K210" t="n">
        <v>0</v>
      </c>
      <c r="L210" t="n">
        <v>0</v>
      </c>
      <c r="M210" t="n">
        <v>0</v>
      </c>
      <c r="N210" t="n">
        <v>0</v>
      </c>
      <c r="O210" t="n">
        <v>0</v>
      </c>
      <c r="P210" t="n">
        <v>0</v>
      </c>
      <c r="Q210" t="n">
        <v>0</v>
      </c>
      <c r="R210" s="2" t="inlineStr"/>
    </row>
    <row r="211" ht="15" customHeight="1">
      <c r="A211" t="inlineStr">
        <is>
          <t>A 60847-2021</t>
        </is>
      </c>
      <c r="B211" s="1" t="n">
        <v>44497</v>
      </c>
      <c r="C211" s="1" t="n">
        <v>45901</v>
      </c>
      <c r="D211" t="inlineStr">
        <is>
          <t>DALARNAS LÄN</t>
        </is>
      </c>
      <c r="E211" t="inlineStr">
        <is>
          <t>MORA</t>
        </is>
      </c>
      <c r="G211" t="n">
        <v>1</v>
      </c>
      <c r="H211" t="n">
        <v>0</v>
      </c>
      <c r="I211" t="n">
        <v>0</v>
      </c>
      <c r="J211" t="n">
        <v>0</v>
      </c>
      <c r="K211" t="n">
        <v>0</v>
      </c>
      <c r="L211" t="n">
        <v>0</v>
      </c>
      <c r="M211" t="n">
        <v>0</v>
      </c>
      <c r="N211" t="n">
        <v>0</v>
      </c>
      <c r="O211" t="n">
        <v>0</v>
      </c>
      <c r="P211" t="n">
        <v>0</v>
      </c>
      <c r="Q211" t="n">
        <v>0</v>
      </c>
      <c r="R211" s="2" t="inlineStr"/>
    </row>
    <row r="212" ht="15" customHeight="1">
      <c r="A212" t="inlineStr">
        <is>
          <t>A 32410-2024</t>
        </is>
      </c>
      <c r="B212" s="1" t="n">
        <v>45512.70077546296</v>
      </c>
      <c r="C212" s="1" t="n">
        <v>45901</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46129-2024</t>
        </is>
      </c>
      <c r="B213" s="1" t="n">
        <v>45581.43337962963</v>
      </c>
      <c r="C213" s="1" t="n">
        <v>45901</v>
      </c>
      <c r="D213" t="inlineStr">
        <is>
          <t>DALARNAS LÄN</t>
        </is>
      </c>
      <c r="E213" t="inlineStr">
        <is>
          <t>MORA</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28934-2023</t>
        </is>
      </c>
      <c r="B214" s="1" t="n">
        <v>45104</v>
      </c>
      <c r="C214" s="1" t="n">
        <v>45901</v>
      </c>
      <c r="D214" t="inlineStr">
        <is>
          <t>DALARNAS LÄN</t>
        </is>
      </c>
      <c r="E214" t="inlineStr">
        <is>
          <t>MORA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31929-2024</t>
        </is>
      </c>
      <c r="B215" s="1" t="n">
        <v>45510.40587962963</v>
      </c>
      <c r="C215" s="1" t="n">
        <v>45901</v>
      </c>
      <c r="D215" t="inlineStr">
        <is>
          <t>DALARNAS LÄN</t>
        </is>
      </c>
      <c r="E215" t="inlineStr">
        <is>
          <t>MORA</t>
        </is>
      </c>
      <c r="G215" t="n">
        <v>10.8</v>
      </c>
      <c r="H215" t="n">
        <v>0</v>
      </c>
      <c r="I215" t="n">
        <v>0</v>
      </c>
      <c r="J215" t="n">
        <v>0</v>
      </c>
      <c r="K215" t="n">
        <v>0</v>
      </c>
      <c r="L215" t="n">
        <v>0</v>
      </c>
      <c r="M215" t="n">
        <v>0</v>
      </c>
      <c r="N215" t="n">
        <v>0</v>
      </c>
      <c r="O215" t="n">
        <v>0</v>
      </c>
      <c r="P215" t="n">
        <v>0</v>
      </c>
      <c r="Q215" t="n">
        <v>0</v>
      </c>
      <c r="R215" s="2" t="inlineStr"/>
    </row>
    <row r="216" ht="15" customHeight="1">
      <c r="A216" t="inlineStr">
        <is>
          <t>A 32721-2024</t>
        </is>
      </c>
      <c r="B216" s="1" t="n">
        <v>45516.40261574074</v>
      </c>
      <c r="C216" s="1" t="n">
        <v>45901</v>
      </c>
      <c r="D216" t="inlineStr">
        <is>
          <t>DALARNAS LÄN</t>
        </is>
      </c>
      <c r="E216" t="inlineStr">
        <is>
          <t>MORA</t>
        </is>
      </c>
      <c r="G216" t="n">
        <v>4.2</v>
      </c>
      <c r="H216" t="n">
        <v>0</v>
      </c>
      <c r="I216" t="n">
        <v>0</v>
      </c>
      <c r="J216" t="n">
        <v>0</v>
      </c>
      <c r="K216" t="n">
        <v>0</v>
      </c>
      <c r="L216" t="n">
        <v>0</v>
      </c>
      <c r="M216" t="n">
        <v>0</v>
      </c>
      <c r="N216" t="n">
        <v>0</v>
      </c>
      <c r="O216" t="n">
        <v>0</v>
      </c>
      <c r="P216" t="n">
        <v>0</v>
      </c>
      <c r="Q216" t="n">
        <v>0</v>
      </c>
      <c r="R216" s="2" t="inlineStr"/>
    </row>
    <row r="217" ht="15" customHeight="1">
      <c r="A217" t="inlineStr">
        <is>
          <t>A 36038-2024</t>
        </is>
      </c>
      <c r="B217" s="1" t="n">
        <v>45533</v>
      </c>
      <c r="C217" s="1" t="n">
        <v>45901</v>
      </c>
      <c r="D217" t="inlineStr">
        <is>
          <t>DALARNAS LÄN</t>
        </is>
      </c>
      <c r="E217" t="inlineStr">
        <is>
          <t>MORA</t>
        </is>
      </c>
      <c r="G217" t="n">
        <v>5.1</v>
      </c>
      <c r="H217" t="n">
        <v>0</v>
      </c>
      <c r="I217" t="n">
        <v>0</v>
      </c>
      <c r="J217" t="n">
        <v>0</v>
      </c>
      <c r="K217" t="n">
        <v>0</v>
      </c>
      <c r="L217" t="n">
        <v>0</v>
      </c>
      <c r="M217" t="n">
        <v>0</v>
      </c>
      <c r="N217" t="n">
        <v>0</v>
      </c>
      <c r="O217" t="n">
        <v>0</v>
      </c>
      <c r="P217" t="n">
        <v>0</v>
      </c>
      <c r="Q217" t="n">
        <v>0</v>
      </c>
      <c r="R217" s="2" t="inlineStr"/>
    </row>
    <row r="218" ht="15" customHeight="1">
      <c r="A218" t="inlineStr">
        <is>
          <t>A 11193-2025</t>
        </is>
      </c>
      <c r="B218" s="1" t="n">
        <v>45725</v>
      </c>
      <c r="C218" s="1" t="n">
        <v>45901</v>
      </c>
      <c r="D218" t="inlineStr">
        <is>
          <t>DALARNAS LÄN</t>
        </is>
      </c>
      <c r="E218" t="inlineStr">
        <is>
          <t>MORA</t>
        </is>
      </c>
      <c r="G218" t="n">
        <v>4.1</v>
      </c>
      <c r="H218" t="n">
        <v>0</v>
      </c>
      <c r="I218" t="n">
        <v>0</v>
      </c>
      <c r="J218" t="n">
        <v>0</v>
      </c>
      <c r="K218" t="n">
        <v>0</v>
      </c>
      <c r="L218" t="n">
        <v>0</v>
      </c>
      <c r="M218" t="n">
        <v>0</v>
      </c>
      <c r="N218" t="n">
        <v>0</v>
      </c>
      <c r="O218" t="n">
        <v>0</v>
      </c>
      <c r="P218" t="n">
        <v>0</v>
      </c>
      <c r="Q218" t="n">
        <v>0</v>
      </c>
      <c r="R218" s="2" t="inlineStr"/>
    </row>
    <row r="219" ht="15" customHeight="1">
      <c r="A219" t="inlineStr">
        <is>
          <t>A 22354-2025</t>
        </is>
      </c>
      <c r="B219" s="1" t="n">
        <v>45786.45721064815</v>
      </c>
      <c r="C219" s="1" t="n">
        <v>45901</v>
      </c>
      <c r="D219" t="inlineStr">
        <is>
          <t>DALARNAS LÄN</t>
        </is>
      </c>
      <c r="E219" t="inlineStr">
        <is>
          <t>MORA</t>
        </is>
      </c>
      <c r="F219" t="inlineStr">
        <is>
          <t>Bergvik skog öst AB</t>
        </is>
      </c>
      <c r="G219" t="n">
        <v>2</v>
      </c>
      <c r="H219" t="n">
        <v>0</v>
      </c>
      <c r="I219" t="n">
        <v>0</v>
      </c>
      <c r="J219" t="n">
        <v>0</v>
      </c>
      <c r="K219" t="n">
        <v>0</v>
      </c>
      <c r="L219" t="n">
        <v>0</v>
      </c>
      <c r="M219" t="n">
        <v>0</v>
      </c>
      <c r="N219" t="n">
        <v>0</v>
      </c>
      <c r="O219" t="n">
        <v>0</v>
      </c>
      <c r="P219" t="n">
        <v>0</v>
      </c>
      <c r="Q219" t="n">
        <v>0</v>
      </c>
      <c r="R219" s="2" t="inlineStr"/>
    </row>
    <row r="220" ht="15" customHeight="1">
      <c r="A220" t="inlineStr">
        <is>
          <t>A 30194-2024</t>
        </is>
      </c>
      <c r="B220" s="1" t="n">
        <v>45490.33387731481</v>
      </c>
      <c r="C220" s="1" t="n">
        <v>45901</v>
      </c>
      <c r="D220" t="inlineStr">
        <is>
          <t>DALARNAS LÄN</t>
        </is>
      </c>
      <c r="E220" t="inlineStr">
        <is>
          <t>MORA</t>
        </is>
      </c>
      <c r="G220" t="n">
        <v>3.1</v>
      </c>
      <c r="H220" t="n">
        <v>0</v>
      </c>
      <c r="I220" t="n">
        <v>0</v>
      </c>
      <c r="J220" t="n">
        <v>0</v>
      </c>
      <c r="K220" t="n">
        <v>0</v>
      </c>
      <c r="L220" t="n">
        <v>0</v>
      </c>
      <c r="M220" t="n">
        <v>0</v>
      </c>
      <c r="N220" t="n">
        <v>0</v>
      </c>
      <c r="O220" t="n">
        <v>0</v>
      </c>
      <c r="P220" t="n">
        <v>0</v>
      </c>
      <c r="Q220" t="n">
        <v>0</v>
      </c>
      <c r="R220" s="2" t="inlineStr"/>
    </row>
    <row r="221" ht="15" customHeight="1">
      <c r="A221" t="inlineStr">
        <is>
          <t>A 36600-2023</t>
        </is>
      </c>
      <c r="B221" s="1" t="n">
        <v>45153</v>
      </c>
      <c r="C221" s="1" t="n">
        <v>45901</v>
      </c>
      <c r="D221" t="inlineStr">
        <is>
          <t>DALARNAS LÄN</t>
        </is>
      </c>
      <c r="E221" t="inlineStr">
        <is>
          <t>MORA</t>
        </is>
      </c>
      <c r="G221" t="n">
        <v>7.3</v>
      </c>
      <c r="H221" t="n">
        <v>0</v>
      </c>
      <c r="I221" t="n">
        <v>0</v>
      </c>
      <c r="J221" t="n">
        <v>0</v>
      </c>
      <c r="K221" t="n">
        <v>0</v>
      </c>
      <c r="L221" t="n">
        <v>0</v>
      </c>
      <c r="M221" t="n">
        <v>0</v>
      </c>
      <c r="N221" t="n">
        <v>0</v>
      </c>
      <c r="O221" t="n">
        <v>0</v>
      </c>
      <c r="P221" t="n">
        <v>0</v>
      </c>
      <c r="Q221" t="n">
        <v>0</v>
      </c>
      <c r="R221" s="2" t="inlineStr"/>
    </row>
    <row r="222" ht="15" customHeight="1">
      <c r="A222" t="inlineStr">
        <is>
          <t>A 42943-2024</t>
        </is>
      </c>
      <c r="B222" s="1" t="n">
        <v>45567.35359953704</v>
      </c>
      <c r="C222" s="1" t="n">
        <v>45901</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37552-2023</t>
        </is>
      </c>
      <c r="B223" s="1" t="n">
        <v>45159.32799768518</v>
      </c>
      <c r="C223" s="1" t="n">
        <v>45901</v>
      </c>
      <c r="D223" t="inlineStr">
        <is>
          <t>DALARNAS LÄN</t>
        </is>
      </c>
      <c r="E223" t="inlineStr">
        <is>
          <t>MORA</t>
        </is>
      </c>
      <c r="G223" t="n">
        <v>4</v>
      </c>
      <c r="H223" t="n">
        <v>0</v>
      </c>
      <c r="I223" t="n">
        <v>0</v>
      </c>
      <c r="J223" t="n">
        <v>0</v>
      </c>
      <c r="K223" t="n">
        <v>0</v>
      </c>
      <c r="L223" t="n">
        <v>0</v>
      </c>
      <c r="M223" t="n">
        <v>0</v>
      </c>
      <c r="N223" t="n">
        <v>0</v>
      </c>
      <c r="O223" t="n">
        <v>0</v>
      </c>
      <c r="P223" t="n">
        <v>0</v>
      </c>
      <c r="Q223" t="n">
        <v>0</v>
      </c>
      <c r="R223" s="2" t="inlineStr"/>
    </row>
    <row r="224" ht="15" customHeight="1">
      <c r="A224" t="inlineStr">
        <is>
          <t>A 4489-2022</t>
        </is>
      </c>
      <c r="B224" s="1" t="n">
        <v>44589</v>
      </c>
      <c r="C224" s="1" t="n">
        <v>45901</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5418-2025</t>
        </is>
      </c>
      <c r="B225" s="1" t="n">
        <v>45692.68561342593</v>
      </c>
      <c r="C225" s="1" t="n">
        <v>45901</v>
      </c>
      <c r="D225" t="inlineStr">
        <is>
          <t>DALARNAS LÄN</t>
        </is>
      </c>
      <c r="E225" t="inlineStr">
        <is>
          <t>MORA</t>
        </is>
      </c>
      <c r="G225" t="n">
        <v>0.9</v>
      </c>
      <c r="H225" t="n">
        <v>0</v>
      </c>
      <c r="I225" t="n">
        <v>0</v>
      </c>
      <c r="J225" t="n">
        <v>0</v>
      </c>
      <c r="K225" t="n">
        <v>0</v>
      </c>
      <c r="L225" t="n">
        <v>0</v>
      </c>
      <c r="M225" t="n">
        <v>0</v>
      </c>
      <c r="N225" t="n">
        <v>0</v>
      </c>
      <c r="O225" t="n">
        <v>0</v>
      </c>
      <c r="P225" t="n">
        <v>0</v>
      </c>
      <c r="Q225" t="n">
        <v>0</v>
      </c>
      <c r="R225" s="2" t="inlineStr"/>
    </row>
    <row r="226" ht="15" customHeight="1">
      <c r="A226" t="inlineStr">
        <is>
          <t>A 19842-2025</t>
        </is>
      </c>
      <c r="B226" s="1" t="n">
        <v>45771.47938657407</v>
      </c>
      <c r="C226" s="1" t="n">
        <v>45901</v>
      </c>
      <c r="D226" t="inlineStr">
        <is>
          <t>DALARNAS LÄN</t>
        </is>
      </c>
      <c r="E226" t="inlineStr">
        <is>
          <t>MORA</t>
        </is>
      </c>
      <c r="G226" t="n">
        <v>1.9</v>
      </c>
      <c r="H226" t="n">
        <v>0</v>
      </c>
      <c r="I226" t="n">
        <v>0</v>
      </c>
      <c r="J226" t="n">
        <v>0</v>
      </c>
      <c r="K226" t="n">
        <v>0</v>
      </c>
      <c r="L226" t="n">
        <v>0</v>
      </c>
      <c r="M226" t="n">
        <v>0</v>
      </c>
      <c r="N226" t="n">
        <v>0</v>
      </c>
      <c r="O226" t="n">
        <v>0</v>
      </c>
      <c r="P226" t="n">
        <v>0</v>
      </c>
      <c r="Q226" t="n">
        <v>0</v>
      </c>
      <c r="R226" s="2" t="inlineStr"/>
    </row>
    <row r="227" ht="15" customHeight="1">
      <c r="A227" t="inlineStr">
        <is>
          <t>A 47143-2022</t>
        </is>
      </c>
      <c r="B227" s="1" t="n">
        <v>44852</v>
      </c>
      <c r="C227" s="1" t="n">
        <v>45901</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18134-2025</t>
        </is>
      </c>
      <c r="B228" s="1" t="n">
        <v>45761.60189814815</v>
      </c>
      <c r="C228" s="1" t="n">
        <v>45901</v>
      </c>
      <c r="D228" t="inlineStr">
        <is>
          <t>DALARNAS LÄN</t>
        </is>
      </c>
      <c r="E228" t="inlineStr">
        <is>
          <t>MORA</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3430-2023</t>
        </is>
      </c>
      <c r="B229" s="1" t="n">
        <v>44949.57856481482</v>
      </c>
      <c r="C229" s="1" t="n">
        <v>45901</v>
      </c>
      <c r="D229" t="inlineStr">
        <is>
          <t>DALARNAS LÄN</t>
        </is>
      </c>
      <c r="E229" t="inlineStr">
        <is>
          <t>MORA</t>
        </is>
      </c>
      <c r="G229" t="n">
        <v>2.6</v>
      </c>
      <c r="H229" t="n">
        <v>0</v>
      </c>
      <c r="I229" t="n">
        <v>0</v>
      </c>
      <c r="J229" t="n">
        <v>0</v>
      </c>
      <c r="K229" t="n">
        <v>0</v>
      </c>
      <c r="L229" t="n">
        <v>0</v>
      </c>
      <c r="M229" t="n">
        <v>0</v>
      </c>
      <c r="N229" t="n">
        <v>0</v>
      </c>
      <c r="O229" t="n">
        <v>0</v>
      </c>
      <c r="P229" t="n">
        <v>0</v>
      </c>
      <c r="Q229" t="n">
        <v>0</v>
      </c>
      <c r="R229" s="2" t="inlineStr"/>
    </row>
    <row r="230" ht="15" customHeight="1">
      <c r="A230" t="inlineStr">
        <is>
          <t>A 61249-2023</t>
        </is>
      </c>
      <c r="B230" s="1" t="n">
        <v>45264</v>
      </c>
      <c r="C230" s="1" t="n">
        <v>45901</v>
      </c>
      <c r="D230" t="inlineStr">
        <is>
          <t>DALARNAS LÄN</t>
        </is>
      </c>
      <c r="E230" t="inlineStr">
        <is>
          <t>MORA</t>
        </is>
      </c>
      <c r="F230" t="inlineStr">
        <is>
          <t>Allmännings- och besparingsskogar</t>
        </is>
      </c>
      <c r="G230" t="n">
        <v>1.7</v>
      </c>
      <c r="H230" t="n">
        <v>0</v>
      </c>
      <c r="I230" t="n">
        <v>0</v>
      </c>
      <c r="J230" t="n">
        <v>0</v>
      </c>
      <c r="K230" t="n">
        <v>0</v>
      </c>
      <c r="L230" t="n">
        <v>0</v>
      </c>
      <c r="M230" t="n">
        <v>0</v>
      </c>
      <c r="N230" t="n">
        <v>0</v>
      </c>
      <c r="O230" t="n">
        <v>0</v>
      </c>
      <c r="P230" t="n">
        <v>0</v>
      </c>
      <c r="Q230" t="n">
        <v>0</v>
      </c>
      <c r="R230" s="2" t="inlineStr"/>
    </row>
    <row r="231" ht="15" customHeight="1">
      <c r="A231" t="inlineStr">
        <is>
          <t>A 56900-2024</t>
        </is>
      </c>
      <c r="B231" s="1" t="n">
        <v>45625</v>
      </c>
      <c r="C231" s="1" t="n">
        <v>45901</v>
      </c>
      <c r="D231" t="inlineStr">
        <is>
          <t>DALARNAS LÄN</t>
        </is>
      </c>
      <c r="E231" t="inlineStr">
        <is>
          <t>MORA</t>
        </is>
      </c>
      <c r="G231" t="n">
        <v>2.7</v>
      </c>
      <c r="H231" t="n">
        <v>0</v>
      </c>
      <c r="I231" t="n">
        <v>0</v>
      </c>
      <c r="J231" t="n">
        <v>0</v>
      </c>
      <c r="K231" t="n">
        <v>0</v>
      </c>
      <c r="L231" t="n">
        <v>0</v>
      </c>
      <c r="M231" t="n">
        <v>0</v>
      </c>
      <c r="N231" t="n">
        <v>0</v>
      </c>
      <c r="O231" t="n">
        <v>0</v>
      </c>
      <c r="P231" t="n">
        <v>0</v>
      </c>
      <c r="Q231" t="n">
        <v>0</v>
      </c>
      <c r="R231" s="2" t="inlineStr"/>
    </row>
    <row r="232" ht="15" customHeight="1">
      <c r="A232" t="inlineStr">
        <is>
          <t>A 34282-2024</t>
        </is>
      </c>
      <c r="B232" s="1" t="n">
        <v>45524.62600694445</v>
      </c>
      <c r="C232" s="1" t="n">
        <v>45901</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48522-2024</t>
        </is>
      </c>
      <c r="B233" s="1" t="n">
        <v>45593.32924768519</v>
      </c>
      <c r="C233" s="1" t="n">
        <v>45901</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16733-2024</t>
        </is>
      </c>
      <c r="B234" s="1" t="n">
        <v>45410.78502314815</v>
      </c>
      <c r="C234" s="1" t="n">
        <v>45901</v>
      </c>
      <c r="D234" t="inlineStr">
        <is>
          <t>DALARNAS LÄN</t>
        </is>
      </c>
      <c r="E234" t="inlineStr">
        <is>
          <t>MORA</t>
        </is>
      </c>
      <c r="G234" t="n">
        <v>6.3</v>
      </c>
      <c r="H234" t="n">
        <v>0</v>
      </c>
      <c r="I234" t="n">
        <v>0</v>
      </c>
      <c r="J234" t="n">
        <v>0</v>
      </c>
      <c r="K234" t="n">
        <v>0</v>
      </c>
      <c r="L234" t="n">
        <v>0</v>
      </c>
      <c r="M234" t="n">
        <v>0</v>
      </c>
      <c r="N234" t="n">
        <v>0</v>
      </c>
      <c r="O234" t="n">
        <v>0</v>
      </c>
      <c r="P234" t="n">
        <v>0</v>
      </c>
      <c r="Q234" t="n">
        <v>0</v>
      </c>
      <c r="R234" s="2" t="inlineStr"/>
    </row>
    <row r="235" ht="15" customHeight="1">
      <c r="A235" t="inlineStr">
        <is>
          <t>A 53159-2024</t>
        </is>
      </c>
      <c r="B235" s="1" t="n">
        <v>45611.63849537037</v>
      </c>
      <c r="C235" s="1" t="n">
        <v>45901</v>
      </c>
      <c r="D235" t="inlineStr">
        <is>
          <t>DALARNAS LÄN</t>
        </is>
      </c>
      <c r="E235" t="inlineStr">
        <is>
          <t>MORA</t>
        </is>
      </c>
      <c r="G235" t="n">
        <v>3.3</v>
      </c>
      <c r="H235" t="n">
        <v>0</v>
      </c>
      <c r="I235" t="n">
        <v>0</v>
      </c>
      <c r="J235" t="n">
        <v>0</v>
      </c>
      <c r="K235" t="n">
        <v>0</v>
      </c>
      <c r="L235" t="n">
        <v>0</v>
      </c>
      <c r="M235" t="n">
        <v>0</v>
      </c>
      <c r="N235" t="n">
        <v>0</v>
      </c>
      <c r="O235" t="n">
        <v>0</v>
      </c>
      <c r="P235" t="n">
        <v>0</v>
      </c>
      <c r="Q235" t="n">
        <v>0</v>
      </c>
      <c r="R235" s="2" t="inlineStr"/>
    </row>
    <row r="236" ht="15" customHeight="1">
      <c r="A236" t="inlineStr">
        <is>
          <t>A 68415-2021</t>
        </is>
      </c>
      <c r="B236" s="1" t="n">
        <v>44529</v>
      </c>
      <c r="C236" s="1" t="n">
        <v>45901</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56927-2024</t>
        </is>
      </c>
      <c r="B237" s="1" t="n">
        <v>45625</v>
      </c>
      <c r="C237" s="1" t="n">
        <v>45901</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55691-2023</t>
        </is>
      </c>
      <c r="B238" s="1" t="n">
        <v>45239.36509259259</v>
      </c>
      <c r="C238" s="1" t="n">
        <v>45901</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60187-2024</t>
        </is>
      </c>
      <c r="B239" s="1" t="n">
        <v>45642.64803240741</v>
      </c>
      <c r="C239" s="1" t="n">
        <v>45901</v>
      </c>
      <c r="D239" t="inlineStr">
        <is>
          <t>DALARNAS LÄN</t>
        </is>
      </c>
      <c r="E239" t="inlineStr">
        <is>
          <t>MORA</t>
        </is>
      </c>
      <c r="F239" t="inlineStr">
        <is>
          <t>Allmännings- och besparingsskogar</t>
        </is>
      </c>
      <c r="G239" t="n">
        <v>24.6</v>
      </c>
      <c r="H239" t="n">
        <v>0</v>
      </c>
      <c r="I239" t="n">
        <v>0</v>
      </c>
      <c r="J239" t="n">
        <v>0</v>
      </c>
      <c r="K239" t="n">
        <v>0</v>
      </c>
      <c r="L239" t="n">
        <v>0</v>
      </c>
      <c r="M239" t="n">
        <v>0</v>
      </c>
      <c r="N239" t="n">
        <v>0</v>
      </c>
      <c r="O239" t="n">
        <v>0</v>
      </c>
      <c r="P239" t="n">
        <v>0</v>
      </c>
      <c r="Q239" t="n">
        <v>0</v>
      </c>
      <c r="R239" s="2" t="inlineStr"/>
    </row>
    <row r="240" ht="15" customHeight="1">
      <c r="A240" t="inlineStr">
        <is>
          <t>A 15435-2024</t>
        </is>
      </c>
      <c r="B240" s="1" t="n">
        <v>45401.40806712963</v>
      </c>
      <c r="C240" s="1" t="n">
        <v>45901</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51965-2024</t>
        </is>
      </c>
      <c r="B241" s="1" t="n">
        <v>45607.65123842593</v>
      </c>
      <c r="C241" s="1" t="n">
        <v>45901</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54192-2023</t>
        </is>
      </c>
      <c r="B242" s="1" t="n">
        <v>45232.53052083333</v>
      </c>
      <c r="C242" s="1" t="n">
        <v>45901</v>
      </c>
      <c r="D242" t="inlineStr">
        <is>
          <t>DALARNAS LÄN</t>
        </is>
      </c>
      <c r="E242" t="inlineStr">
        <is>
          <t>MORA</t>
        </is>
      </c>
      <c r="G242" t="n">
        <v>3.4</v>
      </c>
      <c r="H242" t="n">
        <v>0</v>
      </c>
      <c r="I242" t="n">
        <v>0</v>
      </c>
      <c r="J242" t="n">
        <v>0</v>
      </c>
      <c r="K242" t="n">
        <v>0</v>
      </c>
      <c r="L242" t="n">
        <v>0</v>
      </c>
      <c r="M242" t="n">
        <v>0</v>
      </c>
      <c r="N242" t="n">
        <v>0</v>
      </c>
      <c r="O242" t="n">
        <v>0</v>
      </c>
      <c r="P242" t="n">
        <v>0</v>
      </c>
      <c r="Q242" t="n">
        <v>0</v>
      </c>
      <c r="R242" s="2" t="inlineStr"/>
    </row>
    <row r="243" ht="15" customHeight="1">
      <c r="A243" t="inlineStr">
        <is>
          <t>A 59404-2024</t>
        </is>
      </c>
      <c r="B243" s="1" t="n">
        <v>45638</v>
      </c>
      <c r="C243" s="1" t="n">
        <v>45901</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22185-2025</t>
        </is>
      </c>
      <c r="B244" s="1" t="n">
        <v>45785</v>
      </c>
      <c r="C244" s="1" t="n">
        <v>45901</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23368-2025</t>
        </is>
      </c>
      <c r="B245" s="1" t="n">
        <v>45791.70299768518</v>
      </c>
      <c r="C245" s="1" t="n">
        <v>45901</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56935-2024</t>
        </is>
      </c>
      <c r="B246" s="1" t="n">
        <v>45625</v>
      </c>
      <c r="C246" s="1" t="n">
        <v>45901</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42391-2023</t>
        </is>
      </c>
      <c r="B247" s="1" t="n">
        <v>45180</v>
      </c>
      <c r="C247" s="1" t="n">
        <v>45901</v>
      </c>
      <c r="D247" t="inlineStr">
        <is>
          <t>DALARNAS LÄN</t>
        </is>
      </c>
      <c r="E247" t="inlineStr">
        <is>
          <t>MORA</t>
        </is>
      </c>
      <c r="F247" t="inlineStr">
        <is>
          <t>Kommuner</t>
        </is>
      </c>
      <c r="G247" t="n">
        <v>0.3</v>
      </c>
      <c r="H247" t="n">
        <v>0</v>
      </c>
      <c r="I247" t="n">
        <v>0</v>
      </c>
      <c r="J247" t="n">
        <v>0</v>
      </c>
      <c r="K247" t="n">
        <v>0</v>
      </c>
      <c r="L247" t="n">
        <v>0</v>
      </c>
      <c r="M247" t="n">
        <v>0</v>
      </c>
      <c r="N247" t="n">
        <v>0</v>
      </c>
      <c r="O247" t="n">
        <v>0</v>
      </c>
      <c r="P247" t="n">
        <v>0</v>
      </c>
      <c r="Q247" t="n">
        <v>0</v>
      </c>
      <c r="R247" s="2" t="inlineStr"/>
    </row>
    <row r="248" ht="15" customHeight="1">
      <c r="A248" t="inlineStr">
        <is>
          <t>A 23354-2022</t>
        </is>
      </c>
      <c r="B248" s="1" t="n">
        <v>44720</v>
      </c>
      <c r="C248" s="1" t="n">
        <v>45901</v>
      </c>
      <c r="D248" t="inlineStr">
        <is>
          <t>DALARNAS LÄN</t>
        </is>
      </c>
      <c r="E248" t="inlineStr">
        <is>
          <t>MORA</t>
        </is>
      </c>
      <c r="G248" t="n">
        <v>5.2</v>
      </c>
      <c r="H248" t="n">
        <v>0</v>
      </c>
      <c r="I248" t="n">
        <v>0</v>
      </c>
      <c r="J248" t="n">
        <v>0</v>
      </c>
      <c r="K248" t="n">
        <v>0</v>
      </c>
      <c r="L248" t="n">
        <v>0</v>
      </c>
      <c r="M248" t="n">
        <v>0</v>
      </c>
      <c r="N248" t="n">
        <v>0</v>
      </c>
      <c r="O248" t="n">
        <v>0</v>
      </c>
      <c r="P248" t="n">
        <v>0</v>
      </c>
      <c r="Q248" t="n">
        <v>0</v>
      </c>
      <c r="R248" s="2" t="inlineStr"/>
    </row>
    <row r="249" ht="15" customHeight="1">
      <c r="A249" t="inlineStr">
        <is>
          <t>A 34928-2022</t>
        </is>
      </c>
      <c r="B249" s="1" t="n">
        <v>44796.60479166666</v>
      </c>
      <c r="C249" s="1" t="n">
        <v>45901</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2865-2022</t>
        </is>
      </c>
      <c r="B250" s="1" t="n">
        <v>44581</v>
      </c>
      <c r="C250" s="1" t="n">
        <v>45901</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9461-2025</t>
        </is>
      </c>
      <c r="B251" s="1" t="n">
        <v>45715.45341435185</v>
      </c>
      <c r="C251" s="1" t="n">
        <v>45901</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52525-2022</t>
        </is>
      </c>
      <c r="B252" s="1" t="n">
        <v>44874</v>
      </c>
      <c r="C252" s="1" t="n">
        <v>45901</v>
      </c>
      <c r="D252" t="inlineStr">
        <is>
          <t>DALARNAS LÄN</t>
        </is>
      </c>
      <c r="E252" t="inlineStr">
        <is>
          <t>MORA</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24127-2025</t>
        </is>
      </c>
      <c r="B253" s="1" t="n">
        <v>45796.63137731481</v>
      </c>
      <c r="C253" s="1" t="n">
        <v>45901</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18580-2025</t>
        </is>
      </c>
      <c r="B254" s="1" t="n">
        <v>45763.46721064814</v>
      </c>
      <c r="C254" s="1" t="n">
        <v>45901</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41169-2023</t>
        </is>
      </c>
      <c r="B255" s="1" t="n">
        <v>45174.34662037037</v>
      </c>
      <c r="C255" s="1" t="n">
        <v>45901</v>
      </c>
      <c r="D255" t="inlineStr">
        <is>
          <t>DALARNAS LÄN</t>
        </is>
      </c>
      <c r="E255" t="inlineStr">
        <is>
          <t>MORA</t>
        </is>
      </c>
      <c r="G255" t="n">
        <v>3</v>
      </c>
      <c r="H255" t="n">
        <v>0</v>
      </c>
      <c r="I255" t="n">
        <v>0</v>
      </c>
      <c r="J255" t="n">
        <v>0</v>
      </c>
      <c r="K255" t="n">
        <v>0</v>
      </c>
      <c r="L255" t="n">
        <v>0</v>
      </c>
      <c r="M255" t="n">
        <v>0</v>
      </c>
      <c r="N255" t="n">
        <v>0</v>
      </c>
      <c r="O255" t="n">
        <v>0</v>
      </c>
      <c r="P255" t="n">
        <v>0</v>
      </c>
      <c r="Q255" t="n">
        <v>0</v>
      </c>
      <c r="R255" s="2" t="inlineStr"/>
    </row>
    <row r="256" ht="15" customHeight="1">
      <c r="A256" t="inlineStr">
        <is>
          <t>A 62854-2023</t>
        </is>
      </c>
      <c r="B256" s="1" t="n">
        <v>45272</v>
      </c>
      <c r="C256" s="1" t="n">
        <v>45901</v>
      </c>
      <c r="D256" t="inlineStr">
        <is>
          <t>DALARNAS LÄN</t>
        </is>
      </c>
      <c r="E256" t="inlineStr">
        <is>
          <t>MORA</t>
        </is>
      </c>
      <c r="G256" t="n">
        <v>11.3</v>
      </c>
      <c r="H256" t="n">
        <v>0</v>
      </c>
      <c r="I256" t="n">
        <v>0</v>
      </c>
      <c r="J256" t="n">
        <v>0</v>
      </c>
      <c r="K256" t="n">
        <v>0</v>
      </c>
      <c r="L256" t="n">
        <v>0</v>
      </c>
      <c r="M256" t="n">
        <v>0</v>
      </c>
      <c r="N256" t="n">
        <v>0</v>
      </c>
      <c r="O256" t="n">
        <v>0</v>
      </c>
      <c r="P256" t="n">
        <v>0</v>
      </c>
      <c r="Q256" t="n">
        <v>0</v>
      </c>
      <c r="R256" s="2" t="inlineStr"/>
    </row>
    <row r="257" ht="15" customHeight="1">
      <c r="A257" t="inlineStr">
        <is>
          <t>A 69483-2021</t>
        </is>
      </c>
      <c r="B257" s="1" t="n">
        <v>44531</v>
      </c>
      <c r="C257" s="1" t="n">
        <v>45901</v>
      </c>
      <c r="D257" t="inlineStr">
        <is>
          <t>DALARNAS LÄN</t>
        </is>
      </c>
      <c r="E257" t="inlineStr">
        <is>
          <t>MORA</t>
        </is>
      </c>
      <c r="G257" t="n">
        <v>1.5</v>
      </c>
      <c r="H257" t="n">
        <v>0</v>
      </c>
      <c r="I257" t="n">
        <v>0</v>
      </c>
      <c r="J257" t="n">
        <v>0</v>
      </c>
      <c r="K257" t="n">
        <v>0</v>
      </c>
      <c r="L257" t="n">
        <v>0</v>
      </c>
      <c r="M257" t="n">
        <v>0</v>
      </c>
      <c r="N257" t="n">
        <v>0</v>
      </c>
      <c r="O257" t="n">
        <v>0</v>
      </c>
      <c r="P257" t="n">
        <v>0</v>
      </c>
      <c r="Q257" t="n">
        <v>0</v>
      </c>
      <c r="R257" s="2" t="inlineStr"/>
    </row>
    <row r="258" ht="15" customHeight="1">
      <c r="A258" t="inlineStr">
        <is>
          <t>A 56460-2022</t>
        </is>
      </c>
      <c r="B258" s="1" t="n">
        <v>44893</v>
      </c>
      <c r="C258" s="1" t="n">
        <v>45901</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45349-2024</t>
        </is>
      </c>
      <c r="B259" s="1" t="n">
        <v>45576</v>
      </c>
      <c r="C259" s="1" t="n">
        <v>45901</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19286-2023</t>
        </is>
      </c>
      <c r="B260" s="1" t="n">
        <v>45049</v>
      </c>
      <c r="C260" s="1" t="n">
        <v>45901</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45901</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23229-2025</t>
        </is>
      </c>
      <c r="B262" s="1" t="n">
        <v>45791</v>
      </c>
      <c r="C262" s="1" t="n">
        <v>45901</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45901</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24277-2025</t>
        </is>
      </c>
      <c r="B264" s="1" t="n">
        <v>45797.4530787037</v>
      </c>
      <c r="C264" s="1" t="n">
        <v>45901</v>
      </c>
      <c r="D264" t="inlineStr">
        <is>
          <t>DALARNAS LÄN</t>
        </is>
      </c>
      <c r="E264" t="inlineStr">
        <is>
          <t>MORA</t>
        </is>
      </c>
      <c r="G264" t="n">
        <v>1.9</v>
      </c>
      <c r="H264" t="n">
        <v>0</v>
      </c>
      <c r="I264" t="n">
        <v>0</v>
      </c>
      <c r="J264" t="n">
        <v>0</v>
      </c>
      <c r="K264" t="n">
        <v>0</v>
      </c>
      <c r="L264" t="n">
        <v>0</v>
      </c>
      <c r="M264" t="n">
        <v>0</v>
      </c>
      <c r="N264" t="n">
        <v>0</v>
      </c>
      <c r="O264" t="n">
        <v>0</v>
      </c>
      <c r="P264" t="n">
        <v>0</v>
      </c>
      <c r="Q264" t="n">
        <v>0</v>
      </c>
      <c r="R264" s="2" t="inlineStr"/>
    </row>
    <row r="265" ht="15" customHeight="1">
      <c r="A265" t="inlineStr">
        <is>
          <t>A 24280-2025</t>
        </is>
      </c>
      <c r="B265" s="1" t="n">
        <v>45797.45581018519</v>
      </c>
      <c r="C265" s="1" t="n">
        <v>45901</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24630-2025</t>
        </is>
      </c>
      <c r="B266" s="1" t="n">
        <v>45798.6003587963</v>
      </c>
      <c r="C266" s="1" t="n">
        <v>45901</v>
      </c>
      <c r="D266" t="inlineStr">
        <is>
          <t>DALARNAS LÄN</t>
        </is>
      </c>
      <c r="E266" t="inlineStr">
        <is>
          <t>MORA</t>
        </is>
      </c>
      <c r="F266" t="inlineStr">
        <is>
          <t>Bergvik skog väst AB</t>
        </is>
      </c>
      <c r="G266" t="n">
        <v>10.4</v>
      </c>
      <c r="H266" t="n">
        <v>0</v>
      </c>
      <c r="I266" t="n">
        <v>0</v>
      </c>
      <c r="J266" t="n">
        <v>0</v>
      </c>
      <c r="K266" t="n">
        <v>0</v>
      </c>
      <c r="L266" t="n">
        <v>0</v>
      </c>
      <c r="M266" t="n">
        <v>0</v>
      </c>
      <c r="N266" t="n">
        <v>0</v>
      </c>
      <c r="O266" t="n">
        <v>0</v>
      </c>
      <c r="P266" t="n">
        <v>0</v>
      </c>
      <c r="Q266" t="n">
        <v>0</v>
      </c>
      <c r="R266" s="2" t="inlineStr"/>
    </row>
    <row r="267" ht="15" customHeight="1">
      <c r="A267" t="inlineStr">
        <is>
          <t>A 19183-2025</t>
        </is>
      </c>
      <c r="B267" s="1" t="n">
        <v>45769</v>
      </c>
      <c r="C267" s="1" t="n">
        <v>45901</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57408-2024</t>
        </is>
      </c>
      <c r="B268" s="1" t="n">
        <v>45629</v>
      </c>
      <c r="C268" s="1" t="n">
        <v>45901</v>
      </c>
      <c r="D268" t="inlineStr">
        <is>
          <t>DALARNAS LÄN</t>
        </is>
      </c>
      <c r="E268" t="inlineStr">
        <is>
          <t>MORA</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24642-2025</t>
        </is>
      </c>
      <c r="B269" s="1" t="n">
        <v>45798.62894675926</v>
      </c>
      <c r="C269" s="1" t="n">
        <v>45901</v>
      </c>
      <c r="D269" t="inlineStr">
        <is>
          <t>DALARNAS LÄN</t>
        </is>
      </c>
      <c r="E269" t="inlineStr">
        <is>
          <t>MORA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24222-2025</t>
        </is>
      </c>
      <c r="B270" s="1" t="n">
        <v>45797.36658564815</v>
      </c>
      <c r="C270" s="1" t="n">
        <v>45901</v>
      </c>
      <c r="D270" t="inlineStr">
        <is>
          <t>DALARNAS LÄN</t>
        </is>
      </c>
      <c r="E270" t="inlineStr">
        <is>
          <t>MORA</t>
        </is>
      </c>
      <c r="G270" t="n">
        <v>3.9</v>
      </c>
      <c r="H270" t="n">
        <v>0</v>
      </c>
      <c r="I270" t="n">
        <v>0</v>
      </c>
      <c r="J270" t="n">
        <v>0</v>
      </c>
      <c r="K270" t="n">
        <v>0</v>
      </c>
      <c r="L270" t="n">
        <v>0</v>
      </c>
      <c r="M270" t="n">
        <v>0</v>
      </c>
      <c r="N270" t="n">
        <v>0</v>
      </c>
      <c r="O270" t="n">
        <v>0</v>
      </c>
      <c r="P270" t="n">
        <v>0</v>
      </c>
      <c r="Q270" t="n">
        <v>0</v>
      </c>
      <c r="R270" s="2" t="inlineStr"/>
    </row>
    <row r="271" ht="15" customHeight="1">
      <c r="A271" t="inlineStr">
        <is>
          <t>A 39897-2022</t>
        </is>
      </c>
      <c r="B271" s="1" t="n">
        <v>44819.66083333334</v>
      </c>
      <c r="C271" s="1" t="n">
        <v>45901</v>
      </c>
      <c r="D271" t="inlineStr">
        <is>
          <t>DALARNAS LÄN</t>
        </is>
      </c>
      <c r="E271" t="inlineStr">
        <is>
          <t>MORA</t>
        </is>
      </c>
      <c r="G271" t="n">
        <v>15.8</v>
      </c>
      <c r="H271" t="n">
        <v>0</v>
      </c>
      <c r="I271" t="n">
        <v>0</v>
      </c>
      <c r="J271" t="n">
        <v>0</v>
      </c>
      <c r="K271" t="n">
        <v>0</v>
      </c>
      <c r="L271" t="n">
        <v>0</v>
      </c>
      <c r="M271" t="n">
        <v>0</v>
      </c>
      <c r="N271" t="n">
        <v>0</v>
      </c>
      <c r="O271" t="n">
        <v>0</v>
      </c>
      <c r="P271" t="n">
        <v>0</v>
      </c>
      <c r="Q271" t="n">
        <v>0</v>
      </c>
      <c r="R271" s="2" t="inlineStr"/>
    </row>
    <row r="272" ht="15" customHeight="1">
      <c r="A272" t="inlineStr">
        <is>
          <t>A 24653-2025</t>
        </is>
      </c>
      <c r="B272" s="1" t="n">
        <v>45798.63875</v>
      </c>
      <c r="C272" s="1" t="n">
        <v>45901</v>
      </c>
      <c r="D272" t="inlineStr">
        <is>
          <t>DALARNAS LÄN</t>
        </is>
      </c>
      <c r="E272" t="inlineStr">
        <is>
          <t>MORA</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46412-2024</t>
        </is>
      </c>
      <c r="B273" s="1" t="n">
        <v>45582.44894675926</v>
      </c>
      <c r="C273" s="1" t="n">
        <v>45901</v>
      </c>
      <c r="D273" t="inlineStr">
        <is>
          <t>DALARNAS LÄN</t>
        </is>
      </c>
      <c r="E273" t="inlineStr">
        <is>
          <t>MORA</t>
        </is>
      </c>
      <c r="G273" t="n">
        <v>4.1</v>
      </c>
      <c r="H273" t="n">
        <v>0</v>
      </c>
      <c r="I273" t="n">
        <v>0</v>
      </c>
      <c r="J273" t="n">
        <v>0</v>
      </c>
      <c r="K273" t="n">
        <v>0</v>
      </c>
      <c r="L273" t="n">
        <v>0</v>
      </c>
      <c r="M273" t="n">
        <v>0</v>
      </c>
      <c r="N273" t="n">
        <v>0</v>
      </c>
      <c r="O273" t="n">
        <v>0</v>
      </c>
      <c r="P273" t="n">
        <v>0</v>
      </c>
      <c r="Q273" t="n">
        <v>0</v>
      </c>
      <c r="R273" s="2" t="inlineStr"/>
    </row>
    <row r="274" ht="15" customHeight="1">
      <c r="A274" t="inlineStr">
        <is>
          <t>A 24249-2025</t>
        </is>
      </c>
      <c r="B274" s="1" t="n">
        <v>45797.40260416667</v>
      </c>
      <c r="C274" s="1" t="n">
        <v>45901</v>
      </c>
      <c r="D274" t="inlineStr">
        <is>
          <t>DALARNAS LÄN</t>
        </is>
      </c>
      <c r="E274" t="inlineStr">
        <is>
          <t>MORA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50685-2023</t>
        </is>
      </c>
      <c r="B275" s="1" t="n">
        <v>45210</v>
      </c>
      <c r="C275" s="1" t="n">
        <v>45901</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24640-2025</t>
        </is>
      </c>
      <c r="B276" s="1" t="n">
        <v>45798.62243055556</v>
      </c>
      <c r="C276" s="1" t="n">
        <v>45901</v>
      </c>
      <c r="D276" t="inlineStr">
        <is>
          <t>DALARNAS LÄN</t>
        </is>
      </c>
      <c r="E276" t="inlineStr">
        <is>
          <t>MORA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24230-2025</t>
        </is>
      </c>
      <c r="B277" s="1" t="n">
        <v>45797.37607638889</v>
      </c>
      <c r="C277" s="1" t="n">
        <v>45901</v>
      </c>
      <c r="D277" t="inlineStr">
        <is>
          <t>DALARNAS LÄN</t>
        </is>
      </c>
      <c r="E277" t="inlineStr">
        <is>
          <t>MORA</t>
        </is>
      </c>
      <c r="G277" t="n">
        <v>6.8</v>
      </c>
      <c r="H277" t="n">
        <v>0</v>
      </c>
      <c r="I277" t="n">
        <v>0</v>
      </c>
      <c r="J277" t="n">
        <v>0</v>
      </c>
      <c r="K277" t="n">
        <v>0</v>
      </c>
      <c r="L277" t="n">
        <v>0</v>
      </c>
      <c r="M277" t="n">
        <v>0</v>
      </c>
      <c r="N277" t="n">
        <v>0</v>
      </c>
      <c r="O277" t="n">
        <v>0</v>
      </c>
      <c r="P277" t="n">
        <v>0</v>
      </c>
      <c r="Q277" t="n">
        <v>0</v>
      </c>
      <c r="R277" s="2" t="inlineStr"/>
    </row>
    <row r="278" ht="15" customHeight="1">
      <c r="A278" t="inlineStr">
        <is>
          <t>A 50759-2023</t>
        </is>
      </c>
      <c r="B278" s="1" t="n">
        <v>45217.60914351852</v>
      </c>
      <c r="C278" s="1" t="n">
        <v>45901</v>
      </c>
      <c r="D278" t="inlineStr">
        <is>
          <t>DALARNAS LÄN</t>
        </is>
      </c>
      <c r="E278" t="inlineStr">
        <is>
          <t>MORA</t>
        </is>
      </c>
      <c r="G278" t="n">
        <v>5.3</v>
      </c>
      <c r="H278" t="n">
        <v>0</v>
      </c>
      <c r="I278" t="n">
        <v>0</v>
      </c>
      <c r="J278" t="n">
        <v>0</v>
      </c>
      <c r="K278" t="n">
        <v>0</v>
      </c>
      <c r="L278" t="n">
        <v>0</v>
      </c>
      <c r="M278" t="n">
        <v>0</v>
      </c>
      <c r="N278" t="n">
        <v>0</v>
      </c>
      <c r="O278" t="n">
        <v>0</v>
      </c>
      <c r="P278" t="n">
        <v>0</v>
      </c>
      <c r="Q278" t="n">
        <v>0</v>
      </c>
      <c r="R278" s="2" t="inlineStr"/>
    </row>
    <row r="279" ht="15" customHeight="1">
      <c r="A279" t="inlineStr">
        <is>
          <t>A 54398-2021</t>
        </is>
      </c>
      <c r="B279" s="1" t="n">
        <v>44473.39252314815</v>
      </c>
      <c r="C279" s="1" t="n">
        <v>45901</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43964-2024</t>
        </is>
      </c>
      <c r="B280" s="1" t="n">
        <v>45572.48407407408</v>
      </c>
      <c r="C280" s="1" t="n">
        <v>45901</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24620-2025</t>
        </is>
      </c>
      <c r="B281" s="1" t="n">
        <v>45798.59290509259</v>
      </c>
      <c r="C281" s="1" t="n">
        <v>45901</v>
      </c>
      <c r="D281" t="inlineStr">
        <is>
          <t>DALARNAS LÄN</t>
        </is>
      </c>
      <c r="E281" t="inlineStr">
        <is>
          <t>MORA</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24960-2025</t>
        </is>
      </c>
      <c r="B282" s="1" t="n">
        <v>45799.57666666667</v>
      </c>
      <c r="C282" s="1" t="n">
        <v>45901</v>
      </c>
      <c r="D282" t="inlineStr">
        <is>
          <t>DALARNAS LÄN</t>
        </is>
      </c>
      <c r="E282" t="inlineStr">
        <is>
          <t>MORA</t>
        </is>
      </c>
      <c r="G282" t="n">
        <v>3.2</v>
      </c>
      <c r="H282" t="n">
        <v>0</v>
      </c>
      <c r="I282" t="n">
        <v>0</v>
      </c>
      <c r="J282" t="n">
        <v>0</v>
      </c>
      <c r="K282" t="n">
        <v>0</v>
      </c>
      <c r="L282" t="n">
        <v>0</v>
      </c>
      <c r="M282" t="n">
        <v>0</v>
      </c>
      <c r="N282" t="n">
        <v>0</v>
      </c>
      <c r="O282" t="n">
        <v>0</v>
      </c>
      <c r="P282" t="n">
        <v>0</v>
      </c>
      <c r="Q282" t="n">
        <v>0</v>
      </c>
      <c r="R282" s="2" t="inlineStr"/>
    </row>
    <row r="283" ht="15" customHeight="1">
      <c r="A283" t="inlineStr">
        <is>
          <t>A 23302-2024</t>
        </is>
      </c>
      <c r="B283" s="1" t="n">
        <v>45453.44091435185</v>
      </c>
      <c r="C283" s="1" t="n">
        <v>45901</v>
      </c>
      <c r="D283" t="inlineStr">
        <is>
          <t>DALARNAS LÄN</t>
        </is>
      </c>
      <c r="E283" t="inlineStr">
        <is>
          <t>MORA</t>
        </is>
      </c>
      <c r="G283" t="n">
        <v>1.3</v>
      </c>
      <c r="H283" t="n">
        <v>0</v>
      </c>
      <c r="I283" t="n">
        <v>0</v>
      </c>
      <c r="J283" t="n">
        <v>0</v>
      </c>
      <c r="K283" t="n">
        <v>0</v>
      </c>
      <c r="L283" t="n">
        <v>0</v>
      </c>
      <c r="M283" t="n">
        <v>0</v>
      </c>
      <c r="N283" t="n">
        <v>0</v>
      </c>
      <c r="O283" t="n">
        <v>0</v>
      </c>
      <c r="P283" t="n">
        <v>0</v>
      </c>
      <c r="Q283" t="n">
        <v>0</v>
      </c>
      <c r="R283" s="2" t="inlineStr"/>
    </row>
    <row r="284" ht="15" customHeight="1">
      <c r="A284" t="inlineStr">
        <is>
          <t>A 30985-2024</t>
        </is>
      </c>
      <c r="B284" s="1" t="n">
        <v>45499.51721064815</v>
      </c>
      <c r="C284" s="1" t="n">
        <v>45901</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57859-2022</t>
        </is>
      </c>
      <c r="B285" s="1" t="n">
        <v>44898</v>
      </c>
      <c r="C285" s="1" t="n">
        <v>45901</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24947-2025</t>
        </is>
      </c>
      <c r="B286" s="1" t="n">
        <v>45799.56524305556</v>
      </c>
      <c r="C286" s="1" t="n">
        <v>45901</v>
      </c>
      <c r="D286" t="inlineStr">
        <is>
          <t>DALARNAS LÄN</t>
        </is>
      </c>
      <c r="E286" t="inlineStr">
        <is>
          <t>MORA</t>
        </is>
      </c>
      <c r="G286" t="n">
        <v>2</v>
      </c>
      <c r="H286" t="n">
        <v>0</v>
      </c>
      <c r="I286" t="n">
        <v>0</v>
      </c>
      <c r="J286" t="n">
        <v>0</v>
      </c>
      <c r="K286" t="n">
        <v>0</v>
      </c>
      <c r="L286" t="n">
        <v>0</v>
      </c>
      <c r="M286" t="n">
        <v>0</v>
      </c>
      <c r="N286" t="n">
        <v>0</v>
      </c>
      <c r="O286" t="n">
        <v>0</v>
      </c>
      <c r="P286" t="n">
        <v>0</v>
      </c>
      <c r="Q286" t="n">
        <v>0</v>
      </c>
      <c r="R286" s="2" t="inlineStr"/>
    </row>
    <row r="287" ht="15" customHeight="1">
      <c r="A287" t="inlineStr">
        <is>
          <t>A 60647-2022</t>
        </is>
      </c>
      <c r="B287" s="1" t="n">
        <v>44911</v>
      </c>
      <c r="C287" s="1" t="n">
        <v>45901</v>
      </c>
      <c r="D287" t="inlineStr">
        <is>
          <t>DALARNAS LÄN</t>
        </is>
      </c>
      <c r="E287" t="inlineStr">
        <is>
          <t>MORA</t>
        </is>
      </c>
      <c r="G287" t="n">
        <v>4.8</v>
      </c>
      <c r="H287" t="n">
        <v>0</v>
      </c>
      <c r="I287" t="n">
        <v>0</v>
      </c>
      <c r="J287" t="n">
        <v>0</v>
      </c>
      <c r="K287" t="n">
        <v>0</v>
      </c>
      <c r="L287" t="n">
        <v>0</v>
      </c>
      <c r="M287" t="n">
        <v>0</v>
      </c>
      <c r="N287" t="n">
        <v>0</v>
      </c>
      <c r="O287" t="n">
        <v>0</v>
      </c>
      <c r="P287" t="n">
        <v>0</v>
      </c>
      <c r="Q287" t="n">
        <v>0</v>
      </c>
      <c r="R287" s="2" t="inlineStr"/>
    </row>
    <row r="288" ht="15" customHeight="1">
      <c r="A288" t="inlineStr">
        <is>
          <t>A 39511-2024</t>
        </is>
      </c>
      <c r="B288" s="1" t="n">
        <v>45551.68347222222</v>
      </c>
      <c r="C288" s="1" t="n">
        <v>45901</v>
      </c>
      <c r="D288" t="inlineStr">
        <is>
          <t>DALARNAS LÄN</t>
        </is>
      </c>
      <c r="E288" t="inlineStr">
        <is>
          <t>MORA</t>
        </is>
      </c>
      <c r="G288" t="n">
        <v>1.2</v>
      </c>
      <c r="H288" t="n">
        <v>0</v>
      </c>
      <c r="I288" t="n">
        <v>0</v>
      </c>
      <c r="J288" t="n">
        <v>0</v>
      </c>
      <c r="K288" t="n">
        <v>0</v>
      </c>
      <c r="L288" t="n">
        <v>0</v>
      </c>
      <c r="M288" t="n">
        <v>0</v>
      </c>
      <c r="N288" t="n">
        <v>0</v>
      </c>
      <c r="O288" t="n">
        <v>0</v>
      </c>
      <c r="P288" t="n">
        <v>0</v>
      </c>
      <c r="Q288" t="n">
        <v>0</v>
      </c>
      <c r="R288" s="2" t="inlineStr"/>
    </row>
    <row r="289" ht="15" customHeight="1">
      <c r="A289" t="inlineStr">
        <is>
          <t>A 37695-2024</t>
        </is>
      </c>
      <c r="B289" s="1" t="n">
        <v>45541.61094907407</v>
      </c>
      <c r="C289" s="1" t="n">
        <v>45901</v>
      </c>
      <c r="D289" t="inlineStr">
        <is>
          <t>DALARNAS LÄN</t>
        </is>
      </c>
      <c r="E289" t="inlineStr">
        <is>
          <t>MORA</t>
        </is>
      </c>
      <c r="G289" t="n">
        <v>19.7</v>
      </c>
      <c r="H289" t="n">
        <v>0</v>
      </c>
      <c r="I289" t="n">
        <v>0</v>
      </c>
      <c r="J289" t="n">
        <v>0</v>
      </c>
      <c r="K289" t="n">
        <v>0</v>
      </c>
      <c r="L289" t="n">
        <v>0</v>
      </c>
      <c r="M289" t="n">
        <v>0</v>
      </c>
      <c r="N289" t="n">
        <v>0</v>
      </c>
      <c r="O289" t="n">
        <v>0</v>
      </c>
      <c r="P289" t="n">
        <v>0</v>
      </c>
      <c r="Q289" t="n">
        <v>0</v>
      </c>
      <c r="R289" s="2" t="inlineStr"/>
    </row>
    <row r="290" ht="15" customHeight="1">
      <c r="A290" t="inlineStr">
        <is>
          <t>A 56834-2024</t>
        </is>
      </c>
      <c r="B290" s="1" t="n">
        <v>45628.49931712963</v>
      </c>
      <c r="C290" s="1" t="n">
        <v>45901</v>
      </c>
      <c r="D290" t="inlineStr">
        <is>
          <t>DALARNAS LÄN</t>
        </is>
      </c>
      <c r="E290" t="inlineStr">
        <is>
          <t>MORA</t>
        </is>
      </c>
      <c r="G290" t="n">
        <v>0.4</v>
      </c>
      <c r="H290" t="n">
        <v>0</v>
      </c>
      <c r="I290" t="n">
        <v>0</v>
      </c>
      <c r="J290" t="n">
        <v>0</v>
      </c>
      <c r="K290" t="n">
        <v>0</v>
      </c>
      <c r="L290" t="n">
        <v>0</v>
      </c>
      <c r="M290" t="n">
        <v>0</v>
      </c>
      <c r="N290" t="n">
        <v>0</v>
      </c>
      <c r="O290" t="n">
        <v>0</v>
      </c>
      <c r="P290" t="n">
        <v>0</v>
      </c>
      <c r="Q290" t="n">
        <v>0</v>
      </c>
      <c r="R290" s="2" t="inlineStr"/>
    </row>
    <row r="291" ht="15" customHeight="1">
      <c r="A291" t="inlineStr">
        <is>
          <t>A 24590-2024</t>
        </is>
      </c>
      <c r="B291" s="1" t="n">
        <v>45460</v>
      </c>
      <c r="C291" s="1" t="n">
        <v>45901</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25737-2025</t>
        </is>
      </c>
      <c r="B292" s="1" t="n">
        <v>45800</v>
      </c>
      <c r="C292" s="1" t="n">
        <v>45901</v>
      </c>
      <c r="D292" t="inlineStr">
        <is>
          <t>DALARNAS LÄN</t>
        </is>
      </c>
      <c r="E292" t="inlineStr">
        <is>
          <t>MORA</t>
        </is>
      </c>
      <c r="G292" t="n">
        <v>9.6</v>
      </c>
      <c r="H292" t="n">
        <v>0</v>
      </c>
      <c r="I292" t="n">
        <v>0</v>
      </c>
      <c r="J292" t="n">
        <v>0</v>
      </c>
      <c r="K292" t="n">
        <v>0</v>
      </c>
      <c r="L292" t="n">
        <v>0</v>
      </c>
      <c r="M292" t="n">
        <v>0</v>
      </c>
      <c r="N292" t="n">
        <v>0</v>
      </c>
      <c r="O292" t="n">
        <v>0</v>
      </c>
      <c r="P292" t="n">
        <v>0</v>
      </c>
      <c r="Q292" t="n">
        <v>0</v>
      </c>
      <c r="R292" s="2" t="inlineStr"/>
    </row>
    <row r="293" ht="15" customHeight="1">
      <c r="A293" t="inlineStr">
        <is>
          <t>A 42934-2024</t>
        </is>
      </c>
      <c r="B293" s="1" t="n">
        <v>45567.33655092592</v>
      </c>
      <c r="C293" s="1" t="n">
        <v>45901</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2879-2022</t>
        </is>
      </c>
      <c r="B294" s="1" t="n">
        <v>44581</v>
      </c>
      <c r="C294" s="1" t="n">
        <v>45901</v>
      </c>
      <c r="D294" t="inlineStr">
        <is>
          <t>DALARNAS LÄN</t>
        </is>
      </c>
      <c r="E294" t="inlineStr">
        <is>
          <t>MORA</t>
        </is>
      </c>
      <c r="G294" t="n">
        <v>2.3</v>
      </c>
      <c r="H294" t="n">
        <v>0</v>
      </c>
      <c r="I294" t="n">
        <v>0</v>
      </c>
      <c r="J294" t="n">
        <v>0</v>
      </c>
      <c r="K294" t="n">
        <v>0</v>
      </c>
      <c r="L294" t="n">
        <v>0</v>
      </c>
      <c r="M294" t="n">
        <v>0</v>
      </c>
      <c r="N294" t="n">
        <v>0</v>
      </c>
      <c r="O294" t="n">
        <v>0</v>
      </c>
      <c r="P294" t="n">
        <v>0</v>
      </c>
      <c r="Q294" t="n">
        <v>0</v>
      </c>
      <c r="R294" s="2" t="inlineStr"/>
    </row>
    <row r="295" ht="15" customHeight="1">
      <c r="A295" t="inlineStr">
        <is>
          <t>A 8068-2024</t>
        </is>
      </c>
      <c r="B295" s="1" t="n">
        <v>45351.41524305556</v>
      </c>
      <c r="C295" s="1" t="n">
        <v>45901</v>
      </c>
      <c r="D295" t="inlineStr">
        <is>
          <t>DALARNAS LÄN</t>
        </is>
      </c>
      <c r="E295" t="inlineStr">
        <is>
          <t>MORA</t>
        </is>
      </c>
      <c r="G295" t="n">
        <v>6.4</v>
      </c>
      <c r="H295" t="n">
        <v>0</v>
      </c>
      <c r="I295" t="n">
        <v>0</v>
      </c>
      <c r="J295" t="n">
        <v>0</v>
      </c>
      <c r="K295" t="n">
        <v>0</v>
      </c>
      <c r="L295" t="n">
        <v>0</v>
      </c>
      <c r="M295" t="n">
        <v>0</v>
      </c>
      <c r="N295" t="n">
        <v>0</v>
      </c>
      <c r="O295" t="n">
        <v>0</v>
      </c>
      <c r="P295" t="n">
        <v>0</v>
      </c>
      <c r="Q295" t="n">
        <v>0</v>
      </c>
      <c r="R295" s="2" t="inlineStr"/>
    </row>
    <row r="296" ht="15" customHeight="1">
      <c r="A296" t="inlineStr">
        <is>
          <t>A 61654-2024</t>
        </is>
      </c>
      <c r="B296" s="1" t="n">
        <v>45646.74988425926</v>
      </c>
      <c r="C296" s="1" t="n">
        <v>45901</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43863-2023</t>
        </is>
      </c>
      <c r="B297" s="1" t="n">
        <v>45187.62532407408</v>
      </c>
      <c r="C297" s="1" t="n">
        <v>45901</v>
      </c>
      <c r="D297" t="inlineStr">
        <is>
          <t>DALARNAS LÄN</t>
        </is>
      </c>
      <c r="E297" t="inlineStr">
        <is>
          <t>MORA</t>
        </is>
      </c>
      <c r="F297" t="inlineStr">
        <is>
          <t>Bergvik skog väst AB</t>
        </is>
      </c>
      <c r="G297" t="n">
        <v>3.9</v>
      </c>
      <c r="H297" t="n">
        <v>0</v>
      </c>
      <c r="I297" t="n">
        <v>0</v>
      </c>
      <c r="J297" t="n">
        <v>0</v>
      </c>
      <c r="K297" t="n">
        <v>0</v>
      </c>
      <c r="L297" t="n">
        <v>0</v>
      </c>
      <c r="M297" t="n">
        <v>0</v>
      </c>
      <c r="N297" t="n">
        <v>0</v>
      </c>
      <c r="O297" t="n">
        <v>0</v>
      </c>
      <c r="P297" t="n">
        <v>0</v>
      </c>
      <c r="Q297" t="n">
        <v>0</v>
      </c>
      <c r="R297" s="2" t="inlineStr"/>
    </row>
    <row r="298" ht="15" customHeight="1">
      <c r="A298" t="inlineStr">
        <is>
          <t>A 26647-2025</t>
        </is>
      </c>
      <c r="B298" s="1" t="n">
        <v>45810.38439814815</v>
      </c>
      <c r="C298" s="1" t="n">
        <v>45901</v>
      </c>
      <c r="D298" t="inlineStr">
        <is>
          <t>DALARNAS LÄN</t>
        </is>
      </c>
      <c r="E298" t="inlineStr">
        <is>
          <t>MORA</t>
        </is>
      </c>
      <c r="G298" t="n">
        <v>7.9</v>
      </c>
      <c r="H298" t="n">
        <v>0</v>
      </c>
      <c r="I298" t="n">
        <v>0</v>
      </c>
      <c r="J298" t="n">
        <v>0</v>
      </c>
      <c r="K298" t="n">
        <v>0</v>
      </c>
      <c r="L298" t="n">
        <v>0</v>
      </c>
      <c r="M298" t="n">
        <v>0</v>
      </c>
      <c r="N298" t="n">
        <v>0</v>
      </c>
      <c r="O298" t="n">
        <v>0</v>
      </c>
      <c r="P298" t="n">
        <v>0</v>
      </c>
      <c r="Q298" t="n">
        <v>0</v>
      </c>
      <c r="R298" s="2" t="inlineStr"/>
    </row>
    <row r="299" ht="15" customHeight="1">
      <c r="A299" t="inlineStr">
        <is>
          <t>A 35521-2023</t>
        </is>
      </c>
      <c r="B299" s="1" t="n">
        <v>45147.33251157407</v>
      </c>
      <c r="C299" s="1" t="n">
        <v>45901</v>
      </c>
      <c r="D299" t="inlineStr">
        <is>
          <t>DALARNAS LÄN</t>
        </is>
      </c>
      <c r="E299" t="inlineStr">
        <is>
          <t>MORA</t>
        </is>
      </c>
      <c r="G299" t="n">
        <v>3.7</v>
      </c>
      <c r="H299" t="n">
        <v>0</v>
      </c>
      <c r="I299" t="n">
        <v>0</v>
      </c>
      <c r="J299" t="n">
        <v>0</v>
      </c>
      <c r="K299" t="n">
        <v>0</v>
      </c>
      <c r="L299" t="n">
        <v>0</v>
      </c>
      <c r="M299" t="n">
        <v>0</v>
      </c>
      <c r="N299" t="n">
        <v>0</v>
      </c>
      <c r="O299" t="n">
        <v>0</v>
      </c>
      <c r="P299" t="n">
        <v>0</v>
      </c>
      <c r="Q299" t="n">
        <v>0</v>
      </c>
      <c r="R299" s="2" t="inlineStr"/>
    </row>
    <row r="300" ht="15" customHeight="1">
      <c r="A300" t="inlineStr">
        <is>
          <t>A 56425-2024</t>
        </is>
      </c>
      <c r="B300" s="1" t="n">
        <v>45625.38677083333</v>
      </c>
      <c r="C300" s="1" t="n">
        <v>45901</v>
      </c>
      <c r="D300" t="inlineStr">
        <is>
          <t>DALARNAS LÄN</t>
        </is>
      </c>
      <c r="E300" t="inlineStr">
        <is>
          <t>MORA</t>
        </is>
      </c>
      <c r="G300" t="n">
        <v>2.1</v>
      </c>
      <c r="H300" t="n">
        <v>0</v>
      </c>
      <c r="I300" t="n">
        <v>0</v>
      </c>
      <c r="J300" t="n">
        <v>0</v>
      </c>
      <c r="K300" t="n">
        <v>0</v>
      </c>
      <c r="L300" t="n">
        <v>0</v>
      </c>
      <c r="M300" t="n">
        <v>0</v>
      </c>
      <c r="N300" t="n">
        <v>0</v>
      </c>
      <c r="O300" t="n">
        <v>0</v>
      </c>
      <c r="P300" t="n">
        <v>0</v>
      </c>
      <c r="Q300" t="n">
        <v>0</v>
      </c>
      <c r="R300" s="2" t="inlineStr"/>
    </row>
    <row r="301" ht="15" customHeight="1">
      <c r="A301" t="inlineStr">
        <is>
          <t>A 31112-2024</t>
        </is>
      </c>
      <c r="B301" s="1" t="n">
        <v>45502.55185185185</v>
      </c>
      <c r="C301" s="1" t="n">
        <v>45901</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30819-2024</t>
        </is>
      </c>
      <c r="B302" s="1" t="n">
        <v>45497</v>
      </c>
      <c r="C302" s="1" t="n">
        <v>45901</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44205-2023</t>
        </is>
      </c>
      <c r="B303" s="1" t="n">
        <v>45188</v>
      </c>
      <c r="C303" s="1" t="n">
        <v>45901</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51168-2024</t>
        </is>
      </c>
      <c r="B304" s="1" t="n">
        <v>45603.58619212963</v>
      </c>
      <c r="C304" s="1" t="n">
        <v>45901</v>
      </c>
      <c r="D304" t="inlineStr">
        <is>
          <t>DALARNAS LÄN</t>
        </is>
      </c>
      <c r="E304" t="inlineStr">
        <is>
          <t>MORA</t>
        </is>
      </c>
      <c r="G304" t="n">
        <v>3</v>
      </c>
      <c r="H304" t="n">
        <v>0</v>
      </c>
      <c r="I304" t="n">
        <v>0</v>
      </c>
      <c r="J304" t="n">
        <v>0</v>
      </c>
      <c r="K304" t="n">
        <v>0</v>
      </c>
      <c r="L304" t="n">
        <v>0</v>
      </c>
      <c r="M304" t="n">
        <v>0</v>
      </c>
      <c r="N304" t="n">
        <v>0</v>
      </c>
      <c r="O304" t="n">
        <v>0</v>
      </c>
      <c r="P304" t="n">
        <v>0</v>
      </c>
      <c r="Q304" t="n">
        <v>0</v>
      </c>
      <c r="R304" s="2" t="inlineStr"/>
    </row>
    <row r="305" ht="15" customHeight="1">
      <c r="A305" t="inlineStr">
        <is>
          <t>A 18214-2024</t>
        </is>
      </c>
      <c r="B305" s="1" t="n">
        <v>45420</v>
      </c>
      <c r="C305" s="1" t="n">
        <v>45901</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26546-2025</t>
        </is>
      </c>
      <c r="B306" s="1" t="n">
        <v>45807</v>
      </c>
      <c r="C306" s="1" t="n">
        <v>45901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26573-2025</t>
        </is>
      </c>
      <c r="B307" s="1" t="n">
        <v>45807</v>
      </c>
      <c r="C307" s="1" t="n">
        <v>45901</v>
      </c>
      <c r="D307" t="inlineStr">
        <is>
          <t>DALARNAS LÄN</t>
        </is>
      </c>
      <c r="E307" t="inlineStr">
        <is>
          <t>MORA</t>
        </is>
      </c>
      <c r="G307" t="n">
        <v>4.3</v>
      </c>
      <c r="H307" t="n">
        <v>0</v>
      </c>
      <c r="I307" t="n">
        <v>0</v>
      </c>
      <c r="J307" t="n">
        <v>0</v>
      </c>
      <c r="K307" t="n">
        <v>0</v>
      </c>
      <c r="L307" t="n">
        <v>0</v>
      </c>
      <c r="M307" t="n">
        <v>0</v>
      </c>
      <c r="N307" t="n">
        <v>0</v>
      </c>
      <c r="O307" t="n">
        <v>0</v>
      </c>
      <c r="P307" t="n">
        <v>0</v>
      </c>
      <c r="Q307" t="n">
        <v>0</v>
      </c>
      <c r="R307" s="2" t="inlineStr"/>
    </row>
    <row r="308" ht="15" customHeight="1">
      <c r="A308" t="inlineStr">
        <is>
          <t>A 26532-2025</t>
        </is>
      </c>
      <c r="B308" s="1" t="n">
        <v>45807</v>
      </c>
      <c r="C308" s="1" t="n">
        <v>45901</v>
      </c>
      <c r="D308" t="inlineStr">
        <is>
          <t>DALARNAS LÄN</t>
        </is>
      </c>
      <c r="E308" t="inlineStr">
        <is>
          <t>MORA</t>
        </is>
      </c>
      <c r="G308" t="n">
        <v>4.4</v>
      </c>
      <c r="H308" t="n">
        <v>0</v>
      </c>
      <c r="I308" t="n">
        <v>0</v>
      </c>
      <c r="J308" t="n">
        <v>0</v>
      </c>
      <c r="K308" t="n">
        <v>0</v>
      </c>
      <c r="L308" t="n">
        <v>0</v>
      </c>
      <c r="M308" t="n">
        <v>0</v>
      </c>
      <c r="N308" t="n">
        <v>0</v>
      </c>
      <c r="O308" t="n">
        <v>0</v>
      </c>
      <c r="P308" t="n">
        <v>0</v>
      </c>
      <c r="Q308" t="n">
        <v>0</v>
      </c>
      <c r="R308" s="2" t="inlineStr"/>
    </row>
    <row r="309" ht="15" customHeight="1">
      <c r="A309" t="inlineStr">
        <is>
          <t>A 26545-2025</t>
        </is>
      </c>
      <c r="B309" s="1" t="n">
        <v>45807</v>
      </c>
      <c r="C309" s="1" t="n">
        <v>45901</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16522-2024</t>
        </is>
      </c>
      <c r="B310" s="1" t="n">
        <v>45408.41166666667</v>
      </c>
      <c r="C310" s="1" t="n">
        <v>45901</v>
      </c>
      <c r="D310" t="inlineStr">
        <is>
          <t>DALARNAS LÄN</t>
        </is>
      </c>
      <c r="E310" t="inlineStr">
        <is>
          <t>MORA</t>
        </is>
      </c>
      <c r="G310" t="n">
        <v>11.2</v>
      </c>
      <c r="H310" t="n">
        <v>0</v>
      </c>
      <c r="I310" t="n">
        <v>0</v>
      </c>
      <c r="J310" t="n">
        <v>0</v>
      </c>
      <c r="K310" t="n">
        <v>0</v>
      </c>
      <c r="L310" t="n">
        <v>0</v>
      </c>
      <c r="M310" t="n">
        <v>0</v>
      </c>
      <c r="N310" t="n">
        <v>0</v>
      </c>
      <c r="O310" t="n">
        <v>0</v>
      </c>
      <c r="P310" t="n">
        <v>0</v>
      </c>
      <c r="Q310" t="n">
        <v>0</v>
      </c>
      <c r="R310" s="2" t="inlineStr"/>
    </row>
    <row r="311" ht="15" customHeight="1">
      <c r="A311" t="inlineStr">
        <is>
          <t>A 20885-2024</t>
        </is>
      </c>
      <c r="B311" s="1" t="n">
        <v>45439.45527777778</v>
      </c>
      <c r="C311" s="1" t="n">
        <v>45901</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26630-2025</t>
        </is>
      </c>
      <c r="B312" s="1" t="n">
        <v>45809</v>
      </c>
      <c r="C312" s="1" t="n">
        <v>45901</v>
      </c>
      <c r="D312" t="inlineStr">
        <is>
          <t>DALARNAS LÄN</t>
        </is>
      </c>
      <c r="E312" t="inlineStr">
        <is>
          <t>MORA</t>
        </is>
      </c>
      <c r="G312" t="n">
        <v>32.1</v>
      </c>
      <c r="H312" t="n">
        <v>0</v>
      </c>
      <c r="I312" t="n">
        <v>0</v>
      </c>
      <c r="J312" t="n">
        <v>0</v>
      </c>
      <c r="K312" t="n">
        <v>0</v>
      </c>
      <c r="L312" t="n">
        <v>0</v>
      </c>
      <c r="M312" t="n">
        <v>0</v>
      </c>
      <c r="N312" t="n">
        <v>0</v>
      </c>
      <c r="O312" t="n">
        <v>0</v>
      </c>
      <c r="P312" t="n">
        <v>0</v>
      </c>
      <c r="Q312" t="n">
        <v>0</v>
      </c>
      <c r="R312" s="2" t="inlineStr"/>
    </row>
    <row r="313" ht="15" customHeight="1">
      <c r="A313" t="inlineStr">
        <is>
          <t>A 26577-2025</t>
        </is>
      </c>
      <c r="B313" s="1" t="n">
        <v>45807</v>
      </c>
      <c r="C313" s="1" t="n">
        <v>45901</v>
      </c>
      <c r="D313" t="inlineStr">
        <is>
          <t>DALARNAS LÄN</t>
        </is>
      </c>
      <c r="E313" t="inlineStr">
        <is>
          <t>MORA</t>
        </is>
      </c>
      <c r="G313" t="n">
        <v>2.8</v>
      </c>
      <c r="H313" t="n">
        <v>0</v>
      </c>
      <c r="I313" t="n">
        <v>0</v>
      </c>
      <c r="J313" t="n">
        <v>0</v>
      </c>
      <c r="K313" t="n">
        <v>0</v>
      </c>
      <c r="L313" t="n">
        <v>0</v>
      </c>
      <c r="M313" t="n">
        <v>0</v>
      </c>
      <c r="N313" t="n">
        <v>0</v>
      </c>
      <c r="O313" t="n">
        <v>0</v>
      </c>
      <c r="P313" t="n">
        <v>0</v>
      </c>
      <c r="Q313" t="n">
        <v>0</v>
      </c>
      <c r="R313" s="2" t="inlineStr"/>
    </row>
    <row r="314" ht="15" customHeight="1">
      <c r="A314" t="inlineStr">
        <is>
          <t>A 55120-2024</t>
        </is>
      </c>
      <c r="B314" s="1" t="n">
        <v>45621.45765046297</v>
      </c>
      <c r="C314" s="1" t="n">
        <v>45901</v>
      </c>
      <c r="D314" t="inlineStr">
        <is>
          <t>DALARNAS LÄN</t>
        </is>
      </c>
      <c r="E314" t="inlineStr">
        <is>
          <t>MORA</t>
        </is>
      </c>
      <c r="G314" t="n">
        <v>1.9</v>
      </c>
      <c r="H314" t="n">
        <v>0</v>
      </c>
      <c r="I314" t="n">
        <v>0</v>
      </c>
      <c r="J314" t="n">
        <v>0</v>
      </c>
      <c r="K314" t="n">
        <v>0</v>
      </c>
      <c r="L314" t="n">
        <v>0</v>
      </c>
      <c r="M314" t="n">
        <v>0</v>
      </c>
      <c r="N314" t="n">
        <v>0</v>
      </c>
      <c r="O314" t="n">
        <v>0</v>
      </c>
      <c r="P314" t="n">
        <v>0</v>
      </c>
      <c r="Q314" t="n">
        <v>0</v>
      </c>
      <c r="R314" s="2" t="inlineStr"/>
    </row>
    <row r="315" ht="15" customHeight="1">
      <c r="A315" t="inlineStr">
        <is>
          <t>A 26854-2025</t>
        </is>
      </c>
      <c r="B315" s="1" t="n">
        <v>45810.67462962963</v>
      </c>
      <c r="C315" s="1" t="n">
        <v>45901</v>
      </c>
      <c r="D315" t="inlineStr">
        <is>
          <t>DALARNAS LÄN</t>
        </is>
      </c>
      <c r="E315" t="inlineStr">
        <is>
          <t>MORA</t>
        </is>
      </c>
      <c r="G315" t="n">
        <v>4.4</v>
      </c>
      <c r="H315" t="n">
        <v>0</v>
      </c>
      <c r="I315" t="n">
        <v>0</v>
      </c>
      <c r="J315" t="n">
        <v>0</v>
      </c>
      <c r="K315" t="n">
        <v>0</v>
      </c>
      <c r="L315" t="n">
        <v>0</v>
      </c>
      <c r="M315" t="n">
        <v>0</v>
      </c>
      <c r="N315" t="n">
        <v>0</v>
      </c>
      <c r="O315" t="n">
        <v>0</v>
      </c>
      <c r="P315" t="n">
        <v>0</v>
      </c>
      <c r="Q315" t="n">
        <v>0</v>
      </c>
      <c r="R315" s="2" t="inlineStr"/>
    </row>
    <row r="316" ht="15" customHeight="1">
      <c r="A316" t="inlineStr">
        <is>
          <t>A 43873-2024</t>
        </is>
      </c>
      <c r="B316" s="1" t="n">
        <v>45572.38429398148</v>
      </c>
      <c r="C316" s="1" t="n">
        <v>45901</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26731-2025</t>
        </is>
      </c>
      <c r="B317" s="1" t="n">
        <v>45810.50702546296</v>
      </c>
      <c r="C317" s="1" t="n">
        <v>45901</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26711-2025</t>
        </is>
      </c>
      <c r="B318" s="1" t="n">
        <v>45810.46144675926</v>
      </c>
      <c r="C318" s="1" t="n">
        <v>45901</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16174-2025</t>
        </is>
      </c>
      <c r="B319" s="1" t="n">
        <v>45750</v>
      </c>
      <c r="C319" s="1" t="n">
        <v>45901</v>
      </c>
      <c r="D319" t="inlineStr">
        <is>
          <t>DALARNAS LÄN</t>
        </is>
      </c>
      <c r="E319" t="inlineStr">
        <is>
          <t>MORA</t>
        </is>
      </c>
      <c r="G319" t="n">
        <v>0.9</v>
      </c>
      <c r="H319" t="n">
        <v>0</v>
      </c>
      <c r="I319" t="n">
        <v>0</v>
      </c>
      <c r="J319" t="n">
        <v>0</v>
      </c>
      <c r="K319" t="n">
        <v>0</v>
      </c>
      <c r="L319" t="n">
        <v>0</v>
      </c>
      <c r="M319" t="n">
        <v>0</v>
      </c>
      <c r="N319" t="n">
        <v>0</v>
      </c>
      <c r="O319" t="n">
        <v>0</v>
      </c>
      <c r="P319" t="n">
        <v>0</v>
      </c>
      <c r="Q319" t="n">
        <v>0</v>
      </c>
      <c r="R319" s="2" t="inlineStr"/>
    </row>
    <row r="320" ht="15" customHeight="1">
      <c r="A320" t="inlineStr">
        <is>
          <t>A 54628-2024</t>
        </is>
      </c>
      <c r="B320" s="1" t="n">
        <v>45617.83969907407</v>
      </c>
      <c r="C320" s="1" t="n">
        <v>45901</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1252-2025</t>
        </is>
      </c>
      <c r="B321" s="1" t="n">
        <v>45667.46648148148</v>
      </c>
      <c r="C321" s="1" t="n">
        <v>45901</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39348-2024</t>
        </is>
      </c>
      <c r="B322" s="1" t="n">
        <v>45551.45322916667</v>
      </c>
      <c r="C322" s="1" t="n">
        <v>45901</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27177-2025</t>
        </is>
      </c>
      <c r="B323" s="1" t="n">
        <v>45812.3533912037</v>
      </c>
      <c r="C323" s="1" t="n">
        <v>45901</v>
      </c>
      <c r="D323" t="inlineStr">
        <is>
          <t>DALARNAS LÄN</t>
        </is>
      </c>
      <c r="E323" t="inlineStr">
        <is>
          <t>MORA</t>
        </is>
      </c>
      <c r="F323" t="inlineStr">
        <is>
          <t>Bergvik skog öst AB</t>
        </is>
      </c>
      <c r="G323" t="n">
        <v>2.5</v>
      </c>
      <c r="H323" t="n">
        <v>0</v>
      </c>
      <c r="I323" t="n">
        <v>0</v>
      </c>
      <c r="J323" t="n">
        <v>0</v>
      </c>
      <c r="K323" t="n">
        <v>0</v>
      </c>
      <c r="L323" t="n">
        <v>0</v>
      </c>
      <c r="M323" t="n">
        <v>0</v>
      </c>
      <c r="N323" t="n">
        <v>0</v>
      </c>
      <c r="O323" t="n">
        <v>0</v>
      </c>
      <c r="P323" t="n">
        <v>0</v>
      </c>
      <c r="Q323" t="n">
        <v>0</v>
      </c>
      <c r="R323" s="2" t="inlineStr"/>
    </row>
    <row r="324" ht="15" customHeight="1">
      <c r="A324" t="inlineStr">
        <is>
          <t>A 27194-2025</t>
        </is>
      </c>
      <c r="B324" s="1" t="n">
        <v>45812.37965277778</v>
      </c>
      <c r="C324" s="1" t="n">
        <v>45901</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14611-2025</t>
        </is>
      </c>
      <c r="B325" s="1" t="n">
        <v>45742.38511574074</v>
      </c>
      <c r="C325" s="1" t="n">
        <v>45901</v>
      </c>
      <c r="D325" t="inlineStr">
        <is>
          <t>DALARNAS LÄN</t>
        </is>
      </c>
      <c r="E325" t="inlineStr">
        <is>
          <t>MORA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27175-2025</t>
        </is>
      </c>
      <c r="B326" s="1" t="n">
        <v>45812.35072916667</v>
      </c>
      <c r="C326" s="1" t="n">
        <v>45901</v>
      </c>
      <c r="D326" t="inlineStr">
        <is>
          <t>DALARNAS LÄN</t>
        </is>
      </c>
      <c r="E326" t="inlineStr">
        <is>
          <t>MORA</t>
        </is>
      </c>
      <c r="F326" t="inlineStr">
        <is>
          <t>Bergvik skog öst AB</t>
        </is>
      </c>
      <c r="G326" t="n">
        <v>4</v>
      </c>
      <c r="H326" t="n">
        <v>0</v>
      </c>
      <c r="I326" t="n">
        <v>0</v>
      </c>
      <c r="J326" t="n">
        <v>0</v>
      </c>
      <c r="K326" t="n">
        <v>0</v>
      </c>
      <c r="L326" t="n">
        <v>0</v>
      </c>
      <c r="M326" t="n">
        <v>0</v>
      </c>
      <c r="N326" t="n">
        <v>0</v>
      </c>
      <c r="O326" t="n">
        <v>0</v>
      </c>
      <c r="P326" t="n">
        <v>0</v>
      </c>
      <c r="Q326" t="n">
        <v>0</v>
      </c>
      <c r="R326" s="2" t="inlineStr"/>
    </row>
    <row r="327" ht="15" customHeight="1">
      <c r="A327" t="inlineStr">
        <is>
          <t>A 46152-2023</t>
        </is>
      </c>
      <c r="B327" s="1" t="n">
        <v>45196.58278935185</v>
      </c>
      <c r="C327" s="1" t="n">
        <v>45901</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2830-2023</t>
        </is>
      </c>
      <c r="B328" s="1" t="n">
        <v>44945.32997685186</v>
      </c>
      <c r="C328" s="1" t="n">
        <v>45901</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7565-2025</t>
        </is>
      </c>
      <c r="B329" s="1" t="n">
        <v>45705.59269675926</v>
      </c>
      <c r="C329" s="1" t="n">
        <v>45901</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27184-2025</t>
        </is>
      </c>
      <c r="B330" s="1" t="n">
        <v>45812.36133101852</v>
      </c>
      <c r="C330" s="1" t="n">
        <v>45901</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17268-2025</t>
        </is>
      </c>
      <c r="B331" s="1" t="n">
        <v>45756</v>
      </c>
      <c r="C331" s="1" t="n">
        <v>45901</v>
      </c>
      <c r="D331" t="inlineStr">
        <is>
          <t>DALARNAS LÄN</t>
        </is>
      </c>
      <c r="E331" t="inlineStr">
        <is>
          <t>MORA</t>
        </is>
      </c>
      <c r="G331" t="n">
        <v>6.8</v>
      </c>
      <c r="H331" t="n">
        <v>0</v>
      </c>
      <c r="I331" t="n">
        <v>0</v>
      </c>
      <c r="J331" t="n">
        <v>0</v>
      </c>
      <c r="K331" t="n">
        <v>0</v>
      </c>
      <c r="L331" t="n">
        <v>0</v>
      </c>
      <c r="M331" t="n">
        <v>0</v>
      </c>
      <c r="N331" t="n">
        <v>0</v>
      </c>
      <c r="O331" t="n">
        <v>0</v>
      </c>
      <c r="P331" t="n">
        <v>0</v>
      </c>
      <c r="Q331" t="n">
        <v>0</v>
      </c>
      <c r="R331" s="2" t="inlineStr"/>
    </row>
    <row r="332" ht="15" customHeight="1">
      <c r="A332" t="inlineStr">
        <is>
          <t>A 42035-2022</t>
        </is>
      </c>
      <c r="B332" s="1" t="n">
        <v>44830</v>
      </c>
      <c r="C332" s="1" t="n">
        <v>45901</v>
      </c>
      <c r="D332" t="inlineStr">
        <is>
          <t>DALARNAS LÄN</t>
        </is>
      </c>
      <c r="E332" t="inlineStr">
        <is>
          <t>MORA</t>
        </is>
      </c>
      <c r="G332" t="n">
        <v>2.7</v>
      </c>
      <c r="H332" t="n">
        <v>0</v>
      </c>
      <c r="I332" t="n">
        <v>0</v>
      </c>
      <c r="J332" t="n">
        <v>0</v>
      </c>
      <c r="K332" t="n">
        <v>0</v>
      </c>
      <c r="L332" t="n">
        <v>0</v>
      </c>
      <c r="M332" t="n">
        <v>0</v>
      </c>
      <c r="N332" t="n">
        <v>0</v>
      </c>
      <c r="O332" t="n">
        <v>0</v>
      </c>
      <c r="P332" t="n">
        <v>0</v>
      </c>
      <c r="Q332" t="n">
        <v>0</v>
      </c>
      <c r="R332" s="2" t="inlineStr"/>
    </row>
    <row r="333" ht="15" customHeight="1">
      <c r="A333" t="inlineStr">
        <is>
          <t>A 27642-2025</t>
        </is>
      </c>
      <c r="B333" s="1" t="n">
        <v>45813.59405092592</v>
      </c>
      <c r="C333" s="1" t="n">
        <v>45901</v>
      </c>
      <c r="D333" t="inlineStr">
        <is>
          <t>DALARNAS LÄN</t>
        </is>
      </c>
      <c r="E333" t="inlineStr">
        <is>
          <t>MORA</t>
        </is>
      </c>
      <c r="G333" t="n">
        <v>2.5</v>
      </c>
      <c r="H333" t="n">
        <v>0</v>
      </c>
      <c r="I333" t="n">
        <v>0</v>
      </c>
      <c r="J333" t="n">
        <v>0</v>
      </c>
      <c r="K333" t="n">
        <v>0</v>
      </c>
      <c r="L333" t="n">
        <v>0</v>
      </c>
      <c r="M333" t="n">
        <v>0</v>
      </c>
      <c r="N333" t="n">
        <v>0</v>
      </c>
      <c r="O333" t="n">
        <v>0</v>
      </c>
      <c r="P333" t="n">
        <v>0</v>
      </c>
      <c r="Q333" t="n">
        <v>0</v>
      </c>
      <c r="R333" s="2" t="inlineStr"/>
    </row>
    <row r="334" ht="15" customHeight="1">
      <c r="A334" t="inlineStr">
        <is>
          <t>A 28033-2025</t>
        </is>
      </c>
      <c r="B334" s="1" t="n">
        <v>45817.6325462963</v>
      </c>
      <c r="C334" s="1" t="n">
        <v>45901</v>
      </c>
      <c r="D334" t="inlineStr">
        <is>
          <t>DALARNAS LÄN</t>
        </is>
      </c>
      <c r="E334" t="inlineStr">
        <is>
          <t>MORA</t>
        </is>
      </c>
      <c r="F334" t="inlineStr">
        <is>
          <t>Bergvik skog öst AB</t>
        </is>
      </c>
      <c r="G334" t="n">
        <v>12.8</v>
      </c>
      <c r="H334" t="n">
        <v>0</v>
      </c>
      <c r="I334" t="n">
        <v>0</v>
      </c>
      <c r="J334" t="n">
        <v>0</v>
      </c>
      <c r="K334" t="n">
        <v>0</v>
      </c>
      <c r="L334" t="n">
        <v>0</v>
      </c>
      <c r="M334" t="n">
        <v>0</v>
      </c>
      <c r="N334" t="n">
        <v>0</v>
      </c>
      <c r="O334" t="n">
        <v>0</v>
      </c>
      <c r="P334" t="n">
        <v>0</v>
      </c>
      <c r="Q334" t="n">
        <v>0</v>
      </c>
      <c r="R334" s="2" t="inlineStr"/>
    </row>
    <row r="335" ht="15" customHeight="1">
      <c r="A335" t="inlineStr">
        <is>
          <t>A 5980-2025</t>
        </is>
      </c>
      <c r="B335" s="1" t="n">
        <v>45695.54651620371</v>
      </c>
      <c r="C335" s="1" t="n">
        <v>45901</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35734-2025</t>
        </is>
      </c>
      <c r="B336" s="1" t="n">
        <v>45860.471875</v>
      </c>
      <c r="C336" s="1" t="n">
        <v>45901</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9599-2022</t>
        </is>
      </c>
      <c r="B337" s="1" t="n">
        <v>44617.48909722222</v>
      </c>
      <c r="C337" s="1" t="n">
        <v>45901</v>
      </c>
      <c r="D337" t="inlineStr">
        <is>
          <t>DALARNAS LÄN</t>
        </is>
      </c>
      <c r="E337" t="inlineStr">
        <is>
          <t>MORA</t>
        </is>
      </c>
      <c r="G337" t="n">
        <v>2.1</v>
      </c>
      <c r="H337" t="n">
        <v>0</v>
      </c>
      <c r="I337" t="n">
        <v>0</v>
      </c>
      <c r="J337" t="n">
        <v>0</v>
      </c>
      <c r="K337" t="n">
        <v>0</v>
      </c>
      <c r="L337" t="n">
        <v>0</v>
      </c>
      <c r="M337" t="n">
        <v>0</v>
      </c>
      <c r="N337" t="n">
        <v>0</v>
      </c>
      <c r="O337" t="n">
        <v>0</v>
      </c>
      <c r="P337" t="n">
        <v>0</v>
      </c>
      <c r="Q337" t="n">
        <v>0</v>
      </c>
      <c r="R337" s="2" t="inlineStr"/>
    </row>
    <row r="338" ht="15" customHeight="1">
      <c r="A338" t="inlineStr">
        <is>
          <t>A 51883-2024</t>
        </is>
      </c>
      <c r="B338" s="1" t="n">
        <v>45607</v>
      </c>
      <c r="C338" s="1" t="n">
        <v>45901</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51888-2024</t>
        </is>
      </c>
      <c r="B339" s="1" t="n">
        <v>45607.57142361111</v>
      </c>
      <c r="C339" s="1" t="n">
        <v>45901</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34660-2021</t>
        </is>
      </c>
      <c r="B340" s="1" t="n">
        <v>44382.57981481482</v>
      </c>
      <c r="C340" s="1" t="n">
        <v>45901</v>
      </c>
      <c r="D340" t="inlineStr">
        <is>
          <t>DALARNAS LÄN</t>
        </is>
      </c>
      <c r="E340" t="inlineStr">
        <is>
          <t>MORA</t>
        </is>
      </c>
      <c r="G340" t="n">
        <v>7.5</v>
      </c>
      <c r="H340" t="n">
        <v>0</v>
      </c>
      <c r="I340" t="n">
        <v>0</v>
      </c>
      <c r="J340" t="n">
        <v>0</v>
      </c>
      <c r="K340" t="n">
        <v>0</v>
      </c>
      <c r="L340" t="n">
        <v>0</v>
      </c>
      <c r="M340" t="n">
        <v>0</v>
      </c>
      <c r="N340" t="n">
        <v>0</v>
      </c>
      <c r="O340" t="n">
        <v>0</v>
      </c>
      <c r="P340" t="n">
        <v>0</v>
      </c>
      <c r="Q340" t="n">
        <v>0</v>
      </c>
      <c r="R340" s="2" t="inlineStr"/>
    </row>
    <row r="341" ht="15" customHeight="1">
      <c r="A341" t="inlineStr">
        <is>
          <t>A 2308-2023</t>
        </is>
      </c>
      <c r="B341" s="1" t="n">
        <v>44942.57987268519</v>
      </c>
      <c r="C341" s="1" t="n">
        <v>45901</v>
      </c>
      <c r="D341" t="inlineStr">
        <is>
          <t>DALARNAS LÄN</t>
        </is>
      </c>
      <c r="E341" t="inlineStr">
        <is>
          <t>MORA</t>
        </is>
      </c>
      <c r="G341" t="n">
        <v>2.2</v>
      </c>
      <c r="H341" t="n">
        <v>0</v>
      </c>
      <c r="I341" t="n">
        <v>0</v>
      </c>
      <c r="J341" t="n">
        <v>0</v>
      </c>
      <c r="K341" t="n">
        <v>0</v>
      </c>
      <c r="L341" t="n">
        <v>0</v>
      </c>
      <c r="M341" t="n">
        <v>0</v>
      </c>
      <c r="N341" t="n">
        <v>0</v>
      </c>
      <c r="O341" t="n">
        <v>0</v>
      </c>
      <c r="P341" t="n">
        <v>0</v>
      </c>
      <c r="Q341" t="n">
        <v>0</v>
      </c>
      <c r="R341" s="2" t="inlineStr"/>
    </row>
    <row r="342" ht="15" customHeight="1">
      <c r="A342" t="inlineStr">
        <is>
          <t>A 35611-2025</t>
        </is>
      </c>
      <c r="B342" s="1" t="n">
        <v>45859.35384259259</v>
      </c>
      <c r="C342" s="1" t="n">
        <v>45901</v>
      </c>
      <c r="D342" t="inlineStr">
        <is>
          <t>DALARNAS LÄN</t>
        </is>
      </c>
      <c r="E342" t="inlineStr">
        <is>
          <t>MORA</t>
        </is>
      </c>
      <c r="G342" t="n">
        <v>2.5</v>
      </c>
      <c r="H342" t="n">
        <v>0</v>
      </c>
      <c r="I342" t="n">
        <v>0</v>
      </c>
      <c r="J342" t="n">
        <v>0</v>
      </c>
      <c r="K342" t="n">
        <v>0</v>
      </c>
      <c r="L342" t="n">
        <v>0</v>
      </c>
      <c r="M342" t="n">
        <v>0</v>
      </c>
      <c r="N342" t="n">
        <v>0</v>
      </c>
      <c r="O342" t="n">
        <v>0</v>
      </c>
      <c r="P342" t="n">
        <v>0</v>
      </c>
      <c r="Q342" t="n">
        <v>0</v>
      </c>
      <c r="R342" s="2" t="inlineStr"/>
    </row>
    <row r="343" ht="15" customHeight="1">
      <c r="A343" t="inlineStr">
        <is>
          <t>A 56012-2023</t>
        </is>
      </c>
      <c r="B343" s="1" t="n">
        <v>45240</v>
      </c>
      <c r="C343" s="1" t="n">
        <v>45901</v>
      </c>
      <c r="D343" t="inlineStr">
        <is>
          <t>DALARNAS LÄN</t>
        </is>
      </c>
      <c r="E343" t="inlineStr">
        <is>
          <t>MORA</t>
        </is>
      </c>
      <c r="G343" t="n">
        <v>0.3</v>
      </c>
      <c r="H343" t="n">
        <v>0</v>
      </c>
      <c r="I343" t="n">
        <v>0</v>
      </c>
      <c r="J343" t="n">
        <v>0</v>
      </c>
      <c r="K343" t="n">
        <v>0</v>
      </c>
      <c r="L343" t="n">
        <v>0</v>
      </c>
      <c r="M343" t="n">
        <v>0</v>
      </c>
      <c r="N343" t="n">
        <v>0</v>
      </c>
      <c r="O343" t="n">
        <v>0</v>
      </c>
      <c r="P343" t="n">
        <v>0</v>
      </c>
      <c r="Q343" t="n">
        <v>0</v>
      </c>
      <c r="R343" s="2" t="inlineStr"/>
    </row>
    <row r="344" ht="15" customHeight="1">
      <c r="A344" t="inlineStr">
        <is>
          <t>A 28751-2025</t>
        </is>
      </c>
      <c r="B344" s="1" t="n">
        <v>45820.40034722222</v>
      </c>
      <c r="C344" s="1" t="n">
        <v>45901</v>
      </c>
      <c r="D344" t="inlineStr">
        <is>
          <t>DALARNAS LÄN</t>
        </is>
      </c>
      <c r="E344" t="inlineStr">
        <is>
          <t>MORA</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28925-2025</t>
        </is>
      </c>
      <c r="B345" s="1" t="n">
        <v>45820.67107638889</v>
      </c>
      <c r="C345" s="1" t="n">
        <v>45901</v>
      </c>
      <c r="D345" t="inlineStr">
        <is>
          <t>DALARNAS LÄN</t>
        </is>
      </c>
      <c r="E345" t="inlineStr">
        <is>
          <t>MORA</t>
        </is>
      </c>
      <c r="G345" t="n">
        <v>3.7</v>
      </c>
      <c r="H345" t="n">
        <v>0</v>
      </c>
      <c r="I345" t="n">
        <v>0</v>
      </c>
      <c r="J345" t="n">
        <v>0</v>
      </c>
      <c r="K345" t="n">
        <v>0</v>
      </c>
      <c r="L345" t="n">
        <v>0</v>
      </c>
      <c r="M345" t="n">
        <v>0</v>
      </c>
      <c r="N345" t="n">
        <v>0</v>
      </c>
      <c r="O345" t="n">
        <v>0</v>
      </c>
      <c r="P345" t="n">
        <v>0</v>
      </c>
      <c r="Q345" t="n">
        <v>0</v>
      </c>
      <c r="R345" s="2" t="inlineStr"/>
    </row>
    <row r="346" ht="15" customHeight="1">
      <c r="A346" t="inlineStr">
        <is>
          <t>A 28927-2025</t>
        </is>
      </c>
      <c r="B346" s="1" t="n">
        <v>45820.67221064815</v>
      </c>
      <c r="C346" s="1" t="n">
        <v>45901</v>
      </c>
      <c r="D346" t="inlineStr">
        <is>
          <t>DALARNAS LÄN</t>
        </is>
      </c>
      <c r="E346" t="inlineStr">
        <is>
          <t>MORA</t>
        </is>
      </c>
      <c r="G346" t="n">
        <v>0.4</v>
      </c>
      <c r="H346" t="n">
        <v>0</v>
      </c>
      <c r="I346" t="n">
        <v>0</v>
      </c>
      <c r="J346" t="n">
        <v>0</v>
      </c>
      <c r="K346" t="n">
        <v>0</v>
      </c>
      <c r="L346" t="n">
        <v>0</v>
      </c>
      <c r="M346" t="n">
        <v>0</v>
      </c>
      <c r="N346" t="n">
        <v>0</v>
      </c>
      <c r="O346" t="n">
        <v>0</v>
      </c>
      <c r="P346" t="n">
        <v>0</v>
      </c>
      <c r="Q346" t="n">
        <v>0</v>
      </c>
      <c r="R346" s="2" t="inlineStr"/>
    </row>
    <row r="347" ht="15" customHeight="1">
      <c r="A347" t="inlineStr">
        <is>
          <t>A 28924-2025</t>
        </is>
      </c>
      <c r="B347" s="1" t="n">
        <v>45820.66846064815</v>
      </c>
      <c r="C347" s="1" t="n">
        <v>45901</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38627-2023</t>
        </is>
      </c>
      <c r="B348" s="1" t="n">
        <v>45162.68787037037</v>
      </c>
      <c r="C348" s="1" t="n">
        <v>45901</v>
      </c>
      <c r="D348" t="inlineStr">
        <is>
          <t>DALARNAS LÄN</t>
        </is>
      </c>
      <c r="E348" t="inlineStr">
        <is>
          <t>MORA</t>
        </is>
      </c>
      <c r="G348" t="n">
        <v>6.5</v>
      </c>
      <c r="H348" t="n">
        <v>0</v>
      </c>
      <c r="I348" t="n">
        <v>0</v>
      </c>
      <c r="J348" t="n">
        <v>0</v>
      </c>
      <c r="K348" t="n">
        <v>0</v>
      </c>
      <c r="L348" t="n">
        <v>0</v>
      </c>
      <c r="M348" t="n">
        <v>0</v>
      </c>
      <c r="N348" t="n">
        <v>0</v>
      </c>
      <c r="O348" t="n">
        <v>0</v>
      </c>
      <c r="P348" t="n">
        <v>0</v>
      </c>
      <c r="Q348" t="n">
        <v>0</v>
      </c>
      <c r="R348" s="2" t="inlineStr"/>
    </row>
    <row r="349" ht="15" customHeight="1">
      <c r="A349" t="inlineStr">
        <is>
          <t>A 16637-2025</t>
        </is>
      </c>
      <c r="B349" s="1" t="n">
        <v>45754.36738425926</v>
      </c>
      <c r="C349" s="1" t="n">
        <v>45901</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25345-2025</t>
        </is>
      </c>
      <c r="B350" s="1" t="n">
        <v>45799</v>
      </c>
      <c r="C350" s="1" t="n">
        <v>45901</v>
      </c>
      <c r="D350" t="inlineStr">
        <is>
          <t>DALARNAS LÄN</t>
        </is>
      </c>
      <c r="E350" t="inlineStr">
        <is>
          <t>MORA</t>
        </is>
      </c>
      <c r="G350" t="n">
        <v>3.1</v>
      </c>
      <c r="H350" t="n">
        <v>0</v>
      </c>
      <c r="I350" t="n">
        <v>0</v>
      </c>
      <c r="J350" t="n">
        <v>0</v>
      </c>
      <c r="K350" t="n">
        <v>0</v>
      </c>
      <c r="L350" t="n">
        <v>0</v>
      </c>
      <c r="M350" t="n">
        <v>0</v>
      </c>
      <c r="N350" t="n">
        <v>0</v>
      </c>
      <c r="O350" t="n">
        <v>0</v>
      </c>
      <c r="P350" t="n">
        <v>0</v>
      </c>
      <c r="Q350" t="n">
        <v>0</v>
      </c>
      <c r="R350" s="2" t="inlineStr"/>
    </row>
    <row r="351" ht="15" customHeight="1">
      <c r="A351" t="inlineStr">
        <is>
          <t>A 48570-2022</t>
        </is>
      </c>
      <c r="B351" s="1" t="n">
        <v>44859</v>
      </c>
      <c r="C351" s="1" t="n">
        <v>45901</v>
      </c>
      <c r="D351" t="inlineStr">
        <is>
          <t>DALARNAS LÄN</t>
        </is>
      </c>
      <c r="E351" t="inlineStr">
        <is>
          <t>MORA</t>
        </is>
      </c>
      <c r="G351" t="n">
        <v>6.2</v>
      </c>
      <c r="H351" t="n">
        <v>0</v>
      </c>
      <c r="I351" t="n">
        <v>0</v>
      </c>
      <c r="J351" t="n">
        <v>0</v>
      </c>
      <c r="K351" t="n">
        <v>0</v>
      </c>
      <c r="L351" t="n">
        <v>0</v>
      </c>
      <c r="M351" t="n">
        <v>0</v>
      </c>
      <c r="N351" t="n">
        <v>0</v>
      </c>
      <c r="O351" t="n">
        <v>0</v>
      </c>
      <c r="P351" t="n">
        <v>0</v>
      </c>
      <c r="Q351" t="n">
        <v>0</v>
      </c>
      <c r="R351" s="2" t="inlineStr"/>
    </row>
    <row r="352" ht="15" customHeight="1">
      <c r="A352" t="inlineStr">
        <is>
          <t>A 49991-2023</t>
        </is>
      </c>
      <c r="B352" s="1" t="n">
        <v>45215.43879629629</v>
      </c>
      <c r="C352" s="1" t="n">
        <v>45901</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62268-2020</t>
        </is>
      </c>
      <c r="B353" s="1" t="n">
        <v>44160</v>
      </c>
      <c r="C353" s="1" t="n">
        <v>45901</v>
      </c>
      <c r="D353" t="inlineStr">
        <is>
          <t>DALARNAS LÄN</t>
        </is>
      </c>
      <c r="E353" t="inlineStr">
        <is>
          <t>MORA</t>
        </is>
      </c>
      <c r="F353" t="inlineStr">
        <is>
          <t>Bergvik skog väst AB</t>
        </is>
      </c>
      <c r="G353" t="n">
        <v>3.5</v>
      </c>
      <c r="H353" t="n">
        <v>0</v>
      </c>
      <c r="I353" t="n">
        <v>0</v>
      </c>
      <c r="J353" t="n">
        <v>0</v>
      </c>
      <c r="K353" t="n">
        <v>0</v>
      </c>
      <c r="L353" t="n">
        <v>0</v>
      </c>
      <c r="M353" t="n">
        <v>0</v>
      </c>
      <c r="N353" t="n">
        <v>0</v>
      </c>
      <c r="O353" t="n">
        <v>0</v>
      </c>
      <c r="P353" t="n">
        <v>0</v>
      </c>
      <c r="Q353" t="n">
        <v>0</v>
      </c>
      <c r="R353" s="2" t="inlineStr"/>
    </row>
    <row r="354" ht="15" customHeight="1">
      <c r="A354" t="inlineStr">
        <is>
          <t>A 40325-2024</t>
        </is>
      </c>
      <c r="B354" s="1" t="n">
        <v>45554.88538194444</v>
      </c>
      <c r="C354" s="1" t="n">
        <v>45901</v>
      </c>
      <c r="D354" t="inlineStr">
        <is>
          <t>DALARNAS LÄN</t>
        </is>
      </c>
      <c r="E354" t="inlineStr">
        <is>
          <t>MORA</t>
        </is>
      </c>
      <c r="G354" t="n">
        <v>2.8</v>
      </c>
      <c r="H354" t="n">
        <v>0</v>
      </c>
      <c r="I354" t="n">
        <v>0</v>
      </c>
      <c r="J354" t="n">
        <v>0</v>
      </c>
      <c r="K354" t="n">
        <v>0</v>
      </c>
      <c r="L354" t="n">
        <v>0</v>
      </c>
      <c r="M354" t="n">
        <v>0</v>
      </c>
      <c r="N354" t="n">
        <v>0</v>
      </c>
      <c r="O354" t="n">
        <v>0</v>
      </c>
      <c r="P354" t="n">
        <v>0</v>
      </c>
      <c r="Q354" t="n">
        <v>0</v>
      </c>
      <c r="R354" s="2" t="inlineStr"/>
    </row>
    <row r="355" ht="15" customHeight="1">
      <c r="A355" t="inlineStr">
        <is>
          <t>A 29425-2025</t>
        </is>
      </c>
      <c r="B355" s="1" t="n">
        <v>45824.64524305556</v>
      </c>
      <c r="C355" s="1" t="n">
        <v>45901</v>
      </c>
      <c r="D355" t="inlineStr">
        <is>
          <t>DALARNAS LÄN</t>
        </is>
      </c>
      <c r="E355" t="inlineStr">
        <is>
          <t>MORA</t>
        </is>
      </c>
      <c r="G355" t="n">
        <v>4.4</v>
      </c>
      <c r="H355" t="n">
        <v>0</v>
      </c>
      <c r="I355" t="n">
        <v>0</v>
      </c>
      <c r="J355" t="n">
        <v>0</v>
      </c>
      <c r="K355" t="n">
        <v>0</v>
      </c>
      <c r="L355" t="n">
        <v>0</v>
      </c>
      <c r="M355" t="n">
        <v>0</v>
      </c>
      <c r="N355" t="n">
        <v>0</v>
      </c>
      <c r="O355" t="n">
        <v>0</v>
      </c>
      <c r="P355" t="n">
        <v>0</v>
      </c>
      <c r="Q355" t="n">
        <v>0</v>
      </c>
      <c r="R355" s="2" t="inlineStr"/>
    </row>
    <row r="356" ht="15" customHeight="1">
      <c r="A356" t="inlineStr">
        <is>
          <t>A 28976-2025</t>
        </is>
      </c>
      <c r="B356" s="1" t="n">
        <v>45821.34855324074</v>
      </c>
      <c r="C356" s="1" t="n">
        <v>45901</v>
      </c>
      <c r="D356" t="inlineStr">
        <is>
          <t>DALARNAS LÄN</t>
        </is>
      </c>
      <c r="E356" t="inlineStr">
        <is>
          <t>MORA</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24335-2022</t>
        </is>
      </c>
      <c r="B357" s="1" t="n">
        <v>44725</v>
      </c>
      <c r="C357" s="1" t="n">
        <v>45901</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29440-2025</t>
        </is>
      </c>
      <c r="B358" s="1" t="n">
        <v>45824.65862268519</v>
      </c>
      <c r="C358" s="1" t="n">
        <v>45901</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29068-2025</t>
        </is>
      </c>
      <c r="B359" s="1" t="n">
        <v>45821.50900462963</v>
      </c>
      <c r="C359" s="1" t="n">
        <v>45901</v>
      </c>
      <c r="D359" t="inlineStr">
        <is>
          <t>DALARNAS LÄN</t>
        </is>
      </c>
      <c r="E359" t="inlineStr">
        <is>
          <t>MORA</t>
        </is>
      </c>
      <c r="G359" t="n">
        <v>1.2</v>
      </c>
      <c r="H359" t="n">
        <v>0</v>
      </c>
      <c r="I359" t="n">
        <v>0</v>
      </c>
      <c r="J359" t="n">
        <v>0</v>
      </c>
      <c r="K359" t="n">
        <v>0</v>
      </c>
      <c r="L359" t="n">
        <v>0</v>
      </c>
      <c r="M359" t="n">
        <v>0</v>
      </c>
      <c r="N359" t="n">
        <v>0</v>
      </c>
      <c r="O359" t="n">
        <v>0</v>
      </c>
      <c r="P359" t="n">
        <v>0</v>
      </c>
      <c r="Q359" t="n">
        <v>0</v>
      </c>
      <c r="R359" s="2" t="inlineStr"/>
    </row>
    <row r="360" ht="15" customHeight="1">
      <c r="A360" t="inlineStr">
        <is>
          <t>A 36041-2025</t>
        </is>
      </c>
      <c r="B360" s="1" t="n">
        <v>45866.34385416667</v>
      </c>
      <c r="C360" s="1" t="n">
        <v>45901</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20401-2022</t>
        </is>
      </c>
      <c r="B361" s="1" t="n">
        <v>44699</v>
      </c>
      <c r="C361" s="1" t="n">
        <v>45901</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18120-2025</t>
        </is>
      </c>
      <c r="B362" s="1" t="n">
        <v>45761</v>
      </c>
      <c r="C362" s="1" t="n">
        <v>45901</v>
      </c>
      <c r="D362" t="inlineStr">
        <is>
          <t>DALARNAS LÄN</t>
        </is>
      </c>
      <c r="E362" t="inlineStr">
        <is>
          <t>MORA</t>
        </is>
      </c>
      <c r="F362" t="inlineStr">
        <is>
          <t>Bergvik skog väst AB</t>
        </is>
      </c>
      <c r="G362" t="n">
        <v>6.4</v>
      </c>
      <c r="H362" t="n">
        <v>0</v>
      </c>
      <c r="I362" t="n">
        <v>0</v>
      </c>
      <c r="J362" t="n">
        <v>0</v>
      </c>
      <c r="K362" t="n">
        <v>0</v>
      </c>
      <c r="L362" t="n">
        <v>0</v>
      </c>
      <c r="M362" t="n">
        <v>0</v>
      </c>
      <c r="N362" t="n">
        <v>0</v>
      </c>
      <c r="O362" t="n">
        <v>0</v>
      </c>
      <c r="P362" t="n">
        <v>0</v>
      </c>
      <c r="Q362" t="n">
        <v>0</v>
      </c>
      <c r="R362" s="2" t="inlineStr"/>
    </row>
    <row r="363" ht="15" customHeight="1">
      <c r="A363" t="inlineStr">
        <is>
          <t>A 18127-2025</t>
        </is>
      </c>
      <c r="B363" s="1" t="n">
        <v>45761.59523148148</v>
      </c>
      <c r="C363" s="1" t="n">
        <v>45901</v>
      </c>
      <c r="D363" t="inlineStr">
        <is>
          <t>DALARNAS LÄN</t>
        </is>
      </c>
      <c r="E363" t="inlineStr">
        <is>
          <t>MORA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25887-2023</t>
        </is>
      </c>
      <c r="B364" s="1" t="n">
        <v>45090.62493055555</v>
      </c>
      <c r="C364" s="1" t="n">
        <v>45901</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29870-2025</t>
        </is>
      </c>
      <c r="B365" s="1" t="n">
        <v>45826.35716435185</v>
      </c>
      <c r="C365" s="1" t="n">
        <v>45901</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29873-2025</t>
        </is>
      </c>
      <c r="B366" s="1" t="n">
        <v>45826</v>
      </c>
      <c r="C366" s="1" t="n">
        <v>45901</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15440-2024</t>
        </is>
      </c>
      <c r="B367" s="1" t="n">
        <v>45401.4194212963</v>
      </c>
      <c r="C367" s="1" t="n">
        <v>45901</v>
      </c>
      <c r="D367" t="inlineStr">
        <is>
          <t>DALARNAS LÄN</t>
        </is>
      </c>
      <c r="E367" t="inlineStr">
        <is>
          <t>MORA</t>
        </is>
      </c>
      <c r="G367" t="n">
        <v>1.1</v>
      </c>
      <c r="H367" t="n">
        <v>0</v>
      </c>
      <c r="I367" t="n">
        <v>0</v>
      </c>
      <c r="J367" t="n">
        <v>0</v>
      </c>
      <c r="K367" t="n">
        <v>0</v>
      </c>
      <c r="L367" t="n">
        <v>0</v>
      </c>
      <c r="M367" t="n">
        <v>0</v>
      </c>
      <c r="N367" t="n">
        <v>0</v>
      </c>
      <c r="O367" t="n">
        <v>0</v>
      </c>
      <c r="P367" t="n">
        <v>0</v>
      </c>
      <c r="Q367" t="n">
        <v>0</v>
      </c>
      <c r="R367" s="2" t="inlineStr"/>
    </row>
    <row r="368" ht="15" customHeight="1">
      <c r="A368" t="inlineStr">
        <is>
          <t>A 20544-2025</t>
        </is>
      </c>
      <c r="B368" s="1" t="n">
        <v>45775.63119212963</v>
      </c>
      <c r="C368" s="1" t="n">
        <v>45901</v>
      </c>
      <c r="D368" t="inlineStr">
        <is>
          <t>DALARNAS LÄN</t>
        </is>
      </c>
      <c r="E368" t="inlineStr">
        <is>
          <t>MORA</t>
        </is>
      </c>
      <c r="G368" t="n">
        <v>3.6</v>
      </c>
      <c r="H368" t="n">
        <v>0</v>
      </c>
      <c r="I368" t="n">
        <v>0</v>
      </c>
      <c r="J368" t="n">
        <v>0</v>
      </c>
      <c r="K368" t="n">
        <v>0</v>
      </c>
      <c r="L368" t="n">
        <v>0</v>
      </c>
      <c r="M368" t="n">
        <v>0</v>
      </c>
      <c r="N368" t="n">
        <v>0</v>
      </c>
      <c r="O368" t="n">
        <v>0</v>
      </c>
      <c r="P368" t="n">
        <v>0</v>
      </c>
      <c r="Q368" t="n">
        <v>0</v>
      </c>
      <c r="R368" s="2" t="inlineStr"/>
    </row>
    <row r="369" ht="15" customHeight="1">
      <c r="A369" t="inlineStr">
        <is>
          <t>A 11857-2023</t>
        </is>
      </c>
      <c r="B369" s="1" t="n">
        <v>44995</v>
      </c>
      <c r="C369" s="1" t="n">
        <v>45901</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36179-2025</t>
        </is>
      </c>
      <c r="B370" s="1" t="n">
        <v>45867</v>
      </c>
      <c r="C370" s="1" t="n">
        <v>45901</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20889-2024</t>
        </is>
      </c>
      <c r="B371" s="1" t="n">
        <v>45439.46340277778</v>
      </c>
      <c r="C371" s="1" t="n">
        <v>45901</v>
      </c>
      <c r="D371" t="inlineStr">
        <is>
          <t>DALARNAS LÄN</t>
        </is>
      </c>
      <c r="E371" t="inlineStr">
        <is>
          <t>MORA</t>
        </is>
      </c>
      <c r="G371" t="n">
        <v>3.8</v>
      </c>
      <c r="H371" t="n">
        <v>0</v>
      </c>
      <c r="I371" t="n">
        <v>0</v>
      </c>
      <c r="J371" t="n">
        <v>0</v>
      </c>
      <c r="K371" t="n">
        <v>0</v>
      </c>
      <c r="L371" t="n">
        <v>0</v>
      </c>
      <c r="M371" t="n">
        <v>0</v>
      </c>
      <c r="N371" t="n">
        <v>0</v>
      </c>
      <c r="O371" t="n">
        <v>0</v>
      </c>
      <c r="P371" t="n">
        <v>0</v>
      </c>
      <c r="Q371" t="n">
        <v>0</v>
      </c>
      <c r="R371" s="2" t="inlineStr"/>
    </row>
    <row r="372" ht="15" customHeight="1">
      <c r="A372" t="inlineStr">
        <is>
          <t>A 15818-2024</t>
        </is>
      </c>
      <c r="B372" s="1" t="n">
        <v>45404.67442129629</v>
      </c>
      <c r="C372" s="1" t="n">
        <v>45901</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45674-2024</t>
        </is>
      </c>
      <c r="B373" s="1" t="n">
        <v>45573</v>
      </c>
      <c r="C373" s="1" t="n">
        <v>45901</v>
      </c>
      <c r="D373" t="inlineStr">
        <is>
          <t>DALARNAS LÄN</t>
        </is>
      </c>
      <c r="E373" t="inlineStr">
        <is>
          <t>MORA</t>
        </is>
      </c>
      <c r="G373" t="n">
        <v>3.2</v>
      </c>
      <c r="H373" t="n">
        <v>0</v>
      </c>
      <c r="I373" t="n">
        <v>0</v>
      </c>
      <c r="J373" t="n">
        <v>0</v>
      </c>
      <c r="K373" t="n">
        <v>0</v>
      </c>
      <c r="L373" t="n">
        <v>0</v>
      </c>
      <c r="M373" t="n">
        <v>0</v>
      </c>
      <c r="N373" t="n">
        <v>0</v>
      </c>
      <c r="O373" t="n">
        <v>0</v>
      </c>
      <c r="P373" t="n">
        <v>0</v>
      </c>
      <c r="Q373" t="n">
        <v>0</v>
      </c>
      <c r="R373" s="2" t="inlineStr"/>
    </row>
    <row r="374" ht="15" customHeight="1">
      <c r="A374" t="inlineStr">
        <is>
          <t>A 29528-2025</t>
        </is>
      </c>
      <c r="B374" s="1" t="n">
        <v>45825.34322916667</v>
      </c>
      <c r="C374" s="1" t="n">
        <v>45901</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45390-2024</t>
        </is>
      </c>
      <c r="B375" s="1" t="n">
        <v>45576.54820601852</v>
      </c>
      <c r="C375" s="1" t="n">
        <v>45901</v>
      </c>
      <c r="D375" t="inlineStr">
        <is>
          <t>DALARNAS LÄN</t>
        </is>
      </c>
      <c r="E375" t="inlineStr">
        <is>
          <t>MORA</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36740-2023</t>
        </is>
      </c>
      <c r="B376" s="1" t="n">
        <v>45153</v>
      </c>
      <c r="C376" s="1" t="n">
        <v>45901</v>
      </c>
      <c r="D376" t="inlineStr">
        <is>
          <t>DALARNAS LÄN</t>
        </is>
      </c>
      <c r="E376" t="inlineStr">
        <is>
          <t>MORA</t>
        </is>
      </c>
      <c r="G376" t="n">
        <v>0.2</v>
      </c>
      <c r="H376" t="n">
        <v>0</v>
      </c>
      <c r="I376" t="n">
        <v>0</v>
      </c>
      <c r="J376" t="n">
        <v>0</v>
      </c>
      <c r="K376" t="n">
        <v>0</v>
      </c>
      <c r="L376" t="n">
        <v>0</v>
      </c>
      <c r="M376" t="n">
        <v>0</v>
      </c>
      <c r="N376" t="n">
        <v>0</v>
      </c>
      <c r="O376" t="n">
        <v>0</v>
      </c>
      <c r="P376" t="n">
        <v>0</v>
      </c>
      <c r="Q376" t="n">
        <v>0</v>
      </c>
      <c r="R376" s="2" t="inlineStr"/>
    </row>
    <row r="377" ht="15" customHeight="1">
      <c r="A377" t="inlineStr">
        <is>
          <t>A 16961-2025</t>
        </is>
      </c>
      <c r="B377" s="1" t="n">
        <v>45755.45269675926</v>
      </c>
      <c r="C377" s="1" t="n">
        <v>45901</v>
      </c>
      <c r="D377" t="inlineStr">
        <is>
          <t>DALARNAS LÄN</t>
        </is>
      </c>
      <c r="E377" t="inlineStr">
        <is>
          <t>MORA</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30087-2025</t>
        </is>
      </c>
      <c r="B378" s="1" t="n">
        <v>45826.6575</v>
      </c>
      <c r="C378" s="1" t="n">
        <v>45901</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44694.62913194444</v>
      </c>
      <c r="C379" s="1" t="n">
        <v>45901</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48342-2023</t>
        </is>
      </c>
      <c r="B380" s="1" t="n">
        <v>45205</v>
      </c>
      <c r="C380" s="1" t="n">
        <v>45901</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5216-2025</t>
        </is>
      </c>
      <c r="B381" s="1" t="n">
        <v>45691.69671296296</v>
      </c>
      <c r="C381" s="1" t="n">
        <v>45901</v>
      </c>
      <c r="D381" t="inlineStr">
        <is>
          <t>DALARNAS LÄN</t>
        </is>
      </c>
      <c r="E381" t="inlineStr">
        <is>
          <t>MORA</t>
        </is>
      </c>
      <c r="G381" t="n">
        <v>2.5</v>
      </c>
      <c r="H381" t="n">
        <v>0</v>
      </c>
      <c r="I381" t="n">
        <v>0</v>
      </c>
      <c r="J381" t="n">
        <v>0</v>
      </c>
      <c r="K381" t="n">
        <v>0</v>
      </c>
      <c r="L381" t="n">
        <v>0</v>
      </c>
      <c r="M381" t="n">
        <v>0</v>
      </c>
      <c r="N381" t="n">
        <v>0</v>
      </c>
      <c r="O381" t="n">
        <v>0</v>
      </c>
      <c r="P381" t="n">
        <v>0</v>
      </c>
      <c r="Q381" t="n">
        <v>0</v>
      </c>
      <c r="R381" s="2" t="inlineStr"/>
    </row>
    <row r="382" ht="15" customHeight="1">
      <c r="A382" t="inlineStr">
        <is>
          <t>A 53344-2023</t>
        </is>
      </c>
      <c r="B382" s="1" t="n">
        <v>45229</v>
      </c>
      <c r="C382" s="1" t="n">
        <v>45901</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59448-2022</t>
        </is>
      </c>
      <c r="B383" s="1" t="n">
        <v>44907</v>
      </c>
      <c r="C383" s="1" t="n">
        <v>45901</v>
      </c>
      <c r="D383" t="inlineStr">
        <is>
          <t>DALARNAS LÄN</t>
        </is>
      </c>
      <c r="E383" t="inlineStr">
        <is>
          <t>MORA</t>
        </is>
      </c>
      <c r="G383" t="n">
        <v>35.7</v>
      </c>
      <c r="H383" t="n">
        <v>0</v>
      </c>
      <c r="I383" t="n">
        <v>0</v>
      </c>
      <c r="J383" t="n">
        <v>0</v>
      </c>
      <c r="K383" t="n">
        <v>0</v>
      </c>
      <c r="L383" t="n">
        <v>0</v>
      </c>
      <c r="M383" t="n">
        <v>0</v>
      </c>
      <c r="N383" t="n">
        <v>0</v>
      </c>
      <c r="O383" t="n">
        <v>0</v>
      </c>
      <c r="P383" t="n">
        <v>0</v>
      </c>
      <c r="Q383" t="n">
        <v>0</v>
      </c>
      <c r="R383" s="2" t="inlineStr"/>
    </row>
    <row r="384" ht="15" customHeight="1">
      <c r="A384" t="inlineStr">
        <is>
          <t>A 53527-2024</t>
        </is>
      </c>
      <c r="B384" s="1" t="n">
        <v>45614.61569444444</v>
      </c>
      <c r="C384" s="1" t="n">
        <v>45901</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30166-2025</t>
        </is>
      </c>
      <c r="B385" s="1" t="n">
        <v>45827.33116898148</v>
      </c>
      <c r="C385" s="1" t="n">
        <v>45901</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57797-2022</t>
        </is>
      </c>
      <c r="B386" s="1" t="n">
        <v>44897</v>
      </c>
      <c r="C386" s="1" t="n">
        <v>45901</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36586-2025</t>
        </is>
      </c>
      <c r="B387" s="1" t="n">
        <v>45869</v>
      </c>
      <c r="C387" s="1" t="n">
        <v>45901</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17393-2025</t>
        </is>
      </c>
      <c r="B388" s="1" t="n">
        <v>45757.34350694445</v>
      </c>
      <c r="C388" s="1" t="n">
        <v>45901</v>
      </c>
      <c r="D388" t="inlineStr">
        <is>
          <t>DALARNAS LÄN</t>
        </is>
      </c>
      <c r="E388" t="inlineStr">
        <is>
          <t>MORA</t>
        </is>
      </c>
      <c r="G388" t="n">
        <v>10.1</v>
      </c>
      <c r="H388" t="n">
        <v>0</v>
      </c>
      <c r="I388" t="n">
        <v>0</v>
      </c>
      <c r="J388" t="n">
        <v>0</v>
      </c>
      <c r="K388" t="n">
        <v>0</v>
      </c>
      <c r="L388" t="n">
        <v>0</v>
      </c>
      <c r="M388" t="n">
        <v>0</v>
      </c>
      <c r="N388" t="n">
        <v>0</v>
      </c>
      <c r="O388" t="n">
        <v>0</v>
      </c>
      <c r="P388" t="n">
        <v>0</v>
      </c>
      <c r="Q388" t="n">
        <v>0</v>
      </c>
      <c r="R388" s="2" t="inlineStr"/>
    </row>
    <row r="389" ht="15" customHeight="1">
      <c r="A389" t="inlineStr">
        <is>
          <t>A 40286-2024</t>
        </is>
      </c>
      <c r="B389" s="1" t="n">
        <v>45554.6687037037</v>
      </c>
      <c r="C389" s="1" t="n">
        <v>45901</v>
      </c>
      <c r="D389" t="inlineStr">
        <is>
          <t>DALARNAS LÄN</t>
        </is>
      </c>
      <c r="E389" t="inlineStr">
        <is>
          <t>MORA</t>
        </is>
      </c>
      <c r="G389" t="n">
        <v>0.4</v>
      </c>
      <c r="H389" t="n">
        <v>0</v>
      </c>
      <c r="I389" t="n">
        <v>0</v>
      </c>
      <c r="J389" t="n">
        <v>0</v>
      </c>
      <c r="K389" t="n">
        <v>0</v>
      </c>
      <c r="L389" t="n">
        <v>0</v>
      </c>
      <c r="M389" t="n">
        <v>0</v>
      </c>
      <c r="N389" t="n">
        <v>0</v>
      </c>
      <c r="O389" t="n">
        <v>0</v>
      </c>
      <c r="P389" t="n">
        <v>0</v>
      </c>
      <c r="Q389" t="n">
        <v>0</v>
      </c>
      <c r="R389" s="2" t="inlineStr"/>
    </row>
    <row r="390" ht="15" customHeight="1">
      <c r="A390" t="inlineStr">
        <is>
          <t>A 48824-2023</t>
        </is>
      </c>
      <c r="B390" s="1" t="n">
        <v>45203</v>
      </c>
      <c r="C390" s="1" t="n">
        <v>45901</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45901</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36760-2025</t>
        </is>
      </c>
      <c r="B392" s="1" t="n">
        <v>45873.57319444444</v>
      </c>
      <c r="C392" s="1" t="n">
        <v>45901</v>
      </c>
      <c r="D392" t="inlineStr">
        <is>
          <t>DALARNAS LÄN</t>
        </is>
      </c>
      <c r="E392" t="inlineStr">
        <is>
          <t>MORA</t>
        </is>
      </c>
      <c r="G392" t="n">
        <v>4.6</v>
      </c>
      <c r="H392" t="n">
        <v>0</v>
      </c>
      <c r="I392" t="n">
        <v>0</v>
      </c>
      <c r="J392" t="n">
        <v>0</v>
      </c>
      <c r="K392" t="n">
        <v>0</v>
      </c>
      <c r="L392" t="n">
        <v>0</v>
      </c>
      <c r="M392" t="n">
        <v>0</v>
      </c>
      <c r="N392" t="n">
        <v>0</v>
      </c>
      <c r="O392" t="n">
        <v>0</v>
      </c>
      <c r="P392" t="n">
        <v>0</v>
      </c>
      <c r="Q392" t="n">
        <v>0</v>
      </c>
      <c r="R392" s="2" t="inlineStr"/>
    </row>
    <row r="393" ht="15" customHeight="1">
      <c r="A393" t="inlineStr">
        <is>
          <t>A 20504-2023</t>
        </is>
      </c>
      <c r="B393" s="1" t="n">
        <v>45057</v>
      </c>
      <c r="C393" s="1" t="n">
        <v>45901</v>
      </c>
      <c r="D393" t="inlineStr">
        <is>
          <t>DALARNAS LÄN</t>
        </is>
      </c>
      <c r="E393" t="inlineStr">
        <is>
          <t>MORA</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44595-2024</t>
        </is>
      </c>
      <c r="B394" s="1" t="n">
        <v>45574.51053240741</v>
      </c>
      <c r="C394" s="1" t="n">
        <v>45901</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14936-2025</t>
        </is>
      </c>
      <c r="B395" s="1" t="n">
        <v>45743.55756944444</v>
      </c>
      <c r="C395" s="1" t="n">
        <v>45901</v>
      </c>
      <c r="D395" t="inlineStr">
        <is>
          <t>DALARNAS LÄN</t>
        </is>
      </c>
      <c r="E395" t="inlineStr">
        <is>
          <t>MORA</t>
        </is>
      </c>
      <c r="G395" t="n">
        <v>2.4</v>
      </c>
      <c r="H395" t="n">
        <v>0</v>
      </c>
      <c r="I395" t="n">
        <v>0</v>
      </c>
      <c r="J395" t="n">
        <v>0</v>
      </c>
      <c r="K395" t="n">
        <v>0</v>
      </c>
      <c r="L395" t="n">
        <v>0</v>
      </c>
      <c r="M395" t="n">
        <v>0</v>
      </c>
      <c r="N395" t="n">
        <v>0</v>
      </c>
      <c r="O395" t="n">
        <v>0</v>
      </c>
      <c r="P395" t="n">
        <v>0</v>
      </c>
      <c r="Q395" t="n">
        <v>0</v>
      </c>
      <c r="R395" s="2" t="inlineStr"/>
    </row>
    <row r="396" ht="15" customHeight="1">
      <c r="A396" t="inlineStr">
        <is>
          <t>A 9276-2024</t>
        </is>
      </c>
      <c r="B396" s="1" t="n">
        <v>45358.63113425926</v>
      </c>
      <c r="C396" s="1" t="n">
        <v>45901</v>
      </c>
      <c r="D396" t="inlineStr">
        <is>
          <t>DALARNAS LÄN</t>
        </is>
      </c>
      <c r="E396" t="inlineStr">
        <is>
          <t>MORA</t>
        </is>
      </c>
      <c r="G396" t="n">
        <v>0.7</v>
      </c>
      <c r="H396" t="n">
        <v>0</v>
      </c>
      <c r="I396" t="n">
        <v>0</v>
      </c>
      <c r="J396" t="n">
        <v>0</v>
      </c>
      <c r="K396" t="n">
        <v>0</v>
      </c>
      <c r="L396" t="n">
        <v>0</v>
      </c>
      <c r="M396" t="n">
        <v>0</v>
      </c>
      <c r="N396" t="n">
        <v>0</v>
      </c>
      <c r="O396" t="n">
        <v>0</v>
      </c>
      <c r="P396" t="n">
        <v>0</v>
      </c>
      <c r="Q396" t="n">
        <v>0</v>
      </c>
      <c r="R396" s="2" t="inlineStr"/>
    </row>
    <row r="397" ht="15" customHeight="1">
      <c r="A397" t="inlineStr">
        <is>
          <t>A 43566-2023</t>
        </is>
      </c>
      <c r="B397" s="1" t="n">
        <v>45184.58199074074</v>
      </c>
      <c r="C397" s="1" t="n">
        <v>45901</v>
      </c>
      <c r="D397" t="inlineStr">
        <is>
          <t>DALARNAS LÄN</t>
        </is>
      </c>
      <c r="E397" t="inlineStr">
        <is>
          <t>MORA</t>
        </is>
      </c>
      <c r="F397" t="inlineStr">
        <is>
          <t>Bergvik skog väst AB</t>
        </is>
      </c>
      <c r="G397" t="n">
        <v>4.3</v>
      </c>
      <c r="H397" t="n">
        <v>0</v>
      </c>
      <c r="I397" t="n">
        <v>0</v>
      </c>
      <c r="J397" t="n">
        <v>0</v>
      </c>
      <c r="K397" t="n">
        <v>0</v>
      </c>
      <c r="L397" t="n">
        <v>0</v>
      </c>
      <c r="M397" t="n">
        <v>0</v>
      </c>
      <c r="N397" t="n">
        <v>0</v>
      </c>
      <c r="O397" t="n">
        <v>0</v>
      </c>
      <c r="P397" t="n">
        <v>0</v>
      </c>
      <c r="Q397" t="n">
        <v>0</v>
      </c>
      <c r="R397" s="2" t="inlineStr"/>
    </row>
    <row r="398" ht="15" customHeight="1">
      <c r="A398" t="inlineStr">
        <is>
          <t>A 30507-2025</t>
        </is>
      </c>
      <c r="B398" s="1" t="n">
        <v>45831.24760416667</v>
      </c>
      <c r="C398" s="1" t="n">
        <v>45901</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35381-2024</t>
        </is>
      </c>
      <c r="B399" s="1" t="n">
        <v>45531.38372685185</v>
      </c>
      <c r="C399" s="1" t="n">
        <v>45901</v>
      </c>
      <c r="D399" t="inlineStr">
        <is>
          <t>DALARNAS LÄN</t>
        </is>
      </c>
      <c r="E399" t="inlineStr">
        <is>
          <t>MORA</t>
        </is>
      </c>
      <c r="G399" t="n">
        <v>3.7</v>
      </c>
      <c r="H399" t="n">
        <v>0</v>
      </c>
      <c r="I399" t="n">
        <v>0</v>
      </c>
      <c r="J399" t="n">
        <v>0</v>
      </c>
      <c r="K399" t="n">
        <v>0</v>
      </c>
      <c r="L399" t="n">
        <v>0</v>
      </c>
      <c r="M399" t="n">
        <v>0</v>
      </c>
      <c r="N399" t="n">
        <v>0</v>
      </c>
      <c r="O399" t="n">
        <v>0</v>
      </c>
      <c r="P399" t="n">
        <v>0</v>
      </c>
      <c r="Q399" t="n">
        <v>0</v>
      </c>
      <c r="R399" s="2" t="inlineStr"/>
    </row>
    <row r="400" ht="15" customHeight="1">
      <c r="A400" t="inlineStr">
        <is>
          <t>A 8153-2021</t>
        </is>
      </c>
      <c r="B400" s="1" t="n">
        <v>44244</v>
      </c>
      <c r="C400" s="1" t="n">
        <v>45901</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15817-2024</t>
        </is>
      </c>
      <c r="B401" s="1" t="n">
        <v>45404.67387731482</v>
      </c>
      <c r="C401" s="1" t="n">
        <v>45901</v>
      </c>
      <c r="D401" t="inlineStr">
        <is>
          <t>DALARNAS LÄN</t>
        </is>
      </c>
      <c r="E401" t="inlineStr">
        <is>
          <t>MORA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53743-2024</t>
        </is>
      </c>
      <c r="B402" s="1" t="n">
        <v>45615.47137731482</v>
      </c>
      <c r="C402" s="1" t="n">
        <v>45901</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30858-2025</t>
        </is>
      </c>
      <c r="B403" s="1" t="n">
        <v>45831.92416666666</v>
      </c>
      <c r="C403" s="1" t="n">
        <v>45901</v>
      </c>
      <c r="D403" t="inlineStr">
        <is>
          <t>DALARNAS LÄN</t>
        </is>
      </c>
      <c r="E403" t="inlineStr">
        <is>
          <t>MORA</t>
        </is>
      </c>
      <c r="G403" t="n">
        <v>2.9</v>
      </c>
      <c r="H403" t="n">
        <v>0</v>
      </c>
      <c r="I403" t="n">
        <v>0</v>
      </c>
      <c r="J403" t="n">
        <v>0</v>
      </c>
      <c r="K403" t="n">
        <v>0</v>
      </c>
      <c r="L403" t="n">
        <v>0</v>
      </c>
      <c r="M403" t="n">
        <v>0</v>
      </c>
      <c r="N403" t="n">
        <v>0</v>
      </c>
      <c r="O403" t="n">
        <v>0</v>
      </c>
      <c r="P403" t="n">
        <v>0</v>
      </c>
      <c r="Q403" t="n">
        <v>0</v>
      </c>
      <c r="R403" s="2" t="inlineStr"/>
    </row>
    <row r="404" ht="15" customHeight="1">
      <c r="A404" t="inlineStr">
        <is>
          <t>A 30859-2025</t>
        </is>
      </c>
      <c r="B404" s="1" t="n">
        <v>45831.93105324074</v>
      </c>
      <c r="C404" s="1" t="n">
        <v>45901</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48170-2024</t>
        </is>
      </c>
      <c r="B405" s="1" t="n">
        <v>45589.76975694444</v>
      </c>
      <c r="C405" s="1" t="n">
        <v>45901</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46755-2023</t>
        </is>
      </c>
      <c r="B406" s="1" t="n">
        <v>45198.61314814815</v>
      </c>
      <c r="C406" s="1" t="n">
        <v>45901</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30989-2025</t>
        </is>
      </c>
      <c r="B407" s="1" t="n">
        <v>45832.48185185185</v>
      </c>
      <c r="C407" s="1" t="n">
        <v>45901</v>
      </c>
      <c r="D407" t="inlineStr">
        <is>
          <t>DALARNAS LÄN</t>
        </is>
      </c>
      <c r="E407" t="inlineStr">
        <is>
          <t>MORA</t>
        </is>
      </c>
      <c r="F407" t="inlineStr">
        <is>
          <t>Bergvik skog öst AB</t>
        </is>
      </c>
      <c r="G407" t="n">
        <v>4.1</v>
      </c>
      <c r="H407" t="n">
        <v>0</v>
      </c>
      <c r="I407" t="n">
        <v>0</v>
      </c>
      <c r="J407" t="n">
        <v>0</v>
      </c>
      <c r="K407" t="n">
        <v>0</v>
      </c>
      <c r="L407" t="n">
        <v>0</v>
      </c>
      <c r="M407" t="n">
        <v>0</v>
      </c>
      <c r="N407" t="n">
        <v>0</v>
      </c>
      <c r="O407" t="n">
        <v>0</v>
      </c>
      <c r="P407" t="n">
        <v>0</v>
      </c>
      <c r="Q407" t="n">
        <v>0</v>
      </c>
      <c r="R407" s="2" t="inlineStr"/>
    </row>
    <row r="408" ht="15" customHeight="1">
      <c r="A408" t="inlineStr">
        <is>
          <t>A 36846-2025</t>
        </is>
      </c>
      <c r="B408" s="1" t="n">
        <v>45874.38655092593</v>
      </c>
      <c r="C408" s="1" t="n">
        <v>45901</v>
      </c>
      <c r="D408" t="inlineStr">
        <is>
          <t>DALARNAS LÄN</t>
        </is>
      </c>
      <c r="E408" t="inlineStr">
        <is>
          <t>MORA</t>
        </is>
      </c>
      <c r="G408" t="n">
        <v>10.7</v>
      </c>
      <c r="H408" t="n">
        <v>0</v>
      </c>
      <c r="I408" t="n">
        <v>0</v>
      </c>
      <c r="J408" t="n">
        <v>0</v>
      </c>
      <c r="K408" t="n">
        <v>0</v>
      </c>
      <c r="L408" t="n">
        <v>0</v>
      </c>
      <c r="M408" t="n">
        <v>0</v>
      </c>
      <c r="N408" t="n">
        <v>0</v>
      </c>
      <c r="O408" t="n">
        <v>0</v>
      </c>
      <c r="P408" t="n">
        <v>0</v>
      </c>
      <c r="Q408" t="n">
        <v>0</v>
      </c>
      <c r="R408" s="2" t="inlineStr"/>
    </row>
    <row r="409" ht="15" customHeight="1">
      <c r="A409" t="inlineStr">
        <is>
          <t>A 14372-2025</t>
        </is>
      </c>
      <c r="B409" s="1" t="n">
        <v>45741.4050462963</v>
      </c>
      <c r="C409" s="1" t="n">
        <v>45901</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14378-2025</t>
        </is>
      </c>
      <c r="B410" s="1" t="n">
        <v>45741</v>
      </c>
      <c r="C410" s="1" t="n">
        <v>45901</v>
      </c>
      <c r="D410" t="inlineStr">
        <is>
          <t>DALARNAS LÄN</t>
        </is>
      </c>
      <c r="E410" t="inlineStr">
        <is>
          <t>MORA</t>
        </is>
      </c>
      <c r="G410" t="n">
        <v>5.2</v>
      </c>
      <c r="H410" t="n">
        <v>0</v>
      </c>
      <c r="I410" t="n">
        <v>0</v>
      </c>
      <c r="J410" t="n">
        <v>0</v>
      </c>
      <c r="K410" t="n">
        <v>0</v>
      </c>
      <c r="L410" t="n">
        <v>0</v>
      </c>
      <c r="M410" t="n">
        <v>0</v>
      </c>
      <c r="N410" t="n">
        <v>0</v>
      </c>
      <c r="O410" t="n">
        <v>0</v>
      </c>
      <c r="P410" t="n">
        <v>0</v>
      </c>
      <c r="Q410" t="n">
        <v>0</v>
      </c>
      <c r="R410" s="2" t="inlineStr"/>
    </row>
    <row r="411" ht="15" customHeight="1">
      <c r="A411" t="inlineStr">
        <is>
          <t>A 30509-2025</t>
        </is>
      </c>
      <c r="B411" s="1" t="n">
        <v>45831.25519675926</v>
      </c>
      <c r="C411" s="1" t="n">
        <v>45901</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31074-2025</t>
        </is>
      </c>
      <c r="B412" s="1" t="n">
        <v>45832.58114583333</v>
      </c>
      <c r="C412" s="1" t="n">
        <v>45901</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31849-2025</t>
        </is>
      </c>
      <c r="B413" s="1" t="n">
        <v>45834.60525462963</v>
      </c>
      <c r="C413" s="1" t="n">
        <v>45901</v>
      </c>
      <c r="D413" t="inlineStr">
        <is>
          <t>DALARNAS LÄN</t>
        </is>
      </c>
      <c r="E413" t="inlineStr">
        <is>
          <t>MORA</t>
        </is>
      </c>
      <c r="G413" t="n">
        <v>3.9</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45901</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20594-2025</t>
        </is>
      </c>
      <c r="B415" s="1" t="n">
        <v>45775.74009259259</v>
      </c>
      <c r="C415" s="1" t="n">
        <v>45901</v>
      </c>
      <c r="D415" t="inlineStr">
        <is>
          <t>DALARNAS LÄN</t>
        </is>
      </c>
      <c r="E415" t="inlineStr">
        <is>
          <t>MORA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44177-2023</t>
        </is>
      </c>
      <c r="B416" s="1" t="n">
        <v>45188.51439814815</v>
      </c>
      <c r="C416" s="1" t="n">
        <v>45901</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44201-2023</t>
        </is>
      </c>
      <c r="B417" s="1" t="n">
        <v>45188</v>
      </c>
      <c r="C417" s="1" t="n">
        <v>45901</v>
      </c>
      <c r="D417" t="inlineStr">
        <is>
          <t>DALARNAS LÄN</t>
        </is>
      </c>
      <c r="E417" t="inlineStr">
        <is>
          <t>MORA</t>
        </is>
      </c>
      <c r="G417" t="n">
        <v>0.6</v>
      </c>
      <c r="H417" t="n">
        <v>0</v>
      </c>
      <c r="I417" t="n">
        <v>0</v>
      </c>
      <c r="J417" t="n">
        <v>0</v>
      </c>
      <c r="K417" t="n">
        <v>0</v>
      </c>
      <c r="L417" t="n">
        <v>0</v>
      </c>
      <c r="M417" t="n">
        <v>0</v>
      </c>
      <c r="N417" t="n">
        <v>0</v>
      </c>
      <c r="O417" t="n">
        <v>0</v>
      </c>
      <c r="P417" t="n">
        <v>0</v>
      </c>
      <c r="Q417" t="n">
        <v>0</v>
      </c>
      <c r="R417" s="2" t="inlineStr"/>
    </row>
    <row r="418" ht="15" customHeight="1">
      <c r="A418" t="inlineStr">
        <is>
          <t>A 55222-2023</t>
        </is>
      </c>
      <c r="B418" s="1" t="n">
        <v>45237.60775462963</v>
      </c>
      <c r="C418" s="1" t="n">
        <v>45901</v>
      </c>
      <c r="D418" t="inlineStr">
        <is>
          <t>DALARNAS LÄN</t>
        </is>
      </c>
      <c r="E418" t="inlineStr">
        <is>
          <t>MORA</t>
        </is>
      </c>
      <c r="F418" t="inlineStr">
        <is>
          <t>Allmännings- och besparingsskogar</t>
        </is>
      </c>
      <c r="G418" t="n">
        <v>19.8</v>
      </c>
      <c r="H418" t="n">
        <v>0</v>
      </c>
      <c r="I418" t="n">
        <v>0</v>
      </c>
      <c r="J418" t="n">
        <v>0</v>
      </c>
      <c r="K418" t="n">
        <v>0</v>
      </c>
      <c r="L418" t="n">
        <v>0</v>
      </c>
      <c r="M418" t="n">
        <v>0</v>
      </c>
      <c r="N418" t="n">
        <v>0</v>
      </c>
      <c r="O418" t="n">
        <v>0</v>
      </c>
      <c r="P418" t="n">
        <v>0</v>
      </c>
      <c r="Q418" t="n">
        <v>0</v>
      </c>
      <c r="R418" s="2" t="inlineStr"/>
    </row>
    <row r="419" ht="15" customHeight="1">
      <c r="A419" t="inlineStr">
        <is>
          <t>A 31177-2021</t>
        </is>
      </c>
      <c r="B419" s="1" t="n">
        <v>44368</v>
      </c>
      <c r="C419" s="1" t="n">
        <v>45901</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51570-2023</t>
        </is>
      </c>
      <c r="B420" s="1" t="n">
        <v>45222</v>
      </c>
      <c r="C420" s="1" t="n">
        <v>45901</v>
      </c>
      <c r="D420" t="inlineStr">
        <is>
          <t>DALARNAS LÄN</t>
        </is>
      </c>
      <c r="E420" t="inlineStr">
        <is>
          <t>MORA</t>
        </is>
      </c>
      <c r="G420" t="n">
        <v>10.1</v>
      </c>
      <c r="H420" t="n">
        <v>0</v>
      </c>
      <c r="I420" t="n">
        <v>0</v>
      </c>
      <c r="J420" t="n">
        <v>0</v>
      </c>
      <c r="K420" t="n">
        <v>0</v>
      </c>
      <c r="L420" t="n">
        <v>0</v>
      </c>
      <c r="M420" t="n">
        <v>0</v>
      </c>
      <c r="N420" t="n">
        <v>0</v>
      </c>
      <c r="O420" t="n">
        <v>0</v>
      </c>
      <c r="P420" t="n">
        <v>0</v>
      </c>
      <c r="Q420" t="n">
        <v>0</v>
      </c>
      <c r="R420" s="2" t="inlineStr"/>
    </row>
    <row r="421" ht="15" customHeight="1">
      <c r="A421" t="inlineStr">
        <is>
          <t>A 64088-2023</t>
        </is>
      </c>
      <c r="B421" s="1" t="n">
        <v>45279.43570601852</v>
      </c>
      <c r="C421" s="1" t="n">
        <v>45901</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32261-2022</t>
        </is>
      </c>
      <c r="B422" s="1" t="n">
        <v>44781.5350925926</v>
      </c>
      <c r="C422" s="1" t="n">
        <v>45901</v>
      </c>
      <c r="D422" t="inlineStr">
        <is>
          <t>DALARNAS LÄN</t>
        </is>
      </c>
      <c r="E422" t="inlineStr">
        <is>
          <t>MORA</t>
        </is>
      </c>
      <c r="G422" t="n">
        <v>2.7</v>
      </c>
      <c r="H422" t="n">
        <v>0</v>
      </c>
      <c r="I422" t="n">
        <v>0</v>
      </c>
      <c r="J422" t="n">
        <v>0</v>
      </c>
      <c r="K422" t="n">
        <v>0</v>
      </c>
      <c r="L422" t="n">
        <v>0</v>
      </c>
      <c r="M422" t="n">
        <v>0</v>
      </c>
      <c r="N422" t="n">
        <v>0</v>
      </c>
      <c r="O422" t="n">
        <v>0</v>
      </c>
      <c r="P422" t="n">
        <v>0</v>
      </c>
      <c r="Q422" t="n">
        <v>0</v>
      </c>
      <c r="R422" s="2" t="inlineStr"/>
    </row>
    <row r="423" ht="15" customHeight="1">
      <c r="A423" t="inlineStr">
        <is>
          <t>A 31846-2025</t>
        </is>
      </c>
      <c r="B423" s="1" t="n">
        <v>45834.60209490741</v>
      </c>
      <c r="C423" s="1" t="n">
        <v>45901</v>
      </c>
      <c r="D423" t="inlineStr">
        <is>
          <t>DALARNAS LÄN</t>
        </is>
      </c>
      <c r="E423" t="inlineStr">
        <is>
          <t>MORA</t>
        </is>
      </c>
      <c r="G423" t="n">
        <v>3.6</v>
      </c>
      <c r="H423" t="n">
        <v>0</v>
      </c>
      <c r="I423" t="n">
        <v>0</v>
      </c>
      <c r="J423" t="n">
        <v>0</v>
      </c>
      <c r="K423" t="n">
        <v>0</v>
      </c>
      <c r="L423" t="n">
        <v>0</v>
      </c>
      <c r="M423" t="n">
        <v>0</v>
      </c>
      <c r="N423" t="n">
        <v>0</v>
      </c>
      <c r="O423" t="n">
        <v>0</v>
      </c>
      <c r="P423" t="n">
        <v>0</v>
      </c>
      <c r="Q423" t="n">
        <v>0</v>
      </c>
      <c r="R423" s="2" t="inlineStr"/>
    </row>
    <row r="424" ht="15" customHeight="1">
      <c r="A424" t="inlineStr">
        <is>
          <t>A 48825-2023</t>
        </is>
      </c>
      <c r="B424" s="1" t="n">
        <v>45203</v>
      </c>
      <c r="C424" s="1" t="n">
        <v>45901</v>
      </c>
      <c r="D424" t="inlineStr">
        <is>
          <t>DALARNAS LÄN</t>
        </is>
      </c>
      <c r="E424" t="inlineStr">
        <is>
          <t>MORA</t>
        </is>
      </c>
      <c r="G424" t="n">
        <v>7.9</v>
      </c>
      <c r="H424" t="n">
        <v>0</v>
      </c>
      <c r="I424" t="n">
        <v>0</v>
      </c>
      <c r="J424" t="n">
        <v>0</v>
      </c>
      <c r="K424" t="n">
        <v>0</v>
      </c>
      <c r="L424" t="n">
        <v>0</v>
      </c>
      <c r="M424" t="n">
        <v>0</v>
      </c>
      <c r="N424" t="n">
        <v>0</v>
      </c>
      <c r="O424" t="n">
        <v>0</v>
      </c>
      <c r="P424" t="n">
        <v>0</v>
      </c>
      <c r="Q424" t="n">
        <v>0</v>
      </c>
      <c r="R424" s="2" t="inlineStr"/>
    </row>
    <row r="425" ht="15" customHeight="1">
      <c r="A425" t="inlineStr">
        <is>
          <t>A 37268-2025</t>
        </is>
      </c>
      <c r="B425" s="1" t="n">
        <v>45876.46681712963</v>
      </c>
      <c r="C425" s="1" t="n">
        <v>45901</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60718-2023</t>
        </is>
      </c>
      <c r="B426" s="1" t="n">
        <v>45260.5284375</v>
      </c>
      <c r="C426" s="1" t="n">
        <v>45901</v>
      </c>
      <c r="D426" t="inlineStr">
        <is>
          <t>DALARNAS LÄN</t>
        </is>
      </c>
      <c r="E426" t="inlineStr">
        <is>
          <t>MORA</t>
        </is>
      </c>
      <c r="G426" t="n">
        <v>2.6</v>
      </c>
      <c r="H426" t="n">
        <v>0</v>
      </c>
      <c r="I426" t="n">
        <v>0</v>
      </c>
      <c r="J426" t="n">
        <v>0</v>
      </c>
      <c r="K426" t="n">
        <v>0</v>
      </c>
      <c r="L426" t="n">
        <v>0</v>
      </c>
      <c r="M426" t="n">
        <v>0</v>
      </c>
      <c r="N426" t="n">
        <v>0</v>
      </c>
      <c r="O426" t="n">
        <v>0</v>
      </c>
      <c r="P426" t="n">
        <v>0</v>
      </c>
      <c r="Q426" t="n">
        <v>0</v>
      </c>
      <c r="R426" s="2" t="inlineStr"/>
    </row>
    <row r="427" ht="15" customHeight="1">
      <c r="A427" t="inlineStr">
        <is>
          <t>A 31842-2025</t>
        </is>
      </c>
      <c r="B427" s="1" t="n">
        <v>45834.59822916667</v>
      </c>
      <c r="C427" s="1" t="n">
        <v>45901</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45901</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5309-2023</t>
        </is>
      </c>
      <c r="B429" s="1" t="n">
        <v>44956</v>
      </c>
      <c r="C429" s="1" t="n">
        <v>45901</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18806-2025</t>
        </is>
      </c>
      <c r="B430" s="1" t="n">
        <v>45764.35269675926</v>
      </c>
      <c r="C430" s="1" t="n">
        <v>45901</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12151-2021</t>
        </is>
      </c>
      <c r="B431" s="1" t="n">
        <v>44266</v>
      </c>
      <c r="C431" s="1" t="n">
        <v>45901</v>
      </c>
      <c r="D431" t="inlineStr">
        <is>
          <t>DALARNAS LÄN</t>
        </is>
      </c>
      <c r="E431" t="inlineStr">
        <is>
          <t>MORA</t>
        </is>
      </c>
      <c r="G431" t="n">
        <v>0.5</v>
      </c>
      <c r="H431" t="n">
        <v>0</v>
      </c>
      <c r="I431" t="n">
        <v>0</v>
      </c>
      <c r="J431" t="n">
        <v>0</v>
      </c>
      <c r="K431" t="n">
        <v>0</v>
      </c>
      <c r="L431" t="n">
        <v>0</v>
      </c>
      <c r="M431" t="n">
        <v>0</v>
      </c>
      <c r="N431" t="n">
        <v>0</v>
      </c>
      <c r="O431" t="n">
        <v>0</v>
      </c>
      <c r="P431" t="n">
        <v>0</v>
      </c>
      <c r="Q431" t="n">
        <v>0</v>
      </c>
      <c r="R431" s="2" t="inlineStr"/>
    </row>
    <row r="432" ht="15" customHeight="1">
      <c r="A432" t="inlineStr">
        <is>
          <t>A 17163-2025</t>
        </is>
      </c>
      <c r="B432" s="1" t="n">
        <v>45756.35998842592</v>
      </c>
      <c r="C432" s="1" t="n">
        <v>45901</v>
      </c>
      <c r="D432" t="inlineStr">
        <is>
          <t>DALARNAS LÄN</t>
        </is>
      </c>
      <c r="E432" t="inlineStr">
        <is>
          <t>MORA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10777-2025</t>
        </is>
      </c>
      <c r="B433" s="1" t="n">
        <v>45722.47743055555</v>
      </c>
      <c r="C433" s="1" t="n">
        <v>45901</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54253-2023</t>
        </is>
      </c>
      <c r="B434" s="1" t="n">
        <v>45232.63217592592</v>
      </c>
      <c r="C434" s="1" t="n">
        <v>45901</v>
      </c>
      <c r="D434" t="inlineStr">
        <is>
          <t>DALARNAS LÄN</t>
        </is>
      </c>
      <c r="E434" t="inlineStr">
        <is>
          <t>MORA</t>
        </is>
      </c>
      <c r="G434" t="n">
        <v>4.5</v>
      </c>
      <c r="H434" t="n">
        <v>0</v>
      </c>
      <c r="I434" t="n">
        <v>0</v>
      </c>
      <c r="J434" t="n">
        <v>0</v>
      </c>
      <c r="K434" t="n">
        <v>0</v>
      </c>
      <c r="L434" t="n">
        <v>0</v>
      </c>
      <c r="M434" t="n">
        <v>0</v>
      </c>
      <c r="N434" t="n">
        <v>0</v>
      </c>
      <c r="O434" t="n">
        <v>0</v>
      </c>
      <c r="P434" t="n">
        <v>0</v>
      </c>
      <c r="Q434" t="n">
        <v>0</v>
      </c>
      <c r="R434" s="2" t="inlineStr"/>
    </row>
    <row r="435" ht="15" customHeight="1">
      <c r="A435" t="inlineStr">
        <is>
          <t>A 42611-2022</t>
        </is>
      </c>
      <c r="B435" s="1" t="n">
        <v>44831.81482638889</v>
      </c>
      <c r="C435" s="1" t="n">
        <v>45901</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45901</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44817-2023</t>
        </is>
      </c>
      <c r="B437" s="1" t="n">
        <v>45190.51887731482</v>
      </c>
      <c r="C437" s="1" t="n">
        <v>45901</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52288-2024</t>
        </is>
      </c>
      <c r="B438" s="1" t="n">
        <v>45608.69395833334</v>
      </c>
      <c r="C438" s="1" t="n">
        <v>45901</v>
      </c>
      <c r="D438" t="inlineStr">
        <is>
          <t>DALARNAS LÄN</t>
        </is>
      </c>
      <c r="E438" t="inlineStr">
        <is>
          <t>MORA</t>
        </is>
      </c>
      <c r="G438" t="n">
        <v>2</v>
      </c>
      <c r="H438" t="n">
        <v>0</v>
      </c>
      <c r="I438" t="n">
        <v>0</v>
      </c>
      <c r="J438" t="n">
        <v>0</v>
      </c>
      <c r="K438" t="n">
        <v>0</v>
      </c>
      <c r="L438" t="n">
        <v>0</v>
      </c>
      <c r="M438" t="n">
        <v>0</v>
      </c>
      <c r="N438" t="n">
        <v>0</v>
      </c>
      <c r="O438" t="n">
        <v>0</v>
      </c>
      <c r="P438" t="n">
        <v>0</v>
      </c>
      <c r="Q438" t="n">
        <v>0</v>
      </c>
      <c r="R438" s="2" t="inlineStr"/>
    </row>
    <row r="439" ht="15" customHeight="1">
      <c r="A439" t="inlineStr">
        <is>
          <t>A 25935-2023</t>
        </is>
      </c>
      <c r="B439" s="1" t="n">
        <v>45090.68675925926</v>
      </c>
      <c r="C439" s="1" t="n">
        <v>45901</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17865-2025</t>
        </is>
      </c>
      <c r="B440" s="1" t="n">
        <v>45758.62951388889</v>
      </c>
      <c r="C440" s="1" t="n">
        <v>45901</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37879-2025</t>
        </is>
      </c>
      <c r="B441" s="1" t="n">
        <v>45881.48791666667</v>
      </c>
      <c r="C441" s="1" t="n">
        <v>45901</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38086-2025</t>
        </is>
      </c>
      <c r="B442" s="1" t="n">
        <v>45882.47625</v>
      </c>
      <c r="C442" s="1" t="n">
        <v>45901</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17167-2025</t>
        </is>
      </c>
      <c r="B443" s="1" t="n">
        <v>45756.36844907407</v>
      </c>
      <c r="C443" s="1" t="n">
        <v>45901</v>
      </c>
      <c r="D443" t="inlineStr">
        <is>
          <t>DALARNAS LÄN</t>
        </is>
      </c>
      <c r="E443" t="inlineStr">
        <is>
          <t>MORA</t>
        </is>
      </c>
      <c r="F443" t="inlineStr">
        <is>
          <t>Bergvik skog öst AB</t>
        </is>
      </c>
      <c r="G443" t="n">
        <v>1.7</v>
      </c>
      <c r="H443" t="n">
        <v>0</v>
      </c>
      <c r="I443" t="n">
        <v>0</v>
      </c>
      <c r="J443" t="n">
        <v>0</v>
      </c>
      <c r="K443" t="n">
        <v>0</v>
      </c>
      <c r="L443" t="n">
        <v>0</v>
      </c>
      <c r="M443" t="n">
        <v>0</v>
      </c>
      <c r="N443" t="n">
        <v>0</v>
      </c>
      <c r="O443" t="n">
        <v>0</v>
      </c>
      <c r="P443" t="n">
        <v>0</v>
      </c>
      <c r="Q443" t="n">
        <v>0</v>
      </c>
      <c r="R443" s="2" t="inlineStr"/>
    </row>
    <row r="444" ht="15" customHeight="1">
      <c r="A444" t="inlineStr">
        <is>
          <t>A 17176-2025</t>
        </is>
      </c>
      <c r="B444" s="1" t="n">
        <v>45756.37520833333</v>
      </c>
      <c r="C444" s="1" t="n">
        <v>45901</v>
      </c>
      <c r="D444" t="inlineStr">
        <is>
          <t>DALARNAS LÄN</t>
        </is>
      </c>
      <c r="E444" t="inlineStr">
        <is>
          <t>MORA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32852-2025</t>
        </is>
      </c>
      <c r="B445" s="1" t="n">
        <v>45839.57559027777</v>
      </c>
      <c r="C445" s="1" t="n">
        <v>45901</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57999-2023</t>
        </is>
      </c>
      <c r="B446" s="1" t="n">
        <v>45247</v>
      </c>
      <c r="C446" s="1" t="n">
        <v>45901</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57319-2023</t>
        </is>
      </c>
      <c r="B447" s="1" t="n">
        <v>45245.64877314815</v>
      </c>
      <c r="C447" s="1" t="n">
        <v>45901</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62853-2023</t>
        </is>
      </c>
      <c r="B448" s="1" t="n">
        <v>45272</v>
      </c>
      <c r="C448" s="1" t="n">
        <v>45901</v>
      </c>
      <c r="D448" t="inlineStr">
        <is>
          <t>DALARNAS LÄN</t>
        </is>
      </c>
      <c r="E448" t="inlineStr">
        <is>
          <t>MORA</t>
        </is>
      </c>
      <c r="G448" t="n">
        <v>13.6</v>
      </c>
      <c r="H448" t="n">
        <v>0</v>
      </c>
      <c r="I448" t="n">
        <v>0</v>
      </c>
      <c r="J448" t="n">
        <v>0</v>
      </c>
      <c r="K448" t="n">
        <v>0</v>
      </c>
      <c r="L448" t="n">
        <v>0</v>
      </c>
      <c r="M448" t="n">
        <v>0</v>
      </c>
      <c r="N448" t="n">
        <v>0</v>
      </c>
      <c r="O448" t="n">
        <v>0</v>
      </c>
      <c r="P448" t="n">
        <v>0</v>
      </c>
      <c r="Q448" t="n">
        <v>0</v>
      </c>
      <c r="R448" s="2" t="inlineStr"/>
    </row>
    <row r="449" ht="15" customHeight="1">
      <c r="A449" t="inlineStr">
        <is>
          <t>A 43826-2022</t>
        </is>
      </c>
      <c r="B449" s="1" t="n">
        <v>44838</v>
      </c>
      <c r="C449" s="1" t="n">
        <v>45901</v>
      </c>
      <c r="D449" t="inlineStr">
        <is>
          <t>DALARNAS LÄN</t>
        </is>
      </c>
      <c r="E449" t="inlineStr">
        <is>
          <t>MORA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29754-2022</t>
        </is>
      </c>
      <c r="B450" s="1" t="n">
        <v>44755.59188657408</v>
      </c>
      <c r="C450" s="1" t="n">
        <v>45901</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36579-2022</t>
        </is>
      </c>
      <c r="B451" s="1" t="n">
        <v>44804.61636574074</v>
      </c>
      <c r="C451" s="1" t="n">
        <v>45901</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3531-2024</t>
        </is>
      </c>
      <c r="B452" s="1" t="n">
        <v>45320</v>
      </c>
      <c r="C452" s="1" t="n">
        <v>45901</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c r="U452">
        <f>HYPERLINK("https://klasma.github.io/Logging_2062/knärot/A 3531-2024 karta knärot.png", "A 3531-2024")</f>
        <v/>
      </c>
      <c r="V452">
        <f>HYPERLINK("https://klasma.github.io/Logging_2062/klagomål/A 3531-2024 FSC-klagomål.docx", "A 3531-2024")</f>
        <v/>
      </c>
      <c r="W452">
        <f>HYPERLINK("https://klasma.github.io/Logging_2062/klagomålsmail/A 3531-2024 FSC-klagomål mail.docx", "A 3531-2024")</f>
        <v/>
      </c>
      <c r="X452">
        <f>HYPERLINK("https://klasma.github.io/Logging_2062/tillsyn/A 3531-2024 tillsynsbegäran.docx", "A 3531-2024")</f>
        <v/>
      </c>
      <c r="Y452">
        <f>HYPERLINK("https://klasma.github.io/Logging_2062/tillsynsmail/A 3531-2024 tillsynsbegäran mail.docx", "A 3531-2024")</f>
        <v/>
      </c>
    </row>
    <row r="453" ht="15" customHeight="1">
      <c r="A453" t="inlineStr">
        <is>
          <t>A 33443-2025</t>
        </is>
      </c>
      <c r="B453" s="1" t="n">
        <v>45841</v>
      </c>
      <c r="C453" s="1" t="n">
        <v>45901</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24768-2024</t>
        </is>
      </c>
      <c r="B454" s="1" t="n">
        <v>45460.69545138889</v>
      </c>
      <c r="C454" s="1" t="n">
        <v>45901</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45901</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50911-2024</t>
        </is>
      </c>
      <c r="B456" s="1" t="n">
        <v>45602.7022337963</v>
      </c>
      <c r="C456" s="1" t="n">
        <v>45901</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39009-2023</t>
        </is>
      </c>
      <c r="B457" s="1" t="n">
        <v>45162</v>
      </c>
      <c r="C457" s="1" t="n">
        <v>45901</v>
      </c>
      <c r="D457" t="inlineStr">
        <is>
          <t>DALARNAS LÄN</t>
        </is>
      </c>
      <c r="E457" t="inlineStr">
        <is>
          <t>MORA</t>
        </is>
      </c>
      <c r="G457" t="n">
        <v>1.9</v>
      </c>
      <c r="H457" t="n">
        <v>0</v>
      </c>
      <c r="I457" t="n">
        <v>0</v>
      </c>
      <c r="J457" t="n">
        <v>0</v>
      </c>
      <c r="K457" t="n">
        <v>0</v>
      </c>
      <c r="L457" t="n">
        <v>0</v>
      </c>
      <c r="M457" t="n">
        <v>0</v>
      </c>
      <c r="N457" t="n">
        <v>0</v>
      </c>
      <c r="O457" t="n">
        <v>0</v>
      </c>
      <c r="P457" t="n">
        <v>0</v>
      </c>
      <c r="Q457" t="n">
        <v>0</v>
      </c>
      <c r="R457" s="2" t="inlineStr"/>
    </row>
    <row r="458" ht="15" customHeight="1">
      <c r="A458" t="inlineStr">
        <is>
          <t>A 35040-2023</t>
        </is>
      </c>
      <c r="B458" s="1" t="n">
        <v>45145.36853009259</v>
      </c>
      <c r="C458" s="1" t="n">
        <v>45901</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45631.71893518518</v>
      </c>
      <c r="C459" s="1" t="n">
        <v>45901</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28964-2024</t>
        </is>
      </c>
      <c r="B460" s="1" t="n">
        <v>45481.42923611111</v>
      </c>
      <c r="C460" s="1" t="n">
        <v>45901</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27420-2024</t>
        </is>
      </c>
      <c r="B461" s="1" t="n">
        <v>45474.37850694444</v>
      </c>
      <c r="C461" s="1" t="n">
        <v>45901</v>
      </c>
      <c r="D461" t="inlineStr">
        <is>
          <t>DALARNAS LÄN</t>
        </is>
      </c>
      <c r="E461" t="inlineStr">
        <is>
          <t>MORA</t>
        </is>
      </c>
      <c r="G461" t="n">
        <v>7.3</v>
      </c>
      <c r="H461" t="n">
        <v>0</v>
      </c>
      <c r="I461" t="n">
        <v>0</v>
      </c>
      <c r="J461" t="n">
        <v>0</v>
      </c>
      <c r="K461" t="n">
        <v>0</v>
      </c>
      <c r="L461" t="n">
        <v>0</v>
      </c>
      <c r="M461" t="n">
        <v>0</v>
      </c>
      <c r="N461" t="n">
        <v>0</v>
      </c>
      <c r="O461" t="n">
        <v>0</v>
      </c>
      <c r="P461" t="n">
        <v>0</v>
      </c>
      <c r="Q461" t="n">
        <v>0</v>
      </c>
      <c r="R461" s="2" t="inlineStr"/>
    </row>
    <row r="462" ht="15" customHeight="1">
      <c r="A462" t="inlineStr">
        <is>
          <t>A 34005-2025</t>
        </is>
      </c>
      <c r="B462" s="1" t="n">
        <v>45844.58890046296</v>
      </c>
      <c r="C462" s="1" t="n">
        <v>45901</v>
      </c>
      <c r="D462" t="inlineStr">
        <is>
          <t>DALARNAS LÄN</t>
        </is>
      </c>
      <c r="E462" t="inlineStr">
        <is>
          <t>MORA</t>
        </is>
      </c>
      <c r="G462" t="n">
        <v>7.2</v>
      </c>
      <c r="H462" t="n">
        <v>0</v>
      </c>
      <c r="I462" t="n">
        <v>0</v>
      </c>
      <c r="J462" t="n">
        <v>0</v>
      </c>
      <c r="K462" t="n">
        <v>0</v>
      </c>
      <c r="L462" t="n">
        <v>0</v>
      </c>
      <c r="M462" t="n">
        <v>0</v>
      </c>
      <c r="N462" t="n">
        <v>0</v>
      </c>
      <c r="O462" t="n">
        <v>0</v>
      </c>
      <c r="P462" t="n">
        <v>0</v>
      </c>
      <c r="Q462" t="n">
        <v>0</v>
      </c>
      <c r="R462" s="2" t="inlineStr"/>
    </row>
    <row r="463" ht="15" customHeight="1">
      <c r="A463" t="inlineStr">
        <is>
          <t>A 44769-2021</t>
        </is>
      </c>
      <c r="B463" s="1" t="n">
        <v>44438</v>
      </c>
      <c r="C463" s="1" t="n">
        <v>45901</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28487-2024</t>
        </is>
      </c>
      <c r="B464" s="1" t="n">
        <v>45477.75744212963</v>
      </c>
      <c r="C464" s="1" t="n">
        <v>45901</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48728-2022</t>
        </is>
      </c>
      <c r="B465" s="1" t="n">
        <v>44859.52145833334</v>
      </c>
      <c r="C465" s="1" t="n">
        <v>45901</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34382-2025</t>
        </is>
      </c>
      <c r="B466" s="1" t="n">
        <v>45846</v>
      </c>
      <c r="C466" s="1" t="n">
        <v>45901</v>
      </c>
      <c r="D466" t="inlineStr">
        <is>
          <t>DALARNAS LÄN</t>
        </is>
      </c>
      <c r="E466" t="inlineStr">
        <is>
          <t>MORA</t>
        </is>
      </c>
      <c r="G466" t="n">
        <v>0.7</v>
      </c>
      <c r="H466" t="n">
        <v>0</v>
      </c>
      <c r="I466" t="n">
        <v>0</v>
      </c>
      <c r="J466" t="n">
        <v>0</v>
      </c>
      <c r="K466" t="n">
        <v>0</v>
      </c>
      <c r="L466" t="n">
        <v>0</v>
      </c>
      <c r="M466" t="n">
        <v>0</v>
      </c>
      <c r="N466" t="n">
        <v>0</v>
      </c>
      <c r="O466" t="n">
        <v>0</v>
      </c>
      <c r="P466" t="n">
        <v>0</v>
      </c>
      <c r="Q466" t="n">
        <v>0</v>
      </c>
      <c r="R466" s="2" t="inlineStr"/>
    </row>
    <row r="467" ht="15" customHeight="1">
      <c r="A467" t="inlineStr">
        <is>
          <t>A 34182-2025</t>
        </is>
      </c>
      <c r="B467" s="1" t="n">
        <v>45845.60520833333</v>
      </c>
      <c r="C467" s="1" t="n">
        <v>45901</v>
      </c>
      <c r="D467" t="inlineStr">
        <is>
          <t>DALARNAS LÄN</t>
        </is>
      </c>
      <c r="E467" t="inlineStr">
        <is>
          <t>MORA</t>
        </is>
      </c>
      <c r="G467" t="n">
        <v>3.4</v>
      </c>
      <c r="H467" t="n">
        <v>0</v>
      </c>
      <c r="I467" t="n">
        <v>0</v>
      </c>
      <c r="J467" t="n">
        <v>0</v>
      </c>
      <c r="K467" t="n">
        <v>0</v>
      </c>
      <c r="L467" t="n">
        <v>0</v>
      </c>
      <c r="M467" t="n">
        <v>0</v>
      </c>
      <c r="N467" t="n">
        <v>0</v>
      </c>
      <c r="O467" t="n">
        <v>0</v>
      </c>
      <c r="P467" t="n">
        <v>0</v>
      </c>
      <c r="Q467" t="n">
        <v>0</v>
      </c>
      <c r="R467" s="2" t="inlineStr"/>
    </row>
    <row r="468" ht="15" customHeight="1">
      <c r="A468" t="inlineStr">
        <is>
          <t>A 34715-2025</t>
        </is>
      </c>
      <c r="B468" s="1" t="n">
        <v>45848.52225694444</v>
      </c>
      <c r="C468" s="1" t="n">
        <v>45901</v>
      </c>
      <c r="D468" t="inlineStr">
        <is>
          <t>DALARNAS LÄN</t>
        </is>
      </c>
      <c r="E468" t="inlineStr">
        <is>
          <t>MORA</t>
        </is>
      </c>
      <c r="G468" t="n">
        <v>8.5</v>
      </c>
      <c r="H468" t="n">
        <v>0</v>
      </c>
      <c r="I468" t="n">
        <v>0</v>
      </c>
      <c r="J468" t="n">
        <v>0</v>
      </c>
      <c r="K468" t="n">
        <v>0</v>
      </c>
      <c r="L468" t="n">
        <v>0</v>
      </c>
      <c r="M468" t="n">
        <v>0</v>
      </c>
      <c r="N468" t="n">
        <v>0</v>
      </c>
      <c r="O468" t="n">
        <v>0</v>
      </c>
      <c r="P468" t="n">
        <v>0</v>
      </c>
      <c r="Q468" t="n">
        <v>0</v>
      </c>
      <c r="R468" s="2" t="inlineStr"/>
    </row>
    <row r="469" ht="15" customHeight="1">
      <c r="A469" t="inlineStr">
        <is>
          <t>A 61222-2023</t>
        </is>
      </c>
      <c r="B469" s="1" t="n">
        <v>45264</v>
      </c>
      <c r="C469" s="1" t="n">
        <v>45901</v>
      </c>
      <c r="D469" t="inlineStr">
        <is>
          <t>DALARNAS LÄN</t>
        </is>
      </c>
      <c r="E469" t="inlineStr">
        <is>
          <t>MORA</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12920-2022</t>
        </is>
      </c>
      <c r="B470" s="1" t="n">
        <v>44642.65418981481</v>
      </c>
      <c r="C470" s="1" t="n">
        <v>45901</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61188-2024</t>
        </is>
      </c>
      <c r="B471" s="1" t="n">
        <v>45645.62282407407</v>
      </c>
      <c r="C471" s="1" t="n">
        <v>45901</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39483-2025</t>
        </is>
      </c>
      <c r="B472" s="1" t="n">
        <v>45890.35881944445</v>
      </c>
      <c r="C472" s="1" t="n">
        <v>45901</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39481-2025</t>
        </is>
      </c>
      <c r="B473" s="1" t="n">
        <v>45890.35545138889</v>
      </c>
      <c r="C473" s="1" t="n">
        <v>45901</v>
      </c>
      <c r="D473" t="inlineStr">
        <is>
          <t>DALARNAS LÄN</t>
        </is>
      </c>
      <c r="E473" t="inlineStr">
        <is>
          <t>MORA</t>
        </is>
      </c>
      <c r="G473" t="n">
        <v>0.6</v>
      </c>
      <c r="H473" t="n">
        <v>0</v>
      </c>
      <c r="I473" t="n">
        <v>0</v>
      </c>
      <c r="J473" t="n">
        <v>0</v>
      </c>
      <c r="K473" t="n">
        <v>0</v>
      </c>
      <c r="L473" t="n">
        <v>0</v>
      </c>
      <c r="M473" t="n">
        <v>0</v>
      </c>
      <c r="N473" t="n">
        <v>0</v>
      </c>
      <c r="O473" t="n">
        <v>0</v>
      </c>
      <c r="P473" t="n">
        <v>0</v>
      </c>
      <c r="Q473" t="n">
        <v>0</v>
      </c>
      <c r="R473" s="2" t="inlineStr"/>
    </row>
    <row r="474" ht="15" customHeight="1">
      <c r="A474" t="inlineStr">
        <is>
          <t>A 34482-2025</t>
        </is>
      </c>
      <c r="B474" s="1" t="n">
        <v>45847.38469907407</v>
      </c>
      <c r="C474" s="1" t="n">
        <v>45901</v>
      </c>
      <c r="D474" t="inlineStr">
        <is>
          <t>DALARNAS LÄN</t>
        </is>
      </c>
      <c r="E474" t="inlineStr">
        <is>
          <t>MORA</t>
        </is>
      </c>
      <c r="G474" t="n">
        <v>1.5</v>
      </c>
      <c r="H474" t="n">
        <v>0</v>
      </c>
      <c r="I474" t="n">
        <v>0</v>
      </c>
      <c r="J474" t="n">
        <v>0</v>
      </c>
      <c r="K474" t="n">
        <v>0</v>
      </c>
      <c r="L474" t="n">
        <v>0</v>
      </c>
      <c r="M474" t="n">
        <v>0</v>
      </c>
      <c r="N474" t="n">
        <v>0</v>
      </c>
      <c r="O474" t="n">
        <v>0</v>
      </c>
      <c r="P474" t="n">
        <v>0</v>
      </c>
      <c r="Q474" t="n">
        <v>0</v>
      </c>
      <c r="R474" s="2" t="inlineStr"/>
    </row>
    <row r="475" ht="15" customHeight="1">
      <c r="A475" t="inlineStr">
        <is>
          <t>A 58089-2024</t>
        </is>
      </c>
      <c r="B475" s="1" t="n">
        <v>45632.34984953704</v>
      </c>
      <c r="C475" s="1" t="n">
        <v>45901</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61350-2024</t>
        </is>
      </c>
      <c r="B476" s="1" t="n">
        <v>45646.37872685185</v>
      </c>
      <c r="C476" s="1" t="n">
        <v>45901</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39456-2025</t>
        </is>
      </c>
      <c r="B477" s="1" t="n">
        <v>45889.76200231481</v>
      </c>
      <c r="C477" s="1" t="n">
        <v>45901</v>
      </c>
      <c r="D477" t="inlineStr">
        <is>
          <t>DALARNAS LÄN</t>
        </is>
      </c>
      <c r="E477" t="inlineStr">
        <is>
          <t>MORA</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16967-2025</t>
        </is>
      </c>
      <c r="B478" s="1" t="n">
        <v>45755.46106481482</v>
      </c>
      <c r="C478" s="1" t="n">
        <v>45901</v>
      </c>
      <c r="D478" t="inlineStr">
        <is>
          <t>DALARNAS LÄN</t>
        </is>
      </c>
      <c r="E478" t="inlineStr">
        <is>
          <t>MORA</t>
        </is>
      </c>
      <c r="F478" t="inlineStr">
        <is>
          <t>Bergvik skog öst AB</t>
        </is>
      </c>
      <c r="G478" t="n">
        <v>2.9</v>
      </c>
      <c r="H478" t="n">
        <v>0</v>
      </c>
      <c r="I478" t="n">
        <v>0</v>
      </c>
      <c r="J478" t="n">
        <v>0</v>
      </c>
      <c r="K478" t="n">
        <v>0</v>
      </c>
      <c r="L478" t="n">
        <v>0</v>
      </c>
      <c r="M478" t="n">
        <v>0</v>
      </c>
      <c r="N478" t="n">
        <v>0</v>
      </c>
      <c r="O478" t="n">
        <v>0</v>
      </c>
      <c r="P478" t="n">
        <v>0</v>
      </c>
      <c r="Q478" t="n">
        <v>0</v>
      </c>
      <c r="R478" s="2" t="inlineStr"/>
    </row>
    <row r="479" ht="15" customHeight="1">
      <c r="A479" t="inlineStr">
        <is>
          <t>A 62266-2020</t>
        </is>
      </c>
      <c r="B479" s="1" t="n">
        <v>44160.35008101852</v>
      </c>
      <c r="C479" s="1" t="n">
        <v>45901</v>
      </c>
      <c r="D479" t="inlineStr">
        <is>
          <t>DALARNAS LÄN</t>
        </is>
      </c>
      <c r="E479" t="inlineStr">
        <is>
          <t>MORA</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39478-2025</t>
        </is>
      </c>
      <c r="B480" s="1" t="n">
        <v>45890.3469212963</v>
      </c>
      <c r="C480" s="1" t="n">
        <v>45901</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39480-2025</t>
        </is>
      </c>
      <c r="B481" s="1" t="n">
        <v>45890.35232638889</v>
      </c>
      <c r="C481" s="1" t="n">
        <v>45901</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40147-2025</t>
        </is>
      </c>
      <c r="B482" s="1" t="n">
        <v>45894.57918981482</v>
      </c>
      <c r="C482" s="1" t="n">
        <v>45901</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35622-2025</t>
        </is>
      </c>
      <c r="B483" s="1" t="n">
        <v>45859.42550925926</v>
      </c>
      <c r="C483" s="1" t="n">
        <v>45901</v>
      </c>
      <c r="D483" t="inlineStr">
        <is>
          <t>DALARNAS LÄN</t>
        </is>
      </c>
      <c r="E483" t="inlineStr">
        <is>
          <t>MORA</t>
        </is>
      </c>
      <c r="F483" t="inlineStr">
        <is>
          <t>Bergvik skog öst AB</t>
        </is>
      </c>
      <c r="G483" t="n">
        <v>5.8</v>
      </c>
      <c r="H483" t="n">
        <v>0</v>
      </c>
      <c r="I483" t="n">
        <v>0</v>
      </c>
      <c r="J483" t="n">
        <v>0</v>
      </c>
      <c r="K483" t="n">
        <v>0</v>
      </c>
      <c r="L483" t="n">
        <v>0</v>
      </c>
      <c r="M483" t="n">
        <v>0</v>
      </c>
      <c r="N483" t="n">
        <v>0</v>
      </c>
      <c r="O483" t="n">
        <v>0</v>
      </c>
      <c r="P483" t="n">
        <v>0</v>
      </c>
      <c r="Q483" t="n">
        <v>0</v>
      </c>
      <c r="R483" s="2" t="inlineStr"/>
    </row>
    <row r="484" ht="15" customHeight="1">
      <c r="A484" t="inlineStr">
        <is>
          <t>A 34933-2025</t>
        </is>
      </c>
      <c r="B484" s="1" t="n">
        <v>45849.57297453703</v>
      </c>
      <c r="C484" s="1" t="n">
        <v>45901</v>
      </c>
      <c r="D484" t="inlineStr">
        <is>
          <t>DALARNAS LÄN</t>
        </is>
      </c>
      <c r="E484" t="inlineStr">
        <is>
          <t>MORA</t>
        </is>
      </c>
      <c r="F484" t="inlineStr">
        <is>
          <t>Bergvik skog väst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35623-2025</t>
        </is>
      </c>
      <c r="B485" s="1" t="n">
        <v>45859.42809027778</v>
      </c>
      <c r="C485" s="1" t="n">
        <v>45901</v>
      </c>
      <c r="D485" t="inlineStr">
        <is>
          <t>DALARNAS LÄN</t>
        </is>
      </c>
      <c r="E485" t="inlineStr">
        <is>
          <t>MORA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60526-2023</t>
        </is>
      </c>
      <c r="B486" s="1" t="n">
        <v>45259</v>
      </c>
      <c r="C486" s="1" t="n">
        <v>45901</v>
      </c>
      <c r="D486" t="inlineStr">
        <is>
          <t>DALARNAS LÄN</t>
        </is>
      </c>
      <c r="E486" t="inlineStr">
        <is>
          <t>MORA</t>
        </is>
      </c>
      <c r="G486" t="n">
        <v>6.7</v>
      </c>
      <c r="H486" t="n">
        <v>0</v>
      </c>
      <c r="I486" t="n">
        <v>0</v>
      </c>
      <c r="J486" t="n">
        <v>0</v>
      </c>
      <c r="K486" t="n">
        <v>0</v>
      </c>
      <c r="L486" t="n">
        <v>0</v>
      </c>
      <c r="M486" t="n">
        <v>0</v>
      </c>
      <c r="N486" t="n">
        <v>0</v>
      </c>
      <c r="O486" t="n">
        <v>0</v>
      </c>
      <c r="P486" t="n">
        <v>0</v>
      </c>
      <c r="Q486" t="n">
        <v>0</v>
      </c>
      <c r="R486" s="2" t="inlineStr"/>
    </row>
    <row r="487" ht="15" customHeight="1">
      <c r="A487" t="inlineStr">
        <is>
          <t>A 40140-2025</t>
        </is>
      </c>
      <c r="B487" s="1" t="n">
        <v>45894.57016203704</v>
      </c>
      <c r="C487" s="1" t="n">
        <v>45901</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40142-2025</t>
        </is>
      </c>
      <c r="B488" s="1" t="n">
        <v>45894.57202546296</v>
      </c>
      <c r="C488" s="1" t="n">
        <v>45901</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43533-2023</t>
        </is>
      </c>
      <c r="B489" s="1" t="n">
        <v>45184.53412037037</v>
      </c>
      <c r="C489" s="1" t="n">
        <v>45901</v>
      </c>
      <c r="D489" t="inlineStr">
        <is>
          <t>DALARNAS LÄN</t>
        </is>
      </c>
      <c r="E489" t="inlineStr">
        <is>
          <t>MORA</t>
        </is>
      </c>
      <c r="F489" t="inlineStr">
        <is>
          <t>Bergvik skog väst AB</t>
        </is>
      </c>
      <c r="G489" t="n">
        <v>10.3</v>
      </c>
      <c r="H489" t="n">
        <v>0</v>
      </c>
      <c r="I489" t="n">
        <v>0</v>
      </c>
      <c r="J489" t="n">
        <v>0</v>
      </c>
      <c r="K489" t="n">
        <v>0</v>
      </c>
      <c r="L489" t="n">
        <v>0</v>
      </c>
      <c r="M489" t="n">
        <v>0</v>
      </c>
      <c r="N489" t="n">
        <v>0</v>
      </c>
      <c r="O489" t="n">
        <v>0</v>
      </c>
      <c r="P489" t="n">
        <v>0</v>
      </c>
      <c r="Q489" t="n">
        <v>0</v>
      </c>
      <c r="R489" s="2" t="inlineStr"/>
    </row>
    <row r="490" ht="15" customHeight="1">
      <c r="A490" t="inlineStr">
        <is>
          <t>A 35624-2025</t>
        </is>
      </c>
      <c r="B490" s="1" t="n">
        <v>45859.42928240741</v>
      </c>
      <c r="C490" s="1" t="n">
        <v>45901</v>
      </c>
      <c r="D490" t="inlineStr">
        <is>
          <t>DALARNAS LÄN</t>
        </is>
      </c>
      <c r="E490" t="inlineStr">
        <is>
          <t>MORA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39787-2025</t>
        </is>
      </c>
      <c r="B491" s="1" t="n">
        <v>45891</v>
      </c>
      <c r="C491" s="1" t="n">
        <v>45901</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30998-2022</t>
        </is>
      </c>
      <c r="B492" s="1" t="n">
        <v>44768</v>
      </c>
      <c r="C492" s="1" t="n">
        <v>45901</v>
      </c>
      <c r="D492" t="inlineStr">
        <is>
          <t>DALARNAS LÄN</t>
        </is>
      </c>
      <c r="E492" t="inlineStr">
        <is>
          <t>MORA</t>
        </is>
      </c>
      <c r="G492" t="n">
        <v>1.7</v>
      </c>
      <c r="H492" t="n">
        <v>0</v>
      </c>
      <c r="I492" t="n">
        <v>0</v>
      </c>
      <c r="J492" t="n">
        <v>0</v>
      </c>
      <c r="K492" t="n">
        <v>0</v>
      </c>
      <c r="L492" t="n">
        <v>0</v>
      </c>
      <c r="M492" t="n">
        <v>0</v>
      </c>
      <c r="N492" t="n">
        <v>0</v>
      </c>
      <c r="O492" t="n">
        <v>0</v>
      </c>
      <c r="P492" t="n">
        <v>0</v>
      </c>
      <c r="Q492" t="n">
        <v>0</v>
      </c>
      <c r="R492" s="2" t="inlineStr"/>
    </row>
    <row r="493" ht="15" customHeight="1">
      <c r="A493" t="inlineStr">
        <is>
          <t>A 63958-2023</t>
        </is>
      </c>
      <c r="B493" s="1" t="n">
        <v>45278</v>
      </c>
      <c r="C493" s="1" t="n">
        <v>45901</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39824-2025</t>
        </is>
      </c>
      <c r="B494" s="1" t="n">
        <v>45891</v>
      </c>
      <c r="C494" s="1" t="n">
        <v>45901</v>
      </c>
      <c r="D494" t="inlineStr">
        <is>
          <t>DALARNAS LÄN</t>
        </is>
      </c>
      <c r="E494" t="inlineStr">
        <is>
          <t>MORA</t>
        </is>
      </c>
      <c r="G494" t="n">
        <v>2</v>
      </c>
      <c r="H494" t="n">
        <v>0</v>
      </c>
      <c r="I494" t="n">
        <v>0</v>
      </c>
      <c r="J494" t="n">
        <v>0</v>
      </c>
      <c r="K494" t="n">
        <v>0</v>
      </c>
      <c r="L494" t="n">
        <v>0</v>
      </c>
      <c r="M494" t="n">
        <v>0</v>
      </c>
      <c r="N494" t="n">
        <v>0</v>
      </c>
      <c r="O494" t="n">
        <v>0</v>
      </c>
      <c r="P494" t="n">
        <v>0</v>
      </c>
      <c r="Q494" t="n">
        <v>0</v>
      </c>
      <c r="R494" s="2" t="inlineStr"/>
    </row>
    <row r="495" ht="15" customHeight="1">
      <c r="A495" t="inlineStr">
        <is>
          <t>A 52908-2023</t>
        </is>
      </c>
      <c r="B495" s="1" t="n">
        <v>45226.49950231481</v>
      </c>
      <c r="C495" s="1" t="n">
        <v>45901</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35121-2025</t>
        </is>
      </c>
      <c r="B496" s="1" t="n">
        <v>45852.60936342592</v>
      </c>
      <c r="C496" s="1" t="n">
        <v>45901</v>
      </c>
      <c r="D496" t="inlineStr">
        <is>
          <t>DALARNAS LÄN</t>
        </is>
      </c>
      <c r="E496" t="inlineStr">
        <is>
          <t>MORA</t>
        </is>
      </c>
      <c r="F496" t="inlineStr">
        <is>
          <t>Bergvik skog öst AB</t>
        </is>
      </c>
      <c r="G496" t="n">
        <v>15.9</v>
      </c>
      <c r="H496" t="n">
        <v>0</v>
      </c>
      <c r="I496" t="n">
        <v>0</v>
      </c>
      <c r="J496" t="n">
        <v>0</v>
      </c>
      <c r="K496" t="n">
        <v>0</v>
      </c>
      <c r="L496" t="n">
        <v>0</v>
      </c>
      <c r="M496" t="n">
        <v>0</v>
      </c>
      <c r="N496" t="n">
        <v>0</v>
      </c>
      <c r="O496" t="n">
        <v>0</v>
      </c>
      <c r="P496" t="n">
        <v>0</v>
      </c>
      <c r="Q496" t="n">
        <v>0</v>
      </c>
      <c r="R496" s="2" t="inlineStr"/>
    </row>
    <row r="497" ht="15" customHeight="1">
      <c r="A497" t="inlineStr">
        <is>
          <t>A 19896-2021</t>
        </is>
      </c>
      <c r="B497" s="1" t="n">
        <v>44313.54942129629</v>
      </c>
      <c r="C497" s="1" t="n">
        <v>45901</v>
      </c>
      <c r="D497" t="inlineStr">
        <is>
          <t>DALARNAS LÄN</t>
        </is>
      </c>
      <c r="E497" t="inlineStr">
        <is>
          <t>MORA</t>
        </is>
      </c>
      <c r="G497" t="n">
        <v>1.8</v>
      </c>
      <c r="H497" t="n">
        <v>0</v>
      </c>
      <c r="I497" t="n">
        <v>0</v>
      </c>
      <c r="J497" t="n">
        <v>0</v>
      </c>
      <c r="K497" t="n">
        <v>0</v>
      </c>
      <c r="L497" t="n">
        <v>0</v>
      </c>
      <c r="M497" t="n">
        <v>0</v>
      </c>
      <c r="N497" t="n">
        <v>0</v>
      </c>
      <c r="O497" t="n">
        <v>0</v>
      </c>
      <c r="P497" t="n">
        <v>0</v>
      </c>
      <c r="Q497" t="n">
        <v>0</v>
      </c>
      <c r="R497" s="2" t="inlineStr"/>
    </row>
    <row r="498" ht="15" customHeight="1">
      <c r="A498" t="inlineStr">
        <is>
          <t>A 8343-2025</t>
        </is>
      </c>
      <c r="B498" s="1" t="n">
        <v>45708.67253472222</v>
      </c>
      <c r="C498" s="1" t="n">
        <v>45901</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51253-2023</t>
        </is>
      </c>
      <c r="B499" s="1" t="n">
        <v>45219</v>
      </c>
      <c r="C499" s="1" t="n">
        <v>45901</v>
      </c>
      <c r="D499" t="inlineStr">
        <is>
          <t>DALARNAS LÄN</t>
        </is>
      </c>
      <c r="E499" t="inlineStr">
        <is>
          <t>MORA</t>
        </is>
      </c>
      <c r="G499" t="n">
        <v>5</v>
      </c>
      <c r="H499" t="n">
        <v>0</v>
      </c>
      <c r="I499" t="n">
        <v>0</v>
      </c>
      <c r="J499" t="n">
        <v>0</v>
      </c>
      <c r="K499" t="n">
        <v>0</v>
      </c>
      <c r="L499" t="n">
        <v>0</v>
      </c>
      <c r="M499" t="n">
        <v>0</v>
      </c>
      <c r="N499" t="n">
        <v>0</v>
      </c>
      <c r="O499" t="n">
        <v>0</v>
      </c>
      <c r="P499" t="n">
        <v>0</v>
      </c>
      <c r="Q499" t="n">
        <v>0</v>
      </c>
      <c r="R499" s="2" t="inlineStr"/>
    </row>
    <row r="500" ht="15" customHeight="1">
      <c r="A500" t="inlineStr">
        <is>
          <t>A 58116-2022</t>
        </is>
      </c>
      <c r="B500" s="1" t="n">
        <v>44900.65716435185</v>
      </c>
      <c r="C500" s="1" t="n">
        <v>45901</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40660-2025</t>
        </is>
      </c>
      <c r="B501" s="1" t="n">
        <v>45896.64631944444</v>
      </c>
      <c r="C501" s="1" t="n">
        <v>45901</v>
      </c>
      <c r="D501" t="inlineStr">
        <is>
          <t>DALARNAS LÄN</t>
        </is>
      </c>
      <c r="E501" t="inlineStr">
        <is>
          <t>MORA</t>
        </is>
      </c>
      <c r="F501" t="inlineStr">
        <is>
          <t>Bergvik skog väst AB</t>
        </is>
      </c>
      <c r="G501" t="n">
        <v>5.4</v>
      </c>
      <c r="H501" t="n">
        <v>0</v>
      </c>
      <c r="I501" t="n">
        <v>0</v>
      </c>
      <c r="J501" t="n">
        <v>0</v>
      </c>
      <c r="K501" t="n">
        <v>0</v>
      </c>
      <c r="L501" t="n">
        <v>0</v>
      </c>
      <c r="M501" t="n">
        <v>0</v>
      </c>
      <c r="N501" t="n">
        <v>0</v>
      </c>
      <c r="O501" t="n">
        <v>0</v>
      </c>
      <c r="P501" t="n">
        <v>0</v>
      </c>
      <c r="Q501" t="n">
        <v>0</v>
      </c>
      <c r="R501" s="2" t="inlineStr"/>
    </row>
    <row r="502" ht="15" customHeight="1">
      <c r="A502" t="inlineStr">
        <is>
          <t>A 40661-2025</t>
        </is>
      </c>
      <c r="B502" s="1" t="n">
        <v>45896.64715277778</v>
      </c>
      <c r="C502" s="1" t="n">
        <v>45901</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40471-2025</t>
        </is>
      </c>
      <c r="B503" s="1" t="n">
        <v>45895.67356481482</v>
      </c>
      <c r="C503" s="1" t="n">
        <v>45901</v>
      </c>
      <c r="D503" t="inlineStr">
        <is>
          <t>DALARNAS LÄN</t>
        </is>
      </c>
      <c r="E503" t="inlineStr">
        <is>
          <t>MORA</t>
        </is>
      </c>
      <c r="G503" t="n">
        <v>2.8</v>
      </c>
      <c r="H503" t="n">
        <v>0</v>
      </c>
      <c r="I503" t="n">
        <v>0</v>
      </c>
      <c r="J503" t="n">
        <v>0</v>
      </c>
      <c r="K503" t="n">
        <v>0</v>
      </c>
      <c r="L503" t="n">
        <v>0</v>
      </c>
      <c r="M503" t="n">
        <v>0</v>
      </c>
      <c r="N503" t="n">
        <v>0</v>
      </c>
      <c r="O503" t="n">
        <v>0</v>
      </c>
      <c r="P503" t="n">
        <v>0</v>
      </c>
      <c r="Q503" t="n">
        <v>0</v>
      </c>
      <c r="R503" s="2" t="inlineStr"/>
    </row>
    <row r="504" ht="15" customHeight="1">
      <c r="A504" t="inlineStr">
        <is>
          <t>A 40313-2025</t>
        </is>
      </c>
      <c r="B504" s="1" t="n">
        <v>45895.42209490741</v>
      </c>
      <c r="C504" s="1" t="n">
        <v>45901</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17164-2025</t>
        </is>
      </c>
      <c r="B505" s="1" t="n">
        <v>45756.36403935185</v>
      </c>
      <c r="C505" s="1" t="n">
        <v>45901</v>
      </c>
      <c r="D505" t="inlineStr">
        <is>
          <t>DALARNAS LÄN</t>
        </is>
      </c>
      <c r="E505" t="inlineStr">
        <is>
          <t>MORA</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41200-2025</t>
        </is>
      </c>
      <c r="B506" s="1" t="n">
        <v>45898.5738425926</v>
      </c>
      <c r="C506" s="1" t="n">
        <v>45901</v>
      </c>
      <c r="D506" t="inlineStr">
        <is>
          <t>DALARNAS LÄN</t>
        </is>
      </c>
      <c r="E506" t="inlineStr">
        <is>
          <t>MORA</t>
        </is>
      </c>
      <c r="G506" t="n">
        <v>8.9</v>
      </c>
      <c r="H506" t="n">
        <v>0</v>
      </c>
      <c r="I506" t="n">
        <v>0</v>
      </c>
      <c r="J506" t="n">
        <v>0</v>
      </c>
      <c r="K506" t="n">
        <v>0</v>
      </c>
      <c r="L506" t="n">
        <v>0</v>
      </c>
      <c r="M506" t="n">
        <v>0</v>
      </c>
      <c r="N506" t="n">
        <v>0</v>
      </c>
      <c r="O506" t="n">
        <v>0</v>
      </c>
      <c r="P506" t="n">
        <v>0</v>
      </c>
      <c r="Q506" t="n">
        <v>0</v>
      </c>
      <c r="R506" s="2" t="inlineStr"/>
    </row>
    <row r="507" ht="15" customHeight="1">
      <c r="A507" t="inlineStr">
        <is>
          <t>A 40805-2025</t>
        </is>
      </c>
      <c r="B507" s="1" t="n">
        <v>45897.46659722222</v>
      </c>
      <c r="C507" s="1" t="n">
        <v>45901</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41175-2025</t>
        </is>
      </c>
      <c r="B508" s="1" t="n">
        <v>45898.55165509259</v>
      </c>
      <c r="C508" s="1" t="n">
        <v>45901</v>
      </c>
      <c r="D508" t="inlineStr">
        <is>
          <t>DALARNAS LÄN</t>
        </is>
      </c>
      <c r="E508" t="inlineStr">
        <is>
          <t>MORA</t>
        </is>
      </c>
      <c r="G508" t="n">
        <v>4.5</v>
      </c>
      <c r="H508" t="n">
        <v>0</v>
      </c>
      <c r="I508" t="n">
        <v>0</v>
      </c>
      <c r="J508" t="n">
        <v>0</v>
      </c>
      <c r="K508" t="n">
        <v>0</v>
      </c>
      <c r="L508" t="n">
        <v>0</v>
      </c>
      <c r="M508" t="n">
        <v>0</v>
      </c>
      <c r="N508" t="n">
        <v>0</v>
      </c>
      <c r="O508" t="n">
        <v>0</v>
      </c>
      <c r="P508" t="n">
        <v>0</v>
      </c>
      <c r="Q508" t="n">
        <v>0</v>
      </c>
      <c r="R508" s="2" t="inlineStr"/>
    </row>
    <row r="509" ht="15" customHeight="1">
      <c r="A509" t="inlineStr">
        <is>
          <t>A 35407-2025</t>
        </is>
      </c>
      <c r="B509" s="1" t="n">
        <v>45855.35989583333</v>
      </c>
      <c r="C509" s="1" t="n">
        <v>45901</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33666-2024</t>
        </is>
      </c>
      <c r="B510" s="1" t="n">
        <v>45520.48304398148</v>
      </c>
      <c r="C510" s="1" t="n">
        <v>45901</v>
      </c>
      <c r="D510" t="inlineStr">
        <is>
          <t>DALARNAS LÄN</t>
        </is>
      </c>
      <c r="E510" t="inlineStr">
        <is>
          <t>MORA</t>
        </is>
      </c>
      <c r="G510" t="n">
        <v>0.7</v>
      </c>
      <c r="H510" t="n">
        <v>0</v>
      </c>
      <c r="I510" t="n">
        <v>0</v>
      </c>
      <c r="J510" t="n">
        <v>0</v>
      </c>
      <c r="K510" t="n">
        <v>0</v>
      </c>
      <c r="L510" t="n">
        <v>0</v>
      </c>
      <c r="M510" t="n">
        <v>0</v>
      </c>
      <c r="N510" t="n">
        <v>0</v>
      </c>
      <c r="O510" t="n">
        <v>0</v>
      </c>
      <c r="P510" t="n">
        <v>0</v>
      </c>
      <c r="Q510" t="n">
        <v>0</v>
      </c>
      <c r="R510" s="2" t="inlineStr"/>
    </row>
    <row r="511" ht="15" customHeight="1">
      <c r="A511" t="inlineStr">
        <is>
          <t>A 37774-2022</t>
        </is>
      </c>
      <c r="B511" s="1" t="n">
        <v>44810.64164351852</v>
      </c>
      <c r="C511" s="1" t="n">
        <v>45901</v>
      </c>
      <c r="D511" t="inlineStr">
        <is>
          <t>DALARNAS LÄN</t>
        </is>
      </c>
      <c r="E511" t="inlineStr">
        <is>
          <t>MORA</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22854-2023</t>
        </is>
      </c>
      <c r="B512" s="1" t="n">
        <v>45072</v>
      </c>
      <c r="C512" s="1" t="n">
        <v>45901</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42941-2024</t>
        </is>
      </c>
      <c r="B513" s="1" t="n">
        <v>45567.3515162037</v>
      </c>
      <c r="C513" s="1" t="n">
        <v>45901</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39674-2023</t>
        </is>
      </c>
      <c r="B514" s="1" t="n">
        <v>45167</v>
      </c>
      <c r="C514" s="1" t="n">
        <v>45901</v>
      </c>
      <c r="D514" t="inlineStr">
        <is>
          <t>DALARNAS LÄN</t>
        </is>
      </c>
      <c r="E514" t="inlineStr">
        <is>
          <t>MORA</t>
        </is>
      </c>
      <c r="G514" t="n">
        <v>2.4</v>
      </c>
      <c r="H514" t="n">
        <v>0</v>
      </c>
      <c r="I514" t="n">
        <v>0</v>
      </c>
      <c r="J514" t="n">
        <v>0</v>
      </c>
      <c r="K514" t="n">
        <v>0</v>
      </c>
      <c r="L514" t="n">
        <v>0</v>
      </c>
      <c r="M514" t="n">
        <v>0</v>
      </c>
      <c r="N514" t="n">
        <v>0</v>
      </c>
      <c r="O514" t="n">
        <v>0</v>
      </c>
      <c r="P514" t="n">
        <v>0</v>
      </c>
      <c r="Q514" t="n">
        <v>0</v>
      </c>
      <c r="R514" s="2" t="inlineStr"/>
    </row>
    <row r="515" ht="15" customHeight="1">
      <c r="A515" t="inlineStr">
        <is>
          <t>A 53341-2023</t>
        </is>
      </c>
      <c r="B515" s="1" t="n">
        <v>45229</v>
      </c>
      <c r="C515" s="1" t="n">
        <v>45901</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56532-2024</t>
        </is>
      </c>
      <c r="B516" s="1" t="n">
        <v>45625.55440972222</v>
      </c>
      <c r="C516" s="1" t="n">
        <v>45901</v>
      </c>
      <c r="D516" t="inlineStr">
        <is>
          <t>DALARNAS LÄN</t>
        </is>
      </c>
      <c r="E516" t="inlineStr">
        <is>
          <t>MORA</t>
        </is>
      </c>
      <c r="G516" t="n">
        <v>6.9</v>
      </c>
      <c r="H516" t="n">
        <v>0</v>
      </c>
      <c r="I516" t="n">
        <v>0</v>
      </c>
      <c r="J516" t="n">
        <v>0</v>
      </c>
      <c r="K516" t="n">
        <v>0</v>
      </c>
      <c r="L516" t="n">
        <v>0</v>
      </c>
      <c r="M516" t="n">
        <v>0</v>
      </c>
      <c r="N516" t="n">
        <v>0</v>
      </c>
      <c r="O516" t="n">
        <v>0</v>
      </c>
      <c r="P516" t="n">
        <v>0</v>
      </c>
      <c r="Q516" t="n">
        <v>0</v>
      </c>
      <c r="R516" s="2" t="inlineStr"/>
    </row>
    <row r="517" ht="15" customHeight="1">
      <c r="A517" t="inlineStr">
        <is>
          <t>A 24465-2021</t>
        </is>
      </c>
      <c r="B517" s="1" t="n">
        <v>44337</v>
      </c>
      <c r="C517" s="1" t="n">
        <v>45901</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5001-2025</t>
        </is>
      </c>
      <c r="B518" s="1" t="n">
        <v>45691.36403935185</v>
      </c>
      <c r="C518" s="1" t="n">
        <v>45901</v>
      </c>
      <c r="D518" t="inlineStr">
        <is>
          <t>DALARNAS LÄN</t>
        </is>
      </c>
      <c r="E518" t="inlineStr">
        <is>
          <t>MORA</t>
        </is>
      </c>
      <c r="G518" t="n">
        <v>1.3</v>
      </c>
      <c r="H518" t="n">
        <v>0</v>
      </c>
      <c r="I518" t="n">
        <v>0</v>
      </c>
      <c r="J518" t="n">
        <v>0</v>
      </c>
      <c r="K518" t="n">
        <v>0</v>
      </c>
      <c r="L518" t="n">
        <v>0</v>
      </c>
      <c r="M518" t="n">
        <v>0</v>
      </c>
      <c r="N518" t="n">
        <v>0</v>
      </c>
      <c r="O518" t="n">
        <v>0</v>
      </c>
      <c r="P518" t="n">
        <v>0</v>
      </c>
      <c r="Q518" t="n">
        <v>0</v>
      </c>
      <c r="R518" s="2" t="inlineStr"/>
    </row>
    <row r="519" ht="15" customHeight="1">
      <c r="A519" t="inlineStr">
        <is>
          <t>A 5298-2023</t>
        </is>
      </c>
      <c r="B519" s="1" t="n">
        <v>44959.54355324074</v>
      </c>
      <c r="C519" s="1" t="n">
        <v>45901</v>
      </c>
      <c r="D519" t="inlineStr">
        <is>
          <t>DALARNAS LÄN</t>
        </is>
      </c>
      <c r="E519" t="inlineStr">
        <is>
          <t>MORA</t>
        </is>
      </c>
      <c r="F519" t="inlineStr">
        <is>
          <t>Bergvik skog väst AB</t>
        </is>
      </c>
      <c r="G519" t="n">
        <v>6.2</v>
      </c>
      <c r="H519" t="n">
        <v>0</v>
      </c>
      <c r="I519" t="n">
        <v>0</v>
      </c>
      <c r="J519" t="n">
        <v>0</v>
      </c>
      <c r="K519" t="n">
        <v>0</v>
      </c>
      <c r="L519" t="n">
        <v>0</v>
      </c>
      <c r="M519" t="n">
        <v>0</v>
      </c>
      <c r="N519" t="n">
        <v>0</v>
      </c>
      <c r="O519" t="n">
        <v>0</v>
      </c>
      <c r="P519" t="n">
        <v>0</v>
      </c>
      <c r="Q519" t="n">
        <v>0</v>
      </c>
      <c r="R519" s="2" t="inlineStr"/>
    </row>
    <row r="520" ht="15" customHeight="1">
      <c r="A520" t="inlineStr">
        <is>
          <t>A 59002-2024</t>
        </is>
      </c>
      <c r="B520" s="1" t="n">
        <v>45636</v>
      </c>
      <c r="C520" s="1" t="n">
        <v>45901</v>
      </c>
      <c r="D520" t="inlineStr">
        <is>
          <t>DALARNAS LÄN</t>
        </is>
      </c>
      <c r="E520" t="inlineStr">
        <is>
          <t>MORA</t>
        </is>
      </c>
      <c r="F520" t="inlineStr">
        <is>
          <t>Bergvik skog väst AB</t>
        </is>
      </c>
      <c r="G520" t="n">
        <v>24.8</v>
      </c>
      <c r="H520" t="n">
        <v>0</v>
      </c>
      <c r="I520" t="n">
        <v>0</v>
      </c>
      <c r="J520" t="n">
        <v>0</v>
      </c>
      <c r="K520" t="n">
        <v>0</v>
      </c>
      <c r="L520" t="n">
        <v>0</v>
      </c>
      <c r="M520" t="n">
        <v>0</v>
      </c>
      <c r="N520" t="n">
        <v>0</v>
      </c>
      <c r="O520" t="n">
        <v>0</v>
      </c>
      <c r="P520" t="n">
        <v>0</v>
      </c>
      <c r="Q520" t="n">
        <v>0</v>
      </c>
      <c r="R520" s="2" t="inlineStr"/>
    </row>
    <row r="521" ht="15" customHeight="1">
      <c r="A521" t="inlineStr">
        <is>
          <t>A 54903-2024</t>
        </is>
      </c>
      <c r="B521" s="1" t="n">
        <v>45618</v>
      </c>
      <c r="C521" s="1" t="n">
        <v>45901</v>
      </c>
      <c r="D521" t="inlineStr">
        <is>
          <t>DALARNAS LÄN</t>
        </is>
      </c>
      <c r="E521" t="inlineStr">
        <is>
          <t>MORA</t>
        </is>
      </c>
      <c r="G521" t="n">
        <v>28.2</v>
      </c>
      <c r="H521" t="n">
        <v>0</v>
      </c>
      <c r="I521" t="n">
        <v>0</v>
      </c>
      <c r="J521" t="n">
        <v>0</v>
      </c>
      <c r="K521" t="n">
        <v>0</v>
      </c>
      <c r="L521" t="n">
        <v>0</v>
      </c>
      <c r="M521" t="n">
        <v>0</v>
      </c>
      <c r="N521" t="n">
        <v>0</v>
      </c>
      <c r="O521" t="n">
        <v>0</v>
      </c>
      <c r="P521" t="n">
        <v>0</v>
      </c>
      <c r="Q521" t="n">
        <v>0</v>
      </c>
      <c r="R521" s="2" t="inlineStr"/>
    </row>
    <row r="522" ht="15" customHeight="1">
      <c r="A522" t="inlineStr">
        <is>
          <t>A 44106-2023</t>
        </is>
      </c>
      <c r="B522" s="1" t="n">
        <v>45188</v>
      </c>
      <c r="C522" s="1" t="n">
        <v>45901</v>
      </c>
      <c r="D522" t="inlineStr">
        <is>
          <t>DALARNAS LÄN</t>
        </is>
      </c>
      <c r="E522" t="inlineStr">
        <is>
          <t>MORA</t>
        </is>
      </c>
      <c r="G522" t="n">
        <v>10.1</v>
      </c>
      <c r="H522" t="n">
        <v>0</v>
      </c>
      <c r="I522" t="n">
        <v>0</v>
      </c>
      <c r="J522" t="n">
        <v>0</v>
      </c>
      <c r="K522" t="n">
        <v>0</v>
      </c>
      <c r="L522" t="n">
        <v>0</v>
      </c>
      <c r="M522" t="n">
        <v>0</v>
      </c>
      <c r="N522" t="n">
        <v>0</v>
      </c>
      <c r="O522" t="n">
        <v>0</v>
      </c>
      <c r="P522" t="n">
        <v>0</v>
      </c>
      <c r="Q522" t="n">
        <v>0</v>
      </c>
      <c r="R522" s="2" t="inlineStr"/>
    </row>
    <row r="523" ht="15" customHeight="1">
      <c r="A523" t="inlineStr">
        <is>
          <t>A 57091-2021</t>
        </is>
      </c>
      <c r="B523" s="1" t="n">
        <v>44482</v>
      </c>
      <c r="C523" s="1" t="n">
        <v>45901</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4994-2025</t>
        </is>
      </c>
      <c r="B524" s="1" t="n">
        <v>45691.35427083333</v>
      </c>
      <c r="C524" s="1" t="n">
        <v>45901</v>
      </c>
      <c r="D524" t="inlineStr">
        <is>
          <t>DALARNAS LÄN</t>
        </is>
      </c>
      <c r="E524" t="inlineStr">
        <is>
          <t>MORA</t>
        </is>
      </c>
      <c r="G524" t="n">
        <v>4.6</v>
      </c>
      <c r="H524" t="n">
        <v>0</v>
      </c>
      <c r="I524" t="n">
        <v>0</v>
      </c>
      <c r="J524" t="n">
        <v>0</v>
      </c>
      <c r="K524" t="n">
        <v>0</v>
      </c>
      <c r="L524" t="n">
        <v>0</v>
      </c>
      <c r="M524" t="n">
        <v>0</v>
      </c>
      <c r="N524" t="n">
        <v>0</v>
      </c>
      <c r="O524" t="n">
        <v>0</v>
      </c>
      <c r="P524" t="n">
        <v>0</v>
      </c>
      <c r="Q524" t="n">
        <v>0</v>
      </c>
      <c r="R524" s="2" t="inlineStr"/>
    </row>
    <row r="525" ht="15" customHeight="1">
      <c r="A525" t="inlineStr">
        <is>
          <t>A 35287-2024</t>
        </is>
      </c>
      <c r="B525" s="1" t="n">
        <v>45530</v>
      </c>
      <c r="C525" s="1" t="n">
        <v>45901</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18702-2025</t>
        </is>
      </c>
      <c r="B526" s="1" t="n">
        <v>45763.63166666667</v>
      </c>
      <c r="C526" s="1" t="n">
        <v>45901</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7766-2025</t>
        </is>
      </c>
      <c r="B527" s="1" t="n">
        <v>45706.5562037037</v>
      </c>
      <c r="C527" s="1" t="n">
        <v>45901</v>
      </c>
      <c r="D527" t="inlineStr">
        <is>
          <t>DALARNAS LÄN</t>
        </is>
      </c>
      <c r="E527" t="inlineStr">
        <is>
          <t>MORA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12478-2025</t>
        </is>
      </c>
      <c r="B528" s="1" t="n">
        <v>45730.57429398148</v>
      </c>
      <c r="C528" s="1" t="n">
        <v>45901</v>
      </c>
      <c r="D528" t="inlineStr">
        <is>
          <t>DALARNAS LÄN</t>
        </is>
      </c>
      <c r="E528" t="inlineStr">
        <is>
          <t>MORA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30030-2021</t>
        </is>
      </c>
      <c r="B529" s="1" t="n">
        <v>44363</v>
      </c>
      <c r="C529" s="1" t="n">
        <v>45901</v>
      </c>
      <c r="D529" t="inlineStr">
        <is>
          <t>DALARNAS LÄN</t>
        </is>
      </c>
      <c r="E529" t="inlineStr">
        <is>
          <t>MORA</t>
        </is>
      </c>
      <c r="G529" t="n">
        <v>7.1</v>
      </c>
      <c r="H529" t="n">
        <v>0</v>
      </c>
      <c r="I529" t="n">
        <v>0</v>
      </c>
      <c r="J529" t="n">
        <v>0</v>
      </c>
      <c r="K529" t="n">
        <v>0</v>
      </c>
      <c r="L529" t="n">
        <v>0</v>
      </c>
      <c r="M529" t="n">
        <v>0</v>
      </c>
      <c r="N529" t="n">
        <v>0</v>
      </c>
      <c r="O529" t="n">
        <v>0</v>
      </c>
      <c r="P529" t="n">
        <v>0</v>
      </c>
      <c r="Q529" t="n">
        <v>0</v>
      </c>
      <c r="R529" s="2" t="inlineStr"/>
    </row>
    <row r="530" ht="15" customHeight="1">
      <c r="A530" t="inlineStr">
        <is>
          <t>A 31085-2024</t>
        </is>
      </c>
      <c r="B530" s="1" t="n">
        <v>45502.48047453703</v>
      </c>
      <c r="C530" s="1" t="n">
        <v>45901</v>
      </c>
      <c r="D530" t="inlineStr">
        <is>
          <t>DALARNAS LÄN</t>
        </is>
      </c>
      <c r="E530" t="inlineStr">
        <is>
          <t>MORA</t>
        </is>
      </c>
      <c r="G530" t="n">
        <v>1.6</v>
      </c>
      <c r="H530" t="n">
        <v>0</v>
      </c>
      <c r="I530" t="n">
        <v>0</v>
      </c>
      <c r="J530" t="n">
        <v>0</v>
      </c>
      <c r="K530" t="n">
        <v>0</v>
      </c>
      <c r="L530" t="n">
        <v>0</v>
      </c>
      <c r="M530" t="n">
        <v>0</v>
      </c>
      <c r="N530" t="n">
        <v>0</v>
      </c>
      <c r="O530" t="n">
        <v>0</v>
      </c>
      <c r="P530" t="n">
        <v>0</v>
      </c>
      <c r="Q530" t="n">
        <v>0</v>
      </c>
      <c r="R530" s="2" t="inlineStr"/>
    </row>
    <row r="531" ht="15" customHeight="1">
      <c r="A531" t="inlineStr">
        <is>
          <t>A 14040-2023</t>
        </is>
      </c>
      <c r="B531" s="1" t="n">
        <v>45008.64575231481</v>
      </c>
      <c r="C531" s="1" t="n">
        <v>45901</v>
      </c>
      <c r="D531" t="inlineStr">
        <is>
          <t>DALARNAS LÄN</t>
        </is>
      </c>
      <c r="E531" t="inlineStr">
        <is>
          <t>MORA</t>
        </is>
      </c>
      <c r="G531" t="n">
        <v>1.3</v>
      </c>
      <c r="H531" t="n">
        <v>0</v>
      </c>
      <c r="I531" t="n">
        <v>0</v>
      </c>
      <c r="J531" t="n">
        <v>0</v>
      </c>
      <c r="K531" t="n">
        <v>0</v>
      </c>
      <c r="L531" t="n">
        <v>0</v>
      </c>
      <c r="M531" t="n">
        <v>0</v>
      </c>
      <c r="N531" t="n">
        <v>0</v>
      </c>
      <c r="O531" t="n">
        <v>0</v>
      </c>
      <c r="P531" t="n">
        <v>0</v>
      </c>
      <c r="Q531" t="n">
        <v>0</v>
      </c>
      <c r="R531" s="2" t="inlineStr"/>
    </row>
    <row r="532" ht="15" customHeight="1">
      <c r="A532" t="inlineStr">
        <is>
          <t>A 44071-2024</t>
        </is>
      </c>
      <c r="B532" s="1" t="n">
        <v>45572.60915509259</v>
      </c>
      <c r="C532" s="1" t="n">
        <v>45901</v>
      </c>
      <c r="D532" t="inlineStr">
        <is>
          <t>DALARNAS LÄN</t>
        </is>
      </c>
      <c r="E532" t="inlineStr">
        <is>
          <t>MORA</t>
        </is>
      </c>
      <c r="G532" t="n">
        <v>4.5</v>
      </c>
      <c r="H532" t="n">
        <v>0</v>
      </c>
      <c r="I532" t="n">
        <v>0</v>
      </c>
      <c r="J532" t="n">
        <v>0</v>
      </c>
      <c r="K532" t="n">
        <v>0</v>
      </c>
      <c r="L532" t="n">
        <v>0</v>
      </c>
      <c r="M532" t="n">
        <v>0</v>
      </c>
      <c r="N532" t="n">
        <v>0</v>
      </c>
      <c r="O532" t="n">
        <v>0</v>
      </c>
      <c r="P532" t="n">
        <v>0</v>
      </c>
      <c r="Q532" t="n">
        <v>0</v>
      </c>
      <c r="R532" s="2" t="inlineStr"/>
    </row>
    <row r="533" ht="15" customHeight="1">
      <c r="A533" t="inlineStr">
        <is>
          <t>A 12490-2025</t>
        </is>
      </c>
      <c r="B533" s="1" t="n">
        <v>45730.59239583334</v>
      </c>
      <c r="C533" s="1" t="n">
        <v>45901</v>
      </c>
      <c r="D533" t="inlineStr">
        <is>
          <t>DALARNAS LÄN</t>
        </is>
      </c>
      <c r="E533" t="inlineStr">
        <is>
          <t>MORA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55331-2022</t>
        </is>
      </c>
      <c r="B534" s="1" t="n">
        <v>44887.43714120371</v>
      </c>
      <c r="C534" s="1" t="n">
        <v>45901</v>
      </c>
      <c r="D534" t="inlineStr">
        <is>
          <t>DALARNAS LÄN</t>
        </is>
      </c>
      <c r="E534" t="inlineStr">
        <is>
          <t>MORA</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16965-2025</t>
        </is>
      </c>
      <c r="B535" s="1" t="n">
        <v>45755.45715277778</v>
      </c>
      <c r="C535" s="1" t="n">
        <v>45901</v>
      </c>
      <c r="D535" t="inlineStr">
        <is>
          <t>DALARNAS LÄN</t>
        </is>
      </c>
      <c r="E535" t="inlineStr">
        <is>
          <t>MORA</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45475-2023</t>
        </is>
      </c>
      <c r="B536" s="1" t="n">
        <v>45188</v>
      </c>
      <c r="C536" s="1" t="n">
        <v>45901</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11919-2024</t>
        </is>
      </c>
      <c r="B537" s="1" t="n">
        <v>45376.61019675926</v>
      </c>
      <c r="C537" s="1" t="n">
        <v>45901</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45901</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45315-2024</t>
        </is>
      </c>
      <c r="B539" s="1" t="n">
        <v>45576.43782407408</v>
      </c>
      <c r="C539" s="1" t="n">
        <v>45901</v>
      </c>
      <c r="D539" t="inlineStr">
        <is>
          <t>DALARNAS LÄN</t>
        </is>
      </c>
      <c r="E539" t="inlineStr">
        <is>
          <t>MORA</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46801-2022</t>
        </is>
      </c>
      <c r="B540" s="1" t="n">
        <v>44851</v>
      </c>
      <c r="C540" s="1" t="n">
        <v>45901</v>
      </c>
      <c r="D540" t="inlineStr">
        <is>
          <t>DALARNAS LÄN</t>
        </is>
      </c>
      <c r="E540" t="inlineStr">
        <is>
          <t>MORA</t>
        </is>
      </c>
      <c r="G540" t="n">
        <v>1.5</v>
      </c>
      <c r="H540" t="n">
        <v>0</v>
      </c>
      <c r="I540" t="n">
        <v>0</v>
      </c>
      <c r="J540" t="n">
        <v>0</v>
      </c>
      <c r="K540" t="n">
        <v>0</v>
      </c>
      <c r="L540" t="n">
        <v>0</v>
      </c>
      <c r="M540" t="n">
        <v>0</v>
      </c>
      <c r="N540" t="n">
        <v>0</v>
      </c>
      <c r="O540" t="n">
        <v>0</v>
      </c>
      <c r="P540" t="n">
        <v>0</v>
      </c>
      <c r="Q540" t="n">
        <v>0</v>
      </c>
      <c r="R540" s="2" t="inlineStr"/>
    </row>
    <row r="541" ht="15" customHeight="1">
      <c r="A541" t="inlineStr">
        <is>
          <t>A 70141-2021</t>
        </is>
      </c>
      <c r="B541" s="1" t="n">
        <v>44533</v>
      </c>
      <c r="C541" s="1" t="n">
        <v>45901</v>
      </c>
      <c r="D541" t="inlineStr">
        <is>
          <t>DALARNAS LÄN</t>
        </is>
      </c>
      <c r="E541" t="inlineStr">
        <is>
          <t>MORA</t>
        </is>
      </c>
      <c r="G541" t="n">
        <v>4.1</v>
      </c>
      <c r="H541" t="n">
        <v>0</v>
      </c>
      <c r="I541" t="n">
        <v>0</v>
      </c>
      <c r="J541" t="n">
        <v>0</v>
      </c>
      <c r="K541" t="n">
        <v>0</v>
      </c>
      <c r="L541" t="n">
        <v>0</v>
      </c>
      <c r="M541" t="n">
        <v>0</v>
      </c>
      <c r="N541" t="n">
        <v>0</v>
      </c>
      <c r="O541" t="n">
        <v>0</v>
      </c>
      <c r="P541" t="n">
        <v>0</v>
      </c>
      <c r="Q541" t="n">
        <v>0</v>
      </c>
      <c r="R541" s="2" t="inlineStr"/>
    </row>
    <row r="542" ht="15" customHeight="1">
      <c r="A542" t="inlineStr">
        <is>
          <t>A 56767-2023</t>
        </is>
      </c>
      <c r="B542" s="1" t="n">
        <v>45244</v>
      </c>
      <c r="C542" s="1" t="n">
        <v>45901</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40949-2023</t>
        </is>
      </c>
      <c r="B543" s="1" t="n">
        <v>45173</v>
      </c>
      <c r="C543" s="1" t="n">
        <v>45901</v>
      </c>
      <c r="D543" t="inlineStr">
        <is>
          <t>DALARNAS LÄN</t>
        </is>
      </c>
      <c r="E543" t="inlineStr">
        <is>
          <t>MORA</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66232-2021</t>
        </is>
      </c>
      <c r="B544" s="1" t="n">
        <v>44518.39234953704</v>
      </c>
      <c r="C544" s="1" t="n">
        <v>45901</v>
      </c>
      <c r="D544" t="inlineStr">
        <is>
          <t>DALARNAS LÄN</t>
        </is>
      </c>
      <c r="E544" t="inlineStr">
        <is>
          <t>MORA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17529-2023</t>
        </is>
      </c>
      <c r="B545" s="1" t="n">
        <v>45036.46804398148</v>
      </c>
      <c r="C545" s="1" t="n">
        <v>45901</v>
      </c>
      <c r="D545" t="inlineStr">
        <is>
          <t>DALARNAS LÄN</t>
        </is>
      </c>
      <c r="E545" t="inlineStr">
        <is>
          <t>MORA</t>
        </is>
      </c>
      <c r="G545" t="n">
        <v>6</v>
      </c>
      <c r="H545" t="n">
        <v>0</v>
      </c>
      <c r="I545" t="n">
        <v>0</v>
      </c>
      <c r="J545" t="n">
        <v>0</v>
      </c>
      <c r="K545" t="n">
        <v>0</v>
      </c>
      <c r="L545" t="n">
        <v>0</v>
      </c>
      <c r="M545" t="n">
        <v>0</v>
      </c>
      <c r="N545" t="n">
        <v>0</v>
      </c>
      <c r="O545" t="n">
        <v>0</v>
      </c>
      <c r="P545" t="n">
        <v>0</v>
      </c>
      <c r="Q545" t="n">
        <v>0</v>
      </c>
      <c r="R545" s="2" t="inlineStr"/>
    </row>
    <row r="546" ht="15" customHeight="1">
      <c r="A546" t="inlineStr">
        <is>
          <t>A 4209-2023</t>
        </is>
      </c>
      <c r="B546" s="1" t="n">
        <v>44953</v>
      </c>
      <c r="C546" s="1" t="n">
        <v>45901</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44307-2021</t>
        </is>
      </c>
      <c r="B547" s="1" t="n">
        <v>44435</v>
      </c>
      <c r="C547" s="1" t="n">
        <v>45901</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34272-2024</t>
        </is>
      </c>
      <c r="B548" s="1" t="n">
        <v>45524.61752314815</v>
      </c>
      <c r="C548" s="1" t="n">
        <v>45901</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8146-2021</t>
        </is>
      </c>
      <c r="B549" s="1" t="n">
        <v>44244</v>
      </c>
      <c r="C549" s="1" t="n">
        <v>45901</v>
      </c>
      <c r="D549" t="inlineStr">
        <is>
          <t>DALARNAS LÄN</t>
        </is>
      </c>
      <c r="E549" t="inlineStr">
        <is>
          <t>MORA</t>
        </is>
      </c>
      <c r="G549" t="n">
        <v>2.1</v>
      </c>
      <c r="H549" t="n">
        <v>0</v>
      </c>
      <c r="I549" t="n">
        <v>0</v>
      </c>
      <c r="J549" t="n">
        <v>0</v>
      </c>
      <c r="K549" t="n">
        <v>0</v>
      </c>
      <c r="L549" t="n">
        <v>0</v>
      </c>
      <c r="M549" t="n">
        <v>0</v>
      </c>
      <c r="N549" t="n">
        <v>0</v>
      </c>
      <c r="O549" t="n">
        <v>0</v>
      </c>
      <c r="P549" t="n">
        <v>0</v>
      </c>
      <c r="Q549" t="n">
        <v>0</v>
      </c>
      <c r="R549" s="2" t="inlineStr"/>
    </row>
    <row r="550" ht="15" customHeight="1">
      <c r="A550" t="inlineStr">
        <is>
          <t>A 28131-2024</t>
        </is>
      </c>
      <c r="B550" s="1" t="n">
        <v>45476.68435185185</v>
      </c>
      <c r="C550" s="1" t="n">
        <v>45901</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28132-2024</t>
        </is>
      </c>
      <c r="B551" s="1" t="n">
        <v>45476.68616898148</v>
      </c>
      <c r="C551" s="1" t="n">
        <v>45901</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39344-2024</t>
        </is>
      </c>
      <c r="B552" s="1" t="n">
        <v>45551.44503472222</v>
      </c>
      <c r="C552" s="1" t="n">
        <v>45901</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26314-2021</t>
        </is>
      </c>
      <c r="B553" s="1" t="n">
        <v>44347</v>
      </c>
      <c r="C553" s="1" t="n">
        <v>45901</v>
      </c>
      <c r="D553" t="inlineStr">
        <is>
          <t>DALARNAS LÄN</t>
        </is>
      </c>
      <c r="E553" t="inlineStr">
        <is>
          <t>MORA</t>
        </is>
      </c>
      <c r="G553" t="n">
        <v>0.7</v>
      </c>
      <c r="H553" t="n">
        <v>0</v>
      </c>
      <c r="I553" t="n">
        <v>0</v>
      </c>
      <c r="J553" t="n">
        <v>0</v>
      </c>
      <c r="K553" t="n">
        <v>0</v>
      </c>
      <c r="L553" t="n">
        <v>0</v>
      </c>
      <c r="M553" t="n">
        <v>0</v>
      </c>
      <c r="N553" t="n">
        <v>0</v>
      </c>
      <c r="O553" t="n">
        <v>0</v>
      </c>
      <c r="P553" t="n">
        <v>0</v>
      </c>
      <c r="Q553" t="n">
        <v>0</v>
      </c>
      <c r="R553" s="2" t="inlineStr"/>
    </row>
    <row r="554" ht="15" customHeight="1">
      <c r="A554" t="inlineStr">
        <is>
          <t>A 57608-2021</t>
        </is>
      </c>
      <c r="B554" s="1" t="n">
        <v>44484</v>
      </c>
      <c r="C554" s="1" t="n">
        <v>45901</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23586-2023</t>
        </is>
      </c>
      <c r="B555" s="1" t="n">
        <v>45077</v>
      </c>
      <c r="C555" s="1" t="n">
        <v>45901</v>
      </c>
      <c r="D555" t="inlineStr">
        <is>
          <t>DALARNAS LÄN</t>
        </is>
      </c>
      <c r="E555" t="inlineStr">
        <is>
          <t>MORA</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5644-2024</t>
        </is>
      </c>
      <c r="B556" s="1" t="n">
        <v>45334</v>
      </c>
      <c r="C556" s="1" t="n">
        <v>45901</v>
      </c>
      <c r="D556" t="inlineStr">
        <is>
          <t>DALARNAS LÄN</t>
        </is>
      </c>
      <c r="E556" t="inlineStr">
        <is>
          <t>MORA</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54257-2023</t>
        </is>
      </c>
      <c r="B557" s="1" t="n">
        <v>45232.64195601852</v>
      </c>
      <c r="C557" s="1" t="n">
        <v>45901</v>
      </c>
      <c r="D557" t="inlineStr">
        <is>
          <t>DALARNAS LÄN</t>
        </is>
      </c>
      <c r="E557" t="inlineStr">
        <is>
          <t>MORA</t>
        </is>
      </c>
      <c r="G557" t="n">
        <v>4</v>
      </c>
      <c r="H557" t="n">
        <v>0</v>
      </c>
      <c r="I557" t="n">
        <v>0</v>
      </c>
      <c r="J557" t="n">
        <v>0</v>
      </c>
      <c r="K557" t="n">
        <v>0</v>
      </c>
      <c r="L557" t="n">
        <v>0</v>
      </c>
      <c r="M557" t="n">
        <v>0</v>
      </c>
      <c r="N557" t="n">
        <v>0</v>
      </c>
      <c r="O557" t="n">
        <v>0</v>
      </c>
      <c r="P557" t="n">
        <v>0</v>
      </c>
      <c r="Q557" t="n">
        <v>0</v>
      </c>
      <c r="R557" s="2" t="inlineStr"/>
    </row>
    <row r="558" ht="15" customHeight="1">
      <c r="A558" t="inlineStr">
        <is>
          <t>A 37385-2022</t>
        </is>
      </c>
      <c r="B558" s="1" t="n">
        <v>44806</v>
      </c>
      <c r="C558" s="1" t="n">
        <v>45901</v>
      </c>
      <c r="D558" t="inlineStr">
        <is>
          <t>DALARNAS LÄN</t>
        </is>
      </c>
      <c r="E558" t="inlineStr">
        <is>
          <t>MORA</t>
        </is>
      </c>
      <c r="G558" t="n">
        <v>2.2</v>
      </c>
      <c r="H558" t="n">
        <v>0</v>
      </c>
      <c r="I558" t="n">
        <v>0</v>
      </c>
      <c r="J558" t="n">
        <v>0</v>
      </c>
      <c r="K558" t="n">
        <v>0</v>
      </c>
      <c r="L558" t="n">
        <v>0</v>
      </c>
      <c r="M558" t="n">
        <v>0</v>
      </c>
      <c r="N558" t="n">
        <v>0</v>
      </c>
      <c r="O558" t="n">
        <v>0</v>
      </c>
      <c r="P558" t="n">
        <v>0</v>
      </c>
      <c r="Q558" t="n">
        <v>0</v>
      </c>
      <c r="R558" s="2" t="inlineStr"/>
    </row>
    <row r="559" ht="15" customHeight="1">
      <c r="A559" t="inlineStr">
        <is>
          <t>A 18559-2024</t>
        </is>
      </c>
      <c r="B559" s="1" t="n">
        <v>45425.66265046296</v>
      </c>
      <c r="C559" s="1" t="n">
        <v>45901</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61217-2023</t>
        </is>
      </c>
      <c r="B560" s="1" t="n">
        <v>45264.43802083333</v>
      </c>
      <c r="C560" s="1" t="n">
        <v>45901</v>
      </c>
      <c r="D560" t="inlineStr">
        <is>
          <t>DALARNAS LÄN</t>
        </is>
      </c>
      <c r="E560" t="inlineStr">
        <is>
          <t>MORA</t>
        </is>
      </c>
      <c r="F560" t="inlineStr">
        <is>
          <t>Allmännings- och besparingsskogar</t>
        </is>
      </c>
      <c r="G560" t="n">
        <v>2</v>
      </c>
      <c r="H560" t="n">
        <v>0</v>
      </c>
      <c r="I560" t="n">
        <v>0</v>
      </c>
      <c r="J560" t="n">
        <v>0</v>
      </c>
      <c r="K560" t="n">
        <v>0</v>
      </c>
      <c r="L560" t="n">
        <v>0</v>
      </c>
      <c r="M560" t="n">
        <v>0</v>
      </c>
      <c r="N560" t="n">
        <v>0</v>
      </c>
      <c r="O560" t="n">
        <v>0</v>
      </c>
      <c r="P560" t="n">
        <v>0</v>
      </c>
      <c r="Q560" t="n">
        <v>0</v>
      </c>
      <c r="R560" s="2" t="inlineStr"/>
    </row>
    <row r="561" ht="15" customHeight="1">
      <c r="A561" t="inlineStr">
        <is>
          <t>A 61218-2023</t>
        </is>
      </c>
      <c r="B561" s="1" t="n">
        <v>45264</v>
      </c>
      <c r="C561" s="1" t="n">
        <v>45901</v>
      </c>
      <c r="D561" t="inlineStr">
        <is>
          <t>DALARNAS LÄN</t>
        </is>
      </c>
      <c r="E561" t="inlineStr">
        <is>
          <t>MORA</t>
        </is>
      </c>
      <c r="F561" t="inlineStr">
        <is>
          <t>Allmännings- och besparingsskogar</t>
        </is>
      </c>
      <c r="G561" t="n">
        <v>2.6</v>
      </c>
      <c r="H561" t="n">
        <v>0</v>
      </c>
      <c r="I561" t="n">
        <v>0</v>
      </c>
      <c r="J561" t="n">
        <v>0</v>
      </c>
      <c r="K561" t="n">
        <v>0</v>
      </c>
      <c r="L561" t="n">
        <v>0</v>
      </c>
      <c r="M561" t="n">
        <v>0</v>
      </c>
      <c r="N561" t="n">
        <v>0</v>
      </c>
      <c r="O561" t="n">
        <v>0</v>
      </c>
      <c r="P561" t="n">
        <v>0</v>
      </c>
      <c r="Q561" t="n">
        <v>0</v>
      </c>
      <c r="R561" s="2" t="inlineStr"/>
    </row>
    <row r="562" ht="15" customHeight="1">
      <c r="A562" t="inlineStr">
        <is>
          <t>A 43641-2022</t>
        </is>
      </c>
      <c r="B562" s="1" t="n">
        <v>44837</v>
      </c>
      <c r="C562" s="1" t="n">
        <v>45901</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45901</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35363-2024</t>
        </is>
      </c>
      <c r="B564" s="1" t="n">
        <v>45531.34050925926</v>
      </c>
      <c r="C564" s="1" t="n">
        <v>45901</v>
      </c>
      <c r="D564" t="inlineStr">
        <is>
          <t>DALARNAS LÄN</t>
        </is>
      </c>
      <c r="E564" t="inlineStr">
        <is>
          <t>MORA</t>
        </is>
      </c>
      <c r="G564" t="n">
        <v>2.5</v>
      </c>
      <c r="H564" t="n">
        <v>0</v>
      </c>
      <c r="I564" t="n">
        <v>0</v>
      </c>
      <c r="J564" t="n">
        <v>0</v>
      </c>
      <c r="K564" t="n">
        <v>0</v>
      </c>
      <c r="L564" t="n">
        <v>0</v>
      </c>
      <c r="M564" t="n">
        <v>0</v>
      </c>
      <c r="N564" t="n">
        <v>0</v>
      </c>
      <c r="O564" t="n">
        <v>0</v>
      </c>
      <c r="P564" t="n">
        <v>0</v>
      </c>
      <c r="Q564" t="n">
        <v>0</v>
      </c>
      <c r="R564" s="2" t="inlineStr"/>
    </row>
    <row r="565" ht="15" customHeight="1">
      <c r="A565" t="inlineStr">
        <is>
          <t>A 58972-2023</t>
        </is>
      </c>
      <c r="B565" s="1" t="n">
        <v>45252</v>
      </c>
      <c r="C565" s="1" t="n">
        <v>45901</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58171-2024</t>
        </is>
      </c>
      <c r="B566" s="1" t="n">
        <v>45632.46545138889</v>
      </c>
      <c r="C566" s="1" t="n">
        <v>45901</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33513-2024</t>
        </is>
      </c>
      <c r="B567" s="1" t="n">
        <v>45519.644375</v>
      </c>
      <c r="C567" s="1" t="n">
        <v>45901</v>
      </c>
      <c r="D567" t="inlineStr">
        <is>
          <t>DALARNAS LÄN</t>
        </is>
      </c>
      <c r="E567" t="inlineStr">
        <is>
          <t>MORA</t>
        </is>
      </c>
      <c r="G567" t="n">
        <v>5.9</v>
      </c>
      <c r="H567" t="n">
        <v>0</v>
      </c>
      <c r="I567" t="n">
        <v>0</v>
      </c>
      <c r="J567" t="n">
        <v>0</v>
      </c>
      <c r="K567" t="n">
        <v>0</v>
      </c>
      <c r="L567" t="n">
        <v>0</v>
      </c>
      <c r="M567" t="n">
        <v>0</v>
      </c>
      <c r="N567" t="n">
        <v>0</v>
      </c>
      <c r="O567" t="n">
        <v>0</v>
      </c>
      <c r="P567" t="n">
        <v>0</v>
      </c>
      <c r="Q567" t="n">
        <v>0</v>
      </c>
      <c r="R567" s="2" t="inlineStr"/>
    </row>
    <row r="568" ht="15" customHeight="1">
      <c r="A568" t="inlineStr">
        <is>
          <t>A 39856-2024</t>
        </is>
      </c>
      <c r="B568" s="1" t="n">
        <v>45553.44084490741</v>
      </c>
      <c r="C568" s="1" t="n">
        <v>45901</v>
      </c>
      <c r="D568" t="inlineStr">
        <is>
          <t>DALARNAS LÄN</t>
        </is>
      </c>
      <c r="E568" t="inlineStr">
        <is>
          <t>MORA</t>
        </is>
      </c>
      <c r="G568" t="n">
        <v>4.8</v>
      </c>
      <c r="H568" t="n">
        <v>0</v>
      </c>
      <c r="I568" t="n">
        <v>0</v>
      </c>
      <c r="J568" t="n">
        <v>0</v>
      </c>
      <c r="K568" t="n">
        <v>0</v>
      </c>
      <c r="L568" t="n">
        <v>0</v>
      </c>
      <c r="M568" t="n">
        <v>0</v>
      </c>
      <c r="N568" t="n">
        <v>0</v>
      </c>
      <c r="O568" t="n">
        <v>0</v>
      </c>
      <c r="P568" t="n">
        <v>0</v>
      </c>
      <c r="Q568" t="n">
        <v>0</v>
      </c>
      <c r="R568" s="2" t="inlineStr"/>
    </row>
    <row r="569" ht="15" customHeight="1">
      <c r="A569" t="inlineStr">
        <is>
          <t>A 59182-2023</t>
        </is>
      </c>
      <c r="B569" s="1" t="n">
        <v>45253</v>
      </c>
      <c r="C569" s="1" t="n">
        <v>45901</v>
      </c>
      <c r="D569" t="inlineStr">
        <is>
          <t>DALARNAS LÄN</t>
        </is>
      </c>
      <c r="E569" t="inlineStr">
        <is>
          <t>MORA</t>
        </is>
      </c>
      <c r="G569" t="n">
        <v>3.3</v>
      </c>
      <c r="H569" t="n">
        <v>0</v>
      </c>
      <c r="I569" t="n">
        <v>0</v>
      </c>
      <c r="J569" t="n">
        <v>0</v>
      </c>
      <c r="K569" t="n">
        <v>0</v>
      </c>
      <c r="L569" t="n">
        <v>0</v>
      </c>
      <c r="M569" t="n">
        <v>0</v>
      </c>
      <c r="N569" t="n">
        <v>0</v>
      </c>
      <c r="O569" t="n">
        <v>0</v>
      </c>
      <c r="P569" t="n">
        <v>0</v>
      </c>
      <c r="Q569" t="n">
        <v>0</v>
      </c>
      <c r="R569" s="2" t="inlineStr"/>
    </row>
    <row r="570" ht="15" customHeight="1">
      <c r="A570" t="inlineStr">
        <is>
          <t>A 60051-2022</t>
        </is>
      </c>
      <c r="B570" s="1" t="n">
        <v>44909.52385416667</v>
      </c>
      <c r="C570" s="1" t="n">
        <v>45901</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501-2024</t>
        </is>
      </c>
      <c r="B571" s="1" t="n">
        <v>45299</v>
      </c>
      <c r="C571" s="1" t="n">
        <v>45901</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64327-2023</t>
        </is>
      </c>
      <c r="B572" s="1" t="n">
        <v>45280</v>
      </c>
      <c r="C572" s="1" t="n">
        <v>45901</v>
      </c>
      <c r="D572" t="inlineStr">
        <is>
          <t>DALARNAS LÄN</t>
        </is>
      </c>
      <c r="E572" t="inlineStr">
        <is>
          <t>MORA</t>
        </is>
      </c>
      <c r="G572" t="n">
        <v>0.8</v>
      </c>
      <c r="H572" t="n">
        <v>0</v>
      </c>
      <c r="I572" t="n">
        <v>0</v>
      </c>
      <c r="J572" t="n">
        <v>0</v>
      </c>
      <c r="K572" t="n">
        <v>0</v>
      </c>
      <c r="L572" t="n">
        <v>0</v>
      </c>
      <c r="M572" t="n">
        <v>0</v>
      </c>
      <c r="N572" t="n">
        <v>0</v>
      </c>
      <c r="O572" t="n">
        <v>0</v>
      </c>
      <c r="P572" t="n">
        <v>0</v>
      </c>
      <c r="Q572" t="n">
        <v>0</v>
      </c>
      <c r="R572" s="2" t="inlineStr"/>
    </row>
    <row r="573" ht="15" customHeight="1">
      <c r="A573" t="inlineStr">
        <is>
          <t>A 48390-2024</t>
        </is>
      </c>
      <c r="B573" s="1" t="n">
        <v>45590.60216435185</v>
      </c>
      <c r="C573" s="1" t="n">
        <v>45901</v>
      </c>
      <c r="D573" t="inlineStr">
        <is>
          <t>DALARNAS LÄN</t>
        </is>
      </c>
      <c r="E573" t="inlineStr">
        <is>
          <t>MORA</t>
        </is>
      </c>
      <c r="G573" t="n">
        <v>5</v>
      </c>
      <c r="H573" t="n">
        <v>0</v>
      </c>
      <c r="I573" t="n">
        <v>0</v>
      </c>
      <c r="J573" t="n">
        <v>0</v>
      </c>
      <c r="K573" t="n">
        <v>0</v>
      </c>
      <c r="L573" t="n">
        <v>0</v>
      </c>
      <c r="M573" t="n">
        <v>0</v>
      </c>
      <c r="N573" t="n">
        <v>0</v>
      </c>
      <c r="O573" t="n">
        <v>0</v>
      </c>
      <c r="P573" t="n">
        <v>0</v>
      </c>
      <c r="Q573" t="n">
        <v>0</v>
      </c>
      <c r="R573" s="2" t="inlineStr"/>
    </row>
    <row r="574" ht="15" customHeight="1">
      <c r="A574" t="inlineStr">
        <is>
          <t>A 17494-2025</t>
        </is>
      </c>
      <c r="B574" s="1" t="n">
        <v>45757.52033564815</v>
      </c>
      <c r="C574" s="1" t="n">
        <v>45901</v>
      </c>
      <c r="D574" t="inlineStr">
        <is>
          <t>DALARNAS LÄN</t>
        </is>
      </c>
      <c r="E574" t="inlineStr">
        <is>
          <t>MORA</t>
        </is>
      </c>
      <c r="G574" t="n">
        <v>5.3</v>
      </c>
      <c r="H574" t="n">
        <v>0</v>
      </c>
      <c r="I574" t="n">
        <v>0</v>
      </c>
      <c r="J574" t="n">
        <v>0</v>
      </c>
      <c r="K574" t="n">
        <v>0</v>
      </c>
      <c r="L574" t="n">
        <v>0</v>
      </c>
      <c r="M574" t="n">
        <v>0</v>
      </c>
      <c r="N574" t="n">
        <v>0</v>
      </c>
      <c r="O574" t="n">
        <v>0</v>
      </c>
      <c r="P574" t="n">
        <v>0</v>
      </c>
      <c r="Q574" t="n">
        <v>0</v>
      </c>
      <c r="R574" s="2" t="inlineStr"/>
    </row>
    <row r="575" ht="15" customHeight="1">
      <c r="A575" t="inlineStr">
        <is>
          <t>A 55671-2024</t>
        </is>
      </c>
      <c r="B575" s="1" t="n">
        <v>45622.65269675926</v>
      </c>
      <c r="C575" s="1" t="n">
        <v>45901</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58958-2022</t>
        </is>
      </c>
      <c r="B576" s="1" t="n">
        <v>44903.6605324074</v>
      </c>
      <c r="C576" s="1" t="n">
        <v>45901</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12987-2024</t>
        </is>
      </c>
      <c r="B577" s="1" t="n">
        <v>45385.55375</v>
      </c>
      <c r="C577" s="1" t="n">
        <v>45901</v>
      </c>
      <c r="D577" t="inlineStr">
        <is>
          <t>DALARNAS LÄN</t>
        </is>
      </c>
      <c r="E577" t="inlineStr">
        <is>
          <t>MORA</t>
        </is>
      </c>
      <c r="G577" t="n">
        <v>1.3</v>
      </c>
      <c r="H577" t="n">
        <v>0</v>
      </c>
      <c r="I577" t="n">
        <v>0</v>
      </c>
      <c r="J577" t="n">
        <v>0</v>
      </c>
      <c r="K577" t="n">
        <v>0</v>
      </c>
      <c r="L577" t="n">
        <v>0</v>
      </c>
      <c r="M577" t="n">
        <v>0</v>
      </c>
      <c r="N577" t="n">
        <v>0</v>
      </c>
      <c r="O577" t="n">
        <v>0</v>
      </c>
      <c r="P577" t="n">
        <v>0</v>
      </c>
      <c r="Q577" t="n">
        <v>0</v>
      </c>
      <c r="R577" s="2" t="inlineStr"/>
    </row>
    <row r="578" ht="15" customHeight="1">
      <c r="A578" t="inlineStr">
        <is>
          <t>A 29188-2023</t>
        </is>
      </c>
      <c r="B578" s="1" t="n">
        <v>45105.54270833333</v>
      </c>
      <c r="C578" s="1" t="n">
        <v>45901</v>
      </c>
      <c r="D578" t="inlineStr">
        <is>
          <t>DALARNAS LÄN</t>
        </is>
      </c>
      <c r="E578" t="inlineStr">
        <is>
          <t>MORA</t>
        </is>
      </c>
      <c r="G578" t="n">
        <v>0.8</v>
      </c>
      <c r="H578" t="n">
        <v>0</v>
      </c>
      <c r="I578" t="n">
        <v>0</v>
      </c>
      <c r="J578" t="n">
        <v>0</v>
      </c>
      <c r="K578" t="n">
        <v>0</v>
      </c>
      <c r="L578" t="n">
        <v>0</v>
      </c>
      <c r="M578" t="n">
        <v>0</v>
      </c>
      <c r="N578" t="n">
        <v>0</v>
      </c>
      <c r="O578" t="n">
        <v>0</v>
      </c>
      <c r="P578" t="n">
        <v>0</v>
      </c>
      <c r="Q578" t="n">
        <v>0</v>
      </c>
      <c r="R578" s="2" t="inlineStr"/>
    </row>
    <row r="579" ht="15" customHeight="1">
      <c r="A579" t="inlineStr">
        <is>
          <t>A 442-2024</t>
        </is>
      </c>
      <c r="B579" s="1" t="n">
        <v>45296.60353009259</v>
      </c>
      <c r="C579" s="1" t="n">
        <v>45901</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15172-2025</t>
        </is>
      </c>
      <c r="B580" s="1" t="n">
        <v>45744.50722222222</v>
      </c>
      <c r="C580" s="1" t="n">
        <v>45901</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53546-2024</t>
        </is>
      </c>
      <c r="B581" s="1" t="n">
        <v>45614.63725694444</v>
      </c>
      <c r="C581" s="1" t="n">
        <v>45901</v>
      </c>
      <c r="D581" t="inlineStr">
        <is>
          <t>DALARNAS LÄN</t>
        </is>
      </c>
      <c r="E581" t="inlineStr">
        <is>
          <t>MORA</t>
        </is>
      </c>
      <c r="G581" t="n">
        <v>2.6</v>
      </c>
      <c r="H581" t="n">
        <v>0</v>
      </c>
      <c r="I581" t="n">
        <v>0</v>
      </c>
      <c r="J581" t="n">
        <v>0</v>
      </c>
      <c r="K581" t="n">
        <v>0</v>
      </c>
      <c r="L581" t="n">
        <v>0</v>
      </c>
      <c r="M581" t="n">
        <v>0</v>
      </c>
      <c r="N581" t="n">
        <v>0</v>
      </c>
      <c r="O581" t="n">
        <v>0</v>
      </c>
      <c r="P581" t="n">
        <v>0</v>
      </c>
      <c r="Q581" t="n">
        <v>0</v>
      </c>
      <c r="R581" s="2" t="inlineStr"/>
    </row>
    <row r="582" ht="15" customHeight="1">
      <c r="A582" t="inlineStr">
        <is>
          <t>A 4208-2023</t>
        </is>
      </c>
      <c r="B582" s="1" t="n">
        <v>44953</v>
      </c>
      <c r="C582" s="1" t="n">
        <v>45901</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4210-2023</t>
        </is>
      </c>
      <c r="B583" s="1" t="n">
        <v>44953.44965277778</v>
      </c>
      <c r="C583" s="1" t="n">
        <v>45901</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5491-2023</t>
        </is>
      </c>
      <c r="B584" s="1" t="n">
        <v>44957</v>
      </c>
      <c r="C584" s="1" t="n">
        <v>45901</v>
      </c>
      <c r="D584" t="inlineStr">
        <is>
          <t>DALARNAS LÄN</t>
        </is>
      </c>
      <c r="E584" t="inlineStr">
        <is>
          <t>MORA</t>
        </is>
      </c>
      <c r="G584" t="n">
        <v>3.5</v>
      </c>
      <c r="H584" t="n">
        <v>0</v>
      </c>
      <c r="I584" t="n">
        <v>0</v>
      </c>
      <c r="J584" t="n">
        <v>0</v>
      </c>
      <c r="K584" t="n">
        <v>0</v>
      </c>
      <c r="L584" t="n">
        <v>0</v>
      </c>
      <c r="M584" t="n">
        <v>0</v>
      </c>
      <c r="N584" t="n">
        <v>0</v>
      </c>
      <c r="O584" t="n">
        <v>0</v>
      </c>
      <c r="P584" t="n">
        <v>0</v>
      </c>
      <c r="Q584" t="n">
        <v>0</v>
      </c>
      <c r="R584" s="2" t="inlineStr"/>
    </row>
    <row r="585" ht="15" customHeight="1">
      <c r="A585" t="inlineStr">
        <is>
          <t>A 5493-2023</t>
        </is>
      </c>
      <c r="B585" s="1" t="n">
        <v>44957</v>
      </c>
      <c r="C585" s="1" t="n">
        <v>45901</v>
      </c>
      <c r="D585" t="inlineStr">
        <is>
          <t>DALARNAS LÄN</t>
        </is>
      </c>
      <c r="E585" t="inlineStr">
        <is>
          <t>MORA</t>
        </is>
      </c>
      <c r="F585" t="inlineStr">
        <is>
          <t>Allmännings- och besparingsskogar</t>
        </is>
      </c>
      <c r="G585" t="n">
        <v>14.9</v>
      </c>
      <c r="H585" t="n">
        <v>0</v>
      </c>
      <c r="I585" t="n">
        <v>0</v>
      </c>
      <c r="J585" t="n">
        <v>0</v>
      </c>
      <c r="K585" t="n">
        <v>0</v>
      </c>
      <c r="L585" t="n">
        <v>0</v>
      </c>
      <c r="M585" t="n">
        <v>0</v>
      </c>
      <c r="N585" t="n">
        <v>0</v>
      </c>
      <c r="O585" t="n">
        <v>0</v>
      </c>
      <c r="P585" t="n">
        <v>0</v>
      </c>
      <c r="Q585" t="n">
        <v>0</v>
      </c>
      <c r="R585" s="2" t="inlineStr"/>
    </row>
    <row r="586" ht="15" customHeight="1">
      <c r="A586" t="inlineStr">
        <is>
          <t>A 17278-2025</t>
        </is>
      </c>
      <c r="B586" s="1" t="n">
        <v>45756.56131944444</v>
      </c>
      <c r="C586" s="1" t="n">
        <v>45901</v>
      </c>
      <c r="D586" t="inlineStr">
        <is>
          <t>DALARNAS LÄN</t>
        </is>
      </c>
      <c r="E586" t="inlineStr">
        <is>
          <t>MORA</t>
        </is>
      </c>
      <c r="G586" t="n">
        <v>3</v>
      </c>
      <c r="H586" t="n">
        <v>0</v>
      </c>
      <c r="I586" t="n">
        <v>0</v>
      </c>
      <c r="J586" t="n">
        <v>0</v>
      </c>
      <c r="K586" t="n">
        <v>0</v>
      </c>
      <c r="L586" t="n">
        <v>0</v>
      </c>
      <c r="M586" t="n">
        <v>0</v>
      </c>
      <c r="N586" t="n">
        <v>0</v>
      </c>
      <c r="O586" t="n">
        <v>0</v>
      </c>
      <c r="P586" t="n">
        <v>0</v>
      </c>
      <c r="Q586" t="n">
        <v>0</v>
      </c>
      <c r="R586" s="2" t="inlineStr"/>
    </row>
    <row r="587" ht="15" customHeight="1">
      <c r="A587" t="inlineStr">
        <is>
          <t>A 33627-2024</t>
        </is>
      </c>
      <c r="B587" s="1" t="n">
        <v>45520</v>
      </c>
      <c r="C587" s="1" t="n">
        <v>45901</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9554-2025</t>
        </is>
      </c>
      <c r="B588" s="1" t="n">
        <v>45715.59936342593</v>
      </c>
      <c r="C588" s="1" t="n">
        <v>45901</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11463-2024</t>
        </is>
      </c>
      <c r="B589" s="1" t="n">
        <v>45372.58969907407</v>
      </c>
      <c r="C589" s="1" t="n">
        <v>45901</v>
      </c>
      <c r="D589" t="inlineStr">
        <is>
          <t>DALARNAS LÄN</t>
        </is>
      </c>
      <c r="E589" t="inlineStr">
        <is>
          <t>MORA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60674-2023</t>
        </is>
      </c>
      <c r="B590" s="1" t="n">
        <v>45260.46609953704</v>
      </c>
      <c r="C590" s="1" t="n">
        <v>45901</v>
      </c>
      <c r="D590" t="inlineStr">
        <is>
          <t>DALARNAS LÄN</t>
        </is>
      </c>
      <c r="E590" t="inlineStr">
        <is>
          <t>MORA</t>
        </is>
      </c>
      <c r="G590" t="n">
        <v>2.9</v>
      </c>
      <c r="H590" t="n">
        <v>0</v>
      </c>
      <c r="I590" t="n">
        <v>0</v>
      </c>
      <c r="J590" t="n">
        <v>0</v>
      </c>
      <c r="K590" t="n">
        <v>0</v>
      </c>
      <c r="L590" t="n">
        <v>0</v>
      </c>
      <c r="M590" t="n">
        <v>0</v>
      </c>
      <c r="N590" t="n">
        <v>0</v>
      </c>
      <c r="O590" t="n">
        <v>0</v>
      </c>
      <c r="P590" t="n">
        <v>0</v>
      </c>
      <c r="Q590" t="n">
        <v>0</v>
      </c>
      <c r="R590" s="2" t="inlineStr"/>
    </row>
    <row r="591" ht="15" customHeight="1">
      <c r="A591" t="inlineStr">
        <is>
          <t>A 61293-2022</t>
        </is>
      </c>
      <c r="B591" s="1" t="n">
        <v>44915.62751157407</v>
      </c>
      <c r="C591" s="1" t="n">
        <v>45901</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60360-2023</t>
        </is>
      </c>
      <c r="B592" s="1" t="n">
        <v>45259</v>
      </c>
      <c r="C592" s="1" t="n">
        <v>45901</v>
      </c>
      <c r="D592" t="inlineStr">
        <is>
          <t>DALARNAS LÄN</t>
        </is>
      </c>
      <c r="E592" t="inlineStr">
        <is>
          <t>MORA</t>
        </is>
      </c>
      <c r="G592" t="n">
        <v>2.9</v>
      </c>
      <c r="H592" t="n">
        <v>0</v>
      </c>
      <c r="I592" t="n">
        <v>0</v>
      </c>
      <c r="J592" t="n">
        <v>0</v>
      </c>
      <c r="K592" t="n">
        <v>0</v>
      </c>
      <c r="L592" t="n">
        <v>0</v>
      </c>
      <c r="M592" t="n">
        <v>0</v>
      </c>
      <c r="N592" t="n">
        <v>0</v>
      </c>
      <c r="O592" t="n">
        <v>0</v>
      </c>
      <c r="P592" t="n">
        <v>0</v>
      </c>
      <c r="Q592" t="n">
        <v>0</v>
      </c>
      <c r="R592" s="2" t="inlineStr"/>
    </row>
    <row r="593" ht="15" customHeight="1">
      <c r="A593" t="inlineStr">
        <is>
          <t>A 18139-2025</t>
        </is>
      </c>
      <c r="B593" s="1" t="n">
        <v>45761.60459490741</v>
      </c>
      <c r="C593" s="1" t="n">
        <v>45901</v>
      </c>
      <c r="D593" t="inlineStr">
        <is>
          <t>DALARNAS LÄN</t>
        </is>
      </c>
      <c r="E593" t="inlineStr">
        <is>
          <t>MORA</t>
        </is>
      </c>
      <c r="F593" t="inlineStr">
        <is>
          <t>Bergvik skog öst AB</t>
        </is>
      </c>
      <c r="G593" t="n">
        <v>3</v>
      </c>
      <c r="H593" t="n">
        <v>0</v>
      </c>
      <c r="I593" t="n">
        <v>0</v>
      </c>
      <c r="J593" t="n">
        <v>0</v>
      </c>
      <c r="K593" t="n">
        <v>0</v>
      </c>
      <c r="L593" t="n">
        <v>0</v>
      </c>
      <c r="M593" t="n">
        <v>0</v>
      </c>
      <c r="N593" t="n">
        <v>0</v>
      </c>
      <c r="O593" t="n">
        <v>0</v>
      </c>
      <c r="P593" t="n">
        <v>0</v>
      </c>
      <c r="Q593" t="n">
        <v>0</v>
      </c>
      <c r="R593" s="2" t="inlineStr"/>
    </row>
    <row r="594" ht="15" customHeight="1">
      <c r="A594" t="inlineStr">
        <is>
          <t>A 25499-2024</t>
        </is>
      </c>
      <c r="B594" s="1" t="n">
        <v>45463</v>
      </c>
      <c r="C594" s="1" t="n">
        <v>45901</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27975-2023</t>
        </is>
      </c>
      <c r="B595" s="1" t="n">
        <v>45098</v>
      </c>
      <c r="C595" s="1" t="n">
        <v>45901</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5769-2025</t>
        </is>
      </c>
      <c r="B596" s="1" t="n">
        <v>45694.59288194445</v>
      </c>
      <c r="C596" s="1" t="n">
        <v>45901</v>
      </c>
      <c r="D596" t="inlineStr">
        <is>
          <t>DALARNAS LÄN</t>
        </is>
      </c>
      <c r="E596" t="inlineStr">
        <is>
          <t>MORA</t>
        </is>
      </c>
      <c r="G596" t="n">
        <v>15.7</v>
      </c>
      <c r="H596" t="n">
        <v>0</v>
      </c>
      <c r="I596" t="n">
        <v>0</v>
      </c>
      <c r="J596" t="n">
        <v>0</v>
      </c>
      <c r="K596" t="n">
        <v>0</v>
      </c>
      <c r="L596" t="n">
        <v>0</v>
      </c>
      <c r="M596" t="n">
        <v>0</v>
      </c>
      <c r="N596" t="n">
        <v>0</v>
      </c>
      <c r="O596" t="n">
        <v>0</v>
      </c>
      <c r="P596" t="n">
        <v>0</v>
      </c>
      <c r="Q596" t="n">
        <v>0</v>
      </c>
      <c r="R596" s="2" t="inlineStr"/>
    </row>
    <row r="597" ht="15" customHeight="1">
      <c r="A597" t="inlineStr">
        <is>
          <t>A 59101-2024</t>
        </is>
      </c>
      <c r="B597" s="1" t="n">
        <v>45637.34074074074</v>
      </c>
      <c r="C597" s="1" t="n">
        <v>45901</v>
      </c>
      <c r="D597" t="inlineStr">
        <is>
          <t>DALARNAS LÄN</t>
        </is>
      </c>
      <c r="E597" t="inlineStr">
        <is>
          <t>MORA</t>
        </is>
      </c>
      <c r="F597" t="inlineStr">
        <is>
          <t>Allmännings- och besparingsskogar</t>
        </is>
      </c>
      <c r="G597" t="n">
        <v>1.2</v>
      </c>
      <c r="H597" t="n">
        <v>0</v>
      </c>
      <c r="I597" t="n">
        <v>0</v>
      </c>
      <c r="J597" t="n">
        <v>0</v>
      </c>
      <c r="K597" t="n">
        <v>0</v>
      </c>
      <c r="L597" t="n">
        <v>0</v>
      </c>
      <c r="M597" t="n">
        <v>0</v>
      </c>
      <c r="N597" t="n">
        <v>0</v>
      </c>
      <c r="O597" t="n">
        <v>0</v>
      </c>
      <c r="P597" t="n">
        <v>0</v>
      </c>
      <c r="Q597" t="n">
        <v>0</v>
      </c>
      <c r="R597" s="2" t="inlineStr"/>
    </row>
    <row r="598" ht="15" customHeight="1">
      <c r="A598" t="inlineStr">
        <is>
          <t>A 43874-2024</t>
        </is>
      </c>
      <c r="B598" s="1" t="n">
        <v>45572.38476851852</v>
      </c>
      <c r="C598" s="1" t="n">
        <v>45901</v>
      </c>
      <c r="D598" t="inlineStr">
        <is>
          <t>DALARNAS LÄN</t>
        </is>
      </c>
      <c r="E598" t="inlineStr">
        <is>
          <t>MORA</t>
        </is>
      </c>
      <c r="G598" t="n">
        <v>3.6</v>
      </c>
      <c r="H598" t="n">
        <v>0</v>
      </c>
      <c r="I598" t="n">
        <v>0</v>
      </c>
      <c r="J598" t="n">
        <v>0</v>
      </c>
      <c r="K598" t="n">
        <v>0</v>
      </c>
      <c r="L598" t="n">
        <v>0</v>
      </c>
      <c r="M598" t="n">
        <v>0</v>
      </c>
      <c r="N598" t="n">
        <v>0</v>
      </c>
      <c r="O598" t="n">
        <v>0</v>
      </c>
      <c r="P598" t="n">
        <v>0</v>
      </c>
      <c r="Q598" t="n">
        <v>0</v>
      </c>
      <c r="R598" s="2" t="inlineStr"/>
    </row>
    <row r="599" ht="15" customHeight="1">
      <c r="A599" t="inlineStr">
        <is>
          <t>A 61405-2023</t>
        </is>
      </c>
      <c r="B599" s="1" t="n">
        <v>45264.65987268519</v>
      </c>
      <c r="C599" s="1" t="n">
        <v>45901</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57903-2022</t>
        </is>
      </c>
      <c r="B600" s="1" t="n">
        <v>44900.3521412037</v>
      </c>
      <c r="C600" s="1" t="n">
        <v>45901</v>
      </c>
      <c r="D600" t="inlineStr">
        <is>
          <t>DALARNAS LÄN</t>
        </is>
      </c>
      <c r="E600" t="inlineStr">
        <is>
          <t>MORA</t>
        </is>
      </c>
      <c r="G600" t="n">
        <v>4.3</v>
      </c>
      <c r="H600" t="n">
        <v>0</v>
      </c>
      <c r="I600" t="n">
        <v>0</v>
      </c>
      <c r="J600" t="n">
        <v>0</v>
      </c>
      <c r="K600" t="n">
        <v>0</v>
      </c>
      <c r="L600" t="n">
        <v>0</v>
      </c>
      <c r="M600" t="n">
        <v>0</v>
      </c>
      <c r="N600" t="n">
        <v>0</v>
      </c>
      <c r="O600" t="n">
        <v>0</v>
      </c>
      <c r="P600" t="n">
        <v>0</v>
      </c>
      <c r="Q600" t="n">
        <v>0</v>
      </c>
      <c r="R600" s="2" t="inlineStr"/>
    </row>
    <row r="601" ht="15" customHeight="1">
      <c r="A601" t="inlineStr">
        <is>
          <t>A 24169-2022</t>
        </is>
      </c>
      <c r="B601" s="1" t="n">
        <v>44725.50280092593</v>
      </c>
      <c r="C601" s="1" t="n">
        <v>45901</v>
      </c>
      <c r="D601" t="inlineStr">
        <is>
          <t>DALARNAS LÄN</t>
        </is>
      </c>
      <c r="E601" t="inlineStr">
        <is>
          <t>MORA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65186-2021</t>
        </is>
      </c>
      <c r="B602" s="1" t="n">
        <v>44515</v>
      </c>
      <c r="C602" s="1" t="n">
        <v>45901</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row>
    <row r="603" ht="15" customHeight="1">
      <c r="A603" t="inlineStr">
        <is>
          <t>A 58892-2023</t>
        </is>
      </c>
      <c r="B603" s="1" t="n">
        <v>45252.48592592592</v>
      </c>
      <c r="C603" s="1" t="n">
        <v>45901</v>
      </c>
      <c r="D603" t="inlineStr">
        <is>
          <t>DALARNAS LÄN</t>
        </is>
      </c>
      <c r="E603" t="inlineStr">
        <is>
          <t>MORA</t>
        </is>
      </c>
      <c r="G603" t="n">
        <v>2.2</v>
      </c>
      <c r="H603" t="n">
        <v>0</v>
      </c>
      <c r="I603" t="n">
        <v>0</v>
      </c>
      <c r="J603" t="n">
        <v>0</v>
      </c>
      <c r="K603" t="n">
        <v>0</v>
      </c>
      <c r="L603" t="n">
        <v>0</v>
      </c>
      <c r="M603" t="n">
        <v>0</v>
      </c>
      <c r="N603" t="n">
        <v>0</v>
      </c>
      <c r="O603" t="n">
        <v>0</v>
      </c>
      <c r="P603" t="n">
        <v>0</v>
      </c>
      <c r="Q603" t="n">
        <v>0</v>
      </c>
      <c r="R603" s="2" t="inlineStr"/>
    </row>
    <row r="604" ht="15" customHeight="1">
      <c r="A604" t="inlineStr">
        <is>
          <t>A 11442-2022</t>
        </is>
      </c>
      <c r="B604" s="1" t="n">
        <v>44630.62788194444</v>
      </c>
      <c r="C604" s="1" t="n">
        <v>45901</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6183-2024</t>
        </is>
      </c>
      <c r="B605" s="1" t="n">
        <v>45337.54135416666</v>
      </c>
      <c r="C605" s="1" t="n">
        <v>45901</v>
      </c>
      <c r="D605" t="inlineStr">
        <is>
          <t>DALARNAS LÄN</t>
        </is>
      </c>
      <c r="E605" t="inlineStr">
        <is>
          <t>MORA</t>
        </is>
      </c>
      <c r="G605" t="n">
        <v>7.9</v>
      </c>
      <c r="H605" t="n">
        <v>0</v>
      </c>
      <c r="I605" t="n">
        <v>0</v>
      </c>
      <c r="J605" t="n">
        <v>0</v>
      </c>
      <c r="K605" t="n">
        <v>0</v>
      </c>
      <c r="L605" t="n">
        <v>0</v>
      </c>
      <c r="M605" t="n">
        <v>0</v>
      </c>
      <c r="N605" t="n">
        <v>0</v>
      </c>
      <c r="O605" t="n">
        <v>0</v>
      </c>
      <c r="P605" t="n">
        <v>0</v>
      </c>
      <c r="Q605" t="n">
        <v>0</v>
      </c>
      <c r="R605" s="2" t="inlineStr"/>
    </row>
    <row r="606" ht="15" customHeight="1">
      <c r="A606" t="inlineStr">
        <is>
          <t>A 45562-2023</t>
        </is>
      </c>
      <c r="B606" s="1" t="n">
        <v>45194.59378472222</v>
      </c>
      <c r="C606" s="1" t="n">
        <v>45901</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45147.3934837963</v>
      </c>
      <c r="C607" s="1" t="n">
        <v>45901</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23300-2024</t>
        </is>
      </c>
      <c r="B608" s="1" t="n">
        <v>45453.43695601852</v>
      </c>
      <c r="C608" s="1" t="n">
        <v>45901</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56268-2024</t>
        </is>
      </c>
      <c r="B609" s="1" t="n">
        <v>45624.65785879629</v>
      </c>
      <c r="C609" s="1" t="n">
        <v>45901</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571-2024</t>
        </is>
      </c>
      <c r="B610" s="1" t="n">
        <v>45299</v>
      </c>
      <c r="C610" s="1" t="n">
        <v>45901</v>
      </c>
      <c r="D610" t="inlineStr">
        <is>
          <t>DALARNAS LÄN</t>
        </is>
      </c>
      <c r="E610" t="inlineStr">
        <is>
          <t>MORA</t>
        </is>
      </c>
      <c r="G610" t="n">
        <v>3.3</v>
      </c>
      <c r="H610" t="n">
        <v>0</v>
      </c>
      <c r="I610" t="n">
        <v>0</v>
      </c>
      <c r="J610" t="n">
        <v>0</v>
      </c>
      <c r="K610" t="n">
        <v>0</v>
      </c>
      <c r="L610" t="n">
        <v>0</v>
      </c>
      <c r="M610" t="n">
        <v>0</v>
      </c>
      <c r="N610" t="n">
        <v>0</v>
      </c>
      <c r="O610" t="n">
        <v>0</v>
      </c>
      <c r="P610" t="n">
        <v>0</v>
      </c>
      <c r="Q610" t="n">
        <v>0</v>
      </c>
      <c r="R610" s="2" t="inlineStr"/>
    </row>
    <row r="611" ht="15" customHeight="1">
      <c r="A611" t="inlineStr">
        <is>
          <t>A 50056-2022</t>
        </is>
      </c>
      <c r="B611" s="1" t="n">
        <v>44865</v>
      </c>
      <c r="C611" s="1" t="n">
        <v>45901</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15499-2024</t>
        </is>
      </c>
      <c r="B612" s="1" t="n">
        <v>45401.53798611111</v>
      </c>
      <c r="C612" s="1" t="n">
        <v>45901</v>
      </c>
      <c r="D612" t="inlineStr">
        <is>
          <t>DALARNAS LÄN</t>
        </is>
      </c>
      <c r="E612" t="inlineStr">
        <is>
          <t>MORA</t>
        </is>
      </c>
      <c r="G612" t="n">
        <v>1.2</v>
      </c>
      <c r="H612" t="n">
        <v>0</v>
      </c>
      <c r="I612" t="n">
        <v>0</v>
      </c>
      <c r="J612" t="n">
        <v>0</v>
      </c>
      <c r="K612" t="n">
        <v>0</v>
      </c>
      <c r="L612" t="n">
        <v>0</v>
      </c>
      <c r="M612" t="n">
        <v>0</v>
      </c>
      <c r="N612" t="n">
        <v>0</v>
      </c>
      <c r="O612" t="n">
        <v>0</v>
      </c>
      <c r="P612" t="n">
        <v>0</v>
      </c>
      <c r="Q612" t="n">
        <v>0</v>
      </c>
      <c r="R612" s="2" t="inlineStr"/>
    </row>
    <row r="613" ht="15" customHeight="1">
      <c r="A613" t="inlineStr">
        <is>
          <t>A 43879-2022</t>
        </is>
      </c>
      <c r="B613" s="1" t="n">
        <v>44838.46721064814</v>
      </c>
      <c r="C613" s="1" t="n">
        <v>45901</v>
      </c>
      <c r="D613" t="inlineStr">
        <is>
          <t>DALARNAS LÄN</t>
        </is>
      </c>
      <c r="E613" t="inlineStr">
        <is>
          <t>MORA</t>
        </is>
      </c>
      <c r="G613" t="n">
        <v>3.4</v>
      </c>
      <c r="H613" t="n">
        <v>0</v>
      </c>
      <c r="I613" t="n">
        <v>0</v>
      </c>
      <c r="J613" t="n">
        <v>0</v>
      </c>
      <c r="K613" t="n">
        <v>0</v>
      </c>
      <c r="L613" t="n">
        <v>0</v>
      </c>
      <c r="M613" t="n">
        <v>0</v>
      </c>
      <c r="N613" t="n">
        <v>0</v>
      </c>
      <c r="O613" t="n">
        <v>0</v>
      </c>
      <c r="P613" t="n">
        <v>0</v>
      </c>
      <c r="Q613" t="n">
        <v>0</v>
      </c>
      <c r="R613" s="2" t="inlineStr"/>
    </row>
    <row r="614" ht="15" customHeight="1">
      <c r="A614" t="inlineStr">
        <is>
          <t>A 39888-2024</t>
        </is>
      </c>
      <c r="B614" s="1" t="n">
        <v>45553.47538194444</v>
      </c>
      <c r="C614" s="1" t="n">
        <v>45901</v>
      </c>
      <c r="D614" t="inlineStr">
        <is>
          <t>DALARNAS LÄN</t>
        </is>
      </c>
      <c r="E614" t="inlineStr">
        <is>
          <t>MORA</t>
        </is>
      </c>
      <c r="G614" t="n">
        <v>5.4</v>
      </c>
      <c r="H614" t="n">
        <v>0</v>
      </c>
      <c r="I614" t="n">
        <v>0</v>
      </c>
      <c r="J614" t="n">
        <v>0</v>
      </c>
      <c r="K614" t="n">
        <v>0</v>
      </c>
      <c r="L614" t="n">
        <v>0</v>
      </c>
      <c r="M614" t="n">
        <v>0</v>
      </c>
      <c r="N614" t="n">
        <v>0</v>
      </c>
      <c r="O614" t="n">
        <v>0</v>
      </c>
      <c r="P614" t="n">
        <v>0</v>
      </c>
      <c r="Q614" t="n">
        <v>0</v>
      </c>
      <c r="R614" s="2" t="inlineStr"/>
    </row>
    <row r="615" ht="15" customHeight="1">
      <c r="A615" t="inlineStr">
        <is>
          <t>A 12828-2023</t>
        </is>
      </c>
      <c r="B615" s="1" t="n">
        <v>45001</v>
      </c>
      <c r="C615" s="1" t="n">
        <v>45901</v>
      </c>
      <c r="D615" t="inlineStr">
        <is>
          <t>DALARNAS LÄN</t>
        </is>
      </c>
      <c r="E615" t="inlineStr">
        <is>
          <t>MORA</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60099-2024</t>
        </is>
      </c>
      <c r="B616" s="1" t="n">
        <v>45642.55645833333</v>
      </c>
      <c r="C616" s="1" t="n">
        <v>45901</v>
      </c>
      <c r="D616" t="inlineStr">
        <is>
          <t>DALARNAS LÄN</t>
        </is>
      </c>
      <c r="E616" t="inlineStr">
        <is>
          <t>MORA</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53750-2024</t>
        </is>
      </c>
      <c r="B617" s="1" t="n">
        <v>45615.48465277778</v>
      </c>
      <c r="C617" s="1" t="n">
        <v>45901</v>
      </c>
      <c r="D617" t="inlineStr">
        <is>
          <t>DALARNAS LÄN</t>
        </is>
      </c>
      <c r="E617" t="inlineStr">
        <is>
          <t>MORA</t>
        </is>
      </c>
      <c r="G617" t="n">
        <v>2.3</v>
      </c>
      <c r="H617" t="n">
        <v>0</v>
      </c>
      <c r="I617" t="n">
        <v>0</v>
      </c>
      <c r="J617" t="n">
        <v>0</v>
      </c>
      <c r="K617" t="n">
        <v>0</v>
      </c>
      <c r="L617" t="n">
        <v>0</v>
      </c>
      <c r="M617" t="n">
        <v>0</v>
      </c>
      <c r="N617" t="n">
        <v>0</v>
      </c>
      <c r="O617" t="n">
        <v>0</v>
      </c>
      <c r="P617" t="n">
        <v>0</v>
      </c>
      <c r="Q617" t="n">
        <v>0</v>
      </c>
      <c r="R617" s="2" t="inlineStr"/>
    </row>
    <row r="618" ht="15" customHeight="1">
      <c r="A618" t="inlineStr">
        <is>
          <t>A 37971-2024</t>
        </is>
      </c>
      <c r="B618" s="1" t="n">
        <v>45544</v>
      </c>
      <c r="C618" s="1" t="n">
        <v>45901</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18122-2025</t>
        </is>
      </c>
      <c r="B619" s="1" t="n">
        <v>45761.59221064814</v>
      </c>
      <c r="C619" s="1" t="n">
        <v>45901</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46923-2024</t>
        </is>
      </c>
      <c r="B620" s="1" t="n">
        <v>45584.42887731481</v>
      </c>
      <c r="C620" s="1" t="n">
        <v>45901</v>
      </c>
      <c r="D620" t="inlineStr">
        <is>
          <t>DALARNAS LÄN</t>
        </is>
      </c>
      <c r="E620" t="inlineStr">
        <is>
          <t>MORA</t>
        </is>
      </c>
      <c r="G620" t="n">
        <v>3.4</v>
      </c>
      <c r="H620" t="n">
        <v>0</v>
      </c>
      <c r="I620" t="n">
        <v>0</v>
      </c>
      <c r="J620" t="n">
        <v>0</v>
      </c>
      <c r="K620" t="n">
        <v>0</v>
      </c>
      <c r="L620" t="n">
        <v>0</v>
      </c>
      <c r="M620" t="n">
        <v>0</v>
      </c>
      <c r="N620" t="n">
        <v>0</v>
      </c>
      <c r="O620" t="n">
        <v>0</v>
      </c>
      <c r="P620" t="n">
        <v>0</v>
      </c>
      <c r="Q620" t="n">
        <v>0</v>
      </c>
      <c r="R620" s="2" t="inlineStr"/>
    </row>
    <row r="621" ht="15" customHeight="1">
      <c r="A621" t="inlineStr">
        <is>
          <t>A 13262-2022</t>
        </is>
      </c>
      <c r="B621" s="1" t="n">
        <v>44644.70184027778</v>
      </c>
      <c r="C621" s="1" t="n">
        <v>45901</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45901</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1897-2023</t>
        </is>
      </c>
      <c r="B623" s="1" t="n">
        <v>44937</v>
      </c>
      <c r="C623" s="1" t="n">
        <v>45901</v>
      </c>
      <c r="D623" t="inlineStr">
        <is>
          <t>DALARNAS LÄN</t>
        </is>
      </c>
      <c r="E623" t="inlineStr">
        <is>
          <t>MORA</t>
        </is>
      </c>
      <c r="G623" t="n">
        <v>0.8</v>
      </c>
      <c r="H623" t="n">
        <v>0</v>
      </c>
      <c r="I623" t="n">
        <v>0</v>
      </c>
      <c r="J623" t="n">
        <v>0</v>
      </c>
      <c r="K623" t="n">
        <v>0</v>
      </c>
      <c r="L623" t="n">
        <v>0</v>
      </c>
      <c r="M623" t="n">
        <v>0</v>
      </c>
      <c r="N623" t="n">
        <v>0</v>
      </c>
      <c r="O623" t="n">
        <v>0</v>
      </c>
      <c r="P623" t="n">
        <v>0</v>
      </c>
      <c r="Q623" t="n">
        <v>0</v>
      </c>
      <c r="R623" s="2" t="inlineStr"/>
    </row>
    <row r="624" ht="15" customHeight="1">
      <c r="A624" t="inlineStr">
        <is>
          <t>A 20549-2025</t>
        </is>
      </c>
      <c r="B624" s="1" t="n">
        <v>45775.63459490741</v>
      </c>
      <c r="C624" s="1" t="n">
        <v>45901</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19193-2025</t>
        </is>
      </c>
      <c r="B625" s="1" t="n">
        <v>45769.42203703704</v>
      </c>
      <c r="C625" s="1" t="n">
        <v>45901</v>
      </c>
      <c r="D625" t="inlineStr">
        <is>
          <t>DALARNAS LÄN</t>
        </is>
      </c>
      <c r="E625" t="inlineStr">
        <is>
          <t>MORA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19814-2025</t>
        </is>
      </c>
      <c r="B626" s="1" t="n">
        <v>45771.45686342593</v>
      </c>
      <c r="C626" s="1" t="n">
        <v>45901</v>
      </c>
      <c r="D626" t="inlineStr">
        <is>
          <t>DALARNAS LÄN</t>
        </is>
      </c>
      <c r="E626" t="inlineStr">
        <is>
          <t>MORA</t>
        </is>
      </c>
      <c r="G626" t="n">
        <v>2.1</v>
      </c>
      <c r="H626" t="n">
        <v>0</v>
      </c>
      <c r="I626" t="n">
        <v>0</v>
      </c>
      <c r="J626" t="n">
        <v>0</v>
      </c>
      <c r="K626" t="n">
        <v>0</v>
      </c>
      <c r="L626" t="n">
        <v>0</v>
      </c>
      <c r="M626" t="n">
        <v>0</v>
      </c>
      <c r="N626" t="n">
        <v>0</v>
      </c>
      <c r="O626" t="n">
        <v>0</v>
      </c>
      <c r="P626" t="n">
        <v>0</v>
      </c>
      <c r="Q626" t="n">
        <v>0</v>
      </c>
      <c r="R626" s="2" t="inlineStr"/>
    </row>
    <row r="627" ht="15" customHeight="1">
      <c r="A627" t="inlineStr">
        <is>
          <t>A 8100-2024</t>
        </is>
      </c>
      <c r="B627" s="1" t="n">
        <v>45351.46583333334</v>
      </c>
      <c r="C627" s="1" t="n">
        <v>45901</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9855-2024</t>
        </is>
      </c>
      <c r="B628" s="1" t="n">
        <v>45363.40368055556</v>
      </c>
      <c r="C628" s="1" t="n">
        <v>45901</v>
      </c>
      <c r="D628" t="inlineStr">
        <is>
          <t>DALARNAS LÄN</t>
        </is>
      </c>
      <c r="E628" t="inlineStr">
        <is>
          <t>MORA</t>
        </is>
      </c>
      <c r="G628" t="n">
        <v>8.6</v>
      </c>
      <c r="H628" t="n">
        <v>0</v>
      </c>
      <c r="I628" t="n">
        <v>0</v>
      </c>
      <c r="J628" t="n">
        <v>0</v>
      </c>
      <c r="K628" t="n">
        <v>0</v>
      </c>
      <c r="L628" t="n">
        <v>0</v>
      </c>
      <c r="M628" t="n">
        <v>0</v>
      </c>
      <c r="N628" t="n">
        <v>0</v>
      </c>
      <c r="O628" t="n">
        <v>0</v>
      </c>
      <c r="P628" t="n">
        <v>0</v>
      </c>
      <c r="Q628" t="n">
        <v>0</v>
      </c>
      <c r="R628" s="2" t="inlineStr"/>
    </row>
    <row r="629" ht="15" customHeight="1">
      <c r="A629" t="inlineStr">
        <is>
          <t>A 22732-2024</t>
        </is>
      </c>
      <c r="B629" s="1" t="n">
        <v>45448.38677083333</v>
      </c>
      <c r="C629" s="1" t="n">
        <v>45901</v>
      </c>
      <c r="D629" t="inlineStr">
        <is>
          <t>DALARNAS LÄN</t>
        </is>
      </c>
      <c r="E629" t="inlineStr">
        <is>
          <t>MORA</t>
        </is>
      </c>
      <c r="G629" t="n">
        <v>3.6</v>
      </c>
      <c r="H629" t="n">
        <v>0</v>
      </c>
      <c r="I629" t="n">
        <v>0</v>
      </c>
      <c r="J629" t="n">
        <v>0</v>
      </c>
      <c r="K629" t="n">
        <v>0</v>
      </c>
      <c r="L629" t="n">
        <v>0</v>
      </c>
      <c r="M629" t="n">
        <v>0</v>
      </c>
      <c r="N629" t="n">
        <v>0</v>
      </c>
      <c r="O629" t="n">
        <v>0</v>
      </c>
      <c r="P629" t="n">
        <v>0</v>
      </c>
      <c r="Q629" t="n">
        <v>0</v>
      </c>
      <c r="R629" s="2" t="inlineStr"/>
    </row>
    <row r="630" ht="15" customHeight="1">
      <c r="A630" t="inlineStr">
        <is>
          <t>A 47784-2024</t>
        </is>
      </c>
      <c r="B630" s="1" t="n">
        <v>45588.59290509259</v>
      </c>
      <c r="C630" s="1" t="n">
        <v>45901</v>
      </c>
      <c r="D630" t="inlineStr">
        <is>
          <t>DALARNAS LÄN</t>
        </is>
      </c>
      <c r="E630" t="inlineStr">
        <is>
          <t>MORA</t>
        </is>
      </c>
      <c r="G630" t="n">
        <v>15.3</v>
      </c>
      <c r="H630" t="n">
        <v>0</v>
      </c>
      <c r="I630" t="n">
        <v>0</v>
      </c>
      <c r="J630" t="n">
        <v>0</v>
      </c>
      <c r="K630" t="n">
        <v>0</v>
      </c>
      <c r="L630" t="n">
        <v>0</v>
      </c>
      <c r="M630" t="n">
        <v>0</v>
      </c>
      <c r="N630" t="n">
        <v>0</v>
      </c>
      <c r="O630" t="n">
        <v>0</v>
      </c>
      <c r="P630" t="n">
        <v>0</v>
      </c>
      <c r="Q630" t="n">
        <v>0</v>
      </c>
      <c r="R630" s="2" t="inlineStr"/>
    </row>
    <row r="631" ht="15" customHeight="1">
      <c r="A631" t="inlineStr">
        <is>
          <t>A 64099-2023</t>
        </is>
      </c>
      <c r="B631" s="1" t="n">
        <v>45279.46009259259</v>
      </c>
      <c r="C631" s="1" t="n">
        <v>45901</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21244-2024</t>
        </is>
      </c>
      <c r="B632" s="1" t="n">
        <v>45440.59936342593</v>
      </c>
      <c r="C632" s="1" t="n">
        <v>45901</v>
      </c>
      <c r="D632" t="inlineStr">
        <is>
          <t>DALARNAS LÄN</t>
        </is>
      </c>
      <c r="E632" t="inlineStr">
        <is>
          <t>MORA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37471-2024</t>
        </is>
      </c>
      <c r="B633" s="1" t="n">
        <v>45540.85054398148</v>
      </c>
      <c r="C633" s="1" t="n">
        <v>45901</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33531-2024</t>
        </is>
      </c>
      <c r="B634" s="1" t="n">
        <v>45519.67503472222</v>
      </c>
      <c r="C634" s="1" t="n">
        <v>45901</v>
      </c>
      <c r="D634" t="inlineStr">
        <is>
          <t>DALARNAS LÄN</t>
        </is>
      </c>
      <c r="E634" t="inlineStr">
        <is>
          <t>MORA</t>
        </is>
      </c>
      <c r="G634" t="n">
        <v>14.8</v>
      </c>
      <c r="H634" t="n">
        <v>0</v>
      </c>
      <c r="I634" t="n">
        <v>0</v>
      </c>
      <c r="J634" t="n">
        <v>0</v>
      </c>
      <c r="K634" t="n">
        <v>0</v>
      </c>
      <c r="L634" t="n">
        <v>0</v>
      </c>
      <c r="M634" t="n">
        <v>0</v>
      </c>
      <c r="N634" t="n">
        <v>0</v>
      </c>
      <c r="O634" t="n">
        <v>0</v>
      </c>
      <c r="P634" t="n">
        <v>0</v>
      </c>
      <c r="Q634" t="n">
        <v>0</v>
      </c>
      <c r="R634" s="2" t="inlineStr"/>
    </row>
    <row r="635" ht="15" customHeight="1">
      <c r="A635" t="inlineStr">
        <is>
          <t>A 22785-2023</t>
        </is>
      </c>
      <c r="B635" s="1" t="n">
        <v>45072.34796296297</v>
      </c>
      <c r="C635" s="1" t="n">
        <v>45901</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53754-2024</t>
        </is>
      </c>
      <c r="B636" s="1" t="n">
        <v>45615.49371527778</v>
      </c>
      <c r="C636" s="1" t="n">
        <v>45901</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20989-2024</t>
        </is>
      </c>
      <c r="B637" s="1" t="n">
        <v>45439</v>
      </c>
      <c r="C637" s="1" t="n">
        <v>45901</v>
      </c>
      <c r="D637" t="inlineStr">
        <is>
          <t>DALARNAS LÄN</t>
        </is>
      </c>
      <c r="E637" t="inlineStr">
        <is>
          <t>MORA</t>
        </is>
      </c>
      <c r="F637" t="inlineStr">
        <is>
          <t>Bergvik skog öst AB</t>
        </is>
      </c>
      <c r="G637" t="n">
        <v>14.7</v>
      </c>
      <c r="H637" t="n">
        <v>0</v>
      </c>
      <c r="I637" t="n">
        <v>0</v>
      </c>
      <c r="J637" t="n">
        <v>0</v>
      </c>
      <c r="K637" t="n">
        <v>0</v>
      </c>
      <c r="L637" t="n">
        <v>0</v>
      </c>
      <c r="M637" t="n">
        <v>0</v>
      </c>
      <c r="N637" t="n">
        <v>0</v>
      </c>
      <c r="O637" t="n">
        <v>0</v>
      </c>
      <c r="P637" t="n">
        <v>0</v>
      </c>
      <c r="Q637" t="n">
        <v>0</v>
      </c>
      <c r="R637" s="2" t="inlineStr"/>
    </row>
    <row r="638" ht="15" customHeight="1">
      <c r="A638" t="inlineStr">
        <is>
          <t>A 20930-2024</t>
        </is>
      </c>
      <c r="B638" s="1" t="n">
        <v>45439.51907407407</v>
      </c>
      <c r="C638" s="1" t="n">
        <v>45901</v>
      </c>
      <c r="D638" t="inlineStr">
        <is>
          <t>DALARNAS LÄN</t>
        </is>
      </c>
      <c r="E638" t="inlineStr">
        <is>
          <t>MORA</t>
        </is>
      </c>
      <c r="F638" t="inlineStr">
        <is>
          <t>Bergvik skog väst AB</t>
        </is>
      </c>
      <c r="G638" t="n">
        <v>5.3</v>
      </c>
      <c r="H638" t="n">
        <v>0</v>
      </c>
      <c r="I638" t="n">
        <v>0</v>
      </c>
      <c r="J638" t="n">
        <v>0</v>
      </c>
      <c r="K638" t="n">
        <v>0</v>
      </c>
      <c r="L638" t="n">
        <v>0</v>
      </c>
      <c r="M638" t="n">
        <v>0</v>
      </c>
      <c r="N638" t="n">
        <v>0</v>
      </c>
      <c r="O638" t="n">
        <v>0</v>
      </c>
      <c r="P638" t="n">
        <v>0</v>
      </c>
      <c r="Q638" t="n">
        <v>0</v>
      </c>
      <c r="R638" s="2" t="inlineStr"/>
    </row>
    <row r="639" ht="15" customHeight="1">
      <c r="A639" t="inlineStr">
        <is>
          <t>A 7972-2024</t>
        </is>
      </c>
      <c r="B639" s="1" t="n">
        <v>45350</v>
      </c>
      <c r="C639" s="1" t="n">
        <v>45901</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43432-2024</t>
        </is>
      </c>
      <c r="B640" s="1" t="n">
        <v>45568.64337962963</v>
      </c>
      <c r="C640" s="1" t="n">
        <v>45901</v>
      </c>
      <c r="D640" t="inlineStr">
        <is>
          <t>DALARNAS LÄN</t>
        </is>
      </c>
      <c r="E640" t="inlineStr">
        <is>
          <t>MORA</t>
        </is>
      </c>
      <c r="G640" t="n">
        <v>0.4</v>
      </c>
      <c r="H640" t="n">
        <v>0</v>
      </c>
      <c r="I640" t="n">
        <v>0</v>
      </c>
      <c r="J640" t="n">
        <v>0</v>
      </c>
      <c r="K640" t="n">
        <v>0</v>
      </c>
      <c r="L640" t="n">
        <v>0</v>
      </c>
      <c r="M640" t="n">
        <v>0</v>
      </c>
      <c r="N640" t="n">
        <v>0</v>
      </c>
      <c r="O640" t="n">
        <v>0</v>
      </c>
      <c r="P640" t="n">
        <v>0</v>
      </c>
      <c r="Q640" t="n">
        <v>0</v>
      </c>
      <c r="R640" s="2" t="inlineStr"/>
    </row>
    <row r="641" ht="15" customHeight="1">
      <c r="A641" t="inlineStr">
        <is>
          <t>A 60428-2023</t>
        </is>
      </c>
      <c r="B641" s="1" t="n">
        <v>45259.50996527778</v>
      </c>
      <c r="C641" s="1" t="n">
        <v>45901</v>
      </c>
      <c r="D641" t="inlineStr">
        <is>
          <t>DALARNAS LÄN</t>
        </is>
      </c>
      <c r="E641" t="inlineStr">
        <is>
          <t>MORA</t>
        </is>
      </c>
      <c r="G641" t="n">
        <v>4.9</v>
      </c>
      <c r="H641" t="n">
        <v>0</v>
      </c>
      <c r="I641" t="n">
        <v>0</v>
      </c>
      <c r="J641" t="n">
        <v>0</v>
      </c>
      <c r="K641" t="n">
        <v>0</v>
      </c>
      <c r="L641" t="n">
        <v>0</v>
      </c>
      <c r="M641" t="n">
        <v>0</v>
      </c>
      <c r="N641" t="n">
        <v>0</v>
      </c>
      <c r="O641" t="n">
        <v>0</v>
      </c>
      <c r="P641" t="n">
        <v>0</v>
      </c>
      <c r="Q641" t="n">
        <v>0</v>
      </c>
      <c r="R641" s="2" t="inlineStr"/>
    </row>
    <row r="642" ht="15" customHeight="1">
      <c r="A642" t="inlineStr">
        <is>
          <t>A 437-2024</t>
        </is>
      </c>
      <c r="B642" s="1" t="n">
        <v>45296</v>
      </c>
      <c r="C642" s="1" t="n">
        <v>45901</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60715-2023</t>
        </is>
      </c>
      <c r="B643" s="1" t="n">
        <v>45260.52684027778</v>
      </c>
      <c r="C643" s="1" t="n">
        <v>45901</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27125-2024</t>
        </is>
      </c>
      <c r="B644" s="1" t="n">
        <v>45471</v>
      </c>
      <c r="C644" s="1" t="n">
        <v>45901</v>
      </c>
      <c r="D644" t="inlineStr">
        <is>
          <t>DALARNAS LÄN</t>
        </is>
      </c>
      <c r="E644" t="inlineStr">
        <is>
          <t>MORA</t>
        </is>
      </c>
      <c r="G644" t="n">
        <v>2.3</v>
      </c>
      <c r="H644" t="n">
        <v>0</v>
      </c>
      <c r="I644" t="n">
        <v>0</v>
      </c>
      <c r="J644" t="n">
        <v>0</v>
      </c>
      <c r="K644" t="n">
        <v>0</v>
      </c>
      <c r="L644" t="n">
        <v>0</v>
      </c>
      <c r="M644" t="n">
        <v>0</v>
      </c>
      <c r="N644" t="n">
        <v>0</v>
      </c>
      <c r="O644" t="n">
        <v>0</v>
      </c>
      <c r="P644" t="n">
        <v>0</v>
      </c>
      <c r="Q644" t="n">
        <v>0</v>
      </c>
      <c r="R644" s="2" t="inlineStr"/>
    </row>
    <row r="645" ht="15" customHeight="1">
      <c r="A645" t="inlineStr">
        <is>
          <t>A 30822-2024</t>
        </is>
      </c>
      <c r="B645" s="1" t="n">
        <v>45497</v>
      </c>
      <c r="C645" s="1" t="n">
        <v>45901</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61278-2024</t>
        </is>
      </c>
      <c r="B646" s="1" t="n">
        <v>45645.76561342592</v>
      </c>
      <c r="C646" s="1" t="n">
        <v>45901</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58177-2024</t>
        </is>
      </c>
      <c r="B647" s="1" t="n">
        <v>45632.46821759259</v>
      </c>
      <c r="C647" s="1" t="n">
        <v>45901</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c r="A648" t="inlineStr">
        <is>
          <t>A 17172-2025</t>
        </is>
      </c>
      <c r="B648" s="1" t="n">
        <v>45756.37201388889</v>
      </c>
      <c r="C648" s="1" t="n">
        <v>45901</v>
      </c>
      <c r="D648" t="inlineStr">
        <is>
          <t>DALARNAS LÄN</t>
        </is>
      </c>
      <c r="E648" t="inlineStr">
        <is>
          <t>MORA</t>
        </is>
      </c>
      <c r="F648" t="inlineStr">
        <is>
          <t>Bergvik skog öst AB</t>
        </is>
      </c>
      <c r="G648" t="n">
        <v>0.5</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2025-09-01T08:30:10Z</dcterms:created>
  <dcterms:modified xmlns:dcterms="http://purl.org/dc/terms/" xmlns:xsi="http://www.w3.org/2001/XMLSchema-instance" xsi:type="dcterms:W3CDTF">2025-09-01T08:30:10Z</dcterms:modified>
</cp:coreProperties>
</file>