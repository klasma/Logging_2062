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45759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45759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45759</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45759</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45759</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45759</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45759</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45759</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45759</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45759</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45759</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45759</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45759</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64406-2023</t>
        </is>
      </c>
      <c r="B15" s="1" t="n">
        <v>45280</v>
      </c>
      <c r="C15" s="1" t="n">
        <v>45759</v>
      </c>
      <c r="D15" t="inlineStr">
        <is>
          <t>DALARNAS LÄN</t>
        </is>
      </c>
      <c r="E15" t="inlineStr">
        <is>
          <t>MORA</t>
        </is>
      </c>
      <c r="G15" t="n">
        <v>2.2</v>
      </c>
      <c r="H15" t="n">
        <v>2</v>
      </c>
      <c r="I15" t="n">
        <v>0</v>
      </c>
      <c r="J15" t="n">
        <v>8</v>
      </c>
      <c r="K15" t="n">
        <v>1</v>
      </c>
      <c r="L15" t="n">
        <v>0</v>
      </c>
      <c r="M15" t="n">
        <v>0</v>
      </c>
      <c r="N15" t="n">
        <v>0</v>
      </c>
      <c r="O15" t="n">
        <v>9</v>
      </c>
      <c r="P15" t="n">
        <v>1</v>
      </c>
      <c r="Q15" t="n">
        <v>10</v>
      </c>
      <c r="R15" s="2" t="inlineStr">
        <is>
          <t>Gräddporing
Doftskinn
Garnlav
Mörk kolflarnlav
Spillkråka
Vedflamlav
Vedskivlav
Violettgrå tagellav
Vitgrynig nållav
Fläcknycklar</t>
        </is>
      </c>
      <c r="S15">
        <f>HYPERLINK("https://klasma.github.io/Logging_2062/artfynd/A 64406-2023 artfynd.xlsx", "A 64406-2023")</f>
        <v/>
      </c>
      <c r="T15">
        <f>HYPERLINK("https://klasma.github.io/Logging_2062/kartor/A 64406-2023 karta.png", "A 64406-2023")</f>
        <v/>
      </c>
      <c r="V15">
        <f>HYPERLINK("https://klasma.github.io/Logging_2062/klagomål/A 64406-2023 FSC-klagomål.docx", "A 64406-2023")</f>
        <v/>
      </c>
      <c r="W15">
        <f>HYPERLINK("https://klasma.github.io/Logging_2062/klagomålsmail/A 64406-2023 FSC-klagomål mail.docx", "A 64406-2023")</f>
        <v/>
      </c>
      <c r="X15">
        <f>HYPERLINK("https://klasma.github.io/Logging_2062/tillsyn/A 64406-2023 tillsynsbegäran.docx", "A 64406-2023")</f>
        <v/>
      </c>
      <c r="Y15">
        <f>HYPERLINK("https://klasma.github.io/Logging_2062/tillsynsmail/A 64406-2023 tillsynsbegäran mail.docx", "A 64406-2023")</f>
        <v/>
      </c>
      <c r="Z15">
        <f>HYPERLINK("https://klasma.github.io/Logging_2062/fåglar/A 64406-2023 prioriterade fågelarter.docx", "A 64406-2023")</f>
        <v/>
      </c>
    </row>
    <row r="16" ht="15" customHeight="1">
      <c r="A16" t="inlineStr">
        <is>
          <t>A 35944-2024</t>
        </is>
      </c>
      <c r="B16" s="1" t="n">
        <v>45533</v>
      </c>
      <c r="C16" s="1" t="n">
        <v>45759</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21041-2023</t>
        </is>
      </c>
      <c r="B17" s="1" t="n">
        <v>45061</v>
      </c>
      <c r="C17" s="1" t="n">
        <v>45759</v>
      </c>
      <c r="D17" t="inlineStr">
        <is>
          <t>DALARNAS LÄN</t>
        </is>
      </c>
      <c r="E17" t="inlineStr">
        <is>
          <t>MORA</t>
        </is>
      </c>
      <c r="F17" t="inlineStr">
        <is>
          <t>Bergvik skog öst AB</t>
        </is>
      </c>
      <c r="G17" t="n">
        <v>9.9</v>
      </c>
      <c r="H17" t="n">
        <v>0</v>
      </c>
      <c r="I17" t="n">
        <v>1</v>
      </c>
      <c r="J17" t="n">
        <v>8</v>
      </c>
      <c r="K17" t="n">
        <v>0</v>
      </c>
      <c r="L17" t="n">
        <v>0</v>
      </c>
      <c r="M17" t="n">
        <v>0</v>
      </c>
      <c r="N17" t="n">
        <v>0</v>
      </c>
      <c r="O17" t="n">
        <v>8</v>
      </c>
      <c r="P17" t="n">
        <v>0</v>
      </c>
      <c r="Q17" t="n">
        <v>9</v>
      </c>
      <c r="R17" s="2" t="inlineStr">
        <is>
          <t>Dvärgbägarlav
Garnlav
Kolflarnlav
Kortskaftad ärgspik
Mörk kolflarnlav
Vedflamlav
Vedskivlav
Violettgrå tagellav
Mindre märgborre</t>
        </is>
      </c>
      <c r="S17">
        <f>HYPERLINK("https://klasma.github.io/Logging_2062/artfynd/A 21041-2023 artfynd.xlsx", "A 21041-2023")</f>
        <v/>
      </c>
      <c r="T17">
        <f>HYPERLINK("https://klasma.github.io/Logging_2062/kartor/A 21041-2023 karta.png", "A 21041-2023")</f>
        <v/>
      </c>
      <c r="V17">
        <f>HYPERLINK("https://klasma.github.io/Logging_2062/klagomål/A 21041-2023 FSC-klagomål.docx", "A 21041-2023")</f>
        <v/>
      </c>
      <c r="W17">
        <f>HYPERLINK("https://klasma.github.io/Logging_2062/klagomålsmail/A 21041-2023 FSC-klagomål mail.docx", "A 21041-2023")</f>
        <v/>
      </c>
      <c r="X17">
        <f>HYPERLINK("https://klasma.github.io/Logging_2062/tillsyn/A 21041-2023 tillsynsbegäran.docx", "A 21041-2023")</f>
        <v/>
      </c>
      <c r="Y17">
        <f>HYPERLINK("https://klasma.github.io/Logging_2062/tillsynsmail/A 21041-2023 tillsynsbegäran mail.docx", "A 21041-2023")</f>
        <v/>
      </c>
    </row>
    <row r="18" ht="15" customHeight="1">
      <c r="A18" t="inlineStr">
        <is>
          <t>A 5134-2024</t>
        </is>
      </c>
      <c r="B18" s="1" t="n">
        <v>45330</v>
      </c>
      <c r="C18" s="1" t="n">
        <v>45759</v>
      </c>
      <c r="D18" t="inlineStr">
        <is>
          <t>DALARNAS LÄN</t>
        </is>
      </c>
      <c r="E18" t="inlineStr">
        <is>
          <t>MORA</t>
        </is>
      </c>
      <c r="G18" t="n">
        <v>2</v>
      </c>
      <c r="H18" t="n">
        <v>1</v>
      </c>
      <c r="I18" t="n">
        <v>2</v>
      </c>
      <c r="J18" t="n">
        <v>7</v>
      </c>
      <c r="K18" t="n">
        <v>0</v>
      </c>
      <c r="L18" t="n">
        <v>0</v>
      </c>
      <c r="M18" t="n">
        <v>0</v>
      </c>
      <c r="N18" t="n">
        <v>0</v>
      </c>
      <c r="O18" t="n">
        <v>7</v>
      </c>
      <c r="P18" t="n">
        <v>0</v>
      </c>
      <c r="Q18" t="n">
        <v>9</v>
      </c>
      <c r="R18" s="2" t="inlineStr">
        <is>
          <t>Blå taggsvamp
Dvärgbägarlav
Garnlav
Reliktbock
Tretåig hackspett
Vedskivlav
Vitgrynig nållav
Dropptaggsvamp
Mindre märgborre</t>
        </is>
      </c>
      <c r="S18">
        <f>HYPERLINK("https://klasma.github.io/Logging_2062/artfynd/A 5134-2024 artfynd.xlsx", "A 5134-2024")</f>
        <v/>
      </c>
      <c r="T18">
        <f>HYPERLINK("https://klasma.github.io/Logging_2062/kartor/A 5134-2024 karta.png", "A 5134-2024")</f>
        <v/>
      </c>
      <c r="V18">
        <f>HYPERLINK("https://klasma.github.io/Logging_2062/klagomål/A 5134-2024 FSC-klagomål.docx", "A 5134-2024")</f>
        <v/>
      </c>
      <c r="W18">
        <f>HYPERLINK("https://klasma.github.io/Logging_2062/klagomålsmail/A 5134-2024 FSC-klagomål mail.docx", "A 5134-2024")</f>
        <v/>
      </c>
      <c r="X18">
        <f>HYPERLINK("https://klasma.github.io/Logging_2062/tillsyn/A 5134-2024 tillsynsbegäran.docx", "A 5134-2024")</f>
        <v/>
      </c>
      <c r="Y18">
        <f>HYPERLINK("https://klasma.github.io/Logging_2062/tillsynsmail/A 5134-2024 tillsynsbegäran mail.docx", "A 5134-2024")</f>
        <v/>
      </c>
      <c r="Z18">
        <f>HYPERLINK("https://klasma.github.io/Logging_2062/fåglar/A 5134-2024 prioriterade fågelarter.docx", "A 5134-2024")</f>
        <v/>
      </c>
    </row>
    <row r="19" ht="15" customHeight="1">
      <c r="A19" t="inlineStr">
        <is>
          <t>A 56438-2024</t>
        </is>
      </c>
      <c r="B19" s="1" t="n">
        <v>45625</v>
      </c>
      <c r="C19" s="1" t="n">
        <v>45759</v>
      </c>
      <c r="D19" t="inlineStr">
        <is>
          <t>DALARNAS LÄN</t>
        </is>
      </c>
      <c r="E19" t="inlineStr">
        <is>
          <t>MORA</t>
        </is>
      </c>
      <c r="G19" t="n">
        <v>8.800000000000001</v>
      </c>
      <c r="H19" t="n">
        <v>2</v>
      </c>
      <c r="I19" t="n">
        <v>1</v>
      </c>
      <c r="J19" t="n">
        <v>8</v>
      </c>
      <c r="K19" t="n">
        <v>0</v>
      </c>
      <c r="L19" t="n">
        <v>0</v>
      </c>
      <c r="M19" t="n">
        <v>0</v>
      </c>
      <c r="N19" t="n">
        <v>0</v>
      </c>
      <c r="O19" t="n">
        <v>8</v>
      </c>
      <c r="P19" t="n">
        <v>0</v>
      </c>
      <c r="Q19" t="n">
        <v>9</v>
      </c>
      <c r="R19" s="2" t="inlineStr">
        <is>
          <t>Garnlav
Kolflarnlav
Spillkråka
Tallticka
Tretåig hackspett
Ullticka
Vedskivlav
Vitgrynig nållav
Bronshjon</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61943-2024</t>
        </is>
      </c>
      <c r="B20" s="1" t="n">
        <v>45653</v>
      </c>
      <c r="C20" s="1" t="n">
        <v>45759</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45759</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45759</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45759</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45759</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45759</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45759</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45759</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45759</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45759</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45759</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45759</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45759</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45759</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45759</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45759</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45759</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45759</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45759</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45759</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45759</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45759</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45759</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45759</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45759</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45759</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45759</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45759</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45759</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45759</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45759</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45759</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45759</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45759</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45759</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45759</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45759</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45759</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45759</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45759</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45759</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45759</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45759</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45759</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45759</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45759</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45759</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45759</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45759</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45759</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45759</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45759</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45759</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45759</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45759</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45759</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45759</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45759</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45759</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45759</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45759</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45759</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45759</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45759</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45759</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45759</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45759</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45759</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45759</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45759</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45759</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45759</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45759</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45759</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45759</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45759</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45759</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45759</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45759</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45759</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45759</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45759</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45759</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45759</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45759</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45759</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45759</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45759</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45759</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45759</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45759</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45759</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45759</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45759</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45759</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45759</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45759</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45759</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45759</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45759</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45759</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45759</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45759</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45759</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45759</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45759</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45759</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45759</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45759</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45759</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45759</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45759</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45759</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45759</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45759</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45759</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45759</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45759</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45759</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45759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45759</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45759</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45759</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45759</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45759</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45759</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45759</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45759</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45759</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45759</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45759</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45759</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45759</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45759</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45759</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45759</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45759</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45759</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45759</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45759</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45759</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45759</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45759</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45759</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45759</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45759</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45759</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45759</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45759</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45759</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45759</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45759</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45759</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45759</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45759</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45759</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45759</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45759</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45759</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45759</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45759</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45759</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45759</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45759</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45759</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45759</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45759</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45759</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45759</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45759</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45759</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45759</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45759</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45759</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45759</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45759</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45759</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45759</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45759</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45759</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45759</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45759</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45759</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45759</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45759</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45759</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45759</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45759</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45759</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45759</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45759</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45759</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45759</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45759</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45759</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45759</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45759</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45759</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45759</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45759</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45759</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45759</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45759</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45759</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45759</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45759</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45759</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45759</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45759</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45759</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45759</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45759</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45759</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45759</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45759</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45759</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45759</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45759</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45759</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45759</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45759</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45759</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45759</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45759</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45759</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45759</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45759</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45759</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45759</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45759</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45759</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45759</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45759</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45759</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45759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45759</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45759</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45759</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45759</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45759</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45759</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45759</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45759</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45759</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45759</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45759</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45759</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45759</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45759</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45759</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45759</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45759</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45759</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45759</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45759</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45759</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45759</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45759</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45759</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45759</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45759</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45759</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45759</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45759</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45759</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45759</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45759</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45759</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45759</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45759</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45759</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45759</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45759</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45759</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45759</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45759</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45759</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45759</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45759</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45759</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45759</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45759</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45759</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45759</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45759</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45759</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45759</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45759</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45759</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45759</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45759</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45759</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45759</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45759</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45759</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45759</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45759</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45759</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45759</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45759</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45759</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45759</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45759</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45759</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45759</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45759</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45759</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45759</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45759</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45759</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45759</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45759</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45759</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45759</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45759</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45759</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45759</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45759</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45759</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45759</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45759</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45759</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45759</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45759</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45759</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45759</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45759</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45759</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45759</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45759</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45759</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45759</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45759</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45759</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45759</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45759</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45759</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45759</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45759</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45759</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45759</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45759</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45759</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45759</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45759</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45759</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45759</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45759</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45759</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45759</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45759</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45759</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45759</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45759</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45759</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45759</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45759</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45759</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45759</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45759</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45759</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45759</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45759</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45759</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45759</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45759</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45759</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45759</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45759</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45759</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45759</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45759</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45759</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45759</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45759</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45759</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45759</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45759</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45759</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45759</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45759</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45759</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45759</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45759</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45759</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45759</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45759</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45759</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45759</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45759</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45759</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45759</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45759</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45759</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45759</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45759</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45759</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45759</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45759</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45759</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45759</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45759</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45759</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45759</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45759</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45759</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45759</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45759</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45759</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45759</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45759</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45759</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45759</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45759</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45759</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45759</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45759</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45759</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45759</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45759</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45759</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45759</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45759</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45759</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45759</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45759</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45759</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45759</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45759</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45759</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45759</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45759</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45759</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45759</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45759</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45759</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45759</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45759</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45759</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45759</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45759</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45759</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45759</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45759</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45759</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45759</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45759</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45759</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45759</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45759</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45759</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45759</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45759</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45759</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45759</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45759</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45759</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45759</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45759</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45759</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45759</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45759</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45759</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45759</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45759</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45759</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45759</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45759</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45759</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45759</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45759</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45759</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45759</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45759</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45759</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45759</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45759</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45759</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45759</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45759</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45759</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45759</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45759</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45759</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45759</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45759</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45759</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45759</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45759</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45759</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45759</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45759</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45759</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45759</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45759</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45759</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45759</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45759</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45759</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45759</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45759</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45759</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45759</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45759</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45759</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45759</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45759</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45759</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45759</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45759</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45759</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45759</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45759</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45759</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45759</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45759</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45759</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45759</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45759</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45759</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45759</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45759</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45759</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45759</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45759</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45759</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45759</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45759</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45759</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45759</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45759</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45759</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45759</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45759</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45759</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45759</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45759</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45759</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45759</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45759</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45759</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45759</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45759</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45759</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45759</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45759</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45759</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45759</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45759</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45759</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45759</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45759</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45759</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45759</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45759</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45759</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45759</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45759</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45759</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45759</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45759</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45759</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45759</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45759</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45759</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45759</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45759</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45759</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45759</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45759</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45759</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45759</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45759</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45759</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45759</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45759</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45759</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45759</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45759</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45759</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45759</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45759</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45759</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45759</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45759</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45759</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45759</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45759</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45759</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45759</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45759</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45759</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45759</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45759</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45759</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45759</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45759</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45759</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45759</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45759</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45759</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45759</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45759</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45759</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45759</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45759</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45759</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45759</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45759</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45759</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45759</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45759</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45759</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45759</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45759</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45759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45759</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45759</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45759</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45759</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45759</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45759</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45759</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45759</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45759</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45759</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45759</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45759</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45759</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45759</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45759</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45759</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45759</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45759</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45759</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45759</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45759</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45759</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45759</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45759</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45759</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45759</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45759</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45759</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45759</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45759</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45759</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45759</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45759</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45759</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45759</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45759</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45759</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45759</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45759</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45759</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45759</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45759</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45759</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45759</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45759</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45759</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45759</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45759</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45759</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45759</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45759</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45759</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45759</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45759</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45759</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45759</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45759</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45759</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45759</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45759</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45759</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45759</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45759</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45759</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45759</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45759</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45759</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45759</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45759</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45759</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45759</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45759</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45759</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45759</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45759</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45759</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45759</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45759</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45759</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45759</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45759</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45759</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45759</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45759</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45759</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45759</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45759</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45759</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45759</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45759</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45759</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45759</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45759</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45759</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45759</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45759</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45759</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45759</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45759</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45759</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45759</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45759</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45759</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45759</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45759</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45759</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45759</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45759</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45759</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45759</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45759</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45759</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45759</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45759</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45759</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45759</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45759</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45759</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45759</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45759</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45759</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45759</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45759</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45759</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45759</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45759</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45759</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45759</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45759</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45759</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45759</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45759</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45759</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45759</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45759</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45759</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45759</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45759</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45759</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45759</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45759</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45759</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45759</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45759</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45759</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45759</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45759</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45759</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45759</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45759</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45759</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45759</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45759</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45759</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45759</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45759</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45759</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45759</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45759</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45759</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45759</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45759</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45759</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45759</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45759</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45759</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45759</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45759</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45759</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45759</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45759</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45759</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45759</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45759</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45759</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45759</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45759</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45759</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45759</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45759</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45759</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45759</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45759</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45759</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45759</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45759</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45759</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45759</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45759</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45759</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45759</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45759</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45759</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45759</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45759</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45759</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45759</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45759</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45759</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45759</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45759</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45759</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45759</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45759</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45759</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45759</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45759</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45759</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45759</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45759</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45759</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45759</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45759</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45759</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45759</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45759</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45759</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45759</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45759</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45759</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45759</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45759</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45759</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45759</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45759</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45759</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45759</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45759</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45759</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45759</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45759</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45759</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45759</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45759</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45759</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45759</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45759</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45759</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45759</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45759</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45759</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45759</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45759</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45759</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45759</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45759</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45759</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45759</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45759</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45759</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45759</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45759</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45759</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45759</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45759</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45759</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45759</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45759</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45759</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45759</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45759</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45759</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45759</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45759</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45759</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45759</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45759</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45759</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45759</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45759</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45759</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45759</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45759</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45759</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45759</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45759</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45759</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45759</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45759</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45759</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45759</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45759</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45759</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45759</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45759</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45759</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45759</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45759</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45759</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45759</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45759</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45759</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45759</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45759</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45759</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45759</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45759</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45759</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45759</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45759</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45759</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45759</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45759</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45759</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45759</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45759</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45759</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45759</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45759</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45759</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45759</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45759</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45759</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45759</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45759</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45759</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45759</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45759</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45759</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45759</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45759</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45759</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45759</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45759</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45759</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45759</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45759</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45759</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45759</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45759</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45759</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45759</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45759</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45759</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45759</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45759</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45759</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45759</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45759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45759</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45759</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45759</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45759</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45759</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45759</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45759</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45759</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45759</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45759</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45759</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45759</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45759</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45759</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45759</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45759</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45759</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45759</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45759</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45759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45759</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45759</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45759</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45759</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45759</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45759</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45759</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45759</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45759</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45759</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45759</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45759</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45759</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45759</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45759</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45759</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45759</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45759</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45759</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45759</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45759</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45759</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45759</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45759</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45759</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45759</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45759</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45759</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45759</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45759</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45759</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45759</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45759</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45759</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45759</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45759</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45759</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45759</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45759</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45759</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45759</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45759</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45759</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45759</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45759</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45759</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45759</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45759</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45759</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45759</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45759</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45759</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45759</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45759</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45759</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45759</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45759</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45759</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45759</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45759</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45759</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45759</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45759</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45759</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45759</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45759</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45759</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45759</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45759</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45759</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45759</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45759</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45759</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45759</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45759</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45759</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45759</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45759</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45759</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45759</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45759</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45759</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45759</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45759</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45759</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45759</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45759</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45759</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45759</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45759</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45759</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45759</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45759</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45759</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45759</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45759</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45759</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45759</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45759</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45759</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45759</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45759</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45759</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45759</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45759</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45759</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45759</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45759</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45759</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45759</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45759</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45759</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45759</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45759</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45759</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45759</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45759</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45759</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45759</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45759</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45759</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45759</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45759</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45759</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45759</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45759</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45759</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45759</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45759</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45759</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45759</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45759</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45759</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45759</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45759</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45759</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45759</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45759</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45759</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45759</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45759</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45759</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45759</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45759</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45759</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45759</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45759</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45759</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45759</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45759</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45759</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45759</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45759</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45759</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45759</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45759</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45759</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45759</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45759</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45759</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45759</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45759</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45759</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45759</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45759</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45759</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45759</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45759</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45759</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45759</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45759</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45759</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45759</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45759</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45759</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45759</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45759</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45759</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45759</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45759</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45759</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45759</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45759</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45759</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45759</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45759</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45759</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45759</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45759</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45759</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45759</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45759</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45759</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45759</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45759</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45759</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45759</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45759</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45759</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45759</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45759</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45759</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45759</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45759</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45759</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45759</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45759</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45759</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45759</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45759</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45759</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45759</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45759</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16961-2025</t>
        </is>
      </c>
      <c r="B1208" s="1" t="n">
        <v>45755</v>
      </c>
      <c r="C1208" s="1" t="n">
        <v>45759</v>
      </c>
      <c r="D1208" t="inlineStr">
        <is>
          <t>DALARNAS LÄN</t>
        </is>
      </c>
      <c r="E1208" t="inlineStr">
        <is>
          <t>MORA</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45759</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16967-2025</t>
        </is>
      </c>
      <c r="B1210" s="1" t="n">
        <v>45755</v>
      </c>
      <c r="C1210" s="1" t="n">
        <v>45759</v>
      </c>
      <c r="D1210" t="inlineStr">
        <is>
          <t>DALARNAS LÄN</t>
        </is>
      </c>
      <c r="E1210" t="inlineStr">
        <is>
          <t>MORA</t>
        </is>
      </c>
      <c r="F1210" t="inlineStr">
        <is>
          <t>Bergvik skog öst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17163-2025</t>
        </is>
      </c>
      <c r="B1211" s="1" t="n">
        <v>45756</v>
      </c>
      <c r="C1211" s="1" t="n">
        <v>45759</v>
      </c>
      <c r="D1211" t="inlineStr">
        <is>
          <t>DALARNAS LÄN</t>
        </is>
      </c>
      <c r="E1211" t="inlineStr">
        <is>
          <t>MORA</t>
        </is>
      </c>
      <c r="F1211" t="inlineStr">
        <is>
          <t>Bergvik skog öst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45759</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17167-2025</t>
        </is>
      </c>
      <c r="B1213" s="1" t="n">
        <v>45756</v>
      </c>
      <c r="C1213" s="1" t="n">
        <v>45759</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17176-2025</t>
        </is>
      </c>
      <c r="B1214" s="1" t="n">
        <v>45756</v>
      </c>
      <c r="C1214" s="1" t="n">
        <v>45759</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17164-2025</t>
        </is>
      </c>
      <c r="B1215" s="1" t="n">
        <v>45756</v>
      </c>
      <c r="C1215" s="1" t="n">
        <v>45759</v>
      </c>
      <c r="D1215" t="inlineStr">
        <is>
          <t>DALARNAS LÄN</t>
        </is>
      </c>
      <c r="E1215" t="inlineStr">
        <is>
          <t>MORA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17172-2025</t>
        </is>
      </c>
      <c r="B1216" s="1" t="n">
        <v>45756</v>
      </c>
      <c r="C1216" s="1" t="n">
        <v>45759</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45759</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45759</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17288-2025</t>
        </is>
      </c>
      <c r="B1219" s="1" t="n">
        <v>45756</v>
      </c>
      <c r="C1219" s="1" t="n">
        <v>45759</v>
      </c>
      <c r="D1219" t="inlineStr">
        <is>
          <t>DALARNAS LÄN</t>
        </is>
      </c>
      <c r="E1219" t="inlineStr">
        <is>
          <t>MORA</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45759</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45759</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17674-2025</t>
        </is>
      </c>
      <c r="B1222" s="1" t="n">
        <v>45758</v>
      </c>
      <c r="C1222" s="1" t="n">
        <v>45759</v>
      </c>
      <c r="D1222" t="inlineStr">
        <is>
          <t>DALARNAS LÄN</t>
        </is>
      </c>
      <c r="E1222" t="inlineStr">
        <is>
          <t>MORA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45759</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c r="A1224" t="inlineStr">
        <is>
          <t>A 17865-2025</t>
        </is>
      </c>
      <c r="B1224" s="1" t="n">
        <v>45758</v>
      </c>
      <c r="C1224" s="1" t="n">
        <v>45759</v>
      </c>
      <c r="D1224" t="inlineStr">
        <is>
          <t>DALARNAS LÄN</t>
        </is>
      </c>
      <c r="E1224" t="inlineStr">
        <is>
          <t>MORA</t>
        </is>
      </c>
      <c r="G1224" t="n">
        <v>1.6</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2025-04-12T16:17:15Z</dcterms:created>
  <dcterms:modified xmlns:dcterms="http://purl.org/dc/terms/" xmlns:xsi="http://www.w3.org/2001/XMLSchema-instance" xsi:type="dcterms:W3CDTF">2025-04-12T16:17:16Z</dcterms:modified>
</cp:coreProperties>
</file>