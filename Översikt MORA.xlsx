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45988</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45988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45988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45988</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35200-2025</t>
        </is>
      </c>
      <c r="B11" s="1" t="n">
        <v>45853</v>
      </c>
      <c r="C11" s="1" t="n">
        <v>45988</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34018-2021</t>
        </is>
      </c>
      <c r="B12" s="1" t="n">
        <v>44379.34289351852</v>
      </c>
      <c r="C12" s="1" t="n">
        <v>45988</v>
      </c>
      <c r="D12" t="inlineStr">
        <is>
          <t>DALARNAS LÄN</t>
        </is>
      </c>
      <c r="E12" t="inlineStr">
        <is>
          <t>MORA</t>
        </is>
      </c>
      <c r="G12" t="n">
        <v>5.7</v>
      </c>
      <c r="H12" t="n">
        <v>4</v>
      </c>
      <c r="I12" t="n">
        <v>3</v>
      </c>
      <c r="J12" t="n">
        <v>10</v>
      </c>
      <c r="K12" t="n">
        <v>1</v>
      </c>
      <c r="L12" t="n">
        <v>0</v>
      </c>
      <c r="M12" t="n">
        <v>0</v>
      </c>
      <c r="N12" t="n">
        <v>0</v>
      </c>
      <c r="O12" t="n">
        <v>11</v>
      </c>
      <c r="P12" t="n">
        <v>1</v>
      </c>
      <c r="Q12" t="n">
        <v>17</v>
      </c>
      <c r="R12" s="2" t="inlineStr">
        <is>
          <t>Rynkskinn
Garnlav
Granticka
Knölgrynna
Kolflarnlav
Mörk kolflarnlav
Spillkråka
Vedflamlav
Vedskivlav
Violettgrå tagellav
Vitgrynig nållav
Dropptaggsvamp
Mindre märgborre
Nästlav
Kungsfågel
Tjäder
Huggorm</t>
        </is>
      </c>
      <c r="S12">
        <f>HYPERLINK("https://klasma.github.io/Logging_2062/artfynd/A 34018-2021 artfynd.xlsx", "A 34018-2021")</f>
        <v/>
      </c>
      <c r="T12">
        <f>HYPERLINK("https://klasma.github.io/Logging_2062/kartor/A 34018-2021 karta.png", "A 34018-2021")</f>
        <v/>
      </c>
      <c r="V12">
        <f>HYPERLINK("https://klasma.github.io/Logging_2062/klagomål/A 34018-2021 FSC-klagomål.docx", "A 34018-2021")</f>
        <v/>
      </c>
      <c r="W12">
        <f>HYPERLINK("https://klasma.github.io/Logging_2062/klagomålsmail/A 34018-2021 FSC-klagomål mail.docx", "A 34018-2021")</f>
        <v/>
      </c>
      <c r="X12">
        <f>HYPERLINK("https://klasma.github.io/Logging_2062/tillsyn/A 34018-2021 tillsynsbegäran.docx", "A 34018-2021")</f>
        <v/>
      </c>
      <c r="Y12">
        <f>HYPERLINK("https://klasma.github.io/Logging_2062/tillsynsmail/A 34018-2021 tillsynsbegäran mail.docx", "A 34018-2021")</f>
        <v/>
      </c>
      <c r="Z12">
        <f>HYPERLINK("https://klasma.github.io/Logging_2062/fåglar/A 34018-2021 prioriterade fågelarter.docx", "A 34018-2021")</f>
        <v/>
      </c>
    </row>
    <row r="13" ht="15" customHeight="1">
      <c r="A13" t="inlineStr">
        <is>
          <t>A 45199-2025</t>
        </is>
      </c>
      <c r="B13" s="1" t="n">
        <v>45919.56107638889</v>
      </c>
      <c r="C13" s="1" t="n">
        <v>45988</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45988</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45988</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45988</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45988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45988</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45988</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45988</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45988</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45988</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45988</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5064-2023</t>
        </is>
      </c>
      <c r="B26" s="1" t="n">
        <v>44958.60337962963</v>
      </c>
      <c r="C26" s="1" t="n">
        <v>45988</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45988</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45988</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35944-2024</t>
        </is>
      </c>
      <c r="B29" s="1" t="n">
        <v>45533.45853009259</v>
      </c>
      <c r="C29" s="1" t="n">
        <v>45988</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41794-2025</t>
        </is>
      </c>
      <c r="B30" s="1" t="n">
        <v>45902.60008101852</v>
      </c>
      <c r="C30" s="1" t="n">
        <v>45988</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45988</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57661-2025</t>
        </is>
      </c>
      <c r="B32" s="1" t="n">
        <v>45981.41530092592</v>
      </c>
      <c r="C32" s="1" t="n">
        <v>45988</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35486-2025</t>
        </is>
      </c>
      <c r="B33" s="1" t="n">
        <v>45855</v>
      </c>
      <c r="C33" s="1" t="n">
        <v>45988</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61943-2024</t>
        </is>
      </c>
      <c r="B34" s="1" t="n">
        <v>45653.49774305556</v>
      </c>
      <c r="C34" s="1" t="n">
        <v>45988</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45988</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45988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45988</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45988</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30904-2025</t>
        </is>
      </c>
      <c r="B40" s="1" t="n">
        <v>45832.36327546297</v>
      </c>
      <c r="C40" s="1" t="n">
        <v>45988</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45988</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45988</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45988</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45988</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45988</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45988</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45988</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45988</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31539-2025</t>
        </is>
      </c>
      <c r="B49" s="1" t="n">
        <v>45833</v>
      </c>
      <c r="C49" s="1" t="n">
        <v>45988</v>
      </c>
      <c r="D49" t="inlineStr">
        <is>
          <t>DALARNAS LÄN</t>
        </is>
      </c>
      <c r="E49" t="inlineStr">
        <is>
          <t>MORA</t>
        </is>
      </c>
      <c r="G49" t="n">
        <v>5.3</v>
      </c>
      <c r="H49" t="n">
        <v>2</v>
      </c>
      <c r="I49" t="n">
        <v>2</v>
      </c>
      <c r="J49" t="n">
        <v>2</v>
      </c>
      <c r="K49" t="n">
        <v>1</v>
      </c>
      <c r="L49" t="n">
        <v>0</v>
      </c>
      <c r="M49" t="n">
        <v>0</v>
      </c>
      <c r="N49" t="n">
        <v>0</v>
      </c>
      <c r="O49" t="n">
        <v>3</v>
      </c>
      <c r="P49" t="n">
        <v>1</v>
      </c>
      <c r="Q49" t="n">
        <v>5</v>
      </c>
      <c r="R49" s="2" t="inlineStr">
        <is>
          <t>Knärot
Tallticka
Talltita
Bollvitmossa
Kattfotslav</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25750-2021</t>
        </is>
      </c>
      <c r="B50" s="1" t="n">
        <v>44343</v>
      </c>
      <c r="C50" s="1" t="n">
        <v>45988</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35487-2025</t>
        </is>
      </c>
      <c r="B51" s="1" t="n">
        <v>45855</v>
      </c>
      <c r="C51" s="1" t="n">
        <v>45988</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39478-2025</t>
        </is>
      </c>
      <c r="B52" s="1" t="n">
        <v>45890.3469212963</v>
      </c>
      <c r="C52" s="1" t="n">
        <v>45988</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45988</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45988</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45848.52225694444</v>
      </c>
      <c r="C55" s="1" t="n">
        <v>45988</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45988</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45988</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45988</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45988</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45988</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45988</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45988</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45988</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45988</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45988</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45988</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45988</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45988</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45988</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45988</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45988</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45988</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45988</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45988</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45988</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45988</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45988</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45988</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45988</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45988</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45988</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45988</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45988</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45988</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45988</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45988</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45988</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45988</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45988</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45988</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45988</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45988</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45988</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45988</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45988</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45988</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45988</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45988</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45988</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45988</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45988</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45988</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45988</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45988</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45988</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45988</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45988</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45988</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45988</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45988</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45988</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45988</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45988</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45988</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45988</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45988</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45988</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45988</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45988</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45988</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45988</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45988</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45988</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45988</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45988</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45988</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45988</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45988</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45988</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45988</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45988</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45988</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45988</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45988</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45988</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45988</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45988</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45988</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45988</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45988</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45988</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45988</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45988</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67045-2021</t>
        </is>
      </c>
      <c r="B146" s="1" t="n">
        <v>44522</v>
      </c>
      <c r="C146" s="1" t="n">
        <v>45988</v>
      </c>
      <c r="D146" t="inlineStr">
        <is>
          <t>DALARNAS LÄN</t>
        </is>
      </c>
      <c r="E146" t="inlineStr">
        <is>
          <t>MORA</t>
        </is>
      </c>
      <c r="G146" t="n">
        <v>0.2</v>
      </c>
      <c r="H146" t="n">
        <v>0</v>
      </c>
      <c r="I146" t="n">
        <v>0</v>
      </c>
      <c r="J146" t="n">
        <v>0</v>
      </c>
      <c r="K146" t="n">
        <v>0</v>
      </c>
      <c r="L146" t="n">
        <v>0</v>
      </c>
      <c r="M146" t="n">
        <v>0</v>
      </c>
      <c r="N146" t="n">
        <v>0</v>
      </c>
      <c r="O146" t="n">
        <v>0</v>
      </c>
      <c r="P146" t="n">
        <v>0</v>
      </c>
      <c r="Q146" t="n">
        <v>0</v>
      </c>
      <c r="R146" s="2" t="inlineStr"/>
    </row>
    <row r="147" ht="15" customHeight="1">
      <c r="A147" t="inlineStr">
        <is>
          <t>A 8546-2022</t>
        </is>
      </c>
      <c r="B147" s="1" t="n">
        <v>44613</v>
      </c>
      <c r="C147" s="1" t="n">
        <v>45988</v>
      </c>
      <c r="D147" t="inlineStr">
        <is>
          <t>DALARNAS LÄN</t>
        </is>
      </c>
      <c r="E147" t="inlineStr">
        <is>
          <t>MORA</t>
        </is>
      </c>
      <c r="G147" t="n">
        <v>2.6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45988</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45988</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45988</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35287-2024</t>
        </is>
      </c>
      <c r="B151" s="1" t="n">
        <v>45530</v>
      </c>
      <c r="C151" s="1" t="n">
        <v>45988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45988</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45988</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45988</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45988</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45988</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52525-2022</t>
        </is>
      </c>
      <c r="B157" s="1" t="n">
        <v>44874</v>
      </c>
      <c r="C157" s="1" t="n">
        <v>45988</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45988</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48390-2024</t>
        </is>
      </c>
      <c r="B159" s="1" t="n">
        <v>45590.60216435185</v>
      </c>
      <c r="C159" s="1" t="n">
        <v>45988</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45988</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45988</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43874-2024</t>
        </is>
      </c>
      <c r="B162" s="1" t="n">
        <v>45572.38476851852</v>
      </c>
      <c r="C162" s="1" t="n">
        <v>45988</v>
      </c>
      <c r="D162" t="inlineStr">
        <is>
          <t>DALARNAS LÄN</t>
        </is>
      </c>
      <c r="E162" t="inlineStr">
        <is>
          <t>MORA</t>
        </is>
      </c>
      <c r="G162" t="n">
        <v>3.6</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45988</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45988</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63958-2023</t>
        </is>
      </c>
      <c r="B165" s="1" t="n">
        <v>45278</v>
      </c>
      <c r="C165" s="1" t="n">
        <v>45988</v>
      </c>
      <c r="D165" t="inlineStr">
        <is>
          <t>DALARNAS LÄN</t>
        </is>
      </c>
      <c r="E165" t="inlineStr">
        <is>
          <t>MORA</t>
        </is>
      </c>
      <c r="G165" t="n">
        <v>1.9</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45988</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45988</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61405-2023</t>
        </is>
      </c>
      <c r="B168" s="1" t="n">
        <v>45264.65987268519</v>
      </c>
      <c r="C168" s="1" t="n">
        <v>45988</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45988</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18702-2025</t>
        </is>
      </c>
      <c r="B170" s="1" t="n">
        <v>45763.63166666667</v>
      </c>
      <c r="C170" s="1" t="n">
        <v>45988</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22354-2025</t>
        </is>
      </c>
      <c r="B171" s="1" t="n">
        <v>45786.45721064815</v>
      </c>
      <c r="C171" s="1" t="n">
        <v>45988</v>
      </c>
      <c r="D171" t="inlineStr">
        <is>
          <t>DALARNAS LÄN</t>
        </is>
      </c>
      <c r="E171" t="inlineStr">
        <is>
          <t>MORA</t>
        </is>
      </c>
      <c r="F171" t="inlineStr">
        <is>
          <t>Bergvik skog öst AB</t>
        </is>
      </c>
      <c r="G171" t="n">
        <v>2</v>
      </c>
      <c r="H171" t="n">
        <v>0</v>
      </c>
      <c r="I171" t="n">
        <v>0</v>
      </c>
      <c r="J171" t="n">
        <v>0</v>
      </c>
      <c r="K171" t="n">
        <v>0</v>
      </c>
      <c r="L171" t="n">
        <v>0</v>
      </c>
      <c r="M171" t="n">
        <v>0</v>
      </c>
      <c r="N171" t="n">
        <v>0</v>
      </c>
      <c r="O171" t="n">
        <v>0</v>
      </c>
      <c r="P171" t="n">
        <v>0</v>
      </c>
      <c r="Q171" t="n">
        <v>0</v>
      </c>
      <c r="R171" s="2" t="inlineStr"/>
    </row>
    <row r="172" ht="15" customHeight="1">
      <c r="A172" t="inlineStr">
        <is>
          <t>A 43432-2024</t>
        </is>
      </c>
      <c r="B172" s="1" t="n">
        <v>45568.64337962963</v>
      </c>
      <c r="C172" s="1" t="n">
        <v>45988</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48342-2023</t>
        </is>
      </c>
      <c r="B173" s="1" t="n">
        <v>45205</v>
      </c>
      <c r="C173" s="1" t="n">
        <v>45988</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22409-2025</t>
        </is>
      </c>
      <c r="B174" s="1" t="n">
        <v>45786.54940972223</v>
      </c>
      <c r="C174" s="1" t="n">
        <v>45988</v>
      </c>
      <c r="D174" t="inlineStr">
        <is>
          <t>DALARNAS LÄN</t>
        </is>
      </c>
      <c r="E174" t="inlineStr">
        <is>
          <t>MORA</t>
        </is>
      </c>
      <c r="F174" t="inlineStr">
        <is>
          <t>Bergvik skog öst AB</t>
        </is>
      </c>
      <c r="G174" t="n">
        <v>5</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45988</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12490-2025</t>
        </is>
      </c>
      <c r="B176" s="1" t="n">
        <v>45730.59239583334</v>
      </c>
      <c r="C176" s="1" t="n">
        <v>45988</v>
      </c>
      <c r="D176" t="inlineStr">
        <is>
          <t>DALARNAS LÄN</t>
        </is>
      </c>
      <c r="E176" t="inlineStr">
        <is>
          <t>MORA</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55671-2024</t>
        </is>
      </c>
      <c r="B177" s="1" t="n">
        <v>45622.65269675926</v>
      </c>
      <c r="C177" s="1" t="n">
        <v>45988</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45349-2024</t>
        </is>
      </c>
      <c r="B178" s="1" t="n">
        <v>45576</v>
      </c>
      <c r="C178" s="1" t="n">
        <v>45988</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23368-2025</t>
        </is>
      </c>
      <c r="B179" s="1" t="n">
        <v>45791.70299768518</v>
      </c>
      <c r="C179" s="1" t="n">
        <v>45988</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56935-2024</t>
        </is>
      </c>
      <c r="B180" s="1" t="n">
        <v>45625</v>
      </c>
      <c r="C180" s="1" t="n">
        <v>45988</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56927-2024</t>
        </is>
      </c>
      <c r="B181" s="1" t="n">
        <v>45625</v>
      </c>
      <c r="C181" s="1" t="n">
        <v>45988</v>
      </c>
      <c r="D181" t="inlineStr">
        <is>
          <t>DALARNAS LÄN</t>
        </is>
      </c>
      <c r="E181" t="inlineStr">
        <is>
          <t>MORA</t>
        </is>
      </c>
      <c r="G181" t="n">
        <v>2.8</v>
      </c>
      <c r="H181" t="n">
        <v>0</v>
      </c>
      <c r="I181" t="n">
        <v>0</v>
      </c>
      <c r="J181" t="n">
        <v>0</v>
      </c>
      <c r="K181" t="n">
        <v>0</v>
      </c>
      <c r="L181" t="n">
        <v>0</v>
      </c>
      <c r="M181" t="n">
        <v>0</v>
      </c>
      <c r="N181" t="n">
        <v>0</v>
      </c>
      <c r="O181" t="n">
        <v>0</v>
      </c>
      <c r="P181" t="n">
        <v>0</v>
      </c>
      <c r="Q181" t="n">
        <v>0</v>
      </c>
      <c r="R181" s="2" t="inlineStr"/>
    </row>
    <row r="182" ht="15" customHeight="1">
      <c r="A182" t="inlineStr">
        <is>
          <t>A 22185-2025</t>
        </is>
      </c>
      <c r="B182" s="1" t="n">
        <v>45785</v>
      </c>
      <c r="C182" s="1" t="n">
        <v>45988</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69483-2021</t>
        </is>
      </c>
      <c r="B183" s="1" t="n">
        <v>44531</v>
      </c>
      <c r="C183" s="1" t="n">
        <v>45988</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59404-2024</t>
        </is>
      </c>
      <c r="B184" s="1" t="n">
        <v>45638</v>
      </c>
      <c r="C184" s="1" t="n">
        <v>45988</v>
      </c>
      <c r="D184" t="inlineStr">
        <is>
          <t>DALARNAS LÄN</t>
        </is>
      </c>
      <c r="E184" t="inlineStr">
        <is>
          <t>MORA</t>
        </is>
      </c>
      <c r="G184" t="n">
        <v>2.6</v>
      </c>
      <c r="H184" t="n">
        <v>0</v>
      </c>
      <c r="I184" t="n">
        <v>0</v>
      </c>
      <c r="J184" t="n">
        <v>0</v>
      </c>
      <c r="K184" t="n">
        <v>0</v>
      </c>
      <c r="L184" t="n">
        <v>0</v>
      </c>
      <c r="M184" t="n">
        <v>0</v>
      </c>
      <c r="N184" t="n">
        <v>0</v>
      </c>
      <c r="O184" t="n">
        <v>0</v>
      </c>
      <c r="P184" t="n">
        <v>0</v>
      </c>
      <c r="Q184" t="n">
        <v>0</v>
      </c>
      <c r="R184" s="2" t="inlineStr"/>
    </row>
    <row r="185" ht="15" customHeight="1">
      <c r="A185" t="inlineStr">
        <is>
          <t>A 11193-2025</t>
        </is>
      </c>
      <c r="B185" s="1" t="n">
        <v>45725</v>
      </c>
      <c r="C185" s="1" t="n">
        <v>45988</v>
      </c>
      <c r="D185" t="inlineStr">
        <is>
          <t>DALARNAS LÄN</t>
        </is>
      </c>
      <c r="E185" t="inlineStr">
        <is>
          <t>MORA</t>
        </is>
      </c>
      <c r="G185" t="n">
        <v>4.1</v>
      </c>
      <c r="H185" t="n">
        <v>0</v>
      </c>
      <c r="I185" t="n">
        <v>0</v>
      </c>
      <c r="J185" t="n">
        <v>0</v>
      </c>
      <c r="K185" t="n">
        <v>0</v>
      </c>
      <c r="L185" t="n">
        <v>0</v>
      </c>
      <c r="M185" t="n">
        <v>0</v>
      </c>
      <c r="N185" t="n">
        <v>0</v>
      </c>
      <c r="O185" t="n">
        <v>0</v>
      </c>
      <c r="P185" t="n">
        <v>0</v>
      </c>
      <c r="Q185" t="n">
        <v>0</v>
      </c>
      <c r="R185" s="2" t="inlineStr"/>
    </row>
    <row r="186" ht="15" customHeight="1">
      <c r="A186" t="inlineStr">
        <is>
          <t>A 55691-2023</t>
        </is>
      </c>
      <c r="B186" s="1" t="n">
        <v>45239.36509259259</v>
      </c>
      <c r="C186" s="1" t="n">
        <v>45988</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56900-2024</t>
        </is>
      </c>
      <c r="B187" s="1" t="n">
        <v>45625</v>
      </c>
      <c r="C187" s="1" t="n">
        <v>45988</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17494-2025</t>
        </is>
      </c>
      <c r="B188" s="1" t="n">
        <v>45757.52033564815</v>
      </c>
      <c r="C188" s="1" t="n">
        <v>45988</v>
      </c>
      <c r="D188" t="inlineStr">
        <is>
          <t>DALARNAS LÄN</t>
        </is>
      </c>
      <c r="E188" t="inlineStr">
        <is>
          <t>MORA</t>
        </is>
      </c>
      <c r="G188" t="n">
        <v>5.3</v>
      </c>
      <c r="H188" t="n">
        <v>0</v>
      </c>
      <c r="I188" t="n">
        <v>0</v>
      </c>
      <c r="J188" t="n">
        <v>0</v>
      </c>
      <c r="K188" t="n">
        <v>0</v>
      </c>
      <c r="L188" t="n">
        <v>0</v>
      </c>
      <c r="M188" t="n">
        <v>0</v>
      </c>
      <c r="N188" t="n">
        <v>0</v>
      </c>
      <c r="O188" t="n">
        <v>0</v>
      </c>
      <c r="P188" t="n">
        <v>0</v>
      </c>
      <c r="Q188" t="n">
        <v>0</v>
      </c>
      <c r="R188" s="2" t="inlineStr"/>
    </row>
    <row r="189" ht="15" customHeight="1">
      <c r="A189" t="inlineStr">
        <is>
          <t>A 23354-2022</t>
        </is>
      </c>
      <c r="B189" s="1" t="n">
        <v>44720</v>
      </c>
      <c r="C189" s="1" t="n">
        <v>45988</v>
      </c>
      <c r="D189" t="inlineStr">
        <is>
          <t>DALARNAS LÄN</t>
        </is>
      </c>
      <c r="E189" t="inlineStr">
        <is>
          <t>MORA</t>
        </is>
      </c>
      <c r="G189" t="n">
        <v>5.2</v>
      </c>
      <c r="H189" t="n">
        <v>0</v>
      </c>
      <c r="I189" t="n">
        <v>0</v>
      </c>
      <c r="J189" t="n">
        <v>0</v>
      </c>
      <c r="K189" t="n">
        <v>0</v>
      </c>
      <c r="L189" t="n">
        <v>0</v>
      </c>
      <c r="M189" t="n">
        <v>0</v>
      </c>
      <c r="N189" t="n">
        <v>0</v>
      </c>
      <c r="O189" t="n">
        <v>0</v>
      </c>
      <c r="P189" t="n">
        <v>0</v>
      </c>
      <c r="Q189" t="n">
        <v>0</v>
      </c>
      <c r="R189" s="2" t="inlineStr"/>
    </row>
    <row r="190" ht="15" customHeight="1">
      <c r="A190" t="inlineStr">
        <is>
          <t>A 30998-2022</t>
        </is>
      </c>
      <c r="B190" s="1" t="n">
        <v>44768</v>
      </c>
      <c r="C190" s="1" t="n">
        <v>45988</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45988</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54192-2023</t>
        </is>
      </c>
      <c r="B192" s="1" t="n">
        <v>45232.53052083333</v>
      </c>
      <c r="C192" s="1" t="n">
        <v>45988</v>
      </c>
      <c r="D192" t="inlineStr">
        <is>
          <t>DALARNAS LÄN</t>
        </is>
      </c>
      <c r="E192" t="inlineStr">
        <is>
          <t>MORA</t>
        </is>
      </c>
      <c r="G192" t="n">
        <v>3.4</v>
      </c>
      <c r="H192" t="n">
        <v>0</v>
      </c>
      <c r="I192" t="n">
        <v>0</v>
      </c>
      <c r="J192" t="n">
        <v>0</v>
      </c>
      <c r="K192" t="n">
        <v>0</v>
      </c>
      <c r="L192" t="n">
        <v>0</v>
      </c>
      <c r="M192" t="n">
        <v>0</v>
      </c>
      <c r="N192" t="n">
        <v>0</v>
      </c>
      <c r="O192" t="n">
        <v>0</v>
      </c>
      <c r="P192" t="n">
        <v>0</v>
      </c>
      <c r="Q192" t="n">
        <v>0</v>
      </c>
      <c r="R192" s="2" t="inlineStr"/>
    </row>
    <row r="193" ht="15" customHeight="1">
      <c r="A193" t="inlineStr">
        <is>
          <t>A 23229-2025</t>
        </is>
      </c>
      <c r="B193" s="1" t="n">
        <v>45791</v>
      </c>
      <c r="C193" s="1" t="n">
        <v>45988</v>
      </c>
      <c r="D193" t="inlineStr">
        <is>
          <t>DALARNAS LÄN</t>
        </is>
      </c>
      <c r="E193" t="inlineStr">
        <is>
          <t>MORA</t>
        </is>
      </c>
      <c r="G193" t="n">
        <v>2.2</v>
      </c>
      <c r="H193" t="n">
        <v>0</v>
      </c>
      <c r="I193" t="n">
        <v>0</v>
      </c>
      <c r="J193" t="n">
        <v>0</v>
      </c>
      <c r="K193" t="n">
        <v>0</v>
      </c>
      <c r="L193" t="n">
        <v>0</v>
      </c>
      <c r="M193" t="n">
        <v>0</v>
      </c>
      <c r="N193" t="n">
        <v>0</v>
      </c>
      <c r="O193" t="n">
        <v>0</v>
      </c>
      <c r="P193" t="n">
        <v>0</v>
      </c>
      <c r="Q193" t="n">
        <v>0</v>
      </c>
      <c r="R193" s="2" t="inlineStr"/>
    </row>
    <row r="194" ht="15" customHeight="1">
      <c r="A194" t="inlineStr">
        <is>
          <t>A 62854-2023</t>
        </is>
      </c>
      <c r="B194" s="1" t="n">
        <v>45272</v>
      </c>
      <c r="C194" s="1" t="n">
        <v>45988</v>
      </c>
      <c r="D194" t="inlineStr">
        <is>
          <t>DALARNAS LÄN</t>
        </is>
      </c>
      <c r="E194" t="inlineStr">
        <is>
          <t>MORA</t>
        </is>
      </c>
      <c r="G194" t="n">
        <v>11.3</v>
      </c>
      <c r="H194" t="n">
        <v>0</v>
      </c>
      <c r="I194" t="n">
        <v>0</v>
      </c>
      <c r="J194" t="n">
        <v>0</v>
      </c>
      <c r="K194" t="n">
        <v>0</v>
      </c>
      <c r="L194" t="n">
        <v>0</v>
      </c>
      <c r="M194" t="n">
        <v>0</v>
      </c>
      <c r="N194" t="n">
        <v>0</v>
      </c>
      <c r="O194" t="n">
        <v>0</v>
      </c>
      <c r="P194" t="n">
        <v>0</v>
      </c>
      <c r="Q194" t="n">
        <v>0</v>
      </c>
      <c r="R194" s="2" t="inlineStr"/>
    </row>
    <row r="195" ht="15" customHeight="1">
      <c r="A195" t="inlineStr">
        <is>
          <t>A 24127-2025</t>
        </is>
      </c>
      <c r="B195" s="1" t="n">
        <v>45796.63137731481</v>
      </c>
      <c r="C195" s="1" t="n">
        <v>45988</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50911-2024</t>
        </is>
      </c>
      <c r="B196" s="1" t="n">
        <v>45602.7022337963</v>
      </c>
      <c r="C196" s="1" t="n">
        <v>45988</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24249-2025</t>
        </is>
      </c>
      <c r="B197" s="1" t="n">
        <v>45797.40260416667</v>
      </c>
      <c r="C197" s="1" t="n">
        <v>45988</v>
      </c>
      <c r="D197" t="inlineStr">
        <is>
          <t>DALARNAS LÄN</t>
        </is>
      </c>
      <c r="E197" t="inlineStr">
        <is>
          <t>MORA</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15440-2024</t>
        </is>
      </c>
      <c r="B198" s="1" t="n">
        <v>45401.4194212963</v>
      </c>
      <c r="C198" s="1" t="n">
        <v>45988</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39456-2025</t>
        </is>
      </c>
      <c r="B199" s="1" t="n">
        <v>45889.76200231481</v>
      </c>
      <c r="C199" s="1" t="n">
        <v>45988</v>
      </c>
      <c r="D199" t="inlineStr">
        <is>
          <t>DALARNAS LÄN</t>
        </is>
      </c>
      <c r="E199" t="inlineStr">
        <is>
          <t>MORA</t>
        </is>
      </c>
      <c r="F199" t="inlineStr">
        <is>
          <t>Bergvik skog öst AB</t>
        </is>
      </c>
      <c r="G199" t="n">
        <v>16.7</v>
      </c>
      <c r="H199" t="n">
        <v>0</v>
      </c>
      <c r="I199" t="n">
        <v>0</v>
      </c>
      <c r="J199" t="n">
        <v>0</v>
      </c>
      <c r="K199" t="n">
        <v>0</v>
      </c>
      <c r="L199" t="n">
        <v>0</v>
      </c>
      <c r="M199" t="n">
        <v>0</v>
      </c>
      <c r="N199" t="n">
        <v>0</v>
      </c>
      <c r="O199" t="n">
        <v>0</v>
      </c>
      <c r="P199" t="n">
        <v>0</v>
      </c>
      <c r="Q199" t="n">
        <v>0</v>
      </c>
      <c r="R199" s="2" t="inlineStr"/>
    </row>
    <row r="200" ht="15" customHeight="1">
      <c r="A200" t="inlineStr">
        <is>
          <t>A 39824-2025</t>
        </is>
      </c>
      <c r="B200" s="1" t="n">
        <v>45891</v>
      </c>
      <c r="C200" s="1" t="n">
        <v>45988</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9461-2025</t>
        </is>
      </c>
      <c r="B201" s="1" t="n">
        <v>45715.45341435185</v>
      </c>
      <c r="C201" s="1" t="n">
        <v>45988</v>
      </c>
      <c r="D201" t="inlineStr">
        <is>
          <t>DALARNAS LÄN</t>
        </is>
      </c>
      <c r="E201" t="inlineStr">
        <is>
          <t>MORA</t>
        </is>
      </c>
      <c r="G201" t="n">
        <v>1.8</v>
      </c>
      <c r="H201" t="n">
        <v>0</v>
      </c>
      <c r="I201" t="n">
        <v>0</v>
      </c>
      <c r="J201" t="n">
        <v>0</v>
      </c>
      <c r="K201" t="n">
        <v>0</v>
      </c>
      <c r="L201" t="n">
        <v>0</v>
      </c>
      <c r="M201" t="n">
        <v>0</v>
      </c>
      <c r="N201" t="n">
        <v>0</v>
      </c>
      <c r="O201" t="n">
        <v>0</v>
      </c>
      <c r="P201" t="n">
        <v>0</v>
      </c>
      <c r="Q201" t="n">
        <v>0</v>
      </c>
      <c r="R201" s="2" t="inlineStr"/>
    </row>
    <row r="202" ht="15" customHeight="1">
      <c r="A202" t="inlineStr">
        <is>
          <t>A 34928-2022</t>
        </is>
      </c>
      <c r="B202" s="1" t="n">
        <v>44796.60479166666</v>
      </c>
      <c r="C202" s="1" t="n">
        <v>45988</v>
      </c>
      <c r="D202" t="inlineStr">
        <is>
          <t>DALARNAS LÄN</t>
        </is>
      </c>
      <c r="E202" t="inlineStr">
        <is>
          <t>MORA</t>
        </is>
      </c>
      <c r="G202" t="n">
        <v>1.2</v>
      </c>
      <c r="H202" t="n">
        <v>0</v>
      </c>
      <c r="I202" t="n">
        <v>0</v>
      </c>
      <c r="J202" t="n">
        <v>0</v>
      </c>
      <c r="K202" t="n">
        <v>0</v>
      </c>
      <c r="L202" t="n">
        <v>0</v>
      </c>
      <c r="M202" t="n">
        <v>0</v>
      </c>
      <c r="N202" t="n">
        <v>0</v>
      </c>
      <c r="O202" t="n">
        <v>0</v>
      </c>
      <c r="P202" t="n">
        <v>0</v>
      </c>
      <c r="Q202" t="n">
        <v>0</v>
      </c>
      <c r="R202" s="2" t="inlineStr"/>
    </row>
    <row r="203" ht="15" customHeight="1">
      <c r="A203" t="inlineStr">
        <is>
          <t>A 19286-2023</t>
        </is>
      </c>
      <c r="B203" s="1" t="n">
        <v>45049</v>
      </c>
      <c r="C203" s="1" t="n">
        <v>45988</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24230-2025</t>
        </is>
      </c>
      <c r="B204" s="1" t="n">
        <v>45797.37607638889</v>
      </c>
      <c r="C204" s="1" t="n">
        <v>45988</v>
      </c>
      <c r="D204" t="inlineStr">
        <is>
          <t>DALARNAS LÄN</t>
        </is>
      </c>
      <c r="E204" t="inlineStr">
        <is>
          <t>MORA</t>
        </is>
      </c>
      <c r="G204" t="n">
        <v>6.8</v>
      </c>
      <c r="H204" t="n">
        <v>0</v>
      </c>
      <c r="I204" t="n">
        <v>0</v>
      </c>
      <c r="J204" t="n">
        <v>0</v>
      </c>
      <c r="K204" t="n">
        <v>0</v>
      </c>
      <c r="L204" t="n">
        <v>0</v>
      </c>
      <c r="M204" t="n">
        <v>0</v>
      </c>
      <c r="N204" t="n">
        <v>0</v>
      </c>
      <c r="O204" t="n">
        <v>0</v>
      </c>
      <c r="P204" t="n">
        <v>0</v>
      </c>
      <c r="Q204" t="n">
        <v>0</v>
      </c>
      <c r="R204" s="2" t="inlineStr"/>
    </row>
    <row r="205" ht="15" customHeight="1">
      <c r="A205" t="inlineStr">
        <is>
          <t>A 39787-2025</t>
        </is>
      </c>
      <c r="B205" s="1" t="n">
        <v>45891</v>
      </c>
      <c r="C205" s="1" t="n">
        <v>45988</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24280-2025</t>
        </is>
      </c>
      <c r="B206" s="1" t="n">
        <v>45797.45581018519</v>
      </c>
      <c r="C206" s="1" t="n">
        <v>45988</v>
      </c>
      <c r="D206" t="inlineStr">
        <is>
          <t>DALARNAS LÄN</t>
        </is>
      </c>
      <c r="E206" t="inlineStr">
        <is>
          <t>MORA</t>
        </is>
      </c>
      <c r="G206" t="n">
        <v>1.1</v>
      </c>
      <c r="H206" t="n">
        <v>0</v>
      </c>
      <c r="I206" t="n">
        <v>0</v>
      </c>
      <c r="J206" t="n">
        <v>0</v>
      </c>
      <c r="K206" t="n">
        <v>0</v>
      </c>
      <c r="L206" t="n">
        <v>0</v>
      </c>
      <c r="M206" t="n">
        <v>0</v>
      </c>
      <c r="N206" t="n">
        <v>0</v>
      </c>
      <c r="O206" t="n">
        <v>0</v>
      </c>
      <c r="P206" t="n">
        <v>0</v>
      </c>
      <c r="Q206" t="n">
        <v>0</v>
      </c>
      <c r="R206" s="2" t="inlineStr"/>
    </row>
    <row r="207" ht="15" customHeight="1">
      <c r="A207" t="inlineStr">
        <is>
          <t>A 40471-2025</t>
        </is>
      </c>
      <c r="B207" s="1" t="n">
        <v>45895.67356481482</v>
      </c>
      <c r="C207" s="1" t="n">
        <v>45988</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19183-2025</t>
        </is>
      </c>
      <c r="B208" s="1" t="n">
        <v>45769</v>
      </c>
      <c r="C208" s="1" t="n">
        <v>45988</v>
      </c>
      <c r="D208" t="inlineStr">
        <is>
          <t>DALARNAS LÄN</t>
        </is>
      </c>
      <c r="E208" t="inlineStr">
        <is>
          <t>MORA</t>
        </is>
      </c>
      <c r="G208" t="n">
        <v>0.5</v>
      </c>
      <c r="H208" t="n">
        <v>0</v>
      </c>
      <c r="I208" t="n">
        <v>0</v>
      </c>
      <c r="J208" t="n">
        <v>0</v>
      </c>
      <c r="K208" t="n">
        <v>0</v>
      </c>
      <c r="L208" t="n">
        <v>0</v>
      </c>
      <c r="M208" t="n">
        <v>0</v>
      </c>
      <c r="N208" t="n">
        <v>0</v>
      </c>
      <c r="O208" t="n">
        <v>0</v>
      </c>
      <c r="P208" t="n">
        <v>0</v>
      </c>
      <c r="Q208" t="n">
        <v>0</v>
      </c>
      <c r="R208" s="2" t="inlineStr"/>
    </row>
    <row r="209" ht="15" customHeight="1">
      <c r="A209" t="inlineStr">
        <is>
          <t>A 57475-2022</t>
        </is>
      </c>
      <c r="B209" s="1" t="n">
        <v>44896</v>
      </c>
      <c r="C209" s="1" t="n">
        <v>45988</v>
      </c>
      <c r="D209" t="inlineStr">
        <is>
          <t>DALARNAS LÄN</t>
        </is>
      </c>
      <c r="E209" t="inlineStr">
        <is>
          <t>MORA</t>
        </is>
      </c>
      <c r="G209" t="n">
        <v>5.7</v>
      </c>
      <c r="H209" t="n">
        <v>0</v>
      </c>
      <c r="I209" t="n">
        <v>0</v>
      </c>
      <c r="J209" t="n">
        <v>0</v>
      </c>
      <c r="K209" t="n">
        <v>0</v>
      </c>
      <c r="L209" t="n">
        <v>0</v>
      </c>
      <c r="M209" t="n">
        <v>0</v>
      </c>
      <c r="N209" t="n">
        <v>0</v>
      </c>
      <c r="O209" t="n">
        <v>0</v>
      </c>
      <c r="P209" t="n">
        <v>0</v>
      </c>
      <c r="Q209" t="n">
        <v>0</v>
      </c>
      <c r="R209" s="2" t="inlineStr"/>
    </row>
    <row r="210" ht="15" customHeight="1">
      <c r="A210" t="inlineStr">
        <is>
          <t>A 25737-2025</t>
        </is>
      </c>
      <c r="B210" s="1" t="n">
        <v>45800</v>
      </c>
      <c r="C210" s="1" t="n">
        <v>45988</v>
      </c>
      <c r="D210" t="inlineStr">
        <is>
          <t>DALARNAS LÄN</t>
        </is>
      </c>
      <c r="E210" t="inlineStr">
        <is>
          <t>MORA</t>
        </is>
      </c>
      <c r="G210" t="n">
        <v>9.6</v>
      </c>
      <c r="H210" t="n">
        <v>0</v>
      </c>
      <c r="I210" t="n">
        <v>0</v>
      </c>
      <c r="J210" t="n">
        <v>0</v>
      </c>
      <c r="K210" t="n">
        <v>0</v>
      </c>
      <c r="L210" t="n">
        <v>0</v>
      </c>
      <c r="M210" t="n">
        <v>0</v>
      </c>
      <c r="N210" t="n">
        <v>0</v>
      </c>
      <c r="O210" t="n">
        <v>0</v>
      </c>
      <c r="P210" t="n">
        <v>0</v>
      </c>
      <c r="Q210" t="n">
        <v>0</v>
      </c>
      <c r="R210" s="2" t="inlineStr"/>
    </row>
    <row r="211" ht="15" customHeight="1">
      <c r="A211" t="inlineStr">
        <is>
          <t>A 24640-2025</t>
        </is>
      </c>
      <c r="B211" s="1" t="n">
        <v>45798.62243055556</v>
      </c>
      <c r="C211" s="1" t="n">
        <v>45988</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35363-2024</t>
        </is>
      </c>
      <c r="B212" s="1" t="n">
        <v>45531.34050925926</v>
      </c>
      <c r="C212" s="1" t="n">
        <v>45988</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44307-2021</t>
        </is>
      </c>
      <c r="B213" s="1" t="n">
        <v>44435</v>
      </c>
      <c r="C213" s="1" t="n">
        <v>45988</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40140-2025</t>
        </is>
      </c>
      <c r="B214" s="1" t="n">
        <v>45894.57016203704</v>
      </c>
      <c r="C214" s="1" t="n">
        <v>45988</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40142-2025</t>
        </is>
      </c>
      <c r="B215" s="1" t="n">
        <v>45894.57202546296</v>
      </c>
      <c r="C215" s="1" t="n">
        <v>45988</v>
      </c>
      <c r="D215" t="inlineStr">
        <is>
          <t>DALARNAS LÄN</t>
        </is>
      </c>
      <c r="E215" t="inlineStr">
        <is>
          <t>MORA</t>
        </is>
      </c>
      <c r="G215" t="n">
        <v>0.4</v>
      </c>
      <c r="H215" t="n">
        <v>0</v>
      </c>
      <c r="I215" t="n">
        <v>0</v>
      </c>
      <c r="J215" t="n">
        <v>0</v>
      </c>
      <c r="K215" t="n">
        <v>0</v>
      </c>
      <c r="L215" t="n">
        <v>0</v>
      </c>
      <c r="M215" t="n">
        <v>0</v>
      </c>
      <c r="N215" t="n">
        <v>0</v>
      </c>
      <c r="O215" t="n">
        <v>0</v>
      </c>
      <c r="P215" t="n">
        <v>0</v>
      </c>
      <c r="Q215" t="n">
        <v>0</v>
      </c>
      <c r="R215" s="2" t="inlineStr"/>
    </row>
    <row r="216" ht="15" customHeight="1">
      <c r="A216" t="inlineStr">
        <is>
          <t>A 40147-2025</t>
        </is>
      </c>
      <c r="B216" s="1" t="n">
        <v>45894.57918981482</v>
      </c>
      <c r="C216" s="1" t="n">
        <v>45988</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45988</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40660-2025</t>
        </is>
      </c>
      <c r="B218" s="1" t="n">
        <v>45896.64631944444</v>
      </c>
      <c r="C218" s="1" t="n">
        <v>45988</v>
      </c>
      <c r="D218" t="inlineStr">
        <is>
          <t>DALARNAS LÄN</t>
        </is>
      </c>
      <c r="E218" t="inlineStr">
        <is>
          <t>MORA</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24947-2025</t>
        </is>
      </c>
      <c r="B219" s="1" t="n">
        <v>45799.56524305556</v>
      </c>
      <c r="C219" s="1" t="n">
        <v>45988</v>
      </c>
      <c r="D219" t="inlineStr">
        <is>
          <t>DALARNAS LÄN</t>
        </is>
      </c>
      <c r="E219" t="inlineStr">
        <is>
          <t>MORA</t>
        </is>
      </c>
      <c r="G219" t="n">
        <v>2</v>
      </c>
      <c r="H219" t="n">
        <v>0</v>
      </c>
      <c r="I219" t="n">
        <v>0</v>
      </c>
      <c r="J219" t="n">
        <v>0</v>
      </c>
      <c r="K219" t="n">
        <v>0</v>
      </c>
      <c r="L219" t="n">
        <v>0</v>
      </c>
      <c r="M219" t="n">
        <v>0</v>
      </c>
      <c r="N219" t="n">
        <v>0</v>
      </c>
      <c r="O219" t="n">
        <v>0</v>
      </c>
      <c r="P219" t="n">
        <v>0</v>
      </c>
      <c r="Q219" t="n">
        <v>0</v>
      </c>
      <c r="R219" s="2" t="inlineStr"/>
    </row>
    <row r="220" ht="15" customHeight="1">
      <c r="A220" t="inlineStr">
        <is>
          <t>A 24630-2025</t>
        </is>
      </c>
      <c r="B220" s="1" t="n">
        <v>45798.6003587963</v>
      </c>
      <c r="C220" s="1" t="n">
        <v>45988</v>
      </c>
      <c r="D220" t="inlineStr">
        <is>
          <t>DALARNAS LÄN</t>
        </is>
      </c>
      <c r="E220" t="inlineStr">
        <is>
          <t>MORA</t>
        </is>
      </c>
      <c r="F220" t="inlineStr">
        <is>
          <t>Bergvik skog väst AB</t>
        </is>
      </c>
      <c r="G220" t="n">
        <v>10.4</v>
      </c>
      <c r="H220" t="n">
        <v>0</v>
      </c>
      <c r="I220" t="n">
        <v>0</v>
      </c>
      <c r="J220" t="n">
        <v>0</v>
      </c>
      <c r="K220" t="n">
        <v>0</v>
      </c>
      <c r="L220" t="n">
        <v>0</v>
      </c>
      <c r="M220" t="n">
        <v>0</v>
      </c>
      <c r="N220" t="n">
        <v>0</v>
      </c>
      <c r="O220" t="n">
        <v>0</v>
      </c>
      <c r="P220" t="n">
        <v>0</v>
      </c>
      <c r="Q220" t="n">
        <v>0</v>
      </c>
      <c r="R220" s="2" t="inlineStr"/>
    </row>
    <row r="221" ht="15" customHeight="1">
      <c r="A221" t="inlineStr">
        <is>
          <t>A 40805-2025</t>
        </is>
      </c>
      <c r="B221" s="1" t="n">
        <v>45897.46659722222</v>
      </c>
      <c r="C221" s="1" t="n">
        <v>45988</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40661-2025</t>
        </is>
      </c>
      <c r="B222" s="1" t="n">
        <v>45896.64715277778</v>
      </c>
      <c r="C222" s="1" t="n">
        <v>45988</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24960-2025</t>
        </is>
      </c>
      <c r="B223" s="1" t="n">
        <v>45799.57666666667</v>
      </c>
      <c r="C223" s="1" t="n">
        <v>45988</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5922-2025</t>
        </is>
      </c>
      <c r="B224" s="1" t="n">
        <v>45695.42762731481</v>
      </c>
      <c r="C224" s="1" t="n">
        <v>45988</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24642-2025</t>
        </is>
      </c>
      <c r="B225" s="1" t="n">
        <v>45798.62894675926</v>
      </c>
      <c r="C225" s="1" t="n">
        <v>45988</v>
      </c>
      <c r="D225" t="inlineStr">
        <is>
          <t>DALARNAS LÄN</t>
        </is>
      </c>
      <c r="E225" t="inlineStr">
        <is>
          <t>MORA</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25345-2025</t>
        </is>
      </c>
      <c r="B226" s="1" t="n">
        <v>45799</v>
      </c>
      <c r="C226" s="1" t="n">
        <v>45988</v>
      </c>
      <c r="D226" t="inlineStr">
        <is>
          <t>DALARNAS LÄN</t>
        </is>
      </c>
      <c r="E226" t="inlineStr">
        <is>
          <t>MORA</t>
        </is>
      </c>
      <c r="G226" t="n">
        <v>3.1</v>
      </c>
      <c r="H226" t="n">
        <v>0</v>
      </c>
      <c r="I226" t="n">
        <v>0</v>
      </c>
      <c r="J226" t="n">
        <v>0</v>
      </c>
      <c r="K226" t="n">
        <v>0</v>
      </c>
      <c r="L226" t="n">
        <v>0</v>
      </c>
      <c r="M226" t="n">
        <v>0</v>
      </c>
      <c r="N226" t="n">
        <v>0</v>
      </c>
      <c r="O226" t="n">
        <v>0</v>
      </c>
      <c r="P226" t="n">
        <v>0</v>
      </c>
      <c r="Q226" t="n">
        <v>0</v>
      </c>
      <c r="R226" s="2" t="inlineStr"/>
    </row>
    <row r="227" ht="15" customHeight="1">
      <c r="A227" t="inlineStr">
        <is>
          <t>A 43533-2023</t>
        </is>
      </c>
      <c r="B227" s="1" t="n">
        <v>45184.53412037037</v>
      </c>
      <c r="C227" s="1" t="n">
        <v>45988</v>
      </c>
      <c r="D227" t="inlineStr">
        <is>
          <t>DALARNAS LÄN</t>
        </is>
      </c>
      <c r="E227" t="inlineStr">
        <is>
          <t>MORA</t>
        </is>
      </c>
      <c r="F227" t="inlineStr">
        <is>
          <t>Bergvik skog väst AB</t>
        </is>
      </c>
      <c r="G227" t="n">
        <v>10.3</v>
      </c>
      <c r="H227" t="n">
        <v>0</v>
      </c>
      <c r="I227" t="n">
        <v>0</v>
      </c>
      <c r="J227" t="n">
        <v>0</v>
      </c>
      <c r="K227" t="n">
        <v>0</v>
      </c>
      <c r="L227" t="n">
        <v>0</v>
      </c>
      <c r="M227" t="n">
        <v>0</v>
      </c>
      <c r="N227" t="n">
        <v>0</v>
      </c>
      <c r="O227" t="n">
        <v>0</v>
      </c>
      <c r="P227" t="n">
        <v>0</v>
      </c>
      <c r="Q227" t="n">
        <v>0</v>
      </c>
      <c r="R227" s="2" t="inlineStr"/>
    </row>
    <row r="228" ht="15" customHeight="1">
      <c r="A228" t="inlineStr">
        <is>
          <t>A 37774-2022</t>
        </is>
      </c>
      <c r="B228" s="1" t="n">
        <v>44810.64164351852</v>
      </c>
      <c r="C228" s="1" t="n">
        <v>45988</v>
      </c>
      <c r="D228" t="inlineStr">
        <is>
          <t>DALARNAS LÄN</t>
        </is>
      </c>
      <c r="E228" t="inlineStr">
        <is>
          <t>MORA</t>
        </is>
      </c>
      <c r="F228" t="inlineStr">
        <is>
          <t>Bergvik skog väst AB</t>
        </is>
      </c>
      <c r="G228" t="n">
        <v>8.5</v>
      </c>
      <c r="H228" t="n">
        <v>0</v>
      </c>
      <c r="I228" t="n">
        <v>0</v>
      </c>
      <c r="J228" t="n">
        <v>0</v>
      </c>
      <c r="K228" t="n">
        <v>0</v>
      </c>
      <c r="L228" t="n">
        <v>0</v>
      </c>
      <c r="M228" t="n">
        <v>0</v>
      </c>
      <c r="N228" t="n">
        <v>0</v>
      </c>
      <c r="O228" t="n">
        <v>0</v>
      </c>
      <c r="P228" t="n">
        <v>0</v>
      </c>
      <c r="Q228" t="n">
        <v>0</v>
      </c>
      <c r="R228" s="2" t="inlineStr"/>
    </row>
    <row r="229" ht="15" customHeight="1">
      <c r="A229" t="inlineStr">
        <is>
          <t>A 5309-2023</t>
        </is>
      </c>
      <c r="B229" s="1" t="n">
        <v>44956</v>
      </c>
      <c r="C229" s="1" t="n">
        <v>45988</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41200-2025</t>
        </is>
      </c>
      <c r="B230" s="1" t="n">
        <v>45898.5738425926</v>
      </c>
      <c r="C230" s="1" t="n">
        <v>45988</v>
      </c>
      <c r="D230" t="inlineStr">
        <is>
          <t>DALARNAS LÄN</t>
        </is>
      </c>
      <c r="E230" t="inlineStr">
        <is>
          <t>MORA</t>
        </is>
      </c>
      <c r="G230" t="n">
        <v>8.9</v>
      </c>
      <c r="H230" t="n">
        <v>0</v>
      </c>
      <c r="I230" t="n">
        <v>0</v>
      </c>
      <c r="J230" t="n">
        <v>0</v>
      </c>
      <c r="K230" t="n">
        <v>0</v>
      </c>
      <c r="L230" t="n">
        <v>0</v>
      </c>
      <c r="M230" t="n">
        <v>0</v>
      </c>
      <c r="N230" t="n">
        <v>0</v>
      </c>
      <c r="O230" t="n">
        <v>0</v>
      </c>
      <c r="P230" t="n">
        <v>0</v>
      </c>
      <c r="Q230" t="n">
        <v>0</v>
      </c>
      <c r="R230" s="2" t="inlineStr"/>
    </row>
    <row r="231" ht="15" customHeight="1">
      <c r="A231" t="inlineStr">
        <is>
          <t>A 41175-2025</t>
        </is>
      </c>
      <c r="B231" s="1" t="n">
        <v>45898.55165509259</v>
      </c>
      <c r="C231" s="1" t="n">
        <v>45988</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64327-2023</t>
        </is>
      </c>
      <c r="B232" s="1" t="n">
        <v>45280</v>
      </c>
      <c r="C232" s="1" t="n">
        <v>45988</v>
      </c>
      <c r="D232" t="inlineStr">
        <is>
          <t>DALARNAS LÄN</t>
        </is>
      </c>
      <c r="E232" t="inlineStr">
        <is>
          <t>MORA</t>
        </is>
      </c>
      <c r="G232" t="n">
        <v>0.8</v>
      </c>
      <c r="H232" t="n">
        <v>0</v>
      </c>
      <c r="I232" t="n">
        <v>0</v>
      </c>
      <c r="J232" t="n">
        <v>0</v>
      </c>
      <c r="K232" t="n">
        <v>0</v>
      </c>
      <c r="L232" t="n">
        <v>0</v>
      </c>
      <c r="M232" t="n">
        <v>0</v>
      </c>
      <c r="N232" t="n">
        <v>0</v>
      </c>
      <c r="O232" t="n">
        <v>0</v>
      </c>
      <c r="P232" t="n">
        <v>0</v>
      </c>
      <c r="Q232" t="n">
        <v>0</v>
      </c>
      <c r="R232" s="2" t="inlineStr"/>
    </row>
    <row r="233" ht="15" customHeight="1">
      <c r="A233" t="inlineStr">
        <is>
          <t>A 17145-2024</t>
        </is>
      </c>
      <c r="B233" s="1" t="n">
        <v>45412</v>
      </c>
      <c r="C233" s="1" t="n">
        <v>45988</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54398-2021</t>
        </is>
      </c>
      <c r="B234" s="1" t="n">
        <v>44473.39252314815</v>
      </c>
      <c r="C234" s="1" t="n">
        <v>45988</v>
      </c>
      <c r="D234" t="inlineStr">
        <is>
          <t>DALARNAS LÄN</t>
        </is>
      </c>
      <c r="E234" t="inlineStr">
        <is>
          <t>MORA</t>
        </is>
      </c>
      <c r="G234" t="n">
        <v>0.9</v>
      </c>
      <c r="H234" t="n">
        <v>0</v>
      </c>
      <c r="I234" t="n">
        <v>0</v>
      </c>
      <c r="J234" t="n">
        <v>0</v>
      </c>
      <c r="K234" t="n">
        <v>0</v>
      </c>
      <c r="L234" t="n">
        <v>0</v>
      </c>
      <c r="M234" t="n">
        <v>0</v>
      </c>
      <c r="N234" t="n">
        <v>0</v>
      </c>
      <c r="O234" t="n">
        <v>0</v>
      </c>
      <c r="P234" t="n">
        <v>0</v>
      </c>
      <c r="Q234" t="n">
        <v>0</v>
      </c>
      <c r="R234" s="2" t="inlineStr"/>
    </row>
    <row r="235" ht="15" customHeight="1">
      <c r="A235" t="inlineStr">
        <is>
          <t>A 41614-2025</t>
        </is>
      </c>
      <c r="B235" s="1" t="n">
        <v>45901.68267361111</v>
      </c>
      <c r="C235" s="1" t="n">
        <v>45988</v>
      </c>
      <c r="D235" t="inlineStr">
        <is>
          <t>DALARNAS LÄN</t>
        </is>
      </c>
      <c r="E235" t="inlineStr">
        <is>
          <t>MORA</t>
        </is>
      </c>
      <c r="F235" t="inlineStr">
        <is>
          <t>Bergvik skog väst AB</t>
        </is>
      </c>
      <c r="G235" t="n">
        <v>13.8</v>
      </c>
      <c r="H235" t="n">
        <v>0</v>
      </c>
      <c r="I235" t="n">
        <v>0</v>
      </c>
      <c r="J235" t="n">
        <v>0</v>
      </c>
      <c r="K235" t="n">
        <v>0</v>
      </c>
      <c r="L235" t="n">
        <v>0</v>
      </c>
      <c r="M235" t="n">
        <v>0</v>
      </c>
      <c r="N235" t="n">
        <v>0</v>
      </c>
      <c r="O235" t="n">
        <v>0</v>
      </c>
      <c r="P235" t="n">
        <v>0</v>
      </c>
      <c r="Q235" t="n">
        <v>0</v>
      </c>
      <c r="R235" s="2" t="inlineStr"/>
    </row>
    <row r="236" ht="15" customHeight="1">
      <c r="A236" t="inlineStr">
        <is>
          <t>A 2879-2022</t>
        </is>
      </c>
      <c r="B236" s="1" t="n">
        <v>44581</v>
      </c>
      <c r="C236" s="1" t="n">
        <v>45988</v>
      </c>
      <c r="D236" t="inlineStr">
        <is>
          <t>DALARNAS LÄN</t>
        </is>
      </c>
      <c r="E236" t="inlineStr">
        <is>
          <t>MORA</t>
        </is>
      </c>
      <c r="G236" t="n">
        <v>2.3</v>
      </c>
      <c r="H236" t="n">
        <v>0</v>
      </c>
      <c r="I236" t="n">
        <v>0</v>
      </c>
      <c r="J236" t="n">
        <v>0</v>
      </c>
      <c r="K236" t="n">
        <v>0</v>
      </c>
      <c r="L236" t="n">
        <v>0</v>
      </c>
      <c r="M236" t="n">
        <v>0</v>
      </c>
      <c r="N236" t="n">
        <v>0</v>
      </c>
      <c r="O236" t="n">
        <v>0</v>
      </c>
      <c r="P236" t="n">
        <v>0</v>
      </c>
      <c r="Q236" t="n">
        <v>0</v>
      </c>
      <c r="R236" s="2" t="inlineStr"/>
    </row>
    <row r="237" ht="15" customHeight="1">
      <c r="A237" t="inlineStr">
        <is>
          <t>A 48728-2022</t>
        </is>
      </c>
      <c r="B237" s="1" t="n">
        <v>44859.52145833334</v>
      </c>
      <c r="C237" s="1" t="n">
        <v>45988</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24620-2025</t>
        </is>
      </c>
      <c r="B238" s="1" t="n">
        <v>45798.59290509259</v>
      </c>
      <c r="C238" s="1" t="n">
        <v>45988</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24653-2025</t>
        </is>
      </c>
      <c r="B239" s="1" t="n">
        <v>45798.63875</v>
      </c>
      <c r="C239" s="1" t="n">
        <v>45988</v>
      </c>
      <c r="D239" t="inlineStr">
        <is>
          <t>DALARNAS LÄN</t>
        </is>
      </c>
      <c r="E239" t="inlineStr">
        <is>
          <t>MORA</t>
        </is>
      </c>
      <c r="F239" t="inlineStr">
        <is>
          <t>Bergvik skog väst AB</t>
        </is>
      </c>
      <c r="G239" t="n">
        <v>4.9</v>
      </c>
      <c r="H239" t="n">
        <v>0</v>
      </c>
      <c r="I239" t="n">
        <v>0</v>
      </c>
      <c r="J239" t="n">
        <v>0</v>
      </c>
      <c r="K239" t="n">
        <v>0</v>
      </c>
      <c r="L239" t="n">
        <v>0</v>
      </c>
      <c r="M239" t="n">
        <v>0</v>
      </c>
      <c r="N239" t="n">
        <v>0</v>
      </c>
      <c r="O239" t="n">
        <v>0</v>
      </c>
      <c r="P239" t="n">
        <v>0</v>
      </c>
      <c r="Q239" t="n">
        <v>0</v>
      </c>
      <c r="R239" s="2" t="inlineStr"/>
    </row>
    <row r="240" ht="15" customHeight="1">
      <c r="A240" t="inlineStr">
        <is>
          <t>A 32410-2024</t>
        </is>
      </c>
      <c r="B240" s="1" t="n">
        <v>45512.70077546296</v>
      </c>
      <c r="C240" s="1" t="n">
        <v>45988</v>
      </c>
      <c r="D240" t="inlineStr">
        <is>
          <t>DALARNAS LÄN</t>
        </is>
      </c>
      <c r="E240" t="inlineStr">
        <is>
          <t>MORA</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41783-2025</t>
        </is>
      </c>
      <c r="B241" s="1" t="n">
        <v>45902.58721064815</v>
      </c>
      <c r="C241" s="1" t="n">
        <v>45988</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4994-2025</t>
        </is>
      </c>
      <c r="B242" s="1" t="n">
        <v>45691.35427083333</v>
      </c>
      <c r="C242" s="1" t="n">
        <v>45988</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15993-2025</t>
        </is>
      </c>
      <c r="B243" s="1" t="n">
        <v>45749.58428240741</v>
      </c>
      <c r="C243" s="1" t="n">
        <v>45988</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41855-2025</t>
        </is>
      </c>
      <c r="B244" s="1" t="n">
        <v>45902.93693287037</v>
      </c>
      <c r="C244" s="1" t="n">
        <v>45988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51253-2023</t>
        </is>
      </c>
      <c r="B245" s="1" t="n">
        <v>45219</v>
      </c>
      <c r="C245" s="1" t="n">
        <v>45988</v>
      </c>
      <c r="D245" t="inlineStr">
        <is>
          <t>DALARNAS LÄN</t>
        </is>
      </c>
      <c r="E245" t="inlineStr">
        <is>
          <t>MORA</t>
        </is>
      </c>
      <c r="G245" t="n">
        <v>5</v>
      </c>
      <c r="H245" t="n">
        <v>0</v>
      </c>
      <c r="I245" t="n">
        <v>0</v>
      </c>
      <c r="J245" t="n">
        <v>0</v>
      </c>
      <c r="K245" t="n">
        <v>0</v>
      </c>
      <c r="L245" t="n">
        <v>0</v>
      </c>
      <c r="M245" t="n">
        <v>0</v>
      </c>
      <c r="N245" t="n">
        <v>0</v>
      </c>
      <c r="O245" t="n">
        <v>0</v>
      </c>
      <c r="P245" t="n">
        <v>0</v>
      </c>
      <c r="Q245" t="n">
        <v>0</v>
      </c>
      <c r="R245" s="2" t="inlineStr"/>
    </row>
    <row r="246" ht="15" customHeight="1">
      <c r="A246" t="inlineStr">
        <is>
          <t>A 57110-2021</t>
        </is>
      </c>
      <c r="B246" s="1" t="n">
        <v>44482</v>
      </c>
      <c r="C246" s="1" t="n">
        <v>45988</v>
      </c>
      <c r="D246" t="inlineStr">
        <is>
          <t>DALARNAS LÄN</t>
        </is>
      </c>
      <c r="E246" t="inlineStr">
        <is>
          <t>MORA</t>
        </is>
      </c>
      <c r="G246" t="n">
        <v>5.4</v>
      </c>
      <c r="H246" t="n">
        <v>0</v>
      </c>
      <c r="I246" t="n">
        <v>0</v>
      </c>
      <c r="J246" t="n">
        <v>0</v>
      </c>
      <c r="K246" t="n">
        <v>0</v>
      </c>
      <c r="L246" t="n">
        <v>0</v>
      </c>
      <c r="M246" t="n">
        <v>0</v>
      </c>
      <c r="N246" t="n">
        <v>0</v>
      </c>
      <c r="O246" t="n">
        <v>0</v>
      </c>
      <c r="P246" t="n">
        <v>0</v>
      </c>
      <c r="Q246" t="n">
        <v>0</v>
      </c>
      <c r="R246" s="2" t="inlineStr"/>
    </row>
    <row r="247" ht="15" customHeight="1">
      <c r="A247" t="inlineStr">
        <is>
          <t>A 42319-2025</t>
        </is>
      </c>
      <c r="B247" s="1" t="n">
        <v>45903</v>
      </c>
      <c r="C247" s="1" t="n">
        <v>45988</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11857-2023</t>
        </is>
      </c>
      <c r="B248" s="1" t="n">
        <v>44995</v>
      </c>
      <c r="C248" s="1" t="n">
        <v>45988</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26577-2025</t>
        </is>
      </c>
      <c r="B249" s="1" t="n">
        <v>45807</v>
      </c>
      <c r="C249" s="1" t="n">
        <v>45988</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26532-2025</t>
        </is>
      </c>
      <c r="B250" s="1" t="n">
        <v>45807</v>
      </c>
      <c r="C250" s="1" t="n">
        <v>45988</v>
      </c>
      <c r="D250" t="inlineStr">
        <is>
          <t>DALARNAS LÄN</t>
        </is>
      </c>
      <c r="E250" t="inlineStr">
        <is>
          <t>MORA</t>
        </is>
      </c>
      <c r="G250" t="n">
        <v>4.4</v>
      </c>
      <c r="H250" t="n">
        <v>0</v>
      </c>
      <c r="I250" t="n">
        <v>0</v>
      </c>
      <c r="J250" t="n">
        <v>0</v>
      </c>
      <c r="K250" t="n">
        <v>0</v>
      </c>
      <c r="L250" t="n">
        <v>0</v>
      </c>
      <c r="M250" t="n">
        <v>0</v>
      </c>
      <c r="N250" t="n">
        <v>0</v>
      </c>
      <c r="O250" t="n">
        <v>0</v>
      </c>
      <c r="P250" t="n">
        <v>0</v>
      </c>
      <c r="Q250" t="n">
        <v>0</v>
      </c>
      <c r="R250" s="2" t="inlineStr"/>
    </row>
    <row r="251" ht="15" customHeight="1">
      <c r="A251" t="inlineStr">
        <is>
          <t>A 26545-2025</t>
        </is>
      </c>
      <c r="B251" s="1" t="n">
        <v>45807</v>
      </c>
      <c r="C251" s="1" t="n">
        <v>45988</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26546-2025</t>
        </is>
      </c>
      <c r="B252" s="1" t="n">
        <v>45807</v>
      </c>
      <c r="C252" s="1" t="n">
        <v>45988</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26573-2025</t>
        </is>
      </c>
      <c r="B253" s="1" t="n">
        <v>45807</v>
      </c>
      <c r="C253" s="1" t="n">
        <v>45988</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30819-2024</t>
        </is>
      </c>
      <c r="B254" s="1" t="n">
        <v>45497</v>
      </c>
      <c r="C254" s="1" t="n">
        <v>45988</v>
      </c>
      <c r="D254" t="inlineStr">
        <is>
          <t>DALARNAS LÄN</t>
        </is>
      </c>
      <c r="E254" t="inlineStr">
        <is>
          <t>MORA</t>
        </is>
      </c>
      <c r="G254" t="n">
        <v>2.2</v>
      </c>
      <c r="H254" t="n">
        <v>0</v>
      </c>
      <c r="I254" t="n">
        <v>0</v>
      </c>
      <c r="J254" t="n">
        <v>0</v>
      </c>
      <c r="K254" t="n">
        <v>0</v>
      </c>
      <c r="L254" t="n">
        <v>0</v>
      </c>
      <c r="M254" t="n">
        <v>0</v>
      </c>
      <c r="N254" t="n">
        <v>0</v>
      </c>
      <c r="O254" t="n">
        <v>0</v>
      </c>
      <c r="P254" t="n">
        <v>0</v>
      </c>
      <c r="Q254" t="n">
        <v>0</v>
      </c>
      <c r="R254" s="2" t="inlineStr"/>
    </row>
    <row r="255" ht="15" customHeight="1">
      <c r="A255" t="inlineStr">
        <is>
          <t>A 26731-2025</t>
        </is>
      </c>
      <c r="B255" s="1" t="n">
        <v>45810.50702546296</v>
      </c>
      <c r="C255" s="1" t="n">
        <v>45988</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20885-2024</t>
        </is>
      </c>
      <c r="B256" s="1" t="n">
        <v>45439.45527777778</v>
      </c>
      <c r="C256" s="1" t="n">
        <v>45988</v>
      </c>
      <c r="D256" t="inlineStr">
        <is>
          <t>DALARNAS LÄN</t>
        </is>
      </c>
      <c r="E256" t="inlineStr">
        <is>
          <t>MORA</t>
        </is>
      </c>
      <c r="G256" t="n">
        <v>5</v>
      </c>
      <c r="H256" t="n">
        <v>0</v>
      </c>
      <c r="I256" t="n">
        <v>0</v>
      </c>
      <c r="J256" t="n">
        <v>0</v>
      </c>
      <c r="K256" t="n">
        <v>0</v>
      </c>
      <c r="L256" t="n">
        <v>0</v>
      </c>
      <c r="M256" t="n">
        <v>0</v>
      </c>
      <c r="N256" t="n">
        <v>0</v>
      </c>
      <c r="O256" t="n">
        <v>0</v>
      </c>
      <c r="P256" t="n">
        <v>0</v>
      </c>
      <c r="Q256" t="n">
        <v>0</v>
      </c>
      <c r="R256" s="2" t="inlineStr"/>
    </row>
    <row r="257" ht="15" customHeight="1">
      <c r="A257" t="inlineStr">
        <is>
          <t>A 56425-2024</t>
        </is>
      </c>
      <c r="B257" s="1" t="n">
        <v>45625.38677083333</v>
      </c>
      <c r="C257" s="1" t="n">
        <v>45988</v>
      </c>
      <c r="D257" t="inlineStr">
        <is>
          <t>DALARNAS LÄN</t>
        </is>
      </c>
      <c r="E257" t="inlineStr">
        <is>
          <t>MORA</t>
        </is>
      </c>
      <c r="G257" t="n">
        <v>2.1</v>
      </c>
      <c r="H257" t="n">
        <v>0</v>
      </c>
      <c r="I257" t="n">
        <v>0</v>
      </c>
      <c r="J257" t="n">
        <v>0</v>
      </c>
      <c r="K257" t="n">
        <v>0</v>
      </c>
      <c r="L257" t="n">
        <v>0</v>
      </c>
      <c r="M257" t="n">
        <v>0</v>
      </c>
      <c r="N257" t="n">
        <v>0</v>
      </c>
      <c r="O257" t="n">
        <v>0</v>
      </c>
      <c r="P257" t="n">
        <v>0</v>
      </c>
      <c r="Q257" t="n">
        <v>0</v>
      </c>
      <c r="R257" s="2" t="inlineStr"/>
    </row>
    <row r="258" ht="15" customHeight="1">
      <c r="A258" t="inlineStr">
        <is>
          <t>A 26711-2025</t>
        </is>
      </c>
      <c r="B258" s="1" t="n">
        <v>45810.46144675926</v>
      </c>
      <c r="C258" s="1" t="n">
        <v>45988</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56012-2023</t>
        </is>
      </c>
      <c r="B259" s="1" t="n">
        <v>45240</v>
      </c>
      <c r="C259" s="1" t="n">
        <v>45988</v>
      </c>
      <c r="D259" t="inlineStr">
        <is>
          <t>DALARNAS LÄN</t>
        </is>
      </c>
      <c r="E259" t="inlineStr">
        <is>
          <t>MORA</t>
        </is>
      </c>
      <c r="G259" t="n">
        <v>0.3</v>
      </c>
      <c r="H259" t="n">
        <v>0</v>
      </c>
      <c r="I259" t="n">
        <v>0</v>
      </c>
      <c r="J259" t="n">
        <v>0</v>
      </c>
      <c r="K259" t="n">
        <v>0</v>
      </c>
      <c r="L259" t="n">
        <v>0</v>
      </c>
      <c r="M259" t="n">
        <v>0</v>
      </c>
      <c r="N259" t="n">
        <v>0</v>
      </c>
      <c r="O259" t="n">
        <v>0</v>
      </c>
      <c r="P259" t="n">
        <v>0</v>
      </c>
      <c r="Q259" t="n">
        <v>0</v>
      </c>
      <c r="R259" s="2" t="inlineStr"/>
    </row>
    <row r="260" ht="15" customHeight="1">
      <c r="A260" t="inlineStr">
        <is>
          <t>A 60674-2023</t>
        </is>
      </c>
      <c r="B260" s="1" t="n">
        <v>45260.46609953704</v>
      </c>
      <c r="C260" s="1" t="n">
        <v>45988</v>
      </c>
      <c r="D260" t="inlineStr">
        <is>
          <t>DALARNAS LÄN</t>
        </is>
      </c>
      <c r="E260" t="inlineStr">
        <is>
          <t>MORA</t>
        </is>
      </c>
      <c r="G260" t="n">
        <v>2.9</v>
      </c>
      <c r="H260" t="n">
        <v>0</v>
      </c>
      <c r="I260" t="n">
        <v>0</v>
      </c>
      <c r="J260" t="n">
        <v>0</v>
      </c>
      <c r="K260" t="n">
        <v>0</v>
      </c>
      <c r="L260" t="n">
        <v>0</v>
      </c>
      <c r="M260" t="n">
        <v>0</v>
      </c>
      <c r="N260" t="n">
        <v>0</v>
      </c>
      <c r="O260" t="n">
        <v>0</v>
      </c>
      <c r="P260" t="n">
        <v>0</v>
      </c>
      <c r="Q260" t="n">
        <v>0</v>
      </c>
      <c r="R260" s="2" t="inlineStr"/>
    </row>
    <row r="261" ht="15" customHeight="1">
      <c r="A261" t="inlineStr">
        <is>
          <t>A 5298-2023</t>
        </is>
      </c>
      <c r="B261" s="1" t="n">
        <v>44959.54355324074</v>
      </c>
      <c r="C261" s="1" t="n">
        <v>45988</v>
      </c>
      <c r="D261" t="inlineStr">
        <is>
          <t>DALARNAS LÄN</t>
        </is>
      </c>
      <c r="E261" t="inlineStr">
        <is>
          <t>MORA</t>
        </is>
      </c>
      <c r="F261" t="inlineStr">
        <is>
          <t>Bergvik skog väst AB</t>
        </is>
      </c>
      <c r="G261" t="n">
        <v>6.2</v>
      </c>
      <c r="H261" t="n">
        <v>0</v>
      </c>
      <c r="I261" t="n">
        <v>0</v>
      </c>
      <c r="J261" t="n">
        <v>0</v>
      </c>
      <c r="K261" t="n">
        <v>0</v>
      </c>
      <c r="L261" t="n">
        <v>0</v>
      </c>
      <c r="M261" t="n">
        <v>0</v>
      </c>
      <c r="N261" t="n">
        <v>0</v>
      </c>
      <c r="O261" t="n">
        <v>0</v>
      </c>
      <c r="P261" t="n">
        <v>0</v>
      </c>
      <c r="Q261" t="n">
        <v>0</v>
      </c>
      <c r="R261" s="2" t="inlineStr"/>
    </row>
    <row r="262" ht="15" customHeight="1">
      <c r="A262" t="inlineStr">
        <is>
          <t>A 7565-2025</t>
        </is>
      </c>
      <c r="B262" s="1" t="n">
        <v>45705.59269675926</v>
      </c>
      <c r="C262" s="1" t="n">
        <v>45988</v>
      </c>
      <c r="D262" t="inlineStr">
        <is>
          <t>DALARNAS LÄN</t>
        </is>
      </c>
      <c r="E262" t="inlineStr">
        <is>
          <t>MORA</t>
        </is>
      </c>
      <c r="G262" t="n">
        <v>3</v>
      </c>
      <c r="H262" t="n">
        <v>0</v>
      </c>
      <c r="I262" t="n">
        <v>0</v>
      </c>
      <c r="J262" t="n">
        <v>0</v>
      </c>
      <c r="K262" t="n">
        <v>0</v>
      </c>
      <c r="L262" t="n">
        <v>0</v>
      </c>
      <c r="M262" t="n">
        <v>0</v>
      </c>
      <c r="N262" t="n">
        <v>0</v>
      </c>
      <c r="O262" t="n">
        <v>0</v>
      </c>
      <c r="P262" t="n">
        <v>0</v>
      </c>
      <c r="Q262" t="n">
        <v>0</v>
      </c>
      <c r="R262" s="2" t="inlineStr"/>
    </row>
    <row r="263" ht="15" customHeight="1">
      <c r="A263" t="inlineStr">
        <is>
          <t>A 57859-2022</t>
        </is>
      </c>
      <c r="B263" s="1" t="n">
        <v>44898</v>
      </c>
      <c r="C263" s="1" t="n">
        <v>45988</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26854-2025</t>
        </is>
      </c>
      <c r="B264" s="1" t="n">
        <v>45810.67462962963</v>
      </c>
      <c r="C264" s="1" t="n">
        <v>45988</v>
      </c>
      <c r="D264" t="inlineStr">
        <is>
          <t>DALARNAS LÄN</t>
        </is>
      </c>
      <c r="E264" t="inlineStr">
        <is>
          <t>MORA</t>
        </is>
      </c>
      <c r="G264" t="n">
        <v>4.4</v>
      </c>
      <c r="H264" t="n">
        <v>0</v>
      </c>
      <c r="I264" t="n">
        <v>0</v>
      </c>
      <c r="J264" t="n">
        <v>0</v>
      </c>
      <c r="K264" t="n">
        <v>0</v>
      </c>
      <c r="L264" t="n">
        <v>0</v>
      </c>
      <c r="M264" t="n">
        <v>0</v>
      </c>
      <c r="N264" t="n">
        <v>0</v>
      </c>
      <c r="O264" t="n">
        <v>0</v>
      </c>
      <c r="P264" t="n">
        <v>0</v>
      </c>
      <c r="Q264" t="n">
        <v>0</v>
      </c>
      <c r="R264" s="2" t="inlineStr"/>
    </row>
    <row r="265" ht="15" customHeight="1">
      <c r="A265" t="inlineStr">
        <is>
          <t>A 26647-2025</t>
        </is>
      </c>
      <c r="B265" s="1" t="n">
        <v>45810.38439814815</v>
      </c>
      <c r="C265" s="1" t="n">
        <v>45988</v>
      </c>
      <c r="D265" t="inlineStr">
        <is>
          <t>DALARNAS LÄN</t>
        </is>
      </c>
      <c r="E265" t="inlineStr">
        <is>
          <t>MORA</t>
        </is>
      </c>
      <c r="G265" t="n">
        <v>7.9</v>
      </c>
      <c r="H265" t="n">
        <v>0</v>
      </c>
      <c r="I265" t="n">
        <v>0</v>
      </c>
      <c r="J265" t="n">
        <v>0</v>
      </c>
      <c r="K265" t="n">
        <v>0</v>
      </c>
      <c r="L265" t="n">
        <v>0</v>
      </c>
      <c r="M265" t="n">
        <v>0</v>
      </c>
      <c r="N265" t="n">
        <v>0</v>
      </c>
      <c r="O265" t="n">
        <v>0</v>
      </c>
      <c r="P265" t="n">
        <v>0</v>
      </c>
      <c r="Q265" t="n">
        <v>0</v>
      </c>
      <c r="R265" s="2" t="inlineStr"/>
    </row>
    <row r="266" ht="15" customHeight="1">
      <c r="A266" t="inlineStr">
        <is>
          <t>A 61249-2023</t>
        </is>
      </c>
      <c r="B266" s="1" t="n">
        <v>45264</v>
      </c>
      <c r="C266" s="1" t="n">
        <v>45988</v>
      </c>
      <c r="D266" t="inlineStr">
        <is>
          <t>DALARNAS LÄN</t>
        </is>
      </c>
      <c r="E266" t="inlineStr">
        <is>
          <t>MORA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25935-2023</t>
        </is>
      </c>
      <c r="B267" s="1" t="n">
        <v>45090.68675925926</v>
      </c>
      <c r="C267" s="1" t="n">
        <v>45988</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42112-2025</t>
        </is>
      </c>
      <c r="B268" s="1" t="n">
        <v>45904.32134259259</v>
      </c>
      <c r="C268" s="1" t="n">
        <v>45988</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23057-2024</t>
        </is>
      </c>
      <c r="B269" s="1" t="n">
        <v>45450</v>
      </c>
      <c r="C269" s="1" t="n">
        <v>45988</v>
      </c>
      <c r="D269" t="inlineStr">
        <is>
          <t>DALARNAS LÄN</t>
        </is>
      </c>
      <c r="E269" t="inlineStr">
        <is>
          <t>MORA</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51168-2024</t>
        </is>
      </c>
      <c r="B270" s="1" t="n">
        <v>45603.58619212963</v>
      </c>
      <c r="C270" s="1" t="n">
        <v>45988</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59182-2023</t>
        </is>
      </c>
      <c r="B271" s="1" t="n">
        <v>45253</v>
      </c>
      <c r="C271" s="1" t="n">
        <v>45988</v>
      </c>
      <c r="D271" t="inlineStr">
        <is>
          <t>DALARNAS LÄN</t>
        </is>
      </c>
      <c r="E271" t="inlineStr">
        <is>
          <t>MORA</t>
        </is>
      </c>
      <c r="G271" t="n">
        <v>3.3</v>
      </c>
      <c r="H271" t="n">
        <v>0</v>
      </c>
      <c r="I271" t="n">
        <v>0</v>
      </c>
      <c r="J271" t="n">
        <v>0</v>
      </c>
      <c r="K271" t="n">
        <v>0</v>
      </c>
      <c r="L271" t="n">
        <v>0</v>
      </c>
      <c r="M271" t="n">
        <v>0</v>
      </c>
      <c r="N271" t="n">
        <v>0</v>
      </c>
      <c r="O271" t="n">
        <v>0</v>
      </c>
      <c r="P271" t="n">
        <v>0</v>
      </c>
      <c r="Q271" t="n">
        <v>0</v>
      </c>
      <c r="R271" s="2" t="inlineStr"/>
    </row>
    <row r="272" ht="15" customHeight="1">
      <c r="A272" t="inlineStr">
        <is>
          <t>A 26630-2025</t>
        </is>
      </c>
      <c r="B272" s="1" t="n">
        <v>45809</v>
      </c>
      <c r="C272" s="1" t="n">
        <v>45988</v>
      </c>
      <c r="D272" t="inlineStr">
        <is>
          <t>DALARNAS LÄN</t>
        </is>
      </c>
      <c r="E272" t="inlineStr">
        <is>
          <t>MORA</t>
        </is>
      </c>
      <c r="G272" t="n">
        <v>32.1</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45988</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27194-2025</t>
        </is>
      </c>
      <c r="B274" s="1" t="n">
        <v>45812.37965277778</v>
      </c>
      <c r="C274" s="1" t="n">
        <v>45988</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17268-2025</t>
        </is>
      </c>
      <c r="B275" s="1" t="n">
        <v>45756</v>
      </c>
      <c r="C275" s="1" t="n">
        <v>45988</v>
      </c>
      <c r="D275" t="inlineStr">
        <is>
          <t>DALARNAS LÄN</t>
        </is>
      </c>
      <c r="E275" t="inlineStr">
        <is>
          <t>MORA</t>
        </is>
      </c>
      <c r="G275" t="n">
        <v>6.8</v>
      </c>
      <c r="H275" t="n">
        <v>0</v>
      </c>
      <c r="I275" t="n">
        <v>0</v>
      </c>
      <c r="J275" t="n">
        <v>0</v>
      </c>
      <c r="K275" t="n">
        <v>0</v>
      </c>
      <c r="L275" t="n">
        <v>0</v>
      </c>
      <c r="M275" t="n">
        <v>0</v>
      </c>
      <c r="N275" t="n">
        <v>0</v>
      </c>
      <c r="O275" t="n">
        <v>0</v>
      </c>
      <c r="P275" t="n">
        <v>0</v>
      </c>
      <c r="Q275" t="n">
        <v>0</v>
      </c>
      <c r="R275" s="2" t="inlineStr"/>
    </row>
    <row r="276" ht="15" customHeight="1">
      <c r="A276" t="inlineStr">
        <is>
          <t>A 69519-2020</t>
        </is>
      </c>
      <c r="B276" s="1" t="n">
        <v>44194</v>
      </c>
      <c r="C276" s="1" t="n">
        <v>45988</v>
      </c>
      <c r="D276" t="inlineStr">
        <is>
          <t>DALARNAS LÄN</t>
        </is>
      </c>
      <c r="E276" t="inlineStr">
        <is>
          <t>MORA</t>
        </is>
      </c>
      <c r="G276" t="n">
        <v>0.4</v>
      </c>
      <c r="H276" t="n">
        <v>0</v>
      </c>
      <c r="I276" t="n">
        <v>0</v>
      </c>
      <c r="J276" t="n">
        <v>0</v>
      </c>
      <c r="K276" t="n">
        <v>0</v>
      </c>
      <c r="L276" t="n">
        <v>0</v>
      </c>
      <c r="M276" t="n">
        <v>0</v>
      </c>
      <c r="N276" t="n">
        <v>0</v>
      </c>
      <c r="O276" t="n">
        <v>0</v>
      </c>
      <c r="P276" t="n">
        <v>0</v>
      </c>
      <c r="Q276" t="n">
        <v>0</v>
      </c>
      <c r="R276" s="2" t="inlineStr"/>
    </row>
    <row r="277" ht="15" customHeight="1">
      <c r="A277" t="inlineStr">
        <is>
          <t>A 35325-2024</t>
        </is>
      </c>
      <c r="B277" s="1" t="n">
        <v>45530.71158564815</v>
      </c>
      <c r="C277" s="1" t="n">
        <v>45988</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27642-2025</t>
        </is>
      </c>
      <c r="B278" s="1" t="n">
        <v>45813.59405092592</v>
      </c>
      <c r="C278" s="1" t="n">
        <v>45988</v>
      </c>
      <c r="D278" t="inlineStr">
        <is>
          <t>DALARNAS LÄN</t>
        </is>
      </c>
      <c r="E278" t="inlineStr">
        <is>
          <t>MORA</t>
        </is>
      </c>
      <c r="G278" t="n">
        <v>2.5</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44518.39234953704</v>
      </c>
      <c r="C279" s="1" t="n">
        <v>45988</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27184-2025</t>
        </is>
      </c>
      <c r="B280" s="1" t="n">
        <v>45812.36133101852</v>
      </c>
      <c r="C280" s="1" t="n">
        <v>45988</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45562-2023</t>
        </is>
      </c>
      <c r="B281" s="1" t="n">
        <v>45194.59378472222</v>
      </c>
      <c r="C281" s="1" t="n">
        <v>45988</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51570-2023</t>
        </is>
      </c>
      <c r="B282" s="1" t="n">
        <v>45222</v>
      </c>
      <c r="C282" s="1" t="n">
        <v>45988</v>
      </c>
      <c r="D282" t="inlineStr">
        <is>
          <t>DALARNAS LÄN</t>
        </is>
      </c>
      <c r="E282" t="inlineStr">
        <is>
          <t>MORA</t>
        </is>
      </c>
      <c r="G282" t="n">
        <v>10.1</v>
      </c>
      <c r="H282" t="n">
        <v>0</v>
      </c>
      <c r="I282" t="n">
        <v>0</v>
      </c>
      <c r="J282" t="n">
        <v>0</v>
      </c>
      <c r="K282" t="n">
        <v>0</v>
      </c>
      <c r="L282" t="n">
        <v>0</v>
      </c>
      <c r="M282" t="n">
        <v>0</v>
      </c>
      <c r="N282" t="n">
        <v>0</v>
      </c>
      <c r="O282" t="n">
        <v>0</v>
      </c>
      <c r="P282" t="n">
        <v>0</v>
      </c>
      <c r="Q282" t="n">
        <v>0</v>
      </c>
      <c r="R282" s="2" t="inlineStr"/>
    </row>
    <row r="283" ht="15" customHeight="1">
      <c r="A283" t="inlineStr">
        <is>
          <t>A 42813-2025</t>
        </is>
      </c>
      <c r="B283" s="1" t="n">
        <v>45908.56168981481</v>
      </c>
      <c r="C283" s="1" t="n">
        <v>45988</v>
      </c>
      <c r="D283" t="inlineStr">
        <is>
          <t>DALARNAS LÄN</t>
        </is>
      </c>
      <c r="E283" t="inlineStr">
        <is>
          <t>MORA</t>
        </is>
      </c>
      <c r="G283" t="n">
        <v>4.3</v>
      </c>
      <c r="H283" t="n">
        <v>0</v>
      </c>
      <c r="I283" t="n">
        <v>0</v>
      </c>
      <c r="J283" t="n">
        <v>0</v>
      </c>
      <c r="K283" t="n">
        <v>0</v>
      </c>
      <c r="L283" t="n">
        <v>0</v>
      </c>
      <c r="M283" t="n">
        <v>0</v>
      </c>
      <c r="N283" t="n">
        <v>0</v>
      </c>
      <c r="O283" t="n">
        <v>0</v>
      </c>
      <c r="P283" t="n">
        <v>0</v>
      </c>
      <c r="Q283" t="n">
        <v>0</v>
      </c>
      <c r="R283" s="2" t="inlineStr"/>
    </row>
    <row r="284" ht="15" customHeight="1">
      <c r="A284" t="inlineStr">
        <is>
          <t>A 27177-2025</t>
        </is>
      </c>
      <c r="B284" s="1" t="n">
        <v>45812.3533912037</v>
      </c>
      <c r="C284" s="1" t="n">
        <v>45988</v>
      </c>
      <c r="D284" t="inlineStr">
        <is>
          <t>DALARNAS LÄN</t>
        </is>
      </c>
      <c r="E284" t="inlineStr">
        <is>
          <t>MORA</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14611-2025</t>
        </is>
      </c>
      <c r="B285" s="1" t="n">
        <v>45742.38511574074</v>
      </c>
      <c r="C285" s="1" t="n">
        <v>45988</v>
      </c>
      <c r="D285" t="inlineStr">
        <is>
          <t>DALARNAS LÄN</t>
        </is>
      </c>
      <c r="E285" t="inlineStr">
        <is>
          <t>MORA</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27175-2025</t>
        </is>
      </c>
      <c r="B286" s="1" t="n">
        <v>45812.35072916667</v>
      </c>
      <c r="C286" s="1" t="n">
        <v>45988</v>
      </c>
      <c r="D286" t="inlineStr">
        <is>
          <t>DALARNAS LÄN</t>
        </is>
      </c>
      <c r="E286" t="inlineStr">
        <is>
          <t>MORA</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59995-2023</t>
        </is>
      </c>
      <c r="B287" s="1" t="n">
        <v>45254</v>
      </c>
      <c r="C287" s="1" t="n">
        <v>45988</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28033-2025</t>
        </is>
      </c>
      <c r="B288" s="1" t="n">
        <v>45817.6325462963</v>
      </c>
      <c r="C288" s="1" t="n">
        <v>45988</v>
      </c>
      <c r="D288" t="inlineStr">
        <is>
          <t>DALARNAS LÄN</t>
        </is>
      </c>
      <c r="E288" t="inlineStr">
        <is>
          <t>MORA</t>
        </is>
      </c>
      <c r="F288" t="inlineStr">
        <is>
          <t>Bergvik skog öst AB</t>
        </is>
      </c>
      <c r="G288" t="n">
        <v>12.8</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45988</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42960-2025</t>
        </is>
      </c>
      <c r="B290" s="1" t="n">
        <v>45909.36631944445</v>
      </c>
      <c r="C290" s="1" t="n">
        <v>45988</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60673-2023</t>
        </is>
      </c>
      <c r="B291" s="1" t="n">
        <v>45260.46438657407</v>
      </c>
      <c r="C291" s="1" t="n">
        <v>45988</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51771-2025</t>
        </is>
      </c>
      <c r="B292" s="1" t="n">
        <v>45951.64653935185</v>
      </c>
      <c r="C292" s="1" t="n">
        <v>45988</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42954-2025</t>
        </is>
      </c>
      <c r="B293" s="1" t="n">
        <v>45909.3578125</v>
      </c>
      <c r="C293" s="1" t="n">
        <v>45988</v>
      </c>
      <c r="D293" t="inlineStr">
        <is>
          <t>DALARNAS LÄN</t>
        </is>
      </c>
      <c r="E293" t="inlineStr">
        <is>
          <t>MORA</t>
        </is>
      </c>
      <c r="G293" t="n">
        <v>2.5</v>
      </c>
      <c r="H293" t="n">
        <v>0</v>
      </c>
      <c r="I293" t="n">
        <v>0</v>
      </c>
      <c r="J293" t="n">
        <v>0</v>
      </c>
      <c r="K293" t="n">
        <v>0</v>
      </c>
      <c r="L293" t="n">
        <v>0</v>
      </c>
      <c r="M293" t="n">
        <v>0</v>
      </c>
      <c r="N293" t="n">
        <v>0</v>
      </c>
      <c r="O293" t="n">
        <v>0</v>
      </c>
      <c r="P293" t="n">
        <v>0</v>
      </c>
      <c r="Q293" t="n">
        <v>0</v>
      </c>
      <c r="R293" s="2" t="inlineStr"/>
    </row>
    <row r="294" ht="15" customHeight="1">
      <c r="A294" t="inlineStr">
        <is>
          <t>A 42830-2025</t>
        </is>
      </c>
      <c r="B294" s="1" t="n">
        <v>45908.57753472222</v>
      </c>
      <c r="C294" s="1" t="n">
        <v>45988</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24465-2021</t>
        </is>
      </c>
      <c r="B295" s="1" t="n">
        <v>44337</v>
      </c>
      <c r="C295" s="1" t="n">
        <v>45988</v>
      </c>
      <c r="D295" t="inlineStr">
        <is>
          <t>DALARNAS LÄN</t>
        </is>
      </c>
      <c r="E295" t="inlineStr">
        <is>
          <t>MORA</t>
        </is>
      </c>
      <c r="G295" t="n">
        <v>2.6</v>
      </c>
      <c r="H295" t="n">
        <v>0</v>
      </c>
      <c r="I295" t="n">
        <v>0</v>
      </c>
      <c r="J295" t="n">
        <v>0</v>
      </c>
      <c r="K295" t="n">
        <v>0</v>
      </c>
      <c r="L295" t="n">
        <v>0</v>
      </c>
      <c r="M295" t="n">
        <v>0</v>
      </c>
      <c r="N295" t="n">
        <v>0</v>
      </c>
      <c r="O295" t="n">
        <v>0</v>
      </c>
      <c r="P295" t="n">
        <v>0</v>
      </c>
      <c r="Q295" t="n">
        <v>0</v>
      </c>
      <c r="R295" s="2" t="inlineStr"/>
    </row>
    <row r="296" ht="15" customHeight="1">
      <c r="A296" t="inlineStr">
        <is>
          <t>A 61270-2024</t>
        </is>
      </c>
      <c r="B296" s="1" t="n">
        <v>45645.74694444444</v>
      </c>
      <c r="C296" s="1" t="n">
        <v>45988</v>
      </c>
      <c r="D296" t="inlineStr">
        <is>
          <t>DALARNAS LÄN</t>
        </is>
      </c>
      <c r="E296" t="inlineStr">
        <is>
          <t>MORA</t>
        </is>
      </c>
      <c r="G296" t="n">
        <v>5.1</v>
      </c>
      <c r="H296" t="n">
        <v>0</v>
      </c>
      <c r="I296" t="n">
        <v>0</v>
      </c>
      <c r="J296" t="n">
        <v>0</v>
      </c>
      <c r="K296" t="n">
        <v>0</v>
      </c>
      <c r="L296" t="n">
        <v>0</v>
      </c>
      <c r="M296" t="n">
        <v>0</v>
      </c>
      <c r="N296" t="n">
        <v>0</v>
      </c>
      <c r="O296" t="n">
        <v>0</v>
      </c>
      <c r="P296" t="n">
        <v>0</v>
      </c>
      <c r="Q296" t="n">
        <v>0</v>
      </c>
      <c r="R296" s="2" t="inlineStr"/>
    </row>
    <row r="297" ht="15" customHeight="1">
      <c r="A297" t="inlineStr">
        <is>
          <t>A 43157-2025</t>
        </is>
      </c>
      <c r="B297" s="1" t="n">
        <v>45910.34953703704</v>
      </c>
      <c r="C297" s="1" t="n">
        <v>45988</v>
      </c>
      <c r="D297" t="inlineStr">
        <is>
          <t>DALARNAS LÄN</t>
        </is>
      </c>
      <c r="E297" t="inlineStr">
        <is>
          <t>MORA</t>
        </is>
      </c>
      <c r="G297" t="n">
        <v>1.3</v>
      </c>
      <c r="H297" t="n">
        <v>0</v>
      </c>
      <c r="I297" t="n">
        <v>0</v>
      </c>
      <c r="J297" t="n">
        <v>0</v>
      </c>
      <c r="K297" t="n">
        <v>0</v>
      </c>
      <c r="L297" t="n">
        <v>0</v>
      </c>
      <c r="M297" t="n">
        <v>0</v>
      </c>
      <c r="N297" t="n">
        <v>0</v>
      </c>
      <c r="O297" t="n">
        <v>0</v>
      </c>
      <c r="P297" t="n">
        <v>0</v>
      </c>
      <c r="Q297" t="n">
        <v>0</v>
      </c>
      <c r="R297" s="2" t="inlineStr"/>
    </row>
    <row r="298" ht="15" customHeight="1">
      <c r="A298" t="inlineStr">
        <is>
          <t>A 29068-2025</t>
        </is>
      </c>
      <c r="B298" s="1" t="n">
        <v>45821.50900462963</v>
      </c>
      <c r="C298" s="1" t="n">
        <v>45988</v>
      </c>
      <c r="D298" t="inlineStr">
        <is>
          <t>DALARNAS LÄN</t>
        </is>
      </c>
      <c r="E298" t="inlineStr">
        <is>
          <t>MORA</t>
        </is>
      </c>
      <c r="G298" t="n">
        <v>1.2</v>
      </c>
      <c r="H298" t="n">
        <v>0</v>
      </c>
      <c r="I298" t="n">
        <v>0</v>
      </c>
      <c r="J298" t="n">
        <v>0</v>
      </c>
      <c r="K298" t="n">
        <v>0</v>
      </c>
      <c r="L298" t="n">
        <v>0</v>
      </c>
      <c r="M298" t="n">
        <v>0</v>
      </c>
      <c r="N298" t="n">
        <v>0</v>
      </c>
      <c r="O298" t="n">
        <v>0</v>
      </c>
      <c r="P298" t="n">
        <v>0</v>
      </c>
      <c r="Q298" t="n">
        <v>0</v>
      </c>
      <c r="R298" s="2" t="inlineStr"/>
    </row>
    <row r="299" ht="15" customHeight="1">
      <c r="A299" t="inlineStr">
        <is>
          <t>A 28976-2025</t>
        </is>
      </c>
      <c r="B299" s="1" t="n">
        <v>45821.34855324074</v>
      </c>
      <c r="C299" s="1" t="n">
        <v>45988</v>
      </c>
      <c r="D299" t="inlineStr">
        <is>
          <t>DALARNAS LÄN</t>
        </is>
      </c>
      <c r="E299" t="inlineStr">
        <is>
          <t>MORA</t>
        </is>
      </c>
      <c r="F299" t="inlineStr">
        <is>
          <t>Bergvik skog öst AB</t>
        </is>
      </c>
      <c r="G299" t="n">
        <v>1.2</v>
      </c>
      <c r="H299" t="n">
        <v>0</v>
      </c>
      <c r="I299" t="n">
        <v>0</v>
      </c>
      <c r="J299" t="n">
        <v>0</v>
      </c>
      <c r="K299" t="n">
        <v>0</v>
      </c>
      <c r="L299" t="n">
        <v>0</v>
      </c>
      <c r="M299" t="n">
        <v>0</v>
      </c>
      <c r="N299" t="n">
        <v>0</v>
      </c>
      <c r="O299" t="n">
        <v>0</v>
      </c>
      <c r="P299" t="n">
        <v>0</v>
      </c>
      <c r="Q299" t="n">
        <v>0</v>
      </c>
      <c r="R299" s="2" t="inlineStr"/>
    </row>
    <row r="300" ht="15" customHeight="1">
      <c r="A300" t="inlineStr">
        <is>
          <t>A 28925-2025</t>
        </is>
      </c>
      <c r="B300" s="1" t="n">
        <v>45820.67107638889</v>
      </c>
      <c r="C300" s="1" t="n">
        <v>45988</v>
      </c>
      <c r="D300" t="inlineStr">
        <is>
          <t>DALARNAS LÄN</t>
        </is>
      </c>
      <c r="E300" t="inlineStr">
        <is>
          <t>MORA</t>
        </is>
      </c>
      <c r="G300" t="n">
        <v>3.7</v>
      </c>
      <c r="H300" t="n">
        <v>0</v>
      </c>
      <c r="I300" t="n">
        <v>0</v>
      </c>
      <c r="J300" t="n">
        <v>0</v>
      </c>
      <c r="K300" t="n">
        <v>0</v>
      </c>
      <c r="L300" t="n">
        <v>0</v>
      </c>
      <c r="M300" t="n">
        <v>0</v>
      </c>
      <c r="N300" t="n">
        <v>0</v>
      </c>
      <c r="O300" t="n">
        <v>0</v>
      </c>
      <c r="P300" t="n">
        <v>0</v>
      </c>
      <c r="Q300" t="n">
        <v>0</v>
      </c>
      <c r="R300" s="2" t="inlineStr"/>
    </row>
    <row r="301" ht="15" customHeight="1">
      <c r="A301" t="inlineStr">
        <is>
          <t>A 28927-2025</t>
        </is>
      </c>
      <c r="B301" s="1" t="n">
        <v>45820.67221064815</v>
      </c>
      <c r="C301" s="1" t="n">
        <v>45988</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28924-2025</t>
        </is>
      </c>
      <c r="B302" s="1" t="n">
        <v>45820.66846064815</v>
      </c>
      <c r="C302" s="1" t="n">
        <v>45988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43569-2025</t>
        </is>
      </c>
      <c r="B303" s="1" t="n">
        <v>45911.63363425926</v>
      </c>
      <c r="C303" s="1" t="n">
        <v>45988</v>
      </c>
      <c r="D303" t="inlineStr">
        <is>
          <t>DALARNAS LÄN</t>
        </is>
      </c>
      <c r="E303" t="inlineStr">
        <is>
          <t>MORA</t>
        </is>
      </c>
      <c r="G303" t="n">
        <v>4.7</v>
      </c>
      <c r="H303" t="n">
        <v>0</v>
      </c>
      <c r="I303" t="n">
        <v>0</v>
      </c>
      <c r="J303" t="n">
        <v>0</v>
      </c>
      <c r="K303" t="n">
        <v>0</v>
      </c>
      <c r="L303" t="n">
        <v>0</v>
      </c>
      <c r="M303" t="n">
        <v>0</v>
      </c>
      <c r="N303" t="n">
        <v>0</v>
      </c>
      <c r="O303" t="n">
        <v>0</v>
      </c>
      <c r="P303" t="n">
        <v>0</v>
      </c>
      <c r="Q303" t="n">
        <v>0</v>
      </c>
      <c r="R303" s="2" t="inlineStr"/>
    </row>
    <row r="304" ht="15" customHeight="1">
      <c r="A304" t="inlineStr">
        <is>
          <t>A 28751-2025</t>
        </is>
      </c>
      <c r="B304" s="1" t="n">
        <v>45820.40034722222</v>
      </c>
      <c r="C304" s="1" t="n">
        <v>45988</v>
      </c>
      <c r="D304" t="inlineStr">
        <is>
          <t>DALARNAS LÄN</t>
        </is>
      </c>
      <c r="E304" t="inlineStr">
        <is>
          <t>MORA</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20930-2024</t>
        </is>
      </c>
      <c r="B305" s="1" t="n">
        <v>45439.51907407407</v>
      </c>
      <c r="C305" s="1" t="n">
        <v>45988</v>
      </c>
      <c r="D305" t="inlineStr">
        <is>
          <t>DALARNAS LÄN</t>
        </is>
      </c>
      <c r="E305" t="inlineStr">
        <is>
          <t>MORA</t>
        </is>
      </c>
      <c r="F305" t="inlineStr">
        <is>
          <t>Bergvik skog väst AB</t>
        </is>
      </c>
      <c r="G305" t="n">
        <v>5.3</v>
      </c>
      <c r="H305" t="n">
        <v>0</v>
      </c>
      <c r="I305" t="n">
        <v>0</v>
      </c>
      <c r="J305" t="n">
        <v>0</v>
      </c>
      <c r="K305" t="n">
        <v>0</v>
      </c>
      <c r="L305" t="n">
        <v>0</v>
      </c>
      <c r="M305" t="n">
        <v>0</v>
      </c>
      <c r="N305" t="n">
        <v>0</v>
      </c>
      <c r="O305" t="n">
        <v>0</v>
      </c>
      <c r="P305" t="n">
        <v>0</v>
      </c>
      <c r="Q305" t="n">
        <v>0</v>
      </c>
      <c r="R305" s="2" t="inlineStr"/>
    </row>
    <row r="306" ht="15" customHeight="1">
      <c r="A306" t="inlineStr">
        <is>
          <t>A 42611-2022</t>
        </is>
      </c>
      <c r="B306" s="1" t="n">
        <v>44831.81482638889</v>
      </c>
      <c r="C306" s="1" t="n">
        <v>45988</v>
      </c>
      <c r="D306" t="inlineStr">
        <is>
          <t>DALARNAS LÄN</t>
        </is>
      </c>
      <c r="E306" t="inlineStr">
        <is>
          <t>MORA</t>
        </is>
      </c>
      <c r="G306" t="n">
        <v>2.1</v>
      </c>
      <c r="H306" t="n">
        <v>0</v>
      </c>
      <c r="I306" t="n">
        <v>0</v>
      </c>
      <c r="J306" t="n">
        <v>0</v>
      </c>
      <c r="K306" t="n">
        <v>0</v>
      </c>
      <c r="L306" t="n">
        <v>0</v>
      </c>
      <c r="M306" t="n">
        <v>0</v>
      </c>
      <c r="N306" t="n">
        <v>0</v>
      </c>
      <c r="O306" t="n">
        <v>0</v>
      </c>
      <c r="P306" t="n">
        <v>0</v>
      </c>
      <c r="Q306" t="n">
        <v>0</v>
      </c>
      <c r="R306" s="2" t="inlineStr"/>
    </row>
    <row r="307" ht="15" customHeight="1">
      <c r="A307" t="inlineStr">
        <is>
          <t>A 52110-2025</t>
        </is>
      </c>
      <c r="B307" s="1" t="n">
        <v>45952.69306712963</v>
      </c>
      <c r="C307" s="1" t="n">
        <v>45988</v>
      </c>
      <c r="D307" t="inlineStr">
        <is>
          <t>DALARNAS LÄN</t>
        </is>
      </c>
      <c r="E307" t="inlineStr">
        <is>
          <t>MORA</t>
        </is>
      </c>
      <c r="G307" t="n">
        <v>2.2</v>
      </c>
      <c r="H307" t="n">
        <v>0</v>
      </c>
      <c r="I307" t="n">
        <v>0</v>
      </c>
      <c r="J307" t="n">
        <v>0</v>
      </c>
      <c r="K307" t="n">
        <v>0</v>
      </c>
      <c r="L307" t="n">
        <v>0</v>
      </c>
      <c r="M307" t="n">
        <v>0</v>
      </c>
      <c r="N307" t="n">
        <v>0</v>
      </c>
      <c r="O307" t="n">
        <v>0</v>
      </c>
      <c r="P307" t="n">
        <v>0</v>
      </c>
      <c r="Q307" t="n">
        <v>0</v>
      </c>
      <c r="R307" s="2" t="inlineStr"/>
    </row>
    <row r="308" ht="15" customHeight="1">
      <c r="A308" t="inlineStr">
        <is>
          <t>A 17865-2025</t>
        </is>
      </c>
      <c r="B308" s="1" t="n">
        <v>45758.62951388889</v>
      </c>
      <c r="C308" s="1" t="n">
        <v>45988</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33676-2023</t>
        </is>
      </c>
      <c r="B309" s="1" t="n">
        <v>45132.6291550926</v>
      </c>
      <c r="C309" s="1" t="n">
        <v>45988</v>
      </c>
      <c r="D309" t="inlineStr">
        <is>
          <t>DALARNAS LÄN</t>
        </is>
      </c>
      <c r="E309" t="inlineStr">
        <is>
          <t>MORA</t>
        </is>
      </c>
      <c r="F309" t="inlineStr">
        <is>
          <t>Bergvik skog öst AB</t>
        </is>
      </c>
      <c r="G309" t="n">
        <v>2.7</v>
      </c>
      <c r="H309" t="n">
        <v>0</v>
      </c>
      <c r="I309" t="n">
        <v>0</v>
      </c>
      <c r="J309" t="n">
        <v>0</v>
      </c>
      <c r="K309" t="n">
        <v>0</v>
      </c>
      <c r="L309" t="n">
        <v>0</v>
      </c>
      <c r="M309" t="n">
        <v>0</v>
      </c>
      <c r="N309" t="n">
        <v>0</v>
      </c>
      <c r="O309" t="n">
        <v>0</v>
      </c>
      <c r="P309" t="n">
        <v>0</v>
      </c>
      <c r="Q309" t="n">
        <v>0</v>
      </c>
      <c r="R309" s="2" t="inlineStr"/>
    </row>
    <row r="310" ht="15" customHeight="1">
      <c r="A310" t="inlineStr">
        <is>
          <t>A 29528-2025</t>
        </is>
      </c>
      <c r="B310" s="1" t="n">
        <v>45825.34322916667</v>
      </c>
      <c r="C310" s="1" t="n">
        <v>45988</v>
      </c>
      <c r="D310" t="inlineStr">
        <is>
          <t>DALARNAS LÄN</t>
        </is>
      </c>
      <c r="E310" t="inlineStr">
        <is>
          <t>MORA</t>
        </is>
      </c>
      <c r="G310" t="n">
        <v>2.2</v>
      </c>
      <c r="H310" t="n">
        <v>0</v>
      </c>
      <c r="I310" t="n">
        <v>0</v>
      </c>
      <c r="J310" t="n">
        <v>0</v>
      </c>
      <c r="K310" t="n">
        <v>0</v>
      </c>
      <c r="L310" t="n">
        <v>0</v>
      </c>
      <c r="M310" t="n">
        <v>0</v>
      </c>
      <c r="N310" t="n">
        <v>0</v>
      </c>
      <c r="O310" t="n">
        <v>0</v>
      </c>
      <c r="P310" t="n">
        <v>0</v>
      </c>
      <c r="Q310" t="n">
        <v>0</v>
      </c>
      <c r="R310" s="2" t="inlineStr"/>
    </row>
    <row r="311" ht="15" customHeight="1">
      <c r="A311" t="inlineStr">
        <is>
          <t>A 61188-2024</t>
        </is>
      </c>
      <c r="B311" s="1" t="n">
        <v>45645.62282407407</v>
      </c>
      <c r="C311" s="1" t="n">
        <v>45988</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43153-2025</t>
        </is>
      </c>
      <c r="B312" s="1" t="n">
        <v>45910.34449074074</v>
      </c>
      <c r="C312" s="1" t="n">
        <v>45988</v>
      </c>
      <c r="D312" t="inlineStr">
        <is>
          <t>DALARNAS LÄN</t>
        </is>
      </c>
      <c r="E312" t="inlineStr">
        <is>
          <t>MORA</t>
        </is>
      </c>
      <c r="G312" t="n">
        <v>3.9</v>
      </c>
      <c r="H312" t="n">
        <v>0</v>
      </c>
      <c r="I312" t="n">
        <v>0</v>
      </c>
      <c r="J312" t="n">
        <v>0</v>
      </c>
      <c r="K312" t="n">
        <v>0</v>
      </c>
      <c r="L312" t="n">
        <v>0</v>
      </c>
      <c r="M312" t="n">
        <v>0</v>
      </c>
      <c r="N312" t="n">
        <v>0</v>
      </c>
      <c r="O312" t="n">
        <v>0</v>
      </c>
      <c r="P312" t="n">
        <v>0</v>
      </c>
      <c r="Q312" t="n">
        <v>0</v>
      </c>
      <c r="R312" s="2" t="inlineStr"/>
    </row>
    <row r="313" ht="15" customHeight="1">
      <c r="A313" t="inlineStr">
        <is>
          <t>A 29440-2025</t>
        </is>
      </c>
      <c r="B313" s="1" t="n">
        <v>45824.65862268519</v>
      </c>
      <c r="C313" s="1" t="n">
        <v>45988</v>
      </c>
      <c r="D313" t="inlineStr">
        <is>
          <t>DALARNAS LÄN</t>
        </is>
      </c>
      <c r="E313" t="inlineStr">
        <is>
          <t>MORA</t>
        </is>
      </c>
      <c r="G313" t="n">
        <v>1.7</v>
      </c>
      <c r="H313" t="n">
        <v>0</v>
      </c>
      <c r="I313" t="n">
        <v>0</v>
      </c>
      <c r="J313" t="n">
        <v>0</v>
      </c>
      <c r="K313" t="n">
        <v>0</v>
      </c>
      <c r="L313" t="n">
        <v>0</v>
      </c>
      <c r="M313" t="n">
        <v>0</v>
      </c>
      <c r="N313" t="n">
        <v>0</v>
      </c>
      <c r="O313" t="n">
        <v>0</v>
      </c>
      <c r="P313" t="n">
        <v>0</v>
      </c>
      <c r="Q313" t="n">
        <v>0</v>
      </c>
      <c r="R313" s="2" t="inlineStr"/>
    </row>
    <row r="314" ht="15" customHeight="1">
      <c r="A314" t="inlineStr">
        <is>
          <t>A 37710-2023</t>
        </is>
      </c>
      <c r="B314" s="1" t="n">
        <v>45159.59186342593</v>
      </c>
      <c r="C314" s="1" t="n">
        <v>45988</v>
      </c>
      <c r="D314" t="inlineStr">
        <is>
          <t>DALARNAS LÄN</t>
        </is>
      </c>
      <c r="E314" t="inlineStr">
        <is>
          <t>MORA</t>
        </is>
      </c>
      <c r="G314" t="n">
        <v>1.9</v>
      </c>
      <c r="H314" t="n">
        <v>0</v>
      </c>
      <c r="I314" t="n">
        <v>0</v>
      </c>
      <c r="J314" t="n">
        <v>0</v>
      </c>
      <c r="K314" t="n">
        <v>0</v>
      </c>
      <c r="L314" t="n">
        <v>0</v>
      </c>
      <c r="M314" t="n">
        <v>0</v>
      </c>
      <c r="N314" t="n">
        <v>0</v>
      </c>
      <c r="O314" t="n">
        <v>0</v>
      </c>
      <c r="P314" t="n">
        <v>0</v>
      </c>
      <c r="Q314" t="n">
        <v>0</v>
      </c>
      <c r="R314" s="2" t="inlineStr"/>
    </row>
    <row r="315" ht="15" customHeight="1">
      <c r="A315" t="inlineStr">
        <is>
          <t>A 29425-2025</t>
        </is>
      </c>
      <c r="B315" s="1" t="n">
        <v>45824.64524305556</v>
      </c>
      <c r="C315" s="1" t="n">
        <v>45988</v>
      </c>
      <c r="D315" t="inlineStr">
        <is>
          <t>DALARNAS LÄN</t>
        </is>
      </c>
      <c r="E315" t="inlineStr">
        <is>
          <t>MORA</t>
        </is>
      </c>
      <c r="G315" t="n">
        <v>4.4</v>
      </c>
      <c r="H315" t="n">
        <v>0</v>
      </c>
      <c r="I315" t="n">
        <v>0</v>
      </c>
      <c r="J315" t="n">
        <v>0</v>
      </c>
      <c r="K315" t="n">
        <v>0</v>
      </c>
      <c r="L315" t="n">
        <v>0</v>
      </c>
      <c r="M315" t="n">
        <v>0</v>
      </c>
      <c r="N315" t="n">
        <v>0</v>
      </c>
      <c r="O315" t="n">
        <v>0</v>
      </c>
      <c r="P315" t="n">
        <v>0</v>
      </c>
      <c r="Q315" t="n">
        <v>0</v>
      </c>
      <c r="R315" s="2" t="inlineStr"/>
    </row>
    <row r="316" ht="15" customHeight="1">
      <c r="A316" t="inlineStr">
        <is>
          <t>A 43474-2025</t>
        </is>
      </c>
      <c r="B316" s="1" t="n">
        <v>45911.48967592593</v>
      </c>
      <c r="C316" s="1" t="n">
        <v>45988</v>
      </c>
      <c r="D316" t="inlineStr">
        <is>
          <t>DALARNAS LÄN</t>
        </is>
      </c>
      <c r="E316" t="inlineStr">
        <is>
          <t>MORA</t>
        </is>
      </c>
      <c r="G316" t="n">
        <v>1.8</v>
      </c>
      <c r="H316" t="n">
        <v>0</v>
      </c>
      <c r="I316" t="n">
        <v>0</v>
      </c>
      <c r="J316" t="n">
        <v>0</v>
      </c>
      <c r="K316" t="n">
        <v>0</v>
      </c>
      <c r="L316" t="n">
        <v>0</v>
      </c>
      <c r="M316" t="n">
        <v>0</v>
      </c>
      <c r="N316" t="n">
        <v>0</v>
      </c>
      <c r="O316" t="n">
        <v>0</v>
      </c>
      <c r="P316" t="n">
        <v>0</v>
      </c>
      <c r="Q316" t="n">
        <v>0</v>
      </c>
      <c r="R316" s="2" t="inlineStr"/>
    </row>
    <row r="317" ht="15" customHeight="1">
      <c r="A317" t="inlineStr">
        <is>
          <t>A 45355-2024</t>
        </is>
      </c>
      <c r="B317" s="1" t="n">
        <v>45576</v>
      </c>
      <c r="C317" s="1" t="n">
        <v>45988</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37695-2024</t>
        </is>
      </c>
      <c r="B318" s="1" t="n">
        <v>45541.61094907407</v>
      </c>
      <c r="C318" s="1" t="n">
        <v>45988</v>
      </c>
      <c r="D318" t="inlineStr">
        <is>
          <t>DALARNAS LÄN</t>
        </is>
      </c>
      <c r="E318" t="inlineStr">
        <is>
          <t>MORA</t>
        </is>
      </c>
      <c r="G318" t="n">
        <v>19.7</v>
      </c>
      <c r="H318" t="n">
        <v>0</v>
      </c>
      <c r="I318" t="n">
        <v>0</v>
      </c>
      <c r="J318" t="n">
        <v>0</v>
      </c>
      <c r="K318" t="n">
        <v>0</v>
      </c>
      <c r="L318" t="n">
        <v>0</v>
      </c>
      <c r="M318" t="n">
        <v>0</v>
      </c>
      <c r="N318" t="n">
        <v>0</v>
      </c>
      <c r="O318" t="n">
        <v>0</v>
      </c>
      <c r="P318" t="n">
        <v>0</v>
      </c>
      <c r="Q318" t="n">
        <v>0</v>
      </c>
      <c r="R318" s="2" t="inlineStr"/>
    </row>
    <row r="319" ht="15" customHeight="1">
      <c r="A319" t="inlineStr">
        <is>
          <t>A 28934-2023</t>
        </is>
      </c>
      <c r="B319" s="1" t="n">
        <v>45104</v>
      </c>
      <c r="C319" s="1" t="n">
        <v>45988</v>
      </c>
      <c r="D319" t="inlineStr">
        <is>
          <t>DALARNAS LÄN</t>
        </is>
      </c>
      <c r="E319" t="inlineStr">
        <is>
          <t>MORA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15416-2023</t>
        </is>
      </c>
      <c r="B320" s="1" t="n">
        <v>45019.71342592593</v>
      </c>
      <c r="C320" s="1" t="n">
        <v>45988</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52804-2025</t>
        </is>
      </c>
      <c r="B321" s="1" t="n">
        <v>45957.44552083333</v>
      </c>
      <c r="C321" s="1" t="n">
        <v>45988</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30087-2025</t>
        </is>
      </c>
      <c r="B322" s="1" t="n">
        <v>45826.6575</v>
      </c>
      <c r="C322" s="1" t="n">
        <v>45988</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5769-2025</t>
        </is>
      </c>
      <c r="B323" s="1" t="n">
        <v>45694.59288194445</v>
      </c>
      <c r="C323" s="1" t="n">
        <v>45988</v>
      </c>
      <c r="D323" t="inlineStr">
        <is>
          <t>DALARNAS LÄN</t>
        </is>
      </c>
      <c r="E323" t="inlineStr">
        <is>
          <t>MORA</t>
        </is>
      </c>
      <c r="G323" t="n">
        <v>15.7</v>
      </c>
      <c r="H323" t="n">
        <v>0</v>
      </c>
      <c r="I323" t="n">
        <v>0</v>
      </c>
      <c r="J323" t="n">
        <v>0</v>
      </c>
      <c r="K323" t="n">
        <v>0</v>
      </c>
      <c r="L323" t="n">
        <v>0</v>
      </c>
      <c r="M323" t="n">
        <v>0</v>
      </c>
      <c r="N323" t="n">
        <v>0</v>
      </c>
      <c r="O323" t="n">
        <v>0</v>
      </c>
      <c r="P323" t="n">
        <v>0</v>
      </c>
      <c r="Q323" t="n">
        <v>0</v>
      </c>
      <c r="R323" s="2" t="inlineStr"/>
    </row>
    <row r="324" ht="15" customHeight="1">
      <c r="A324" t="inlineStr">
        <is>
          <t>A 30166-2025</t>
        </is>
      </c>
      <c r="B324" s="1" t="n">
        <v>45827.33116898148</v>
      </c>
      <c r="C324" s="1" t="n">
        <v>45988</v>
      </c>
      <c r="D324" t="inlineStr">
        <is>
          <t>DALARNAS LÄN</t>
        </is>
      </c>
      <c r="E324" t="inlineStr">
        <is>
          <t>MORA</t>
        </is>
      </c>
      <c r="G324" t="n">
        <v>1.3</v>
      </c>
      <c r="H324" t="n">
        <v>0</v>
      </c>
      <c r="I324" t="n">
        <v>0</v>
      </c>
      <c r="J324" t="n">
        <v>0</v>
      </c>
      <c r="K324" t="n">
        <v>0</v>
      </c>
      <c r="L324" t="n">
        <v>0</v>
      </c>
      <c r="M324" t="n">
        <v>0</v>
      </c>
      <c r="N324" t="n">
        <v>0</v>
      </c>
      <c r="O324" t="n">
        <v>0</v>
      </c>
      <c r="P324" t="n">
        <v>0</v>
      </c>
      <c r="Q324" t="n">
        <v>0</v>
      </c>
      <c r="R324" s="2" t="inlineStr"/>
    </row>
    <row r="325" ht="15" customHeight="1">
      <c r="A325" t="inlineStr">
        <is>
          <t>A 54253-2023</t>
        </is>
      </c>
      <c r="B325" s="1" t="n">
        <v>45232.63217592592</v>
      </c>
      <c r="C325" s="1" t="n">
        <v>45988</v>
      </c>
      <c r="D325" t="inlineStr">
        <is>
          <t>DALARNAS LÄN</t>
        </is>
      </c>
      <c r="E325" t="inlineStr">
        <is>
          <t>MORA</t>
        </is>
      </c>
      <c r="G325" t="n">
        <v>4.5</v>
      </c>
      <c r="H325" t="n">
        <v>0</v>
      </c>
      <c r="I325" t="n">
        <v>0</v>
      </c>
      <c r="J325" t="n">
        <v>0</v>
      </c>
      <c r="K325" t="n">
        <v>0</v>
      </c>
      <c r="L325" t="n">
        <v>0</v>
      </c>
      <c r="M325" t="n">
        <v>0</v>
      </c>
      <c r="N325" t="n">
        <v>0</v>
      </c>
      <c r="O325" t="n">
        <v>0</v>
      </c>
      <c r="P325" t="n">
        <v>0</v>
      </c>
      <c r="Q325" t="n">
        <v>0</v>
      </c>
      <c r="R325" s="2" t="inlineStr"/>
    </row>
    <row r="326" ht="15" customHeight="1">
      <c r="A326" t="inlineStr">
        <is>
          <t>A 29870-2025</t>
        </is>
      </c>
      <c r="B326" s="1" t="n">
        <v>45826.35716435185</v>
      </c>
      <c r="C326" s="1" t="n">
        <v>45988</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29873-2025</t>
        </is>
      </c>
      <c r="B327" s="1" t="n">
        <v>45826</v>
      </c>
      <c r="C327" s="1" t="n">
        <v>45988</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57608-2021</t>
        </is>
      </c>
      <c r="B328" s="1" t="n">
        <v>44484</v>
      </c>
      <c r="C328" s="1" t="n">
        <v>45988</v>
      </c>
      <c r="D328" t="inlineStr">
        <is>
          <t>DALARNAS LÄN</t>
        </is>
      </c>
      <c r="E328" t="inlineStr">
        <is>
          <t>MORA</t>
        </is>
      </c>
      <c r="G328" t="n">
        <v>6.3</v>
      </c>
      <c r="H328" t="n">
        <v>0</v>
      </c>
      <c r="I328" t="n">
        <v>0</v>
      </c>
      <c r="J328" t="n">
        <v>0</v>
      </c>
      <c r="K328" t="n">
        <v>0</v>
      </c>
      <c r="L328" t="n">
        <v>0</v>
      </c>
      <c r="M328" t="n">
        <v>0</v>
      </c>
      <c r="N328" t="n">
        <v>0</v>
      </c>
      <c r="O328" t="n">
        <v>0</v>
      </c>
      <c r="P328" t="n">
        <v>0</v>
      </c>
      <c r="Q328" t="n">
        <v>0</v>
      </c>
      <c r="R328" s="2" t="inlineStr"/>
    </row>
    <row r="329" ht="15" customHeight="1">
      <c r="A329" t="inlineStr">
        <is>
          <t>A 30507-2025</t>
        </is>
      </c>
      <c r="B329" s="1" t="n">
        <v>45831.24760416667</v>
      </c>
      <c r="C329" s="1" t="n">
        <v>45988</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30509-2025</t>
        </is>
      </c>
      <c r="B330" s="1" t="n">
        <v>45831.25519675926</v>
      </c>
      <c r="C330" s="1" t="n">
        <v>45988</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43811-2025</t>
        </is>
      </c>
      <c r="B331" s="1" t="n">
        <v>45912.58710648148</v>
      </c>
      <c r="C331" s="1" t="n">
        <v>45988</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30989-2025</t>
        </is>
      </c>
      <c r="B332" s="1" t="n">
        <v>45832.48185185185</v>
      </c>
      <c r="C332" s="1" t="n">
        <v>45988</v>
      </c>
      <c r="D332" t="inlineStr">
        <is>
          <t>DALARNAS LÄN</t>
        </is>
      </c>
      <c r="E332" t="inlineStr">
        <is>
          <t>MORA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17393-2025</t>
        </is>
      </c>
      <c r="B333" s="1" t="n">
        <v>45757.34350694445</v>
      </c>
      <c r="C333" s="1" t="n">
        <v>45988</v>
      </c>
      <c r="D333" t="inlineStr">
        <is>
          <t>DALARNAS LÄN</t>
        </is>
      </c>
      <c r="E333" t="inlineStr">
        <is>
          <t>MORA</t>
        </is>
      </c>
      <c r="G333" t="n">
        <v>10.1</v>
      </c>
      <c r="H333" t="n">
        <v>0</v>
      </c>
      <c r="I333" t="n">
        <v>0</v>
      </c>
      <c r="J333" t="n">
        <v>0</v>
      </c>
      <c r="K333" t="n">
        <v>0</v>
      </c>
      <c r="L333" t="n">
        <v>0</v>
      </c>
      <c r="M333" t="n">
        <v>0</v>
      </c>
      <c r="N333" t="n">
        <v>0</v>
      </c>
      <c r="O333" t="n">
        <v>0</v>
      </c>
      <c r="P333" t="n">
        <v>0</v>
      </c>
      <c r="Q333" t="n">
        <v>0</v>
      </c>
      <c r="R333" s="2" t="inlineStr"/>
    </row>
    <row r="334" ht="15" customHeight="1">
      <c r="A334" t="inlineStr">
        <is>
          <t>A 52599-2025</t>
        </is>
      </c>
      <c r="B334" s="1" t="n">
        <v>45954.65564814815</v>
      </c>
      <c r="C334" s="1" t="n">
        <v>45988</v>
      </c>
      <c r="D334" t="inlineStr">
        <is>
          <t>DALARNAS LÄN</t>
        </is>
      </c>
      <c r="E334" t="inlineStr">
        <is>
          <t>MORA</t>
        </is>
      </c>
      <c r="G334" t="n">
        <v>10.8</v>
      </c>
      <c r="H334" t="n">
        <v>0</v>
      </c>
      <c r="I334" t="n">
        <v>0</v>
      </c>
      <c r="J334" t="n">
        <v>0</v>
      </c>
      <c r="K334" t="n">
        <v>0</v>
      </c>
      <c r="L334" t="n">
        <v>0</v>
      </c>
      <c r="M334" t="n">
        <v>0</v>
      </c>
      <c r="N334" t="n">
        <v>0</v>
      </c>
      <c r="O334" t="n">
        <v>0</v>
      </c>
      <c r="P334" t="n">
        <v>0</v>
      </c>
      <c r="Q334" t="n">
        <v>0</v>
      </c>
      <c r="R334" s="2" t="inlineStr"/>
    </row>
    <row r="335" ht="15" customHeight="1">
      <c r="A335" t="inlineStr">
        <is>
          <t>A 30858-2025</t>
        </is>
      </c>
      <c r="B335" s="1" t="n">
        <v>45831.92416666666</v>
      </c>
      <c r="C335" s="1" t="n">
        <v>45988</v>
      </c>
      <c r="D335" t="inlineStr">
        <is>
          <t>DALARNAS LÄN</t>
        </is>
      </c>
      <c r="E335" t="inlineStr">
        <is>
          <t>MORA</t>
        </is>
      </c>
      <c r="G335" t="n">
        <v>2.9</v>
      </c>
      <c r="H335" t="n">
        <v>0</v>
      </c>
      <c r="I335" t="n">
        <v>0</v>
      </c>
      <c r="J335" t="n">
        <v>0</v>
      </c>
      <c r="K335" t="n">
        <v>0</v>
      </c>
      <c r="L335" t="n">
        <v>0</v>
      </c>
      <c r="M335" t="n">
        <v>0</v>
      </c>
      <c r="N335" t="n">
        <v>0</v>
      </c>
      <c r="O335" t="n">
        <v>0</v>
      </c>
      <c r="P335" t="n">
        <v>0</v>
      </c>
      <c r="Q335" t="n">
        <v>0</v>
      </c>
      <c r="R335" s="2" t="inlineStr"/>
    </row>
    <row r="336" ht="15" customHeight="1">
      <c r="A336" t="inlineStr">
        <is>
          <t>A 30859-2025</t>
        </is>
      </c>
      <c r="B336" s="1" t="n">
        <v>45831.93105324074</v>
      </c>
      <c r="C336" s="1" t="n">
        <v>45988</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44384-2025</t>
        </is>
      </c>
      <c r="B337" s="1" t="n">
        <v>45916.48513888889</v>
      </c>
      <c r="C337" s="1" t="n">
        <v>45988</v>
      </c>
      <c r="D337" t="inlineStr">
        <is>
          <t>DALARNAS LÄN</t>
        </is>
      </c>
      <c r="E337" t="inlineStr">
        <is>
          <t>MORA</t>
        </is>
      </c>
      <c r="F337" t="inlineStr">
        <is>
          <t>Kyrkan</t>
        </is>
      </c>
      <c r="G337" t="n">
        <v>5.1</v>
      </c>
      <c r="H337" t="n">
        <v>0</v>
      </c>
      <c r="I337" t="n">
        <v>0</v>
      </c>
      <c r="J337" t="n">
        <v>0</v>
      </c>
      <c r="K337" t="n">
        <v>0</v>
      </c>
      <c r="L337" t="n">
        <v>0</v>
      </c>
      <c r="M337" t="n">
        <v>0</v>
      </c>
      <c r="N337" t="n">
        <v>0</v>
      </c>
      <c r="O337" t="n">
        <v>0</v>
      </c>
      <c r="P337" t="n">
        <v>0</v>
      </c>
      <c r="Q337" t="n">
        <v>0</v>
      </c>
      <c r="R337" s="2" t="inlineStr"/>
    </row>
    <row r="338" ht="15" customHeight="1">
      <c r="A338" t="inlineStr">
        <is>
          <t>A 25887-2023</t>
        </is>
      </c>
      <c r="B338" s="1" t="n">
        <v>45090.62493055555</v>
      </c>
      <c r="C338" s="1" t="n">
        <v>45988</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53150-2025</t>
        </is>
      </c>
      <c r="B339" s="1" t="n">
        <v>45958.48280092593</v>
      </c>
      <c r="C339" s="1" t="n">
        <v>45988</v>
      </c>
      <c r="D339" t="inlineStr">
        <is>
          <t>DALARNAS LÄN</t>
        </is>
      </c>
      <c r="E339" t="inlineStr">
        <is>
          <t>MORA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53151-2025</t>
        </is>
      </c>
      <c r="B340" s="1" t="n">
        <v>45958.48611111111</v>
      </c>
      <c r="C340" s="1" t="n">
        <v>45988</v>
      </c>
      <c r="D340" t="inlineStr">
        <is>
          <t>DALARNAS LÄN</t>
        </is>
      </c>
      <c r="E340" t="inlineStr">
        <is>
          <t>MORA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31846-2025</t>
        </is>
      </c>
      <c r="B341" s="1" t="n">
        <v>45834.60209490741</v>
      </c>
      <c r="C341" s="1" t="n">
        <v>45988</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31849-2025</t>
        </is>
      </c>
      <c r="B342" s="1" t="n">
        <v>45834.60525462963</v>
      </c>
      <c r="C342" s="1" t="n">
        <v>45988</v>
      </c>
      <c r="D342" t="inlineStr">
        <is>
          <t>DALARNAS LÄN</t>
        </is>
      </c>
      <c r="E342" t="inlineStr">
        <is>
          <t>MORA</t>
        </is>
      </c>
      <c r="G342" t="n">
        <v>3.9</v>
      </c>
      <c r="H342" t="n">
        <v>0</v>
      </c>
      <c r="I342" t="n">
        <v>0</v>
      </c>
      <c r="J342" t="n">
        <v>0</v>
      </c>
      <c r="K342" t="n">
        <v>0</v>
      </c>
      <c r="L342" t="n">
        <v>0</v>
      </c>
      <c r="M342" t="n">
        <v>0</v>
      </c>
      <c r="N342" t="n">
        <v>0</v>
      </c>
      <c r="O342" t="n">
        <v>0</v>
      </c>
      <c r="P342" t="n">
        <v>0</v>
      </c>
      <c r="Q342" t="n">
        <v>0</v>
      </c>
      <c r="R342" s="2" t="inlineStr"/>
    </row>
    <row r="343" ht="15" customHeight="1">
      <c r="A343" t="inlineStr">
        <is>
          <t>A 64099-2023</t>
        </is>
      </c>
      <c r="B343" s="1" t="n">
        <v>45279.46009259259</v>
      </c>
      <c r="C343" s="1" t="n">
        <v>45988</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31842-2025</t>
        </is>
      </c>
      <c r="B344" s="1" t="n">
        <v>45834.59822916667</v>
      </c>
      <c r="C344" s="1" t="n">
        <v>45988</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19910-2024</t>
        </is>
      </c>
      <c r="B345" s="1" t="n">
        <v>45433.5741087963</v>
      </c>
      <c r="C345" s="1" t="n">
        <v>45988</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53418-2025</t>
        </is>
      </c>
      <c r="B346" s="1" t="n">
        <v>45959.58747685186</v>
      </c>
      <c r="C346" s="1" t="n">
        <v>45988</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23300-2024</t>
        </is>
      </c>
      <c r="B347" s="1" t="n">
        <v>45453.43695601852</v>
      </c>
      <c r="C347" s="1" t="n">
        <v>45988</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44621-2025</t>
        </is>
      </c>
      <c r="B348" s="1" t="n">
        <v>45917.466875</v>
      </c>
      <c r="C348" s="1" t="n">
        <v>45988</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45181-2025</t>
        </is>
      </c>
      <c r="B349" s="1" t="n">
        <v>45919.53329861111</v>
      </c>
      <c r="C349" s="1" t="n">
        <v>45988</v>
      </c>
      <c r="D349" t="inlineStr">
        <is>
          <t>DALARNAS LÄN</t>
        </is>
      </c>
      <c r="E349" t="inlineStr">
        <is>
          <t>MORA</t>
        </is>
      </c>
      <c r="G349" t="n">
        <v>4.5</v>
      </c>
      <c r="H349" t="n">
        <v>0</v>
      </c>
      <c r="I349" t="n">
        <v>0</v>
      </c>
      <c r="J349" t="n">
        <v>0</v>
      </c>
      <c r="K349" t="n">
        <v>0</v>
      </c>
      <c r="L349" t="n">
        <v>0</v>
      </c>
      <c r="M349" t="n">
        <v>0</v>
      </c>
      <c r="N349" t="n">
        <v>0</v>
      </c>
      <c r="O349" t="n">
        <v>0</v>
      </c>
      <c r="P349" t="n">
        <v>0</v>
      </c>
      <c r="Q349" t="n">
        <v>0</v>
      </c>
      <c r="R349" s="2" t="inlineStr"/>
    </row>
    <row r="350" ht="15" customHeight="1">
      <c r="A350" t="inlineStr">
        <is>
          <t>A 53560-2025</t>
        </is>
      </c>
      <c r="B350" s="1" t="n">
        <v>45960.39960648148</v>
      </c>
      <c r="C350" s="1" t="n">
        <v>45988</v>
      </c>
      <c r="D350" t="inlineStr">
        <is>
          <t>DALARNAS LÄN</t>
        </is>
      </c>
      <c r="E350" t="inlineStr">
        <is>
          <t>MORA</t>
        </is>
      </c>
      <c r="G350" t="n">
        <v>5.2</v>
      </c>
      <c r="H350" t="n">
        <v>0</v>
      </c>
      <c r="I350" t="n">
        <v>0</v>
      </c>
      <c r="J350" t="n">
        <v>0</v>
      </c>
      <c r="K350" t="n">
        <v>0</v>
      </c>
      <c r="L350" t="n">
        <v>0</v>
      </c>
      <c r="M350" t="n">
        <v>0</v>
      </c>
      <c r="N350" t="n">
        <v>0</v>
      </c>
      <c r="O350" t="n">
        <v>0</v>
      </c>
      <c r="P350" t="n">
        <v>0</v>
      </c>
      <c r="Q350" t="n">
        <v>0</v>
      </c>
      <c r="R350" s="2" t="inlineStr"/>
    </row>
    <row r="351" ht="15" customHeight="1">
      <c r="A351" t="inlineStr">
        <is>
          <t>A 53591-2025</t>
        </is>
      </c>
      <c r="B351" s="1" t="n">
        <v>45960.43893518519</v>
      </c>
      <c r="C351" s="1" t="n">
        <v>45988</v>
      </c>
      <c r="D351" t="inlineStr">
        <is>
          <t>DALARNAS LÄN</t>
        </is>
      </c>
      <c r="E351" t="inlineStr">
        <is>
          <t>MORA</t>
        </is>
      </c>
      <c r="G351" t="n">
        <v>3.8</v>
      </c>
      <c r="H351" t="n">
        <v>0</v>
      </c>
      <c r="I351" t="n">
        <v>0</v>
      </c>
      <c r="J351" t="n">
        <v>0</v>
      </c>
      <c r="K351" t="n">
        <v>0</v>
      </c>
      <c r="L351" t="n">
        <v>0</v>
      </c>
      <c r="M351" t="n">
        <v>0</v>
      </c>
      <c r="N351" t="n">
        <v>0</v>
      </c>
      <c r="O351" t="n">
        <v>0</v>
      </c>
      <c r="P351" t="n">
        <v>0</v>
      </c>
      <c r="Q351" t="n">
        <v>0</v>
      </c>
      <c r="R351" s="2" t="inlineStr"/>
    </row>
    <row r="352" ht="15" customHeight="1">
      <c r="A352" t="inlineStr">
        <is>
          <t>A 19896-2021</t>
        </is>
      </c>
      <c r="B352" s="1" t="n">
        <v>44313.54942129629</v>
      </c>
      <c r="C352" s="1" t="n">
        <v>45988</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9599-2022</t>
        </is>
      </c>
      <c r="B353" s="1" t="n">
        <v>44617.48909722222</v>
      </c>
      <c r="C353" s="1" t="n">
        <v>45988</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32852-2025</t>
        </is>
      </c>
      <c r="B354" s="1" t="n">
        <v>45839.57559027777</v>
      </c>
      <c r="C354" s="1" t="n">
        <v>45988</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35521-2023</t>
        </is>
      </c>
      <c r="B355" s="1" t="n">
        <v>45147.33251157407</v>
      </c>
      <c r="C355" s="1" t="n">
        <v>45988</v>
      </c>
      <c r="D355" t="inlineStr">
        <is>
          <t>DALARNAS LÄN</t>
        </is>
      </c>
      <c r="E355" t="inlineStr">
        <is>
          <t>MORA</t>
        </is>
      </c>
      <c r="G355" t="n">
        <v>3.7</v>
      </c>
      <c r="H355" t="n">
        <v>0</v>
      </c>
      <c r="I355" t="n">
        <v>0</v>
      </c>
      <c r="J355" t="n">
        <v>0</v>
      </c>
      <c r="K355" t="n">
        <v>0</v>
      </c>
      <c r="L355" t="n">
        <v>0</v>
      </c>
      <c r="M355" t="n">
        <v>0</v>
      </c>
      <c r="N355" t="n">
        <v>0</v>
      </c>
      <c r="O355" t="n">
        <v>0</v>
      </c>
      <c r="P355" t="n">
        <v>0</v>
      </c>
      <c r="Q355" t="n">
        <v>0</v>
      </c>
      <c r="R355" s="2" t="inlineStr"/>
    </row>
    <row r="356" ht="15" customHeight="1">
      <c r="A356" t="inlineStr">
        <is>
          <t>A 60715-2023</t>
        </is>
      </c>
      <c r="B356" s="1" t="n">
        <v>45260.52684027778</v>
      </c>
      <c r="C356" s="1" t="n">
        <v>45988</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54257-2023</t>
        </is>
      </c>
      <c r="B357" s="1" t="n">
        <v>45232.64195601852</v>
      </c>
      <c r="C357" s="1" t="n">
        <v>45988</v>
      </c>
      <c r="D357" t="inlineStr">
        <is>
          <t>DALARNAS LÄN</t>
        </is>
      </c>
      <c r="E357" t="inlineStr">
        <is>
          <t>MORA</t>
        </is>
      </c>
      <c r="G357" t="n">
        <v>4</v>
      </c>
      <c r="H357" t="n">
        <v>0</v>
      </c>
      <c r="I357" t="n">
        <v>0</v>
      </c>
      <c r="J357" t="n">
        <v>0</v>
      </c>
      <c r="K357" t="n">
        <v>0</v>
      </c>
      <c r="L357" t="n">
        <v>0</v>
      </c>
      <c r="M357" t="n">
        <v>0</v>
      </c>
      <c r="N357" t="n">
        <v>0</v>
      </c>
      <c r="O357" t="n">
        <v>0</v>
      </c>
      <c r="P357" t="n">
        <v>0</v>
      </c>
      <c r="Q357" t="n">
        <v>0</v>
      </c>
      <c r="R357" s="2" t="inlineStr"/>
    </row>
    <row r="358" ht="15" customHeight="1">
      <c r="A358" t="inlineStr">
        <is>
          <t>A 53982-2025</t>
        </is>
      </c>
      <c r="B358" s="1" t="n">
        <v>45961.57019675926</v>
      </c>
      <c r="C358" s="1" t="n">
        <v>45988</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53556-2025</t>
        </is>
      </c>
      <c r="B359" s="1" t="n">
        <v>45960.3921875</v>
      </c>
      <c r="C359" s="1" t="n">
        <v>45988</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53562-2025</t>
        </is>
      </c>
      <c r="B360" s="1" t="n">
        <v>45960.40662037037</v>
      </c>
      <c r="C360" s="1" t="n">
        <v>45988</v>
      </c>
      <c r="D360" t="inlineStr">
        <is>
          <t>DALARNAS LÄN</t>
        </is>
      </c>
      <c r="E360" t="inlineStr">
        <is>
          <t>MORA</t>
        </is>
      </c>
      <c r="G360" t="n">
        <v>5.1</v>
      </c>
      <c r="H360" t="n">
        <v>0</v>
      </c>
      <c r="I360" t="n">
        <v>0</v>
      </c>
      <c r="J360" t="n">
        <v>0</v>
      </c>
      <c r="K360" t="n">
        <v>0</v>
      </c>
      <c r="L360" t="n">
        <v>0</v>
      </c>
      <c r="M360" t="n">
        <v>0</v>
      </c>
      <c r="N360" t="n">
        <v>0</v>
      </c>
      <c r="O360" t="n">
        <v>0</v>
      </c>
      <c r="P360" t="n">
        <v>0</v>
      </c>
      <c r="Q360" t="n">
        <v>0</v>
      </c>
      <c r="R360" s="2" t="inlineStr"/>
    </row>
    <row r="361" ht="15" customHeight="1">
      <c r="A361" t="inlineStr">
        <is>
          <t>A 53632-2025</t>
        </is>
      </c>
      <c r="B361" s="1" t="n">
        <v>45960.49972222222</v>
      </c>
      <c r="C361" s="1" t="n">
        <v>45988</v>
      </c>
      <c r="D361" t="inlineStr">
        <is>
          <t>DALARNAS LÄN</t>
        </is>
      </c>
      <c r="E361" t="inlineStr">
        <is>
          <t>MORA</t>
        </is>
      </c>
      <c r="G361" t="n">
        <v>3.1</v>
      </c>
      <c r="H361" t="n">
        <v>0</v>
      </c>
      <c r="I361" t="n">
        <v>0</v>
      </c>
      <c r="J361" t="n">
        <v>0</v>
      </c>
      <c r="K361" t="n">
        <v>0</v>
      </c>
      <c r="L361" t="n">
        <v>0</v>
      </c>
      <c r="M361" t="n">
        <v>0</v>
      </c>
      <c r="N361" t="n">
        <v>0</v>
      </c>
      <c r="O361" t="n">
        <v>0</v>
      </c>
      <c r="P361" t="n">
        <v>0</v>
      </c>
      <c r="Q361" t="n">
        <v>0</v>
      </c>
      <c r="R361" s="2" t="inlineStr"/>
    </row>
    <row r="362" ht="15" customHeight="1">
      <c r="A362" t="inlineStr">
        <is>
          <t>A 45191-2025</t>
        </is>
      </c>
      <c r="B362" s="1" t="n">
        <v>45919.54811342592</v>
      </c>
      <c r="C362" s="1" t="n">
        <v>45988</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25499-2024</t>
        </is>
      </c>
      <c r="B363" s="1" t="n">
        <v>45463</v>
      </c>
      <c r="C363" s="1" t="n">
        <v>45988</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33443-2025</t>
        </is>
      </c>
      <c r="B364" s="1" t="n">
        <v>45841</v>
      </c>
      <c r="C364" s="1" t="n">
        <v>45988</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53565-2025</t>
        </is>
      </c>
      <c r="B365" s="1" t="n">
        <v>45960.40711805555</v>
      </c>
      <c r="C365" s="1" t="n">
        <v>45988</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58958-2022</t>
        </is>
      </c>
      <c r="B366" s="1" t="n">
        <v>44903.6605324074</v>
      </c>
      <c r="C366" s="1" t="n">
        <v>45988</v>
      </c>
      <c r="D366" t="inlineStr">
        <is>
          <t>DALARNAS LÄN</t>
        </is>
      </c>
      <c r="E366" t="inlineStr">
        <is>
          <t>MORA</t>
        </is>
      </c>
      <c r="G366" t="n">
        <v>1.1</v>
      </c>
      <c r="H366" t="n">
        <v>0</v>
      </c>
      <c r="I366" t="n">
        <v>0</v>
      </c>
      <c r="J366" t="n">
        <v>0</v>
      </c>
      <c r="K366" t="n">
        <v>0</v>
      </c>
      <c r="L366" t="n">
        <v>0</v>
      </c>
      <c r="M366" t="n">
        <v>0</v>
      </c>
      <c r="N366" t="n">
        <v>0</v>
      </c>
      <c r="O366" t="n">
        <v>0</v>
      </c>
      <c r="P366" t="n">
        <v>0</v>
      </c>
      <c r="Q366" t="n">
        <v>0</v>
      </c>
      <c r="R366" s="2" t="inlineStr"/>
    </row>
    <row r="367" ht="15" customHeight="1">
      <c r="A367" t="inlineStr">
        <is>
          <t>A 52908-2023</t>
        </is>
      </c>
      <c r="B367" s="1" t="n">
        <v>45226.49950231481</v>
      </c>
      <c r="C367" s="1" t="n">
        <v>45988</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54099-2025</t>
        </is>
      </c>
      <c r="B368" s="1" t="n">
        <v>45964.41665509259</v>
      </c>
      <c r="C368" s="1" t="n">
        <v>45988</v>
      </c>
      <c r="D368" t="inlineStr">
        <is>
          <t>DALARNAS LÄN</t>
        </is>
      </c>
      <c r="E368" t="inlineStr">
        <is>
          <t>MORA</t>
        </is>
      </c>
      <c r="G368" t="n">
        <v>5.3</v>
      </c>
      <c r="H368" t="n">
        <v>0</v>
      </c>
      <c r="I368" t="n">
        <v>0</v>
      </c>
      <c r="J368" t="n">
        <v>0</v>
      </c>
      <c r="K368" t="n">
        <v>0</v>
      </c>
      <c r="L368" t="n">
        <v>0</v>
      </c>
      <c r="M368" t="n">
        <v>0</v>
      </c>
      <c r="N368" t="n">
        <v>0</v>
      </c>
      <c r="O368" t="n">
        <v>0</v>
      </c>
      <c r="P368" t="n">
        <v>0</v>
      </c>
      <c r="Q368" t="n">
        <v>0</v>
      </c>
      <c r="R368" s="2" t="inlineStr"/>
    </row>
    <row r="369" ht="15" customHeight="1">
      <c r="A369" t="inlineStr">
        <is>
          <t>A 18214-2024</t>
        </is>
      </c>
      <c r="B369" s="1" t="n">
        <v>45420</v>
      </c>
      <c r="C369" s="1" t="n">
        <v>45988</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34182-2025</t>
        </is>
      </c>
      <c r="B370" s="1" t="n">
        <v>45845.60520833333</v>
      </c>
      <c r="C370" s="1" t="n">
        <v>45988</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54508-2025</t>
        </is>
      </c>
      <c r="B371" s="1" t="n">
        <v>45965.61844907407</v>
      </c>
      <c r="C371" s="1" t="n">
        <v>45988</v>
      </c>
      <c r="D371" t="inlineStr">
        <is>
          <t>DALARNAS LÄN</t>
        </is>
      </c>
      <c r="E371" t="inlineStr">
        <is>
          <t>MORA</t>
        </is>
      </c>
      <c r="G371" t="n">
        <v>0.9</v>
      </c>
      <c r="H371" t="n">
        <v>0</v>
      </c>
      <c r="I371" t="n">
        <v>0</v>
      </c>
      <c r="J371" t="n">
        <v>0</v>
      </c>
      <c r="K371" t="n">
        <v>0</v>
      </c>
      <c r="L371" t="n">
        <v>0</v>
      </c>
      <c r="M371" t="n">
        <v>0</v>
      </c>
      <c r="N371" t="n">
        <v>0</v>
      </c>
      <c r="O371" t="n">
        <v>0</v>
      </c>
      <c r="P371" t="n">
        <v>0</v>
      </c>
      <c r="Q371" t="n">
        <v>0</v>
      </c>
      <c r="R371" s="2" t="inlineStr"/>
    </row>
    <row r="372" ht="15" customHeight="1">
      <c r="A372" t="inlineStr">
        <is>
          <t>A 34005-2025</t>
        </is>
      </c>
      <c r="B372" s="1" t="n">
        <v>45844.58890046296</v>
      </c>
      <c r="C372" s="1" t="n">
        <v>45988</v>
      </c>
      <c r="D372" t="inlineStr">
        <is>
          <t>DALARNAS LÄN</t>
        </is>
      </c>
      <c r="E372" t="inlineStr">
        <is>
          <t>MORA</t>
        </is>
      </c>
      <c r="G372" t="n">
        <v>7.2</v>
      </c>
      <c r="H372" t="n">
        <v>0</v>
      </c>
      <c r="I372" t="n">
        <v>0</v>
      </c>
      <c r="J372" t="n">
        <v>0</v>
      </c>
      <c r="K372" t="n">
        <v>0</v>
      </c>
      <c r="L372" t="n">
        <v>0</v>
      </c>
      <c r="M372" t="n">
        <v>0</v>
      </c>
      <c r="N372" t="n">
        <v>0</v>
      </c>
      <c r="O372" t="n">
        <v>0</v>
      </c>
      <c r="P372" t="n">
        <v>0</v>
      </c>
      <c r="Q372" t="n">
        <v>0</v>
      </c>
      <c r="R372" s="2" t="inlineStr"/>
    </row>
    <row r="373" ht="15" customHeight="1">
      <c r="A373" t="inlineStr">
        <is>
          <t>A 54504-2025</t>
        </is>
      </c>
      <c r="B373" s="1" t="n">
        <v>45965.61686342592</v>
      </c>
      <c r="C373" s="1" t="n">
        <v>45988</v>
      </c>
      <c r="D373" t="inlineStr">
        <is>
          <t>DALARNAS LÄN</t>
        </is>
      </c>
      <c r="E373" t="inlineStr">
        <is>
          <t>MORA</t>
        </is>
      </c>
      <c r="G373" t="n">
        <v>0.9</v>
      </c>
      <c r="H373" t="n">
        <v>0</v>
      </c>
      <c r="I373" t="n">
        <v>0</v>
      </c>
      <c r="J373" t="n">
        <v>0</v>
      </c>
      <c r="K373" t="n">
        <v>0</v>
      </c>
      <c r="L373" t="n">
        <v>0</v>
      </c>
      <c r="M373" t="n">
        <v>0</v>
      </c>
      <c r="N373" t="n">
        <v>0</v>
      </c>
      <c r="O373" t="n">
        <v>0</v>
      </c>
      <c r="P373" t="n">
        <v>0</v>
      </c>
      <c r="Q373" t="n">
        <v>0</v>
      </c>
      <c r="R373" s="2" t="inlineStr"/>
    </row>
    <row r="374" ht="15" customHeight="1">
      <c r="A374" t="inlineStr">
        <is>
          <t>A 34482-2025</t>
        </is>
      </c>
      <c r="B374" s="1" t="n">
        <v>45847.38469907407</v>
      </c>
      <c r="C374" s="1" t="n">
        <v>45988</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60465-2023</t>
        </is>
      </c>
      <c r="B375" s="1" t="n">
        <v>45259.57872685185</v>
      </c>
      <c r="C375" s="1" t="n">
        <v>45988</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61654-2024</t>
        </is>
      </c>
      <c r="B376" s="1" t="n">
        <v>45646.74988425926</v>
      </c>
      <c r="C376" s="1" t="n">
        <v>45988</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34382-2025</t>
        </is>
      </c>
      <c r="B377" s="1" t="n">
        <v>45846</v>
      </c>
      <c r="C377" s="1" t="n">
        <v>45988</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60428-2023</t>
        </is>
      </c>
      <c r="B378" s="1" t="n">
        <v>45259.50996527778</v>
      </c>
      <c r="C378" s="1" t="n">
        <v>45988</v>
      </c>
      <c r="D378" t="inlineStr">
        <is>
          <t>DALARNAS LÄN</t>
        </is>
      </c>
      <c r="E378" t="inlineStr">
        <is>
          <t>MORA</t>
        </is>
      </c>
      <c r="G378" t="n">
        <v>4.9</v>
      </c>
      <c r="H378" t="n">
        <v>0</v>
      </c>
      <c r="I378" t="n">
        <v>0</v>
      </c>
      <c r="J378" t="n">
        <v>0</v>
      </c>
      <c r="K378" t="n">
        <v>0</v>
      </c>
      <c r="L378" t="n">
        <v>0</v>
      </c>
      <c r="M378" t="n">
        <v>0</v>
      </c>
      <c r="N378" t="n">
        <v>0</v>
      </c>
      <c r="O378" t="n">
        <v>0</v>
      </c>
      <c r="P378" t="n">
        <v>0</v>
      </c>
      <c r="Q378" t="n">
        <v>0</v>
      </c>
      <c r="R378" s="2" t="inlineStr"/>
    </row>
    <row r="379" ht="15" customHeight="1">
      <c r="A379" t="inlineStr">
        <is>
          <t>A 2308-2023</t>
        </is>
      </c>
      <c r="B379" s="1" t="n">
        <v>44942.57987268519</v>
      </c>
      <c r="C379" s="1" t="n">
        <v>45988</v>
      </c>
      <c r="D379" t="inlineStr">
        <is>
          <t>DALARNAS LÄN</t>
        </is>
      </c>
      <c r="E379" t="inlineStr">
        <is>
          <t>MORA</t>
        </is>
      </c>
      <c r="G379" t="n">
        <v>2.2</v>
      </c>
      <c r="H379" t="n">
        <v>0</v>
      </c>
      <c r="I379" t="n">
        <v>0</v>
      </c>
      <c r="J379" t="n">
        <v>0</v>
      </c>
      <c r="K379" t="n">
        <v>0</v>
      </c>
      <c r="L379" t="n">
        <v>0</v>
      </c>
      <c r="M379" t="n">
        <v>0</v>
      </c>
      <c r="N379" t="n">
        <v>0</v>
      </c>
      <c r="O379" t="n">
        <v>0</v>
      </c>
      <c r="P379" t="n">
        <v>0</v>
      </c>
      <c r="Q379" t="n">
        <v>0</v>
      </c>
      <c r="R379" s="2" t="inlineStr"/>
    </row>
    <row r="380" ht="15" customHeight="1">
      <c r="A380" t="inlineStr">
        <is>
          <t>A 54367-2025</t>
        </is>
      </c>
      <c r="B380" s="1" t="n">
        <v>45965.4031712963</v>
      </c>
      <c r="C380" s="1" t="n">
        <v>45988</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34933-2025</t>
        </is>
      </c>
      <c r="B381" s="1" t="n">
        <v>45849.57297453703</v>
      </c>
      <c r="C381" s="1" t="n">
        <v>45988</v>
      </c>
      <c r="D381" t="inlineStr">
        <is>
          <t>DALARNAS LÄN</t>
        </is>
      </c>
      <c r="E381" t="inlineStr">
        <is>
          <t>MORA</t>
        </is>
      </c>
      <c r="F381" t="inlineStr">
        <is>
          <t>Bergvik skog väst AB</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54518-2025</t>
        </is>
      </c>
      <c r="B382" s="1" t="n">
        <v>45965.62608796296</v>
      </c>
      <c r="C382" s="1" t="n">
        <v>45988</v>
      </c>
      <c r="D382" t="inlineStr">
        <is>
          <t>DALARNAS LÄN</t>
        </is>
      </c>
      <c r="E382" t="inlineStr">
        <is>
          <t>MORA</t>
        </is>
      </c>
      <c r="G382" t="n">
        <v>7.1</v>
      </c>
      <c r="H382" t="n">
        <v>0</v>
      </c>
      <c r="I382" t="n">
        <v>0</v>
      </c>
      <c r="J382" t="n">
        <v>0</v>
      </c>
      <c r="K382" t="n">
        <v>0</v>
      </c>
      <c r="L382" t="n">
        <v>0</v>
      </c>
      <c r="M382" t="n">
        <v>0</v>
      </c>
      <c r="N382" t="n">
        <v>0</v>
      </c>
      <c r="O382" t="n">
        <v>0</v>
      </c>
      <c r="P382" t="n">
        <v>0</v>
      </c>
      <c r="Q382" t="n">
        <v>0</v>
      </c>
      <c r="R382" s="2" t="inlineStr"/>
    </row>
    <row r="383" ht="15" customHeight="1">
      <c r="A383" t="inlineStr">
        <is>
          <t>A 54919-2025</t>
        </is>
      </c>
      <c r="B383" s="1" t="n">
        <v>45967.38884259259</v>
      </c>
      <c r="C383" s="1" t="n">
        <v>45988</v>
      </c>
      <c r="D383" t="inlineStr">
        <is>
          <t>DALARNAS LÄN</t>
        </is>
      </c>
      <c r="E383" t="inlineStr">
        <is>
          <t>MORA</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53159-2024</t>
        </is>
      </c>
      <c r="B384" s="1" t="n">
        <v>45611.63849537037</v>
      </c>
      <c r="C384" s="1" t="n">
        <v>45988</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54905-2025</t>
        </is>
      </c>
      <c r="B385" s="1" t="n">
        <v>45967.3700462963</v>
      </c>
      <c r="C385" s="1" t="n">
        <v>45988</v>
      </c>
      <c r="D385" t="inlineStr">
        <is>
          <t>DALARNAS LÄN</t>
        </is>
      </c>
      <c r="E385" t="inlineStr">
        <is>
          <t>MORA</t>
        </is>
      </c>
      <c r="G385" t="n">
        <v>0.4</v>
      </c>
      <c r="H385" t="n">
        <v>0</v>
      </c>
      <c r="I385" t="n">
        <v>0</v>
      </c>
      <c r="J385" t="n">
        <v>0</v>
      </c>
      <c r="K385" t="n">
        <v>0</v>
      </c>
      <c r="L385" t="n">
        <v>0</v>
      </c>
      <c r="M385" t="n">
        <v>0</v>
      </c>
      <c r="N385" t="n">
        <v>0</v>
      </c>
      <c r="O385" t="n">
        <v>0</v>
      </c>
      <c r="P385" t="n">
        <v>0</v>
      </c>
      <c r="Q385" t="n">
        <v>0</v>
      </c>
      <c r="R385" s="2" t="inlineStr"/>
    </row>
    <row r="386" ht="15" customHeight="1">
      <c r="A386" t="inlineStr">
        <is>
          <t>A 29754-2022</t>
        </is>
      </c>
      <c r="B386" s="1" t="n">
        <v>44755.59188657408</v>
      </c>
      <c r="C386" s="1" t="n">
        <v>45988</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27188-2023</t>
        </is>
      </c>
      <c r="B387" s="1" t="n">
        <v>45096</v>
      </c>
      <c r="C387" s="1" t="n">
        <v>45988</v>
      </c>
      <c r="D387" t="inlineStr">
        <is>
          <t>DALARNAS LÄN</t>
        </is>
      </c>
      <c r="E387" t="inlineStr">
        <is>
          <t>MORA</t>
        </is>
      </c>
      <c r="G387" t="n">
        <v>4.8</v>
      </c>
      <c r="H387" t="n">
        <v>0</v>
      </c>
      <c r="I387" t="n">
        <v>0</v>
      </c>
      <c r="J387" t="n">
        <v>0</v>
      </c>
      <c r="K387" t="n">
        <v>0</v>
      </c>
      <c r="L387" t="n">
        <v>0</v>
      </c>
      <c r="M387" t="n">
        <v>0</v>
      </c>
      <c r="N387" t="n">
        <v>0</v>
      </c>
      <c r="O387" t="n">
        <v>0</v>
      </c>
      <c r="P387" t="n">
        <v>0</v>
      </c>
      <c r="Q387" t="n">
        <v>0</v>
      </c>
      <c r="R387" s="2" t="inlineStr"/>
    </row>
    <row r="388" ht="15" customHeight="1">
      <c r="A388" t="inlineStr">
        <is>
          <t>A 56268-2024</t>
        </is>
      </c>
      <c r="B388" s="1" t="n">
        <v>45624.65785879629</v>
      </c>
      <c r="C388" s="1" t="n">
        <v>45988</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35121-2025</t>
        </is>
      </c>
      <c r="B389" s="1" t="n">
        <v>45852.60936342592</v>
      </c>
      <c r="C389" s="1" t="n">
        <v>45988</v>
      </c>
      <c r="D389" t="inlineStr">
        <is>
          <t>DALARNAS LÄN</t>
        </is>
      </c>
      <c r="E389" t="inlineStr">
        <is>
          <t>MORA</t>
        </is>
      </c>
      <c r="F389" t="inlineStr">
        <is>
          <t>Bergvik skog öst AB</t>
        </is>
      </c>
      <c r="G389" t="n">
        <v>15.9</v>
      </c>
      <c r="H389" t="n">
        <v>0</v>
      </c>
      <c r="I389" t="n">
        <v>0</v>
      </c>
      <c r="J389" t="n">
        <v>0</v>
      </c>
      <c r="K389" t="n">
        <v>0</v>
      </c>
      <c r="L389" t="n">
        <v>0</v>
      </c>
      <c r="M389" t="n">
        <v>0</v>
      </c>
      <c r="N389" t="n">
        <v>0</v>
      </c>
      <c r="O389" t="n">
        <v>0</v>
      </c>
      <c r="P389" t="n">
        <v>0</v>
      </c>
      <c r="Q389" t="n">
        <v>0</v>
      </c>
      <c r="R389" s="2" t="inlineStr"/>
    </row>
    <row r="390" ht="15" customHeight="1">
      <c r="A390" t="inlineStr">
        <is>
          <t>A 14641-2023</t>
        </is>
      </c>
      <c r="B390" s="1" t="n">
        <v>45013</v>
      </c>
      <c r="C390" s="1" t="n">
        <v>45988</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35407-2025</t>
        </is>
      </c>
      <c r="B391" s="1" t="n">
        <v>45855.35989583333</v>
      </c>
      <c r="C391" s="1" t="n">
        <v>45988</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54909-2025</t>
        </is>
      </c>
      <c r="B392" s="1" t="n">
        <v>45967.374375</v>
      </c>
      <c r="C392" s="1" t="n">
        <v>45988</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9277-2024</t>
        </is>
      </c>
      <c r="B393" s="1" t="n">
        <v>45358.63265046296</v>
      </c>
      <c r="C393" s="1" t="n">
        <v>45988</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46090-2025</t>
        </is>
      </c>
      <c r="B394" s="1" t="n">
        <v>45924.5253125</v>
      </c>
      <c r="C394" s="1" t="n">
        <v>45988</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46091-2025</t>
        </is>
      </c>
      <c r="B395" s="1" t="n">
        <v>45924.52871527777</v>
      </c>
      <c r="C395" s="1" t="n">
        <v>45988</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57408-2024</t>
        </is>
      </c>
      <c r="B396" s="1" t="n">
        <v>45629</v>
      </c>
      <c r="C396" s="1" t="n">
        <v>45988</v>
      </c>
      <c r="D396" t="inlineStr">
        <is>
          <t>DALARNAS LÄN</t>
        </is>
      </c>
      <c r="E396" t="inlineStr">
        <is>
          <t>MORA</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54868-2025</t>
        </is>
      </c>
      <c r="B397" s="1" t="n">
        <v>45966.85649305556</v>
      </c>
      <c r="C397" s="1" t="n">
        <v>45988</v>
      </c>
      <c r="D397" t="inlineStr">
        <is>
          <t>DALARNAS LÄN</t>
        </is>
      </c>
      <c r="E397" t="inlineStr">
        <is>
          <t>MORA</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54910-2025</t>
        </is>
      </c>
      <c r="B398" s="1" t="n">
        <v>45967.37679398148</v>
      </c>
      <c r="C398" s="1" t="n">
        <v>45988</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46283-2025</t>
        </is>
      </c>
      <c r="B399" s="1" t="n">
        <v>45925</v>
      </c>
      <c r="C399" s="1" t="n">
        <v>45988</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35611-2025</t>
        </is>
      </c>
      <c r="B400" s="1" t="n">
        <v>45859.35384259259</v>
      </c>
      <c r="C400" s="1" t="n">
        <v>45988</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1252-2025</t>
        </is>
      </c>
      <c r="B401" s="1" t="n">
        <v>45667.46648148148</v>
      </c>
      <c r="C401" s="1" t="n">
        <v>45988</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54862-2025</t>
        </is>
      </c>
      <c r="B402" s="1" t="n">
        <v>45966.76542824074</v>
      </c>
      <c r="C402" s="1" t="n">
        <v>45988</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35734-2025</t>
        </is>
      </c>
      <c r="B403" s="1" t="n">
        <v>45860.471875</v>
      </c>
      <c r="C403" s="1" t="n">
        <v>45988</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35623-2025</t>
        </is>
      </c>
      <c r="B404" s="1" t="n">
        <v>45859</v>
      </c>
      <c r="C404" s="1" t="n">
        <v>45988</v>
      </c>
      <c r="D404" t="inlineStr">
        <is>
          <t>DALARNAS LÄN</t>
        </is>
      </c>
      <c r="E404" t="inlineStr">
        <is>
          <t>MORA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35622-2025</t>
        </is>
      </c>
      <c r="B405" s="1" t="n">
        <v>45859</v>
      </c>
      <c r="C405" s="1" t="n">
        <v>45988</v>
      </c>
      <c r="D405" t="inlineStr">
        <is>
          <t>DALARNAS LÄN</t>
        </is>
      </c>
      <c r="E405" t="inlineStr">
        <is>
          <t>MORA</t>
        </is>
      </c>
      <c r="F405" t="inlineStr">
        <is>
          <t>Bergvik skog öst AB</t>
        </is>
      </c>
      <c r="G405" t="n">
        <v>5.8</v>
      </c>
      <c r="H405" t="n">
        <v>0</v>
      </c>
      <c r="I405" t="n">
        <v>0</v>
      </c>
      <c r="J405" t="n">
        <v>0</v>
      </c>
      <c r="K405" t="n">
        <v>0</v>
      </c>
      <c r="L405" t="n">
        <v>0</v>
      </c>
      <c r="M405" t="n">
        <v>0</v>
      </c>
      <c r="N405" t="n">
        <v>0</v>
      </c>
      <c r="O405" t="n">
        <v>0</v>
      </c>
      <c r="P405" t="n">
        <v>0</v>
      </c>
      <c r="Q405" t="n">
        <v>0</v>
      </c>
      <c r="R405" s="2" t="inlineStr"/>
    </row>
    <row r="406" ht="15" customHeight="1">
      <c r="A406" t="inlineStr">
        <is>
          <t>A 55135-2025</t>
        </is>
      </c>
      <c r="B406" s="1" t="n">
        <v>45968.42591435185</v>
      </c>
      <c r="C406" s="1" t="n">
        <v>45988</v>
      </c>
      <c r="D406" t="inlineStr">
        <is>
          <t>DALARNAS LÄN</t>
        </is>
      </c>
      <c r="E406" t="inlineStr">
        <is>
          <t>MORA</t>
        </is>
      </c>
      <c r="G406" t="n">
        <v>5.1</v>
      </c>
      <c r="H406" t="n">
        <v>0</v>
      </c>
      <c r="I406" t="n">
        <v>0</v>
      </c>
      <c r="J406" t="n">
        <v>0</v>
      </c>
      <c r="K406" t="n">
        <v>0</v>
      </c>
      <c r="L406" t="n">
        <v>0</v>
      </c>
      <c r="M406" t="n">
        <v>0</v>
      </c>
      <c r="N406" t="n">
        <v>0</v>
      </c>
      <c r="O406" t="n">
        <v>0</v>
      </c>
      <c r="P406" t="n">
        <v>0</v>
      </c>
      <c r="Q406" t="n">
        <v>0</v>
      </c>
      <c r="R406" s="2" t="inlineStr"/>
    </row>
    <row r="407" ht="15" customHeight="1">
      <c r="A407" t="inlineStr">
        <is>
          <t>A 9554-2025</t>
        </is>
      </c>
      <c r="B407" s="1" t="n">
        <v>45715.59936342593</v>
      </c>
      <c r="C407" s="1" t="n">
        <v>45988</v>
      </c>
      <c r="D407" t="inlineStr">
        <is>
          <t>DALARNAS LÄN</t>
        </is>
      </c>
      <c r="E407" t="inlineStr">
        <is>
          <t>MORA</t>
        </is>
      </c>
      <c r="G407" t="n">
        <v>0.9</v>
      </c>
      <c r="H407" t="n">
        <v>0</v>
      </c>
      <c r="I407" t="n">
        <v>0</v>
      </c>
      <c r="J407" t="n">
        <v>0</v>
      </c>
      <c r="K407" t="n">
        <v>0</v>
      </c>
      <c r="L407" t="n">
        <v>0</v>
      </c>
      <c r="M407" t="n">
        <v>0</v>
      </c>
      <c r="N407" t="n">
        <v>0</v>
      </c>
      <c r="O407" t="n">
        <v>0</v>
      </c>
      <c r="P407" t="n">
        <v>0</v>
      </c>
      <c r="Q407" t="n">
        <v>0</v>
      </c>
      <c r="R407" s="2" t="inlineStr"/>
    </row>
    <row r="408" ht="15" customHeight="1">
      <c r="A408" t="inlineStr">
        <is>
          <t>A 55124-2025</t>
        </is>
      </c>
      <c r="B408" s="1" t="n">
        <v>45968.40621527778</v>
      </c>
      <c r="C408" s="1" t="n">
        <v>45988</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35624-2025</t>
        </is>
      </c>
      <c r="B409" s="1" t="n">
        <v>45859</v>
      </c>
      <c r="C409" s="1" t="n">
        <v>45988</v>
      </c>
      <c r="D409" t="inlineStr">
        <is>
          <t>DALARNAS LÄN</t>
        </is>
      </c>
      <c r="E409" t="inlineStr">
        <is>
          <t>MORA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55262-2025</t>
        </is>
      </c>
      <c r="B410" s="1" t="n">
        <v>45968.64847222222</v>
      </c>
      <c r="C410" s="1" t="n">
        <v>45988</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571-2024</t>
        </is>
      </c>
      <c r="B411" s="1" t="n">
        <v>45299</v>
      </c>
      <c r="C411" s="1" t="n">
        <v>45988</v>
      </c>
      <c r="D411" t="inlineStr">
        <is>
          <t>DALARNAS LÄN</t>
        </is>
      </c>
      <c r="E411" t="inlineStr">
        <is>
          <t>MORA</t>
        </is>
      </c>
      <c r="G411" t="n">
        <v>3.3</v>
      </c>
      <c r="H411" t="n">
        <v>0</v>
      </c>
      <c r="I411" t="n">
        <v>0</v>
      </c>
      <c r="J411" t="n">
        <v>0</v>
      </c>
      <c r="K411" t="n">
        <v>0</v>
      </c>
      <c r="L411" t="n">
        <v>0</v>
      </c>
      <c r="M411" t="n">
        <v>0</v>
      </c>
      <c r="N411" t="n">
        <v>0</v>
      </c>
      <c r="O411" t="n">
        <v>0</v>
      </c>
      <c r="P411" t="n">
        <v>0</v>
      </c>
      <c r="Q411" t="n">
        <v>0</v>
      </c>
      <c r="R411" s="2" t="inlineStr"/>
    </row>
    <row r="412" ht="15" customHeight="1">
      <c r="A412" t="inlineStr">
        <is>
          <t>A 20549-2025</t>
        </is>
      </c>
      <c r="B412" s="1" t="n">
        <v>45775.63459490741</v>
      </c>
      <c r="C412" s="1" t="n">
        <v>45988</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12478-2025</t>
        </is>
      </c>
      <c r="B413" s="1" t="n">
        <v>45730.57429398148</v>
      </c>
      <c r="C413" s="1" t="n">
        <v>45988</v>
      </c>
      <c r="D413" t="inlineStr">
        <is>
          <t>DALARNAS LÄN</t>
        </is>
      </c>
      <c r="E413" t="inlineStr">
        <is>
          <t>MORA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46525-2025</t>
        </is>
      </c>
      <c r="B414" s="1" t="n">
        <v>45926.3312962963</v>
      </c>
      <c r="C414" s="1" t="n">
        <v>45988</v>
      </c>
      <c r="D414" t="inlineStr">
        <is>
          <t>DALARNAS LÄN</t>
        </is>
      </c>
      <c r="E414" t="inlineStr">
        <is>
          <t>MORA</t>
        </is>
      </c>
      <c r="G414" t="n">
        <v>6.3</v>
      </c>
      <c r="H414" t="n">
        <v>0</v>
      </c>
      <c r="I414" t="n">
        <v>0</v>
      </c>
      <c r="J414" t="n">
        <v>0</v>
      </c>
      <c r="K414" t="n">
        <v>0</v>
      </c>
      <c r="L414" t="n">
        <v>0</v>
      </c>
      <c r="M414" t="n">
        <v>0</v>
      </c>
      <c r="N414" t="n">
        <v>0</v>
      </c>
      <c r="O414" t="n">
        <v>0</v>
      </c>
      <c r="P414" t="n">
        <v>0</v>
      </c>
      <c r="Q414" t="n">
        <v>0</v>
      </c>
      <c r="R414" s="2" t="inlineStr"/>
    </row>
    <row r="415" ht="15" customHeight="1">
      <c r="A415" t="inlineStr">
        <is>
          <t>A 53743-2024</t>
        </is>
      </c>
      <c r="B415" s="1" t="n">
        <v>45615.47137731482</v>
      </c>
      <c r="C415" s="1" t="n">
        <v>45988</v>
      </c>
      <c r="D415" t="inlineStr">
        <is>
          <t>DALARNAS LÄN</t>
        </is>
      </c>
      <c r="E415" t="inlineStr">
        <is>
          <t>MORA</t>
        </is>
      </c>
      <c r="G415" t="n">
        <v>1.4</v>
      </c>
      <c r="H415" t="n">
        <v>0</v>
      </c>
      <c r="I415" t="n">
        <v>0</v>
      </c>
      <c r="J415" t="n">
        <v>0</v>
      </c>
      <c r="K415" t="n">
        <v>0</v>
      </c>
      <c r="L415" t="n">
        <v>0</v>
      </c>
      <c r="M415" t="n">
        <v>0</v>
      </c>
      <c r="N415" t="n">
        <v>0</v>
      </c>
      <c r="O415" t="n">
        <v>0</v>
      </c>
      <c r="P415" t="n">
        <v>0</v>
      </c>
      <c r="Q415" t="n">
        <v>0</v>
      </c>
      <c r="R415" s="2" t="inlineStr"/>
    </row>
    <row r="416" ht="15" customHeight="1">
      <c r="A416" t="inlineStr">
        <is>
          <t>A 36041-2025</t>
        </is>
      </c>
      <c r="B416" s="1" t="n">
        <v>45866.34385416667</v>
      </c>
      <c r="C416" s="1" t="n">
        <v>45988</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45988</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55123-2025</t>
        </is>
      </c>
      <c r="B418" s="1" t="n">
        <v>45968.40056712963</v>
      </c>
      <c r="C418" s="1" t="n">
        <v>45988</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46537-2025</t>
        </is>
      </c>
      <c r="B419" s="1" t="n">
        <v>45926.34195601852</v>
      </c>
      <c r="C419" s="1" t="n">
        <v>45988</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54548-2025</t>
        </is>
      </c>
      <c r="B420" s="1" t="n">
        <v>45965.6534837963</v>
      </c>
      <c r="C420" s="1" t="n">
        <v>45988</v>
      </c>
      <c r="D420" t="inlineStr">
        <is>
          <t>DALARNAS LÄN</t>
        </is>
      </c>
      <c r="E420" t="inlineStr">
        <is>
          <t>MORA</t>
        </is>
      </c>
      <c r="G420" t="n">
        <v>2.3</v>
      </c>
      <c r="H420" t="n">
        <v>0</v>
      </c>
      <c r="I420" t="n">
        <v>0</v>
      </c>
      <c r="J420" t="n">
        <v>0</v>
      </c>
      <c r="K420" t="n">
        <v>0</v>
      </c>
      <c r="L420" t="n">
        <v>0</v>
      </c>
      <c r="M420" t="n">
        <v>0</v>
      </c>
      <c r="N420" t="n">
        <v>0</v>
      </c>
      <c r="O420" t="n">
        <v>0</v>
      </c>
      <c r="P420" t="n">
        <v>0</v>
      </c>
      <c r="Q420" t="n">
        <v>0</v>
      </c>
      <c r="R420" s="2" t="inlineStr"/>
    </row>
    <row r="421" ht="15" customHeight="1">
      <c r="A421" t="inlineStr">
        <is>
          <t>A 36586-2025</t>
        </is>
      </c>
      <c r="B421" s="1" t="n">
        <v>45869</v>
      </c>
      <c r="C421" s="1" t="n">
        <v>45988</v>
      </c>
      <c r="D421" t="inlineStr">
        <is>
          <t>DALARNAS LÄN</t>
        </is>
      </c>
      <c r="E421" t="inlineStr">
        <is>
          <t>MORA</t>
        </is>
      </c>
      <c r="G421" t="n">
        <v>1.8</v>
      </c>
      <c r="H421" t="n">
        <v>0</v>
      </c>
      <c r="I421" t="n">
        <v>0</v>
      </c>
      <c r="J421" t="n">
        <v>0</v>
      </c>
      <c r="K421" t="n">
        <v>0</v>
      </c>
      <c r="L421" t="n">
        <v>0</v>
      </c>
      <c r="M421" t="n">
        <v>0</v>
      </c>
      <c r="N421" t="n">
        <v>0</v>
      </c>
      <c r="O421" t="n">
        <v>0</v>
      </c>
      <c r="P421" t="n">
        <v>0</v>
      </c>
      <c r="Q421" t="n">
        <v>0</v>
      </c>
      <c r="R421" s="2" t="inlineStr"/>
    </row>
    <row r="422" ht="15" customHeight="1">
      <c r="A422" t="inlineStr">
        <is>
          <t>A 47140-2025</t>
        </is>
      </c>
      <c r="B422" s="1" t="n">
        <v>45929</v>
      </c>
      <c r="C422" s="1" t="n">
        <v>45988</v>
      </c>
      <c r="D422" t="inlineStr">
        <is>
          <t>DALARNAS LÄN</t>
        </is>
      </c>
      <c r="E422" t="inlineStr">
        <is>
          <t>MORA</t>
        </is>
      </c>
      <c r="G422" t="n">
        <v>6.7</v>
      </c>
      <c r="H422" t="n">
        <v>0</v>
      </c>
      <c r="I422" t="n">
        <v>0</v>
      </c>
      <c r="J422" t="n">
        <v>0</v>
      </c>
      <c r="K422" t="n">
        <v>0</v>
      </c>
      <c r="L422" t="n">
        <v>0</v>
      </c>
      <c r="M422" t="n">
        <v>0</v>
      </c>
      <c r="N422" t="n">
        <v>0</v>
      </c>
      <c r="O422" t="n">
        <v>0</v>
      </c>
      <c r="P422" t="n">
        <v>0</v>
      </c>
      <c r="Q422" t="n">
        <v>0</v>
      </c>
      <c r="R422" s="2" t="inlineStr"/>
    </row>
    <row r="423" ht="15" customHeight="1">
      <c r="A423" t="inlineStr">
        <is>
          <t>A 55284-2025</t>
        </is>
      </c>
      <c r="B423" s="1" t="n">
        <v>45968.8227662037</v>
      </c>
      <c r="C423" s="1" t="n">
        <v>45988</v>
      </c>
      <c r="D423" t="inlineStr">
        <is>
          <t>DALARNAS LÄN</t>
        </is>
      </c>
      <c r="E423" t="inlineStr">
        <is>
          <t>MORA</t>
        </is>
      </c>
      <c r="G423" t="n">
        <v>2</v>
      </c>
      <c r="H423" t="n">
        <v>0</v>
      </c>
      <c r="I423" t="n">
        <v>0</v>
      </c>
      <c r="J423" t="n">
        <v>0</v>
      </c>
      <c r="K423" t="n">
        <v>0</v>
      </c>
      <c r="L423" t="n">
        <v>0</v>
      </c>
      <c r="M423" t="n">
        <v>0</v>
      </c>
      <c r="N423" t="n">
        <v>0</v>
      </c>
      <c r="O423" t="n">
        <v>0</v>
      </c>
      <c r="P423" t="n">
        <v>0</v>
      </c>
      <c r="Q423" t="n">
        <v>0</v>
      </c>
      <c r="R423" s="2" t="inlineStr"/>
    </row>
    <row r="424" ht="15" customHeight="1">
      <c r="A424" t="inlineStr">
        <is>
          <t>A 36760-2025</t>
        </is>
      </c>
      <c r="B424" s="1" t="n">
        <v>45873.57319444444</v>
      </c>
      <c r="C424" s="1" t="n">
        <v>45988</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47055-2025</t>
        </is>
      </c>
      <c r="B425" s="1" t="n">
        <v>45929.61931712963</v>
      </c>
      <c r="C425" s="1" t="n">
        <v>45988</v>
      </c>
      <c r="D425" t="inlineStr">
        <is>
          <t>DALARNAS LÄN</t>
        </is>
      </c>
      <c r="E425" t="inlineStr">
        <is>
          <t>MORA</t>
        </is>
      </c>
      <c r="G425" t="n">
        <v>28.1</v>
      </c>
      <c r="H425" t="n">
        <v>0</v>
      </c>
      <c r="I425" t="n">
        <v>0</v>
      </c>
      <c r="J425" t="n">
        <v>0</v>
      </c>
      <c r="K425" t="n">
        <v>0</v>
      </c>
      <c r="L425" t="n">
        <v>0</v>
      </c>
      <c r="M425" t="n">
        <v>0</v>
      </c>
      <c r="N425" t="n">
        <v>0</v>
      </c>
      <c r="O425" t="n">
        <v>0</v>
      </c>
      <c r="P425" t="n">
        <v>0</v>
      </c>
      <c r="Q425" t="n">
        <v>0</v>
      </c>
      <c r="R425" s="2" t="inlineStr"/>
    </row>
    <row r="426" ht="15" customHeight="1">
      <c r="A426" t="inlineStr">
        <is>
          <t>A 47072-2025</t>
        </is>
      </c>
      <c r="B426" s="1" t="n">
        <v>45929.6365162037</v>
      </c>
      <c r="C426" s="1" t="n">
        <v>45988</v>
      </c>
      <c r="D426" t="inlineStr">
        <is>
          <t>DALARNAS LÄN</t>
        </is>
      </c>
      <c r="E426" t="inlineStr">
        <is>
          <t>MORA</t>
        </is>
      </c>
      <c r="G426" t="n">
        <v>3.4</v>
      </c>
      <c r="H426" t="n">
        <v>0</v>
      </c>
      <c r="I426" t="n">
        <v>0</v>
      </c>
      <c r="J426" t="n">
        <v>0</v>
      </c>
      <c r="K426" t="n">
        <v>0</v>
      </c>
      <c r="L426" t="n">
        <v>0</v>
      </c>
      <c r="M426" t="n">
        <v>0</v>
      </c>
      <c r="N426" t="n">
        <v>0</v>
      </c>
      <c r="O426" t="n">
        <v>0</v>
      </c>
      <c r="P426" t="n">
        <v>0</v>
      </c>
      <c r="Q426" t="n">
        <v>0</v>
      </c>
      <c r="R426" s="2" t="inlineStr"/>
    </row>
    <row r="427" ht="15" customHeight="1">
      <c r="A427" t="inlineStr">
        <is>
          <t>A 18806-2025</t>
        </is>
      </c>
      <c r="B427" s="1" t="n">
        <v>45764.35269675926</v>
      </c>
      <c r="C427" s="1" t="n">
        <v>45988</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54628-2024</t>
        </is>
      </c>
      <c r="B428" s="1" t="n">
        <v>45617.83969907407</v>
      </c>
      <c r="C428" s="1" t="n">
        <v>45988</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59448-2022</t>
        </is>
      </c>
      <c r="B429" s="1" t="n">
        <v>44907</v>
      </c>
      <c r="C429" s="1" t="n">
        <v>45988</v>
      </c>
      <c r="D429" t="inlineStr">
        <is>
          <t>DALARNAS LÄN</t>
        </is>
      </c>
      <c r="E429" t="inlineStr">
        <is>
          <t>MORA</t>
        </is>
      </c>
      <c r="G429" t="n">
        <v>35.7</v>
      </c>
      <c r="H429" t="n">
        <v>0</v>
      </c>
      <c r="I429" t="n">
        <v>0</v>
      </c>
      <c r="J429" t="n">
        <v>0</v>
      </c>
      <c r="K429" t="n">
        <v>0</v>
      </c>
      <c r="L429" t="n">
        <v>0</v>
      </c>
      <c r="M429" t="n">
        <v>0</v>
      </c>
      <c r="N429" t="n">
        <v>0</v>
      </c>
      <c r="O429" t="n">
        <v>0</v>
      </c>
      <c r="P429" t="n">
        <v>0</v>
      </c>
      <c r="Q429" t="n">
        <v>0</v>
      </c>
      <c r="R429" s="2" t="inlineStr"/>
    </row>
    <row r="430" ht="15" customHeight="1">
      <c r="A430" t="inlineStr">
        <is>
          <t>A 36846-2025</t>
        </is>
      </c>
      <c r="B430" s="1" t="n">
        <v>45874.38655092593</v>
      </c>
      <c r="C430" s="1" t="n">
        <v>45988</v>
      </c>
      <c r="D430" t="inlineStr">
        <is>
          <t>DALARNAS LÄN</t>
        </is>
      </c>
      <c r="E430" t="inlineStr">
        <is>
          <t>MORA</t>
        </is>
      </c>
      <c r="G430" t="n">
        <v>10.7</v>
      </c>
      <c r="H430" t="n">
        <v>0</v>
      </c>
      <c r="I430" t="n">
        <v>0</v>
      </c>
      <c r="J430" t="n">
        <v>0</v>
      </c>
      <c r="K430" t="n">
        <v>0</v>
      </c>
      <c r="L430" t="n">
        <v>0</v>
      </c>
      <c r="M430" t="n">
        <v>0</v>
      </c>
      <c r="N430" t="n">
        <v>0</v>
      </c>
      <c r="O430" t="n">
        <v>0</v>
      </c>
      <c r="P430" t="n">
        <v>0</v>
      </c>
      <c r="Q430" t="n">
        <v>0</v>
      </c>
      <c r="R430" s="2" t="inlineStr"/>
    </row>
    <row r="431" ht="15" customHeight="1">
      <c r="A431" t="inlineStr">
        <is>
          <t>A 57319-2023</t>
        </is>
      </c>
      <c r="B431" s="1" t="n">
        <v>45245.64877314815</v>
      </c>
      <c r="C431" s="1" t="n">
        <v>45988</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22854-2023</t>
        </is>
      </c>
      <c r="B432" s="1" t="n">
        <v>45072</v>
      </c>
      <c r="C432" s="1" t="n">
        <v>45988</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47414-2025</t>
        </is>
      </c>
      <c r="B433" s="1" t="n">
        <v>45930.61896990741</v>
      </c>
      <c r="C433" s="1" t="n">
        <v>45988</v>
      </c>
      <c r="D433" t="inlineStr">
        <is>
          <t>DALARNAS LÄN</t>
        </is>
      </c>
      <c r="E433" t="inlineStr">
        <is>
          <t>MORA</t>
        </is>
      </c>
      <c r="G433" t="n">
        <v>6.1</v>
      </c>
      <c r="H433" t="n">
        <v>0</v>
      </c>
      <c r="I433" t="n">
        <v>0</v>
      </c>
      <c r="J433" t="n">
        <v>0</v>
      </c>
      <c r="K433" t="n">
        <v>0</v>
      </c>
      <c r="L433" t="n">
        <v>0</v>
      </c>
      <c r="M433" t="n">
        <v>0</v>
      </c>
      <c r="N433" t="n">
        <v>0</v>
      </c>
      <c r="O433" t="n">
        <v>0</v>
      </c>
      <c r="P433" t="n">
        <v>0</v>
      </c>
      <c r="Q433" t="n">
        <v>0</v>
      </c>
      <c r="R433" s="2" t="inlineStr"/>
    </row>
    <row r="434" ht="15" customHeight="1">
      <c r="A434" t="inlineStr">
        <is>
          <t>A 43498-2023</t>
        </is>
      </c>
      <c r="B434" s="1" t="n">
        <v>45184</v>
      </c>
      <c r="C434" s="1" t="n">
        <v>45988</v>
      </c>
      <c r="D434" t="inlineStr">
        <is>
          <t>DALARNAS LÄN</t>
        </is>
      </c>
      <c r="E434" t="inlineStr">
        <is>
          <t>MORA</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32261-2022</t>
        </is>
      </c>
      <c r="B435" s="1" t="n">
        <v>44781.5350925926</v>
      </c>
      <c r="C435" s="1" t="n">
        <v>45988</v>
      </c>
      <c r="D435" t="inlineStr">
        <is>
          <t>DALARNAS LÄN</t>
        </is>
      </c>
      <c r="E435" t="inlineStr">
        <is>
          <t>MORA</t>
        </is>
      </c>
      <c r="G435" t="n">
        <v>2.7</v>
      </c>
      <c r="H435" t="n">
        <v>0</v>
      </c>
      <c r="I435" t="n">
        <v>0</v>
      </c>
      <c r="J435" t="n">
        <v>0</v>
      </c>
      <c r="K435" t="n">
        <v>0</v>
      </c>
      <c r="L435" t="n">
        <v>0</v>
      </c>
      <c r="M435" t="n">
        <v>0</v>
      </c>
      <c r="N435" t="n">
        <v>0</v>
      </c>
      <c r="O435" t="n">
        <v>0</v>
      </c>
      <c r="P435" t="n">
        <v>0</v>
      </c>
      <c r="Q435" t="n">
        <v>0</v>
      </c>
      <c r="R435" s="2" t="inlineStr"/>
    </row>
    <row r="436" ht="15" customHeight="1">
      <c r="A436" t="inlineStr">
        <is>
          <t>A 47765-2025</t>
        </is>
      </c>
      <c r="B436" s="1" t="n">
        <v>45931.69100694444</v>
      </c>
      <c r="C436" s="1" t="n">
        <v>45988</v>
      </c>
      <c r="D436" t="inlineStr">
        <is>
          <t>DALARNAS LÄN</t>
        </is>
      </c>
      <c r="E436" t="inlineStr">
        <is>
          <t>MORA</t>
        </is>
      </c>
      <c r="G436" t="n">
        <v>1.7</v>
      </c>
      <c r="H436" t="n">
        <v>0</v>
      </c>
      <c r="I436" t="n">
        <v>0</v>
      </c>
      <c r="J436" t="n">
        <v>0</v>
      </c>
      <c r="K436" t="n">
        <v>0</v>
      </c>
      <c r="L436" t="n">
        <v>0</v>
      </c>
      <c r="M436" t="n">
        <v>0</v>
      </c>
      <c r="N436" t="n">
        <v>0</v>
      </c>
      <c r="O436" t="n">
        <v>0</v>
      </c>
      <c r="P436" t="n">
        <v>0</v>
      </c>
      <c r="Q436" t="n">
        <v>0</v>
      </c>
      <c r="R436" s="2" t="inlineStr"/>
    </row>
    <row r="437" ht="15" customHeight="1">
      <c r="A437" t="inlineStr">
        <is>
          <t>A 37070-2025</t>
        </is>
      </c>
      <c r="B437" s="1" t="n">
        <v>45875.39822916667</v>
      </c>
      <c r="C437" s="1" t="n">
        <v>45988</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47769-2025</t>
        </is>
      </c>
      <c r="B438" s="1" t="n">
        <v>45931.70715277778</v>
      </c>
      <c r="C438" s="1" t="n">
        <v>45988</v>
      </c>
      <c r="D438" t="inlineStr">
        <is>
          <t>DALARNAS LÄN</t>
        </is>
      </c>
      <c r="E438" t="inlineStr">
        <is>
          <t>MORA</t>
        </is>
      </c>
      <c r="G438" t="n">
        <v>6.7</v>
      </c>
      <c r="H438" t="n">
        <v>0</v>
      </c>
      <c r="I438" t="n">
        <v>0</v>
      </c>
      <c r="J438" t="n">
        <v>0</v>
      </c>
      <c r="K438" t="n">
        <v>0</v>
      </c>
      <c r="L438" t="n">
        <v>0</v>
      </c>
      <c r="M438" t="n">
        <v>0</v>
      </c>
      <c r="N438" t="n">
        <v>0</v>
      </c>
      <c r="O438" t="n">
        <v>0</v>
      </c>
      <c r="P438" t="n">
        <v>0</v>
      </c>
      <c r="Q438" t="n">
        <v>0</v>
      </c>
      <c r="R438" s="2" t="inlineStr"/>
    </row>
    <row r="439" ht="15" customHeight="1">
      <c r="A439" t="inlineStr">
        <is>
          <t>A 35381-2024</t>
        </is>
      </c>
      <c r="B439" s="1" t="n">
        <v>45531.38372685185</v>
      </c>
      <c r="C439" s="1" t="n">
        <v>45988</v>
      </c>
      <c r="D439" t="inlineStr">
        <is>
          <t>DALARNAS LÄN</t>
        </is>
      </c>
      <c r="E439" t="inlineStr">
        <is>
          <t>MORA</t>
        </is>
      </c>
      <c r="G439" t="n">
        <v>3.7</v>
      </c>
      <c r="H439" t="n">
        <v>0</v>
      </c>
      <c r="I439" t="n">
        <v>0</v>
      </c>
      <c r="J439" t="n">
        <v>0</v>
      </c>
      <c r="K439" t="n">
        <v>0</v>
      </c>
      <c r="L439" t="n">
        <v>0</v>
      </c>
      <c r="M439" t="n">
        <v>0</v>
      </c>
      <c r="N439" t="n">
        <v>0</v>
      </c>
      <c r="O439" t="n">
        <v>0</v>
      </c>
      <c r="P439" t="n">
        <v>0</v>
      </c>
      <c r="Q439" t="n">
        <v>0</v>
      </c>
      <c r="R439" s="2" t="inlineStr"/>
    </row>
    <row r="440" ht="15" customHeight="1">
      <c r="A440" t="inlineStr">
        <is>
          <t>A 37268-2025</t>
        </is>
      </c>
      <c r="B440" s="1" t="n">
        <v>45876.46681712963</v>
      </c>
      <c r="C440" s="1" t="n">
        <v>45988</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13479-2024</t>
        </is>
      </c>
      <c r="B441" s="1" t="n">
        <v>45387.5900925926</v>
      </c>
      <c r="C441" s="1" t="n">
        <v>45988</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48376-2025</t>
        </is>
      </c>
      <c r="B442" s="1" t="n">
        <v>45933.71648148148</v>
      </c>
      <c r="C442" s="1" t="n">
        <v>45988</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47860-2025</t>
        </is>
      </c>
      <c r="B443" s="1" t="n">
        <v>45932.42298611111</v>
      </c>
      <c r="C443" s="1" t="n">
        <v>45988</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20299-2023</t>
        </is>
      </c>
      <c r="B444" s="1" t="n">
        <v>45056</v>
      </c>
      <c r="C444" s="1" t="n">
        <v>45988</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37879-2025</t>
        </is>
      </c>
      <c r="B445" s="1" t="n">
        <v>45881.48791666667</v>
      </c>
      <c r="C445" s="1" t="n">
        <v>45988</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45988</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53527-2024</t>
        </is>
      </c>
      <c r="B447" s="1" t="n">
        <v>45614.61569444444</v>
      </c>
      <c r="C447" s="1" t="n">
        <v>45988</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28487-2024</t>
        </is>
      </c>
      <c r="B448" s="1" t="n">
        <v>45477.75744212963</v>
      </c>
      <c r="C448" s="1" t="n">
        <v>45988</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23586-2023</t>
        </is>
      </c>
      <c r="B449" s="1" t="n">
        <v>45077</v>
      </c>
      <c r="C449" s="1" t="n">
        <v>45988</v>
      </c>
      <c r="D449" t="inlineStr">
        <is>
          <t>DALARNAS LÄN</t>
        </is>
      </c>
      <c r="E449" t="inlineStr">
        <is>
          <t>MORA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48377-2025</t>
        </is>
      </c>
      <c r="B450" s="1" t="n">
        <v>45933.71896990741</v>
      </c>
      <c r="C450" s="1" t="n">
        <v>45988</v>
      </c>
      <c r="D450" t="inlineStr">
        <is>
          <t>DALARNAS LÄN</t>
        </is>
      </c>
      <c r="E450" t="inlineStr">
        <is>
          <t>MORA</t>
        </is>
      </c>
      <c r="G450" t="n">
        <v>2</v>
      </c>
      <c r="H450" t="n">
        <v>0</v>
      </c>
      <c r="I450" t="n">
        <v>0</v>
      </c>
      <c r="J450" t="n">
        <v>0</v>
      </c>
      <c r="K450" t="n">
        <v>0</v>
      </c>
      <c r="L450" t="n">
        <v>0</v>
      </c>
      <c r="M450" t="n">
        <v>0</v>
      </c>
      <c r="N450" t="n">
        <v>0</v>
      </c>
      <c r="O450" t="n">
        <v>0</v>
      </c>
      <c r="P450" t="n">
        <v>0</v>
      </c>
      <c r="Q450" t="n">
        <v>0</v>
      </c>
      <c r="R450" s="2" t="inlineStr"/>
    </row>
    <row r="451" ht="15" customHeight="1">
      <c r="A451" t="inlineStr">
        <is>
          <t>A 38073-2025</t>
        </is>
      </c>
      <c r="B451" s="1" t="n">
        <v>45882</v>
      </c>
      <c r="C451" s="1" t="n">
        <v>45988</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16967-2025</t>
        </is>
      </c>
      <c r="B452" s="1" t="n">
        <v>45755.46106481482</v>
      </c>
      <c r="C452" s="1" t="n">
        <v>45988</v>
      </c>
      <c r="D452" t="inlineStr">
        <is>
          <t>DALARNAS LÄN</t>
        </is>
      </c>
      <c r="E452" t="inlineStr">
        <is>
          <t>MORA</t>
        </is>
      </c>
      <c r="F452" t="inlineStr">
        <is>
          <t>Bergvik skog öst AB</t>
        </is>
      </c>
      <c r="G452" t="n">
        <v>2.9</v>
      </c>
      <c r="H452" t="n">
        <v>0</v>
      </c>
      <c r="I452" t="n">
        <v>0</v>
      </c>
      <c r="J452" t="n">
        <v>0</v>
      </c>
      <c r="K452" t="n">
        <v>0</v>
      </c>
      <c r="L452" t="n">
        <v>0</v>
      </c>
      <c r="M452" t="n">
        <v>0</v>
      </c>
      <c r="N452" t="n">
        <v>0</v>
      </c>
      <c r="O452" t="n">
        <v>0</v>
      </c>
      <c r="P452" t="n">
        <v>0</v>
      </c>
      <c r="Q452" t="n">
        <v>0</v>
      </c>
      <c r="R452" s="2" t="inlineStr"/>
    </row>
    <row r="453" ht="15" customHeight="1">
      <c r="A453" t="inlineStr">
        <is>
          <t>A 56702-2025</t>
        </is>
      </c>
      <c r="B453" s="1" t="n">
        <v>45977.45586805556</v>
      </c>
      <c r="C453" s="1" t="n">
        <v>45988</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58972-2023</t>
        </is>
      </c>
      <c r="B454" s="1" t="n">
        <v>45252</v>
      </c>
      <c r="C454" s="1" t="n">
        <v>45988</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61278-2024</t>
        </is>
      </c>
      <c r="B455" s="1" t="n">
        <v>45645.76561342592</v>
      </c>
      <c r="C455" s="1" t="n">
        <v>45988</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57101-2025</t>
        </is>
      </c>
      <c r="B456" s="1" t="n">
        <v>45979.44006944444</v>
      </c>
      <c r="C456" s="1" t="n">
        <v>45988</v>
      </c>
      <c r="D456" t="inlineStr">
        <is>
          <t>DALARNAS LÄN</t>
        </is>
      </c>
      <c r="E456" t="inlineStr">
        <is>
          <t>MORA</t>
        </is>
      </c>
      <c r="G456" t="n">
        <v>7.5</v>
      </c>
      <c r="H456" t="n">
        <v>0</v>
      </c>
      <c r="I456" t="n">
        <v>0</v>
      </c>
      <c r="J456" t="n">
        <v>0</v>
      </c>
      <c r="K456" t="n">
        <v>0</v>
      </c>
      <c r="L456" t="n">
        <v>0</v>
      </c>
      <c r="M456" t="n">
        <v>0</v>
      </c>
      <c r="N456" t="n">
        <v>0</v>
      </c>
      <c r="O456" t="n">
        <v>0</v>
      </c>
      <c r="P456" t="n">
        <v>0</v>
      </c>
      <c r="Q456" t="n">
        <v>0</v>
      </c>
      <c r="R456" s="2" t="inlineStr"/>
    </row>
    <row r="457" ht="15" customHeight="1">
      <c r="A457" t="inlineStr">
        <is>
          <t>A 56940-2025</t>
        </is>
      </c>
      <c r="B457" s="1" t="n">
        <v>45978.62241898148</v>
      </c>
      <c r="C457" s="1" t="n">
        <v>45988</v>
      </c>
      <c r="D457" t="inlineStr">
        <is>
          <t>DALARNAS LÄN</t>
        </is>
      </c>
      <c r="E457" t="inlineStr">
        <is>
          <t>MORA</t>
        </is>
      </c>
      <c r="G457" t="n">
        <v>18.1</v>
      </c>
      <c r="H457" t="n">
        <v>0</v>
      </c>
      <c r="I457" t="n">
        <v>0</v>
      </c>
      <c r="J457" t="n">
        <v>0</v>
      </c>
      <c r="K457" t="n">
        <v>0</v>
      </c>
      <c r="L457" t="n">
        <v>0</v>
      </c>
      <c r="M457" t="n">
        <v>0</v>
      </c>
      <c r="N457" t="n">
        <v>0</v>
      </c>
      <c r="O457" t="n">
        <v>0</v>
      </c>
      <c r="P457" t="n">
        <v>0</v>
      </c>
      <c r="Q457" t="n">
        <v>0</v>
      </c>
      <c r="R457" s="2" t="inlineStr"/>
    </row>
    <row r="458" ht="15" customHeight="1">
      <c r="A458" t="inlineStr">
        <is>
          <t>A 57097-2025</t>
        </is>
      </c>
      <c r="B458" s="1" t="n">
        <v>45979.43388888889</v>
      </c>
      <c r="C458" s="1" t="n">
        <v>45988</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46188-2022</t>
        </is>
      </c>
      <c r="B459" s="1" t="n">
        <v>44847.518125</v>
      </c>
      <c r="C459" s="1" t="n">
        <v>45988</v>
      </c>
      <c r="D459" t="inlineStr">
        <is>
          <t>DALARNAS LÄN</t>
        </is>
      </c>
      <c r="E459" t="inlineStr">
        <is>
          <t>MORA</t>
        </is>
      </c>
      <c r="G459" t="n">
        <v>1.8</v>
      </c>
      <c r="H459" t="n">
        <v>0</v>
      </c>
      <c r="I459" t="n">
        <v>0</v>
      </c>
      <c r="J459" t="n">
        <v>0</v>
      </c>
      <c r="K459" t="n">
        <v>0</v>
      </c>
      <c r="L459" t="n">
        <v>0</v>
      </c>
      <c r="M459" t="n">
        <v>0</v>
      </c>
      <c r="N459" t="n">
        <v>0</v>
      </c>
      <c r="O459" t="n">
        <v>0</v>
      </c>
      <c r="P459" t="n">
        <v>0</v>
      </c>
      <c r="Q459" t="n">
        <v>0</v>
      </c>
      <c r="R459" s="2" t="inlineStr"/>
    </row>
    <row r="460" ht="15" customHeight="1">
      <c r="A460" t="inlineStr">
        <is>
          <t>A 47716-2025</t>
        </is>
      </c>
      <c r="B460" s="1" t="n">
        <v>45931</v>
      </c>
      <c r="C460" s="1" t="n">
        <v>45988</v>
      </c>
      <c r="D460" t="inlineStr">
        <is>
          <t>DALARNAS LÄN</t>
        </is>
      </c>
      <c r="E460" t="inlineStr">
        <is>
          <t>MORA</t>
        </is>
      </c>
      <c r="G460" t="n">
        <v>8.9</v>
      </c>
      <c r="H460" t="n">
        <v>0</v>
      </c>
      <c r="I460" t="n">
        <v>0</v>
      </c>
      <c r="J460" t="n">
        <v>0</v>
      </c>
      <c r="K460" t="n">
        <v>0</v>
      </c>
      <c r="L460" t="n">
        <v>0</v>
      </c>
      <c r="M460" t="n">
        <v>0</v>
      </c>
      <c r="N460" t="n">
        <v>0</v>
      </c>
      <c r="O460" t="n">
        <v>0</v>
      </c>
      <c r="P460" t="n">
        <v>0</v>
      </c>
      <c r="Q460" t="n">
        <v>0</v>
      </c>
      <c r="R460" s="2" t="inlineStr"/>
    </row>
    <row r="461" ht="15" customHeight="1">
      <c r="A461" t="inlineStr">
        <is>
          <t>A 42035-2022</t>
        </is>
      </c>
      <c r="B461" s="1" t="n">
        <v>44830</v>
      </c>
      <c r="C461" s="1" t="n">
        <v>45988</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48927-2025</t>
        </is>
      </c>
      <c r="B462" s="1" t="n">
        <v>45931</v>
      </c>
      <c r="C462" s="1" t="n">
        <v>45988</v>
      </c>
      <c r="D462" t="inlineStr">
        <is>
          <t>DALARNAS LÄN</t>
        </is>
      </c>
      <c r="E462" t="inlineStr">
        <is>
          <t>MORA</t>
        </is>
      </c>
      <c r="G462" t="n">
        <v>2.1</v>
      </c>
      <c r="H462" t="n">
        <v>0</v>
      </c>
      <c r="I462" t="n">
        <v>0</v>
      </c>
      <c r="J462" t="n">
        <v>0</v>
      </c>
      <c r="K462" t="n">
        <v>0</v>
      </c>
      <c r="L462" t="n">
        <v>0</v>
      </c>
      <c r="M462" t="n">
        <v>0</v>
      </c>
      <c r="N462" t="n">
        <v>0</v>
      </c>
      <c r="O462" t="n">
        <v>0</v>
      </c>
      <c r="P462" t="n">
        <v>0</v>
      </c>
      <c r="Q462" t="n">
        <v>0</v>
      </c>
      <c r="R462" s="2" t="inlineStr"/>
    </row>
    <row r="463" ht="15" customHeight="1">
      <c r="A463" t="inlineStr">
        <is>
          <t>A 48926-2025</t>
        </is>
      </c>
      <c r="B463" s="1" t="n">
        <v>45937.50666666667</v>
      </c>
      <c r="C463" s="1" t="n">
        <v>45988</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48929-2025</t>
        </is>
      </c>
      <c r="B464" s="1" t="n">
        <v>45937.51315972222</v>
      </c>
      <c r="C464" s="1" t="n">
        <v>45988</v>
      </c>
      <c r="D464" t="inlineStr">
        <is>
          <t>DALARNAS LÄN</t>
        </is>
      </c>
      <c r="E464" t="inlineStr">
        <is>
          <t>MORA</t>
        </is>
      </c>
      <c r="G464" t="n">
        <v>0.5</v>
      </c>
      <c r="H464" t="n">
        <v>0</v>
      </c>
      <c r="I464" t="n">
        <v>0</v>
      </c>
      <c r="J464" t="n">
        <v>0</v>
      </c>
      <c r="K464" t="n">
        <v>0</v>
      </c>
      <c r="L464" t="n">
        <v>0</v>
      </c>
      <c r="M464" t="n">
        <v>0</v>
      </c>
      <c r="N464" t="n">
        <v>0</v>
      </c>
      <c r="O464" t="n">
        <v>0</v>
      </c>
      <c r="P464" t="n">
        <v>0</v>
      </c>
      <c r="Q464" t="n">
        <v>0</v>
      </c>
      <c r="R464" s="2" t="inlineStr"/>
    </row>
    <row r="465" ht="15" customHeight="1">
      <c r="A465" t="inlineStr">
        <is>
          <t>A 15817-2024</t>
        </is>
      </c>
      <c r="B465" s="1" t="n">
        <v>45404.67387731482</v>
      </c>
      <c r="C465" s="1" t="n">
        <v>45988</v>
      </c>
      <c r="D465" t="inlineStr">
        <is>
          <t>DALARNAS LÄN</t>
        </is>
      </c>
      <c r="E465" t="inlineStr">
        <is>
          <t>MORA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49404-2025</t>
        </is>
      </c>
      <c r="B466" s="1" t="n">
        <v>45938.67662037037</v>
      </c>
      <c r="C466" s="1" t="n">
        <v>45988</v>
      </c>
      <c r="D466" t="inlineStr">
        <is>
          <t>DALARNAS LÄN</t>
        </is>
      </c>
      <c r="E466" t="inlineStr">
        <is>
          <t>MORA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57855-2025</t>
        </is>
      </c>
      <c r="B467" s="1" t="n">
        <v>45981.63909722222</v>
      </c>
      <c r="C467" s="1" t="n">
        <v>45988</v>
      </c>
      <c r="D467" t="inlineStr">
        <is>
          <t>DALARNAS LÄN</t>
        </is>
      </c>
      <c r="E467" t="inlineStr">
        <is>
          <t>MORA</t>
        </is>
      </c>
      <c r="G467" t="n">
        <v>9.9</v>
      </c>
      <c r="H467" t="n">
        <v>0</v>
      </c>
      <c r="I467" t="n">
        <v>0</v>
      </c>
      <c r="J467" t="n">
        <v>0</v>
      </c>
      <c r="K467" t="n">
        <v>0</v>
      </c>
      <c r="L467" t="n">
        <v>0</v>
      </c>
      <c r="M467" t="n">
        <v>0</v>
      </c>
      <c r="N467" t="n">
        <v>0</v>
      </c>
      <c r="O467" t="n">
        <v>0</v>
      </c>
      <c r="P467" t="n">
        <v>0</v>
      </c>
      <c r="Q467" t="n">
        <v>0</v>
      </c>
      <c r="R467" s="2" t="inlineStr"/>
    </row>
    <row r="468" ht="15" customHeight="1">
      <c r="A468" t="inlineStr">
        <is>
          <t>A 58116-2022</t>
        </is>
      </c>
      <c r="B468" s="1" t="n">
        <v>44900.65716435185</v>
      </c>
      <c r="C468" s="1" t="n">
        <v>45988</v>
      </c>
      <c r="D468" t="inlineStr">
        <is>
          <t>DALARNAS LÄN</t>
        </is>
      </c>
      <c r="E468" t="inlineStr">
        <is>
          <t>MORA</t>
        </is>
      </c>
      <c r="G468" t="n">
        <v>2.9</v>
      </c>
      <c r="H468" t="n">
        <v>0</v>
      </c>
      <c r="I468" t="n">
        <v>0</v>
      </c>
      <c r="J468" t="n">
        <v>0</v>
      </c>
      <c r="K468" t="n">
        <v>0</v>
      </c>
      <c r="L468" t="n">
        <v>0</v>
      </c>
      <c r="M468" t="n">
        <v>0</v>
      </c>
      <c r="N468" t="n">
        <v>0</v>
      </c>
      <c r="O468" t="n">
        <v>0</v>
      </c>
      <c r="P468" t="n">
        <v>0</v>
      </c>
      <c r="Q468" t="n">
        <v>0</v>
      </c>
      <c r="R468" s="2" t="inlineStr"/>
    </row>
    <row r="469" ht="15" customHeight="1">
      <c r="A469" t="inlineStr">
        <is>
          <t>A 18992-2024</t>
        </is>
      </c>
      <c r="B469" s="1" t="n">
        <v>45427.61516203704</v>
      </c>
      <c r="C469" s="1" t="n">
        <v>45988</v>
      </c>
      <c r="D469" t="inlineStr">
        <is>
          <t>DALARNAS LÄN</t>
        </is>
      </c>
      <c r="E469" t="inlineStr">
        <is>
          <t>MORA</t>
        </is>
      </c>
      <c r="G469" t="n">
        <v>9.9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45988</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49401-2025</t>
        </is>
      </c>
      <c r="B471" s="1" t="n">
        <v>45938.66932870371</v>
      </c>
      <c r="C471" s="1" t="n">
        <v>45988</v>
      </c>
      <c r="D471" t="inlineStr">
        <is>
          <t>DALARNAS LÄN</t>
        </is>
      </c>
      <c r="E471" t="inlineStr">
        <is>
          <t>MORA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57843-2025</t>
        </is>
      </c>
      <c r="B472" s="1" t="n">
        <v>45981.62792824074</v>
      </c>
      <c r="C472" s="1" t="n">
        <v>45988</v>
      </c>
      <c r="D472" t="inlineStr">
        <is>
          <t>DALARNAS LÄN</t>
        </is>
      </c>
      <c r="E472" t="inlineStr">
        <is>
          <t>MORA</t>
        </is>
      </c>
      <c r="G472" t="n">
        <v>4.5</v>
      </c>
      <c r="H472" t="n">
        <v>0</v>
      </c>
      <c r="I472" t="n">
        <v>0</v>
      </c>
      <c r="J472" t="n">
        <v>0</v>
      </c>
      <c r="K472" t="n">
        <v>0</v>
      </c>
      <c r="L472" t="n">
        <v>0</v>
      </c>
      <c r="M472" t="n">
        <v>0</v>
      </c>
      <c r="N472" t="n">
        <v>0</v>
      </c>
      <c r="O472" t="n">
        <v>0</v>
      </c>
      <c r="P472" t="n">
        <v>0</v>
      </c>
      <c r="Q472" t="n">
        <v>0</v>
      </c>
      <c r="R472" s="2" t="inlineStr"/>
    </row>
    <row r="473" ht="15" customHeight="1">
      <c r="A473" t="inlineStr">
        <is>
          <t>A 57453-2025</t>
        </is>
      </c>
      <c r="B473" s="1" t="n">
        <v>45980.5122337963</v>
      </c>
      <c r="C473" s="1" t="n">
        <v>45988</v>
      </c>
      <c r="D473" t="inlineStr">
        <is>
          <t>DALARNAS LÄN</t>
        </is>
      </c>
      <c r="E473" t="inlineStr">
        <is>
          <t>MORA</t>
        </is>
      </c>
      <c r="F473" t="inlineStr">
        <is>
          <t>Allmännings- och besparingsskogar</t>
        </is>
      </c>
      <c r="G473" t="n">
        <v>2.9</v>
      </c>
      <c r="H473" t="n">
        <v>0</v>
      </c>
      <c r="I473" t="n">
        <v>0</v>
      </c>
      <c r="J473" t="n">
        <v>0</v>
      </c>
      <c r="K473" t="n">
        <v>0</v>
      </c>
      <c r="L473" t="n">
        <v>0</v>
      </c>
      <c r="M473" t="n">
        <v>0</v>
      </c>
      <c r="N473" t="n">
        <v>0</v>
      </c>
      <c r="O473" t="n">
        <v>0</v>
      </c>
      <c r="P473" t="n">
        <v>0</v>
      </c>
      <c r="Q473" t="n">
        <v>0</v>
      </c>
      <c r="R473" s="2" t="inlineStr"/>
    </row>
    <row r="474" ht="15" customHeight="1">
      <c r="A474" t="inlineStr">
        <is>
          <t>A 49574-2025</t>
        </is>
      </c>
      <c r="B474" s="1" t="n">
        <v>45939.49045138889</v>
      </c>
      <c r="C474" s="1" t="n">
        <v>45988</v>
      </c>
      <c r="D474" t="inlineStr">
        <is>
          <t>DALARNAS LÄN</t>
        </is>
      </c>
      <c r="E474" t="inlineStr">
        <is>
          <t>MORA</t>
        </is>
      </c>
      <c r="G474" t="n">
        <v>6.3</v>
      </c>
      <c r="H474" t="n">
        <v>0</v>
      </c>
      <c r="I474" t="n">
        <v>0</v>
      </c>
      <c r="J474" t="n">
        <v>0</v>
      </c>
      <c r="K474" t="n">
        <v>0</v>
      </c>
      <c r="L474" t="n">
        <v>0</v>
      </c>
      <c r="M474" t="n">
        <v>0</v>
      </c>
      <c r="N474" t="n">
        <v>0</v>
      </c>
      <c r="O474" t="n">
        <v>0</v>
      </c>
      <c r="P474" t="n">
        <v>0</v>
      </c>
      <c r="Q474" t="n">
        <v>0</v>
      </c>
      <c r="R474" s="2" t="inlineStr"/>
    </row>
    <row r="475" ht="15" customHeight="1">
      <c r="A475" t="inlineStr">
        <is>
          <t>A 56460-2022</t>
        </is>
      </c>
      <c r="B475" s="1" t="n">
        <v>44893</v>
      </c>
      <c r="C475" s="1" t="n">
        <v>45988</v>
      </c>
      <c r="D475" t="inlineStr">
        <is>
          <t>DALARNAS LÄN</t>
        </is>
      </c>
      <c r="E475" t="inlineStr">
        <is>
          <t>MORA</t>
        </is>
      </c>
      <c r="G475" t="n">
        <v>2.2</v>
      </c>
      <c r="H475" t="n">
        <v>0</v>
      </c>
      <c r="I475" t="n">
        <v>0</v>
      </c>
      <c r="J475" t="n">
        <v>0</v>
      </c>
      <c r="K475" t="n">
        <v>0</v>
      </c>
      <c r="L475" t="n">
        <v>0</v>
      </c>
      <c r="M475" t="n">
        <v>0</v>
      </c>
      <c r="N475" t="n">
        <v>0</v>
      </c>
      <c r="O475" t="n">
        <v>0</v>
      </c>
      <c r="P475" t="n">
        <v>0</v>
      </c>
      <c r="Q475" t="n">
        <v>0</v>
      </c>
      <c r="R475" s="2" t="inlineStr"/>
    </row>
    <row r="476" ht="15" customHeight="1">
      <c r="A476" t="inlineStr">
        <is>
          <t>A 57647-2025</t>
        </is>
      </c>
      <c r="B476" s="1" t="n">
        <v>45981.37621527778</v>
      </c>
      <c r="C476" s="1" t="n">
        <v>45988</v>
      </c>
      <c r="D476" t="inlineStr">
        <is>
          <t>DALARNAS LÄN</t>
        </is>
      </c>
      <c r="E476" t="inlineStr">
        <is>
          <t>MORA</t>
        </is>
      </c>
      <c r="G476" t="n">
        <v>3.9</v>
      </c>
      <c r="H476" t="n">
        <v>0</v>
      </c>
      <c r="I476" t="n">
        <v>0</v>
      </c>
      <c r="J476" t="n">
        <v>0</v>
      </c>
      <c r="K476" t="n">
        <v>0</v>
      </c>
      <c r="L476" t="n">
        <v>0</v>
      </c>
      <c r="M476" t="n">
        <v>0</v>
      </c>
      <c r="N476" t="n">
        <v>0</v>
      </c>
      <c r="O476" t="n">
        <v>0</v>
      </c>
      <c r="P476" t="n">
        <v>0</v>
      </c>
      <c r="Q476" t="n">
        <v>0</v>
      </c>
      <c r="R476" s="2" t="inlineStr"/>
    </row>
    <row r="477" ht="15" customHeight="1">
      <c r="A477" t="inlineStr">
        <is>
          <t>A 57659-2025</t>
        </is>
      </c>
      <c r="B477" s="1" t="n">
        <v>45981.41228009259</v>
      </c>
      <c r="C477" s="1" t="n">
        <v>45988</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437-2024</t>
        </is>
      </c>
      <c r="B478" s="1" t="n">
        <v>45296</v>
      </c>
      <c r="C478" s="1" t="n">
        <v>45988</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58003-2025</t>
        </is>
      </c>
      <c r="B479" s="1" t="n">
        <v>45982.44465277778</v>
      </c>
      <c r="C479" s="1" t="n">
        <v>45988</v>
      </c>
      <c r="D479" t="inlineStr">
        <is>
          <t>DALARNAS LÄN</t>
        </is>
      </c>
      <c r="E479" t="inlineStr">
        <is>
          <t>MORA</t>
        </is>
      </c>
      <c r="F479" t="inlineStr">
        <is>
          <t>Allmännings- och besparingsskogar</t>
        </is>
      </c>
      <c r="G479" t="n">
        <v>12.3</v>
      </c>
      <c r="H479" t="n">
        <v>0</v>
      </c>
      <c r="I479" t="n">
        <v>0</v>
      </c>
      <c r="J479" t="n">
        <v>0</v>
      </c>
      <c r="K479" t="n">
        <v>0</v>
      </c>
      <c r="L479" t="n">
        <v>0</v>
      </c>
      <c r="M479" t="n">
        <v>0</v>
      </c>
      <c r="N479" t="n">
        <v>0</v>
      </c>
      <c r="O479" t="n">
        <v>0</v>
      </c>
      <c r="P479" t="n">
        <v>0</v>
      </c>
      <c r="Q479" t="n">
        <v>0</v>
      </c>
      <c r="R479" s="2" t="inlineStr"/>
    </row>
    <row r="480" ht="15" customHeight="1">
      <c r="A480" t="inlineStr">
        <is>
          <t>A 31395-2024</t>
        </is>
      </c>
      <c r="B480" s="1" t="n">
        <v>45505.47716435185</v>
      </c>
      <c r="C480" s="1" t="n">
        <v>45988</v>
      </c>
      <c r="D480" t="inlineStr">
        <is>
          <t>DALARNAS LÄN</t>
        </is>
      </c>
      <c r="E480" t="inlineStr">
        <is>
          <t>MORA</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49828-2025</t>
        </is>
      </c>
      <c r="B481" s="1" t="n">
        <v>45940.44993055556</v>
      </c>
      <c r="C481" s="1" t="n">
        <v>45988</v>
      </c>
      <c r="D481" t="inlineStr">
        <is>
          <t>DALARNAS LÄN</t>
        </is>
      </c>
      <c r="E481" t="inlineStr">
        <is>
          <t>MORA</t>
        </is>
      </c>
      <c r="G481" t="n">
        <v>2.1</v>
      </c>
      <c r="H481" t="n">
        <v>0</v>
      </c>
      <c r="I481" t="n">
        <v>0</v>
      </c>
      <c r="J481" t="n">
        <v>0</v>
      </c>
      <c r="K481" t="n">
        <v>0</v>
      </c>
      <c r="L481" t="n">
        <v>0</v>
      </c>
      <c r="M481" t="n">
        <v>0</v>
      </c>
      <c r="N481" t="n">
        <v>0</v>
      </c>
      <c r="O481" t="n">
        <v>0</v>
      </c>
      <c r="P481" t="n">
        <v>0</v>
      </c>
      <c r="Q481" t="n">
        <v>0</v>
      </c>
      <c r="R481" s="2" t="inlineStr"/>
    </row>
    <row r="482" ht="15" customHeight="1">
      <c r="A482" t="inlineStr">
        <is>
          <t>A 58473-2025</t>
        </is>
      </c>
      <c r="B482" s="1" t="n">
        <v>45985.63859953704</v>
      </c>
      <c r="C482" s="1" t="n">
        <v>45988</v>
      </c>
      <c r="D482" t="inlineStr">
        <is>
          <t>DALARNAS LÄN</t>
        </is>
      </c>
      <c r="E482" t="inlineStr">
        <is>
          <t>MORA</t>
        </is>
      </c>
      <c r="G482" t="n">
        <v>2.3</v>
      </c>
      <c r="H482" t="n">
        <v>0</v>
      </c>
      <c r="I482" t="n">
        <v>0</v>
      </c>
      <c r="J482" t="n">
        <v>0</v>
      </c>
      <c r="K482" t="n">
        <v>0</v>
      </c>
      <c r="L482" t="n">
        <v>0</v>
      </c>
      <c r="M482" t="n">
        <v>0</v>
      </c>
      <c r="N482" t="n">
        <v>0</v>
      </c>
      <c r="O482" t="n">
        <v>0</v>
      </c>
      <c r="P482" t="n">
        <v>0</v>
      </c>
      <c r="Q482" t="n">
        <v>0</v>
      </c>
      <c r="R482" s="2" t="inlineStr"/>
    </row>
    <row r="483" ht="15" customHeight="1">
      <c r="A483" t="inlineStr">
        <is>
          <t>A 60847-2021</t>
        </is>
      </c>
      <c r="B483" s="1" t="n">
        <v>44497</v>
      </c>
      <c r="C483" s="1" t="n">
        <v>45988</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15435-2024</t>
        </is>
      </c>
      <c r="B484" s="1" t="n">
        <v>45401.40806712963</v>
      </c>
      <c r="C484" s="1" t="n">
        <v>45988</v>
      </c>
      <c r="D484" t="inlineStr">
        <is>
          <t>DALARNAS LÄN</t>
        </is>
      </c>
      <c r="E484" t="inlineStr">
        <is>
          <t>MORA</t>
        </is>
      </c>
      <c r="G484" t="n">
        <v>2.1</v>
      </c>
      <c r="H484" t="n">
        <v>0</v>
      </c>
      <c r="I484" t="n">
        <v>0</v>
      </c>
      <c r="J484" t="n">
        <v>0</v>
      </c>
      <c r="K484" t="n">
        <v>0</v>
      </c>
      <c r="L484" t="n">
        <v>0</v>
      </c>
      <c r="M484" t="n">
        <v>0</v>
      </c>
      <c r="N484" t="n">
        <v>0</v>
      </c>
      <c r="O484" t="n">
        <v>0</v>
      </c>
      <c r="P484" t="n">
        <v>0</v>
      </c>
      <c r="Q484" t="n">
        <v>0</v>
      </c>
      <c r="R484" s="2" t="inlineStr"/>
    </row>
    <row r="485" ht="15" customHeight="1">
      <c r="A485" t="inlineStr">
        <is>
          <t>A 31085-2024</t>
        </is>
      </c>
      <c r="B485" s="1" t="n">
        <v>45502.48047453703</v>
      </c>
      <c r="C485" s="1" t="n">
        <v>45988</v>
      </c>
      <c r="D485" t="inlineStr">
        <is>
          <t>DALARNAS LÄN</t>
        </is>
      </c>
      <c r="E485" t="inlineStr">
        <is>
          <t>MORA</t>
        </is>
      </c>
      <c r="G485" t="n">
        <v>1.6</v>
      </c>
      <c r="H485" t="n">
        <v>0</v>
      </c>
      <c r="I485" t="n">
        <v>0</v>
      </c>
      <c r="J485" t="n">
        <v>0</v>
      </c>
      <c r="K485" t="n">
        <v>0</v>
      </c>
      <c r="L485" t="n">
        <v>0</v>
      </c>
      <c r="M485" t="n">
        <v>0</v>
      </c>
      <c r="N485" t="n">
        <v>0</v>
      </c>
      <c r="O485" t="n">
        <v>0</v>
      </c>
      <c r="P485" t="n">
        <v>0</v>
      </c>
      <c r="Q485" t="n">
        <v>0</v>
      </c>
      <c r="R485" s="2" t="inlineStr"/>
    </row>
    <row r="486" ht="15" customHeight="1">
      <c r="A486" t="inlineStr">
        <is>
          <t>A 43863-2023</t>
        </is>
      </c>
      <c r="B486" s="1" t="n">
        <v>45187.62532407408</v>
      </c>
      <c r="C486" s="1" t="n">
        <v>45988</v>
      </c>
      <c r="D486" t="inlineStr">
        <is>
          <t>DALARNAS LÄN</t>
        </is>
      </c>
      <c r="E486" t="inlineStr">
        <is>
          <t>MORA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58169-2025</t>
        </is>
      </c>
      <c r="B487" s="1" t="n">
        <v>45982.72690972222</v>
      </c>
      <c r="C487" s="1" t="n">
        <v>45988</v>
      </c>
      <c r="D487" t="inlineStr">
        <is>
          <t>DALARNAS LÄN</t>
        </is>
      </c>
      <c r="E487" t="inlineStr">
        <is>
          <t>MORA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60051-2022</t>
        </is>
      </c>
      <c r="B488" s="1" t="n">
        <v>44909.52385416667</v>
      </c>
      <c r="C488" s="1" t="n">
        <v>45988</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13262-2022</t>
        </is>
      </c>
      <c r="B489" s="1" t="n">
        <v>44644.70184027778</v>
      </c>
      <c r="C489" s="1" t="n">
        <v>45988</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58001-2025</t>
        </is>
      </c>
      <c r="B490" s="1" t="n">
        <v>45982.43615740741</v>
      </c>
      <c r="C490" s="1" t="n">
        <v>45988</v>
      </c>
      <c r="D490" t="inlineStr">
        <is>
          <t>DALARNAS LÄN</t>
        </is>
      </c>
      <c r="E490" t="inlineStr">
        <is>
          <t>MORA</t>
        </is>
      </c>
      <c r="G490" t="n">
        <v>3.2</v>
      </c>
      <c r="H490" t="n">
        <v>0</v>
      </c>
      <c r="I490" t="n">
        <v>0</v>
      </c>
      <c r="J490" t="n">
        <v>0</v>
      </c>
      <c r="K490" t="n">
        <v>0</v>
      </c>
      <c r="L490" t="n">
        <v>0</v>
      </c>
      <c r="M490" t="n">
        <v>0</v>
      </c>
      <c r="N490" t="n">
        <v>0</v>
      </c>
      <c r="O490" t="n">
        <v>0</v>
      </c>
      <c r="P490" t="n">
        <v>0</v>
      </c>
      <c r="Q490" t="n">
        <v>0</v>
      </c>
      <c r="R490" s="2" t="inlineStr"/>
    </row>
    <row r="491" ht="15" customHeight="1">
      <c r="A491" t="inlineStr">
        <is>
          <t>A 56767-2023</t>
        </is>
      </c>
      <c r="B491" s="1" t="n">
        <v>45244</v>
      </c>
      <c r="C491" s="1" t="n">
        <v>45988</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57976-2025</t>
        </is>
      </c>
      <c r="B492" s="1" t="n">
        <v>45982.39435185185</v>
      </c>
      <c r="C492" s="1" t="n">
        <v>45988</v>
      </c>
      <c r="D492" t="inlineStr">
        <is>
          <t>DALARNAS LÄN</t>
        </is>
      </c>
      <c r="E492" t="inlineStr">
        <is>
          <t>MORA</t>
        </is>
      </c>
      <c r="G492" t="n">
        <v>7.4</v>
      </c>
      <c r="H492" t="n">
        <v>0</v>
      </c>
      <c r="I492" t="n">
        <v>0</v>
      </c>
      <c r="J492" t="n">
        <v>0</v>
      </c>
      <c r="K492" t="n">
        <v>0</v>
      </c>
      <c r="L492" t="n">
        <v>0</v>
      </c>
      <c r="M492" t="n">
        <v>0</v>
      </c>
      <c r="N492" t="n">
        <v>0</v>
      </c>
      <c r="O492" t="n">
        <v>0</v>
      </c>
      <c r="P492" t="n">
        <v>0</v>
      </c>
      <c r="Q492" t="n">
        <v>0</v>
      </c>
      <c r="R492" s="2" t="inlineStr"/>
    </row>
    <row r="493" ht="15" customHeight="1">
      <c r="A493" t="inlineStr">
        <is>
          <t>A 50056-2022</t>
        </is>
      </c>
      <c r="B493" s="1" t="n">
        <v>44865</v>
      </c>
      <c r="C493" s="1" t="n">
        <v>45988</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58478-2025</t>
        </is>
      </c>
      <c r="B494" s="1" t="n">
        <v>45985.64645833334</v>
      </c>
      <c r="C494" s="1" t="n">
        <v>45988</v>
      </c>
      <c r="D494" t="inlineStr">
        <is>
          <t>DALARNAS LÄN</t>
        </is>
      </c>
      <c r="E494" t="inlineStr">
        <is>
          <t>MORA</t>
        </is>
      </c>
      <c r="G494" t="n">
        <v>6</v>
      </c>
      <c r="H494" t="n">
        <v>0</v>
      </c>
      <c r="I494" t="n">
        <v>0</v>
      </c>
      <c r="J494" t="n">
        <v>0</v>
      </c>
      <c r="K494" t="n">
        <v>0</v>
      </c>
      <c r="L494" t="n">
        <v>0</v>
      </c>
      <c r="M494" t="n">
        <v>0</v>
      </c>
      <c r="N494" t="n">
        <v>0</v>
      </c>
      <c r="O494" t="n">
        <v>0</v>
      </c>
      <c r="P494" t="n">
        <v>0</v>
      </c>
      <c r="Q494" t="n">
        <v>0</v>
      </c>
      <c r="R494" s="2" t="inlineStr"/>
    </row>
    <row r="495" ht="15" customHeight="1">
      <c r="A495" t="inlineStr">
        <is>
          <t>A 15499-2024</t>
        </is>
      </c>
      <c r="B495" s="1" t="n">
        <v>45401.53798611111</v>
      </c>
      <c r="C495" s="1" t="n">
        <v>45988</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68415-2021</t>
        </is>
      </c>
      <c r="B496" s="1" t="n">
        <v>44529</v>
      </c>
      <c r="C496" s="1" t="n">
        <v>45988</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15643-2025</t>
        </is>
      </c>
      <c r="B497" s="1" t="n">
        <v>45748.39222222222</v>
      </c>
      <c r="C497" s="1" t="n">
        <v>45988</v>
      </c>
      <c r="D497" t="inlineStr">
        <is>
          <t>DALARNAS LÄN</t>
        </is>
      </c>
      <c r="E497" t="inlineStr">
        <is>
          <t>MORA</t>
        </is>
      </c>
      <c r="G497" t="n">
        <v>7.6</v>
      </c>
      <c r="H497" t="n">
        <v>0</v>
      </c>
      <c r="I497" t="n">
        <v>0</v>
      </c>
      <c r="J497" t="n">
        <v>0</v>
      </c>
      <c r="K497" t="n">
        <v>0</v>
      </c>
      <c r="L497" t="n">
        <v>0</v>
      </c>
      <c r="M497" t="n">
        <v>0</v>
      </c>
      <c r="N497" t="n">
        <v>0</v>
      </c>
      <c r="O497" t="n">
        <v>0</v>
      </c>
      <c r="P497" t="n">
        <v>0</v>
      </c>
      <c r="Q497" t="n">
        <v>0</v>
      </c>
      <c r="R497" s="2" t="inlineStr"/>
    </row>
    <row r="498" ht="15" customHeight="1">
      <c r="A498" t="inlineStr">
        <is>
          <t>A 46755-2023</t>
        </is>
      </c>
      <c r="B498" s="1" t="n">
        <v>45198.61314814815</v>
      </c>
      <c r="C498" s="1" t="n">
        <v>45988</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47686-2025</t>
        </is>
      </c>
      <c r="B499" s="1" t="n">
        <v>45931</v>
      </c>
      <c r="C499" s="1" t="n">
        <v>45988</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18122-2025</t>
        </is>
      </c>
      <c r="B500" s="1" t="n">
        <v>45761.59221064814</v>
      </c>
      <c r="C500" s="1" t="n">
        <v>45988</v>
      </c>
      <c r="D500" t="inlineStr">
        <is>
          <t>DALARNAS LÄN</t>
        </is>
      </c>
      <c r="E500" t="inlineStr">
        <is>
          <t>MORA</t>
        </is>
      </c>
      <c r="F500" t="inlineStr">
        <is>
          <t>Bergvik skog öst AB</t>
        </is>
      </c>
      <c r="G500" t="n">
        <v>1.1</v>
      </c>
      <c r="H500" t="n">
        <v>0</v>
      </c>
      <c r="I500" t="n">
        <v>0</v>
      </c>
      <c r="J500" t="n">
        <v>0</v>
      </c>
      <c r="K500" t="n">
        <v>0</v>
      </c>
      <c r="L500" t="n">
        <v>0</v>
      </c>
      <c r="M500" t="n">
        <v>0</v>
      </c>
      <c r="N500" t="n">
        <v>0</v>
      </c>
      <c r="O500" t="n">
        <v>0</v>
      </c>
      <c r="P500" t="n">
        <v>0</v>
      </c>
      <c r="Q500" t="n">
        <v>0</v>
      </c>
      <c r="R500" s="2" t="inlineStr"/>
    </row>
    <row r="501" ht="15" customHeight="1">
      <c r="A501" t="inlineStr">
        <is>
          <t>A 44817-2023</t>
        </is>
      </c>
      <c r="B501" s="1" t="n">
        <v>45190.51887731482</v>
      </c>
      <c r="C501" s="1" t="n">
        <v>45988</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39511-2024</t>
        </is>
      </c>
      <c r="B502" s="1" t="n">
        <v>45551.68347222222</v>
      </c>
      <c r="C502" s="1" t="n">
        <v>45988</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57797-2022</t>
        </is>
      </c>
      <c r="B503" s="1" t="n">
        <v>44897</v>
      </c>
      <c r="C503" s="1" t="n">
        <v>45988</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27125-2024</t>
        </is>
      </c>
      <c r="B504" s="1" t="n">
        <v>45471</v>
      </c>
      <c r="C504" s="1" t="n">
        <v>45988</v>
      </c>
      <c r="D504" t="inlineStr">
        <is>
          <t>DALARNAS LÄN</t>
        </is>
      </c>
      <c r="E504" t="inlineStr">
        <is>
          <t>MORA</t>
        </is>
      </c>
      <c r="G504" t="n">
        <v>2.3</v>
      </c>
      <c r="H504" t="n">
        <v>0</v>
      </c>
      <c r="I504" t="n">
        <v>0</v>
      </c>
      <c r="J504" t="n">
        <v>0</v>
      </c>
      <c r="K504" t="n">
        <v>0</v>
      </c>
      <c r="L504" t="n">
        <v>0</v>
      </c>
      <c r="M504" t="n">
        <v>0</v>
      </c>
      <c r="N504" t="n">
        <v>0</v>
      </c>
      <c r="O504" t="n">
        <v>0</v>
      </c>
      <c r="P504" t="n">
        <v>0</v>
      </c>
      <c r="Q504" t="n">
        <v>0</v>
      </c>
      <c r="R504" s="2" t="inlineStr"/>
    </row>
    <row r="505" ht="15" customHeight="1">
      <c r="A505" t="inlineStr">
        <is>
          <t>A 30822-2024</t>
        </is>
      </c>
      <c r="B505" s="1" t="n">
        <v>45497</v>
      </c>
      <c r="C505" s="1" t="n">
        <v>45988</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6371-2022</t>
        </is>
      </c>
      <c r="B506" s="1" t="n">
        <v>44600</v>
      </c>
      <c r="C506" s="1" t="n">
        <v>45988</v>
      </c>
      <c r="D506" t="inlineStr">
        <is>
          <t>DALARNAS LÄN</t>
        </is>
      </c>
      <c r="E506" t="inlineStr">
        <is>
          <t>MORA</t>
        </is>
      </c>
      <c r="G506" t="n">
        <v>4.6</v>
      </c>
      <c r="H506" t="n">
        <v>0</v>
      </c>
      <c r="I506" t="n">
        <v>0</v>
      </c>
      <c r="J506" t="n">
        <v>0</v>
      </c>
      <c r="K506" t="n">
        <v>0</v>
      </c>
      <c r="L506" t="n">
        <v>0</v>
      </c>
      <c r="M506" t="n">
        <v>0</v>
      </c>
      <c r="N506" t="n">
        <v>0</v>
      </c>
      <c r="O506" t="n">
        <v>0</v>
      </c>
      <c r="P506" t="n">
        <v>0</v>
      </c>
      <c r="Q506" t="n">
        <v>0</v>
      </c>
      <c r="R506" s="2" t="inlineStr"/>
    </row>
    <row r="507" ht="15" customHeight="1">
      <c r="A507" t="inlineStr">
        <is>
          <t>A 61350-2024</t>
        </is>
      </c>
      <c r="B507" s="1" t="n">
        <v>45646.37872685185</v>
      </c>
      <c r="C507" s="1" t="n">
        <v>45988</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20126-2025</t>
        </is>
      </c>
      <c r="B508" s="1" t="n">
        <v>45772.49640046297</v>
      </c>
      <c r="C508" s="1" t="n">
        <v>45988</v>
      </c>
      <c r="D508" t="inlineStr">
        <is>
          <t>DALARNAS LÄN</t>
        </is>
      </c>
      <c r="E508" t="inlineStr">
        <is>
          <t>MORA</t>
        </is>
      </c>
      <c r="G508" t="n">
        <v>12.1</v>
      </c>
      <c r="H508" t="n">
        <v>0</v>
      </c>
      <c r="I508" t="n">
        <v>0</v>
      </c>
      <c r="J508" t="n">
        <v>0</v>
      </c>
      <c r="K508" t="n">
        <v>0</v>
      </c>
      <c r="L508" t="n">
        <v>0</v>
      </c>
      <c r="M508" t="n">
        <v>0</v>
      </c>
      <c r="N508" t="n">
        <v>0</v>
      </c>
      <c r="O508" t="n">
        <v>0</v>
      </c>
      <c r="P508" t="n">
        <v>0</v>
      </c>
      <c r="Q508" t="n">
        <v>0</v>
      </c>
      <c r="R508" s="2" t="inlineStr"/>
    </row>
    <row r="509" ht="15" customHeight="1">
      <c r="A509" t="inlineStr">
        <is>
          <t>A 27420-2024</t>
        </is>
      </c>
      <c r="B509" s="1" t="n">
        <v>45474.37850694444</v>
      </c>
      <c r="C509" s="1" t="n">
        <v>45988</v>
      </c>
      <c r="D509" t="inlineStr">
        <is>
          <t>DALARNAS LÄN</t>
        </is>
      </c>
      <c r="E509" t="inlineStr">
        <is>
          <t>MORA</t>
        </is>
      </c>
      <c r="G509" t="n">
        <v>7.3</v>
      </c>
      <c r="H509" t="n">
        <v>0</v>
      </c>
      <c r="I509" t="n">
        <v>0</v>
      </c>
      <c r="J509" t="n">
        <v>0</v>
      </c>
      <c r="K509" t="n">
        <v>0</v>
      </c>
      <c r="L509" t="n">
        <v>0</v>
      </c>
      <c r="M509" t="n">
        <v>0</v>
      </c>
      <c r="N509" t="n">
        <v>0</v>
      </c>
      <c r="O509" t="n">
        <v>0</v>
      </c>
      <c r="P509" t="n">
        <v>0</v>
      </c>
      <c r="Q509" t="n">
        <v>0</v>
      </c>
      <c r="R509" s="2" t="inlineStr"/>
    </row>
    <row r="510" ht="15" customHeight="1">
      <c r="A510" t="inlineStr">
        <is>
          <t>A 39344-2024</t>
        </is>
      </c>
      <c r="B510" s="1" t="n">
        <v>45551.44503472222</v>
      </c>
      <c r="C510" s="1" t="n">
        <v>45988</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24590-2024</t>
        </is>
      </c>
      <c r="B511" s="1" t="n">
        <v>45460</v>
      </c>
      <c r="C511" s="1" t="n">
        <v>45988</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24169-2022</t>
        </is>
      </c>
      <c r="B512" s="1" t="n">
        <v>44725.50280092593</v>
      </c>
      <c r="C512" s="1" t="n">
        <v>45988</v>
      </c>
      <c r="D512" t="inlineStr">
        <is>
          <t>DALARNAS LÄN</t>
        </is>
      </c>
      <c r="E512" t="inlineStr">
        <is>
          <t>MORA</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43641-2022</t>
        </is>
      </c>
      <c r="B513" s="1" t="n">
        <v>44837</v>
      </c>
      <c r="C513" s="1" t="n">
        <v>45988</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53750-2024</t>
        </is>
      </c>
      <c r="B514" s="1" t="n">
        <v>45615.48465277778</v>
      </c>
      <c r="C514" s="1" t="n">
        <v>45988</v>
      </c>
      <c r="D514" t="inlineStr">
        <is>
          <t>DALARNAS LÄN</t>
        </is>
      </c>
      <c r="E514" t="inlineStr">
        <is>
          <t>MORA</t>
        </is>
      </c>
      <c r="G514" t="n">
        <v>2.3</v>
      </c>
      <c r="H514" t="n">
        <v>0</v>
      </c>
      <c r="I514" t="n">
        <v>0</v>
      </c>
      <c r="J514" t="n">
        <v>0</v>
      </c>
      <c r="K514" t="n">
        <v>0</v>
      </c>
      <c r="L514" t="n">
        <v>0</v>
      </c>
      <c r="M514" t="n">
        <v>0</v>
      </c>
      <c r="N514" t="n">
        <v>0</v>
      </c>
      <c r="O514" t="n">
        <v>0</v>
      </c>
      <c r="P514" t="n">
        <v>0</v>
      </c>
      <c r="Q514" t="n">
        <v>0</v>
      </c>
      <c r="R514" s="2" t="inlineStr"/>
    </row>
    <row r="515" ht="15" customHeight="1">
      <c r="A515" t="inlineStr">
        <is>
          <t>A 10777-2025</t>
        </is>
      </c>
      <c r="B515" s="1" t="n">
        <v>45722.47743055555</v>
      </c>
      <c r="C515" s="1" t="n">
        <v>45988</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19842-2025</t>
        </is>
      </c>
      <c r="B516" s="1" t="n">
        <v>45771.47938657407</v>
      </c>
      <c r="C516" s="1" t="n">
        <v>45988</v>
      </c>
      <c r="D516" t="inlineStr">
        <is>
          <t>DALARNAS LÄN</t>
        </is>
      </c>
      <c r="E516" t="inlineStr">
        <is>
          <t>MORA</t>
        </is>
      </c>
      <c r="G516" t="n">
        <v>1.9</v>
      </c>
      <c r="H516" t="n">
        <v>0</v>
      </c>
      <c r="I516" t="n">
        <v>0</v>
      </c>
      <c r="J516" t="n">
        <v>0</v>
      </c>
      <c r="K516" t="n">
        <v>0</v>
      </c>
      <c r="L516" t="n">
        <v>0</v>
      </c>
      <c r="M516" t="n">
        <v>0</v>
      </c>
      <c r="N516" t="n">
        <v>0</v>
      </c>
      <c r="O516" t="n">
        <v>0</v>
      </c>
      <c r="P516" t="n">
        <v>0</v>
      </c>
      <c r="Q516" t="n">
        <v>0</v>
      </c>
      <c r="R516" s="2" t="inlineStr"/>
    </row>
    <row r="517" ht="15" customHeight="1">
      <c r="A517" t="inlineStr">
        <is>
          <t>A 44177-2023</t>
        </is>
      </c>
      <c r="B517" s="1" t="n">
        <v>45188.51439814815</v>
      </c>
      <c r="C517" s="1" t="n">
        <v>45988</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18134-2025</t>
        </is>
      </c>
      <c r="B518" s="1" t="n">
        <v>45761.60189814815</v>
      </c>
      <c r="C518" s="1" t="n">
        <v>45988</v>
      </c>
      <c r="D518" t="inlineStr">
        <is>
          <t>DALARNAS LÄN</t>
        </is>
      </c>
      <c r="E518" t="inlineStr">
        <is>
          <t>MORA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35327-2024</t>
        </is>
      </c>
      <c r="B519" s="1" t="n">
        <v>45530.71334490741</v>
      </c>
      <c r="C519" s="1" t="n">
        <v>45988</v>
      </c>
      <c r="D519" t="inlineStr">
        <is>
          <t>DALARNAS LÄN</t>
        </is>
      </c>
      <c r="E519" t="inlineStr">
        <is>
          <t>MORA</t>
        </is>
      </c>
      <c r="G519" t="n">
        <v>5</v>
      </c>
      <c r="H519" t="n">
        <v>0</v>
      </c>
      <c r="I519" t="n">
        <v>0</v>
      </c>
      <c r="J519" t="n">
        <v>0</v>
      </c>
      <c r="K519" t="n">
        <v>0</v>
      </c>
      <c r="L519" t="n">
        <v>0</v>
      </c>
      <c r="M519" t="n">
        <v>0</v>
      </c>
      <c r="N519" t="n">
        <v>0</v>
      </c>
      <c r="O519" t="n">
        <v>0</v>
      </c>
      <c r="P519" t="n">
        <v>0</v>
      </c>
      <c r="Q519" t="n">
        <v>0</v>
      </c>
      <c r="R519" s="2" t="inlineStr"/>
    </row>
    <row r="520" ht="15" customHeight="1">
      <c r="A520" t="inlineStr">
        <is>
          <t>A 31112-2024</t>
        </is>
      </c>
      <c r="B520" s="1" t="n">
        <v>45502.55185185185</v>
      </c>
      <c r="C520" s="1" t="n">
        <v>45988</v>
      </c>
      <c r="D520" t="inlineStr">
        <is>
          <t>DALARNAS LÄN</t>
        </is>
      </c>
      <c r="E520" t="inlineStr">
        <is>
          <t>MORA</t>
        </is>
      </c>
      <c r="G520" t="n">
        <v>0.6</v>
      </c>
      <c r="H520" t="n">
        <v>0</v>
      </c>
      <c r="I520" t="n">
        <v>0</v>
      </c>
      <c r="J520" t="n">
        <v>0</v>
      </c>
      <c r="K520" t="n">
        <v>0</v>
      </c>
      <c r="L520" t="n">
        <v>0</v>
      </c>
      <c r="M520" t="n">
        <v>0</v>
      </c>
      <c r="N520" t="n">
        <v>0</v>
      </c>
      <c r="O520" t="n">
        <v>0</v>
      </c>
      <c r="P520" t="n">
        <v>0</v>
      </c>
      <c r="Q520" t="n">
        <v>0</v>
      </c>
      <c r="R520" s="2" t="inlineStr"/>
    </row>
    <row r="521" ht="15" customHeight="1">
      <c r="A521" t="inlineStr">
        <is>
          <t>A 442-2024</t>
        </is>
      </c>
      <c r="B521" s="1" t="n">
        <v>45296.60353009259</v>
      </c>
      <c r="C521" s="1" t="n">
        <v>45988</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501-2024</t>
        </is>
      </c>
      <c r="B522" s="1" t="n">
        <v>45299</v>
      </c>
      <c r="C522" s="1" t="n">
        <v>45988</v>
      </c>
      <c r="D522" t="inlineStr">
        <is>
          <t>DALARNAS LÄN</t>
        </is>
      </c>
      <c r="E522" t="inlineStr">
        <is>
          <t>MORA</t>
        </is>
      </c>
      <c r="G522" t="n">
        <v>2.5</v>
      </c>
      <c r="H522" t="n">
        <v>0</v>
      </c>
      <c r="I522" t="n">
        <v>0</v>
      </c>
      <c r="J522" t="n">
        <v>0</v>
      </c>
      <c r="K522" t="n">
        <v>0</v>
      </c>
      <c r="L522" t="n">
        <v>0</v>
      </c>
      <c r="M522" t="n">
        <v>0</v>
      </c>
      <c r="N522" t="n">
        <v>0</v>
      </c>
      <c r="O522" t="n">
        <v>0</v>
      </c>
      <c r="P522" t="n">
        <v>0</v>
      </c>
      <c r="Q522" t="n">
        <v>0</v>
      </c>
      <c r="R522" s="2" t="inlineStr"/>
    </row>
    <row r="523" ht="15" customHeight="1">
      <c r="A523" t="inlineStr">
        <is>
          <t>A 48570-2022</t>
        </is>
      </c>
      <c r="B523" s="1" t="n">
        <v>44859</v>
      </c>
      <c r="C523" s="1" t="n">
        <v>45988</v>
      </c>
      <c r="D523" t="inlineStr">
        <is>
          <t>DALARNAS LÄN</t>
        </is>
      </c>
      <c r="E523" t="inlineStr">
        <is>
          <t>MORA</t>
        </is>
      </c>
      <c r="G523" t="n">
        <v>6.2</v>
      </c>
      <c r="H523" t="n">
        <v>0</v>
      </c>
      <c r="I523" t="n">
        <v>0</v>
      </c>
      <c r="J523" t="n">
        <v>0</v>
      </c>
      <c r="K523" t="n">
        <v>0</v>
      </c>
      <c r="L523" t="n">
        <v>0</v>
      </c>
      <c r="M523" t="n">
        <v>0</v>
      </c>
      <c r="N523" t="n">
        <v>0</v>
      </c>
      <c r="O523" t="n">
        <v>0</v>
      </c>
      <c r="P523" t="n">
        <v>0</v>
      </c>
      <c r="Q523" t="n">
        <v>0</v>
      </c>
      <c r="R523" s="2" t="inlineStr"/>
    </row>
    <row r="524" ht="15" customHeight="1">
      <c r="A524" t="inlineStr">
        <is>
          <t>A 19814-2025</t>
        </is>
      </c>
      <c r="B524" s="1" t="n">
        <v>45771.45686342593</v>
      </c>
      <c r="C524" s="1" t="n">
        <v>45988</v>
      </c>
      <c r="D524" t="inlineStr">
        <is>
          <t>DALARNAS LÄN</t>
        </is>
      </c>
      <c r="E524" t="inlineStr">
        <is>
          <t>MORA</t>
        </is>
      </c>
      <c r="G524" t="n">
        <v>2.1</v>
      </c>
      <c r="H524" t="n">
        <v>0</v>
      </c>
      <c r="I524" t="n">
        <v>0</v>
      </c>
      <c r="J524" t="n">
        <v>0</v>
      </c>
      <c r="K524" t="n">
        <v>0</v>
      </c>
      <c r="L524" t="n">
        <v>0</v>
      </c>
      <c r="M524" t="n">
        <v>0</v>
      </c>
      <c r="N524" t="n">
        <v>0</v>
      </c>
      <c r="O524" t="n">
        <v>0</v>
      </c>
      <c r="P524" t="n">
        <v>0</v>
      </c>
      <c r="Q524" t="n">
        <v>0</v>
      </c>
      <c r="R524" s="2" t="inlineStr"/>
    </row>
    <row r="525" ht="15" customHeight="1">
      <c r="A525" t="inlineStr">
        <is>
          <t>A 60526-2023</t>
        </is>
      </c>
      <c r="B525" s="1" t="n">
        <v>45259</v>
      </c>
      <c r="C525" s="1" t="n">
        <v>45988</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53341-2023</t>
        </is>
      </c>
      <c r="B526" s="1" t="n">
        <v>45229</v>
      </c>
      <c r="C526" s="1" t="n">
        <v>45988</v>
      </c>
      <c r="D526" t="inlineStr">
        <is>
          <t>DALARNAS LÄN</t>
        </is>
      </c>
      <c r="E526" t="inlineStr">
        <is>
          <t>MORA</t>
        </is>
      </c>
      <c r="G526" t="n">
        <v>2.1</v>
      </c>
      <c r="H526" t="n">
        <v>0</v>
      </c>
      <c r="I526" t="n">
        <v>0</v>
      </c>
      <c r="J526" t="n">
        <v>0</v>
      </c>
      <c r="K526" t="n">
        <v>0</v>
      </c>
      <c r="L526" t="n">
        <v>0</v>
      </c>
      <c r="M526" t="n">
        <v>0</v>
      </c>
      <c r="N526" t="n">
        <v>0</v>
      </c>
      <c r="O526" t="n">
        <v>0</v>
      </c>
      <c r="P526" t="n">
        <v>0</v>
      </c>
      <c r="Q526" t="n">
        <v>0</v>
      </c>
      <c r="R526" s="2" t="inlineStr"/>
    </row>
    <row r="527" ht="15" customHeight="1">
      <c r="A527" t="inlineStr">
        <is>
          <t>A 12828-2023</t>
        </is>
      </c>
      <c r="B527" s="1" t="n">
        <v>45001</v>
      </c>
      <c r="C527" s="1" t="n">
        <v>45988</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45988</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3531-2024</t>
        </is>
      </c>
      <c r="B529" s="1" t="n">
        <v>45320</v>
      </c>
      <c r="C529" s="1" t="n">
        <v>45988</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c r="U529">
        <f>HYPERLINK("https://klasma.github.io/Logging_2062/knärot/A 3531-2024 karta knärot.png", "A 3531-2024")</f>
        <v/>
      </c>
      <c r="V529">
        <f>HYPERLINK("https://klasma.github.io/Logging_2062/klagomål/A 3531-2024 FSC-klagomål.docx", "A 3531-2024")</f>
        <v/>
      </c>
      <c r="W529">
        <f>HYPERLINK("https://klasma.github.io/Logging_2062/klagomålsmail/A 3531-2024 FSC-klagomål mail.docx", "A 3531-2024")</f>
        <v/>
      </c>
      <c r="X529">
        <f>HYPERLINK("https://klasma.github.io/Logging_2062/tillsyn/A 3531-2024 tillsynsbegäran.docx", "A 3531-2024")</f>
        <v/>
      </c>
      <c r="Y529">
        <f>HYPERLINK("https://klasma.github.io/Logging_2062/tillsynsmail/A 3531-2024 tillsynsbegäran mail.docx", "A 3531-2024")</f>
        <v/>
      </c>
    </row>
    <row r="530" ht="15" customHeight="1">
      <c r="A530" t="inlineStr">
        <is>
          <t>A 45475-2023</t>
        </is>
      </c>
      <c r="B530" s="1" t="n">
        <v>45188</v>
      </c>
      <c r="C530" s="1" t="n">
        <v>45988</v>
      </c>
      <c r="D530" t="inlineStr">
        <is>
          <t>DALARNAS LÄN</t>
        </is>
      </c>
      <c r="E530" t="inlineStr">
        <is>
          <t>MORA</t>
        </is>
      </c>
      <c r="G530" t="n">
        <v>1.1</v>
      </c>
      <c r="H530" t="n">
        <v>0</v>
      </c>
      <c r="I530" t="n">
        <v>0</v>
      </c>
      <c r="J530" t="n">
        <v>0</v>
      </c>
      <c r="K530" t="n">
        <v>0</v>
      </c>
      <c r="L530" t="n">
        <v>0</v>
      </c>
      <c r="M530" t="n">
        <v>0</v>
      </c>
      <c r="N530" t="n">
        <v>0</v>
      </c>
      <c r="O530" t="n">
        <v>0</v>
      </c>
      <c r="P530" t="n">
        <v>0</v>
      </c>
      <c r="Q530" t="n">
        <v>0</v>
      </c>
      <c r="R530" s="2" t="inlineStr"/>
    </row>
    <row r="531" ht="15" customHeight="1">
      <c r="A531" t="inlineStr">
        <is>
          <t>A 44071-2024</t>
        </is>
      </c>
      <c r="B531" s="1" t="n">
        <v>45572.60915509259</v>
      </c>
      <c r="C531" s="1" t="n">
        <v>45988</v>
      </c>
      <c r="D531" t="inlineStr">
        <is>
          <t>DALARNAS LÄN</t>
        </is>
      </c>
      <c r="E531" t="inlineStr">
        <is>
          <t>MORA</t>
        </is>
      </c>
      <c r="G531" t="n">
        <v>4.5</v>
      </c>
      <c r="H531" t="n">
        <v>0</v>
      </c>
      <c r="I531" t="n">
        <v>0</v>
      </c>
      <c r="J531" t="n">
        <v>0</v>
      </c>
      <c r="K531" t="n">
        <v>0</v>
      </c>
      <c r="L531" t="n">
        <v>0</v>
      </c>
      <c r="M531" t="n">
        <v>0</v>
      </c>
      <c r="N531" t="n">
        <v>0</v>
      </c>
      <c r="O531" t="n">
        <v>0</v>
      </c>
      <c r="P531" t="n">
        <v>0</v>
      </c>
      <c r="Q531" t="n">
        <v>0</v>
      </c>
      <c r="R531" s="2" t="inlineStr"/>
    </row>
    <row r="532" ht="15" customHeight="1">
      <c r="A532" t="inlineStr">
        <is>
          <t>A 11463-2024</t>
        </is>
      </c>
      <c r="B532" s="1" t="n">
        <v>45372.58969907407</v>
      </c>
      <c r="C532" s="1" t="n">
        <v>45988</v>
      </c>
      <c r="D532" t="inlineStr">
        <is>
          <t>DALARNAS LÄN</t>
        </is>
      </c>
      <c r="E532" t="inlineStr">
        <is>
          <t>MORA</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57903-2022</t>
        </is>
      </c>
      <c r="B533" s="1" t="n">
        <v>44900.3521412037</v>
      </c>
      <c r="C533" s="1" t="n">
        <v>45988</v>
      </c>
      <c r="D533" t="inlineStr">
        <is>
          <t>DALARNAS LÄN</t>
        </is>
      </c>
      <c r="E533" t="inlineStr">
        <is>
          <t>MORA</t>
        </is>
      </c>
      <c r="G533" t="n">
        <v>4.3</v>
      </c>
      <c r="H533" t="n">
        <v>0</v>
      </c>
      <c r="I533" t="n">
        <v>0</v>
      </c>
      <c r="J533" t="n">
        <v>0</v>
      </c>
      <c r="K533" t="n">
        <v>0</v>
      </c>
      <c r="L533" t="n">
        <v>0</v>
      </c>
      <c r="M533" t="n">
        <v>0</v>
      </c>
      <c r="N533" t="n">
        <v>0</v>
      </c>
      <c r="O533" t="n">
        <v>0</v>
      </c>
      <c r="P533" t="n">
        <v>0</v>
      </c>
      <c r="Q533" t="n">
        <v>0</v>
      </c>
      <c r="R533" s="2" t="inlineStr"/>
    </row>
    <row r="534" ht="15" customHeight="1">
      <c r="A534" t="inlineStr">
        <is>
          <t>A 46129-2024</t>
        </is>
      </c>
      <c r="B534" s="1" t="n">
        <v>45581.43337962963</v>
      </c>
      <c r="C534" s="1" t="n">
        <v>45988</v>
      </c>
      <c r="D534" t="inlineStr">
        <is>
          <t>DALARNAS LÄN</t>
        </is>
      </c>
      <c r="E534" t="inlineStr">
        <is>
          <t>MORA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19193-2025</t>
        </is>
      </c>
      <c r="B535" s="1" t="n">
        <v>45769.42203703704</v>
      </c>
      <c r="C535" s="1" t="n">
        <v>45988</v>
      </c>
      <c r="D535" t="inlineStr">
        <is>
          <t>DALARNAS LÄN</t>
        </is>
      </c>
      <c r="E535" t="inlineStr">
        <is>
          <t>MORA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6183-2024</t>
        </is>
      </c>
      <c r="B536" s="1" t="n">
        <v>45337.54135416666</v>
      </c>
      <c r="C536" s="1" t="n">
        <v>45988</v>
      </c>
      <c r="D536" t="inlineStr">
        <is>
          <t>DALARNAS LÄN</t>
        </is>
      </c>
      <c r="E536" t="inlineStr">
        <is>
          <t>MORA</t>
        </is>
      </c>
      <c r="G536" t="n">
        <v>7.9</v>
      </c>
      <c r="H536" t="n">
        <v>0</v>
      </c>
      <c r="I536" t="n">
        <v>0</v>
      </c>
      <c r="J536" t="n">
        <v>0</v>
      </c>
      <c r="K536" t="n">
        <v>0</v>
      </c>
      <c r="L536" t="n">
        <v>0</v>
      </c>
      <c r="M536" t="n">
        <v>0</v>
      </c>
      <c r="N536" t="n">
        <v>0</v>
      </c>
      <c r="O536" t="n">
        <v>0</v>
      </c>
      <c r="P536" t="n">
        <v>0</v>
      </c>
      <c r="Q536" t="n">
        <v>0</v>
      </c>
      <c r="R536" s="2" t="inlineStr"/>
    </row>
    <row r="537" ht="15" customHeight="1">
      <c r="A537" t="inlineStr">
        <is>
          <t>A 46152-2023</t>
        </is>
      </c>
      <c r="B537" s="1" t="n">
        <v>45196.58278935185</v>
      </c>
      <c r="C537" s="1" t="n">
        <v>45988</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28832-2023</t>
        </is>
      </c>
      <c r="B538" s="1" t="n">
        <v>45104.40493055555</v>
      </c>
      <c r="C538" s="1" t="n">
        <v>45988</v>
      </c>
      <c r="D538" t="inlineStr">
        <is>
          <t>DALARNAS LÄN</t>
        </is>
      </c>
      <c r="E538" t="inlineStr">
        <is>
          <t>MORA</t>
        </is>
      </c>
      <c r="F538" t="inlineStr">
        <is>
          <t>Bergvik skog öst AB</t>
        </is>
      </c>
      <c r="G538" t="n">
        <v>2</v>
      </c>
      <c r="H538" t="n">
        <v>0</v>
      </c>
      <c r="I538" t="n">
        <v>0</v>
      </c>
      <c r="J538" t="n">
        <v>0</v>
      </c>
      <c r="K538" t="n">
        <v>0</v>
      </c>
      <c r="L538" t="n">
        <v>0</v>
      </c>
      <c r="M538" t="n">
        <v>0</v>
      </c>
      <c r="N538" t="n">
        <v>0</v>
      </c>
      <c r="O538" t="n">
        <v>0</v>
      </c>
      <c r="P538" t="n">
        <v>0</v>
      </c>
      <c r="Q538" t="n">
        <v>0</v>
      </c>
      <c r="R538" s="2" t="inlineStr"/>
    </row>
    <row r="539" ht="15" customHeight="1">
      <c r="A539" t="inlineStr">
        <is>
          <t>A 48824-2023</t>
        </is>
      </c>
      <c r="B539" s="1" t="n">
        <v>45203</v>
      </c>
      <c r="C539" s="1" t="n">
        <v>45988</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8343-2025</t>
        </is>
      </c>
      <c r="B540" s="1" t="n">
        <v>45708.67253472222</v>
      </c>
      <c r="C540" s="1" t="n">
        <v>45988</v>
      </c>
      <c r="D540" t="inlineStr">
        <is>
          <t>DALARNAS LÄN</t>
        </is>
      </c>
      <c r="E540" t="inlineStr">
        <is>
          <t>MORA</t>
        </is>
      </c>
      <c r="G540" t="n">
        <v>3.4</v>
      </c>
      <c r="H540" t="n">
        <v>0</v>
      </c>
      <c r="I540" t="n">
        <v>0</v>
      </c>
      <c r="J540" t="n">
        <v>0</v>
      </c>
      <c r="K540" t="n">
        <v>0</v>
      </c>
      <c r="L540" t="n">
        <v>0</v>
      </c>
      <c r="M540" t="n">
        <v>0</v>
      </c>
      <c r="N540" t="n">
        <v>0</v>
      </c>
      <c r="O540" t="n">
        <v>0</v>
      </c>
      <c r="P540" t="n">
        <v>0</v>
      </c>
      <c r="Q540" t="n">
        <v>0</v>
      </c>
      <c r="R540" s="2" t="inlineStr"/>
    </row>
    <row r="541" ht="15" customHeight="1">
      <c r="A541" t="inlineStr">
        <is>
          <t>A 17163-2025</t>
        </is>
      </c>
      <c r="B541" s="1" t="n">
        <v>45756.35998842592</v>
      </c>
      <c r="C541" s="1" t="n">
        <v>45988</v>
      </c>
      <c r="D541" t="inlineStr">
        <is>
          <t>DALARNAS LÄN</t>
        </is>
      </c>
      <c r="E541" t="inlineStr">
        <is>
          <t>MORA</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34272-2024</t>
        </is>
      </c>
      <c r="B542" s="1" t="n">
        <v>45524.61752314815</v>
      </c>
      <c r="C542" s="1" t="n">
        <v>45988</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36579-2022</t>
        </is>
      </c>
      <c r="B543" s="1" t="n">
        <v>44804.61636574074</v>
      </c>
      <c r="C543" s="1" t="n">
        <v>45988</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30030-2021</t>
        </is>
      </c>
      <c r="B544" s="1" t="n">
        <v>44363</v>
      </c>
      <c r="C544" s="1" t="n">
        <v>45988</v>
      </c>
      <c r="D544" t="inlineStr">
        <is>
          <t>DALARNAS LÄN</t>
        </is>
      </c>
      <c r="E544" t="inlineStr">
        <is>
          <t>MORA</t>
        </is>
      </c>
      <c r="G544" t="n">
        <v>7.1</v>
      </c>
      <c r="H544" t="n">
        <v>0</v>
      </c>
      <c r="I544" t="n">
        <v>0</v>
      </c>
      <c r="J544" t="n">
        <v>0</v>
      </c>
      <c r="K544" t="n">
        <v>0</v>
      </c>
      <c r="L544" t="n">
        <v>0</v>
      </c>
      <c r="M544" t="n">
        <v>0</v>
      </c>
      <c r="N544" t="n">
        <v>0</v>
      </c>
      <c r="O544" t="n">
        <v>0</v>
      </c>
      <c r="P544" t="n">
        <v>0</v>
      </c>
      <c r="Q544" t="n">
        <v>0</v>
      </c>
      <c r="R544" s="2" t="inlineStr"/>
    </row>
    <row r="545" ht="15" customHeight="1">
      <c r="A545" t="inlineStr">
        <is>
          <t>A 33531-2024</t>
        </is>
      </c>
      <c r="B545" s="1" t="n">
        <v>45519.67503472222</v>
      </c>
      <c r="C545" s="1" t="n">
        <v>45988</v>
      </c>
      <c r="D545" t="inlineStr">
        <is>
          <t>DALARNAS LÄN</t>
        </is>
      </c>
      <c r="E545" t="inlineStr">
        <is>
          <t>MORA</t>
        </is>
      </c>
      <c r="G545" t="n">
        <v>14.8</v>
      </c>
      <c r="H545" t="n">
        <v>0</v>
      </c>
      <c r="I545" t="n">
        <v>0</v>
      </c>
      <c r="J545" t="n">
        <v>0</v>
      </c>
      <c r="K545" t="n">
        <v>0</v>
      </c>
      <c r="L545" t="n">
        <v>0</v>
      </c>
      <c r="M545" t="n">
        <v>0</v>
      </c>
      <c r="N545" t="n">
        <v>0</v>
      </c>
      <c r="O545" t="n">
        <v>0</v>
      </c>
      <c r="P545" t="n">
        <v>0</v>
      </c>
      <c r="Q545" t="n">
        <v>0</v>
      </c>
      <c r="R545" s="2" t="inlineStr"/>
    </row>
    <row r="546" ht="15" customHeight="1">
      <c r="A546" t="inlineStr">
        <is>
          <t>A 51780-2023</t>
        </is>
      </c>
      <c r="B546" s="1" t="n">
        <v>45222</v>
      </c>
      <c r="C546" s="1" t="n">
        <v>45988</v>
      </c>
      <c r="D546" t="inlineStr">
        <is>
          <t>DALARNAS LÄN</t>
        </is>
      </c>
      <c r="E546" t="inlineStr">
        <is>
          <t>MORA</t>
        </is>
      </c>
      <c r="G546" t="n">
        <v>9.9</v>
      </c>
      <c r="H546" t="n">
        <v>0</v>
      </c>
      <c r="I546" t="n">
        <v>0</v>
      </c>
      <c r="J546" t="n">
        <v>0</v>
      </c>
      <c r="K546" t="n">
        <v>0</v>
      </c>
      <c r="L546" t="n">
        <v>0</v>
      </c>
      <c r="M546" t="n">
        <v>0</v>
      </c>
      <c r="N546" t="n">
        <v>0</v>
      </c>
      <c r="O546" t="n">
        <v>0</v>
      </c>
      <c r="P546" t="n">
        <v>0</v>
      </c>
      <c r="Q546" t="n">
        <v>0</v>
      </c>
      <c r="R546" s="2" t="inlineStr"/>
    </row>
    <row r="547" ht="15" customHeight="1">
      <c r="A547" t="inlineStr">
        <is>
          <t>A 15818-2024</t>
        </is>
      </c>
      <c r="B547" s="1" t="n">
        <v>45404.67442129629</v>
      </c>
      <c r="C547" s="1" t="n">
        <v>45988</v>
      </c>
      <c r="D547" t="inlineStr">
        <is>
          <t>DALARNAS LÄN</t>
        </is>
      </c>
      <c r="E547" t="inlineStr">
        <is>
          <t>MORA</t>
        </is>
      </c>
      <c r="G547" t="n">
        <v>7</v>
      </c>
      <c r="H547" t="n">
        <v>0</v>
      </c>
      <c r="I547" t="n">
        <v>0</v>
      </c>
      <c r="J547" t="n">
        <v>0</v>
      </c>
      <c r="K547" t="n">
        <v>0</v>
      </c>
      <c r="L547" t="n">
        <v>0</v>
      </c>
      <c r="M547" t="n">
        <v>0</v>
      </c>
      <c r="N547" t="n">
        <v>0</v>
      </c>
      <c r="O547" t="n">
        <v>0</v>
      </c>
      <c r="P547" t="n">
        <v>0</v>
      </c>
      <c r="Q547" t="n">
        <v>0</v>
      </c>
      <c r="R547" s="2" t="inlineStr"/>
    </row>
    <row r="548" ht="15" customHeight="1">
      <c r="A548" t="inlineStr">
        <is>
          <t>A 33513-2024</t>
        </is>
      </c>
      <c r="B548" s="1" t="n">
        <v>45519.644375</v>
      </c>
      <c r="C548" s="1" t="n">
        <v>45988</v>
      </c>
      <c r="D548" t="inlineStr">
        <is>
          <t>DALARNAS LÄN</t>
        </is>
      </c>
      <c r="E548" t="inlineStr">
        <is>
          <t>MORA</t>
        </is>
      </c>
      <c r="G548" t="n">
        <v>5.9</v>
      </c>
      <c r="H548" t="n">
        <v>0</v>
      </c>
      <c r="I548" t="n">
        <v>0</v>
      </c>
      <c r="J548" t="n">
        <v>0</v>
      </c>
      <c r="K548" t="n">
        <v>0</v>
      </c>
      <c r="L548" t="n">
        <v>0</v>
      </c>
      <c r="M548" t="n">
        <v>0</v>
      </c>
      <c r="N548" t="n">
        <v>0</v>
      </c>
      <c r="O548" t="n">
        <v>0</v>
      </c>
      <c r="P548" t="n">
        <v>0</v>
      </c>
      <c r="Q548" t="n">
        <v>0</v>
      </c>
      <c r="R548" s="2" t="inlineStr"/>
    </row>
    <row r="549" ht="15" customHeight="1">
      <c r="A549" t="inlineStr">
        <is>
          <t>A 35040-2023</t>
        </is>
      </c>
      <c r="B549" s="1" t="n">
        <v>45145.36853009259</v>
      </c>
      <c r="C549" s="1" t="n">
        <v>45988</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44595-2024</t>
        </is>
      </c>
      <c r="B550" s="1" t="n">
        <v>45574.51053240741</v>
      </c>
      <c r="C550" s="1" t="n">
        <v>45988</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61293-2022</t>
        </is>
      </c>
      <c r="B551" s="1" t="n">
        <v>44915.62751157407</v>
      </c>
      <c r="C551" s="1" t="n">
        <v>45988</v>
      </c>
      <c r="D551" t="inlineStr">
        <is>
          <t>DALARNAS LÄN</t>
        </is>
      </c>
      <c r="E551" t="inlineStr">
        <is>
          <t>MORA</t>
        </is>
      </c>
      <c r="G551" t="n">
        <v>0.3</v>
      </c>
      <c r="H551" t="n">
        <v>0</v>
      </c>
      <c r="I551" t="n">
        <v>0</v>
      </c>
      <c r="J551" t="n">
        <v>0</v>
      </c>
      <c r="K551" t="n">
        <v>0</v>
      </c>
      <c r="L551" t="n">
        <v>0</v>
      </c>
      <c r="M551" t="n">
        <v>0</v>
      </c>
      <c r="N551" t="n">
        <v>0</v>
      </c>
      <c r="O551" t="n">
        <v>0</v>
      </c>
      <c r="P551" t="n">
        <v>0</v>
      </c>
      <c r="Q551" t="n">
        <v>0</v>
      </c>
      <c r="R551" s="2" t="inlineStr"/>
    </row>
    <row r="552" ht="15" customHeight="1">
      <c r="A552" t="inlineStr">
        <is>
          <t>A 46412-2024</t>
        </is>
      </c>
      <c r="B552" s="1" t="n">
        <v>45582.44894675926</v>
      </c>
      <c r="C552" s="1" t="n">
        <v>45988</v>
      </c>
      <c r="D552" t="inlineStr">
        <is>
          <t>DALARNAS LÄN</t>
        </is>
      </c>
      <c r="E552" t="inlineStr">
        <is>
          <t>MORA</t>
        </is>
      </c>
      <c r="G552" t="n">
        <v>4.1</v>
      </c>
      <c r="H552" t="n">
        <v>0</v>
      </c>
      <c r="I552" t="n">
        <v>0</v>
      </c>
      <c r="J552" t="n">
        <v>0</v>
      </c>
      <c r="K552" t="n">
        <v>0</v>
      </c>
      <c r="L552" t="n">
        <v>0</v>
      </c>
      <c r="M552" t="n">
        <v>0</v>
      </c>
      <c r="N552" t="n">
        <v>0</v>
      </c>
      <c r="O552" t="n">
        <v>0</v>
      </c>
      <c r="P552" t="n">
        <v>0</v>
      </c>
      <c r="Q552" t="n">
        <v>0</v>
      </c>
      <c r="R552" s="2" t="inlineStr"/>
    </row>
    <row r="553" ht="15" customHeight="1">
      <c r="A553" t="inlineStr">
        <is>
          <t>A 57091-2021</t>
        </is>
      </c>
      <c r="B553" s="1" t="n">
        <v>44482</v>
      </c>
      <c r="C553" s="1" t="n">
        <v>45988</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50685-2023</t>
        </is>
      </c>
      <c r="B554" s="1" t="n">
        <v>45210</v>
      </c>
      <c r="C554" s="1" t="n">
        <v>45988</v>
      </c>
      <c r="D554" t="inlineStr">
        <is>
          <t>DALARNAS LÄN</t>
        </is>
      </c>
      <c r="E554" t="inlineStr">
        <is>
          <t>MORA</t>
        </is>
      </c>
      <c r="G554" t="n">
        <v>1.7</v>
      </c>
      <c r="H554" t="n">
        <v>0</v>
      </c>
      <c r="I554" t="n">
        <v>0</v>
      </c>
      <c r="J554" t="n">
        <v>0</v>
      </c>
      <c r="K554" t="n">
        <v>0</v>
      </c>
      <c r="L554" t="n">
        <v>0</v>
      </c>
      <c r="M554" t="n">
        <v>0</v>
      </c>
      <c r="N554" t="n">
        <v>0</v>
      </c>
      <c r="O554" t="n">
        <v>0</v>
      </c>
      <c r="P554" t="n">
        <v>0</v>
      </c>
      <c r="Q554" t="n">
        <v>0</v>
      </c>
      <c r="R554" s="2" t="inlineStr"/>
    </row>
    <row r="555" ht="15" customHeight="1">
      <c r="A555" t="inlineStr">
        <is>
          <t>A 36740-2023</t>
        </is>
      </c>
      <c r="B555" s="1" t="n">
        <v>45153</v>
      </c>
      <c r="C555" s="1" t="n">
        <v>45988</v>
      </c>
      <c r="D555" t="inlineStr">
        <is>
          <t>DALARNAS LÄN</t>
        </is>
      </c>
      <c r="E555" t="inlineStr">
        <is>
          <t>MORA</t>
        </is>
      </c>
      <c r="G555" t="n">
        <v>0.2</v>
      </c>
      <c r="H555" t="n">
        <v>0</v>
      </c>
      <c r="I555" t="n">
        <v>0</v>
      </c>
      <c r="J555" t="n">
        <v>0</v>
      </c>
      <c r="K555" t="n">
        <v>0</v>
      </c>
      <c r="L555" t="n">
        <v>0</v>
      </c>
      <c r="M555" t="n">
        <v>0</v>
      </c>
      <c r="N555" t="n">
        <v>0</v>
      </c>
      <c r="O555" t="n">
        <v>0</v>
      </c>
      <c r="P555" t="n">
        <v>0</v>
      </c>
      <c r="Q555" t="n">
        <v>0</v>
      </c>
      <c r="R555" s="2" t="inlineStr"/>
    </row>
    <row r="556" ht="15" customHeight="1">
      <c r="A556" t="inlineStr">
        <is>
          <t>A 31177-2021</t>
        </is>
      </c>
      <c r="B556" s="1" t="n">
        <v>44368</v>
      </c>
      <c r="C556" s="1" t="n">
        <v>45988</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65186-2021</t>
        </is>
      </c>
      <c r="B557" s="1" t="n">
        <v>44515</v>
      </c>
      <c r="C557" s="1" t="n">
        <v>45988</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58171-2024</t>
        </is>
      </c>
      <c r="B558" s="1" t="n">
        <v>45632.46545138889</v>
      </c>
      <c r="C558" s="1" t="n">
        <v>45988</v>
      </c>
      <c r="D558" t="inlineStr">
        <is>
          <t>DALARNAS LÄN</t>
        </is>
      </c>
      <c r="E558" t="inlineStr">
        <is>
          <t>MORA</t>
        </is>
      </c>
      <c r="G558" t="n">
        <v>0.5</v>
      </c>
      <c r="H558" t="n">
        <v>0</v>
      </c>
      <c r="I558" t="n">
        <v>0</v>
      </c>
      <c r="J558" t="n">
        <v>0</v>
      </c>
      <c r="K558" t="n">
        <v>0</v>
      </c>
      <c r="L558" t="n">
        <v>0</v>
      </c>
      <c r="M558" t="n">
        <v>0</v>
      </c>
      <c r="N558" t="n">
        <v>0</v>
      </c>
      <c r="O558" t="n">
        <v>0</v>
      </c>
      <c r="P558" t="n">
        <v>0</v>
      </c>
      <c r="Q558" t="n">
        <v>0</v>
      </c>
      <c r="R558" s="2" t="inlineStr"/>
    </row>
    <row r="559" ht="15" customHeight="1">
      <c r="A559" t="inlineStr">
        <is>
          <t>A 17167-2025</t>
        </is>
      </c>
      <c r="B559" s="1" t="n">
        <v>45756.36844907407</v>
      </c>
      <c r="C559" s="1" t="n">
        <v>45988</v>
      </c>
      <c r="D559" t="inlineStr">
        <is>
          <t>DALARNAS LÄN</t>
        </is>
      </c>
      <c r="E559" t="inlineStr">
        <is>
          <t>MORA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20504-2023</t>
        </is>
      </c>
      <c r="B560" s="1" t="n">
        <v>45057</v>
      </c>
      <c r="C560" s="1" t="n">
        <v>45988</v>
      </c>
      <c r="D560" t="inlineStr">
        <is>
          <t>DALARNAS LÄN</t>
        </is>
      </c>
      <c r="E560" t="inlineStr">
        <is>
          <t>MORA</t>
        </is>
      </c>
      <c r="F560" t="inlineStr">
        <is>
          <t>Bergvik skog väst AB</t>
        </is>
      </c>
      <c r="G560" t="n">
        <v>1.2</v>
      </c>
      <c r="H560" t="n">
        <v>0</v>
      </c>
      <c r="I560" t="n">
        <v>0</v>
      </c>
      <c r="J560" t="n">
        <v>0</v>
      </c>
      <c r="K560" t="n">
        <v>0</v>
      </c>
      <c r="L560" t="n">
        <v>0</v>
      </c>
      <c r="M560" t="n">
        <v>0</v>
      </c>
      <c r="N560" t="n">
        <v>0</v>
      </c>
      <c r="O560" t="n">
        <v>0</v>
      </c>
      <c r="P560" t="n">
        <v>0</v>
      </c>
      <c r="Q560" t="n">
        <v>0</v>
      </c>
      <c r="R560" s="2" t="inlineStr"/>
    </row>
    <row r="561" ht="15" customHeight="1">
      <c r="A561" t="inlineStr">
        <is>
          <t>A 36184-2021</t>
        </is>
      </c>
      <c r="B561" s="1" t="n">
        <v>44389</v>
      </c>
      <c r="C561" s="1" t="n">
        <v>45988</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17529-2023</t>
        </is>
      </c>
      <c r="B562" s="1" t="n">
        <v>45036.46804398148</v>
      </c>
      <c r="C562" s="1" t="n">
        <v>45988</v>
      </c>
      <c r="D562" t="inlineStr">
        <is>
          <t>DALARNAS LÄN</t>
        </is>
      </c>
      <c r="E562" t="inlineStr">
        <is>
          <t>MORA</t>
        </is>
      </c>
      <c r="G562" t="n">
        <v>6</v>
      </c>
      <c r="H562" t="n">
        <v>0</v>
      </c>
      <c r="I562" t="n">
        <v>0</v>
      </c>
      <c r="J562" t="n">
        <v>0</v>
      </c>
      <c r="K562" t="n">
        <v>0</v>
      </c>
      <c r="L562" t="n">
        <v>0</v>
      </c>
      <c r="M562" t="n">
        <v>0</v>
      </c>
      <c r="N562" t="n">
        <v>0</v>
      </c>
      <c r="O562" t="n">
        <v>0</v>
      </c>
      <c r="P562" t="n">
        <v>0</v>
      </c>
      <c r="Q562" t="n">
        <v>0</v>
      </c>
      <c r="R562" s="2" t="inlineStr"/>
    </row>
    <row r="563" ht="15" customHeight="1">
      <c r="A563" t="inlineStr">
        <is>
          <t>A 44201-2023</t>
        </is>
      </c>
      <c r="B563" s="1" t="n">
        <v>45188</v>
      </c>
      <c r="C563" s="1" t="n">
        <v>45988</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16522-2024</t>
        </is>
      </c>
      <c r="B564" s="1" t="n">
        <v>45408.41166666667</v>
      </c>
      <c r="C564" s="1" t="n">
        <v>45988</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36038-2024</t>
        </is>
      </c>
      <c r="B565" s="1" t="n">
        <v>45533</v>
      </c>
      <c r="C565" s="1" t="n">
        <v>45988</v>
      </c>
      <c r="D565" t="inlineStr">
        <is>
          <t>DALARNAS LÄN</t>
        </is>
      </c>
      <c r="E565" t="inlineStr">
        <is>
          <t>MORA</t>
        </is>
      </c>
      <c r="G565" t="n">
        <v>5.1</v>
      </c>
      <c r="H565" t="n">
        <v>0</v>
      </c>
      <c r="I565" t="n">
        <v>0</v>
      </c>
      <c r="J565" t="n">
        <v>0</v>
      </c>
      <c r="K565" t="n">
        <v>0</v>
      </c>
      <c r="L565" t="n">
        <v>0</v>
      </c>
      <c r="M565" t="n">
        <v>0</v>
      </c>
      <c r="N565" t="n">
        <v>0</v>
      </c>
      <c r="O565" t="n">
        <v>0</v>
      </c>
      <c r="P565" t="n">
        <v>0</v>
      </c>
      <c r="Q565" t="n">
        <v>0</v>
      </c>
      <c r="R565" s="2" t="inlineStr"/>
    </row>
    <row r="566" ht="15" customHeight="1">
      <c r="A566" t="inlineStr">
        <is>
          <t>A 2865-2022</t>
        </is>
      </c>
      <c r="B566" s="1" t="n">
        <v>44581</v>
      </c>
      <c r="C566" s="1" t="n">
        <v>45988</v>
      </c>
      <c r="D566" t="inlineStr">
        <is>
          <t>DALARNAS LÄN</t>
        </is>
      </c>
      <c r="E566" t="inlineStr">
        <is>
          <t>MORA</t>
        </is>
      </c>
      <c r="G566" t="n">
        <v>2</v>
      </c>
      <c r="H566" t="n">
        <v>0</v>
      </c>
      <c r="I566" t="n">
        <v>0</v>
      </c>
      <c r="J566" t="n">
        <v>0</v>
      </c>
      <c r="K566" t="n">
        <v>0</v>
      </c>
      <c r="L566" t="n">
        <v>0</v>
      </c>
      <c r="M566" t="n">
        <v>0</v>
      </c>
      <c r="N566" t="n">
        <v>0</v>
      </c>
      <c r="O566" t="n">
        <v>0</v>
      </c>
      <c r="P566" t="n">
        <v>0</v>
      </c>
      <c r="Q566" t="n">
        <v>0</v>
      </c>
      <c r="R566" s="2" t="inlineStr"/>
    </row>
    <row r="567" ht="15" customHeight="1">
      <c r="A567" t="inlineStr">
        <is>
          <t>A 56834-2024</t>
        </is>
      </c>
      <c r="B567" s="1" t="n">
        <v>45628.49931712963</v>
      </c>
      <c r="C567" s="1" t="n">
        <v>45988</v>
      </c>
      <c r="D567" t="inlineStr">
        <is>
          <t>DALARNAS LÄN</t>
        </is>
      </c>
      <c r="E567" t="inlineStr">
        <is>
          <t>MORA</t>
        </is>
      </c>
      <c r="G567" t="n">
        <v>0.4</v>
      </c>
      <c r="H567" t="n">
        <v>0</v>
      </c>
      <c r="I567" t="n">
        <v>0</v>
      </c>
      <c r="J567" t="n">
        <v>0</v>
      </c>
      <c r="K567" t="n">
        <v>0</v>
      </c>
      <c r="L567" t="n">
        <v>0</v>
      </c>
      <c r="M567" t="n">
        <v>0</v>
      </c>
      <c r="N567" t="n">
        <v>0</v>
      </c>
      <c r="O567" t="n">
        <v>0</v>
      </c>
      <c r="P567" t="n">
        <v>0</v>
      </c>
      <c r="Q567" t="n">
        <v>0</v>
      </c>
      <c r="R567" s="2" t="inlineStr"/>
    </row>
    <row r="568" ht="15" customHeight="1">
      <c r="A568" t="inlineStr">
        <is>
          <t>A 47036-2023</t>
        </is>
      </c>
      <c r="B568" s="1" t="n">
        <v>45196</v>
      </c>
      <c r="C568" s="1" t="n">
        <v>45988</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20544-2025</t>
        </is>
      </c>
      <c r="B569" s="1" t="n">
        <v>45775.63119212963</v>
      </c>
      <c r="C569" s="1" t="n">
        <v>45988</v>
      </c>
      <c r="D569" t="inlineStr">
        <is>
          <t>DALARNAS LÄN</t>
        </is>
      </c>
      <c r="E569" t="inlineStr">
        <is>
          <t>MORA</t>
        </is>
      </c>
      <c r="G569" t="n">
        <v>3.6</v>
      </c>
      <c r="H569" t="n">
        <v>0</v>
      </c>
      <c r="I569" t="n">
        <v>0</v>
      </c>
      <c r="J569" t="n">
        <v>0</v>
      </c>
      <c r="K569" t="n">
        <v>0</v>
      </c>
      <c r="L569" t="n">
        <v>0</v>
      </c>
      <c r="M569" t="n">
        <v>0</v>
      </c>
      <c r="N569" t="n">
        <v>0</v>
      </c>
      <c r="O569" t="n">
        <v>0</v>
      </c>
      <c r="P569" t="n">
        <v>0</v>
      </c>
      <c r="Q569" t="n">
        <v>0</v>
      </c>
      <c r="R569" s="2" t="inlineStr"/>
    </row>
    <row r="570" ht="15" customHeight="1">
      <c r="A570" t="inlineStr">
        <is>
          <t>A 51965-2024</t>
        </is>
      </c>
      <c r="B570" s="1" t="n">
        <v>45607.65123842593</v>
      </c>
      <c r="C570" s="1" t="n">
        <v>45988</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20401-2022</t>
        </is>
      </c>
      <c r="B571" s="1" t="n">
        <v>44699</v>
      </c>
      <c r="C571" s="1" t="n">
        <v>45988</v>
      </c>
      <c r="D571" t="inlineStr">
        <is>
          <t>DALARNAS LÄN</t>
        </is>
      </c>
      <c r="E571" t="inlineStr">
        <is>
          <t>MORA</t>
        </is>
      </c>
      <c r="G571" t="n">
        <v>3.2</v>
      </c>
      <c r="H571" t="n">
        <v>0</v>
      </c>
      <c r="I571" t="n">
        <v>0</v>
      </c>
      <c r="J571" t="n">
        <v>0</v>
      </c>
      <c r="K571" t="n">
        <v>0</v>
      </c>
      <c r="L571" t="n">
        <v>0</v>
      </c>
      <c r="M571" t="n">
        <v>0</v>
      </c>
      <c r="N571" t="n">
        <v>0</v>
      </c>
      <c r="O571" t="n">
        <v>0</v>
      </c>
      <c r="P571" t="n">
        <v>0</v>
      </c>
      <c r="Q571" t="n">
        <v>0</v>
      </c>
      <c r="R571" s="2" t="inlineStr"/>
    </row>
    <row r="572" ht="15" customHeight="1">
      <c r="A572" t="inlineStr">
        <is>
          <t>A 25494-2024</t>
        </is>
      </c>
      <c r="B572" s="1" t="n">
        <v>45463</v>
      </c>
      <c r="C572" s="1" t="n">
        <v>45988</v>
      </c>
      <c r="D572" t="inlineStr">
        <is>
          <t>DALARNAS LÄN</t>
        </is>
      </c>
      <c r="E572" t="inlineStr">
        <is>
          <t>MORA</t>
        </is>
      </c>
      <c r="G572" t="n">
        <v>4.9</v>
      </c>
      <c r="H572" t="n">
        <v>0</v>
      </c>
      <c r="I572" t="n">
        <v>0</v>
      </c>
      <c r="J572" t="n">
        <v>0</v>
      </c>
      <c r="K572" t="n">
        <v>0</v>
      </c>
      <c r="L572" t="n">
        <v>0</v>
      </c>
      <c r="M572" t="n">
        <v>0</v>
      </c>
      <c r="N572" t="n">
        <v>0</v>
      </c>
      <c r="O572" t="n">
        <v>0</v>
      </c>
      <c r="P572" t="n">
        <v>0</v>
      </c>
      <c r="Q572" t="n">
        <v>0</v>
      </c>
      <c r="R572" s="2" t="inlineStr"/>
    </row>
    <row r="573" ht="15" customHeight="1">
      <c r="A573" t="inlineStr">
        <is>
          <t>A 38627-2023</t>
        </is>
      </c>
      <c r="B573" s="1" t="n">
        <v>45162.68787037037</v>
      </c>
      <c r="C573" s="1" t="n">
        <v>45988</v>
      </c>
      <c r="D573" t="inlineStr">
        <is>
          <t>DALARNAS LÄN</t>
        </is>
      </c>
      <c r="E573" t="inlineStr">
        <is>
          <t>MORA</t>
        </is>
      </c>
      <c r="G573" t="n">
        <v>6.5</v>
      </c>
      <c r="H573" t="n">
        <v>0</v>
      </c>
      <c r="I573" t="n">
        <v>0</v>
      </c>
      <c r="J573" t="n">
        <v>0</v>
      </c>
      <c r="K573" t="n">
        <v>0</v>
      </c>
      <c r="L573" t="n">
        <v>0</v>
      </c>
      <c r="M573" t="n">
        <v>0</v>
      </c>
      <c r="N573" t="n">
        <v>0</v>
      </c>
      <c r="O573" t="n">
        <v>0</v>
      </c>
      <c r="P573" t="n">
        <v>0</v>
      </c>
      <c r="Q573" t="n">
        <v>0</v>
      </c>
      <c r="R573" s="2" t="inlineStr"/>
    </row>
    <row r="574" ht="15" customHeight="1">
      <c r="A574" t="inlineStr">
        <is>
          <t>A 64088-2023</t>
        </is>
      </c>
      <c r="B574" s="1" t="n">
        <v>45279.43570601852</v>
      </c>
      <c r="C574" s="1" t="n">
        <v>45988</v>
      </c>
      <c r="D574" t="inlineStr">
        <is>
          <t>DALARNAS LÄN</t>
        </is>
      </c>
      <c r="E574" t="inlineStr">
        <is>
          <t>MORA</t>
        </is>
      </c>
      <c r="G574" t="n">
        <v>1</v>
      </c>
      <c r="H574" t="n">
        <v>0</v>
      </c>
      <c r="I574" t="n">
        <v>0</v>
      </c>
      <c r="J574" t="n">
        <v>0</v>
      </c>
      <c r="K574" t="n">
        <v>0</v>
      </c>
      <c r="L574" t="n">
        <v>0</v>
      </c>
      <c r="M574" t="n">
        <v>0</v>
      </c>
      <c r="N574" t="n">
        <v>0</v>
      </c>
      <c r="O574" t="n">
        <v>0</v>
      </c>
      <c r="P574" t="n">
        <v>0</v>
      </c>
      <c r="Q574" t="n">
        <v>0</v>
      </c>
      <c r="R574" s="2" t="inlineStr"/>
    </row>
    <row r="575" ht="15" customHeight="1">
      <c r="A575" t="inlineStr">
        <is>
          <t>A 2830-2023</t>
        </is>
      </c>
      <c r="B575" s="1" t="n">
        <v>44945.32997685186</v>
      </c>
      <c r="C575" s="1" t="n">
        <v>45988</v>
      </c>
      <c r="D575" t="inlineStr">
        <is>
          <t>DALARNAS LÄN</t>
        </is>
      </c>
      <c r="E575" t="inlineStr">
        <is>
          <t>MORA</t>
        </is>
      </c>
      <c r="G575" t="n">
        <v>0.5</v>
      </c>
      <c r="H575" t="n">
        <v>0</v>
      </c>
      <c r="I575" t="n">
        <v>0</v>
      </c>
      <c r="J575" t="n">
        <v>0</v>
      </c>
      <c r="K575" t="n">
        <v>0</v>
      </c>
      <c r="L575" t="n">
        <v>0</v>
      </c>
      <c r="M575" t="n">
        <v>0</v>
      </c>
      <c r="N575" t="n">
        <v>0</v>
      </c>
      <c r="O575" t="n">
        <v>0</v>
      </c>
      <c r="P575" t="n">
        <v>0</v>
      </c>
      <c r="Q575" t="n">
        <v>0</v>
      </c>
      <c r="R575" s="2" t="inlineStr"/>
    </row>
    <row r="576" ht="15" customHeight="1">
      <c r="A576" t="inlineStr">
        <is>
          <t>A 39882-2024</t>
        </is>
      </c>
      <c r="B576" s="1" t="n">
        <v>45553</v>
      </c>
      <c r="C576" s="1" t="n">
        <v>45988</v>
      </c>
      <c r="D576" t="inlineStr">
        <is>
          <t>DALARNAS LÄN</t>
        </is>
      </c>
      <c r="E576" t="inlineStr">
        <is>
          <t>MORA</t>
        </is>
      </c>
      <c r="G576" t="n">
        <v>14.6</v>
      </c>
      <c r="H576" t="n">
        <v>0</v>
      </c>
      <c r="I576" t="n">
        <v>0</v>
      </c>
      <c r="J576" t="n">
        <v>0</v>
      </c>
      <c r="K576" t="n">
        <v>0</v>
      </c>
      <c r="L576" t="n">
        <v>0</v>
      </c>
      <c r="M576" t="n">
        <v>0</v>
      </c>
      <c r="N576" t="n">
        <v>0</v>
      </c>
      <c r="O576" t="n">
        <v>0</v>
      </c>
      <c r="P576" t="n">
        <v>0</v>
      </c>
      <c r="Q576" t="n">
        <v>0</v>
      </c>
      <c r="R576" s="2" t="inlineStr"/>
    </row>
    <row r="577" ht="15" customHeight="1">
      <c r="A577" t="inlineStr">
        <is>
          <t>A 43566-2023</t>
        </is>
      </c>
      <c r="B577" s="1" t="n">
        <v>45184.58199074074</v>
      </c>
      <c r="C577" s="1" t="n">
        <v>45988</v>
      </c>
      <c r="D577" t="inlineStr">
        <is>
          <t>DALARNAS LÄN</t>
        </is>
      </c>
      <c r="E577" t="inlineStr">
        <is>
          <t>MORA</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46414-2024</t>
        </is>
      </c>
      <c r="B578" s="1" t="n">
        <v>45582.45226851852</v>
      </c>
      <c r="C578" s="1" t="n">
        <v>45988</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46417-2024</t>
        </is>
      </c>
      <c r="B579" s="1" t="n">
        <v>45582.45449074074</v>
      </c>
      <c r="C579" s="1" t="n">
        <v>45988</v>
      </c>
      <c r="D579" t="inlineStr">
        <is>
          <t>DALARNAS LÄN</t>
        </is>
      </c>
      <c r="E579" t="inlineStr">
        <is>
          <t>MORA</t>
        </is>
      </c>
      <c r="G579" t="n">
        <v>0.8</v>
      </c>
      <c r="H579" t="n">
        <v>0</v>
      </c>
      <c r="I579" t="n">
        <v>0</v>
      </c>
      <c r="J579" t="n">
        <v>0</v>
      </c>
      <c r="K579" t="n">
        <v>0</v>
      </c>
      <c r="L579" t="n">
        <v>0</v>
      </c>
      <c r="M579" t="n">
        <v>0</v>
      </c>
      <c r="N579" t="n">
        <v>0</v>
      </c>
      <c r="O579" t="n">
        <v>0</v>
      </c>
      <c r="P579" t="n">
        <v>0</v>
      </c>
      <c r="Q579" t="n">
        <v>0</v>
      </c>
      <c r="R579" s="2" t="inlineStr"/>
    </row>
    <row r="580" ht="15" customHeight="1">
      <c r="A580" t="inlineStr">
        <is>
          <t>A 5491-2023</t>
        </is>
      </c>
      <c r="B580" s="1" t="n">
        <v>44957</v>
      </c>
      <c r="C580" s="1" t="n">
        <v>45988</v>
      </c>
      <c r="D580" t="inlineStr">
        <is>
          <t>DALARNAS LÄN</t>
        </is>
      </c>
      <c r="E580" t="inlineStr">
        <is>
          <t>MORA</t>
        </is>
      </c>
      <c r="G580" t="n">
        <v>3.5</v>
      </c>
      <c r="H580" t="n">
        <v>0</v>
      </c>
      <c r="I580" t="n">
        <v>0</v>
      </c>
      <c r="J580" t="n">
        <v>0</v>
      </c>
      <c r="K580" t="n">
        <v>0</v>
      </c>
      <c r="L580" t="n">
        <v>0</v>
      </c>
      <c r="M580" t="n">
        <v>0</v>
      </c>
      <c r="N580" t="n">
        <v>0</v>
      </c>
      <c r="O580" t="n">
        <v>0</v>
      </c>
      <c r="P580" t="n">
        <v>0</v>
      </c>
      <c r="Q580" t="n">
        <v>0</v>
      </c>
      <c r="R580" s="2" t="inlineStr"/>
    </row>
    <row r="581" ht="15" customHeight="1">
      <c r="A581" t="inlineStr">
        <is>
          <t>A 5493-2023</t>
        </is>
      </c>
      <c r="B581" s="1" t="n">
        <v>44957</v>
      </c>
      <c r="C581" s="1" t="n">
        <v>45988</v>
      </c>
      <c r="D581" t="inlineStr">
        <is>
          <t>DALARNAS LÄN</t>
        </is>
      </c>
      <c r="E581" t="inlineStr">
        <is>
          <t>MORA</t>
        </is>
      </c>
      <c r="F581" t="inlineStr">
        <is>
          <t>Allmännings- och besparingsskogar</t>
        </is>
      </c>
      <c r="G581" t="n">
        <v>14.9</v>
      </c>
      <c r="H581" t="n">
        <v>0</v>
      </c>
      <c r="I581" t="n">
        <v>0</v>
      </c>
      <c r="J581" t="n">
        <v>0</v>
      </c>
      <c r="K581" t="n">
        <v>0</v>
      </c>
      <c r="L581" t="n">
        <v>0</v>
      </c>
      <c r="M581" t="n">
        <v>0</v>
      </c>
      <c r="N581" t="n">
        <v>0</v>
      </c>
      <c r="O581" t="n">
        <v>0</v>
      </c>
      <c r="P581" t="n">
        <v>0</v>
      </c>
      <c r="Q581" t="n">
        <v>0</v>
      </c>
      <c r="R581" s="2" t="inlineStr"/>
    </row>
    <row r="582" ht="15" customHeight="1">
      <c r="A582" t="inlineStr">
        <is>
          <t>A 48825-2023</t>
        </is>
      </c>
      <c r="B582" s="1" t="n">
        <v>45203</v>
      </c>
      <c r="C582" s="1" t="n">
        <v>45988</v>
      </c>
      <c r="D582" t="inlineStr">
        <is>
          <t>DALARNAS LÄN</t>
        </is>
      </c>
      <c r="E582" t="inlineStr">
        <is>
          <t>MORA</t>
        </is>
      </c>
      <c r="G582" t="n">
        <v>7.9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45105.54791666667</v>
      </c>
      <c r="C583" s="1" t="n">
        <v>45988</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18444-2024</t>
        </is>
      </c>
      <c r="B584" s="1" t="n">
        <v>45425.45568287037</v>
      </c>
      <c r="C584" s="1" t="n">
        <v>45988</v>
      </c>
      <c r="D584" t="inlineStr">
        <is>
          <t>DALARNAS LÄN</t>
        </is>
      </c>
      <c r="E584" t="inlineStr">
        <is>
          <t>MORA</t>
        </is>
      </c>
      <c r="G584" t="n">
        <v>5</v>
      </c>
      <c r="H584" t="n">
        <v>0</v>
      </c>
      <c r="I584" t="n">
        <v>0</v>
      </c>
      <c r="J584" t="n">
        <v>0</v>
      </c>
      <c r="K584" t="n">
        <v>0</v>
      </c>
      <c r="L584" t="n">
        <v>0</v>
      </c>
      <c r="M584" t="n">
        <v>0</v>
      </c>
      <c r="N584" t="n">
        <v>0</v>
      </c>
      <c r="O584" t="n">
        <v>0</v>
      </c>
      <c r="P584" t="n">
        <v>0</v>
      </c>
      <c r="Q584" t="n">
        <v>0</v>
      </c>
      <c r="R584" s="2" t="inlineStr"/>
    </row>
    <row r="585" ht="15" customHeight="1">
      <c r="A585" t="inlineStr">
        <is>
          <t>A 47784-2024</t>
        </is>
      </c>
      <c r="B585" s="1" t="n">
        <v>45588.59290509259</v>
      </c>
      <c r="C585" s="1" t="n">
        <v>45988</v>
      </c>
      <c r="D585" t="inlineStr">
        <is>
          <t>DALARNAS LÄN</t>
        </is>
      </c>
      <c r="E585" t="inlineStr">
        <is>
          <t>MORA</t>
        </is>
      </c>
      <c r="G585" t="n">
        <v>15.3</v>
      </c>
      <c r="H585" t="n">
        <v>0</v>
      </c>
      <c r="I585" t="n">
        <v>0</v>
      </c>
      <c r="J585" t="n">
        <v>0</v>
      </c>
      <c r="K585" t="n">
        <v>0</v>
      </c>
      <c r="L585" t="n">
        <v>0</v>
      </c>
      <c r="M585" t="n">
        <v>0</v>
      </c>
      <c r="N585" t="n">
        <v>0</v>
      </c>
      <c r="O585" t="n">
        <v>0</v>
      </c>
      <c r="P585" t="n">
        <v>0</v>
      </c>
      <c r="Q585" t="n">
        <v>0</v>
      </c>
      <c r="R585" s="2" t="inlineStr"/>
    </row>
    <row r="586" ht="15" customHeight="1">
      <c r="A586" t="inlineStr">
        <is>
          <t>A 35551-2023</t>
        </is>
      </c>
      <c r="B586" s="1" t="n">
        <v>45147.3934837963</v>
      </c>
      <c r="C586" s="1" t="n">
        <v>45988</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59174-2023</t>
        </is>
      </c>
      <c r="B587" s="1" t="n">
        <v>45253.43202546296</v>
      </c>
      <c r="C587" s="1" t="n">
        <v>45988</v>
      </c>
      <c r="D587" t="inlineStr">
        <is>
          <t>DALARNAS LÄN</t>
        </is>
      </c>
      <c r="E587" t="inlineStr">
        <is>
          <t>MORA</t>
        </is>
      </c>
      <c r="G587" t="n">
        <v>2.5</v>
      </c>
      <c r="H587" t="n">
        <v>0</v>
      </c>
      <c r="I587" t="n">
        <v>0</v>
      </c>
      <c r="J587" t="n">
        <v>0</v>
      </c>
      <c r="K587" t="n">
        <v>0</v>
      </c>
      <c r="L587" t="n">
        <v>0</v>
      </c>
      <c r="M587" t="n">
        <v>0</v>
      </c>
      <c r="N587" t="n">
        <v>0</v>
      </c>
      <c r="O587" t="n">
        <v>0</v>
      </c>
      <c r="P587" t="n">
        <v>0</v>
      </c>
      <c r="Q587" t="n">
        <v>0</v>
      </c>
      <c r="R587" s="2" t="inlineStr"/>
    </row>
    <row r="588" ht="15" customHeight="1">
      <c r="A588" t="inlineStr">
        <is>
          <t>A 55331-2022</t>
        </is>
      </c>
      <c r="B588" s="1" t="n">
        <v>44887.43714120371</v>
      </c>
      <c r="C588" s="1" t="n">
        <v>45988</v>
      </c>
      <c r="D588" t="inlineStr">
        <is>
          <t>DALARNAS LÄN</t>
        </is>
      </c>
      <c r="E588" t="inlineStr">
        <is>
          <t>MORA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42085-2024</t>
        </is>
      </c>
      <c r="B589" s="1" t="n">
        <v>45562.33179398148</v>
      </c>
      <c r="C589" s="1" t="n">
        <v>45988</v>
      </c>
      <c r="D589" t="inlineStr">
        <is>
          <t>DALARNAS LÄN</t>
        </is>
      </c>
      <c r="E589" t="inlineStr">
        <is>
          <t>MORA</t>
        </is>
      </c>
      <c r="G589" t="n">
        <v>4.9</v>
      </c>
      <c r="H589" t="n">
        <v>0</v>
      </c>
      <c r="I589" t="n">
        <v>0</v>
      </c>
      <c r="J589" t="n">
        <v>0</v>
      </c>
      <c r="K589" t="n">
        <v>0</v>
      </c>
      <c r="L589" t="n">
        <v>0</v>
      </c>
      <c r="M589" t="n">
        <v>0</v>
      </c>
      <c r="N589" t="n">
        <v>0</v>
      </c>
      <c r="O589" t="n">
        <v>0</v>
      </c>
      <c r="P589" t="n">
        <v>0</v>
      </c>
      <c r="Q589" t="n">
        <v>0</v>
      </c>
      <c r="R589" s="2" t="inlineStr"/>
    </row>
    <row r="590" ht="15" customHeight="1">
      <c r="A590" t="inlineStr">
        <is>
          <t>A 60187-2024</t>
        </is>
      </c>
      <c r="B590" s="1" t="n">
        <v>45642.64803240741</v>
      </c>
      <c r="C590" s="1" t="n">
        <v>45988</v>
      </c>
      <c r="D590" t="inlineStr">
        <is>
          <t>DALARNAS LÄN</t>
        </is>
      </c>
      <c r="E590" t="inlineStr">
        <is>
          <t>MORA</t>
        </is>
      </c>
      <c r="F590" t="inlineStr">
        <is>
          <t>Allmännings- och besparingsskogar</t>
        </is>
      </c>
      <c r="G590" t="n">
        <v>24.6</v>
      </c>
      <c r="H590" t="n">
        <v>0</v>
      </c>
      <c r="I590" t="n">
        <v>0</v>
      </c>
      <c r="J590" t="n">
        <v>0</v>
      </c>
      <c r="K590" t="n">
        <v>0</v>
      </c>
      <c r="L590" t="n">
        <v>0</v>
      </c>
      <c r="M590" t="n">
        <v>0</v>
      </c>
      <c r="N590" t="n">
        <v>0</v>
      </c>
      <c r="O590" t="n">
        <v>0</v>
      </c>
      <c r="P590" t="n">
        <v>0</v>
      </c>
      <c r="Q590" t="n">
        <v>0</v>
      </c>
      <c r="R590" s="2" t="inlineStr"/>
    </row>
    <row r="591" ht="15" customHeight="1">
      <c r="A591" t="inlineStr">
        <is>
          <t>A 61222-2023</t>
        </is>
      </c>
      <c r="B591" s="1" t="n">
        <v>45264</v>
      </c>
      <c r="C591" s="1" t="n">
        <v>45988</v>
      </c>
      <c r="D591" t="inlineStr">
        <is>
          <t>DALARNAS LÄN</t>
        </is>
      </c>
      <c r="E591" t="inlineStr">
        <is>
          <t>MORA</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40949-2023</t>
        </is>
      </c>
      <c r="B592" s="1" t="n">
        <v>45173</v>
      </c>
      <c r="C592" s="1" t="n">
        <v>45988</v>
      </c>
      <c r="D592" t="inlineStr">
        <is>
          <t>DALARNAS LÄN</t>
        </is>
      </c>
      <c r="E592" t="inlineStr">
        <is>
          <t>MORA</t>
        </is>
      </c>
      <c r="F592" t="inlineStr">
        <is>
          <t>Kyrkan</t>
        </is>
      </c>
      <c r="G592" t="n">
        <v>0.5</v>
      </c>
      <c r="H592" t="n">
        <v>0</v>
      </c>
      <c r="I592" t="n">
        <v>0</v>
      </c>
      <c r="J592" t="n">
        <v>0</v>
      </c>
      <c r="K592" t="n">
        <v>0</v>
      </c>
      <c r="L592" t="n">
        <v>0</v>
      </c>
      <c r="M592" t="n">
        <v>0</v>
      </c>
      <c r="N592" t="n">
        <v>0</v>
      </c>
      <c r="O592" t="n">
        <v>0</v>
      </c>
      <c r="P592" t="n">
        <v>0</v>
      </c>
      <c r="Q592" t="n">
        <v>0</v>
      </c>
      <c r="R592" s="2" t="inlineStr"/>
    </row>
    <row r="593" ht="15" customHeight="1">
      <c r="A593" t="inlineStr">
        <is>
          <t>A 5216-2025</t>
        </is>
      </c>
      <c r="B593" s="1" t="n">
        <v>45691.69671296296</v>
      </c>
      <c r="C593" s="1" t="n">
        <v>45988</v>
      </c>
      <c r="D593" t="inlineStr">
        <is>
          <t>DALARNAS LÄN</t>
        </is>
      </c>
      <c r="E593" t="inlineStr">
        <is>
          <t>MORA</t>
        </is>
      </c>
      <c r="G593" t="n">
        <v>2.5</v>
      </c>
      <c r="H593" t="n">
        <v>0</v>
      </c>
      <c r="I593" t="n">
        <v>0</v>
      </c>
      <c r="J593" t="n">
        <v>0</v>
      </c>
      <c r="K593" t="n">
        <v>0</v>
      </c>
      <c r="L593" t="n">
        <v>0</v>
      </c>
      <c r="M593" t="n">
        <v>0</v>
      </c>
      <c r="N593" t="n">
        <v>0</v>
      </c>
      <c r="O593" t="n">
        <v>0</v>
      </c>
      <c r="P593" t="n">
        <v>0</v>
      </c>
      <c r="Q593" t="n">
        <v>0</v>
      </c>
      <c r="R593" s="2" t="inlineStr"/>
    </row>
    <row r="594" ht="15" customHeight="1">
      <c r="A594" t="inlineStr">
        <is>
          <t>A 45674-2024</t>
        </is>
      </c>
      <c r="B594" s="1" t="n">
        <v>45573</v>
      </c>
      <c r="C594" s="1" t="n">
        <v>45988</v>
      </c>
      <c r="D594" t="inlineStr">
        <is>
          <t>DALARNAS LÄN</t>
        </is>
      </c>
      <c r="E594" t="inlineStr">
        <is>
          <t>MORA</t>
        </is>
      </c>
      <c r="G594" t="n">
        <v>3.2</v>
      </c>
      <c r="H594" t="n">
        <v>0</v>
      </c>
      <c r="I594" t="n">
        <v>0</v>
      </c>
      <c r="J594" t="n">
        <v>0</v>
      </c>
      <c r="K594" t="n">
        <v>0</v>
      </c>
      <c r="L594" t="n">
        <v>0</v>
      </c>
      <c r="M594" t="n">
        <v>0</v>
      </c>
      <c r="N594" t="n">
        <v>0</v>
      </c>
      <c r="O594" t="n">
        <v>0</v>
      </c>
      <c r="P594" t="n">
        <v>0</v>
      </c>
      <c r="Q594" t="n">
        <v>0</v>
      </c>
      <c r="R594" s="2" t="inlineStr"/>
    </row>
    <row r="595" ht="15" customHeight="1">
      <c r="A595" t="inlineStr">
        <is>
          <t>A 18139-2025</t>
        </is>
      </c>
      <c r="B595" s="1" t="n">
        <v>45761.60459490741</v>
      </c>
      <c r="C595" s="1" t="n">
        <v>45988</v>
      </c>
      <c r="D595" t="inlineStr">
        <is>
          <t>DALARNAS LÄN</t>
        </is>
      </c>
      <c r="E595" t="inlineStr">
        <is>
          <t>MORA</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57999-2023</t>
        </is>
      </c>
      <c r="B596" s="1" t="n">
        <v>45247</v>
      </c>
      <c r="C596" s="1" t="n">
        <v>45988</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24335-2022</t>
        </is>
      </c>
      <c r="B597" s="1" t="n">
        <v>44725</v>
      </c>
      <c r="C597" s="1" t="n">
        <v>45988</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55120-2024</t>
        </is>
      </c>
      <c r="B598" s="1" t="n">
        <v>45621.45765046297</v>
      </c>
      <c r="C598" s="1" t="n">
        <v>45988</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34660-2021</t>
        </is>
      </c>
      <c r="B599" s="1" t="n">
        <v>44382.57981481482</v>
      </c>
      <c r="C599" s="1" t="n">
        <v>45988</v>
      </c>
      <c r="D599" t="inlineStr">
        <is>
          <t>DALARNAS LÄN</t>
        </is>
      </c>
      <c r="E599" t="inlineStr">
        <is>
          <t>MORA</t>
        </is>
      </c>
      <c r="G599" t="n">
        <v>7.5</v>
      </c>
      <c r="H599" t="n">
        <v>0</v>
      </c>
      <c r="I599" t="n">
        <v>0</v>
      </c>
      <c r="J599" t="n">
        <v>0</v>
      </c>
      <c r="K599" t="n">
        <v>0</v>
      </c>
      <c r="L599" t="n">
        <v>0</v>
      </c>
      <c r="M599" t="n">
        <v>0</v>
      </c>
      <c r="N599" t="n">
        <v>0</v>
      </c>
      <c r="O599" t="n">
        <v>0</v>
      </c>
      <c r="P599" t="n">
        <v>0</v>
      </c>
      <c r="Q599" t="n">
        <v>0</v>
      </c>
      <c r="R599" s="2" t="inlineStr"/>
    </row>
    <row r="600" ht="15" customHeight="1">
      <c r="A600" t="inlineStr">
        <is>
          <t>A 42934-2024</t>
        </is>
      </c>
      <c r="B600" s="1" t="n">
        <v>45567.33655092592</v>
      </c>
      <c r="C600" s="1" t="n">
        <v>45988</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17516-2024</t>
        </is>
      </c>
      <c r="B601" s="1" t="n">
        <v>45415.58502314815</v>
      </c>
      <c r="C601" s="1" t="n">
        <v>45988</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49159-2023</t>
        </is>
      </c>
      <c r="B602" s="1" t="n">
        <v>45210</v>
      </c>
      <c r="C602" s="1" t="n">
        <v>45988</v>
      </c>
      <c r="D602" t="inlineStr">
        <is>
          <t>DALARNAS LÄN</t>
        </is>
      </c>
      <c r="E602" t="inlineStr">
        <is>
          <t>MORA</t>
        </is>
      </c>
      <c r="G602" t="n">
        <v>1.6</v>
      </c>
      <c r="H602" t="n">
        <v>0</v>
      </c>
      <c r="I602" t="n">
        <v>0</v>
      </c>
      <c r="J602" t="n">
        <v>0</v>
      </c>
      <c r="K602" t="n">
        <v>0</v>
      </c>
      <c r="L602" t="n">
        <v>0</v>
      </c>
      <c r="M602" t="n">
        <v>0</v>
      </c>
      <c r="N602" t="n">
        <v>0</v>
      </c>
      <c r="O602" t="n">
        <v>0</v>
      </c>
      <c r="P602" t="n">
        <v>0</v>
      </c>
      <c r="Q602" t="n">
        <v>0</v>
      </c>
      <c r="R602" s="2" t="inlineStr"/>
    </row>
    <row r="603" ht="15" customHeight="1">
      <c r="A603" t="inlineStr">
        <is>
          <t>A 29188-2023</t>
        </is>
      </c>
      <c r="B603" s="1" t="n">
        <v>45105.54270833333</v>
      </c>
      <c r="C603" s="1" t="n">
        <v>45988</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12151-2021</t>
        </is>
      </c>
      <c r="B604" s="1" t="n">
        <v>44266</v>
      </c>
      <c r="C604" s="1" t="n">
        <v>45988</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26314-2021</t>
        </is>
      </c>
      <c r="B605" s="1" t="n">
        <v>44347</v>
      </c>
      <c r="C605" s="1" t="n">
        <v>45988</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30985-2024</t>
        </is>
      </c>
      <c r="B606" s="1" t="n">
        <v>45499.51721064815</v>
      </c>
      <c r="C606" s="1" t="n">
        <v>45988</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18202-2024</t>
        </is>
      </c>
      <c r="B607" s="1" t="n">
        <v>45420.68172453704</v>
      </c>
      <c r="C607" s="1" t="n">
        <v>45988</v>
      </c>
      <c r="D607" t="inlineStr">
        <is>
          <t>DALARNAS LÄN</t>
        </is>
      </c>
      <c r="E607" t="inlineStr">
        <is>
          <t>MORA</t>
        </is>
      </c>
      <c r="G607" t="n">
        <v>2</v>
      </c>
      <c r="H607" t="n">
        <v>0</v>
      </c>
      <c r="I607" t="n">
        <v>0</v>
      </c>
      <c r="J607" t="n">
        <v>0</v>
      </c>
      <c r="K607" t="n">
        <v>0</v>
      </c>
      <c r="L607" t="n">
        <v>0</v>
      </c>
      <c r="M607" t="n">
        <v>0</v>
      </c>
      <c r="N607" t="n">
        <v>0</v>
      </c>
      <c r="O607" t="n">
        <v>0</v>
      </c>
      <c r="P607" t="n">
        <v>0</v>
      </c>
      <c r="Q607" t="n">
        <v>0</v>
      </c>
      <c r="R607" s="2" t="inlineStr"/>
    </row>
    <row r="608" ht="15" customHeight="1">
      <c r="A608" t="inlineStr">
        <is>
          <t>A 40286-2024</t>
        </is>
      </c>
      <c r="B608" s="1" t="n">
        <v>45554.6687037037</v>
      </c>
      <c r="C608" s="1" t="n">
        <v>45988</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41169-2023</t>
        </is>
      </c>
      <c r="B609" s="1" t="n">
        <v>45174.34662037037</v>
      </c>
      <c r="C609" s="1" t="n">
        <v>45988</v>
      </c>
      <c r="D609" t="inlineStr">
        <is>
          <t>DALARNAS LÄN</t>
        </is>
      </c>
      <c r="E609" t="inlineStr">
        <is>
          <t>MORA</t>
        </is>
      </c>
      <c r="G609" t="n">
        <v>3</v>
      </c>
      <c r="H609" t="n">
        <v>0</v>
      </c>
      <c r="I609" t="n">
        <v>0</v>
      </c>
      <c r="J609" t="n">
        <v>0</v>
      </c>
      <c r="K609" t="n">
        <v>0</v>
      </c>
      <c r="L609" t="n">
        <v>0</v>
      </c>
      <c r="M609" t="n">
        <v>0</v>
      </c>
      <c r="N609" t="n">
        <v>0</v>
      </c>
      <c r="O609" t="n">
        <v>0</v>
      </c>
      <c r="P609" t="n">
        <v>0</v>
      </c>
      <c r="Q609" t="n">
        <v>0</v>
      </c>
      <c r="R609" s="2" t="inlineStr"/>
    </row>
    <row r="610" ht="15" customHeight="1">
      <c r="A610" t="inlineStr">
        <is>
          <t>A 43826-2022</t>
        </is>
      </c>
      <c r="B610" s="1" t="n">
        <v>44838</v>
      </c>
      <c r="C610" s="1" t="n">
        <v>45988</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44106-2023</t>
        </is>
      </c>
      <c r="B611" s="1" t="n">
        <v>45188</v>
      </c>
      <c r="C611" s="1" t="n">
        <v>45988</v>
      </c>
      <c r="D611" t="inlineStr">
        <is>
          <t>DALARNAS LÄN</t>
        </is>
      </c>
      <c r="E611" t="inlineStr">
        <is>
          <t>MORA</t>
        </is>
      </c>
      <c r="G611" t="n">
        <v>10.1</v>
      </c>
      <c r="H611" t="n">
        <v>0</v>
      </c>
      <c r="I611" t="n">
        <v>0</v>
      </c>
      <c r="J611" t="n">
        <v>0</v>
      </c>
      <c r="K611" t="n">
        <v>0</v>
      </c>
      <c r="L611" t="n">
        <v>0</v>
      </c>
      <c r="M611" t="n">
        <v>0</v>
      </c>
      <c r="N611" t="n">
        <v>0</v>
      </c>
      <c r="O611" t="n">
        <v>0</v>
      </c>
      <c r="P611" t="n">
        <v>0</v>
      </c>
      <c r="Q611" t="n">
        <v>0</v>
      </c>
      <c r="R611" s="2" t="inlineStr"/>
    </row>
    <row r="612" ht="15" customHeight="1">
      <c r="A612" t="inlineStr">
        <is>
          <t>A 59002-2024</t>
        </is>
      </c>
      <c r="B612" s="1" t="n">
        <v>45636</v>
      </c>
      <c r="C612" s="1" t="n">
        <v>45988</v>
      </c>
      <c r="D612" t="inlineStr">
        <is>
          <t>DALARNAS LÄN</t>
        </is>
      </c>
      <c r="E612" t="inlineStr">
        <is>
          <t>MORA</t>
        </is>
      </c>
      <c r="F612" t="inlineStr">
        <is>
          <t>Bergvik skog väst AB</t>
        </is>
      </c>
      <c r="G612" t="n">
        <v>24.8</v>
      </c>
      <c r="H612" t="n">
        <v>0</v>
      </c>
      <c r="I612" t="n">
        <v>0</v>
      </c>
      <c r="J612" t="n">
        <v>0</v>
      </c>
      <c r="K612" t="n">
        <v>0</v>
      </c>
      <c r="L612" t="n">
        <v>0</v>
      </c>
      <c r="M612" t="n">
        <v>0</v>
      </c>
      <c r="N612" t="n">
        <v>0</v>
      </c>
      <c r="O612" t="n">
        <v>0</v>
      </c>
      <c r="P612" t="n">
        <v>0</v>
      </c>
      <c r="Q612" t="n">
        <v>0</v>
      </c>
      <c r="R612" s="2" t="inlineStr"/>
    </row>
    <row r="613" ht="15" customHeight="1">
      <c r="A613" t="inlineStr">
        <is>
          <t>A 5980-2025</t>
        </is>
      </c>
      <c r="B613" s="1" t="n">
        <v>45695.54651620371</v>
      </c>
      <c r="C613" s="1" t="n">
        <v>45988</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5527-2024</t>
        </is>
      </c>
      <c r="B614" s="1" t="n">
        <v>45334.38981481481</v>
      </c>
      <c r="C614" s="1" t="n">
        <v>45988</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39856-2024</t>
        </is>
      </c>
      <c r="B615" s="1" t="n">
        <v>45553.44084490741</v>
      </c>
      <c r="C615" s="1" t="n">
        <v>45988</v>
      </c>
      <c r="D615" t="inlineStr">
        <is>
          <t>DALARNAS LÄN</t>
        </is>
      </c>
      <c r="E615" t="inlineStr">
        <is>
          <t>MORA</t>
        </is>
      </c>
      <c r="G615" t="n">
        <v>4.8</v>
      </c>
      <c r="H615" t="n">
        <v>0</v>
      </c>
      <c r="I615" t="n">
        <v>0</v>
      </c>
      <c r="J615" t="n">
        <v>0</v>
      </c>
      <c r="K615" t="n">
        <v>0</v>
      </c>
      <c r="L615" t="n">
        <v>0</v>
      </c>
      <c r="M615" t="n">
        <v>0</v>
      </c>
      <c r="N615" t="n">
        <v>0</v>
      </c>
      <c r="O615" t="n">
        <v>0</v>
      </c>
      <c r="P615" t="n">
        <v>0</v>
      </c>
      <c r="Q615" t="n">
        <v>0</v>
      </c>
      <c r="R615" s="2" t="inlineStr"/>
    </row>
    <row r="616" ht="15" customHeight="1">
      <c r="A616" t="inlineStr">
        <is>
          <t>A 52288-2024</t>
        </is>
      </c>
      <c r="B616" s="1" t="n">
        <v>45608.69395833334</v>
      </c>
      <c r="C616" s="1" t="n">
        <v>45988</v>
      </c>
      <c r="D616" t="inlineStr">
        <is>
          <t>DALARNAS LÄN</t>
        </is>
      </c>
      <c r="E616" t="inlineStr">
        <is>
          <t>MORA</t>
        </is>
      </c>
      <c r="G616" t="n">
        <v>2</v>
      </c>
      <c r="H616" t="n">
        <v>0</v>
      </c>
      <c r="I616" t="n">
        <v>0</v>
      </c>
      <c r="J616" t="n">
        <v>0</v>
      </c>
      <c r="K616" t="n">
        <v>0</v>
      </c>
      <c r="L616" t="n">
        <v>0</v>
      </c>
      <c r="M616" t="n">
        <v>0</v>
      </c>
      <c r="N616" t="n">
        <v>0</v>
      </c>
      <c r="O616" t="n">
        <v>0</v>
      </c>
      <c r="P616" t="n">
        <v>0</v>
      </c>
      <c r="Q616" t="n">
        <v>0</v>
      </c>
      <c r="R616" s="2" t="inlineStr"/>
    </row>
    <row r="617" ht="15" customHeight="1">
      <c r="A617" t="inlineStr">
        <is>
          <t>A 43879-2022</t>
        </is>
      </c>
      <c r="B617" s="1" t="n">
        <v>44838.46721064814</v>
      </c>
      <c r="C617" s="1" t="n">
        <v>45988</v>
      </c>
      <c r="D617" t="inlineStr">
        <is>
          <t>DALARNAS LÄN</t>
        </is>
      </c>
      <c r="E617" t="inlineStr">
        <is>
          <t>MORA</t>
        </is>
      </c>
      <c r="G617" t="n">
        <v>3.4</v>
      </c>
      <c r="H617" t="n">
        <v>0</v>
      </c>
      <c r="I617" t="n">
        <v>0</v>
      </c>
      <c r="J617" t="n">
        <v>0</v>
      </c>
      <c r="K617" t="n">
        <v>0</v>
      </c>
      <c r="L617" t="n">
        <v>0</v>
      </c>
      <c r="M617" t="n">
        <v>0</v>
      </c>
      <c r="N617" t="n">
        <v>0</v>
      </c>
      <c r="O617" t="n">
        <v>0</v>
      </c>
      <c r="P617" t="n">
        <v>0</v>
      </c>
      <c r="Q617" t="n">
        <v>0</v>
      </c>
      <c r="R617" s="2" t="inlineStr"/>
    </row>
    <row r="618" ht="15" customHeight="1">
      <c r="A618" t="inlineStr">
        <is>
          <t>A 12920-2022</t>
        </is>
      </c>
      <c r="B618" s="1" t="n">
        <v>44642.65418981481</v>
      </c>
      <c r="C618" s="1" t="n">
        <v>45988</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17280-2025</t>
        </is>
      </c>
      <c r="B619" s="1" t="n">
        <v>45756</v>
      </c>
      <c r="C619" s="1" t="n">
        <v>45988</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34282-2024</t>
        </is>
      </c>
      <c r="B620" s="1" t="n">
        <v>45524.62600694445</v>
      </c>
      <c r="C620" s="1" t="n">
        <v>45988</v>
      </c>
      <c r="D620" t="inlineStr">
        <is>
          <t>DALARNAS LÄN</t>
        </is>
      </c>
      <c r="E620" t="inlineStr">
        <is>
          <t>MORA</t>
        </is>
      </c>
      <c r="G620" t="n">
        <v>0.5</v>
      </c>
      <c r="H620" t="n">
        <v>0</v>
      </c>
      <c r="I620" t="n">
        <v>0</v>
      </c>
      <c r="J620" t="n">
        <v>0</v>
      </c>
      <c r="K620" t="n">
        <v>0</v>
      </c>
      <c r="L620" t="n">
        <v>0</v>
      </c>
      <c r="M620" t="n">
        <v>0</v>
      </c>
      <c r="N620" t="n">
        <v>0</v>
      </c>
      <c r="O620" t="n">
        <v>0</v>
      </c>
      <c r="P620" t="n">
        <v>0</v>
      </c>
      <c r="Q620" t="n">
        <v>0</v>
      </c>
      <c r="R620" s="2" t="inlineStr"/>
    </row>
    <row r="621" ht="15" customHeight="1">
      <c r="A621" t="inlineStr">
        <is>
          <t>A 38055-2024</t>
        </is>
      </c>
      <c r="B621" s="1" t="n">
        <v>45544</v>
      </c>
      <c r="C621" s="1" t="n">
        <v>45988</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7116-2024</t>
        </is>
      </c>
      <c r="B622" s="1" t="n">
        <v>45343.95445601852</v>
      </c>
      <c r="C622" s="1" t="n">
        <v>45988</v>
      </c>
      <c r="D622" t="inlineStr">
        <is>
          <t>DALARNAS LÄN</t>
        </is>
      </c>
      <c r="E622" t="inlineStr">
        <is>
          <t>MORA</t>
        </is>
      </c>
      <c r="G622" t="n">
        <v>0.3</v>
      </c>
      <c r="H622" t="n">
        <v>0</v>
      </c>
      <c r="I622" t="n">
        <v>0</v>
      </c>
      <c r="J622" t="n">
        <v>0</v>
      </c>
      <c r="K622" t="n">
        <v>0</v>
      </c>
      <c r="L622" t="n">
        <v>0</v>
      </c>
      <c r="M622" t="n">
        <v>0</v>
      </c>
      <c r="N622" t="n">
        <v>0</v>
      </c>
      <c r="O622" t="n">
        <v>0</v>
      </c>
      <c r="P622" t="n">
        <v>0</v>
      </c>
      <c r="Q622" t="n">
        <v>0</v>
      </c>
      <c r="R622" s="2" t="inlineStr"/>
    </row>
    <row r="623" ht="15" customHeight="1">
      <c r="A623" t="inlineStr">
        <is>
          <t>A 22785-2023</t>
        </is>
      </c>
      <c r="B623" s="1" t="n">
        <v>45072.34796296297</v>
      </c>
      <c r="C623" s="1" t="n">
        <v>45988</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60718-2023</t>
        </is>
      </c>
      <c r="B624" s="1" t="n">
        <v>45260.5284375</v>
      </c>
      <c r="C624" s="1" t="n">
        <v>45988</v>
      </c>
      <c r="D624" t="inlineStr">
        <is>
          <t>DALARNAS LÄN</t>
        </is>
      </c>
      <c r="E624" t="inlineStr">
        <is>
          <t>MORA</t>
        </is>
      </c>
      <c r="G624" t="n">
        <v>2.6</v>
      </c>
      <c r="H624" t="n">
        <v>0</v>
      </c>
      <c r="I624" t="n">
        <v>0</v>
      </c>
      <c r="J624" t="n">
        <v>0</v>
      </c>
      <c r="K624" t="n">
        <v>0</v>
      </c>
      <c r="L624" t="n">
        <v>0</v>
      </c>
      <c r="M624" t="n">
        <v>0</v>
      </c>
      <c r="N624" t="n">
        <v>0</v>
      </c>
      <c r="O624" t="n">
        <v>0</v>
      </c>
      <c r="P624" t="n">
        <v>0</v>
      </c>
      <c r="Q624" t="n">
        <v>0</v>
      </c>
      <c r="R624" s="2" t="inlineStr"/>
    </row>
    <row r="625" ht="15" customHeight="1">
      <c r="A625" t="inlineStr">
        <is>
          <t>A 7972-2024</t>
        </is>
      </c>
      <c r="B625" s="1" t="n">
        <v>45350</v>
      </c>
      <c r="C625" s="1" t="n">
        <v>45988</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16637-2025</t>
        </is>
      </c>
      <c r="B626" s="1" t="n">
        <v>45754.36738425926</v>
      </c>
      <c r="C626" s="1" t="n">
        <v>45988</v>
      </c>
      <c r="D626" t="inlineStr">
        <is>
          <t>DALARNAS LÄN</t>
        </is>
      </c>
      <c r="E626" t="inlineStr">
        <is>
          <t>MORA</t>
        </is>
      </c>
      <c r="G626" t="n">
        <v>1.1</v>
      </c>
      <c r="H626" t="n">
        <v>0</v>
      </c>
      <c r="I626" t="n">
        <v>0</v>
      </c>
      <c r="J626" t="n">
        <v>0</v>
      </c>
      <c r="K626" t="n">
        <v>0</v>
      </c>
      <c r="L626" t="n">
        <v>0</v>
      </c>
      <c r="M626" t="n">
        <v>0</v>
      </c>
      <c r="N626" t="n">
        <v>0</v>
      </c>
      <c r="O626" t="n">
        <v>0</v>
      </c>
      <c r="P626" t="n">
        <v>0</v>
      </c>
      <c r="Q626" t="n">
        <v>0</v>
      </c>
      <c r="R626" s="2" t="inlineStr"/>
    </row>
    <row r="627" ht="15" customHeight="1">
      <c r="A627" t="inlineStr">
        <is>
          <t>A 8146-2021</t>
        </is>
      </c>
      <c r="B627" s="1" t="n">
        <v>44244</v>
      </c>
      <c r="C627" s="1" t="n">
        <v>45988</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49991-2023</t>
        </is>
      </c>
      <c r="B628" s="1" t="n">
        <v>45215.43879629629</v>
      </c>
      <c r="C628" s="1" t="n">
        <v>45988</v>
      </c>
      <c r="D628" t="inlineStr">
        <is>
          <t>DALARNAS LÄN</t>
        </is>
      </c>
      <c r="E628" t="inlineStr">
        <is>
          <t>MORA</t>
        </is>
      </c>
      <c r="G628" t="n">
        <v>1.8</v>
      </c>
      <c r="H628" t="n">
        <v>0</v>
      </c>
      <c r="I628" t="n">
        <v>0</v>
      </c>
      <c r="J628" t="n">
        <v>0</v>
      </c>
      <c r="K628" t="n">
        <v>0</v>
      </c>
      <c r="L628" t="n">
        <v>0</v>
      </c>
      <c r="M628" t="n">
        <v>0</v>
      </c>
      <c r="N628" t="n">
        <v>0</v>
      </c>
      <c r="O628" t="n">
        <v>0</v>
      </c>
      <c r="P628" t="n">
        <v>0</v>
      </c>
      <c r="Q628" t="n">
        <v>0</v>
      </c>
      <c r="R628" s="2" t="inlineStr"/>
    </row>
    <row r="629" ht="15" customHeight="1">
      <c r="A629" t="inlineStr">
        <is>
          <t>A 28131-2024</t>
        </is>
      </c>
      <c r="B629" s="1" t="n">
        <v>45476.68435185185</v>
      </c>
      <c r="C629" s="1" t="n">
        <v>45988</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28132-2024</t>
        </is>
      </c>
      <c r="B630" s="1" t="n">
        <v>45476.68616898148</v>
      </c>
      <c r="C630" s="1" t="n">
        <v>45988</v>
      </c>
      <c r="D630" t="inlineStr">
        <is>
          <t>DALARNAS LÄN</t>
        </is>
      </c>
      <c r="E630" t="inlineStr">
        <is>
          <t>MORA</t>
        </is>
      </c>
      <c r="G630" t="n">
        <v>0.2</v>
      </c>
      <c r="H630" t="n">
        <v>0</v>
      </c>
      <c r="I630" t="n">
        <v>0</v>
      </c>
      <c r="J630" t="n">
        <v>0</v>
      </c>
      <c r="K630" t="n">
        <v>0</v>
      </c>
      <c r="L630" t="n">
        <v>0</v>
      </c>
      <c r="M630" t="n">
        <v>0</v>
      </c>
      <c r="N630" t="n">
        <v>0</v>
      </c>
      <c r="O630" t="n">
        <v>0</v>
      </c>
      <c r="P630" t="n">
        <v>0</v>
      </c>
      <c r="Q630" t="n">
        <v>0</v>
      </c>
      <c r="R630" s="2" t="inlineStr"/>
    </row>
    <row r="631" ht="15" customHeight="1">
      <c r="A631" t="inlineStr">
        <is>
          <t>A 12987-2024</t>
        </is>
      </c>
      <c r="B631" s="1" t="n">
        <v>45385.55375</v>
      </c>
      <c r="C631" s="1" t="n">
        <v>45988</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48170-2024</t>
        </is>
      </c>
      <c r="B632" s="1" t="n">
        <v>45589.76975694444</v>
      </c>
      <c r="C632" s="1" t="n">
        <v>45988</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58892-2023</t>
        </is>
      </c>
      <c r="B633" s="1" t="n">
        <v>45252.48592592592</v>
      </c>
      <c r="C633" s="1" t="n">
        <v>45988</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27975-2023</t>
        </is>
      </c>
      <c r="B634" s="1" t="n">
        <v>45098</v>
      </c>
      <c r="C634" s="1" t="n">
        <v>45988</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55222-2023</t>
        </is>
      </c>
      <c r="B635" s="1" t="n">
        <v>45237.60775462963</v>
      </c>
      <c r="C635" s="1" t="n">
        <v>45988</v>
      </c>
      <c r="D635" t="inlineStr">
        <is>
          <t>DALARNAS LÄN</t>
        </is>
      </c>
      <c r="E635" t="inlineStr">
        <is>
          <t>MORA</t>
        </is>
      </c>
      <c r="F635" t="inlineStr">
        <is>
          <t>Allmännings- och besparingsskogar</t>
        </is>
      </c>
      <c r="G635" t="n">
        <v>19.8</v>
      </c>
      <c r="H635" t="n">
        <v>0</v>
      </c>
      <c r="I635" t="n">
        <v>0</v>
      </c>
      <c r="J635" t="n">
        <v>0</v>
      </c>
      <c r="K635" t="n">
        <v>0</v>
      </c>
      <c r="L635" t="n">
        <v>0</v>
      </c>
      <c r="M635" t="n">
        <v>0</v>
      </c>
      <c r="N635" t="n">
        <v>0</v>
      </c>
      <c r="O635" t="n">
        <v>0</v>
      </c>
      <c r="P635" t="n">
        <v>0</v>
      </c>
      <c r="Q635" t="n">
        <v>0</v>
      </c>
      <c r="R635" s="2" t="inlineStr"/>
    </row>
    <row r="636" ht="15" customHeight="1">
      <c r="A636" t="inlineStr">
        <is>
          <t>A 24772-2024</t>
        </is>
      </c>
      <c r="B636" s="1" t="n">
        <v>45460.70204861111</v>
      </c>
      <c r="C636" s="1" t="n">
        <v>45988</v>
      </c>
      <c r="D636" t="inlineStr">
        <is>
          <t>DALARNAS LÄN</t>
        </is>
      </c>
      <c r="E636" t="inlineStr">
        <is>
          <t>MORA</t>
        </is>
      </c>
      <c r="G636" t="n">
        <v>0.9</v>
      </c>
      <c r="H636" t="n">
        <v>0</v>
      </c>
      <c r="I636" t="n">
        <v>0</v>
      </c>
      <c r="J636" t="n">
        <v>0</v>
      </c>
      <c r="K636" t="n">
        <v>0</v>
      </c>
      <c r="L636" t="n">
        <v>0</v>
      </c>
      <c r="M636" t="n">
        <v>0</v>
      </c>
      <c r="N636" t="n">
        <v>0</v>
      </c>
      <c r="O636" t="n">
        <v>0</v>
      </c>
      <c r="P636" t="n">
        <v>0</v>
      </c>
      <c r="Q636" t="n">
        <v>0</v>
      </c>
      <c r="R636" s="2" t="inlineStr"/>
    </row>
    <row r="637" ht="15" customHeight="1">
      <c r="A637" t="inlineStr">
        <is>
          <t>A 5486-2023</t>
        </is>
      </c>
      <c r="B637" s="1" t="n">
        <v>44957</v>
      </c>
      <c r="C637" s="1" t="n">
        <v>45988</v>
      </c>
      <c r="D637" t="inlineStr">
        <is>
          <t>DALARNAS LÄN</t>
        </is>
      </c>
      <c r="E637" t="inlineStr">
        <is>
          <t>MORA</t>
        </is>
      </c>
      <c r="G637" t="n">
        <v>3.2</v>
      </c>
      <c r="H637" t="n">
        <v>0</v>
      </c>
      <c r="I637" t="n">
        <v>0</v>
      </c>
      <c r="J637" t="n">
        <v>0</v>
      </c>
      <c r="K637" t="n">
        <v>0</v>
      </c>
      <c r="L637" t="n">
        <v>0</v>
      </c>
      <c r="M637" t="n">
        <v>0</v>
      </c>
      <c r="N637" t="n">
        <v>0</v>
      </c>
      <c r="O637" t="n">
        <v>0</v>
      </c>
      <c r="P637" t="n">
        <v>0</v>
      </c>
      <c r="Q637" t="n">
        <v>0</v>
      </c>
      <c r="R637" s="2" t="inlineStr"/>
    </row>
    <row r="638" ht="15" customHeight="1">
      <c r="A638" t="inlineStr">
        <is>
          <t>A 42943-2024</t>
        </is>
      </c>
      <c r="B638" s="1" t="n">
        <v>45567.35359953704</v>
      </c>
      <c r="C638" s="1" t="n">
        <v>45988</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9855-2024</t>
        </is>
      </c>
      <c r="B639" s="1" t="n">
        <v>45363.40368055556</v>
      </c>
      <c r="C639" s="1" t="n">
        <v>45988</v>
      </c>
      <c r="D639" t="inlineStr">
        <is>
          <t>DALARNAS LÄN</t>
        </is>
      </c>
      <c r="E639" t="inlineStr">
        <is>
          <t>MORA</t>
        </is>
      </c>
      <c r="G639" t="n">
        <v>8.6</v>
      </c>
      <c r="H639" t="n">
        <v>0</v>
      </c>
      <c r="I639" t="n">
        <v>0</v>
      </c>
      <c r="J639" t="n">
        <v>0</v>
      </c>
      <c r="K639" t="n">
        <v>0</v>
      </c>
      <c r="L639" t="n">
        <v>0</v>
      </c>
      <c r="M639" t="n">
        <v>0</v>
      </c>
      <c r="N639" t="n">
        <v>0</v>
      </c>
      <c r="O639" t="n">
        <v>0</v>
      </c>
      <c r="P639" t="n">
        <v>0</v>
      </c>
      <c r="Q639" t="n">
        <v>0</v>
      </c>
      <c r="R639" s="2" t="inlineStr"/>
    </row>
    <row r="640" ht="15" customHeight="1">
      <c r="A640" t="inlineStr">
        <is>
          <t>A 21244-2024</t>
        </is>
      </c>
      <c r="B640" s="1" t="n">
        <v>45440.59936342593</v>
      </c>
      <c r="C640" s="1" t="n">
        <v>45988</v>
      </c>
      <c r="D640" t="inlineStr">
        <is>
          <t>DALARNAS LÄN</t>
        </is>
      </c>
      <c r="E640" t="inlineStr">
        <is>
          <t>MORA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28964-2024</t>
        </is>
      </c>
      <c r="B641" s="1" t="n">
        <v>45481.42923611111</v>
      </c>
      <c r="C641" s="1" t="n">
        <v>45988</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30194-2024</t>
        </is>
      </c>
      <c r="B642" s="1" t="n">
        <v>45490.33387731481</v>
      </c>
      <c r="C642" s="1" t="n">
        <v>45988</v>
      </c>
      <c r="D642" t="inlineStr">
        <is>
          <t>DALARNAS LÄN</t>
        </is>
      </c>
      <c r="E642" t="inlineStr">
        <is>
          <t>MORA</t>
        </is>
      </c>
      <c r="G642" t="n">
        <v>3.1</v>
      </c>
      <c r="H642" t="n">
        <v>0</v>
      </c>
      <c r="I642" t="n">
        <v>0</v>
      </c>
      <c r="J642" t="n">
        <v>0</v>
      </c>
      <c r="K642" t="n">
        <v>0</v>
      </c>
      <c r="L642" t="n">
        <v>0</v>
      </c>
      <c r="M642" t="n">
        <v>0</v>
      </c>
      <c r="N642" t="n">
        <v>0</v>
      </c>
      <c r="O642" t="n">
        <v>0</v>
      </c>
      <c r="P642" t="n">
        <v>0</v>
      </c>
      <c r="Q642" t="n">
        <v>0</v>
      </c>
      <c r="R642" s="2" t="inlineStr"/>
    </row>
    <row r="643" ht="15" customHeight="1">
      <c r="A643" t="inlineStr">
        <is>
          <t>A 58177-2024</t>
        </is>
      </c>
      <c r="B643" s="1" t="n">
        <v>45632.46821759259</v>
      </c>
      <c r="C643" s="1" t="n">
        <v>45988</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45390-2024</t>
        </is>
      </c>
      <c r="B644" s="1" t="n">
        <v>45576.54820601852</v>
      </c>
      <c r="C644" s="1" t="n">
        <v>45988</v>
      </c>
      <c r="D644" t="inlineStr">
        <is>
          <t>DALARNAS LÄN</t>
        </is>
      </c>
      <c r="E644" t="inlineStr">
        <is>
          <t>MORA</t>
        </is>
      </c>
      <c r="F644" t="inlineStr">
        <is>
          <t>Bergvik skog väst AB</t>
        </is>
      </c>
      <c r="G644" t="n">
        <v>5.6</v>
      </c>
      <c r="H644" t="n">
        <v>0</v>
      </c>
      <c r="I644" t="n">
        <v>0</v>
      </c>
      <c r="J644" t="n">
        <v>0</v>
      </c>
      <c r="K644" t="n">
        <v>0</v>
      </c>
      <c r="L644" t="n">
        <v>0</v>
      </c>
      <c r="M644" t="n">
        <v>0</v>
      </c>
      <c r="N644" t="n">
        <v>0</v>
      </c>
      <c r="O644" t="n">
        <v>0</v>
      </c>
      <c r="P644" t="n">
        <v>0</v>
      </c>
      <c r="Q644" t="n">
        <v>0</v>
      </c>
      <c r="R644" s="2" t="inlineStr"/>
    </row>
    <row r="645" ht="15" customHeight="1">
      <c r="A645" t="inlineStr">
        <is>
          <t>A 58089-2024</t>
        </is>
      </c>
      <c r="B645" s="1" t="n">
        <v>45632.34984953704</v>
      </c>
      <c r="C645" s="1" t="n">
        <v>45988</v>
      </c>
      <c r="D645" t="inlineStr">
        <is>
          <t>DALARNAS LÄN</t>
        </is>
      </c>
      <c r="E645" t="inlineStr">
        <is>
          <t>MORA</t>
        </is>
      </c>
      <c r="G645" t="n">
        <v>1.4</v>
      </c>
      <c r="H645" t="n">
        <v>0</v>
      </c>
      <c r="I645" t="n">
        <v>0</v>
      </c>
      <c r="J645" t="n">
        <v>0</v>
      </c>
      <c r="K645" t="n">
        <v>0</v>
      </c>
      <c r="L645" t="n">
        <v>0</v>
      </c>
      <c r="M645" t="n">
        <v>0</v>
      </c>
      <c r="N645" t="n">
        <v>0</v>
      </c>
      <c r="O645" t="n">
        <v>0</v>
      </c>
      <c r="P645" t="n">
        <v>0</v>
      </c>
      <c r="Q645" t="n">
        <v>0</v>
      </c>
      <c r="R645" s="2" t="inlineStr"/>
    </row>
    <row r="646" ht="15" customHeight="1">
      <c r="A646" t="inlineStr">
        <is>
          <t>A 4208-2023</t>
        </is>
      </c>
      <c r="B646" s="1" t="n">
        <v>44953</v>
      </c>
      <c r="C646" s="1" t="n">
        <v>45988</v>
      </c>
      <c r="D646" t="inlineStr">
        <is>
          <t>DALARNAS LÄN</t>
        </is>
      </c>
      <c r="E646" t="inlineStr">
        <is>
          <t>MORA</t>
        </is>
      </c>
      <c r="G646" t="n">
        <v>2.4</v>
      </c>
      <c r="H646" t="n">
        <v>0</v>
      </c>
      <c r="I646" t="n">
        <v>0</v>
      </c>
      <c r="J646" t="n">
        <v>0</v>
      </c>
      <c r="K646" t="n">
        <v>0</v>
      </c>
      <c r="L646" t="n">
        <v>0</v>
      </c>
      <c r="M646" t="n">
        <v>0</v>
      </c>
      <c r="N646" t="n">
        <v>0</v>
      </c>
      <c r="O646" t="n">
        <v>0</v>
      </c>
      <c r="P646" t="n">
        <v>0</v>
      </c>
      <c r="Q646" t="n">
        <v>0</v>
      </c>
      <c r="R646" s="2" t="inlineStr"/>
    </row>
    <row r="647" ht="15" customHeight="1">
      <c r="A647" t="inlineStr">
        <is>
          <t>A 4210-2023</t>
        </is>
      </c>
      <c r="B647" s="1" t="n">
        <v>44953.44965277778</v>
      </c>
      <c r="C647" s="1" t="n">
        <v>45988</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44769-2021</t>
        </is>
      </c>
      <c r="B648" s="1" t="n">
        <v>44438</v>
      </c>
      <c r="C648" s="1" t="n">
        <v>45988</v>
      </c>
      <c r="D648" t="inlineStr">
        <is>
          <t>DALARNAS LÄN</t>
        </is>
      </c>
      <c r="E648" t="inlineStr">
        <is>
          <t>MORA</t>
        </is>
      </c>
      <c r="G648" t="n">
        <v>0.9</v>
      </c>
      <c r="H648" t="n">
        <v>0</v>
      </c>
      <c r="I648" t="n">
        <v>0</v>
      </c>
      <c r="J648" t="n">
        <v>0</v>
      </c>
      <c r="K648" t="n">
        <v>0</v>
      </c>
      <c r="L648" t="n">
        <v>0</v>
      </c>
      <c r="M648" t="n">
        <v>0</v>
      </c>
      <c r="N648" t="n">
        <v>0</v>
      </c>
      <c r="O648" t="n">
        <v>0</v>
      </c>
      <c r="P648" t="n">
        <v>0</v>
      </c>
      <c r="Q648" t="n">
        <v>0</v>
      </c>
      <c r="R648" s="2" t="inlineStr"/>
    </row>
    <row r="649" ht="15" customHeight="1">
      <c r="A649" t="inlineStr">
        <is>
          <t>A 58036-2024</t>
        </is>
      </c>
      <c r="B649" s="1" t="n">
        <v>45631.71893518518</v>
      </c>
      <c r="C649" s="1" t="n">
        <v>45988</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3430-2023</t>
        </is>
      </c>
      <c r="B650" s="1" t="n">
        <v>44949.57856481482</v>
      </c>
      <c r="C650" s="1" t="n">
        <v>45988</v>
      </c>
      <c r="D650" t="inlineStr">
        <is>
          <t>DALARNAS LÄN</t>
        </is>
      </c>
      <c r="E650" t="inlineStr">
        <is>
          <t>MORA</t>
        </is>
      </c>
      <c r="G650" t="n">
        <v>2.6</v>
      </c>
      <c r="H650" t="n">
        <v>0</v>
      </c>
      <c r="I650" t="n">
        <v>0</v>
      </c>
      <c r="J650" t="n">
        <v>0</v>
      </c>
      <c r="K650" t="n">
        <v>0</v>
      </c>
      <c r="L650" t="n">
        <v>0</v>
      </c>
      <c r="M650" t="n">
        <v>0</v>
      </c>
      <c r="N650" t="n">
        <v>0</v>
      </c>
      <c r="O650" t="n">
        <v>0</v>
      </c>
      <c r="P650" t="n">
        <v>0</v>
      </c>
      <c r="Q650" t="n">
        <v>0</v>
      </c>
      <c r="R650" s="2" t="inlineStr"/>
    </row>
    <row r="651" ht="15" customHeight="1">
      <c r="A651" t="inlineStr">
        <is>
          <t>A 15172-2025</t>
        </is>
      </c>
      <c r="B651" s="1" t="n">
        <v>45744.50722222222</v>
      </c>
      <c r="C651" s="1" t="n">
        <v>45988</v>
      </c>
      <c r="D651" t="inlineStr">
        <is>
          <t>DALARNAS LÄN</t>
        </is>
      </c>
      <c r="E651" t="inlineStr">
        <is>
          <t>MORA</t>
        </is>
      </c>
      <c r="G651" t="n">
        <v>3.2</v>
      </c>
      <c r="H651" t="n">
        <v>0</v>
      </c>
      <c r="I651" t="n">
        <v>0</v>
      </c>
      <c r="J651" t="n">
        <v>0</v>
      </c>
      <c r="K651" t="n">
        <v>0</v>
      </c>
      <c r="L651" t="n">
        <v>0</v>
      </c>
      <c r="M651" t="n">
        <v>0</v>
      </c>
      <c r="N651" t="n">
        <v>0</v>
      </c>
      <c r="O651" t="n">
        <v>0</v>
      </c>
      <c r="P651" t="n">
        <v>0</v>
      </c>
      <c r="Q651" t="n">
        <v>0</v>
      </c>
      <c r="R651" s="2" t="inlineStr"/>
    </row>
    <row r="652" ht="15" customHeight="1">
      <c r="A652" t="inlineStr">
        <is>
          <t>A 39897-2022</t>
        </is>
      </c>
      <c r="B652" s="1" t="n">
        <v>44819.66083333334</v>
      </c>
      <c r="C652" s="1" t="n">
        <v>45988</v>
      </c>
      <c r="D652" t="inlineStr">
        <is>
          <t>DALARNAS LÄN</t>
        </is>
      </c>
      <c r="E652" t="inlineStr">
        <is>
          <t>MORA</t>
        </is>
      </c>
      <c r="G652" t="n">
        <v>15.8</v>
      </c>
      <c r="H652" t="n">
        <v>0</v>
      </c>
      <c r="I652" t="n">
        <v>0</v>
      </c>
      <c r="J652" t="n">
        <v>0</v>
      </c>
      <c r="K652" t="n">
        <v>0</v>
      </c>
      <c r="L652" t="n">
        <v>0</v>
      </c>
      <c r="M652" t="n">
        <v>0</v>
      </c>
      <c r="N652" t="n">
        <v>0</v>
      </c>
      <c r="O652" t="n">
        <v>0</v>
      </c>
      <c r="P652" t="n">
        <v>0</v>
      </c>
      <c r="Q652" t="n">
        <v>0</v>
      </c>
      <c r="R652" s="2" t="inlineStr"/>
    </row>
    <row r="653" ht="15" customHeight="1">
      <c r="A653" t="inlineStr">
        <is>
          <t>A 62853-2023</t>
        </is>
      </c>
      <c r="B653" s="1" t="n">
        <v>45272</v>
      </c>
      <c r="C653" s="1" t="n">
        <v>45988</v>
      </c>
      <c r="D653" t="inlineStr">
        <is>
          <t>DALARNAS LÄN</t>
        </is>
      </c>
      <c r="E653" t="inlineStr">
        <is>
          <t>MORA</t>
        </is>
      </c>
      <c r="G653" t="n">
        <v>13.6</v>
      </c>
      <c r="H653" t="n">
        <v>0</v>
      </c>
      <c r="I653" t="n">
        <v>0</v>
      </c>
      <c r="J653" t="n">
        <v>0</v>
      </c>
      <c r="K653" t="n">
        <v>0</v>
      </c>
      <c r="L653" t="n">
        <v>0</v>
      </c>
      <c r="M653" t="n">
        <v>0</v>
      </c>
      <c r="N653" t="n">
        <v>0</v>
      </c>
      <c r="O653" t="n">
        <v>0</v>
      </c>
      <c r="P653" t="n">
        <v>0</v>
      </c>
      <c r="Q653" t="n">
        <v>0</v>
      </c>
      <c r="R653" s="2" t="inlineStr"/>
    </row>
    <row r="654" ht="15" customHeight="1">
      <c r="A654" t="inlineStr">
        <is>
          <t>A 11919-2024</t>
        </is>
      </c>
      <c r="B654" s="1" t="n">
        <v>45376.61019675926</v>
      </c>
      <c r="C654" s="1" t="n">
        <v>45988</v>
      </c>
      <c r="D654" t="inlineStr">
        <is>
          <t>DALARNAS LÄN</t>
        </is>
      </c>
      <c r="E654" t="inlineStr">
        <is>
          <t>MORA</t>
        </is>
      </c>
      <c r="G654" t="n">
        <v>3.5</v>
      </c>
      <c r="H654" t="n">
        <v>0</v>
      </c>
      <c r="I654" t="n">
        <v>0</v>
      </c>
      <c r="J654" t="n">
        <v>0</v>
      </c>
      <c r="K654" t="n">
        <v>0</v>
      </c>
      <c r="L654" t="n">
        <v>0</v>
      </c>
      <c r="M654" t="n">
        <v>0</v>
      </c>
      <c r="N654" t="n">
        <v>0</v>
      </c>
      <c r="O654" t="n">
        <v>0</v>
      </c>
      <c r="P654" t="n">
        <v>0</v>
      </c>
      <c r="Q654" t="n">
        <v>0</v>
      </c>
      <c r="R654" s="2" t="inlineStr"/>
    </row>
    <row r="655" ht="15" customHeight="1">
      <c r="A655" t="inlineStr">
        <is>
          <t>A 1897-2023</t>
        </is>
      </c>
      <c r="B655" s="1" t="n">
        <v>44937</v>
      </c>
      <c r="C655" s="1" t="n">
        <v>45988</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ht="15" customHeight="1">
      <c r="A656" t="inlineStr">
        <is>
          <t>A 37385-2022</t>
        </is>
      </c>
      <c r="B656" s="1" t="n">
        <v>44806</v>
      </c>
      <c r="C656" s="1" t="n">
        <v>45988</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42391-2023</t>
        </is>
      </c>
      <c r="B657" s="1" t="n">
        <v>45180</v>
      </c>
      <c r="C657" s="1" t="n">
        <v>45988</v>
      </c>
      <c r="D657" t="inlineStr">
        <is>
          <t>DALARNAS LÄN</t>
        </is>
      </c>
      <c r="E657" t="inlineStr">
        <is>
          <t>MORA</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70141-2021</t>
        </is>
      </c>
      <c r="B658" s="1" t="n">
        <v>44533</v>
      </c>
      <c r="C658" s="1" t="n">
        <v>45988</v>
      </c>
      <c r="D658" t="inlineStr">
        <is>
          <t>DALARNAS LÄN</t>
        </is>
      </c>
      <c r="E658" t="inlineStr">
        <is>
          <t>MORA</t>
        </is>
      </c>
      <c r="G658" t="n">
        <v>4.1</v>
      </c>
      <c r="H658" t="n">
        <v>0</v>
      </c>
      <c r="I658" t="n">
        <v>0</v>
      </c>
      <c r="J658" t="n">
        <v>0</v>
      </c>
      <c r="K658" t="n">
        <v>0</v>
      </c>
      <c r="L658" t="n">
        <v>0</v>
      </c>
      <c r="M658" t="n">
        <v>0</v>
      </c>
      <c r="N658" t="n">
        <v>0</v>
      </c>
      <c r="O658" t="n">
        <v>0</v>
      </c>
      <c r="P658" t="n">
        <v>0</v>
      </c>
      <c r="Q658" t="n">
        <v>0</v>
      </c>
      <c r="R658" s="2" t="inlineStr"/>
    </row>
    <row r="659" ht="15" customHeight="1">
      <c r="A659" t="inlineStr">
        <is>
          <t>A 64093-2023</t>
        </is>
      </c>
      <c r="B659" s="1" t="n">
        <v>45279</v>
      </c>
      <c r="C659" s="1" t="n">
        <v>45988</v>
      </c>
      <c r="D659" t="inlineStr">
        <is>
          <t>DALARNAS LÄN</t>
        </is>
      </c>
      <c r="E659" t="inlineStr">
        <is>
          <t>MORA</t>
        </is>
      </c>
      <c r="G659" t="n">
        <v>0.9</v>
      </c>
      <c r="H659" t="n">
        <v>0</v>
      </c>
      <c r="I659" t="n">
        <v>0</v>
      </c>
      <c r="J659" t="n">
        <v>0</v>
      </c>
      <c r="K659" t="n">
        <v>0</v>
      </c>
      <c r="L659" t="n">
        <v>0</v>
      </c>
      <c r="M659" t="n">
        <v>0</v>
      </c>
      <c r="N659" t="n">
        <v>0</v>
      </c>
      <c r="O659" t="n">
        <v>0</v>
      </c>
      <c r="P659" t="n">
        <v>0</v>
      </c>
      <c r="Q659" t="n">
        <v>0</v>
      </c>
      <c r="R659" s="2" t="inlineStr"/>
    </row>
    <row r="660" ht="15" customHeight="1">
      <c r="A660" t="inlineStr">
        <is>
          <t>A 37471-2024</t>
        </is>
      </c>
      <c r="B660" s="1" t="n">
        <v>45540.85054398148</v>
      </c>
      <c r="C660" s="1" t="n">
        <v>45988</v>
      </c>
      <c r="D660" t="inlineStr">
        <is>
          <t>DALARNAS LÄN</t>
        </is>
      </c>
      <c r="E660" t="inlineStr">
        <is>
          <t>MORA</t>
        </is>
      </c>
      <c r="G660" t="n">
        <v>3.5</v>
      </c>
      <c r="H660" t="n">
        <v>0</v>
      </c>
      <c r="I660" t="n">
        <v>0</v>
      </c>
      <c r="J660" t="n">
        <v>0</v>
      </c>
      <c r="K660" t="n">
        <v>0</v>
      </c>
      <c r="L660" t="n">
        <v>0</v>
      </c>
      <c r="M660" t="n">
        <v>0</v>
      </c>
      <c r="N660" t="n">
        <v>0</v>
      </c>
      <c r="O660" t="n">
        <v>0</v>
      </c>
      <c r="P660" t="n">
        <v>0</v>
      </c>
      <c r="Q660" t="n">
        <v>0</v>
      </c>
      <c r="R660" s="2" t="inlineStr"/>
    </row>
    <row r="661" ht="15" customHeight="1">
      <c r="A661" t="inlineStr">
        <is>
          <t>A 14936-2025</t>
        </is>
      </c>
      <c r="B661" s="1" t="n">
        <v>45743.55756944444</v>
      </c>
      <c r="C661" s="1" t="n">
        <v>45988</v>
      </c>
      <c r="D661" t="inlineStr">
        <is>
          <t>DALARNAS LÄN</t>
        </is>
      </c>
      <c r="E661" t="inlineStr">
        <is>
          <t>MORA</t>
        </is>
      </c>
      <c r="G661" t="n">
        <v>2.4</v>
      </c>
      <c r="H661" t="n">
        <v>0</v>
      </c>
      <c r="I661" t="n">
        <v>0</v>
      </c>
      <c r="J661" t="n">
        <v>0</v>
      </c>
      <c r="K661" t="n">
        <v>0</v>
      </c>
      <c r="L661" t="n">
        <v>0</v>
      </c>
      <c r="M661" t="n">
        <v>0</v>
      </c>
      <c r="N661" t="n">
        <v>0</v>
      </c>
      <c r="O661" t="n">
        <v>0</v>
      </c>
      <c r="P661" t="n">
        <v>0</v>
      </c>
      <c r="Q661" t="n">
        <v>0</v>
      </c>
      <c r="R661" s="2" t="inlineStr"/>
    </row>
    <row r="662" ht="15" customHeight="1">
      <c r="A662" t="inlineStr">
        <is>
          <t>A 53344-2023</t>
        </is>
      </c>
      <c r="B662" s="1" t="n">
        <v>45229</v>
      </c>
      <c r="C662" s="1" t="n">
        <v>45988</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48522-2024</t>
        </is>
      </c>
      <c r="B663" s="1" t="n">
        <v>45593.32924768519</v>
      </c>
      <c r="C663" s="1" t="n">
        <v>45988</v>
      </c>
      <c r="D663" t="inlineStr">
        <is>
          <t>DALARNAS LÄN</t>
        </is>
      </c>
      <c r="E663" t="inlineStr">
        <is>
          <t>MORA</t>
        </is>
      </c>
      <c r="G663" t="n">
        <v>1.2</v>
      </c>
      <c r="H663" t="n">
        <v>0</v>
      </c>
      <c r="I663" t="n">
        <v>0</v>
      </c>
      <c r="J663" t="n">
        <v>0</v>
      </c>
      <c r="K663" t="n">
        <v>0</v>
      </c>
      <c r="L663" t="n">
        <v>0</v>
      </c>
      <c r="M663" t="n">
        <v>0</v>
      </c>
      <c r="N663" t="n">
        <v>0</v>
      </c>
      <c r="O663" t="n">
        <v>0</v>
      </c>
      <c r="P663" t="n">
        <v>0</v>
      </c>
      <c r="Q663" t="n">
        <v>0</v>
      </c>
      <c r="R663" s="2" t="inlineStr"/>
    </row>
    <row r="664" ht="15" customHeight="1">
      <c r="A664" t="inlineStr">
        <is>
          <t>A 53754-2024</t>
        </is>
      </c>
      <c r="B664" s="1" t="n">
        <v>45615.49371527778</v>
      </c>
      <c r="C664" s="1" t="n">
        <v>45988</v>
      </c>
      <c r="D664" t="inlineStr">
        <is>
          <t>DALARNAS LÄN</t>
        </is>
      </c>
      <c r="E664" t="inlineStr">
        <is>
          <t>MORA</t>
        </is>
      </c>
      <c r="G664" t="n">
        <v>4.8</v>
      </c>
      <c r="H664" t="n">
        <v>0</v>
      </c>
      <c r="I664" t="n">
        <v>0</v>
      </c>
      <c r="J664" t="n">
        <v>0</v>
      </c>
      <c r="K664" t="n">
        <v>0</v>
      </c>
      <c r="L664" t="n">
        <v>0</v>
      </c>
      <c r="M664" t="n">
        <v>0</v>
      </c>
      <c r="N664" t="n">
        <v>0</v>
      </c>
      <c r="O664" t="n">
        <v>0</v>
      </c>
      <c r="P664" t="n">
        <v>0</v>
      </c>
      <c r="Q664" t="n">
        <v>0</v>
      </c>
      <c r="R664" s="2" t="inlineStr"/>
    </row>
    <row r="665" ht="15" customHeight="1">
      <c r="A665" t="inlineStr">
        <is>
          <t>A 14040-2023</t>
        </is>
      </c>
      <c r="B665" s="1" t="n">
        <v>45008.64575231481</v>
      </c>
      <c r="C665" s="1" t="n">
        <v>45988</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56770-2024</t>
        </is>
      </c>
      <c r="B666" s="1" t="n">
        <v>45628.41587962963</v>
      </c>
      <c r="C666" s="1" t="n">
        <v>45988</v>
      </c>
      <c r="D666" t="inlineStr">
        <is>
          <t>DALARNAS LÄN</t>
        </is>
      </c>
      <c r="E666" t="inlineStr">
        <is>
          <t>MORA</t>
        </is>
      </c>
      <c r="G666" t="n">
        <v>1.1</v>
      </c>
      <c r="H666" t="n">
        <v>0</v>
      </c>
      <c r="I666" t="n">
        <v>0</v>
      </c>
      <c r="J666" t="n">
        <v>0</v>
      </c>
      <c r="K666" t="n">
        <v>0</v>
      </c>
      <c r="L666" t="n">
        <v>0</v>
      </c>
      <c r="M666" t="n">
        <v>0</v>
      </c>
      <c r="N666" t="n">
        <v>0</v>
      </c>
      <c r="O666" t="n">
        <v>0</v>
      </c>
      <c r="P666" t="n">
        <v>0</v>
      </c>
      <c r="Q666" t="n">
        <v>0</v>
      </c>
      <c r="R666" s="2" t="inlineStr"/>
    </row>
    <row r="667" ht="15" customHeight="1">
      <c r="A667" t="inlineStr">
        <is>
          <t>A 18120-2025</t>
        </is>
      </c>
      <c r="B667" s="1" t="n">
        <v>45761</v>
      </c>
      <c r="C667" s="1" t="n">
        <v>45988</v>
      </c>
      <c r="D667" t="inlineStr">
        <is>
          <t>DALARNAS LÄN</t>
        </is>
      </c>
      <c r="E667" t="inlineStr">
        <is>
          <t>MORA</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18127-2025</t>
        </is>
      </c>
      <c r="B668" s="1" t="n">
        <v>45761.59523148148</v>
      </c>
      <c r="C668" s="1" t="n">
        <v>45988</v>
      </c>
      <c r="D668" t="inlineStr">
        <is>
          <t>DALARNAS LÄN</t>
        </is>
      </c>
      <c r="E668" t="inlineStr">
        <is>
          <t>MORA</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4489-2022</t>
        </is>
      </c>
      <c r="B669" s="1" t="n">
        <v>44589</v>
      </c>
      <c r="C669" s="1" t="n">
        <v>45988</v>
      </c>
      <c r="D669" t="inlineStr">
        <is>
          <t>DALARNAS LÄN</t>
        </is>
      </c>
      <c r="E669" t="inlineStr">
        <is>
          <t>MORA</t>
        </is>
      </c>
      <c r="G669" t="n">
        <v>0.7</v>
      </c>
      <c r="H669" t="n">
        <v>0</v>
      </c>
      <c r="I669" t="n">
        <v>0</v>
      </c>
      <c r="J669" t="n">
        <v>0</v>
      </c>
      <c r="K669" t="n">
        <v>0</v>
      </c>
      <c r="L669" t="n">
        <v>0</v>
      </c>
      <c r="M669" t="n">
        <v>0</v>
      </c>
      <c r="N669" t="n">
        <v>0</v>
      </c>
      <c r="O669" t="n">
        <v>0</v>
      </c>
      <c r="P669" t="n">
        <v>0</v>
      </c>
      <c r="Q669" t="n">
        <v>0</v>
      </c>
      <c r="R669" s="2" t="inlineStr"/>
    </row>
    <row r="670" ht="15" customHeight="1">
      <c r="A670" t="inlineStr">
        <is>
          <t>A 45574-2023</t>
        </is>
      </c>
      <c r="B670" s="1" t="n">
        <v>45194</v>
      </c>
      <c r="C670" s="1" t="n">
        <v>45988</v>
      </c>
      <c r="D670" t="inlineStr">
        <is>
          <t>DALARNAS LÄN</t>
        </is>
      </c>
      <c r="E670" t="inlineStr">
        <is>
          <t>MORA</t>
        </is>
      </c>
      <c r="G670" t="n">
        <v>6.3</v>
      </c>
      <c r="H670" t="n">
        <v>0</v>
      </c>
      <c r="I670" t="n">
        <v>0</v>
      </c>
      <c r="J670" t="n">
        <v>0</v>
      </c>
      <c r="K670" t="n">
        <v>0</v>
      </c>
      <c r="L670" t="n">
        <v>0</v>
      </c>
      <c r="M670" t="n">
        <v>0</v>
      </c>
      <c r="N670" t="n">
        <v>0</v>
      </c>
      <c r="O670" t="n">
        <v>0</v>
      </c>
      <c r="P670" t="n">
        <v>0</v>
      </c>
      <c r="Q670" t="n">
        <v>0</v>
      </c>
      <c r="R670" s="2" t="inlineStr"/>
    </row>
    <row r="671" ht="15" customHeight="1">
      <c r="A671" t="inlineStr">
        <is>
          <t>A 45315-2024</t>
        </is>
      </c>
      <c r="B671" s="1" t="n">
        <v>45576.43782407408</v>
      </c>
      <c r="C671" s="1" t="n">
        <v>45988</v>
      </c>
      <c r="D671" t="inlineStr">
        <is>
          <t>DALARNAS LÄN</t>
        </is>
      </c>
      <c r="E671" t="inlineStr">
        <is>
          <t>MORA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17172-2025</t>
        </is>
      </c>
      <c r="B672" s="1" t="n">
        <v>45756.37201388889</v>
      </c>
      <c r="C672" s="1" t="n">
        <v>45988</v>
      </c>
      <c r="D672" t="inlineStr">
        <is>
          <t>DALARNAS LÄN</t>
        </is>
      </c>
      <c r="E672" t="inlineStr">
        <is>
          <t>MORA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39009-2023</t>
        </is>
      </c>
      <c r="B673" s="1" t="n">
        <v>45162</v>
      </c>
      <c r="C673" s="1" t="n">
        <v>45988</v>
      </c>
      <c r="D673" t="inlineStr">
        <is>
          <t>DALARNAS LÄN</t>
        </is>
      </c>
      <c r="E673" t="inlineStr">
        <is>
          <t>MORA</t>
        </is>
      </c>
      <c r="G673" t="n">
        <v>1.9</v>
      </c>
      <c r="H673" t="n">
        <v>0</v>
      </c>
      <c r="I673" t="n">
        <v>0</v>
      </c>
      <c r="J673" t="n">
        <v>0</v>
      </c>
      <c r="K673" t="n">
        <v>0</v>
      </c>
      <c r="L673" t="n">
        <v>0</v>
      </c>
      <c r="M673" t="n">
        <v>0</v>
      </c>
      <c r="N673" t="n">
        <v>0</v>
      </c>
      <c r="O673" t="n">
        <v>0</v>
      </c>
      <c r="P673" t="n">
        <v>0</v>
      </c>
      <c r="Q673" t="n">
        <v>0</v>
      </c>
      <c r="R673" s="2" t="inlineStr"/>
    </row>
    <row r="674" ht="15" customHeight="1">
      <c r="A674" t="inlineStr">
        <is>
          <t>A 56532-2024</t>
        </is>
      </c>
      <c r="B674" s="1" t="n">
        <v>45625.55440972222</v>
      </c>
      <c r="C674" s="1" t="n">
        <v>45988</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5001-2025</t>
        </is>
      </c>
      <c r="B675" s="1" t="n">
        <v>45691.36403935185</v>
      </c>
      <c r="C675" s="1" t="n">
        <v>45988</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60360-2023</t>
        </is>
      </c>
      <c r="B676" s="1" t="n">
        <v>45259</v>
      </c>
      <c r="C676" s="1" t="n">
        <v>45988</v>
      </c>
      <c r="D676" t="inlineStr">
        <is>
          <t>DALARNAS LÄN</t>
        </is>
      </c>
      <c r="E676" t="inlineStr">
        <is>
          <t>MORA</t>
        </is>
      </c>
      <c r="G676" t="n">
        <v>2.9</v>
      </c>
      <c r="H676" t="n">
        <v>0</v>
      </c>
      <c r="I676" t="n">
        <v>0</v>
      </c>
      <c r="J676" t="n">
        <v>0</v>
      </c>
      <c r="K676" t="n">
        <v>0</v>
      </c>
      <c r="L676" t="n">
        <v>0</v>
      </c>
      <c r="M676" t="n">
        <v>0</v>
      </c>
      <c r="N676" t="n">
        <v>0</v>
      </c>
      <c r="O676" t="n">
        <v>0</v>
      </c>
      <c r="P676" t="n">
        <v>0</v>
      </c>
      <c r="Q676" t="n">
        <v>0</v>
      </c>
      <c r="R676" s="2" t="inlineStr"/>
    </row>
    <row r="677" ht="15" customHeight="1">
      <c r="A677" t="inlineStr">
        <is>
          <t>A 17164-2025</t>
        </is>
      </c>
      <c r="B677" s="1" t="n">
        <v>45756.36403935185</v>
      </c>
      <c r="C677" s="1" t="n">
        <v>45988</v>
      </c>
      <c r="D677" t="inlineStr">
        <is>
          <t>DALARNAS LÄN</t>
        </is>
      </c>
      <c r="E677" t="inlineStr">
        <is>
          <t>MORA</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24768-2024</t>
        </is>
      </c>
      <c r="B678" s="1" t="n">
        <v>45460.69545138889</v>
      </c>
      <c r="C678" s="1" t="n">
        <v>45988</v>
      </c>
      <c r="D678" t="inlineStr">
        <is>
          <t>DALARNAS LÄN</t>
        </is>
      </c>
      <c r="E678" t="inlineStr">
        <is>
          <t>MORA</t>
        </is>
      </c>
      <c r="G678" t="n">
        <v>2.4</v>
      </c>
      <c r="H678" t="n">
        <v>0</v>
      </c>
      <c r="I678" t="n">
        <v>0</v>
      </c>
      <c r="J678" t="n">
        <v>0</v>
      </c>
      <c r="K678" t="n">
        <v>0</v>
      </c>
      <c r="L678" t="n">
        <v>0</v>
      </c>
      <c r="M678" t="n">
        <v>0</v>
      </c>
      <c r="N678" t="n">
        <v>0</v>
      </c>
      <c r="O678" t="n">
        <v>0</v>
      </c>
      <c r="P678" t="n">
        <v>0</v>
      </c>
      <c r="Q678" t="n">
        <v>0</v>
      </c>
      <c r="R678" s="2" t="inlineStr"/>
    </row>
    <row r="679" ht="15" customHeight="1">
      <c r="A679" t="inlineStr">
        <is>
          <t>A 17278-2025</t>
        </is>
      </c>
      <c r="B679" s="1" t="n">
        <v>45756.56131944444</v>
      </c>
      <c r="C679" s="1" t="n">
        <v>45988</v>
      </c>
      <c r="D679" t="inlineStr">
        <is>
          <t>DALARNAS LÄN</t>
        </is>
      </c>
      <c r="E679" t="inlineStr">
        <is>
          <t>MORA</t>
        </is>
      </c>
      <c r="G679" t="n">
        <v>3</v>
      </c>
      <c r="H679" t="n">
        <v>0</v>
      </c>
      <c r="I679" t="n">
        <v>0</v>
      </c>
      <c r="J679" t="n">
        <v>0</v>
      </c>
      <c r="K679" t="n">
        <v>0</v>
      </c>
      <c r="L679" t="n">
        <v>0</v>
      </c>
      <c r="M679" t="n">
        <v>0</v>
      </c>
      <c r="N679" t="n">
        <v>0</v>
      </c>
      <c r="O679" t="n">
        <v>0</v>
      </c>
      <c r="P679" t="n">
        <v>0</v>
      </c>
      <c r="Q679" t="n">
        <v>0</v>
      </c>
      <c r="R679" s="2" t="inlineStr"/>
    </row>
    <row r="680" ht="15" customHeight="1">
      <c r="A680" t="inlineStr">
        <is>
          <t>A 4209-2023</t>
        </is>
      </c>
      <c r="B680" s="1" t="n">
        <v>44953</v>
      </c>
      <c r="C680" s="1" t="n">
        <v>45988</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44205-2023</t>
        </is>
      </c>
      <c r="B681" s="1" t="n">
        <v>45188</v>
      </c>
      <c r="C681" s="1" t="n">
        <v>45988</v>
      </c>
      <c r="D681" t="inlineStr">
        <is>
          <t>DALARNAS LÄN</t>
        </is>
      </c>
      <c r="E681" t="inlineStr">
        <is>
          <t>MORA</t>
        </is>
      </c>
      <c r="G681" t="n">
        <v>0.7</v>
      </c>
      <c r="H681" t="n">
        <v>0</v>
      </c>
      <c r="I681" t="n">
        <v>0</v>
      </c>
      <c r="J681" t="n">
        <v>0</v>
      </c>
      <c r="K681" t="n">
        <v>0</v>
      </c>
      <c r="L681" t="n">
        <v>0</v>
      </c>
      <c r="M681" t="n">
        <v>0</v>
      </c>
      <c r="N681" t="n">
        <v>0</v>
      </c>
      <c r="O681" t="n">
        <v>0</v>
      </c>
      <c r="P681" t="n">
        <v>0</v>
      </c>
      <c r="Q681" t="n">
        <v>0</v>
      </c>
      <c r="R681" s="2" t="inlineStr"/>
    </row>
    <row r="682" ht="15" customHeight="1">
      <c r="A682" t="inlineStr">
        <is>
          <t>A 22732-2024</t>
        </is>
      </c>
      <c r="B682" s="1" t="n">
        <v>45448.38677083333</v>
      </c>
      <c r="C682" s="1" t="n">
        <v>45988</v>
      </c>
      <c r="D682" t="inlineStr">
        <is>
          <t>DALARNAS LÄN</t>
        </is>
      </c>
      <c r="E682" t="inlineStr">
        <is>
          <t>MORA</t>
        </is>
      </c>
      <c r="G682" t="n">
        <v>3.6</v>
      </c>
      <c r="H682" t="n">
        <v>0</v>
      </c>
      <c r="I682" t="n">
        <v>0</v>
      </c>
      <c r="J682" t="n">
        <v>0</v>
      </c>
      <c r="K682" t="n">
        <v>0</v>
      </c>
      <c r="L682" t="n">
        <v>0</v>
      </c>
      <c r="M682" t="n">
        <v>0</v>
      </c>
      <c r="N682" t="n">
        <v>0</v>
      </c>
      <c r="O682" t="n">
        <v>0</v>
      </c>
      <c r="P682" t="n">
        <v>0</v>
      </c>
      <c r="Q682" t="n">
        <v>0</v>
      </c>
      <c r="R682" s="2" t="inlineStr"/>
    </row>
    <row r="683" ht="15" customHeight="1">
      <c r="A683" t="inlineStr">
        <is>
          <t>A 19756-2022</t>
        </is>
      </c>
      <c r="B683" s="1" t="n">
        <v>44694.62913194444</v>
      </c>
      <c r="C683" s="1" t="n">
        <v>45988</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46801-2022</t>
        </is>
      </c>
      <c r="B684" s="1" t="n">
        <v>44851</v>
      </c>
      <c r="C684" s="1" t="n">
        <v>45988</v>
      </c>
      <c r="D684" t="inlineStr">
        <is>
          <t>DALARNAS LÄN</t>
        </is>
      </c>
      <c r="E684" t="inlineStr">
        <is>
          <t>MORA</t>
        </is>
      </c>
      <c r="G684" t="n">
        <v>1.5</v>
      </c>
      <c r="H684" t="n">
        <v>0</v>
      </c>
      <c r="I684" t="n">
        <v>0</v>
      </c>
      <c r="J684" t="n">
        <v>0</v>
      </c>
      <c r="K684" t="n">
        <v>0</v>
      </c>
      <c r="L684" t="n">
        <v>0</v>
      </c>
      <c r="M684" t="n">
        <v>0</v>
      </c>
      <c r="N684" t="n">
        <v>0</v>
      </c>
      <c r="O684" t="n">
        <v>0</v>
      </c>
      <c r="P684" t="n">
        <v>0</v>
      </c>
      <c r="Q684" t="n">
        <v>0</v>
      </c>
      <c r="R684" s="2" t="inlineStr"/>
    </row>
    <row r="685" ht="15" customHeight="1">
      <c r="A685" t="inlineStr">
        <is>
          <t>A 5644-2024</t>
        </is>
      </c>
      <c r="B685" s="1" t="n">
        <v>45334</v>
      </c>
      <c r="C685" s="1" t="n">
        <v>45988</v>
      </c>
      <c r="D685" t="inlineStr">
        <is>
          <t>DALARNAS LÄN</t>
        </is>
      </c>
      <c r="E685" t="inlineStr">
        <is>
          <t>MORA</t>
        </is>
      </c>
      <c r="F685" t="inlineStr">
        <is>
          <t>Bergvik skog väst AB</t>
        </is>
      </c>
      <c r="G685" t="n">
        <v>0.6</v>
      </c>
      <c r="H685" t="n">
        <v>0</v>
      </c>
      <c r="I685" t="n">
        <v>0</v>
      </c>
      <c r="J685" t="n">
        <v>0</v>
      </c>
      <c r="K685" t="n">
        <v>0</v>
      </c>
      <c r="L685" t="n">
        <v>0</v>
      </c>
      <c r="M685" t="n">
        <v>0</v>
      </c>
      <c r="N685" t="n">
        <v>0</v>
      </c>
      <c r="O685" t="n">
        <v>0</v>
      </c>
      <c r="P685" t="n">
        <v>0</v>
      </c>
      <c r="Q685" t="n">
        <v>0</v>
      </c>
      <c r="R685" s="2" t="inlineStr"/>
    </row>
    <row r="686" ht="15" customHeight="1">
      <c r="A686" t="inlineStr">
        <is>
          <t>A 33627-2024</t>
        </is>
      </c>
      <c r="B686" s="1" t="n">
        <v>45520</v>
      </c>
      <c r="C686" s="1" t="n">
        <v>45988</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46923-2024</t>
        </is>
      </c>
      <c r="B687" s="1" t="n">
        <v>45584.42887731481</v>
      </c>
      <c r="C687" s="1" t="n">
        <v>45988</v>
      </c>
      <c r="D687" t="inlineStr">
        <is>
          <t>DALARNAS LÄN</t>
        </is>
      </c>
      <c r="E687" t="inlineStr">
        <is>
          <t>MORA</t>
        </is>
      </c>
      <c r="G687" t="n">
        <v>3.4</v>
      </c>
      <c r="H687" t="n">
        <v>0</v>
      </c>
      <c r="I687" t="n">
        <v>0</v>
      </c>
      <c r="J687" t="n">
        <v>0</v>
      </c>
      <c r="K687" t="n">
        <v>0</v>
      </c>
      <c r="L687" t="n">
        <v>0</v>
      </c>
      <c r="M687" t="n">
        <v>0</v>
      </c>
      <c r="N687" t="n">
        <v>0</v>
      </c>
      <c r="O687" t="n">
        <v>0</v>
      </c>
      <c r="P687" t="n">
        <v>0</v>
      </c>
      <c r="Q687" t="n">
        <v>0</v>
      </c>
      <c r="R687" s="2" t="inlineStr"/>
    </row>
    <row r="688" ht="15" customHeight="1">
      <c r="A688" t="inlineStr">
        <is>
          <t>A 39888-2024</t>
        </is>
      </c>
      <c r="B688" s="1" t="n">
        <v>45553.47538194444</v>
      </c>
      <c r="C688" s="1" t="n">
        <v>45988</v>
      </c>
      <c r="D688" t="inlineStr">
        <is>
          <t>DALARNAS LÄN</t>
        </is>
      </c>
      <c r="E688" t="inlineStr">
        <is>
          <t>MORA</t>
        </is>
      </c>
      <c r="G688" t="n">
        <v>5.4</v>
      </c>
      <c r="H688" t="n">
        <v>0</v>
      </c>
      <c r="I688" t="n">
        <v>0</v>
      </c>
      <c r="J688" t="n">
        <v>0</v>
      </c>
      <c r="K688" t="n">
        <v>0</v>
      </c>
      <c r="L688" t="n">
        <v>0</v>
      </c>
      <c r="M688" t="n">
        <v>0</v>
      </c>
      <c r="N688" t="n">
        <v>0</v>
      </c>
      <c r="O688" t="n">
        <v>0</v>
      </c>
      <c r="P688" t="n">
        <v>0</v>
      </c>
      <c r="Q688" t="n">
        <v>0</v>
      </c>
      <c r="R688" s="2" t="inlineStr"/>
    </row>
    <row r="689" ht="15" customHeight="1">
      <c r="A689" t="inlineStr">
        <is>
          <t>A 33666-2024</t>
        </is>
      </c>
      <c r="B689" s="1" t="n">
        <v>45520.48304398148</v>
      </c>
      <c r="C689" s="1" t="n">
        <v>45988</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20989-2024</t>
        </is>
      </c>
      <c r="B690" s="1" t="n">
        <v>45439</v>
      </c>
      <c r="C690" s="1" t="n">
        <v>45988</v>
      </c>
      <c r="D690" t="inlineStr">
        <is>
          <t>DALARNAS LÄN</t>
        </is>
      </c>
      <c r="E690" t="inlineStr">
        <is>
          <t>MORA</t>
        </is>
      </c>
      <c r="F690" t="inlineStr">
        <is>
          <t>Bergvik skog öst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41812-2024</t>
        </is>
      </c>
      <c r="B691" s="1" t="n">
        <v>45561.3771412037</v>
      </c>
      <c r="C691" s="1" t="n">
        <v>45988</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51888-2024</t>
        </is>
      </c>
      <c r="B692" s="1" t="n">
        <v>45607.57142361111</v>
      </c>
      <c r="C692" s="1" t="n">
        <v>45988</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32721-2024</t>
        </is>
      </c>
      <c r="B693" s="1" t="n">
        <v>45516.40261574074</v>
      </c>
      <c r="C693" s="1" t="n">
        <v>45988</v>
      </c>
      <c r="D693" t="inlineStr">
        <is>
          <t>DALARNAS LÄN</t>
        </is>
      </c>
      <c r="E693" t="inlineStr">
        <is>
          <t>MORA</t>
        </is>
      </c>
      <c r="G693" t="n">
        <v>4.2</v>
      </c>
      <c r="H693" t="n">
        <v>0</v>
      </c>
      <c r="I693" t="n">
        <v>0</v>
      </c>
      <c r="J693" t="n">
        <v>0</v>
      </c>
      <c r="K693" t="n">
        <v>0</v>
      </c>
      <c r="L693" t="n">
        <v>0</v>
      </c>
      <c r="M693" t="n">
        <v>0</v>
      </c>
      <c r="N693" t="n">
        <v>0</v>
      </c>
      <c r="O693" t="n">
        <v>0</v>
      </c>
      <c r="P693" t="n">
        <v>0</v>
      </c>
      <c r="Q693" t="n">
        <v>0</v>
      </c>
      <c r="R693" s="2" t="inlineStr"/>
    </row>
    <row r="694" ht="15" customHeight="1">
      <c r="A694" t="inlineStr">
        <is>
          <t>A 8153-2021</t>
        </is>
      </c>
      <c r="B694" s="1" t="n">
        <v>44244</v>
      </c>
      <c r="C694" s="1" t="n">
        <v>45988</v>
      </c>
      <c r="D694" t="inlineStr">
        <is>
          <t>DALARNAS LÄN</t>
        </is>
      </c>
      <c r="E694" t="inlineStr">
        <is>
          <t>MORA</t>
        </is>
      </c>
      <c r="G694" t="n">
        <v>2.5</v>
      </c>
      <c r="H694" t="n">
        <v>0</v>
      </c>
      <c r="I694" t="n">
        <v>0</v>
      </c>
      <c r="J694" t="n">
        <v>0</v>
      </c>
      <c r="K694" t="n">
        <v>0</v>
      </c>
      <c r="L694" t="n">
        <v>0</v>
      </c>
      <c r="M694" t="n">
        <v>0</v>
      </c>
      <c r="N694" t="n">
        <v>0</v>
      </c>
      <c r="O694" t="n">
        <v>0</v>
      </c>
      <c r="P694" t="n">
        <v>0</v>
      </c>
      <c r="Q694" t="n">
        <v>0</v>
      </c>
      <c r="R694" s="2" t="inlineStr"/>
    </row>
    <row r="695" ht="15" customHeight="1">
      <c r="A695" t="inlineStr">
        <is>
          <t>A 25749-2023</t>
        </is>
      </c>
      <c r="B695" s="1" t="n">
        <v>45090</v>
      </c>
      <c r="C695" s="1" t="n">
        <v>45988</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40325-2024</t>
        </is>
      </c>
      <c r="B696" s="1" t="n">
        <v>45554.88538194444</v>
      </c>
      <c r="C696" s="1" t="n">
        <v>45988</v>
      </c>
      <c r="D696" t="inlineStr">
        <is>
          <t>DALARNAS LÄN</t>
        </is>
      </c>
      <c r="E696" t="inlineStr">
        <is>
          <t>MORA</t>
        </is>
      </c>
      <c r="G696" t="n">
        <v>2.8</v>
      </c>
      <c r="H696" t="n">
        <v>0</v>
      </c>
      <c r="I696" t="n">
        <v>0</v>
      </c>
      <c r="J696" t="n">
        <v>0</v>
      </c>
      <c r="K696" t="n">
        <v>0</v>
      </c>
      <c r="L696" t="n">
        <v>0</v>
      </c>
      <c r="M696" t="n">
        <v>0</v>
      </c>
      <c r="N696" t="n">
        <v>0</v>
      </c>
      <c r="O696" t="n">
        <v>0</v>
      </c>
      <c r="P696" t="n">
        <v>0</v>
      </c>
      <c r="Q696" t="n">
        <v>0</v>
      </c>
      <c r="R696" s="2" t="inlineStr"/>
    </row>
    <row r="697" ht="15" customHeight="1">
      <c r="A697" t="inlineStr">
        <is>
          <t>A 43964-2024</t>
        </is>
      </c>
      <c r="B697" s="1" t="n">
        <v>45572.48407407408</v>
      </c>
      <c r="C697" s="1" t="n">
        <v>45988</v>
      </c>
      <c r="D697" t="inlineStr">
        <is>
          <t>DALARNAS LÄN</t>
        </is>
      </c>
      <c r="E697" t="inlineStr">
        <is>
          <t>MORA</t>
        </is>
      </c>
      <c r="G697" t="n">
        <v>0.9</v>
      </c>
      <c r="H697" t="n">
        <v>0</v>
      </c>
      <c r="I697" t="n">
        <v>0</v>
      </c>
      <c r="J697" t="n">
        <v>0</v>
      </c>
      <c r="K697" t="n">
        <v>0</v>
      </c>
      <c r="L697" t="n">
        <v>0</v>
      </c>
      <c r="M697" t="n">
        <v>0</v>
      </c>
      <c r="N697" t="n">
        <v>0</v>
      </c>
      <c r="O697" t="n">
        <v>0</v>
      </c>
      <c r="P697" t="n">
        <v>0</v>
      </c>
      <c r="Q697" t="n">
        <v>0</v>
      </c>
      <c r="R697" s="2" t="inlineStr"/>
    </row>
    <row r="698" ht="15" customHeight="1">
      <c r="A698" t="inlineStr">
        <is>
          <t>A 51883-2024</t>
        </is>
      </c>
      <c r="B698" s="1" t="n">
        <v>45607</v>
      </c>
      <c r="C698" s="1" t="n">
        <v>45988</v>
      </c>
      <c r="D698" t="inlineStr">
        <is>
          <t>DALARNAS LÄN</t>
        </is>
      </c>
      <c r="E698" t="inlineStr">
        <is>
          <t>MORA</t>
        </is>
      </c>
      <c r="G698" t="n">
        <v>0.2</v>
      </c>
      <c r="H698" t="n">
        <v>0</v>
      </c>
      <c r="I698" t="n">
        <v>0</v>
      </c>
      <c r="J698" t="n">
        <v>0</v>
      </c>
      <c r="K698" t="n">
        <v>0</v>
      </c>
      <c r="L698" t="n">
        <v>0</v>
      </c>
      <c r="M698" t="n">
        <v>0</v>
      </c>
      <c r="N698" t="n">
        <v>0</v>
      </c>
      <c r="O698" t="n">
        <v>0</v>
      </c>
      <c r="P698" t="n">
        <v>0</v>
      </c>
      <c r="Q698" t="n">
        <v>0</v>
      </c>
      <c r="R698" s="2" t="inlineStr"/>
    </row>
    <row r="699" ht="15" customHeight="1">
      <c r="A699" t="inlineStr">
        <is>
          <t>A 42941-2024</t>
        </is>
      </c>
      <c r="B699" s="1" t="n">
        <v>45567.3515162037</v>
      </c>
      <c r="C699" s="1" t="n">
        <v>45988</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43873-2024</t>
        </is>
      </c>
      <c r="B700" s="1" t="n">
        <v>45572.38429398148</v>
      </c>
      <c r="C700" s="1" t="n">
        <v>45988</v>
      </c>
      <c r="D700" t="inlineStr">
        <is>
          <t>DALARNAS LÄN</t>
        </is>
      </c>
      <c r="E700" t="inlineStr">
        <is>
          <t>MORA</t>
        </is>
      </c>
      <c r="G700" t="n">
        <v>4.1</v>
      </c>
      <c r="H700" t="n">
        <v>0</v>
      </c>
      <c r="I700" t="n">
        <v>0</v>
      </c>
      <c r="J700" t="n">
        <v>0</v>
      </c>
      <c r="K700" t="n">
        <v>0</v>
      </c>
      <c r="L700" t="n">
        <v>0</v>
      </c>
      <c r="M700" t="n">
        <v>0</v>
      </c>
      <c r="N700" t="n">
        <v>0</v>
      </c>
      <c r="O700" t="n">
        <v>0</v>
      </c>
      <c r="P700" t="n">
        <v>0</v>
      </c>
      <c r="Q700" t="n">
        <v>0</v>
      </c>
      <c r="R700" s="2" t="inlineStr"/>
    </row>
    <row r="701" ht="15" customHeight="1">
      <c r="A701" t="inlineStr">
        <is>
          <t>A 14372-2025</t>
        </is>
      </c>
      <c r="B701" s="1" t="n">
        <v>45741.4050462963</v>
      </c>
      <c r="C701" s="1" t="n">
        <v>45988</v>
      </c>
      <c r="D701" t="inlineStr">
        <is>
          <t>DALARNAS LÄN</t>
        </is>
      </c>
      <c r="E701" t="inlineStr">
        <is>
          <t>MORA</t>
        </is>
      </c>
      <c r="G701" t="n">
        <v>5.1</v>
      </c>
      <c r="H701" t="n">
        <v>0</v>
      </c>
      <c r="I701" t="n">
        <v>0</v>
      </c>
      <c r="J701" t="n">
        <v>0</v>
      </c>
      <c r="K701" t="n">
        <v>0</v>
      </c>
      <c r="L701" t="n">
        <v>0</v>
      </c>
      <c r="M701" t="n">
        <v>0</v>
      </c>
      <c r="N701" t="n">
        <v>0</v>
      </c>
      <c r="O701" t="n">
        <v>0</v>
      </c>
      <c r="P701" t="n">
        <v>0</v>
      </c>
      <c r="Q701" t="n">
        <v>0</v>
      </c>
      <c r="R701" s="2" t="inlineStr"/>
    </row>
    <row r="702" ht="15" customHeight="1">
      <c r="A702" t="inlineStr">
        <is>
          <t>A 14378-2025</t>
        </is>
      </c>
      <c r="B702" s="1" t="n">
        <v>45741</v>
      </c>
      <c r="C702" s="1" t="n">
        <v>45988</v>
      </c>
      <c r="D702" t="inlineStr">
        <is>
          <t>DALARNAS LÄN</t>
        </is>
      </c>
      <c r="E702" t="inlineStr">
        <is>
          <t>MORA</t>
        </is>
      </c>
      <c r="G702" t="n">
        <v>5.2</v>
      </c>
      <c r="H702" t="n">
        <v>0</v>
      </c>
      <c r="I702" t="n">
        <v>0</v>
      </c>
      <c r="J702" t="n">
        <v>0</v>
      </c>
      <c r="K702" t="n">
        <v>0</v>
      </c>
      <c r="L702" t="n">
        <v>0</v>
      </c>
      <c r="M702" t="n">
        <v>0</v>
      </c>
      <c r="N702" t="n">
        <v>0</v>
      </c>
      <c r="O702" t="n">
        <v>0</v>
      </c>
      <c r="P702" t="n">
        <v>0</v>
      </c>
      <c r="Q702" t="n">
        <v>0</v>
      </c>
      <c r="R702" s="2" t="inlineStr"/>
    </row>
    <row r="703" ht="15" customHeight="1">
      <c r="A703" t="inlineStr">
        <is>
          <t>A 16733-2024</t>
        </is>
      </c>
      <c r="B703" s="1" t="n">
        <v>45410.78502314815</v>
      </c>
      <c r="C703" s="1" t="n">
        <v>45988</v>
      </c>
      <c r="D703" t="inlineStr">
        <is>
          <t>DALARNAS LÄN</t>
        </is>
      </c>
      <c r="E703" t="inlineStr">
        <is>
          <t>MORA</t>
        </is>
      </c>
      <c r="G703" t="n">
        <v>6.3</v>
      </c>
      <c r="H703" t="n">
        <v>0</v>
      </c>
      <c r="I703" t="n">
        <v>0</v>
      </c>
      <c r="J703" t="n">
        <v>0</v>
      </c>
      <c r="K703" t="n">
        <v>0</v>
      </c>
      <c r="L703" t="n">
        <v>0</v>
      </c>
      <c r="M703" t="n">
        <v>0</v>
      </c>
      <c r="N703" t="n">
        <v>0</v>
      </c>
      <c r="O703" t="n">
        <v>0</v>
      </c>
      <c r="P703" t="n">
        <v>0</v>
      </c>
      <c r="Q703" t="n">
        <v>0</v>
      </c>
      <c r="R703" s="2" t="inlineStr"/>
    </row>
    <row r="704" ht="15" customHeight="1">
      <c r="A704" t="inlineStr">
        <is>
          <t>A 61217-2023</t>
        </is>
      </c>
      <c r="B704" s="1" t="n">
        <v>45264.43802083333</v>
      </c>
      <c r="C704" s="1" t="n">
        <v>45988</v>
      </c>
      <c r="D704" t="inlineStr">
        <is>
          <t>DALARNAS LÄN</t>
        </is>
      </c>
      <c r="E704" t="inlineStr">
        <is>
          <t>MORA</t>
        </is>
      </c>
      <c r="F704" t="inlineStr">
        <is>
          <t>Allmännings- och besparingsskogar</t>
        </is>
      </c>
      <c r="G704" t="n">
        <v>2</v>
      </c>
      <c r="H704" t="n">
        <v>0</v>
      </c>
      <c r="I704" t="n">
        <v>0</v>
      </c>
      <c r="J704" t="n">
        <v>0</v>
      </c>
      <c r="K704" t="n">
        <v>0</v>
      </c>
      <c r="L704" t="n">
        <v>0</v>
      </c>
      <c r="M704" t="n">
        <v>0</v>
      </c>
      <c r="N704" t="n">
        <v>0</v>
      </c>
      <c r="O704" t="n">
        <v>0</v>
      </c>
      <c r="P704" t="n">
        <v>0</v>
      </c>
      <c r="Q704" t="n">
        <v>0</v>
      </c>
      <c r="R704" s="2" t="inlineStr"/>
    </row>
    <row r="705" ht="15" customHeight="1">
      <c r="A705" t="inlineStr">
        <is>
          <t>A 61218-2023</t>
        </is>
      </c>
      <c r="B705" s="1" t="n">
        <v>45264</v>
      </c>
      <c r="C705" s="1" t="n">
        <v>45988</v>
      </c>
      <c r="D705" t="inlineStr">
        <is>
          <t>DALARNAS LÄN</t>
        </is>
      </c>
      <c r="E705" t="inlineStr">
        <is>
          <t>MORA</t>
        </is>
      </c>
      <c r="F705" t="inlineStr">
        <is>
          <t>Allmännings- och besparingsskogar</t>
        </is>
      </c>
      <c r="G705" t="n">
        <v>2.6</v>
      </c>
      <c r="H705" t="n">
        <v>0</v>
      </c>
      <c r="I705" t="n">
        <v>0</v>
      </c>
      <c r="J705" t="n">
        <v>0</v>
      </c>
      <c r="K705" t="n">
        <v>0</v>
      </c>
      <c r="L705" t="n">
        <v>0</v>
      </c>
      <c r="M705" t="n">
        <v>0</v>
      </c>
      <c r="N705" t="n">
        <v>0</v>
      </c>
      <c r="O705" t="n">
        <v>0</v>
      </c>
      <c r="P705" t="n">
        <v>0</v>
      </c>
      <c r="Q705" t="n">
        <v>0</v>
      </c>
      <c r="R705" s="2" t="inlineStr"/>
    </row>
    <row r="706" ht="15" customHeight="1">
      <c r="A706" t="inlineStr">
        <is>
          <t>A 39348-2024</t>
        </is>
      </c>
      <c r="B706" s="1" t="n">
        <v>45551.45322916667</v>
      </c>
      <c r="C706" s="1" t="n">
        <v>45988</v>
      </c>
      <c r="D706" t="inlineStr">
        <is>
          <t>DALARNAS LÄN</t>
        </is>
      </c>
      <c r="E706" t="inlineStr">
        <is>
          <t>MORA</t>
        </is>
      </c>
      <c r="G706" t="n">
        <v>0.5</v>
      </c>
      <c r="H706" t="n">
        <v>0</v>
      </c>
      <c r="I706" t="n">
        <v>0</v>
      </c>
      <c r="J706" t="n">
        <v>0</v>
      </c>
      <c r="K706" t="n">
        <v>0</v>
      </c>
      <c r="L706" t="n">
        <v>0</v>
      </c>
      <c r="M706" t="n">
        <v>0</v>
      </c>
      <c r="N706" t="n">
        <v>0</v>
      </c>
      <c r="O706" t="n">
        <v>0</v>
      </c>
      <c r="P706" t="n">
        <v>0</v>
      </c>
      <c r="Q706" t="n">
        <v>0</v>
      </c>
      <c r="R706" s="2" t="inlineStr"/>
    </row>
    <row r="707" ht="15" customHeight="1">
      <c r="A707" t="inlineStr">
        <is>
          <t>A 54903-2024</t>
        </is>
      </c>
      <c r="B707" s="1" t="n">
        <v>45618</v>
      </c>
      <c r="C707" s="1" t="n">
        <v>45988</v>
      </c>
      <c r="D707" t="inlineStr">
        <is>
          <t>DALARNAS LÄN</t>
        </is>
      </c>
      <c r="E707" t="inlineStr">
        <is>
          <t>MORA</t>
        </is>
      </c>
      <c r="G707" t="n">
        <v>28.2</v>
      </c>
      <c r="H707" t="n">
        <v>0</v>
      </c>
      <c r="I707" t="n">
        <v>0</v>
      </c>
      <c r="J707" t="n">
        <v>0</v>
      </c>
      <c r="K707" t="n">
        <v>0</v>
      </c>
      <c r="L707" t="n">
        <v>0</v>
      </c>
      <c r="M707" t="n">
        <v>0</v>
      </c>
      <c r="N707" t="n">
        <v>0</v>
      </c>
      <c r="O707" t="n">
        <v>0</v>
      </c>
      <c r="P707" t="n">
        <v>0</v>
      </c>
      <c r="Q707" t="n">
        <v>0</v>
      </c>
      <c r="R707" s="2" t="inlineStr"/>
    </row>
    <row r="708" ht="15" customHeight="1">
      <c r="A708" t="inlineStr">
        <is>
          <t>A 23302-2024</t>
        </is>
      </c>
      <c r="B708" s="1" t="n">
        <v>45453.44091435185</v>
      </c>
      <c r="C708" s="1" t="n">
        <v>45988</v>
      </c>
      <c r="D708" t="inlineStr">
        <is>
          <t>DALARNAS LÄN</t>
        </is>
      </c>
      <c r="E708" t="inlineStr">
        <is>
          <t>MORA</t>
        </is>
      </c>
      <c r="G708" t="n">
        <v>1.3</v>
      </c>
      <c r="H708" t="n">
        <v>0</v>
      </c>
      <c r="I708" t="n">
        <v>0</v>
      </c>
      <c r="J708" t="n">
        <v>0</v>
      </c>
      <c r="K708" t="n">
        <v>0</v>
      </c>
      <c r="L708" t="n">
        <v>0</v>
      </c>
      <c r="M708" t="n">
        <v>0</v>
      </c>
      <c r="N708" t="n">
        <v>0</v>
      </c>
      <c r="O708" t="n">
        <v>0</v>
      </c>
      <c r="P708" t="n">
        <v>0</v>
      </c>
      <c r="Q708" t="n">
        <v>0</v>
      </c>
      <c r="R708" s="2" t="inlineStr"/>
    </row>
    <row r="709" ht="15" customHeight="1">
      <c r="A709" t="inlineStr">
        <is>
          <t>A 16573-2024</t>
        </is>
      </c>
      <c r="B709" s="1" t="n">
        <v>45408.46980324074</v>
      </c>
      <c r="C709" s="1" t="n">
        <v>45988</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21894-2025</t>
        </is>
      </c>
      <c r="B710" s="1" t="n">
        <v>45784.45060185185</v>
      </c>
      <c r="C710" s="1" t="n">
        <v>45988</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21890-2025</t>
        </is>
      </c>
      <c r="B711" s="1" t="n">
        <v>45784.44481481481</v>
      </c>
      <c r="C711" s="1" t="n">
        <v>45988</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c r="A712" t="inlineStr">
        <is>
          <t>A 21895-2025</t>
        </is>
      </c>
      <c r="B712" s="1" t="n">
        <v>45784.45273148148</v>
      </c>
      <c r="C712" s="1" t="n">
        <v>45988</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2025-11-27T10:25:43Z</dcterms:created>
  <dcterms:modified xmlns:dcterms="http://purl.org/dc/terms/" xmlns:xsi="http://www.w3.org/2001/XMLSchema-instance" xsi:type="dcterms:W3CDTF">2025-11-27T10:25:44Z</dcterms:modified>
</cp:coreProperties>
</file>