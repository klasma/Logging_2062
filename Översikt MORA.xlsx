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45784</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45784</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45784</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45784</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45784</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45784</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45784</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45784</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45784</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45784</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45784</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45784</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45784</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45784</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45784</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45784</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45784</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45784</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54028-2020</t>
        </is>
      </c>
      <c r="B22" s="1" t="n">
        <v>44125</v>
      </c>
      <c r="C22" s="1" t="n">
        <v>45784</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45784</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45784</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45784</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45784</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45784</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18527-2025</t>
        </is>
      </c>
      <c r="B28" s="1" t="n">
        <v>45763</v>
      </c>
      <c r="C28" s="1" t="n">
        <v>45784</v>
      </c>
      <c r="D28" t="inlineStr">
        <is>
          <t>DALARNAS LÄN</t>
        </is>
      </c>
      <c r="E28" t="inlineStr">
        <is>
          <t>MORA</t>
        </is>
      </c>
      <c r="G28" t="n">
        <v>10.6</v>
      </c>
      <c r="H28" t="n">
        <v>3</v>
      </c>
      <c r="I28" t="n">
        <v>1</v>
      </c>
      <c r="J28" t="n">
        <v>4</v>
      </c>
      <c r="K28" t="n">
        <v>0</v>
      </c>
      <c r="L28" t="n">
        <v>0</v>
      </c>
      <c r="M28" t="n">
        <v>0</v>
      </c>
      <c r="N28" t="n">
        <v>0</v>
      </c>
      <c r="O28" t="n">
        <v>4</v>
      </c>
      <c r="P28" t="n">
        <v>0</v>
      </c>
      <c r="Q28" t="n">
        <v>6</v>
      </c>
      <c r="R28" s="2" t="inlineStr">
        <is>
          <t>Garnlav
Spillkråka
Talltita
Vitgrynig nållav
Mindre märgborre
Tjäder</t>
        </is>
      </c>
      <c r="S28">
        <f>HYPERLINK("https://klasma.github.io/Logging_202062/artfynd/A 18527-2025 artfynd.xlsx", "A 18527-2025")</f>
        <v/>
      </c>
      <c r="T28">
        <f>HYPERLINK("https://klasma.github.io/Logging_202062/kartor/A 18527-2025 karta.png", "A 18527-2025")</f>
        <v/>
      </c>
      <c r="V28">
        <f>HYPERLINK("https://klasma.github.io/Logging_202062/klagomål/A 18527-2025 FSC-klagomål.docx", "A 18527-2025")</f>
        <v/>
      </c>
      <c r="W28">
        <f>HYPERLINK("https://klasma.github.io/Logging_202062/klagomålsmail/A 18527-2025 FSC-klagomål mail.docx", "A 18527-2025")</f>
        <v/>
      </c>
      <c r="X28">
        <f>HYPERLINK("https://klasma.github.io/Logging_202062/tillsyn/A 18527-2025 tillsynsbegäran.docx", "A 18527-2025")</f>
        <v/>
      </c>
      <c r="Y28">
        <f>HYPERLINK("https://klasma.github.io/Logging_202062/tillsynsmail/A 18527-2025 tillsynsbegäran mail.docx", "A 18527-2025")</f>
        <v/>
      </c>
      <c r="Z28">
        <f>HYPERLINK("https://klasma.github.io/Logging_202062/fåglar/A 18527-2025 prioriterade fågelarter.docx", "A 18527-2025")</f>
        <v/>
      </c>
    </row>
    <row r="29" ht="15" customHeight="1">
      <c r="A29" t="inlineStr">
        <is>
          <t>A 25750-2021</t>
        </is>
      </c>
      <c r="B29" s="1" t="n">
        <v>44343</v>
      </c>
      <c r="C29" s="1" t="n">
        <v>45784</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45784</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45784</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45784</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45784</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45784</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45784</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45784</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45784</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45784</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45784</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45784</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45784</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5484-2023</t>
        </is>
      </c>
      <c r="B42" s="1" t="n">
        <v>44957</v>
      </c>
      <c r="C42" s="1" t="n">
        <v>45784</v>
      </c>
      <c r="D42" t="inlineStr">
        <is>
          <t>DALARNAS LÄN</t>
        </is>
      </c>
      <c r="E42" t="inlineStr">
        <is>
          <t>MORA</t>
        </is>
      </c>
      <c r="F42" t="inlineStr">
        <is>
          <t>Allmännings- och besparingsskogar</t>
        </is>
      </c>
      <c r="G42" t="n">
        <v>14.9</v>
      </c>
      <c r="H42" t="n">
        <v>0</v>
      </c>
      <c r="I42" t="n">
        <v>1</v>
      </c>
      <c r="J42" t="n">
        <v>0</v>
      </c>
      <c r="K42" t="n">
        <v>2</v>
      </c>
      <c r="L42" t="n">
        <v>0</v>
      </c>
      <c r="M42" t="n">
        <v>0</v>
      </c>
      <c r="N42" t="n">
        <v>0</v>
      </c>
      <c r="O42" t="n">
        <v>2</v>
      </c>
      <c r="P42" t="n">
        <v>2</v>
      </c>
      <c r="Q42" t="n">
        <v>3</v>
      </c>
      <c r="R42" s="2" t="inlineStr">
        <is>
          <t>Raggbock
Tallbarksvartbagge
Mindre märgborre</t>
        </is>
      </c>
      <c r="S42">
        <f>HYPERLINK("https://klasma.github.io/Logging_2062/artfynd/A 5484-2023 artfynd.xlsx", "A 5484-2023")</f>
        <v/>
      </c>
      <c r="T42">
        <f>HYPERLINK("https://klasma.github.io/Logging_2062/kartor/A 5484-2023 karta.png", "A 5484-2023")</f>
        <v/>
      </c>
      <c r="V42">
        <f>HYPERLINK("https://klasma.github.io/Logging_2062/klagomål/A 5484-2023 FSC-klagomål.docx", "A 5484-2023")</f>
        <v/>
      </c>
      <c r="W42">
        <f>HYPERLINK("https://klasma.github.io/Logging_2062/klagomålsmail/A 5484-2023 FSC-klagomål mail.docx", "A 5484-2023")</f>
        <v/>
      </c>
      <c r="X42">
        <f>HYPERLINK("https://klasma.github.io/Logging_2062/tillsyn/A 5484-2023 tillsynsbegäran.docx", "A 5484-2023")</f>
        <v/>
      </c>
      <c r="Y42">
        <f>HYPERLINK("https://klasma.github.io/Logging_2062/tillsynsmail/A 5484-2023 tillsynsbegäran mail.docx", "A 5484-2023")</f>
        <v/>
      </c>
    </row>
    <row r="43" ht="15" customHeight="1">
      <c r="A43" t="inlineStr">
        <is>
          <t>A 33185-2019</t>
        </is>
      </c>
      <c r="B43" s="1" t="n">
        <v>43649</v>
      </c>
      <c r="C43" s="1" t="n">
        <v>45784</v>
      </c>
      <c r="D43" t="inlineStr">
        <is>
          <t>DALARNAS LÄN</t>
        </is>
      </c>
      <c r="E43" t="inlineStr">
        <is>
          <t>MORA</t>
        </is>
      </c>
      <c r="G43" t="n">
        <v>8</v>
      </c>
      <c r="H43" t="n">
        <v>0</v>
      </c>
      <c r="I43" t="n">
        <v>0</v>
      </c>
      <c r="J43" t="n">
        <v>2</v>
      </c>
      <c r="K43" t="n">
        <v>0</v>
      </c>
      <c r="L43" t="n">
        <v>0</v>
      </c>
      <c r="M43" t="n">
        <v>0</v>
      </c>
      <c r="N43" t="n">
        <v>0</v>
      </c>
      <c r="O43" t="n">
        <v>2</v>
      </c>
      <c r="P43" t="n">
        <v>0</v>
      </c>
      <c r="Q43" t="n">
        <v>2</v>
      </c>
      <c r="R43" s="2" t="inlineStr">
        <is>
          <t>Mörk kolflarnlav
Vedskivlav</t>
        </is>
      </c>
      <c r="S43">
        <f>HYPERLINK("https://klasma.github.io/Logging_2062/artfynd/A 33185-2019 artfynd.xlsx", "A 33185-2019")</f>
        <v/>
      </c>
      <c r="T43">
        <f>HYPERLINK("https://klasma.github.io/Logging_2062/kartor/A 33185-2019 karta.png", "A 33185-2019")</f>
        <v/>
      </c>
      <c r="V43">
        <f>HYPERLINK("https://klasma.github.io/Logging_2062/klagomål/A 33185-2019 FSC-klagomål.docx", "A 33185-2019")</f>
        <v/>
      </c>
      <c r="W43">
        <f>HYPERLINK("https://klasma.github.io/Logging_2062/klagomålsmail/A 33185-2019 FSC-klagomål mail.docx", "A 33185-2019")</f>
        <v/>
      </c>
      <c r="X43">
        <f>HYPERLINK("https://klasma.github.io/Logging_2062/tillsyn/A 33185-2019 tillsynsbegäran.docx", "A 33185-2019")</f>
        <v/>
      </c>
      <c r="Y43">
        <f>HYPERLINK("https://klasma.github.io/Logging_2062/tillsynsmail/A 33185-2019 tillsynsbegäran mail.docx", "A 33185-2019")</f>
        <v/>
      </c>
    </row>
    <row r="44" ht="15" customHeight="1">
      <c r="A44" t="inlineStr">
        <is>
          <t>A 64812-2019</t>
        </is>
      </c>
      <c r="B44" s="1" t="n">
        <v>43801</v>
      </c>
      <c r="C44" s="1" t="n">
        <v>45784</v>
      </c>
      <c r="D44" t="inlineStr">
        <is>
          <t>DALARNAS LÄN</t>
        </is>
      </c>
      <c r="E44" t="inlineStr">
        <is>
          <t>MORA</t>
        </is>
      </c>
      <c r="G44" t="n">
        <v>5.6</v>
      </c>
      <c r="H44" t="n">
        <v>0</v>
      </c>
      <c r="I44" t="n">
        <v>0</v>
      </c>
      <c r="J44" t="n">
        <v>2</v>
      </c>
      <c r="K44" t="n">
        <v>0</v>
      </c>
      <c r="L44" t="n">
        <v>0</v>
      </c>
      <c r="M44" t="n">
        <v>0</v>
      </c>
      <c r="N44" t="n">
        <v>0</v>
      </c>
      <c r="O44" t="n">
        <v>2</v>
      </c>
      <c r="P44" t="n">
        <v>0</v>
      </c>
      <c r="Q44" t="n">
        <v>2</v>
      </c>
      <c r="R44" s="2" t="inlineStr">
        <is>
          <t>Rosenticka
Ullticka</t>
        </is>
      </c>
      <c r="S44">
        <f>HYPERLINK("https://klasma.github.io/Logging_2062/artfynd/A 64812-2019 artfynd.xlsx", "A 64812-2019")</f>
        <v/>
      </c>
      <c r="T44">
        <f>HYPERLINK("https://klasma.github.io/Logging_2062/kartor/A 64812-2019 karta.png", "A 64812-2019")</f>
        <v/>
      </c>
      <c r="V44">
        <f>HYPERLINK("https://klasma.github.io/Logging_2062/klagomål/A 64812-2019 FSC-klagomål.docx", "A 64812-2019")</f>
        <v/>
      </c>
      <c r="W44">
        <f>HYPERLINK("https://klasma.github.io/Logging_2062/klagomålsmail/A 64812-2019 FSC-klagomål mail.docx", "A 64812-2019")</f>
        <v/>
      </c>
      <c r="X44">
        <f>HYPERLINK("https://klasma.github.io/Logging_2062/tillsyn/A 64812-2019 tillsynsbegäran.docx", "A 64812-2019")</f>
        <v/>
      </c>
      <c r="Y44">
        <f>HYPERLINK("https://klasma.github.io/Logging_2062/tillsynsmail/A 64812-2019 tillsynsbegäran mail.docx", "A 64812-2019")</f>
        <v/>
      </c>
    </row>
    <row r="45" ht="15" customHeight="1">
      <c r="A45" t="inlineStr">
        <is>
          <t>A 59626-2020</t>
        </is>
      </c>
      <c r="B45" s="1" t="n">
        <v>44150</v>
      </c>
      <c r="C45" s="1" t="n">
        <v>45784</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45784</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25881-2023</t>
        </is>
      </c>
      <c r="B47" s="1" t="n">
        <v>45090</v>
      </c>
      <c r="C47" s="1" t="n">
        <v>45784</v>
      </c>
      <c r="D47" t="inlineStr">
        <is>
          <t>DALARNAS LÄN</t>
        </is>
      </c>
      <c r="E47" t="inlineStr">
        <is>
          <t>MORA</t>
        </is>
      </c>
      <c r="G47" t="n">
        <v>8.5</v>
      </c>
      <c r="H47" t="n">
        <v>2</v>
      </c>
      <c r="I47" t="n">
        <v>0</v>
      </c>
      <c r="J47" t="n">
        <v>2</v>
      </c>
      <c r="K47" t="n">
        <v>0</v>
      </c>
      <c r="L47" t="n">
        <v>0</v>
      </c>
      <c r="M47" t="n">
        <v>0</v>
      </c>
      <c r="N47" t="n">
        <v>0</v>
      </c>
      <c r="O47" t="n">
        <v>2</v>
      </c>
      <c r="P47" t="n">
        <v>0</v>
      </c>
      <c r="Q47" t="n">
        <v>2</v>
      </c>
      <c r="R47" s="2" t="inlineStr">
        <is>
          <t>Talltita
Tretåig hackspett</t>
        </is>
      </c>
      <c r="S47">
        <f>HYPERLINK("https://klasma.github.io/Logging_2062/artfynd/A 25881-2023 artfynd.xlsx", "A 25881-2023")</f>
        <v/>
      </c>
      <c r="T47">
        <f>HYPERLINK("https://klasma.github.io/Logging_2062/kartor/A 25881-2023 karta.png", "A 25881-2023")</f>
        <v/>
      </c>
      <c r="V47">
        <f>HYPERLINK("https://klasma.github.io/Logging_2062/klagomål/A 25881-2023 FSC-klagomål.docx", "A 25881-2023")</f>
        <v/>
      </c>
      <c r="W47">
        <f>HYPERLINK("https://klasma.github.io/Logging_2062/klagomålsmail/A 25881-2023 FSC-klagomål mail.docx", "A 25881-2023")</f>
        <v/>
      </c>
      <c r="X47">
        <f>HYPERLINK("https://klasma.github.io/Logging_2062/tillsyn/A 25881-2023 tillsynsbegäran.docx", "A 25881-2023")</f>
        <v/>
      </c>
      <c r="Y47">
        <f>HYPERLINK("https://klasma.github.io/Logging_2062/tillsynsmail/A 25881-2023 tillsynsbegäran mail.docx", "A 25881-2023")</f>
        <v/>
      </c>
      <c r="Z47">
        <f>HYPERLINK("https://klasma.github.io/Logging_2062/fåglar/A 25881-2023 prioriterade fågelarter.docx", "A 25881-2023")</f>
        <v/>
      </c>
    </row>
    <row r="48" ht="15" customHeight="1">
      <c r="A48" t="inlineStr">
        <is>
          <t>A 26587-2023</t>
        </is>
      </c>
      <c r="B48" s="1" t="n">
        <v>45092</v>
      </c>
      <c r="C48" s="1" t="n">
        <v>45784</v>
      </c>
      <c r="D48" t="inlineStr">
        <is>
          <t>DALARNAS LÄN</t>
        </is>
      </c>
      <c r="E48" t="inlineStr">
        <is>
          <t>MORA</t>
        </is>
      </c>
      <c r="G48" t="n">
        <v>2.1</v>
      </c>
      <c r="H48" t="n">
        <v>0</v>
      </c>
      <c r="I48" t="n">
        <v>1</v>
      </c>
      <c r="J48" t="n">
        <v>1</v>
      </c>
      <c r="K48" t="n">
        <v>0</v>
      </c>
      <c r="L48" t="n">
        <v>0</v>
      </c>
      <c r="M48" t="n">
        <v>0</v>
      </c>
      <c r="N48" t="n">
        <v>0</v>
      </c>
      <c r="O48" t="n">
        <v>1</v>
      </c>
      <c r="P48" t="n">
        <v>0</v>
      </c>
      <c r="Q48" t="n">
        <v>2</v>
      </c>
      <c r="R48" s="2" t="inlineStr">
        <is>
          <t>Motaggsvamp
Mindre märgborre</t>
        </is>
      </c>
      <c r="S48">
        <f>HYPERLINK("https://klasma.github.io/Logging_2062/artfynd/A 26587-2023 artfynd.xlsx", "A 26587-2023")</f>
        <v/>
      </c>
      <c r="T48">
        <f>HYPERLINK("https://klasma.github.io/Logging_2062/kartor/A 26587-2023 karta.png", "A 26587-2023")</f>
        <v/>
      </c>
      <c r="V48">
        <f>HYPERLINK("https://klasma.github.io/Logging_2062/klagomål/A 26587-2023 FSC-klagomål.docx", "A 26587-2023")</f>
        <v/>
      </c>
      <c r="W48">
        <f>HYPERLINK("https://klasma.github.io/Logging_2062/klagomålsmail/A 26587-2023 FSC-klagomål mail.docx", "A 26587-2023")</f>
        <v/>
      </c>
      <c r="X48">
        <f>HYPERLINK("https://klasma.github.io/Logging_2062/tillsyn/A 26587-2023 tillsynsbegäran.docx", "A 26587-2023")</f>
        <v/>
      </c>
      <c r="Y48">
        <f>HYPERLINK("https://klasma.github.io/Logging_2062/tillsynsmail/A 26587-2023 tillsynsbegäran mail.docx", "A 26587-2023")</f>
        <v/>
      </c>
    </row>
    <row r="49" ht="15" customHeight="1">
      <c r="A49" t="inlineStr">
        <is>
          <t>A 30278-2023</t>
        </is>
      </c>
      <c r="B49" s="1" t="n">
        <v>45110</v>
      </c>
      <c r="C49" s="1" t="n">
        <v>45784</v>
      </c>
      <c r="D49" t="inlineStr">
        <is>
          <t>DALARNAS LÄN</t>
        </is>
      </c>
      <c r="E49" t="inlineStr">
        <is>
          <t>MORA</t>
        </is>
      </c>
      <c r="G49" t="n">
        <v>16</v>
      </c>
      <c r="H49" t="n">
        <v>0</v>
      </c>
      <c r="I49" t="n">
        <v>1</v>
      </c>
      <c r="J49" t="n">
        <v>0</v>
      </c>
      <c r="K49" t="n">
        <v>1</v>
      </c>
      <c r="L49" t="n">
        <v>0</v>
      </c>
      <c r="M49" t="n">
        <v>0</v>
      </c>
      <c r="N49" t="n">
        <v>0</v>
      </c>
      <c r="O49" t="n">
        <v>1</v>
      </c>
      <c r="P49" t="n">
        <v>1</v>
      </c>
      <c r="Q49" t="n">
        <v>2</v>
      </c>
      <c r="R49" s="2" t="inlineStr">
        <is>
          <t>Tallbarksvartbagge
Mindre märgborre</t>
        </is>
      </c>
      <c r="S49">
        <f>HYPERLINK("https://klasma.github.io/Logging_2062/artfynd/A 30278-2023 artfynd.xlsx", "A 30278-2023")</f>
        <v/>
      </c>
      <c r="T49">
        <f>HYPERLINK("https://klasma.github.io/Logging_2062/kartor/A 30278-2023 karta.png", "A 30278-2023")</f>
        <v/>
      </c>
      <c r="V49">
        <f>HYPERLINK("https://klasma.github.io/Logging_2062/klagomål/A 30278-2023 FSC-klagomål.docx", "A 30278-2023")</f>
        <v/>
      </c>
      <c r="W49">
        <f>HYPERLINK("https://klasma.github.io/Logging_2062/klagomålsmail/A 30278-2023 FSC-klagomål mail.docx", "A 30278-2023")</f>
        <v/>
      </c>
      <c r="X49">
        <f>HYPERLINK("https://klasma.github.io/Logging_2062/tillsyn/A 30278-2023 tillsynsbegäran.docx", "A 30278-2023")</f>
        <v/>
      </c>
      <c r="Y49">
        <f>HYPERLINK("https://klasma.github.io/Logging_2062/tillsynsmail/A 30278-2023 tillsynsbegäran mail.docx", "A 30278-2023")</f>
        <v/>
      </c>
    </row>
    <row r="50" ht="15" customHeight="1">
      <c r="A50" t="inlineStr">
        <is>
          <t>A 42028-2023</t>
        </is>
      </c>
      <c r="B50" s="1" t="n">
        <v>45177</v>
      </c>
      <c r="C50" s="1" t="n">
        <v>45784</v>
      </c>
      <c r="D50" t="inlineStr">
        <is>
          <t>DALARNAS LÄN</t>
        </is>
      </c>
      <c r="E50" t="inlineStr">
        <is>
          <t>MORA</t>
        </is>
      </c>
      <c r="F50" t="inlineStr">
        <is>
          <t>Allmännings- och besparingsskogar</t>
        </is>
      </c>
      <c r="G50" t="n">
        <v>6.5</v>
      </c>
      <c r="H50" t="n">
        <v>0</v>
      </c>
      <c r="I50" t="n">
        <v>0</v>
      </c>
      <c r="J50" t="n">
        <v>2</v>
      </c>
      <c r="K50" t="n">
        <v>0</v>
      </c>
      <c r="L50" t="n">
        <v>0</v>
      </c>
      <c r="M50" t="n">
        <v>0</v>
      </c>
      <c r="N50" t="n">
        <v>0</v>
      </c>
      <c r="O50" t="n">
        <v>2</v>
      </c>
      <c r="P50" t="n">
        <v>0</v>
      </c>
      <c r="Q50" t="n">
        <v>2</v>
      </c>
      <c r="R50" s="2" t="inlineStr">
        <is>
          <t>Dvärgbägarlav
Vedskivlav</t>
        </is>
      </c>
      <c r="S50">
        <f>HYPERLINK("https://klasma.github.io/Logging_2062/artfynd/A 42028-2023 artfynd.xlsx", "A 42028-2023")</f>
        <v/>
      </c>
      <c r="T50">
        <f>HYPERLINK("https://klasma.github.io/Logging_2062/kartor/A 42028-2023 karta.png", "A 42028-2023")</f>
        <v/>
      </c>
      <c r="V50">
        <f>HYPERLINK("https://klasma.github.io/Logging_2062/klagomål/A 42028-2023 FSC-klagomål.docx", "A 42028-2023")</f>
        <v/>
      </c>
      <c r="W50">
        <f>HYPERLINK("https://klasma.github.io/Logging_2062/klagomålsmail/A 42028-2023 FSC-klagomål mail.docx", "A 42028-2023")</f>
        <v/>
      </c>
      <c r="X50">
        <f>HYPERLINK("https://klasma.github.io/Logging_2062/tillsyn/A 42028-2023 tillsynsbegäran.docx", "A 42028-2023")</f>
        <v/>
      </c>
      <c r="Y50">
        <f>HYPERLINK("https://klasma.github.io/Logging_2062/tillsynsmail/A 42028-2023 tillsynsbegäran mail.docx", "A 42028-2023")</f>
        <v/>
      </c>
    </row>
    <row r="51" ht="15" customHeight="1">
      <c r="A51" t="inlineStr">
        <is>
          <t>A 33968-2020</t>
        </is>
      </c>
      <c r="B51" s="1" t="n">
        <v>44028</v>
      </c>
      <c r="C51" s="1" t="n">
        <v>45784</v>
      </c>
      <c r="D51" t="inlineStr">
        <is>
          <t>DALARNAS LÄN</t>
        </is>
      </c>
      <c r="E51" t="inlineStr">
        <is>
          <t>MORA</t>
        </is>
      </c>
      <c r="G51" t="n">
        <v>0.5</v>
      </c>
      <c r="H51" t="n">
        <v>1</v>
      </c>
      <c r="I51" t="n">
        <v>0</v>
      </c>
      <c r="J51" t="n">
        <v>1</v>
      </c>
      <c r="K51" t="n">
        <v>0</v>
      </c>
      <c r="L51" t="n">
        <v>0</v>
      </c>
      <c r="M51" t="n">
        <v>0</v>
      </c>
      <c r="N51" t="n">
        <v>0</v>
      </c>
      <c r="O51" t="n">
        <v>1</v>
      </c>
      <c r="P51" t="n">
        <v>0</v>
      </c>
      <c r="Q51" t="n">
        <v>1</v>
      </c>
      <c r="R51" s="2" t="inlineStr">
        <is>
          <t>Spillkråka</t>
        </is>
      </c>
      <c r="S51">
        <f>HYPERLINK("https://klasma.github.io/Logging_2062/artfynd/A 33968-2020 artfynd.xlsx", "A 33968-2020")</f>
        <v/>
      </c>
      <c r="T51">
        <f>HYPERLINK("https://klasma.github.io/Logging_2062/kartor/A 33968-2020 karta.png", "A 33968-2020")</f>
        <v/>
      </c>
      <c r="V51">
        <f>HYPERLINK("https://klasma.github.io/Logging_2062/klagomål/A 33968-2020 FSC-klagomål.docx", "A 33968-2020")</f>
        <v/>
      </c>
      <c r="W51">
        <f>HYPERLINK("https://klasma.github.io/Logging_2062/klagomålsmail/A 33968-2020 FSC-klagomål mail.docx", "A 33968-2020")</f>
        <v/>
      </c>
      <c r="X51">
        <f>HYPERLINK("https://klasma.github.io/Logging_2062/tillsyn/A 33968-2020 tillsynsbegäran.docx", "A 33968-2020")</f>
        <v/>
      </c>
      <c r="Y51">
        <f>HYPERLINK("https://klasma.github.io/Logging_2062/tillsynsmail/A 33968-2020 tillsynsbegäran mail.docx", "A 33968-2020")</f>
        <v/>
      </c>
      <c r="Z51">
        <f>HYPERLINK("https://klasma.github.io/Logging_2062/fåglar/A 33968-2020 prioriterade fågelarter.docx", "A 33968-2020")</f>
        <v/>
      </c>
    </row>
    <row r="52" ht="15" customHeight="1">
      <c r="A52" t="inlineStr">
        <is>
          <t>A 30328-2021</t>
        </is>
      </c>
      <c r="B52" s="1" t="n">
        <v>44364</v>
      </c>
      <c r="C52" s="1" t="n">
        <v>45784</v>
      </c>
      <c r="D52" t="inlineStr">
        <is>
          <t>DALARNAS LÄN</t>
        </is>
      </c>
      <c r="E52" t="inlineStr">
        <is>
          <t>MORA</t>
        </is>
      </c>
      <c r="F52" t="inlineStr">
        <is>
          <t>Bergvik skog öst AB</t>
        </is>
      </c>
      <c r="G52" t="n">
        <v>1.1</v>
      </c>
      <c r="H52" t="n">
        <v>1</v>
      </c>
      <c r="I52" t="n">
        <v>0</v>
      </c>
      <c r="J52" t="n">
        <v>1</v>
      </c>
      <c r="K52" t="n">
        <v>0</v>
      </c>
      <c r="L52" t="n">
        <v>0</v>
      </c>
      <c r="M52" t="n">
        <v>0</v>
      </c>
      <c r="N52" t="n">
        <v>0</v>
      </c>
      <c r="O52" t="n">
        <v>1</v>
      </c>
      <c r="P52" t="n">
        <v>0</v>
      </c>
      <c r="Q52" t="n">
        <v>1</v>
      </c>
      <c r="R52" s="2" t="inlineStr">
        <is>
          <t>Fjällvråk</t>
        </is>
      </c>
      <c r="S52">
        <f>HYPERLINK("https://klasma.github.io/Logging_2062/artfynd/A 30328-2021 artfynd.xlsx", "A 30328-2021")</f>
        <v/>
      </c>
      <c r="T52">
        <f>HYPERLINK("https://klasma.github.io/Logging_2062/kartor/A 30328-2021 karta.png", "A 30328-2021")</f>
        <v/>
      </c>
      <c r="V52">
        <f>HYPERLINK("https://klasma.github.io/Logging_2062/klagomål/A 30328-2021 FSC-klagomål.docx", "A 30328-2021")</f>
        <v/>
      </c>
      <c r="W52">
        <f>HYPERLINK("https://klasma.github.io/Logging_2062/klagomålsmail/A 30328-2021 FSC-klagomål mail.docx", "A 30328-2021")</f>
        <v/>
      </c>
      <c r="X52">
        <f>HYPERLINK("https://klasma.github.io/Logging_2062/tillsyn/A 30328-2021 tillsynsbegäran.docx", "A 30328-2021")</f>
        <v/>
      </c>
      <c r="Y52">
        <f>HYPERLINK("https://klasma.github.io/Logging_2062/tillsynsmail/A 30328-2021 tillsynsbegäran mail.docx", "A 30328-2021")</f>
        <v/>
      </c>
      <c r="Z52">
        <f>HYPERLINK("https://klasma.github.io/Logging_2062/fåglar/A 30328-2021 prioriterade fågelarter.docx", "A 30328-2021")</f>
        <v/>
      </c>
    </row>
    <row r="53" ht="15" customHeight="1">
      <c r="A53" t="inlineStr">
        <is>
          <t>A 44426-2021</t>
        </is>
      </c>
      <c r="B53" s="1" t="n">
        <v>44435</v>
      </c>
      <c r="C53" s="1" t="n">
        <v>45784</v>
      </c>
      <c r="D53" t="inlineStr">
        <is>
          <t>DALARNAS LÄN</t>
        </is>
      </c>
      <c r="E53" t="inlineStr">
        <is>
          <t>MORA</t>
        </is>
      </c>
      <c r="G53" t="n">
        <v>2.2</v>
      </c>
      <c r="H53" t="n">
        <v>0</v>
      </c>
      <c r="I53" t="n">
        <v>0</v>
      </c>
      <c r="J53" t="n">
        <v>1</v>
      </c>
      <c r="K53" t="n">
        <v>0</v>
      </c>
      <c r="L53" t="n">
        <v>0</v>
      </c>
      <c r="M53" t="n">
        <v>0</v>
      </c>
      <c r="N53" t="n">
        <v>0</v>
      </c>
      <c r="O53" t="n">
        <v>1</v>
      </c>
      <c r="P53" t="n">
        <v>0</v>
      </c>
      <c r="Q53" t="n">
        <v>1</v>
      </c>
      <c r="R53" s="2" t="inlineStr">
        <is>
          <t>Garnlav</t>
        </is>
      </c>
      <c r="S53">
        <f>HYPERLINK("https://klasma.github.io/Logging_2062/artfynd/A 44426-2021 artfynd.xlsx", "A 44426-2021")</f>
        <v/>
      </c>
      <c r="T53">
        <f>HYPERLINK("https://klasma.github.io/Logging_2062/kartor/A 44426-2021 karta.png", "A 44426-2021")</f>
        <v/>
      </c>
      <c r="V53">
        <f>HYPERLINK("https://klasma.github.io/Logging_2062/klagomål/A 44426-2021 FSC-klagomål.docx", "A 44426-2021")</f>
        <v/>
      </c>
      <c r="W53">
        <f>HYPERLINK("https://klasma.github.io/Logging_2062/klagomålsmail/A 44426-2021 FSC-klagomål mail.docx", "A 44426-2021")</f>
        <v/>
      </c>
      <c r="X53">
        <f>HYPERLINK("https://klasma.github.io/Logging_2062/tillsyn/A 44426-2021 tillsynsbegäran.docx", "A 44426-2021")</f>
        <v/>
      </c>
      <c r="Y53">
        <f>HYPERLINK("https://klasma.github.io/Logging_2062/tillsynsmail/A 44426-2021 tillsynsbegäran mail.docx", "A 44426-2021")</f>
        <v/>
      </c>
    </row>
    <row r="54" ht="15" customHeight="1">
      <c r="A54" t="inlineStr">
        <is>
          <t>A 57669-2022</t>
        </is>
      </c>
      <c r="B54" s="1" t="n">
        <v>44897</v>
      </c>
      <c r="C54" s="1" t="n">
        <v>45784</v>
      </c>
      <c r="D54" t="inlineStr">
        <is>
          <t>DALARNAS LÄN</t>
        </is>
      </c>
      <c r="E54" t="inlineStr">
        <is>
          <t>MORA</t>
        </is>
      </c>
      <c r="G54" t="n">
        <v>4.1</v>
      </c>
      <c r="H54" t="n">
        <v>0</v>
      </c>
      <c r="I54" t="n">
        <v>0</v>
      </c>
      <c r="J54" t="n">
        <v>1</v>
      </c>
      <c r="K54" t="n">
        <v>0</v>
      </c>
      <c r="L54" t="n">
        <v>0</v>
      </c>
      <c r="M54" t="n">
        <v>0</v>
      </c>
      <c r="N54" t="n">
        <v>0</v>
      </c>
      <c r="O54" t="n">
        <v>1</v>
      </c>
      <c r="P54" t="n">
        <v>0</v>
      </c>
      <c r="Q54" t="n">
        <v>1</v>
      </c>
      <c r="R54" s="2" t="inlineStr">
        <is>
          <t>Igelkott</t>
        </is>
      </c>
      <c r="S54">
        <f>HYPERLINK("https://klasma.github.io/Logging_2062/artfynd/A 57669-2022 artfynd.xlsx", "A 57669-2022")</f>
        <v/>
      </c>
      <c r="T54">
        <f>HYPERLINK("https://klasma.github.io/Logging_2062/kartor/A 57669-2022 karta.png", "A 57669-2022")</f>
        <v/>
      </c>
      <c r="V54">
        <f>HYPERLINK("https://klasma.github.io/Logging_2062/klagomål/A 57669-2022 FSC-klagomål.docx", "A 57669-2022")</f>
        <v/>
      </c>
      <c r="W54">
        <f>HYPERLINK("https://klasma.github.io/Logging_2062/klagomålsmail/A 57669-2022 FSC-klagomål mail.docx", "A 57669-2022")</f>
        <v/>
      </c>
      <c r="X54">
        <f>HYPERLINK("https://klasma.github.io/Logging_2062/tillsyn/A 57669-2022 tillsynsbegäran.docx", "A 57669-2022")</f>
        <v/>
      </c>
      <c r="Y54">
        <f>HYPERLINK("https://klasma.github.io/Logging_2062/tillsynsmail/A 57669-2022 tillsynsbegäran mail.docx", "A 57669-2022")</f>
        <v/>
      </c>
    </row>
    <row r="55" ht="15" customHeight="1">
      <c r="A55" t="inlineStr">
        <is>
          <t>A 5304-2023</t>
        </is>
      </c>
      <c r="B55" s="1" t="n">
        <v>44959</v>
      </c>
      <c r="C55" s="1" t="n">
        <v>45784</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23736-2023</t>
        </is>
      </c>
      <c r="B56" s="1" t="n">
        <v>45077</v>
      </c>
      <c r="C56" s="1" t="n">
        <v>45784</v>
      </c>
      <c r="D56" t="inlineStr">
        <is>
          <t>DALARNAS LÄN</t>
        </is>
      </c>
      <c r="E56" t="inlineStr">
        <is>
          <t>MORA</t>
        </is>
      </c>
      <c r="G56" t="n">
        <v>7.2</v>
      </c>
      <c r="H56" t="n">
        <v>0</v>
      </c>
      <c r="I56" t="n">
        <v>0</v>
      </c>
      <c r="J56" t="n">
        <v>1</v>
      </c>
      <c r="K56" t="n">
        <v>0</v>
      </c>
      <c r="L56" t="n">
        <v>0</v>
      </c>
      <c r="M56" t="n">
        <v>0</v>
      </c>
      <c r="N56" t="n">
        <v>0</v>
      </c>
      <c r="O56" t="n">
        <v>1</v>
      </c>
      <c r="P56" t="n">
        <v>0</v>
      </c>
      <c r="Q56" t="n">
        <v>1</v>
      </c>
      <c r="R56" s="2" t="inlineStr">
        <is>
          <t>Reliktbock</t>
        </is>
      </c>
      <c r="S56">
        <f>HYPERLINK("https://klasma.github.io/Logging_2062/artfynd/A 23736-2023 artfynd.xlsx", "A 23736-2023")</f>
        <v/>
      </c>
      <c r="T56">
        <f>HYPERLINK("https://klasma.github.io/Logging_2062/kartor/A 23736-2023 karta.png", "A 23736-2023")</f>
        <v/>
      </c>
      <c r="V56">
        <f>HYPERLINK("https://klasma.github.io/Logging_2062/klagomål/A 23736-2023 FSC-klagomål.docx", "A 23736-2023")</f>
        <v/>
      </c>
      <c r="W56">
        <f>HYPERLINK("https://klasma.github.io/Logging_2062/klagomålsmail/A 23736-2023 FSC-klagomål mail.docx", "A 23736-2023")</f>
        <v/>
      </c>
      <c r="X56">
        <f>HYPERLINK("https://klasma.github.io/Logging_2062/tillsyn/A 23736-2023 tillsynsbegäran.docx", "A 23736-2023")</f>
        <v/>
      </c>
      <c r="Y56">
        <f>HYPERLINK("https://klasma.github.io/Logging_2062/tillsynsmail/A 23736-2023 tillsynsbegäran mail.docx", "A 23736-2023")</f>
        <v/>
      </c>
    </row>
    <row r="57" ht="15" customHeight="1">
      <c r="A57" t="inlineStr">
        <is>
          <t>A 24681-2023</t>
        </is>
      </c>
      <c r="B57" s="1" t="n">
        <v>45084</v>
      </c>
      <c r="C57" s="1" t="n">
        <v>45784</v>
      </c>
      <c r="D57" t="inlineStr">
        <is>
          <t>DALARNAS LÄN</t>
        </is>
      </c>
      <c r="E57" t="inlineStr">
        <is>
          <t>MORA</t>
        </is>
      </c>
      <c r="G57" t="n">
        <v>8.199999999999999</v>
      </c>
      <c r="H57" t="n">
        <v>0</v>
      </c>
      <c r="I57" t="n">
        <v>0</v>
      </c>
      <c r="J57" t="n">
        <v>1</v>
      </c>
      <c r="K57" t="n">
        <v>0</v>
      </c>
      <c r="L57" t="n">
        <v>0</v>
      </c>
      <c r="M57" t="n">
        <v>0</v>
      </c>
      <c r="N57" t="n">
        <v>0</v>
      </c>
      <c r="O57" t="n">
        <v>1</v>
      </c>
      <c r="P57" t="n">
        <v>0</v>
      </c>
      <c r="Q57" t="n">
        <v>1</v>
      </c>
      <c r="R57" s="2" t="inlineStr">
        <is>
          <t>Dvärgbägarlav</t>
        </is>
      </c>
      <c r="S57">
        <f>HYPERLINK("https://klasma.github.io/Logging_2062/artfynd/A 24681-2023 artfynd.xlsx", "A 24681-2023")</f>
        <v/>
      </c>
      <c r="T57">
        <f>HYPERLINK("https://klasma.github.io/Logging_2062/kartor/A 24681-2023 karta.png", "A 24681-2023")</f>
        <v/>
      </c>
      <c r="V57">
        <f>HYPERLINK("https://klasma.github.io/Logging_2062/klagomål/A 24681-2023 FSC-klagomål.docx", "A 24681-2023")</f>
        <v/>
      </c>
      <c r="W57">
        <f>HYPERLINK("https://klasma.github.io/Logging_2062/klagomålsmail/A 24681-2023 FSC-klagomål mail.docx", "A 24681-2023")</f>
        <v/>
      </c>
      <c r="X57">
        <f>HYPERLINK("https://klasma.github.io/Logging_2062/tillsyn/A 24681-2023 tillsynsbegäran.docx", "A 24681-2023")</f>
        <v/>
      </c>
      <c r="Y57">
        <f>HYPERLINK("https://klasma.github.io/Logging_2062/tillsynsmail/A 24681-2023 tillsynsbegäran mail.docx", "A 24681-2023")</f>
        <v/>
      </c>
    </row>
    <row r="58" ht="15" customHeight="1">
      <c r="A58" t="inlineStr">
        <is>
          <t>A 30906-2023</t>
        </is>
      </c>
      <c r="B58" s="1" t="n">
        <v>45113</v>
      </c>
      <c r="C58" s="1" t="n">
        <v>45784</v>
      </c>
      <c r="D58" t="inlineStr">
        <is>
          <t>DALARNAS LÄN</t>
        </is>
      </c>
      <c r="E58" t="inlineStr">
        <is>
          <t>MORA</t>
        </is>
      </c>
      <c r="G58" t="n">
        <v>3.1</v>
      </c>
      <c r="H58" t="n">
        <v>0</v>
      </c>
      <c r="I58" t="n">
        <v>0</v>
      </c>
      <c r="J58" t="n">
        <v>0</v>
      </c>
      <c r="K58" t="n">
        <v>1</v>
      </c>
      <c r="L58" t="n">
        <v>0</v>
      </c>
      <c r="M58" t="n">
        <v>0</v>
      </c>
      <c r="N58" t="n">
        <v>0</v>
      </c>
      <c r="O58" t="n">
        <v>1</v>
      </c>
      <c r="P58" t="n">
        <v>1</v>
      </c>
      <c r="Q58" t="n">
        <v>1</v>
      </c>
      <c r="R58" s="2" t="inlineStr">
        <is>
          <t>Jättemusseron</t>
        </is>
      </c>
      <c r="S58">
        <f>HYPERLINK("https://klasma.github.io/Logging_2062/artfynd/A 30906-2023 artfynd.xlsx", "A 30906-2023")</f>
        <v/>
      </c>
      <c r="T58">
        <f>HYPERLINK("https://klasma.github.io/Logging_2062/kartor/A 30906-2023 karta.png", "A 30906-2023")</f>
        <v/>
      </c>
      <c r="V58">
        <f>HYPERLINK("https://klasma.github.io/Logging_2062/klagomål/A 30906-2023 FSC-klagomål.docx", "A 30906-2023")</f>
        <v/>
      </c>
      <c r="W58">
        <f>HYPERLINK("https://klasma.github.io/Logging_2062/klagomålsmail/A 30906-2023 FSC-klagomål mail.docx", "A 30906-2023")</f>
        <v/>
      </c>
      <c r="X58">
        <f>HYPERLINK("https://klasma.github.io/Logging_2062/tillsyn/A 30906-2023 tillsynsbegäran.docx", "A 30906-2023")</f>
        <v/>
      </c>
      <c r="Y58">
        <f>HYPERLINK("https://klasma.github.io/Logging_2062/tillsynsmail/A 30906-2023 tillsynsbegäran mail.docx", "A 30906-2023")</f>
        <v/>
      </c>
    </row>
    <row r="59" ht="15" customHeight="1">
      <c r="A59" t="inlineStr">
        <is>
          <t>A 34194-2023</t>
        </is>
      </c>
      <c r="B59" s="1" t="n">
        <v>45138</v>
      </c>
      <c r="C59" s="1" t="n">
        <v>45784</v>
      </c>
      <c r="D59" t="inlineStr">
        <is>
          <t>DALARNAS LÄN</t>
        </is>
      </c>
      <c r="E59" t="inlineStr">
        <is>
          <t>MORA</t>
        </is>
      </c>
      <c r="G59" t="n">
        <v>8.699999999999999</v>
      </c>
      <c r="H59" t="n">
        <v>0</v>
      </c>
      <c r="I59" t="n">
        <v>0</v>
      </c>
      <c r="J59" t="n">
        <v>1</v>
      </c>
      <c r="K59" t="n">
        <v>0</v>
      </c>
      <c r="L59" t="n">
        <v>0</v>
      </c>
      <c r="M59" t="n">
        <v>0</v>
      </c>
      <c r="N59" t="n">
        <v>0</v>
      </c>
      <c r="O59" t="n">
        <v>1</v>
      </c>
      <c r="P59" t="n">
        <v>0</v>
      </c>
      <c r="Q59" t="n">
        <v>1</v>
      </c>
      <c r="R59" s="2" t="inlineStr">
        <is>
          <t>Motaggsvamp</t>
        </is>
      </c>
      <c r="S59">
        <f>HYPERLINK("https://klasma.github.io/Logging_2062/artfynd/A 34194-2023 artfynd.xlsx", "A 34194-2023")</f>
        <v/>
      </c>
      <c r="T59">
        <f>HYPERLINK("https://klasma.github.io/Logging_2062/kartor/A 34194-2023 karta.png", "A 34194-2023")</f>
        <v/>
      </c>
      <c r="V59">
        <f>HYPERLINK("https://klasma.github.io/Logging_2062/klagomål/A 34194-2023 FSC-klagomål.docx", "A 34194-2023")</f>
        <v/>
      </c>
      <c r="W59">
        <f>HYPERLINK("https://klasma.github.io/Logging_2062/klagomålsmail/A 34194-2023 FSC-klagomål mail.docx", "A 34194-2023")</f>
        <v/>
      </c>
      <c r="X59">
        <f>HYPERLINK("https://klasma.github.io/Logging_2062/tillsyn/A 34194-2023 tillsynsbegäran.docx", "A 34194-2023")</f>
        <v/>
      </c>
      <c r="Y59">
        <f>HYPERLINK("https://klasma.github.io/Logging_2062/tillsynsmail/A 34194-2023 tillsynsbegäran mail.docx", "A 34194-2023")</f>
        <v/>
      </c>
    </row>
    <row r="60" ht="15" customHeight="1">
      <c r="A60" t="inlineStr">
        <is>
          <t>A 54132-2023</t>
        </is>
      </c>
      <c r="B60" s="1" t="n">
        <v>45232</v>
      </c>
      <c r="C60" s="1" t="n">
        <v>45784</v>
      </c>
      <c r="D60" t="inlineStr">
        <is>
          <t>DALARNAS LÄN</t>
        </is>
      </c>
      <c r="E60" t="inlineStr">
        <is>
          <t>MORA</t>
        </is>
      </c>
      <c r="G60" t="n">
        <v>0.9</v>
      </c>
      <c r="H60" t="n">
        <v>0</v>
      </c>
      <c r="I60" t="n">
        <v>0</v>
      </c>
      <c r="J60" t="n">
        <v>0</v>
      </c>
      <c r="K60" t="n">
        <v>1</v>
      </c>
      <c r="L60" t="n">
        <v>0</v>
      </c>
      <c r="M60" t="n">
        <v>0</v>
      </c>
      <c r="N60" t="n">
        <v>0</v>
      </c>
      <c r="O60" t="n">
        <v>1</v>
      </c>
      <c r="P60" t="n">
        <v>1</v>
      </c>
      <c r="Q60" t="n">
        <v>1</v>
      </c>
      <c r="R60" s="2" t="inlineStr">
        <is>
          <t>Jättemusseron</t>
        </is>
      </c>
      <c r="S60">
        <f>HYPERLINK("https://klasma.github.io/Logging_2062/artfynd/A 54132-2023 artfynd.xlsx", "A 54132-2023")</f>
        <v/>
      </c>
      <c r="T60">
        <f>HYPERLINK("https://klasma.github.io/Logging_2062/kartor/A 54132-2023 karta.png", "A 54132-2023")</f>
        <v/>
      </c>
      <c r="V60">
        <f>HYPERLINK("https://klasma.github.io/Logging_2062/klagomål/A 54132-2023 FSC-klagomål.docx", "A 54132-2023")</f>
        <v/>
      </c>
      <c r="W60">
        <f>HYPERLINK("https://klasma.github.io/Logging_2062/klagomålsmail/A 54132-2023 FSC-klagomål mail.docx", "A 54132-2023")</f>
        <v/>
      </c>
      <c r="X60">
        <f>HYPERLINK("https://klasma.github.io/Logging_2062/tillsyn/A 54132-2023 tillsynsbegäran.docx", "A 54132-2023")</f>
        <v/>
      </c>
      <c r="Y60">
        <f>HYPERLINK("https://klasma.github.io/Logging_2062/tillsynsmail/A 54132-2023 tillsynsbegäran mail.docx", "A 54132-2023")</f>
        <v/>
      </c>
    </row>
    <row r="61" ht="15" customHeight="1">
      <c r="A61" t="inlineStr">
        <is>
          <t>A 5691-2024</t>
        </is>
      </c>
      <c r="B61" s="1" t="n">
        <v>45334</v>
      </c>
      <c r="C61" s="1" t="n">
        <v>45784</v>
      </c>
      <c r="D61" t="inlineStr">
        <is>
          <t>DALARNAS LÄN</t>
        </is>
      </c>
      <c r="E61" t="inlineStr">
        <is>
          <t>MORA</t>
        </is>
      </c>
      <c r="G61" t="n">
        <v>3.7</v>
      </c>
      <c r="H61" t="n">
        <v>1</v>
      </c>
      <c r="I61" t="n">
        <v>0</v>
      </c>
      <c r="J61" t="n">
        <v>0</v>
      </c>
      <c r="K61" t="n">
        <v>0</v>
      </c>
      <c r="L61" t="n">
        <v>0</v>
      </c>
      <c r="M61" t="n">
        <v>0</v>
      </c>
      <c r="N61" t="n">
        <v>0</v>
      </c>
      <c r="O61" t="n">
        <v>0</v>
      </c>
      <c r="P61" t="n">
        <v>0</v>
      </c>
      <c r="Q61" t="n">
        <v>1</v>
      </c>
      <c r="R61" s="2" t="inlineStr">
        <is>
          <t>Blåsippa</t>
        </is>
      </c>
      <c r="S61">
        <f>HYPERLINK("https://klasma.github.io/Logging_2062/artfynd/A 5691-2024 artfynd.xlsx", "A 5691-2024")</f>
        <v/>
      </c>
      <c r="T61">
        <f>HYPERLINK("https://klasma.github.io/Logging_2062/kartor/A 5691-2024 karta.png", "A 5691-2024")</f>
        <v/>
      </c>
      <c r="V61">
        <f>HYPERLINK("https://klasma.github.io/Logging_2062/klagomål/A 5691-2024 FSC-klagomål.docx", "A 5691-2024")</f>
        <v/>
      </c>
      <c r="W61">
        <f>HYPERLINK("https://klasma.github.io/Logging_2062/klagomålsmail/A 5691-2024 FSC-klagomål mail.docx", "A 5691-2024")</f>
        <v/>
      </c>
      <c r="X61">
        <f>HYPERLINK("https://klasma.github.io/Logging_2062/tillsyn/A 5691-2024 tillsynsbegäran.docx", "A 5691-2024")</f>
        <v/>
      </c>
      <c r="Y61">
        <f>HYPERLINK("https://klasma.github.io/Logging_2062/tillsynsmail/A 5691-2024 tillsynsbegäran mail.docx", "A 5691-2024")</f>
        <v/>
      </c>
    </row>
    <row r="62" ht="15" customHeight="1">
      <c r="A62" t="inlineStr">
        <is>
          <t>A 15820-2024</t>
        </is>
      </c>
      <c r="B62" s="1" t="n">
        <v>45404</v>
      </c>
      <c r="C62" s="1" t="n">
        <v>45784</v>
      </c>
      <c r="D62" t="inlineStr">
        <is>
          <t>DALARNAS LÄN</t>
        </is>
      </c>
      <c r="E62" t="inlineStr">
        <is>
          <t>MORA</t>
        </is>
      </c>
      <c r="G62" t="n">
        <v>3</v>
      </c>
      <c r="H62" t="n">
        <v>1</v>
      </c>
      <c r="I62" t="n">
        <v>0</v>
      </c>
      <c r="J62" t="n">
        <v>1</v>
      </c>
      <c r="K62" t="n">
        <v>0</v>
      </c>
      <c r="L62" t="n">
        <v>0</v>
      </c>
      <c r="M62" t="n">
        <v>0</v>
      </c>
      <c r="N62" t="n">
        <v>0</v>
      </c>
      <c r="O62" t="n">
        <v>1</v>
      </c>
      <c r="P62" t="n">
        <v>0</v>
      </c>
      <c r="Q62" t="n">
        <v>1</v>
      </c>
      <c r="R62" s="2" t="inlineStr">
        <is>
          <t>Slaguggla</t>
        </is>
      </c>
      <c r="S62">
        <f>HYPERLINK("https://klasma.github.io/Logging_2062/artfynd/A 15820-2024 artfynd.xlsx", "A 15820-2024")</f>
        <v/>
      </c>
      <c r="T62">
        <f>HYPERLINK("https://klasma.github.io/Logging_2062/kartor/A 15820-2024 karta.png", "A 15820-2024")</f>
        <v/>
      </c>
      <c r="V62">
        <f>HYPERLINK("https://klasma.github.io/Logging_2062/klagomål/A 15820-2024 FSC-klagomål.docx", "A 15820-2024")</f>
        <v/>
      </c>
      <c r="W62">
        <f>HYPERLINK("https://klasma.github.io/Logging_2062/klagomålsmail/A 15820-2024 FSC-klagomål mail.docx", "A 15820-2024")</f>
        <v/>
      </c>
      <c r="X62">
        <f>HYPERLINK("https://klasma.github.io/Logging_2062/tillsyn/A 15820-2024 tillsynsbegäran.docx", "A 15820-2024")</f>
        <v/>
      </c>
      <c r="Y62">
        <f>HYPERLINK("https://klasma.github.io/Logging_2062/tillsynsmail/A 15820-2024 tillsynsbegäran mail.docx", "A 15820-2024")</f>
        <v/>
      </c>
      <c r="Z62">
        <f>HYPERLINK("https://klasma.github.io/Logging_2062/fåglar/A 15820-2024 prioriterade fågelarter.docx", "A 15820-2024")</f>
        <v/>
      </c>
    </row>
    <row r="63" ht="15" customHeight="1">
      <c r="A63" t="inlineStr">
        <is>
          <t>A 16094-2024</t>
        </is>
      </c>
      <c r="B63" s="1" t="n">
        <v>45406</v>
      </c>
      <c r="C63" s="1" t="n">
        <v>45784</v>
      </c>
      <c r="D63" t="inlineStr">
        <is>
          <t>DALARNAS LÄN</t>
        </is>
      </c>
      <c r="E63" t="inlineStr">
        <is>
          <t>MORA</t>
        </is>
      </c>
      <c r="F63" t="inlineStr">
        <is>
          <t>Bergvik skog väst AB</t>
        </is>
      </c>
      <c r="G63" t="n">
        <v>22.6</v>
      </c>
      <c r="H63" t="n">
        <v>0</v>
      </c>
      <c r="I63" t="n">
        <v>0</v>
      </c>
      <c r="J63" t="n">
        <v>1</v>
      </c>
      <c r="K63" t="n">
        <v>0</v>
      </c>
      <c r="L63" t="n">
        <v>0</v>
      </c>
      <c r="M63" t="n">
        <v>0</v>
      </c>
      <c r="N63" t="n">
        <v>0</v>
      </c>
      <c r="O63" t="n">
        <v>1</v>
      </c>
      <c r="P63" t="n">
        <v>0</v>
      </c>
      <c r="Q63" t="n">
        <v>1</v>
      </c>
      <c r="R63" s="2" t="inlineStr">
        <is>
          <t>Reliktbock</t>
        </is>
      </c>
      <c r="S63">
        <f>HYPERLINK("https://klasma.github.io/Logging_2062/artfynd/A 16094-2024 artfynd.xlsx", "A 16094-2024")</f>
        <v/>
      </c>
      <c r="T63">
        <f>HYPERLINK("https://klasma.github.io/Logging_2062/kartor/A 16094-2024 karta.png", "A 16094-2024")</f>
        <v/>
      </c>
      <c r="V63">
        <f>HYPERLINK("https://klasma.github.io/Logging_2062/klagomål/A 16094-2024 FSC-klagomål.docx", "A 16094-2024")</f>
        <v/>
      </c>
      <c r="W63">
        <f>HYPERLINK("https://klasma.github.io/Logging_2062/klagomålsmail/A 16094-2024 FSC-klagomål mail.docx", "A 16094-2024")</f>
        <v/>
      </c>
      <c r="X63">
        <f>HYPERLINK("https://klasma.github.io/Logging_2062/tillsyn/A 16094-2024 tillsynsbegäran.docx", "A 16094-2024")</f>
        <v/>
      </c>
      <c r="Y63">
        <f>HYPERLINK("https://klasma.github.io/Logging_2062/tillsynsmail/A 16094-2024 tillsynsbegäran mail.docx", "A 16094-2024")</f>
        <v/>
      </c>
    </row>
    <row r="64" ht="15" customHeight="1">
      <c r="A64" t="inlineStr">
        <is>
          <t>A 26808-2024</t>
        </is>
      </c>
      <c r="B64" s="1" t="n">
        <v>45470</v>
      </c>
      <c r="C64" s="1" t="n">
        <v>45784</v>
      </c>
      <c r="D64" t="inlineStr">
        <is>
          <t>DALARNAS LÄN</t>
        </is>
      </c>
      <c r="E64" t="inlineStr">
        <is>
          <t>MORA</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HYPERLINK("https://klasma.github.io/Logging_2062/artfynd/A 26808-2024 artfynd.xlsx", "A 26808-2024")</f>
        <v/>
      </c>
      <c r="T64">
        <f>HYPERLINK("https://klasma.github.io/Logging_2062/kartor/A 26808-2024 karta.png", "A 26808-2024")</f>
        <v/>
      </c>
      <c r="V64">
        <f>HYPERLINK("https://klasma.github.io/Logging_2062/klagomål/A 26808-2024 FSC-klagomål.docx", "A 26808-2024")</f>
        <v/>
      </c>
      <c r="W64">
        <f>HYPERLINK("https://klasma.github.io/Logging_2062/klagomålsmail/A 26808-2024 FSC-klagomål mail.docx", "A 26808-2024")</f>
        <v/>
      </c>
      <c r="X64">
        <f>HYPERLINK("https://klasma.github.io/Logging_2062/tillsyn/A 26808-2024 tillsynsbegäran.docx", "A 26808-2024")</f>
        <v/>
      </c>
      <c r="Y64">
        <f>HYPERLINK("https://klasma.github.io/Logging_2062/tillsynsmail/A 26808-2024 tillsynsbegäran mail.docx", "A 26808-2024")</f>
        <v/>
      </c>
    </row>
    <row r="65" ht="15" customHeight="1">
      <c r="A65" t="inlineStr">
        <is>
          <t>A 27113-2024</t>
        </is>
      </c>
      <c r="B65" s="1" t="n">
        <v>45471</v>
      </c>
      <c r="C65" s="1" t="n">
        <v>45784</v>
      </c>
      <c r="D65" t="inlineStr">
        <is>
          <t>DALARNAS LÄN</t>
        </is>
      </c>
      <c r="E65" t="inlineStr">
        <is>
          <t>MORA</t>
        </is>
      </c>
      <c r="G65" t="n">
        <v>10.3</v>
      </c>
      <c r="H65" t="n">
        <v>0</v>
      </c>
      <c r="I65" t="n">
        <v>1</v>
      </c>
      <c r="J65" t="n">
        <v>0</v>
      </c>
      <c r="K65" t="n">
        <v>0</v>
      </c>
      <c r="L65" t="n">
        <v>0</v>
      </c>
      <c r="M65" t="n">
        <v>0</v>
      </c>
      <c r="N65" t="n">
        <v>0</v>
      </c>
      <c r="O65" t="n">
        <v>0</v>
      </c>
      <c r="P65" t="n">
        <v>0</v>
      </c>
      <c r="Q65" t="n">
        <v>1</v>
      </c>
      <c r="R65" s="2" t="inlineStr">
        <is>
          <t>Stor aspticka</t>
        </is>
      </c>
      <c r="S65">
        <f>HYPERLINK("https://klasma.github.io/Logging_2062/artfynd/A 27113-2024 artfynd.xlsx", "A 27113-2024")</f>
        <v/>
      </c>
      <c r="T65">
        <f>HYPERLINK("https://klasma.github.io/Logging_2062/kartor/A 27113-2024 karta.png", "A 27113-2024")</f>
        <v/>
      </c>
      <c r="V65">
        <f>HYPERLINK("https://klasma.github.io/Logging_2062/klagomål/A 27113-2024 FSC-klagomål.docx", "A 27113-2024")</f>
        <v/>
      </c>
      <c r="W65">
        <f>HYPERLINK("https://klasma.github.io/Logging_2062/klagomålsmail/A 27113-2024 FSC-klagomål mail.docx", "A 27113-2024")</f>
        <v/>
      </c>
      <c r="X65">
        <f>HYPERLINK("https://klasma.github.io/Logging_2062/tillsyn/A 27113-2024 tillsynsbegäran.docx", "A 27113-2024")</f>
        <v/>
      </c>
      <c r="Y65">
        <f>HYPERLINK("https://klasma.github.io/Logging_2062/tillsynsmail/A 27113-2024 tillsynsbegäran mail.docx", "A 27113-2024")</f>
        <v/>
      </c>
    </row>
    <row r="66" ht="15" customHeight="1">
      <c r="A66" t="inlineStr">
        <is>
          <t>A 30662-2024</t>
        </is>
      </c>
      <c r="B66" s="1" t="n">
        <v>45495</v>
      </c>
      <c r="C66" s="1" t="n">
        <v>45784</v>
      </c>
      <c r="D66" t="inlineStr">
        <is>
          <t>DALARNAS LÄN</t>
        </is>
      </c>
      <c r="E66" t="inlineStr">
        <is>
          <t>MORA</t>
        </is>
      </c>
      <c r="G66" t="n">
        <v>5.4</v>
      </c>
      <c r="H66" t="n">
        <v>0</v>
      </c>
      <c r="I66" t="n">
        <v>1</v>
      </c>
      <c r="J66" t="n">
        <v>0</v>
      </c>
      <c r="K66" t="n">
        <v>0</v>
      </c>
      <c r="L66" t="n">
        <v>0</v>
      </c>
      <c r="M66" t="n">
        <v>0</v>
      </c>
      <c r="N66" t="n">
        <v>0</v>
      </c>
      <c r="O66" t="n">
        <v>0</v>
      </c>
      <c r="P66" t="n">
        <v>0</v>
      </c>
      <c r="Q66" t="n">
        <v>1</v>
      </c>
      <c r="R66" s="2" t="inlineStr">
        <is>
          <t>Mindre märgborre</t>
        </is>
      </c>
      <c r="S66">
        <f>HYPERLINK("https://klasma.github.io/Logging_2062/artfynd/A 30662-2024 artfynd.xlsx", "A 30662-2024")</f>
        <v/>
      </c>
      <c r="T66">
        <f>HYPERLINK("https://klasma.github.io/Logging_2062/kartor/A 30662-2024 karta.png", "A 30662-2024")</f>
        <v/>
      </c>
      <c r="V66">
        <f>HYPERLINK("https://klasma.github.io/Logging_2062/klagomål/A 30662-2024 FSC-klagomål.docx", "A 30662-2024")</f>
        <v/>
      </c>
      <c r="W66">
        <f>HYPERLINK("https://klasma.github.io/Logging_2062/klagomålsmail/A 30662-2024 FSC-klagomål mail.docx", "A 30662-2024")</f>
        <v/>
      </c>
      <c r="X66">
        <f>HYPERLINK("https://klasma.github.io/Logging_2062/tillsyn/A 30662-2024 tillsynsbegäran.docx", "A 30662-2024")</f>
        <v/>
      </c>
      <c r="Y66">
        <f>HYPERLINK("https://klasma.github.io/Logging_2062/tillsynsmail/A 30662-2024 tillsynsbegäran mail.docx", "A 30662-2024")</f>
        <v/>
      </c>
    </row>
    <row r="67" ht="15" customHeight="1">
      <c r="A67" t="inlineStr">
        <is>
          <t>A 45410-2024</t>
        </is>
      </c>
      <c r="B67" s="1" t="n">
        <v>45576</v>
      </c>
      <c r="C67" s="1" t="n">
        <v>45784</v>
      </c>
      <c r="D67" t="inlineStr">
        <is>
          <t>DALARNAS LÄN</t>
        </is>
      </c>
      <c r="E67" t="inlineStr">
        <is>
          <t>MORA</t>
        </is>
      </c>
      <c r="G67" t="n">
        <v>1.1</v>
      </c>
      <c r="H67" t="n">
        <v>0</v>
      </c>
      <c r="I67" t="n">
        <v>0</v>
      </c>
      <c r="J67" t="n">
        <v>1</v>
      </c>
      <c r="K67" t="n">
        <v>0</v>
      </c>
      <c r="L67" t="n">
        <v>0</v>
      </c>
      <c r="M67" t="n">
        <v>0</v>
      </c>
      <c r="N67" t="n">
        <v>0</v>
      </c>
      <c r="O67" t="n">
        <v>1</v>
      </c>
      <c r="P67" t="n">
        <v>0</v>
      </c>
      <c r="Q67" t="n">
        <v>1</v>
      </c>
      <c r="R67" s="2" t="inlineStr">
        <is>
          <t>Tallticka</t>
        </is>
      </c>
      <c r="S67">
        <f>HYPERLINK("https://klasma.github.io/Logging_2062/artfynd/A 45410-2024 artfynd.xlsx", "A 45410-2024")</f>
        <v/>
      </c>
      <c r="T67">
        <f>HYPERLINK("https://klasma.github.io/Logging_2062/kartor/A 45410-2024 karta.png", "A 45410-2024")</f>
        <v/>
      </c>
      <c r="V67">
        <f>HYPERLINK("https://klasma.github.io/Logging_2062/klagomål/A 45410-2024 FSC-klagomål.docx", "A 45410-2024")</f>
        <v/>
      </c>
      <c r="W67">
        <f>HYPERLINK("https://klasma.github.io/Logging_2062/klagomålsmail/A 45410-2024 FSC-klagomål mail.docx", "A 45410-2024")</f>
        <v/>
      </c>
      <c r="X67">
        <f>HYPERLINK("https://klasma.github.io/Logging_2062/tillsyn/A 45410-2024 tillsynsbegäran.docx", "A 45410-2024")</f>
        <v/>
      </c>
      <c r="Y67">
        <f>HYPERLINK("https://klasma.github.io/Logging_2062/tillsynsmail/A 45410-2024 tillsynsbegäran mail.docx", "A 45410-2024")</f>
        <v/>
      </c>
    </row>
    <row r="68" ht="15" customHeight="1">
      <c r="A68" t="inlineStr">
        <is>
          <t>A 45344-2024</t>
        </is>
      </c>
      <c r="B68" s="1" t="n">
        <v>45576</v>
      </c>
      <c r="C68" s="1" t="n">
        <v>45784</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45344-2024 artfynd.xlsx", "A 45344-2024")</f>
        <v/>
      </c>
      <c r="T68">
        <f>HYPERLINK("https://klasma.github.io/Logging_2062/kartor/A 45344-2024 karta.png", "A 45344-2024")</f>
        <v/>
      </c>
      <c r="V68">
        <f>HYPERLINK("https://klasma.github.io/Logging_2062/klagomål/A 45344-2024 FSC-klagomål.docx", "A 45344-2024")</f>
        <v/>
      </c>
      <c r="W68">
        <f>HYPERLINK("https://klasma.github.io/Logging_2062/klagomålsmail/A 45344-2024 FSC-klagomål mail.docx", "A 45344-2024")</f>
        <v/>
      </c>
      <c r="X68">
        <f>HYPERLINK("https://klasma.github.io/Logging_2062/tillsyn/A 45344-2024 tillsynsbegäran.docx", "A 45344-2024")</f>
        <v/>
      </c>
      <c r="Y68">
        <f>HYPERLINK("https://klasma.github.io/Logging_2062/tillsynsmail/A 45344-2024 tillsynsbegäran mail.docx", "A 45344-2024")</f>
        <v/>
      </c>
    </row>
    <row r="69" ht="15" customHeight="1">
      <c r="A69" t="inlineStr">
        <is>
          <t>A 51213-2024</t>
        </is>
      </c>
      <c r="B69" s="1" t="n">
        <v>45603</v>
      </c>
      <c r="C69" s="1" t="n">
        <v>45784</v>
      </c>
      <c r="D69" t="inlineStr">
        <is>
          <t>DALARNAS LÄN</t>
        </is>
      </c>
      <c r="E69" t="inlineStr">
        <is>
          <t>MORA</t>
        </is>
      </c>
      <c r="G69" t="n">
        <v>0.5</v>
      </c>
      <c r="H69" t="n">
        <v>1</v>
      </c>
      <c r="I69" t="n">
        <v>0</v>
      </c>
      <c r="J69" t="n">
        <v>0</v>
      </c>
      <c r="K69" t="n">
        <v>1</v>
      </c>
      <c r="L69" t="n">
        <v>0</v>
      </c>
      <c r="M69" t="n">
        <v>0</v>
      </c>
      <c r="N69" t="n">
        <v>0</v>
      </c>
      <c r="O69" t="n">
        <v>1</v>
      </c>
      <c r="P69" t="n">
        <v>1</v>
      </c>
      <c r="Q69" t="n">
        <v>1</v>
      </c>
      <c r="R69" s="2" t="inlineStr">
        <is>
          <t>Knärot</t>
        </is>
      </c>
      <c r="S69">
        <f>HYPERLINK("https://klasma.github.io/Logging_2062/artfynd/A 51213-2024 artfynd.xlsx", "A 51213-2024")</f>
        <v/>
      </c>
      <c r="T69">
        <f>HYPERLINK("https://klasma.github.io/Logging_2062/kartor/A 51213-2024 karta.png", "A 51213-2024")</f>
        <v/>
      </c>
      <c r="U69">
        <f>HYPERLINK("https://klasma.github.io/Logging_2062/knärot/A 51213-2024 karta knärot.png", "A 51213-2024")</f>
        <v/>
      </c>
      <c r="V69">
        <f>HYPERLINK("https://klasma.github.io/Logging_2062/klagomål/A 51213-2024 FSC-klagomål.docx", "A 51213-2024")</f>
        <v/>
      </c>
      <c r="W69">
        <f>HYPERLINK("https://klasma.github.io/Logging_2062/klagomålsmail/A 51213-2024 FSC-klagomål mail.docx", "A 51213-2024")</f>
        <v/>
      </c>
      <c r="X69">
        <f>HYPERLINK("https://klasma.github.io/Logging_2062/tillsyn/A 51213-2024 tillsynsbegäran.docx", "A 51213-2024")</f>
        <v/>
      </c>
      <c r="Y69">
        <f>HYPERLINK("https://klasma.github.io/Logging_2062/tillsynsmail/A 51213-2024 tillsynsbegäran mail.docx", "A 51213-2024")</f>
        <v/>
      </c>
    </row>
    <row r="70" ht="15" customHeight="1">
      <c r="A70" t="inlineStr">
        <is>
          <t>A 57395-2024</t>
        </is>
      </c>
      <c r="B70" s="1" t="n">
        <v>45629</v>
      </c>
      <c r="C70" s="1" t="n">
        <v>45784</v>
      </c>
      <c r="D70" t="inlineStr">
        <is>
          <t>DALARNAS LÄN</t>
        </is>
      </c>
      <c r="E70" t="inlineStr">
        <is>
          <t>MORA</t>
        </is>
      </c>
      <c r="G70" t="n">
        <v>3.1</v>
      </c>
      <c r="H70" t="n">
        <v>1</v>
      </c>
      <c r="I70" t="n">
        <v>0</v>
      </c>
      <c r="J70" t="n">
        <v>1</v>
      </c>
      <c r="K70" t="n">
        <v>0</v>
      </c>
      <c r="L70" t="n">
        <v>0</v>
      </c>
      <c r="M70" t="n">
        <v>0</v>
      </c>
      <c r="N70" t="n">
        <v>0</v>
      </c>
      <c r="O70" t="n">
        <v>1</v>
      </c>
      <c r="P70" t="n">
        <v>0</v>
      </c>
      <c r="Q70" t="n">
        <v>1</v>
      </c>
      <c r="R70" s="2" t="inlineStr">
        <is>
          <t>Spillkråka</t>
        </is>
      </c>
      <c r="S70">
        <f>HYPERLINK("https://klasma.github.io/Logging_2062/artfynd/A 57395-2024 artfynd.xlsx", "A 57395-2024")</f>
        <v/>
      </c>
      <c r="T70">
        <f>HYPERLINK("https://klasma.github.io/Logging_2062/kartor/A 57395-2024 karta.png", "A 57395-2024")</f>
        <v/>
      </c>
      <c r="V70">
        <f>HYPERLINK("https://klasma.github.io/Logging_2062/klagomål/A 57395-2024 FSC-klagomål.docx", "A 57395-2024")</f>
        <v/>
      </c>
      <c r="W70">
        <f>HYPERLINK("https://klasma.github.io/Logging_2062/klagomålsmail/A 57395-2024 FSC-klagomål mail.docx", "A 57395-2024")</f>
        <v/>
      </c>
      <c r="X70">
        <f>HYPERLINK("https://klasma.github.io/Logging_2062/tillsyn/A 57395-2024 tillsynsbegäran.docx", "A 57395-2024")</f>
        <v/>
      </c>
      <c r="Y70">
        <f>HYPERLINK("https://klasma.github.io/Logging_2062/tillsynsmail/A 57395-2024 tillsynsbegäran mail.docx", "A 57395-2024")</f>
        <v/>
      </c>
      <c r="Z70">
        <f>HYPERLINK("https://klasma.github.io/Logging_2062/fåglar/A 57395-2024 prioriterade fågelarter.docx", "A 57395-2024")</f>
        <v/>
      </c>
    </row>
    <row r="71" ht="15" customHeight="1">
      <c r="A71" t="inlineStr">
        <is>
          <t>A 831-2025</t>
        </is>
      </c>
      <c r="B71" s="1" t="n">
        <v>45665</v>
      </c>
      <c r="C71" s="1" t="n">
        <v>45784</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20226-2019</t>
        </is>
      </c>
      <c r="B72" s="1" t="n">
        <v>43570</v>
      </c>
      <c r="C72" s="1" t="n">
        <v>45784</v>
      </c>
      <c r="D72" t="inlineStr">
        <is>
          <t>DALARNAS LÄN</t>
        </is>
      </c>
      <c r="E72" t="inlineStr">
        <is>
          <t>MORA</t>
        </is>
      </c>
      <c r="G72" t="n">
        <v>4.2</v>
      </c>
      <c r="H72" t="n">
        <v>0</v>
      </c>
      <c r="I72" t="n">
        <v>0</v>
      </c>
      <c r="J72" t="n">
        <v>0</v>
      </c>
      <c r="K72" t="n">
        <v>0</v>
      </c>
      <c r="L72" t="n">
        <v>0</v>
      </c>
      <c r="M72" t="n">
        <v>0</v>
      </c>
      <c r="N72" t="n">
        <v>0</v>
      </c>
      <c r="O72" t="n">
        <v>0</v>
      </c>
      <c r="P72" t="n">
        <v>0</v>
      </c>
      <c r="Q72" t="n">
        <v>0</v>
      </c>
      <c r="R72" s="2" t="inlineStr"/>
    </row>
    <row r="73" ht="15" customHeight="1">
      <c r="A73" t="inlineStr">
        <is>
          <t>A 20464-2019</t>
        </is>
      </c>
      <c r="B73" s="1" t="n">
        <v>43572</v>
      </c>
      <c r="C73" s="1" t="n">
        <v>45784</v>
      </c>
      <c r="D73" t="inlineStr">
        <is>
          <t>DALARNAS LÄN</t>
        </is>
      </c>
      <c r="E73" t="inlineStr">
        <is>
          <t>MORA</t>
        </is>
      </c>
      <c r="G73" t="n">
        <v>12.1</v>
      </c>
      <c r="H73" t="n">
        <v>0</v>
      </c>
      <c r="I73" t="n">
        <v>0</v>
      </c>
      <c r="J73" t="n">
        <v>0</v>
      </c>
      <c r="K73" t="n">
        <v>0</v>
      </c>
      <c r="L73" t="n">
        <v>0</v>
      </c>
      <c r="M73" t="n">
        <v>0</v>
      </c>
      <c r="N73" t="n">
        <v>0</v>
      </c>
      <c r="O73" t="n">
        <v>0</v>
      </c>
      <c r="P73" t="n">
        <v>0</v>
      </c>
      <c r="Q73" t="n">
        <v>0</v>
      </c>
      <c r="R73" s="2" t="inlineStr"/>
    </row>
    <row r="74" ht="15" customHeight="1">
      <c r="A74" t="inlineStr">
        <is>
          <t>A 22970-2019</t>
        </is>
      </c>
      <c r="B74" s="1" t="n">
        <v>43591</v>
      </c>
      <c r="C74" s="1" t="n">
        <v>45784</v>
      </c>
      <c r="D74" t="inlineStr">
        <is>
          <t>DALARNAS LÄN</t>
        </is>
      </c>
      <c r="E74" t="inlineStr">
        <is>
          <t>MORA</t>
        </is>
      </c>
      <c r="G74" t="n">
        <v>1.5</v>
      </c>
      <c r="H74" t="n">
        <v>0</v>
      </c>
      <c r="I74" t="n">
        <v>0</v>
      </c>
      <c r="J74" t="n">
        <v>0</v>
      </c>
      <c r="K74" t="n">
        <v>0</v>
      </c>
      <c r="L74" t="n">
        <v>0</v>
      </c>
      <c r="M74" t="n">
        <v>0</v>
      </c>
      <c r="N74" t="n">
        <v>0</v>
      </c>
      <c r="O74" t="n">
        <v>0</v>
      </c>
      <c r="P74" t="n">
        <v>0</v>
      </c>
      <c r="Q74" t="n">
        <v>0</v>
      </c>
      <c r="R74" s="2" t="inlineStr"/>
    </row>
    <row r="75" ht="15" customHeight="1">
      <c r="A75" t="inlineStr">
        <is>
          <t>A 23665-2019</t>
        </is>
      </c>
      <c r="B75" s="1" t="n">
        <v>43594</v>
      </c>
      <c r="C75" s="1" t="n">
        <v>45784</v>
      </c>
      <c r="D75" t="inlineStr">
        <is>
          <t>DALARNAS LÄN</t>
        </is>
      </c>
      <c r="E75" t="inlineStr">
        <is>
          <t>MORA</t>
        </is>
      </c>
      <c r="G75" t="n">
        <v>1.1</v>
      </c>
      <c r="H75" t="n">
        <v>0</v>
      </c>
      <c r="I75" t="n">
        <v>0</v>
      </c>
      <c r="J75" t="n">
        <v>0</v>
      </c>
      <c r="K75" t="n">
        <v>0</v>
      </c>
      <c r="L75" t="n">
        <v>0</v>
      </c>
      <c r="M75" t="n">
        <v>0</v>
      </c>
      <c r="N75" t="n">
        <v>0</v>
      </c>
      <c r="O75" t="n">
        <v>0</v>
      </c>
      <c r="P75" t="n">
        <v>0</v>
      </c>
      <c r="Q75" t="n">
        <v>0</v>
      </c>
      <c r="R75" s="2" t="inlineStr"/>
    </row>
    <row r="76" ht="15" customHeight="1">
      <c r="A76" t="inlineStr">
        <is>
          <t>A 23636-2019</t>
        </is>
      </c>
      <c r="B76" s="1" t="n">
        <v>43594</v>
      </c>
      <c r="C76" s="1" t="n">
        <v>45784</v>
      </c>
      <c r="D76" t="inlineStr">
        <is>
          <t>DALARNAS LÄN</t>
        </is>
      </c>
      <c r="E76" t="inlineStr">
        <is>
          <t>MORA</t>
        </is>
      </c>
      <c r="G76" t="n">
        <v>1.5</v>
      </c>
      <c r="H76" t="n">
        <v>0</v>
      </c>
      <c r="I76" t="n">
        <v>0</v>
      </c>
      <c r="J76" t="n">
        <v>0</v>
      </c>
      <c r="K76" t="n">
        <v>0</v>
      </c>
      <c r="L76" t="n">
        <v>0</v>
      </c>
      <c r="M76" t="n">
        <v>0</v>
      </c>
      <c r="N76" t="n">
        <v>0</v>
      </c>
      <c r="O76" t="n">
        <v>0</v>
      </c>
      <c r="P76" t="n">
        <v>0</v>
      </c>
      <c r="Q76" t="n">
        <v>0</v>
      </c>
      <c r="R76" s="2" t="inlineStr"/>
    </row>
    <row r="77" ht="15" customHeight="1">
      <c r="A77" t="inlineStr">
        <is>
          <t>A 24630-2019</t>
        </is>
      </c>
      <c r="B77" s="1" t="n">
        <v>43601</v>
      </c>
      <c r="C77" s="1" t="n">
        <v>45784</v>
      </c>
      <c r="D77" t="inlineStr">
        <is>
          <t>DALARNAS LÄN</t>
        </is>
      </c>
      <c r="E77" t="inlineStr">
        <is>
          <t>MORA</t>
        </is>
      </c>
      <c r="G77" t="n">
        <v>5.8</v>
      </c>
      <c r="H77" t="n">
        <v>0</v>
      </c>
      <c r="I77" t="n">
        <v>0</v>
      </c>
      <c r="J77" t="n">
        <v>0</v>
      </c>
      <c r="K77" t="n">
        <v>0</v>
      </c>
      <c r="L77" t="n">
        <v>0</v>
      </c>
      <c r="M77" t="n">
        <v>0</v>
      </c>
      <c r="N77" t="n">
        <v>0</v>
      </c>
      <c r="O77" t="n">
        <v>0</v>
      </c>
      <c r="P77" t="n">
        <v>0</v>
      </c>
      <c r="Q77" t="n">
        <v>0</v>
      </c>
      <c r="R77" s="2" t="inlineStr"/>
    </row>
    <row r="78" ht="15" customHeight="1">
      <c r="A78" t="inlineStr">
        <is>
          <t>A 25235-2019</t>
        </is>
      </c>
      <c r="B78" s="1" t="n">
        <v>43601</v>
      </c>
      <c r="C78" s="1" t="n">
        <v>45784</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24960-2019</t>
        </is>
      </c>
      <c r="B79" s="1" t="n">
        <v>43602</v>
      </c>
      <c r="C79" s="1" t="n">
        <v>45784</v>
      </c>
      <c r="D79" t="inlineStr">
        <is>
          <t>DALARNAS LÄN</t>
        </is>
      </c>
      <c r="E79" t="inlineStr">
        <is>
          <t>MORA</t>
        </is>
      </c>
      <c r="G79" t="n">
        <v>2.7</v>
      </c>
      <c r="H79" t="n">
        <v>0</v>
      </c>
      <c r="I79" t="n">
        <v>0</v>
      </c>
      <c r="J79" t="n">
        <v>0</v>
      </c>
      <c r="K79" t="n">
        <v>0</v>
      </c>
      <c r="L79" t="n">
        <v>0</v>
      </c>
      <c r="M79" t="n">
        <v>0</v>
      </c>
      <c r="N79" t="n">
        <v>0</v>
      </c>
      <c r="O79" t="n">
        <v>0</v>
      </c>
      <c r="P79" t="n">
        <v>0</v>
      </c>
      <c r="Q79" t="n">
        <v>0</v>
      </c>
      <c r="R79" s="2" t="inlineStr"/>
    </row>
    <row r="80" ht="15" customHeight="1">
      <c r="A80" t="inlineStr">
        <is>
          <t>A 28917-2019</t>
        </is>
      </c>
      <c r="B80" s="1" t="n">
        <v>43612</v>
      </c>
      <c r="C80" s="1" t="n">
        <v>45784</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26405-2019</t>
        </is>
      </c>
      <c r="B81" s="1" t="n">
        <v>43612</v>
      </c>
      <c r="C81" s="1" t="n">
        <v>45784</v>
      </c>
      <c r="D81" t="inlineStr">
        <is>
          <t>DALARNAS LÄN</t>
        </is>
      </c>
      <c r="E81" t="inlineStr">
        <is>
          <t>MORA</t>
        </is>
      </c>
      <c r="G81" t="n">
        <v>3.2</v>
      </c>
      <c r="H81" t="n">
        <v>0</v>
      </c>
      <c r="I81" t="n">
        <v>0</v>
      </c>
      <c r="J81" t="n">
        <v>0</v>
      </c>
      <c r="K81" t="n">
        <v>0</v>
      </c>
      <c r="L81" t="n">
        <v>0</v>
      </c>
      <c r="M81" t="n">
        <v>0</v>
      </c>
      <c r="N81" t="n">
        <v>0</v>
      </c>
      <c r="O81" t="n">
        <v>0</v>
      </c>
      <c r="P81" t="n">
        <v>0</v>
      </c>
      <c r="Q81" t="n">
        <v>0</v>
      </c>
      <c r="R81" s="2" t="inlineStr"/>
    </row>
    <row r="82" ht="15" customHeight="1">
      <c r="A82" t="inlineStr">
        <is>
          <t>A 29231-2019</t>
        </is>
      </c>
      <c r="B82" s="1" t="n">
        <v>43623</v>
      </c>
      <c r="C82" s="1" t="n">
        <v>45784</v>
      </c>
      <c r="D82" t="inlineStr">
        <is>
          <t>DALARNAS LÄN</t>
        </is>
      </c>
      <c r="E82" t="inlineStr">
        <is>
          <t>MORA</t>
        </is>
      </c>
      <c r="G82" t="n">
        <v>24.2</v>
      </c>
      <c r="H82" t="n">
        <v>0</v>
      </c>
      <c r="I82" t="n">
        <v>0</v>
      </c>
      <c r="J82" t="n">
        <v>0</v>
      </c>
      <c r="K82" t="n">
        <v>0</v>
      </c>
      <c r="L82" t="n">
        <v>0</v>
      </c>
      <c r="M82" t="n">
        <v>0</v>
      </c>
      <c r="N82" t="n">
        <v>0</v>
      </c>
      <c r="O82" t="n">
        <v>0</v>
      </c>
      <c r="P82" t="n">
        <v>0</v>
      </c>
      <c r="Q82" t="n">
        <v>0</v>
      </c>
      <c r="R82" s="2" t="inlineStr"/>
    </row>
    <row r="83" ht="15" customHeight="1">
      <c r="A83" t="inlineStr">
        <is>
          <t>A 29370-2019</t>
        </is>
      </c>
      <c r="B83" s="1" t="n">
        <v>43629</v>
      </c>
      <c r="C83" s="1" t="n">
        <v>45784</v>
      </c>
      <c r="D83" t="inlineStr">
        <is>
          <t>DALARNAS LÄN</t>
        </is>
      </c>
      <c r="E83" t="inlineStr">
        <is>
          <t>MORA</t>
        </is>
      </c>
      <c r="G83" t="n">
        <v>2.4</v>
      </c>
      <c r="H83" t="n">
        <v>0</v>
      </c>
      <c r="I83" t="n">
        <v>0</v>
      </c>
      <c r="J83" t="n">
        <v>0</v>
      </c>
      <c r="K83" t="n">
        <v>0</v>
      </c>
      <c r="L83" t="n">
        <v>0</v>
      </c>
      <c r="M83" t="n">
        <v>0</v>
      </c>
      <c r="N83" t="n">
        <v>0</v>
      </c>
      <c r="O83" t="n">
        <v>0</v>
      </c>
      <c r="P83" t="n">
        <v>0</v>
      </c>
      <c r="Q83" t="n">
        <v>0</v>
      </c>
      <c r="R83" s="2" t="inlineStr"/>
    </row>
    <row r="84" ht="15" customHeight="1">
      <c r="A84" t="inlineStr">
        <is>
          <t>A 29395-2019</t>
        </is>
      </c>
      <c r="B84" s="1" t="n">
        <v>43629</v>
      </c>
      <c r="C84" s="1" t="n">
        <v>45784</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30487-2019</t>
        </is>
      </c>
      <c r="B85" s="1" t="n">
        <v>43635</v>
      </c>
      <c r="C85" s="1" t="n">
        <v>45784</v>
      </c>
      <c r="D85" t="inlineStr">
        <is>
          <t>DALARNAS LÄN</t>
        </is>
      </c>
      <c r="E85" t="inlineStr">
        <is>
          <t>MORA</t>
        </is>
      </c>
      <c r="G85" t="n">
        <v>11.5</v>
      </c>
      <c r="H85" t="n">
        <v>0</v>
      </c>
      <c r="I85" t="n">
        <v>0</v>
      </c>
      <c r="J85" t="n">
        <v>0</v>
      </c>
      <c r="K85" t="n">
        <v>0</v>
      </c>
      <c r="L85" t="n">
        <v>0</v>
      </c>
      <c r="M85" t="n">
        <v>0</v>
      </c>
      <c r="N85" t="n">
        <v>0</v>
      </c>
      <c r="O85" t="n">
        <v>0</v>
      </c>
      <c r="P85" t="n">
        <v>0</v>
      </c>
      <c r="Q85" t="n">
        <v>0</v>
      </c>
      <c r="R85" s="2" t="inlineStr"/>
    </row>
    <row r="86" ht="15" customHeight="1">
      <c r="A86" t="inlineStr">
        <is>
          <t>A 30558-2019</t>
        </is>
      </c>
      <c r="B86" s="1" t="n">
        <v>43635</v>
      </c>
      <c r="C86" s="1" t="n">
        <v>45784</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30585-2019</t>
        </is>
      </c>
      <c r="B87" s="1" t="n">
        <v>43635</v>
      </c>
      <c r="C87" s="1" t="n">
        <v>45784</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30665-2019</t>
        </is>
      </c>
      <c r="B88" s="1" t="n">
        <v>43636</v>
      </c>
      <c r="C88" s="1" t="n">
        <v>45784</v>
      </c>
      <c r="D88" t="inlineStr">
        <is>
          <t>DALARNAS LÄN</t>
        </is>
      </c>
      <c r="E88" t="inlineStr">
        <is>
          <t>MORA</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30674-2019</t>
        </is>
      </c>
      <c r="B89" s="1" t="n">
        <v>43636</v>
      </c>
      <c r="C89" s="1" t="n">
        <v>45784</v>
      </c>
      <c r="D89" t="inlineStr">
        <is>
          <t>DALARNAS LÄN</t>
        </is>
      </c>
      <c r="E89" t="inlineStr">
        <is>
          <t>MORA</t>
        </is>
      </c>
      <c r="F89" t="inlineStr">
        <is>
          <t>Kyrkan</t>
        </is>
      </c>
      <c r="G89" t="n">
        <v>1.4</v>
      </c>
      <c r="H89" t="n">
        <v>0</v>
      </c>
      <c r="I89" t="n">
        <v>0</v>
      </c>
      <c r="J89" t="n">
        <v>0</v>
      </c>
      <c r="K89" t="n">
        <v>0</v>
      </c>
      <c r="L89" t="n">
        <v>0</v>
      </c>
      <c r="M89" t="n">
        <v>0</v>
      </c>
      <c r="N89" t="n">
        <v>0</v>
      </c>
      <c r="O89" t="n">
        <v>0</v>
      </c>
      <c r="P89" t="n">
        <v>0</v>
      </c>
      <c r="Q89" t="n">
        <v>0</v>
      </c>
      <c r="R89" s="2" t="inlineStr"/>
    </row>
    <row r="90" ht="15" customHeight="1">
      <c r="A90" t="inlineStr">
        <is>
          <t>A 31007-2019</t>
        </is>
      </c>
      <c r="B90" s="1" t="n">
        <v>43640</v>
      </c>
      <c r="C90" s="1" t="n">
        <v>45784</v>
      </c>
      <c r="D90" t="inlineStr">
        <is>
          <t>DALARNAS LÄN</t>
        </is>
      </c>
      <c r="E90" t="inlineStr">
        <is>
          <t>MORA</t>
        </is>
      </c>
      <c r="G90" t="n">
        <v>15.2</v>
      </c>
      <c r="H90" t="n">
        <v>0</v>
      </c>
      <c r="I90" t="n">
        <v>0</v>
      </c>
      <c r="J90" t="n">
        <v>0</v>
      </c>
      <c r="K90" t="n">
        <v>0</v>
      </c>
      <c r="L90" t="n">
        <v>0</v>
      </c>
      <c r="M90" t="n">
        <v>0</v>
      </c>
      <c r="N90" t="n">
        <v>0</v>
      </c>
      <c r="O90" t="n">
        <v>0</v>
      </c>
      <c r="P90" t="n">
        <v>0</v>
      </c>
      <c r="Q90" t="n">
        <v>0</v>
      </c>
      <c r="R90" s="2" t="inlineStr"/>
    </row>
    <row r="91" ht="15" customHeight="1">
      <c r="A91" t="inlineStr">
        <is>
          <t>A 31786-2019</t>
        </is>
      </c>
      <c r="B91" s="1" t="n">
        <v>43642</v>
      </c>
      <c r="C91" s="1" t="n">
        <v>45784</v>
      </c>
      <c r="D91" t="inlineStr">
        <is>
          <t>DALARNAS LÄN</t>
        </is>
      </c>
      <c r="E91" t="inlineStr">
        <is>
          <t>MORA</t>
        </is>
      </c>
      <c r="F91" t="inlineStr">
        <is>
          <t>Bergvik skog väst AB</t>
        </is>
      </c>
      <c r="G91" t="n">
        <v>2.9</v>
      </c>
      <c r="H91" t="n">
        <v>0</v>
      </c>
      <c r="I91" t="n">
        <v>0</v>
      </c>
      <c r="J91" t="n">
        <v>0</v>
      </c>
      <c r="K91" t="n">
        <v>0</v>
      </c>
      <c r="L91" t="n">
        <v>0</v>
      </c>
      <c r="M91" t="n">
        <v>0</v>
      </c>
      <c r="N91" t="n">
        <v>0</v>
      </c>
      <c r="O91" t="n">
        <v>0</v>
      </c>
      <c r="P91" t="n">
        <v>0</v>
      </c>
      <c r="Q91" t="n">
        <v>0</v>
      </c>
      <c r="R91" s="2" t="inlineStr"/>
    </row>
    <row r="92" ht="15" customHeight="1">
      <c r="A92" t="inlineStr">
        <is>
          <t>A 32085-2019</t>
        </is>
      </c>
      <c r="B92" s="1" t="n">
        <v>43643</v>
      </c>
      <c r="C92" s="1" t="n">
        <v>45784</v>
      </c>
      <c r="D92" t="inlineStr">
        <is>
          <t>DALARNAS LÄN</t>
        </is>
      </c>
      <c r="E92" t="inlineStr">
        <is>
          <t>MORA</t>
        </is>
      </c>
      <c r="G92" t="n">
        <v>4.6</v>
      </c>
      <c r="H92" t="n">
        <v>0</v>
      </c>
      <c r="I92" t="n">
        <v>0</v>
      </c>
      <c r="J92" t="n">
        <v>0</v>
      </c>
      <c r="K92" t="n">
        <v>0</v>
      </c>
      <c r="L92" t="n">
        <v>0</v>
      </c>
      <c r="M92" t="n">
        <v>0</v>
      </c>
      <c r="N92" t="n">
        <v>0</v>
      </c>
      <c r="O92" t="n">
        <v>0</v>
      </c>
      <c r="P92" t="n">
        <v>0</v>
      </c>
      <c r="Q92" t="n">
        <v>0</v>
      </c>
      <c r="R92" s="2" t="inlineStr"/>
    </row>
    <row r="93" ht="15" customHeight="1">
      <c r="A93" t="inlineStr">
        <is>
          <t>A 33184-2019</t>
        </is>
      </c>
      <c r="B93" s="1" t="n">
        <v>43649</v>
      </c>
      <c r="C93" s="1" t="n">
        <v>45784</v>
      </c>
      <c r="D93" t="inlineStr">
        <is>
          <t>DALARNAS LÄN</t>
        </is>
      </c>
      <c r="E93" t="inlineStr">
        <is>
          <t>MORA</t>
        </is>
      </c>
      <c r="G93" t="n">
        <v>8.1</v>
      </c>
      <c r="H93" t="n">
        <v>0</v>
      </c>
      <c r="I93" t="n">
        <v>0</v>
      </c>
      <c r="J93" t="n">
        <v>0</v>
      </c>
      <c r="K93" t="n">
        <v>0</v>
      </c>
      <c r="L93" t="n">
        <v>0</v>
      </c>
      <c r="M93" t="n">
        <v>0</v>
      </c>
      <c r="N93" t="n">
        <v>0</v>
      </c>
      <c r="O93" t="n">
        <v>0</v>
      </c>
      <c r="P93" t="n">
        <v>0</v>
      </c>
      <c r="Q93" t="n">
        <v>0</v>
      </c>
      <c r="R93" s="2" t="inlineStr"/>
    </row>
    <row r="94" ht="15" customHeight="1">
      <c r="A94" t="inlineStr">
        <is>
          <t>A 33187-2019</t>
        </is>
      </c>
      <c r="B94" s="1" t="n">
        <v>43649</v>
      </c>
      <c r="C94" s="1" t="n">
        <v>45784</v>
      </c>
      <c r="D94" t="inlineStr">
        <is>
          <t>DALARNAS LÄN</t>
        </is>
      </c>
      <c r="E94" t="inlineStr">
        <is>
          <t>MORA</t>
        </is>
      </c>
      <c r="G94" t="n">
        <v>7.1</v>
      </c>
      <c r="H94" t="n">
        <v>0</v>
      </c>
      <c r="I94" t="n">
        <v>0</v>
      </c>
      <c r="J94" t="n">
        <v>0</v>
      </c>
      <c r="K94" t="n">
        <v>0</v>
      </c>
      <c r="L94" t="n">
        <v>0</v>
      </c>
      <c r="M94" t="n">
        <v>0</v>
      </c>
      <c r="N94" t="n">
        <v>0</v>
      </c>
      <c r="O94" t="n">
        <v>0</v>
      </c>
      <c r="P94" t="n">
        <v>0</v>
      </c>
      <c r="Q94" t="n">
        <v>0</v>
      </c>
      <c r="R94" s="2" t="inlineStr"/>
    </row>
    <row r="95" ht="15" customHeight="1">
      <c r="A95" t="inlineStr">
        <is>
          <t>A 33188-2019</t>
        </is>
      </c>
      <c r="B95" s="1" t="n">
        <v>43649</v>
      </c>
      <c r="C95" s="1" t="n">
        <v>45784</v>
      </c>
      <c r="D95" t="inlineStr">
        <is>
          <t>DALARNAS LÄN</t>
        </is>
      </c>
      <c r="E95" t="inlineStr">
        <is>
          <t>MORA</t>
        </is>
      </c>
      <c r="G95" t="n">
        <v>3.9</v>
      </c>
      <c r="H95" t="n">
        <v>0</v>
      </c>
      <c r="I95" t="n">
        <v>0</v>
      </c>
      <c r="J95" t="n">
        <v>0</v>
      </c>
      <c r="K95" t="n">
        <v>0</v>
      </c>
      <c r="L95" t="n">
        <v>0</v>
      </c>
      <c r="M95" t="n">
        <v>0</v>
      </c>
      <c r="N95" t="n">
        <v>0</v>
      </c>
      <c r="O95" t="n">
        <v>0</v>
      </c>
      <c r="P95" t="n">
        <v>0</v>
      </c>
      <c r="Q95" t="n">
        <v>0</v>
      </c>
      <c r="R95" s="2" t="inlineStr"/>
    </row>
    <row r="96" ht="15" customHeight="1">
      <c r="A96" t="inlineStr">
        <is>
          <t>A 33183-2019</t>
        </is>
      </c>
      <c r="B96" s="1" t="n">
        <v>43649</v>
      </c>
      <c r="C96" s="1" t="n">
        <v>45784</v>
      </c>
      <c r="D96" t="inlineStr">
        <is>
          <t>DALARNAS LÄN</t>
        </is>
      </c>
      <c r="E96" t="inlineStr">
        <is>
          <t>MORA</t>
        </is>
      </c>
      <c r="G96" t="n">
        <v>20.1</v>
      </c>
      <c r="H96" t="n">
        <v>0</v>
      </c>
      <c r="I96" t="n">
        <v>0</v>
      </c>
      <c r="J96" t="n">
        <v>0</v>
      </c>
      <c r="K96" t="n">
        <v>0</v>
      </c>
      <c r="L96" t="n">
        <v>0</v>
      </c>
      <c r="M96" t="n">
        <v>0</v>
      </c>
      <c r="N96" t="n">
        <v>0</v>
      </c>
      <c r="O96" t="n">
        <v>0</v>
      </c>
      <c r="P96" t="n">
        <v>0</v>
      </c>
      <c r="Q96" t="n">
        <v>0</v>
      </c>
      <c r="R96" s="2" t="inlineStr"/>
    </row>
    <row r="97" ht="15" customHeight="1">
      <c r="A97" t="inlineStr">
        <is>
          <t>A 33318-2019</t>
        </is>
      </c>
      <c r="B97" s="1" t="n">
        <v>43650</v>
      </c>
      <c r="C97" s="1" t="n">
        <v>45784</v>
      </c>
      <c r="D97" t="inlineStr">
        <is>
          <t>DALARNAS LÄN</t>
        </is>
      </c>
      <c r="E97" t="inlineStr">
        <is>
          <t>MORA</t>
        </is>
      </c>
      <c r="G97" t="n">
        <v>11.8</v>
      </c>
      <c r="H97" t="n">
        <v>0</v>
      </c>
      <c r="I97" t="n">
        <v>0</v>
      </c>
      <c r="J97" t="n">
        <v>0</v>
      </c>
      <c r="K97" t="n">
        <v>0</v>
      </c>
      <c r="L97" t="n">
        <v>0</v>
      </c>
      <c r="M97" t="n">
        <v>0</v>
      </c>
      <c r="N97" t="n">
        <v>0</v>
      </c>
      <c r="O97" t="n">
        <v>0</v>
      </c>
      <c r="P97" t="n">
        <v>0</v>
      </c>
      <c r="Q97" t="n">
        <v>0</v>
      </c>
      <c r="R97" s="2" t="inlineStr"/>
    </row>
    <row r="98" ht="15" customHeight="1">
      <c r="A98" t="inlineStr">
        <is>
          <t>A 35360-2019</t>
        </is>
      </c>
      <c r="B98" s="1" t="n">
        <v>43651</v>
      </c>
      <c r="C98" s="1" t="n">
        <v>45784</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34330-2019</t>
        </is>
      </c>
      <c r="B99" s="1" t="n">
        <v>43656</v>
      </c>
      <c r="C99" s="1" t="n">
        <v>45784</v>
      </c>
      <c r="D99" t="inlineStr">
        <is>
          <t>DALARNAS LÄN</t>
        </is>
      </c>
      <c r="E99" t="inlineStr">
        <is>
          <t>MORA</t>
        </is>
      </c>
      <c r="G99" t="n">
        <v>2.6</v>
      </c>
      <c r="H99" t="n">
        <v>0</v>
      </c>
      <c r="I99" t="n">
        <v>0</v>
      </c>
      <c r="J99" t="n">
        <v>0</v>
      </c>
      <c r="K99" t="n">
        <v>0</v>
      </c>
      <c r="L99" t="n">
        <v>0</v>
      </c>
      <c r="M99" t="n">
        <v>0</v>
      </c>
      <c r="N99" t="n">
        <v>0</v>
      </c>
      <c r="O99" t="n">
        <v>0</v>
      </c>
      <c r="P99" t="n">
        <v>0</v>
      </c>
      <c r="Q99" t="n">
        <v>0</v>
      </c>
      <c r="R99" s="2" t="inlineStr"/>
    </row>
    <row r="100" ht="15" customHeight="1">
      <c r="A100" t="inlineStr">
        <is>
          <t>A 36275-2019</t>
        </is>
      </c>
      <c r="B100" s="1" t="n">
        <v>43661</v>
      </c>
      <c r="C100" s="1" t="n">
        <v>45784</v>
      </c>
      <c r="D100" t="inlineStr">
        <is>
          <t>DALARNAS LÄN</t>
        </is>
      </c>
      <c r="E100" t="inlineStr">
        <is>
          <t>MORA</t>
        </is>
      </c>
      <c r="G100" t="n">
        <v>7.3</v>
      </c>
      <c r="H100" t="n">
        <v>0</v>
      </c>
      <c r="I100" t="n">
        <v>0</v>
      </c>
      <c r="J100" t="n">
        <v>0</v>
      </c>
      <c r="K100" t="n">
        <v>0</v>
      </c>
      <c r="L100" t="n">
        <v>0</v>
      </c>
      <c r="M100" t="n">
        <v>0</v>
      </c>
      <c r="N100" t="n">
        <v>0</v>
      </c>
      <c r="O100" t="n">
        <v>0</v>
      </c>
      <c r="P100" t="n">
        <v>0</v>
      </c>
      <c r="Q100" t="n">
        <v>0</v>
      </c>
      <c r="R100" s="2" t="inlineStr"/>
    </row>
    <row r="101" ht="15" customHeight="1">
      <c r="A101" t="inlineStr">
        <is>
          <t>A 36440-2019</t>
        </is>
      </c>
      <c r="B101" s="1" t="n">
        <v>43664</v>
      </c>
      <c r="C101" s="1" t="n">
        <v>45784</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37801-2019</t>
        </is>
      </c>
      <c r="B102" s="1" t="n">
        <v>43675</v>
      </c>
      <c r="C102" s="1" t="n">
        <v>45784</v>
      </c>
      <c r="D102" t="inlineStr">
        <is>
          <t>DALARNAS LÄN</t>
        </is>
      </c>
      <c r="E102" t="inlineStr">
        <is>
          <t>MORA</t>
        </is>
      </c>
      <c r="F102" t="inlineStr">
        <is>
          <t>Allmännings- och besparingsskogar</t>
        </is>
      </c>
      <c r="G102" t="n">
        <v>6.2</v>
      </c>
      <c r="H102" t="n">
        <v>0</v>
      </c>
      <c r="I102" t="n">
        <v>0</v>
      </c>
      <c r="J102" t="n">
        <v>0</v>
      </c>
      <c r="K102" t="n">
        <v>0</v>
      </c>
      <c r="L102" t="n">
        <v>0</v>
      </c>
      <c r="M102" t="n">
        <v>0</v>
      </c>
      <c r="N102" t="n">
        <v>0</v>
      </c>
      <c r="O102" t="n">
        <v>0</v>
      </c>
      <c r="P102" t="n">
        <v>0</v>
      </c>
      <c r="Q102" t="n">
        <v>0</v>
      </c>
      <c r="R102" s="2" t="inlineStr"/>
    </row>
    <row r="103" ht="15" customHeight="1">
      <c r="A103" t="inlineStr">
        <is>
          <t>A 37816-2019</t>
        </is>
      </c>
      <c r="B103" s="1" t="n">
        <v>43675</v>
      </c>
      <c r="C103" s="1" t="n">
        <v>45784</v>
      </c>
      <c r="D103" t="inlineStr">
        <is>
          <t>DALARNAS LÄN</t>
        </is>
      </c>
      <c r="E103" t="inlineStr">
        <is>
          <t>MORA</t>
        </is>
      </c>
      <c r="F103" t="inlineStr">
        <is>
          <t>Allmännings- och besparingsskogar</t>
        </is>
      </c>
      <c r="G103" t="n">
        <v>29.9</v>
      </c>
      <c r="H103" t="n">
        <v>0</v>
      </c>
      <c r="I103" t="n">
        <v>0</v>
      </c>
      <c r="J103" t="n">
        <v>0</v>
      </c>
      <c r="K103" t="n">
        <v>0</v>
      </c>
      <c r="L103" t="n">
        <v>0</v>
      </c>
      <c r="M103" t="n">
        <v>0</v>
      </c>
      <c r="N103" t="n">
        <v>0</v>
      </c>
      <c r="O103" t="n">
        <v>0</v>
      </c>
      <c r="P103" t="n">
        <v>0</v>
      </c>
      <c r="Q103" t="n">
        <v>0</v>
      </c>
      <c r="R103" s="2" t="inlineStr"/>
    </row>
    <row r="104" ht="15" customHeight="1">
      <c r="A104" t="inlineStr">
        <is>
          <t>A 36991-2019</t>
        </is>
      </c>
      <c r="B104" s="1" t="n">
        <v>43676</v>
      </c>
      <c r="C104" s="1" t="n">
        <v>45784</v>
      </c>
      <c r="D104" t="inlineStr">
        <is>
          <t>DALARNAS LÄN</t>
        </is>
      </c>
      <c r="E104" t="inlineStr">
        <is>
          <t>MORA</t>
        </is>
      </c>
      <c r="G104" t="n">
        <v>2.7</v>
      </c>
      <c r="H104" t="n">
        <v>0</v>
      </c>
      <c r="I104" t="n">
        <v>0</v>
      </c>
      <c r="J104" t="n">
        <v>0</v>
      </c>
      <c r="K104" t="n">
        <v>0</v>
      </c>
      <c r="L104" t="n">
        <v>0</v>
      </c>
      <c r="M104" t="n">
        <v>0</v>
      </c>
      <c r="N104" t="n">
        <v>0</v>
      </c>
      <c r="O104" t="n">
        <v>0</v>
      </c>
      <c r="P104" t="n">
        <v>0</v>
      </c>
      <c r="Q104" t="n">
        <v>0</v>
      </c>
      <c r="R104" s="2" t="inlineStr"/>
    </row>
    <row r="105" ht="15" customHeight="1">
      <c r="A105" t="inlineStr">
        <is>
          <t>A 38821-2019</t>
        </is>
      </c>
      <c r="B105" s="1" t="n">
        <v>43682</v>
      </c>
      <c r="C105" s="1" t="n">
        <v>45784</v>
      </c>
      <c r="D105" t="inlineStr">
        <is>
          <t>DALARNAS LÄN</t>
        </is>
      </c>
      <c r="E105" t="inlineStr">
        <is>
          <t>MORA</t>
        </is>
      </c>
      <c r="F105" t="inlineStr">
        <is>
          <t>Allmännings- och besparingsskogar</t>
        </is>
      </c>
      <c r="G105" t="n">
        <v>7.1</v>
      </c>
      <c r="H105" t="n">
        <v>0</v>
      </c>
      <c r="I105" t="n">
        <v>0</v>
      </c>
      <c r="J105" t="n">
        <v>0</v>
      </c>
      <c r="K105" t="n">
        <v>0</v>
      </c>
      <c r="L105" t="n">
        <v>0</v>
      </c>
      <c r="M105" t="n">
        <v>0</v>
      </c>
      <c r="N105" t="n">
        <v>0</v>
      </c>
      <c r="O105" t="n">
        <v>0</v>
      </c>
      <c r="P105" t="n">
        <v>0</v>
      </c>
      <c r="Q105" t="n">
        <v>0</v>
      </c>
      <c r="R105" s="2" t="inlineStr"/>
    </row>
    <row r="106" ht="15" customHeight="1">
      <c r="A106" t="inlineStr">
        <is>
          <t>A 38514-2019</t>
        </is>
      </c>
      <c r="B106" s="1" t="n">
        <v>43685</v>
      </c>
      <c r="C106" s="1" t="n">
        <v>45784</v>
      </c>
      <c r="D106" t="inlineStr">
        <is>
          <t>DALARNAS LÄN</t>
        </is>
      </c>
      <c r="E106" t="inlineStr">
        <is>
          <t>MORA</t>
        </is>
      </c>
      <c r="F106" t="inlineStr">
        <is>
          <t>Bergvik skog öst AB</t>
        </is>
      </c>
      <c r="G106" t="n">
        <v>7.4</v>
      </c>
      <c r="H106" t="n">
        <v>0</v>
      </c>
      <c r="I106" t="n">
        <v>0</v>
      </c>
      <c r="J106" t="n">
        <v>0</v>
      </c>
      <c r="K106" t="n">
        <v>0</v>
      </c>
      <c r="L106" t="n">
        <v>0</v>
      </c>
      <c r="M106" t="n">
        <v>0</v>
      </c>
      <c r="N106" t="n">
        <v>0</v>
      </c>
      <c r="O106" t="n">
        <v>0</v>
      </c>
      <c r="P106" t="n">
        <v>0</v>
      </c>
      <c r="Q106" t="n">
        <v>0</v>
      </c>
      <c r="R106" s="2" t="inlineStr"/>
    </row>
    <row r="107" ht="15" customHeight="1">
      <c r="A107" t="inlineStr">
        <is>
          <t>A 39809-2019</t>
        </is>
      </c>
      <c r="B107" s="1" t="n">
        <v>43692</v>
      </c>
      <c r="C107" s="1" t="n">
        <v>45784</v>
      </c>
      <c r="D107" t="inlineStr">
        <is>
          <t>DALARNAS LÄN</t>
        </is>
      </c>
      <c r="E107" t="inlineStr">
        <is>
          <t>MORA</t>
        </is>
      </c>
      <c r="F107" t="inlineStr">
        <is>
          <t>Bergvik skog öst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39811-2019</t>
        </is>
      </c>
      <c r="B108" s="1" t="n">
        <v>43692</v>
      </c>
      <c r="C108" s="1" t="n">
        <v>45784</v>
      </c>
      <c r="D108" t="inlineStr">
        <is>
          <t>DALARNAS LÄN</t>
        </is>
      </c>
      <c r="E108" t="inlineStr">
        <is>
          <t>MORA</t>
        </is>
      </c>
      <c r="F108" t="inlineStr">
        <is>
          <t>Bergvik skog öst AB</t>
        </is>
      </c>
      <c r="G108" t="n">
        <v>0.4</v>
      </c>
      <c r="H108" t="n">
        <v>0</v>
      </c>
      <c r="I108" t="n">
        <v>0</v>
      </c>
      <c r="J108" t="n">
        <v>0</v>
      </c>
      <c r="K108" t="n">
        <v>0</v>
      </c>
      <c r="L108" t="n">
        <v>0</v>
      </c>
      <c r="M108" t="n">
        <v>0</v>
      </c>
      <c r="N108" t="n">
        <v>0</v>
      </c>
      <c r="O108" t="n">
        <v>0</v>
      </c>
      <c r="P108" t="n">
        <v>0</v>
      </c>
      <c r="Q108" t="n">
        <v>0</v>
      </c>
      <c r="R108" s="2" t="inlineStr"/>
    </row>
    <row r="109" ht="15" customHeight="1">
      <c r="A109" t="inlineStr">
        <is>
          <t>A 40910-2019</t>
        </is>
      </c>
      <c r="B109" s="1" t="n">
        <v>43693</v>
      </c>
      <c r="C109" s="1" t="n">
        <v>45784</v>
      </c>
      <c r="D109" t="inlineStr">
        <is>
          <t>DALARNAS LÄN</t>
        </is>
      </c>
      <c r="E109" t="inlineStr">
        <is>
          <t>MORA</t>
        </is>
      </c>
      <c r="G109" t="n">
        <v>4.2</v>
      </c>
      <c r="H109" t="n">
        <v>0</v>
      </c>
      <c r="I109" t="n">
        <v>0</v>
      </c>
      <c r="J109" t="n">
        <v>0</v>
      </c>
      <c r="K109" t="n">
        <v>0</v>
      </c>
      <c r="L109" t="n">
        <v>0</v>
      </c>
      <c r="M109" t="n">
        <v>0</v>
      </c>
      <c r="N109" t="n">
        <v>0</v>
      </c>
      <c r="O109" t="n">
        <v>0</v>
      </c>
      <c r="P109" t="n">
        <v>0</v>
      </c>
      <c r="Q109" t="n">
        <v>0</v>
      </c>
      <c r="R109" s="2" t="inlineStr"/>
    </row>
    <row r="110" ht="15" customHeight="1">
      <c r="A110" t="inlineStr">
        <is>
          <t>A 42530-2019</t>
        </is>
      </c>
      <c r="B110" s="1" t="n">
        <v>43698</v>
      </c>
      <c r="C110" s="1" t="n">
        <v>45784</v>
      </c>
      <c r="D110" t="inlineStr">
        <is>
          <t>DALARNAS LÄN</t>
        </is>
      </c>
      <c r="E110" t="inlineStr">
        <is>
          <t>MORA</t>
        </is>
      </c>
      <c r="G110" t="n">
        <v>4.7</v>
      </c>
      <c r="H110" t="n">
        <v>0</v>
      </c>
      <c r="I110" t="n">
        <v>0</v>
      </c>
      <c r="J110" t="n">
        <v>0</v>
      </c>
      <c r="K110" t="n">
        <v>0</v>
      </c>
      <c r="L110" t="n">
        <v>0</v>
      </c>
      <c r="M110" t="n">
        <v>0</v>
      </c>
      <c r="N110" t="n">
        <v>0</v>
      </c>
      <c r="O110" t="n">
        <v>0</v>
      </c>
      <c r="P110" t="n">
        <v>0</v>
      </c>
      <c r="Q110" t="n">
        <v>0</v>
      </c>
      <c r="R110" s="2" t="inlineStr"/>
    </row>
    <row r="111" ht="15" customHeight="1">
      <c r="A111" t="inlineStr">
        <is>
          <t>A 43396-2019</t>
        </is>
      </c>
      <c r="B111" s="1" t="n">
        <v>43703</v>
      </c>
      <c r="C111" s="1" t="n">
        <v>45784</v>
      </c>
      <c r="D111" t="inlineStr">
        <is>
          <t>DALARNAS LÄN</t>
        </is>
      </c>
      <c r="E111" t="inlineStr">
        <is>
          <t>MORA</t>
        </is>
      </c>
      <c r="G111" t="n">
        <v>1.1</v>
      </c>
      <c r="H111" t="n">
        <v>0</v>
      </c>
      <c r="I111" t="n">
        <v>0</v>
      </c>
      <c r="J111" t="n">
        <v>0</v>
      </c>
      <c r="K111" t="n">
        <v>0</v>
      </c>
      <c r="L111" t="n">
        <v>0</v>
      </c>
      <c r="M111" t="n">
        <v>0</v>
      </c>
      <c r="N111" t="n">
        <v>0</v>
      </c>
      <c r="O111" t="n">
        <v>0</v>
      </c>
      <c r="P111" t="n">
        <v>0</v>
      </c>
      <c r="Q111" t="n">
        <v>0</v>
      </c>
      <c r="R111" s="2" t="inlineStr"/>
    </row>
    <row r="112" ht="15" customHeight="1">
      <c r="A112" t="inlineStr">
        <is>
          <t>A 43744-2019</t>
        </is>
      </c>
      <c r="B112" s="1" t="n">
        <v>43707</v>
      </c>
      <c r="C112" s="1" t="n">
        <v>45784</v>
      </c>
      <c r="D112" t="inlineStr">
        <is>
          <t>DALARNAS LÄN</t>
        </is>
      </c>
      <c r="E112" t="inlineStr">
        <is>
          <t>MORA</t>
        </is>
      </c>
      <c r="G112" t="n">
        <v>1.3</v>
      </c>
      <c r="H112" t="n">
        <v>0</v>
      </c>
      <c r="I112" t="n">
        <v>0</v>
      </c>
      <c r="J112" t="n">
        <v>0</v>
      </c>
      <c r="K112" t="n">
        <v>0</v>
      </c>
      <c r="L112" t="n">
        <v>0</v>
      </c>
      <c r="M112" t="n">
        <v>0</v>
      </c>
      <c r="N112" t="n">
        <v>0</v>
      </c>
      <c r="O112" t="n">
        <v>0</v>
      </c>
      <c r="P112" t="n">
        <v>0</v>
      </c>
      <c r="Q112" t="n">
        <v>0</v>
      </c>
      <c r="R112" s="2" t="inlineStr"/>
    </row>
    <row r="113" ht="15" customHeight="1">
      <c r="A113" t="inlineStr">
        <is>
          <t>A 43718-2019</t>
        </is>
      </c>
      <c r="B113" s="1" t="n">
        <v>43707</v>
      </c>
      <c r="C113" s="1" t="n">
        <v>45784</v>
      </c>
      <c r="D113" t="inlineStr">
        <is>
          <t>DALARNAS LÄN</t>
        </is>
      </c>
      <c r="E113" t="inlineStr">
        <is>
          <t>MORA</t>
        </is>
      </c>
      <c r="G113" t="n">
        <v>10.7</v>
      </c>
      <c r="H113" t="n">
        <v>0</v>
      </c>
      <c r="I113" t="n">
        <v>0</v>
      </c>
      <c r="J113" t="n">
        <v>0</v>
      </c>
      <c r="K113" t="n">
        <v>0</v>
      </c>
      <c r="L113" t="n">
        <v>0</v>
      </c>
      <c r="M113" t="n">
        <v>0</v>
      </c>
      <c r="N113" t="n">
        <v>0</v>
      </c>
      <c r="O113" t="n">
        <v>0</v>
      </c>
      <c r="P113" t="n">
        <v>0</v>
      </c>
      <c r="Q113" t="n">
        <v>0</v>
      </c>
      <c r="R113" s="2" t="inlineStr"/>
    </row>
    <row r="114" ht="15" customHeight="1">
      <c r="A114" t="inlineStr">
        <is>
          <t>A 44759-2019</t>
        </is>
      </c>
      <c r="B114" s="1" t="n">
        <v>43707</v>
      </c>
      <c r="C114" s="1" t="n">
        <v>45784</v>
      </c>
      <c r="D114" t="inlineStr">
        <is>
          <t>DALARNAS LÄN</t>
        </is>
      </c>
      <c r="E114" t="inlineStr">
        <is>
          <t>MORA</t>
        </is>
      </c>
      <c r="F114" t="inlineStr">
        <is>
          <t>Allmännings- och besparingsskogar</t>
        </is>
      </c>
      <c r="G114" t="n">
        <v>6.8</v>
      </c>
      <c r="H114" t="n">
        <v>0</v>
      </c>
      <c r="I114" t="n">
        <v>0</v>
      </c>
      <c r="J114" t="n">
        <v>0</v>
      </c>
      <c r="K114" t="n">
        <v>0</v>
      </c>
      <c r="L114" t="n">
        <v>0</v>
      </c>
      <c r="M114" t="n">
        <v>0</v>
      </c>
      <c r="N114" t="n">
        <v>0</v>
      </c>
      <c r="O114" t="n">
        <v>0</v>
      </c>
      <c r="P114" t="n">
        <v>0</v>
      </c>
      <c r="Q114" t="n">
        <v>0</v>
      </c>
      <c r="R114" s="2" t="inlineStr"/>
    </row>
    <row r="115" ht="15" customHeight="1">
      <c r="A115" t="inlineStr">
        <is>
          <t>A 44766-2019</t>
        </is>
      </c>
      <c r="B115" s="1" t="n">
        <v>43707</v>
      </c>
      <c r="C115" s="1" t="n">
        <v>45784</v>
      </c>
      <c r="D115" t="inlineStr">
        <is>
          <t>DALARNAS LÄN</t>
        </is>
      </c>
      <c r="E115" t="inlineStr">
        <is>
          <t>MORA</t>
        </is>
      </c>
      <c r="F115" t="inlineStr">
        <is>
          <t>Allmännings- och besparingsskogar</t>
        </is>
      </c>
      <c r="G115" t="n">
        <v>32.2</v>
      </c>
      <c r="H115" t="n">
        <v>0</v>
      </c>
      <c r="I115" t="n">
        <v>0</v>
      </c>
      <c r="J115" t="n">
        <v>0</v>
      </c>
      <c r="K115" t="n">
        <v>0</v>
      </c>
      <c r="L115" t="n">
        <v>0</v>
      </c>
      <c r="M115" t="n">
        <v>0</v>
      </c>
      <c r="N115" t="n">
        <v>0</v>
      </c>
      <c r="O115" t="n">
        <v>0</v>
      </c>
      <c r="P115" t="n">
        <v>0</v>
      </c>
      <c r="Q115" t="n">
        <v>0</v>
      </c>
      <c r="R115" s="2" t="inlineStr"/>
    </row>
    <row r="116" ht="15" customHeight="1">
      <c r="A116" t="inlineStr">
        <is>
          <t>A 45989-2019</t>
        </is>
      </c>
      <c r="B116" s="1" t="n">
        <v>43718</v>
      </c>
      <c r="C116" s="1" t="n">
        <v>45784</v>
      </c>
      <c r="D116" t="inlineStr">
        <is>
          <t>DALARNAS LÄN</t>
        </is>
      </c>
      <c r="E116" t="inlineStr">
        <is>
          <t>MORA</t>
        </is>
      </c>
      <c r="G116" t="n">
        <v>12.9</v>
      </c>
      <c r="H116" t="n">
        <v>0</v>
      </c>
      <c r="I116" t="n">
        <v>0</v>
      </c>
      <c r="J116" t="n">
        <v>0</v>
      </c>
      <c r="K116" t="n">
        <v>0</v>
      </c>
      <c r="L116" t="n">
        <v>0</v>
      </c>
      <c r="M116" t="n">
        <v>0</v>
      </c>
      <c r="N116" t="n">
        <v>0</v>
      </c>
      <c r="O116" t="n">
        <v>0</v>
      </c>
      <c r="P116" t="n">
        <v>0</v>
      </c>
      <c r="Q116" t="n">
        <v>0</v>
      </c>
      <c r="R116" s="2" t="inlineStr"/>
    </row>
    <row r="117" ht="15" customHeight="1">
      <c r="A117" t="inlineStr">
        <is>
          <t>A 46119-2019</t>
        </is>
      </c>
      <c r="B117" s="1" t="n">
        <v>43718</v>
      </c>
      <c r="C117" s="1" t="n">
        <v>45784</v>
      </c>
      <c r="D117" t="inlineStr">
        <is>
          <t>DALARNAS LÄN</t>
        </is>
      </c>
      <c r="E117" t="inlineStr">
        <is>
          <t>MORA</t>
        </is>
      </c>
      <c r="G117" t="n">
        <v>3.2</v>
      </c>
      <c r="H117" t="n">
        <v>0</v>
      </c>
      <c r="I117" t="n">
        <v>0</v>
      </c>
      <c r="J117" t="n">
        <v>0</v>
      </c>
      <c r="K117" t="n">
        <v>0</v>
      </c>
      <c r="L117" t="n">
        <v>0</v>
      </c>
      <c r="M117" t="n">
        <v>0</v>
      </c>
      <c r="N117" t="n">
        <v>0</v>
      </c>
      <c r="O117" t="n">
        <v>0</v>
      </c>
      <c r="P117" t="n">
        <v>0</v>
      </c>
      <c r="Q117" t="n">
        <v>0</v>
      </c>
      <c r="R117" s="2" t="inlineStr"/>
    </row>
    <row r="118" ht="15" customHeight="1">
      <c r="A118" t="inlineStr">
        <is>
          <t>A 46171-2019</t>
        </is>
      </c>
      <c r="B118" s="1" t="n">
        <v>43718</v>
      </c>
      <c r="C118" s="1" t="n">
        <v>45784</v>
      </c>
      <c r="D118" t="inlineStr">
        <is>
          <t>DALARNAS LÄN</t>
        </is>
      </c>
      <c r="E118" t="inlineStr">
        <is>
          <t>MORA</t>
        </is>
      </c>
      <c r="G118" t="n">
        <v>6.1</v>
      </c>
      <c r="H118" t="n">
        <v>0</v>
      </c>
      <c r="I118" t="n">
        <v>0</v>
      </c>
      <c r="J118" t="n">
        <v>0</v>
      </c>
      <c r="K118" t="n">
        <v>0</v>
      </c>
      <c r="L118" t="n">
        <v>0</v>
      </c>
      <c r="M118" t="n">
        <v>0</v>
      </c>
      <c r="N118" t="n">
        <v>0</v>
      </c>
      <c r="O118" t="n">
        <v>0</v>
      </c>
      <c r="P118" t="n">
        <v>0</v>
      </c>
      <c r="Q118" t="n">
        <v>0</v>
      </c>
      <c r="R118" s="2" t="inlineStr"/>
    </row>
    <row r="119" ht="15" customHeight="1">
      <c r="A119" t="inlineStr">
        <is>
          <t>A 47713-2019</t>
        </is>
      </c>
      <c r="B119" s="1" t="n">
        <v>43724</v>
      </c>
      <c r="C119" s="1" t="n">
        <v>45784</v>
      </c>
      <c r="D119" t="inlineStr">
        <is>
          <t>DALARNAS LÄN</t>
        </is>
      </c>
      <c r="E119" t="inlineStr">
        <is>
          <t>MORA</t>
        </is>
      </c>
      <c r="G119" t="n">
        <v>11.4</v>
      </c>
      <c r="H119" t="n">
        <v>0</v>
      </c>
      <c r="I119" t="n">
        <v>0</v>
      </c>
      <c r="J119" t="n">
        <v>0</v>
      </c>
      <c r="K119" t="n">
        <v>0</v>
      </c>
      <c r="L119" t="n">
        <v>0</v>
      </c>
      <c r="M119" t="n">
        <v>0</v>
      </c>
      <c r="N119" t="n">
        <v>0</v>
      </c>
      <c r="O119" t="n">
        <v>0</v>
      </c>
      <c r="P119" t="n">
        <v>0</v>
      </c>
      <c r="Q119" t="n">
        <v>0</v>
      </c>
      <c r="R119" s="2" t="inlineStr"/>
    </row>
    <row r="120" ht="15" customHeight="1">
      <c r="A120" t="inlineStr">
        <is>
          <t>A 49193-2019</t>
        </is>
      </c>
      <c r="B120" s="1" t="n">
        <v>43724</v>
      </c>
      <c r="C120" s="1" t="n">
        <v>45784</v>
      </c>
      <c r="D120" t="inlineStr">
        <is>
          <t>DALARNAS LÄN</t>
        </is>
      </c>
      <c r="E120" t="inlineStr">
        <is>
          <t>MORA</t>
        </is>
      </c>
      <c r="G120" t="n">
        <v>4.3</v>
      </c>
      <c r="H120" t="n">
        <v>0</v>
      </c>
      <c r="I120" t="n">
        <v>0</v>
      </c>
      <c r="J120" t="n">
        <v>0</v>
      </c>
      <c r="K120" t="n">
        <v>0</v>
      </c>
      <c r="L120" t="n">
        <v>0</v>
      </c>
      <c r="M120" t="n">
        <v>0</v>
      </c>
      <c r="N120" t="n">
        <v>0</v>
      </c>
      <c r="O120" t="n">
        <v>0</v>
      </c>
      <c r="P120" t="n">
        <v>0</v>
      </c>
      <c r="Q120" t="n">
        <v>0</v>
      </c>
      <c r="R120" s="2" t="inlineStr"/>
    </row>
    <row r="121" ht="15" customHeight="1">
      <c r="A121" t="inlineStr">
        <is>
          <t>A 48445-2019</t>
        </is>
      </c>
      <c r="B121" s="1" t="n">
        <v>43727</v>
      </c>
      <c r="C121" s="1" t="n">
        <v>45784</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48460-2019</t>
        </is>
      </c>
      <c r="B122" s="1" t="n">
        <v>43727</v>
      </c>
      <c r="C122" s="1" t="n">
        <v>45784</v>
      </c>
      <c r="D122" t="inlineStr">
        <is>
          <t>DALARNAS LÄN</t>
        </is>
      </c>
      <c r="E122" t="inlineStr">
        <is>
          <t>MORA</t>
        </is>
      </c>
      <c r="G122" t="n">
        <v>1.2</v>
      </c>
      <c r="H122" t="n">
        <v>0</v>
      </c>
      <c r="I122" t="n">
        <v>0</v>
      </c>
      <c r="J122" t="n">
        <v>0</v>
      </c>
      <c r="K122" t="n">
        <v>0</v>
      </c>
      <c r="L122" t="n">
        <v>0</v>
      </c>
      <c r="M122" t="n">
        <v>0</v>
      </c>
      <c r="N122" t="n">
        <v>0</v>
      </c>
      <c r="O122" t="n">
        <v>0</v>
      </c>
      <c r="P122" t="n">
        <v>0</v>
      </c>
      <c r="Q122" t="n">
        <v>0</v>
      </c>
      <c r="R122" s="2" t="inlineStr"/>
    </row>
    <row r="123" ht="15" customHeight="1">
      <c r="A123" t="inlineStr">
        <is>
          <t>A 49051-2019</t>
        </is>
      </c>
      <c r="B123" s="1" t="n">
        <v>43731</v>
      </c>
      <c r="C123" s="1" t="n">
        <v>45784</v>
      </c>
      <c r="D123" t="inlineStr">
        <is>
          <t>DALARNAS LÄN</t>
        </is>
      </c>
      <c r="E123" t="inlineStr">
        <is>
          <t>MORA</t>
        </is>
      </c>
      <c r="G123" t="n">
        <v>16</v>
      </c>
      <c r="H123" t="n">
        <v>0</v>
      </c>
      <c r="I123" t="n">
        <v>0</v>
      </c>
      <c r="J123" t="n">
        <v>0</v>
      </c>
      <c r="K123" t="n">
        <v>0</v>
      </c>
      <c r="L123" t="n">
        <v>0</v>
      </c>
      <c r="M123" t="n">
        <v>0</v>
      </c>
      <c r="N123" t="n">
        <v>0</v>
      </c>
      <c r="O123" t="n">
        <v>0</v>
      </c>
      <c r="P123" t="n">
        <v>0</v>
      </c>
      <c r="Q123" t="n">
        <v>0</v>
      </c>
      <c r="R123" s="2" t="inlineStr"/>
    </row>
    <row r="124" ht="15" customHeight="1">
      <c r="A124" t="inlineStr">
        <is>
          <t>A 49290-2019</t>
        </is>
      </c>
      <c r="B124" s="1" t="n">
        <v>43731</v>
      </c>
      <c r="C124" s="1" t="n">
        <v>45784</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49765-2019</t>
        </is>
      </c>
      <c r="B125" s="1" t="n">
        <v>43733</v>
      </c>
      <c r="C125" s="1" t="n">
        <v>45784</v>
      </c>
      <c r="D125" t="inlineStr">
        <is>
          <t>DALARNAS LÄN</t>
        </is>
      </c>
      <c r="E125" t="inlineStr">
        <is>
          <t>MORA</t>
        </is>
      </c>
      <c r="F125" t="inlineStr">
        <is>
          <t>Bergvik skog väst AB</t>
        </is>
      </c>
      <c r="G125" t="n">
        <v>9.6</v>
      </c>
      <c r="H125" t="n">
        <v>0</v>
      </c>
      <c r="I125" t="n">
        <v>0</v>
      </c>
      <c r="J125" t="n">
        <v>0</v>
      </c>
      <c r="K125" t="n">
        <v>0</v>
      </c>
      <c r="L125" t="n">
        <v>0</v>
      </c>
      <c r="M125" t="n">
        <v>0</v>
      </c>
      <c r="N125" t="n">
        <v>0</v>
      </c>
      <c r="O125" t="n">
        <v>0</v>
      </c>
      <c r="P125" t="n">
        <v>0</v>
      </c>
      <c r="Q125" t="n">
        <v>0</v>
      </c>
      <c r="R125" s="2" t="inlineStr"/>
    </row>
    <row r="126" ht="15" customHeight="1">
      <c r="A126" t="inlineStr">
        <is>
          <t>A 52958-2019</t>
        </is>
      </c>
      <c r="B126" s="1" t="n">
        <v>43747</v>
      </c>
      <c r="C126" s="1" t="n">
        <v>45784</v>
      </c>
      <c r="D126" t="inlineStr">
        <is>
          <t>DALARNAS LÄN</t>
        </is>
      </c>
      <c r="E126" t="inlineStr">
        <is>
          <t>MORA</t>
        </is>
      </c>
      <c r="G126" t="n">
        <v>6.8</v>
      </c>
      <c r="H126" t="n">
        <v>0</v>
      </c>
      <c r="I126" t="n">
        <v>0</v>
      </c>
      <c r="J126" t="n">
        <v>0</v>
      </c>
      <c r="K126" t="n">
        <v>0</v>
      </c>
      <c r="L126" t="n">
        <v>0</v>
      </c>
      <c r="M126" t="n">
        <v>0</v>
      </c>
      <c r="N126" t="n">
        <v>0</v>
      </c>
      <c r="O126" t="n">
        <v>0</v>
      </c>
      <c r="P126" t="n">
        <v>0</v>
      </c>
      <c r="Q126" t="n">
        <v>0</v>
      </c>
      <c r="R126" s="2" t="inlineStr"/>
    </row>
    <row r="127" ht="15" customHeight="1">
      <c r="A127" t="inlineStr">
        <is>
          <t>A 53336-2019</t>
        </is>
      </c>
      <c r="B127" s="1" t="n">
        <v>43748</v>
      </c>
      <c r="C127" s="1" t="n">
        <v>45784</v>
      </c>
      <c r="D127" t="inlineStr">
        <is>
          <t>DALARNAS LÄN</t>
        </is>
      </c>
      <c r="E127" t="inlineStr">
        <is>
          <t>MORA</t>
        </is>
      </c>
      <c r="G127" t="n">
        <v>4.4</v>
      </c>
      <c r="H127" t="n">
        <v>0</v>
      </c>
      <c r="I127" t="n">
        <v>0</v>
      </c>
      <c r="J127" t="n">
        <v>0</v>
      </c>
      <c r="K127" t="n">
        <v>0</v>
      </c>
      <c r="L127" t="n">
        <v>0</v>
      </c>
      <c r="M127" t="n">
        <v>0</v>
      </c>
      <c r="N127" t="n">
        <v>0</v>
      </c>
      <c r="O127" t="n">
        <v>0</v>
      </c>
      <c r="P127" t="n">
        <v>0</v>
      </c>
      <c r="Q127" t="n">
        <v>0</v>
      </c>
      <c r="R127" s="2" t="inlineStr"/>
    </row>
    <row r="128" ht="15" customHeight="1">
      <c r="A128" t="inlineStr">
        <is>
          <t>A 54605-2019</t>
        </is>
      </c>
      <c r="B128" s="1" t="n">
        <v>43754</v>
      </c>
      <c r="C128" s="1" t="n">
        <v>45784</v>
      </c>
      <c r="D128" t="inlineStr">
        <is>
          <t>DALARNAS LÄN</t>
        </is>
      </c>
      <c r="E128" t="inlineStr">
        <is>
          <t>MORA</t>
        </is>
      </c>
      <c r="F128" t="inlineStr">
        <is>
          <t>Övriga Aktiebolag</t>
        </is>
      </c>
      <c r="G128" t="n">
        <v>12.7</v>
      </c>
      <c r="H128" t="n">
        <v>0</v>
      </c>
      <c r="I128" t="n">
        <v>0</v>
      </c>
      <c r="J128" t="n">
        <v>0</v>
      </c>
      <c r="K128" t="n">
        <v>0</v>
      </c>
      <c r="L128" t="n">
        <v>0</v>
      </c>
      <c r="M128" t="n">
        <v>0</v>
      </c>
      <c r="N128" t="n">
        <v>0</v>
      </c>
      <c r="O128" t="n">
        <v>0</v>
      </c>
      <c r="P128" t="n">
        <v>0</v>
      </c>
      <c r="Q128" t="n">
        <v>0</v>
      </c>
      <c r="R128" s="2" t="inlineStr"/>
    </row>
    <row r="129" ht="15" customHeight="1">
      <c r="A129" t="inlineStr">
        <is>
          <t>A 56145-2019</t>
        </is>
      </c>
      <c r="B129" s="1" t="n">
        <v>43761</v>
      </c>
      <c r="C129" s="1" t="n">
        <v>45784</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57254-2019</t>
        </is>
      </c>
      <c r="B130" s="1" t="n">
        <v>43767</v>
      </c>
      <c r="C130" s="1" t="n">
        <v>45784</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57640-2019</t>
        </is>
      </c>
      <c r="B131" s="1" t="n">
        <v>43768</v>
      </c>
      <c r="C131" s="1" t="n">
        <v>45784</v>
      </c>
      <c r="D131" t="inlineStr">
        <is>
          <t>DALARNAS LÄN</t>
        </is>
      </c>
      <c r="E131" t="inlineStr">
        <is>
          <t>MORA</t>
        </is>
      </c>
      <c r="G131" t="n">
        <v>2.8</v>
      </c>
      <c r="H131" t="n">
        <v>0</v>
      </c>
      <c r="I131" t="n">
        <v>0</v>
      </c>
      <c r="J131" t="n">
        <v>0</v>
      </c>
      <c r="K131" t="n">
        <v>0</v>
      </c>
      <c r="L131" t="n">
        <v>0</v>
      </c>
      <c r="M131" t="n">
        <v>0</v>
      </c>
      <c r="N131" t="n">
        <v>0</v>
      </c>
      <c r="O131" t="n">
        <v>0</v>
      </c>
      <c r="P131" t="n">
        <v>0</v>
      </c>
      <c r="Q131" t="n">
        <v>0</v>
      </c>
      <c r="R131" s="2" t="inlineStr"/>
    </row>
    <row r="132" ht="15" customHeight="1">
      <c r="A132" t="inlineStr">
        <is>
          <t>A 57989-2019</t>
        </is>
      </c>
      <c r="B132" s="1" t="n">
        <v>43769</v>
      </c>
      <c r="C132" s="1" t="n">
        <v>45784</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57984-2019</t>
        </is>
      </c>
      <c r="B133" s="1" t="n">
        <v>43769</v>
      </c>
      <c r="C133" s="1" t="n">
        <v>45784</v>
      </c>
      <c r="D133" t="inlineStr">
        <is>
          <t>DALARNAS LÄN</t>
        </is>
      </c>
      <c r="E133" t="inlineStr">
        <is>
          <t>MORA</t>
        </is>
      </c>
      <c r="G133" t="n">
        <v>1</v>
      </c>
      <c r="H133" t="n">
        <v>0</v>
      </c>
      <c r="I133" t="n">
        <v>0</v>
      </c>
      <c r="J133" t="n">
        <v>0</v>
      </c>
      <c r="K133" t="n">
        <v>0</v>
      </c>
      <c r="L133" t="n">
        <v>0</v>
      </c>
      <c r="M133" t="n">
        <v>0</v>
      </c>
      <c r="N133" t="n">
        <v>0</v>
      </c>
      <c r="O133" t="n">
        <v>0</v>
      </c>
      <c r="P133" t="n">
        <v>0</v>
      </c>
      <c r="Q133" t="n">
        <v>0</v>
      </c>
      <c r="R133" s="2" t="inlineStr"/>
    </row>
    <row r="134" ht="15" customHeight="1">
      <c r="A134" t="inlineStr">
        <is>
          <t>A 58335-2019</t>
        </is>
      </c>
      <c r="B134" s="1" t="n">
        <v>43770</v>
      </c>
      <c r="C134" s="1" t="n">
        <v>45784</v>
      </c>
      <c r="D134" t="inlineStr">
        <is>
          <t>DALARNAS LÄN</t>
        </is>
      </c>
      <c r="E134" t="inlineStr">
        <is>
          <t>MORA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61077-2019</t>
        </is>
      </c>
      <c r="B135" s="1" t="n">
        <v>43782</v>
      </c>
      <c r="C135" s="1" t="n">
        <v>45784</v>
      </c>
      <c r="D135" t="inlineStr">
        <is>
          <t>DALARNAS LÄN</t>
        </is>
      </c>
      <c r="E135" t="inlineStr">
        <is>
          <t>MORA</t>
        </is>
      </c>
      <c r="F135" t="inlineStr">
        <is>
          <t>Bergvik skog öst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61063-2019</t>
        </is>
      </c>
      <c r="B136" s="1" t="n">
        <v>43782</v>
      </c>
      <c r="C136" s="1" t="n">
        <v>45784</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61324-2019</t>
        </is>
      </c>
      <c r="B137" s="1" t="n">
        <v>43783</v>
      </c>
      <c r="C137" s="1" t="n">
        <v>45784</v>
      </c>
      <c r="D137" t="inlineStr">
        <is>
          <t>DALARNAS LÄN</t>
        </is>
      </c>
      <c r="E137" t="inlineStr">
        <is>
          <t>MORA</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61646-2019</t>
        </is>
      </c>
      <c r="B138" s="1" t="n">
        <v>43784</v>
      </c>
      <c r="C138" s="1" t="n">
        <v>45784</v>
      </c>
      <c r="D138" t="inlineStr">
        <is>
          <t>DALARNAS LÄN</t>
        </is>
      </c>
      <c r="E138" t="inlineStr">
        <is>
          <t>MORA</t>
        </is>
      </c>
      <c r="G138" t="n">
        <v>1.2</v>
      </c>
      <c r="H138" t="n">
        <v>0</v>
      </c>
      <c r="I138" t="n">
        <v>0</v>
      </c>
      <c r="J138" t="n">
        <v>0</v>
      </c>
      <c r="K138" t="n">
        <v>0</v>
      </c>
      <c r="L138" t="n">
        <v>0</v>
      </c>
      <c r="M138" t="n">
        <v>0</v>
      </c>
      <c r="N138" t="n">
        <v>0</v>
      </c>
      <c r="O138" t="n">
        <v>0</v>
      </c>
      <c r="P138" t="n">
        <v>0</v>
      </c>
      <c r="Q138" t="n">
        <v>0</v>
      </c>
      <c r="R138" s="2" t="inlineStr"/>
    </row>
    <row r="139" ht="15" customHeight="1">
      <c r="A139" t="inlineStr">
        <is>
          <t>A 62001-2019</t>
        </is>
      </c>
      <c r="B139" s="1" t="n">
        <v>43787</v>
      </c>
      <c r="C139" s="1" t="n">
        <v>45784</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63093-2019</t>
        </is>
      </c>
      <c r="B140" s="1" t="n">
        <v>43791</v>
      </c>
      <c r="C140" s="1" t="n">
        <v>45784</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63072-2019</t>
        </is>
      </c>
      <c r="B141" s="1" t="n">
        <v>43791</v>
      </c>
      <c r="C141" s="1" t="n">
        <v>45784</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63655-2019</t>
        </is>
      </c>
      <c r="B142" s="1" t="n">
        <v>43795</v>
      </c>
      <c r="C142" s="1" t="n">
        <v>45784</v>
      </c>
      <c r="D142" t="inlineStr">
        <is>
          <t>DALARNAS LÄN</t>
        </is>
      </c>
      <c r="E142" t="inlineStr">
        <is>
          <t>MORA</t>
        </is>
      </c>
      <c r="F142" t="inlineStr">
        <is>
          <t>Bergvik skog väst AB</t>
        </is>
      </c>
      <c r="G142" t="n">
        <v>1.5</v>
      </c>
      <c r="H142" t="n">
        <v>0</v>
      </c>
      <c r="I142" t="n">
        <v>0</v>
      </c>
      <c r="J142" t="n">
        <v>0</v>
      </c>
      <c r="K142" t="n">
        <v>0</v>
      </c>
      <c r="L142" t="n">
        <v>0</v>
      </c>
      <c r="M142" t="n">
        <v>0</v>
      </c>
      <c r="N142" t="n">
        <v>0</v>
      </c>
      <c r="O142" t="n">
        <v>0</v>
      </c>
      <c r="P142" t="n">
        <v>0</v>
      </c>
      <c r="Q142" t="n">
        <v>0</v>
      </c>
      <c r="R142" s="2" t="inlineStr"/>
    </row>
    <row r="143" ht="15" customHeight="1">
      <c r="A143" t="inlineStr">
        <is>
          <t>A 65090-2019</t>
        </is>
      </c>
      <c r="B143" s="1" t="n">
        <v>43802</v>
      </c>
      <c r="C143" s="1" t="n">
        <v>45784</v>
      </c>
      <c r="D143" t="inlineStr">
        <is>
          <t>DALARNAS LÄN</t>
        </is>
      </c>
      <c r="E143" t="inlineStr">
        <is>
          <t>MORA</t>
        </is>
      </c>
      <c r="G143" t="n">
        <v>0.6</v>
      </c>
      <c r="H143" t="n">
        <v>0</v>
      </c>
      <c r="I143" t="n">
        <v>0</v>
      </c>
      <c r="J143" t="n">
        <v>0</v>
      </c>
      <c r="K143" t="n">
        <v>0</v>
      </c>
      <c r="L143" t="n">
        <v>0</v>
      </c>
      <c r="M143" t="n">
        <v>0</v>
      </c>
      <c r="N143" t="n">
        <v>0</v>
      </c>
      <c r="O143" t="n">
        <v>0</v>
      </c>
      <c r="P143" t="n">
        <v>0</v>
      </c>
      <c r="Q143" t="n">
        <v>0</v>
      </c>
      <c r="R143" s="2" t="inlineStr"/>
    </row>
    <row r="144" ht="15" customHeight="1">
      <c r="A144" t="inlineStr">
        <is>
          <t>A 65460-2019</t>
        </is>
      </c>
      <c r="B144" s="1" t="n">
        <v>43803</v>
      </c>
      <c r="C144" s="1" t="n">
        <v>45784</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65633-2019</t>
        </is>
      </c>
      <c r="B145" s="1" t="n">
        <v>43804</v>
      </c>
      <c r="C145" s="1" t="n">
        <v>45784</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66214-2019</t>
        </is>
      </c>
      <c r="B146" s="1" t="n">
        <v>43808</v>
      </c>
      <c r="C146" s="1" t="n">
        <v>45784</v>
      </c>
      <c r="D146" t="inlineStr">
        <is>
          <t>DALARNAS LÄN</t>
        </is>
      </c>
      <c r="E146" t="inlineStr">
        <is>
          <t>MORA</t>
        </is>
      </c>
      <c r="G146" t="n">
        <v>5.8</v>
      </c>
      <c r="H146" t="n">
        <v>0</v>
      </c>
      <c r="I146" t="n">
        <v>0</v>
      </c>
      <c r="J146" t="n">
        <v>0</v>
      </c>
      <c r="K146" t="n">
        <v>0</v>
      </c>
      <c r="L146" t="n">
        <v>0</v>
      </c>
      <c r="M146" t="n">
        <v>0</v>
      </c>
      <c r="N146" t="n">
        <v>0</v>
      </c>
      <c r="O146" t="n">
        <v>0</v>
      </c>
      <c r="P146" t="n">
        <v>0</v>
      </c>
      <c r="Q146" t="n">
        <v>0</v>
      </c>
      <c r="R146" s="2" t="inlineStr"/>
    </row>
    <row r="147" ht="15" customHeight="1">
      <c r="A147" t="inlineStr">
        <is>
          <t>A 66873-2019</t>
        </is>
      </c>
      <c r="B147" s="1" t="n">
        <v>43810</v>
      </c>
      <c r="C147" s="1" t="n">
        <v>45784</v>
      </c>
      <c r="D147" t="inlineStr">
        <is>
          <t>DALARNAS LÄN</t>
        </is>
      </c>
      <c r="E147" t="inlineStr">
        <is>
          <t>MORA</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66868-2019</t>
        </is>
      </c>
      <c r="B148" s="1" t="n">
        <v>43810</v>
      </c>
      <c r="C148" s="1" t="n">
        <v>45784</v>
      </c>
      <c r="D148" t="inlineStr">
        <is>
          <t>DALARNAS LÄN</t>
        </is>
      </c>
      <c r="E148" t="inlineStr">
        <is>
          <t>MORA</t>
        </is>
      </c>
      <c r="G148" t="n">
        <v>3.3</v>
      </c>
      <c r="H148" t="n">
        <v>0</v>
      </c>
      <c r="I148" t="n">
        <v>0</v>
      </c>
      <c r="J148" t="n">
        <v>0</v>
      </c>
      <c r="K148" t="n">
        <v>0</v>
      </c>
      <c r="L148" t="n">
        <v>0</v>
      </c>
      <c r="M148" t="n">
        <v>0</v>
      </c>
      <c r="N148" t="n">
        <v>0</v>
      </c>
      <c r="O148" t="n">
        <v>0</v>
      </c>
      <c r="P148" t="n">
        <v>0</v>
      </c>
      <c r="Q148" t="n">
        <v>0</v>
      </c>
      <c r="R148" s="2" t="inlineStr"/>
    </row>
    <row r="149" ht="15" customHeight="1">
      <c r="A149" t="inlineStr">
        <is>
          <t>A 66878-2019</t>
        </is>
      </c>
      <c r="B149" s="1" t="n">
        <v>43810</v>
      </c>
      <c r="C149" s="1" t="n">
        <v>45784</v>
      </c>
      <c r="D149" t="inlineStr">
        <is>
          <t>DALARNAS LÄN</t>
        </is>
      </c>
      <c r="E149" t="inlineStr">
        <is>
          <t>MORA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67986-2019</t>
        </is>
      </c>
      <c r="B150" s="1" t="n">
        <v>43811</v>
      </c>
      <c r="C150" s="1" t="n">
        <v>45784</v>
      </c>
      <c r="D150" t="inlineStr">
        <is>
          <t>DALARNAS LÄN</t>
        </is>
      </c>
      <c r="E150" t="inlineStr">
        <is>
          <t>MORA</t>
        </is>
      </c>
      <c r="G150" t="n">
        <v>3.8</v>
      </c>
      <c r="H150" t="n">
        <v>0</v>
      </c>
      <c r="I150" t="n">
        <v>0</v>
      </c>
      <c r="J150" t="n">
        <v>0</v>
      </c>
      <c r="K150" t="n">
        <v>0</v>
      </c>
      <c r="L150" t="n">
        <v>0</v>
      </c>
      <c r="M150" t="n">
        <v>0</v>
      </c>
      <c r="N150" t="n">
        <v>0</v>
      </c>
      <c r="O150" t="n">
        <v>0</v>
      </c>
      <c r="P150" t="n">
        <v>0</v>
      </c>
      <c r="Q150" t="n">
        <v>0</v>
      </c>
      <c r="R150" s="2" t="inlineStr"/>
    </row>
    <row r="151" ht="15" customHeight="1">
      <c r="A151" t="inlineStr">
        <is>
          <t>A 67633-2019</t>
        </is>
      </c>
      <c r="B151" s="1" t="n">
        <v>43815</v>
      </c>
      <c r="C151" s="1" t="n">
        <v>45784</v>
      </c>
      <c r="D151" t="inlineStr">
        <is>
          <t>DALARNAS LÄN</t>
        </is>
      </c>
      <c r="E151" t="inlineStr">
        <is>
          <t>MORA</t>
        </is>
      </c>
      <c r="G151" t="n">
        <v>4.7</v>
      </c>
      <c r="H151" t="n">
        <v>0</v>
      </c>
      <c r="I151" t="n">
        <v>0</v>
      </c>
      <c r="J151" t="n">
        <v>0</v>
      </c>
      <c r="K151" t="n">
        <v>0</v>
      </c>
      <c r="L151" t="n">
        <v>0</v>
      </c>
      <c r="M151" t="n">
        <v>0</v>
      </c>
      <c r="N151" t="n">
        <v>0</v>
      </c>
      <c r="O151" t="n">
        <v>0</v>
      </c>
      <c r="P151" t="n">
        <v>0</v>
      </c>
      <c r="Q151" t="n">
        <v>0</v>
      </c>
      <c r="R151" s="2" t="inlineStr"/>
    </row>
    <row r="152" ht="15" customHeight="1">
      <c r="A152" t="inlineStr">
        <is>
          <t>A 564-2020</t>
        </is>
      </c>
      <c r="B152" s="1" t="n">
        <v>43817</v>
      </c>
      <c r="C152" s="1" t="n">
        <v>45784</v>
      </c>
      <c r="D152" t="inlineStr">
        <is>
          <t>DALARNAS LÄN</t>
        </is>
      </c>
      <c r="E152" t="inlineStr">
        <is>
          <t>MORA</t>
        </is>
      </c>
      <c r="F152" t="inlineStr">
        <is>
          <t>Kommuner</t>
        </is>
      </c>
      <c r="G152" t="n">
        <v>56.1</v>
      </c>
      <c r="H152" t="n">
        <v>0</v>
      </c>
      <c r="I152" t="n">
        <v>0</v>
      </c>
      <c r="J152" t="n">
        <v>0</v>
      </c>
      <c r="K152" t="n">
        <v>0</v>
      </c>
      <c r="L152" t="n">
        <v>0</v>
      </c>
      <c r="M152" t="n">
        <v>0</v>
      </c>
      <c r="N152" t="n">
        <v>0</v>
      </c>
      <c r="O152" t="n">
        <v>0</v>
      </c>
      <c r="P152" t="n">
        <v>0</v>
      </c>
      <c r="Q152" t="n">
        <v>0</v>
      </c>
      <c r="R152" s="2" t="inlineStr"/>
    </row>
    <row r="153" ht="15" customHeight="1">
      <c r="A153" t="inlineStr">
        <is>
          <t>A 68092-2019</t>
        </is>
      </c>
      <c r="B153" s="1" t="n">
        <v>43817</v>
      </c>
      <c r="C153" s="1" t="n">
        <v>45784</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1506-2020</t>
        </is>
      </c>
      <c r="B154" s="1" t="n">
        <v>43826</v>
      </c>
      <c r="C154" s="1" t="n">
        <v>45784</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472-2020</t>
        </is>
      </c>
      <c r="B155" s="1" t="n">
        <v>43837</v>
      </c>
      <c r="C155" s="1" t="n">
        <v>45784</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1841-2020</t>
        </is>
      </c>
      <c r="B156" s="1" t="n">
        <v>43844</v>
      </c>
      <c r="C156" s="1" t="n">
        <v>45784</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3588-2020</t>
        </is>
      </c>
      <c r="B157" s="1" t="n">
        <v>43845</v>
      </c>
      <c r="C157" s="1" t="n">
        <v>45784</v>
      </c>
      <c r="D157" t="inlineStr">
        <is>
          <t>DALARNAS LÄN</t>
        </is>
      </c>
      <c r="E157" t="inlineStr">
        <is>
          <t>MORA</t>
        </is>
      </c>
      <c r="G157" t="n">
        <v>3</v>
      </c>
      <c r="H157" t="n">
        <v>0</v>
      </c>
      <c r="I157" t="n">
        <v>0</v>
      </c>
      <c r="J157" t="n">
        <v>0</v>
      </c>
      <c r="K157" t="n">
        <v>0</v>
      </c>
      <c r="L157" t="n">
        <v>0</v>
      </c>
      <c r="M157" t="n">
        <v>0</v>
      </c>
      <c r="N157" t="n">
        <v>0</v>
      </c>
      <c r="O157" t="n">
        <v>0</v>
      </c>
      <c r="P157" t="n">
        <v>0</v>
      </c>
      <c r="Q157" t="n">
        <v>0</v>
      </c>
      <c r="R157" s="2" t="inlineStr"/>
    </row>
    <row r="158" ht="15" customHeight="1">
      <c r="A158" t="inlineStr">
        <is>
          <t>A 4106-2020</t>
        </is>
      </c>
      <c r="B158" s="1" t="n">
        <v>43857</v>
      </c>
      <c r="C158" s="1" t="n">
        <v>45784</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4818-2020</t>
        </is>
      </c>
      <c r="B159" s="1" t="n">
        <v>43859</v>
      </c>
      <c r="C159" s="1" t="n">
        <v>45784</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6012-2020</t>
        </is>
      </c>
      <c r="B160" s="1" t="n">
        <v>43865</v>
      </c>
      <c r="C160" s="1" t="n">
        <v>45784</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7093-2020</t>
        </is>
      </c>
      <c r="B161" s="1" t="n">
        <v>43868</v>
      </c>
      <c r="C161" s="1" t="n">
        <v>45784</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7382-2020</t>
        </is>
      </c>
      <c r="B162" s="1" t="n">
        <v>43871</v>
      </c>
      <c r="C162" s="1" t="n">
        <v>45784</v>
      </c>
      <c r="D162" t="inlineStr">
        <is>
          <t>DALARNAS LÄN</t>
        </is>
      </c>
      <c r="E162" t="inlineStr">
        <is>
          <t>MORA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10704-2020</t>
        </is>
      </c>
      <c r="B163" s="1" t="n">
        <v>43888</v>
      </c>
      <c r="C163" s="1" t="n">
        <v>45784</v>
      </c>
      <c r="D163" t="inlineStr">
        <is>
          <t>DALARNAS LÄN</t>
        </is>
      </c>
      <c r="E163" t="inlineStr">
        <is>
          <t>MORA</t>
        </is>
      </c>
      <c r="G163" t="n">
        <v>2.6</v>
      </c>
      <c r="H163" t="n">
        <v>0</v>
      </c>
      <c r="I163" t="n">
        <v>0</v>
      </c>
      <c r="J163" t="n">
        <v>0</v>
      </c>
      <c r="K163" t="n">
        <v>0</v>
      </c>
      <c r="L163" t="n">
        <v>0</v>
      </c>
      <c r="M163" t="n">
        <v>0</v>
      </c>
      <c r="N163" t="n">
        <v>0</v>
      </c>
      <c r="O163" t="n">
        <v>0</v>
      </c>
      <c r="P163" t="n">
        <v>0</v>
      </c>
      <c r="Q163" t="n">
        <v>0</v>
      </c>
      <c r="R163" s="2" t="inlineStr"/>
    </row>
    <row r="164" ht="15" customHeight="1">
      <c r="A164" t="inlineStr">
        <is>
          <t>A 12360-2020</t>
        </is>
      </c>
      <c r="B164" s="1" t="n">
        <v>43896</v>
      </c>
      <c r="C164" s="1" t="n">
        <v>45784</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12723-2020</t>
        </is>
      </c>
      <c r="B165" s="1" t="n">
        <v>43899</v>
      </c>
      <c r="C165" s="1" t="n">
        <v>45784</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13943-2020</t>
        </is>
      </c>
      <c r="B166" s="1" t="n">
        <v>43906</v>
      </c>
      <c r="C166" s="1" t="n">
        <v>45784</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16636-2020</t>
        </is>
      </c>
      <c r="B167" s="1" t="n">
        <v>43910</v>
      </c>
      <c r="C167" s="1" t="n">
        <v>45784</v>
      </c>
      <c r="D167" t="inlineStr">
        <is>
          <t>DALARNAS LÄN</t>
        </is>
      </c>
      <c r="E167" t="inlineStr">
        <is>
          <t>MORA</t>
        </is>
      </c>
      <c r="G167" t="n">
        <v>1.9</v>
      </c>
      <c r="H167" t="n">
        <v>0</v>
      </c>
      <c r="I167" t="n">
        <v>0</v>
      </c>
      <c r="J167" t="n">
        <v>0</v>
      </c>
      <c r="K167" t="n">
        <v>0</v>
      </c>
      <c r="L167" t="n">
        <v>0</v>
      </c>
      <c r="M167" t="n">
        <v>0</v>
      </c>
      <c r="N167" t="n">
        <v>0</v>
      </c>
      <c r="O167" t="n">
        <v>0</v>
      </c>
      <c r="P167" t="n">
        <v>0</v>
      </c>
      <c r="Q167" t="n">
        <v>0</v>
      </c>
      <c r="R167" s="2" t="inlineStr"/>
    </row>
    <row r="168" ht="15" customHeight="1">
      <c r="A168" t="inlineStr">
        <is>
          <t>A 16194-2020</t>
        </is>
      </c>
      <c r="B168" s="1" t="n">
        <v>43917</v>
      </c>
      <c r="C168" s="1" t="n">
        <v>45784</v>
      </c>
      <c r="D168" t="inlineStr">
        <is>
          <t>DALARNAS LÄN</t>
        </is>
      </c>
      <c r="E168" t="inlineStr">
        <is>
          <t>MORA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16195-2020</t>
        </is>
      </c>
      <c r="B169" s="1" t="n">
        <v>43917</v>
      </c>
      <c r="C169" s="1" t="n">
        <v>45784</v>
      </c>
      <c r="D169" t="inlineStr">
        <is>
          <t>DALARNAS LÄN</t>
        </is>
      </c>
      <c r="E169" t="inlineStr">
        <is>
          <t>MORA</t>
        </is>
      </c>
      <c r="F169" t="inlineStr">
        <is>
          <t>Bergvik skog väst AB</t>
        </is>
      </c>
      <c r="G169" t="n">
        <v>4.3</v>
      </c>
      <c r="H169" t="n">
        <v>0</v>
      </c>
      <c r="I169" t="n">
        <v>0</v>
      </c>
      <c r="J169" t="n">
        <v>0</v>
      </c>
      <c r="K169" t="n">
        <v>0</v>
      </c>
      <c r="L169" t="n">
        <v>0</v>
      </c>
      <c r="M169" t="n">
        <v>0</v>
      </c>
      <c r="N169" t="n">
        <v>0</v>
      </c>
      <c r="O169" t="n">
        <v>0</v>
      </c>
      <c r="P169" t="n">
        <v>0</v>
      </c>
      <c r="Q169" t="n">
        <v>0</v>
      </c>
      <c r="R169" s="2" t="inlineStr"/>
    </row>
    <row r="170" ht="15" customHeight="1">
      <c r="A170" t="inlineStr">
        <is>
          <t>A 18989-2020</t>
        </is>
      </c>
      <c r="B170" s="1" t="n">
        <v>43935</v>
      </c>
      <c r="C170" s="1" t="n">
        <v>45784</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18978-2020</t>
        </is>
      </c>
      <c r="B171" s="1" t="n">
        <v>43935</v>
      </c>
      <c r="C171" s="1" t="n">
        <v>45784</v>
      </c>
      <c r="D171" t="inlineStr">
        <is>
          <t>DALARNAS LÄN</t>
        </is>
      </c>
      <c r="E171" t="inlineStr">
        <is>
          <t>MORA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19507-2020</t>
        </is>
      </c>
      <c r="B172" s="1" t="n">
        <v>43938</v>
      </c>
      <c r="C172" s="1" t="n">
        <v>45784</v>
      </c>
      <c r="D172" t="inlineStr">
        <is>
          <t>DALARNAS LÄN</t>
        </is>
      </c>
      <c r="E172" t="inlineStr">
        <is>
          <t>MORA</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21122-2020</t>
        </is>
      </c>
      <c r="B173" s="1" t="n">
        <v>43951</v>
      </c>
      <c r="C173" s="1" t="n">
        <v>45784</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21951-2020</t>
        </is>
      </c>
      <c r="B174" s="1" t="n">
        <v>43958</v>
      </c>
      <c r="C174" s="1" t="n">
        <v>45784</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24719-2020</t>
        </is>
      </c>
      <c r="B175" s="1" t="n">
        <v>43978</v>
      </c>
      <c r="C175" s="1" t="n">
        <v>45784</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25852-2020</t>
        </is>
      </c>
      <c r="B176" s="1" t="n">
        <v>43984</v>
      </c>
      <c r="C176" s="1" t="n">
        <v>45784</v>
      </c>
      <c r="D176" t="inlineStr">
        <is>
          <t>DALARNAS LÄN</t>
        </is>
      </c>
      <c r="E176" t="inlineStr">
        <is>
          <t>MORA</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26454-2020</t>
        </is>
      </c>
      <c r="B177" s="1" t="n">
        <v>43987</v>
      </c>
      <c r="C177" s="1" t="n">
        <v>45784</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26460-2020</t>
        </is>
      </c>
      <c r="B178" s="1" t="n">
        <v>43987</v>
      </c>
      <c r="C178" s="1" t="n">
        <v>45784</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29751-2020</t>
        </is>
      </c>
      <c r="B179" s="1" t="n">
        <v>44005</v>
      </c>
      <c r="C179" s="1" t="n">
        <v>45784</v>
      </c>
      <c r="D179" t="inlineStr">
        <is>
          <t>DALARNAS LÄN</t>
        </is>
      </c>
      <c r="E179" t="inlineStr">
        <is>
          <t>MORA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29881-2020</t>
        </is>
      </c>
      <c r="B180" s="1" t="n">
        <v>44006</v>
      </c>
      <c r="C180" s="1" t="n">
        <v>45784</v>
      </c>
      <c r="D180" t="inlineStr">
        <is>
          <t>DALARNAS LÄN</t>
        </is>
      </c>
      <c r="E180" t="inlineStr">
        <is>
          <t>MORA</t>
        </is>
      </c>
      <c r="G180" t="n">
        <v>3.7</v>
      </c>
      <c r="H180" t="n">
        <v>0</v>
      </c>
      <c r="I180" t="n">
        <v>0</v>
      </c>
      <c r="J180" t="n">
        <v>0</v>
      </c>
      <c r="K180" t="n">
        <v>0</v>
      </c>
      <c r="L180" t="n">
        <v>0</v>
      </c>
      <c r="M180" t="n">
        <v>0</v>
      </c>
      <c r="N180" t="n">
        <v>0</v>
      </c>
      <c r="O180" t="n">
        <v>0</v>
      </c>
      <c r="P180" t="n">
        <v>0</v>
      </c>
      <c r="Q180" t="n">
        <v>0</v>
      </c>
      <c r="R180" s="2" t="inlineStr"/>
    </row>
    <row r="181" ht="15" customHeight="1">
      <c r="A181" t="inlineStr">
        <is>
          <t>A 29960-2020</t>
        </is>
      </c>
      <c r="B181" s="1" t="n">
        <v>44006</v>
      </c>
      <c r="C181" s="1" t="n">
        <v>45784</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33581-2020</t>
        </is>
      </c>
      <c r="B182" s="1" t="n">
        <v>44022</v>
      </c>
      <c r="C182" s="1" t="n">
        <v>45784</v>
      </c>
      <c r="D182" t="inlineStr">
        <is>
          <t>DALARNAS LÄN</t>
        </is>
      </c>
      <c r="E182" t="inlineStr">
        <is>
          <t>MORA</t>
        </is>
      </c>
      <c r="G182" t="n">
        <v>1.8</v>
      </c>
      <c r="H182" t="n">
        <v>0</v>
      </c>
      <c r="I182" t="n">
        <v>0</v>
      </c>
      <c r="J182" t="n">
        <v>0</v>
      </c>
      <c r="K182" t="n">
        <v>0</v>
      </c>
      <c r="L182" t="n">
        <v>0</v>
      </c>
      <c r="M182" t="n">
        <v>0</v>
      </c>
      <c r="N182" t="n">
        <v>0</v>
      </c>
      <c r="O182" t="n">
        <v>0</v>
      </c>
      <c r="P182" t="n">
        <v>0</v>
      </c>
      <c r="Q182" t="n">
        <v>0</v>
      </c>
      <c r="R182" s="2" t="inlineStr"/>
    </row>
    <row r="183" ht="15" customHeight="1">
      <c r="A183" t="inlineStr">
        <is>
          <t>A 34455-2020</t>
        </is>
      </c>
      <c r="B183" s="1" t="n">
        <v>44032</v>
      </c>
      <c r="C183" s="1" t="n">
        <v>45784</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34454-2020</t>
        </is>
      </c>
      <c r="B184" s="1" t="n">
        <v>44032</v>
      </c>
      <c r="C184" s="1" t="n">
        <v>45784</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34446-2020</t>
        </is>
      </c>
      <c r="B185" s="1" t="n">
        <v>44032</v>
      </c>
      <c r="C185" s="1" t="n">
        <v>45784</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35976-2020</t>
        </is>
      </c>
      <c r="B186" s="1" t="n">
        <v>44047</v>
      </c>
      <c r="C186" s="1" t="n">
        <v>45784</v>
      </c>
      <c r="D186" t="inlineStr">
        <is>
          <t>DALARNAS LÄN</t>
        </is>
      </c>
      <c r="E186" t="inlineStr">
        <is>
          <t>MORA</t>
        </is>
      </c>
      <c r="G186" t="n">
        <v>6.7</v>
      </c>
      <c r="H186" t="n">
        <v>0</v>
      </c>
      <c r="I186" t="n">
        <v>0</v>
      </c>
      <c r="J186" t="n">
        <v>0</v>
      </c>
      <c r="K186" t="n">
        <v>0</v>
      </c>
      <c r="L186" t="n">
        <v>0</v>
      </c>
      <c r="M186" t="n">
        <v>0</v>
      </c>
      <c r="N186" t="n">
        <v>0</v>
      </c>
      <c r="O186" t="n">
        <v>0</v>
      </c>
      <c r="P186" t="n">
        <v>0</v>
      </c>
      <c r="Q186" t="n">
        <v>0</v>
      </c>
      <c r="R186" s="2" t="inlineStr"/>
    </row>
    <row r="187" ht="15" customHeight="1">
      <c r="A187" t="inlineStr">
        <is>
          <t>A 37403-2020</t>
        </is>
      </c>
      <c r="B187" s="1" t="n">
        <v>44055</v>
      </c>
      <c r="C187" s="1" t="n">
        <v>45784</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37840-2020</t>
        </is>
      </c>
      <c r="B188" s="1" t="n">
        <v>44057</v>
      </c>
      <c r="C188" s="1" t="n">
        <v>45784</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38910-2020</t>
        </is>
      </c>
      <c r="B189" s="1" t="n">
        <v>44062</v>
      </c>
      <c r="C189" s="1" t="n">
        <v>45784</v>
      </c>
      <c r="D189" t="inlineStr">
        <is>
          <t>DALARNAS LÄN</t>
        </is>
      </c>
      <c r="E189" t="inlineStr">
        <is>
          <t>MORA</t>
        </is>
      </c>
      <c r="G189" t="n">
        <v>7.8</v>
      </c>
      <c r="H189" t="n">
        <v>0</v>
      </c>
      <c r="I189" t="n">
        <v>0</v>
      </c>
      <c r="J189" t="n">
        <v>0</v>
      </c>
      <c r="K189" t="n">
        <v>0</v>
      </c>
      <c r="L189" t="n">
        <v>0</v>
      </c>
      <c r="M189" t="n">
        <v>0</v>
      </c>
      <c r="N189" t="n">
        <v>0</v>
      </c>
      <c r="O189" t="n">
        <v>0</v>
      </c>
      <c r="P189" t="n">
        <v>0</v>
      </c>
      <c r="Q189" t="n">
        <v>0</v>
      </c>
      <c r="R189" s="2" t="inlineStr"/>
    </row>
    <row r="190" ht="15" customHeight="1">
      <c r="A190" t="inlineStr">
        <is>
          <t>A 39585-2020</t>
        </is>
      </c>
      <c r="B190" s="1" t="n">
        <v>44064</v>
      </c>
      <c r="C190" s="1" t="n">
        <v>45784</v>
      </c>
      <c r="D190" t="inlineStr">
        <is>
          <t>DALARNAS LÄN</t>
        </is>
      </c>
      <c r="E190" t="inlineStr">
        <is>
          <t>MORA</t>
        </is>
      </c>
      <c r="G190" t="n">
        <v>6.5</v>
      </c>
      <c r="H190" t="n">
        <v>0</v>
      </c>
      <c r="I190" t="n">
        <v>0</v>
      </c>
      <c r="J190" t="n">
        <v>0</v>
      </c>
      <c r="K190" t="n">
        <v>0</v>
      </c>
      <c r="L190" t="n">
        <v>0</v>
      </c>
      <c r="M190" t="n">
        <v>0</v>
      </c>
      <c r="N190" t="n">
        <v>0</v>
      </c>
      <c r="O190" t="n">
        <v>0</v>
      </c>
      <c r="P190" t="n">
        <v>0</v>
      </c>
      <c r="Q190" t="n">
        <v>0</v>
      </c>
      <c r="R190" s="2" t="inlineStr"/>
    </row>
    <row r="191" ht="15" customHeight="1">
      <c r="A191" t="inlineStr">
        <is>
          <t>A 39959-2020</t>
        </is>
      </c>
      <c r="B191" s="1" t="n">
        <v>44067</v>
      </c>
      <c r="C191" s="1" t="n">
        <v>45784</v>
      </c>
      <c r="D191" t="inlineStr">
        <is>
          <t>DALARNAS LÄN</t>
        </is>
      </c>
      <c r="E191" t="inlineStr">
        <is>
          <t>MORA</t>
        </is>
      </c>
      <c r="G191" t="n">
        <v>25.7</v>
      </c>
      <c r="H191" t="n">
        <v>0</v>
      </c>
      <c r="I191" t="n">
        <v>0</v>
      </c>
      <c r="J191" t="n">
        <v>0</v>
      </c>
      <c r="K191" t="n">
        <v>0</v>
      </c>
      <c r="L191" t="n">
        <v>0</v>
      </c>
      <c r="M191" t="n">
        <v>0</v>
      </c>
      <c r="N191" t="n">
        <v>0</v>
      </c>
      <c r="O191" t="n">
        <v>0</v>
      </c>
      <c r="P191" t="n">
        <v>0</v>
      </c>
      <c r="Q191" t="n">
        <v>0</v>
      </c>
      <c r="R191" s="2" t="inlineStr"/>
    </row>
    <row r="192" ht="15" customHeight="1">
      <c r="A192" t="inlineStr">
        <is>
          <t>A 41768-2020</t>
        </is>
      </c>
      <c r="B192" s="1" t="n">
        <v>44074</v>
      </c>
      <c r="C192" s="1" t="n">
        <v>45784</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42362-2020</t>
        </is>
      </c>
      <c r="B193" s="1" t="n">
        <v>44074</v>
      </c>
      <c r="C193" s="1" t="n">
        <v>45784</v>
      </c>
      <c r="D193" t="inlineStr">
        <is>
          <t>DALARNAS LÄN</t>
        </is>
      </c>
      <c r="E193" t="inlineStr">
        <is>
          <t>MORA</t>
        </is>
      </c>
      <c r="G193" t="n">
        <v>4.5</v>
      </c>
      <c r="H193" t="n">
        <v>0</v>
      </c>
      <c r="I193" t="n">
        <v>0</v>
      </c>
      <c r="J193" t="n">
        <v>0</v>
      </c>
      <c r="K193" t="n">
        <v>0</v>
      </c>
      <c r="L193" t="n">
        <v>0</v>
      </c>
      <c r="M193" t="n">
        <v>0</v>
      </c>
      <c r="N193" t="n">
        <v>0</v>
      </c>
      <c r="O193" t="n">
        <v>0</v>
      </c>
      <c r="P193" t="n">
        <v>0</v>
      </c>
      <c r="Q193" t="n">
        <v>0</v>
      </c>
      <c r="R193" s="2" t="inlineStr"/>
    </row>
    <row r="194" ht="15" customHeight="1">
      <c r="A194" t="inlineStr">
        <is>
          <t>A 42377-2020</t>
        </is>
      </c>
      <c r="B194" s="1" t="n">
        <v>44076</v>
      </c>
      <c r="C194" s="1" t="n">
        <v>45784</v>
      </c>
      <c r="D194" t="inlineStr">
        <is>
          <t>DALARNAS LÄN</t>
        </is>
      </c>
      <c r="E194" t="inlineStr">
        <is>
          <t>MORA</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43284-2020</t>
        </is>
      </c>
      <c r="B195" s="1" t="n">
        <v>44081</v>
      </c>
      <c r="C195" s="1" t="n">
        <v>45784</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48065-2020</t>
        </is>
      </c>
      <c r="B196" s="1" t="n">
        <v>44100</v>
      </c>
      <c r="C196" s="1" t="n">
        <v>45784</v>
      </c>
      <c r="D196" t="inlineStr">
        <is>
          <t>DALARNAS LÄN</t>
        </is>
      </c>
      <c r="E196" t="inlineStr">
        <is>
          <t>MORA</t>
        </is>
      </c>
      <c r="G196" t="n">
        <v>8.6</v>
      </c>
      <c r="H196" t="n">
        <v>0</v>
      </c>
      <c r="I196" t="n">
        <v>0</v>
      </c>
      <c r="J196" t="n">
        <v>0</v>
      </c>
      <c r="K196" t="n">
        <v>0</v>
      </c>
      <c r="L196" t="n">
        <v>0</v>
      </c>
      <c r="M196" t="n">
        <v>0</v>
      </c>
      <c r="N196" t="n">
        <v>0</v>
      </c>
      <c r="O196" t="n">
        <v>0</v>
      </c>
      <c r="P196" t="n">
        <v>0</v>
      </c>
      <c r="Q196" t="n">
        <v>0</v>
      </c>
      <c r="R196" s="2" t="inlineStr"/>
    </row>
    <row r="197" ht="15" customHeight="1">
      <c r="A197" t="inlineStr">
        <is>
          <t>A 51621-2020</t>
        </is>
      </c>
      <c r="B197" s="1" t="n">
        <v>44109</v>
      </c>
      <c r="C197" s="1" t="n">
        <v>45784</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51608-2020</t>
        </is>
      </c>
      <c r="B198" s="1" t="n">
        <v>44109</v>
      </c>
      <c r="C198" s="1" t="n">
        <v>45784</v>
      </c>
      <c r="D198" t="inlineStr">
        <is>
          <t>DALARNAS LÄN</t>
        </is>
      </c>
      <c r="E198" t="inlineStr">
        <is>
          <t>MORA</t>
        </is>
      </c>
      <c r="G198" t="n">
        <v>4.6</v>
      </c>
      <c r="H198" t="n">
        <v>0</v>
      </c>
      <c r="I198" t="n">
        <v>0</v>
      </c>
      <c r="J198" t="n">
        <v>0</v>
      </c>
      <c r="K198" t="n">
        <v>0</v>
      </c>
      <c r="L198" t="n">
        <v>0</v>
      </c>
      <c r="M198" t="n">
        <v>0</v>
      </c>
      <c r="N198" t="n">
        <v>0</v>
      </c>
      <c r="O198" t="n">
        <v>0</v>
      </c>
      <c r="P198" t="n">
        <v>0</v>
      </c>
      <c r="Q198" t="n">
        <v>0</v>
      </c>
      <c r="R198" s="2" t="inlineStr"/>
    </row>
    <row r="199" ht="15" customHeight="1">
      <c r="A199" t="inlineStr">
        <is>
          <t>A 52732-2020</t>
        </is>
      </c>
      <c r="B199" s="1" t="n">
        <v>44118</v>
      </c>
      <c r="C199" s="1" t="n">
        <v>45784</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55249-2020</t>
        </is>
      </c>
      <c r="B200" s="1" t="n">
        <v>44130</v>
      </c>
      <c r="C200" s="1" t="n">
        <v>45784</v>
      </c>
      <c r="D200" t="inlineStr">
        <is>
          <t>DALARNAS LÄN</t>
        </is>
      </c>
      <c r="E200" t="inlineStr">
        <is>
          <t>MORA</t>
        </is>
      </c>
      <c r="G200" t="n">
        <v>2.7</v>
      </c>
      <c r="H200" t="n">
        <v>0</v>
      </c>
      <c r="I200" t="n">
        <v>0</v>
      </c>
      <c r="J200" t="n">
        <v>0</v>
      </c>
      <c r="K200" t="n">
        <v>0</v>
      </c>
      <c r="L200" t="n">
        <v>0</v>
      </c>
      <c r="M200" t="n">
        <v>0</v>
      </c>
      <c r="N200" t="n">
        <v>0</v>
      </c>
      <c r="O200" t="n">
        <v>0</v>
      </c>
      <c r="P200" t="n">
        <v>0</v>
      </c>
      <c r="Q200" t="n">
        <v>0</v>
      </c>
      <c r="R200" s="2" t="inlineStr"/>
    </row>
    <row r="201" ht="15" customHeight="1">
      <c r="A201" t="inlineStr">
        <is>
          <t>A 56071-2020</t>
        </is>
      </c>
      <c r="B201" s="1" t="n">
        <v>44133</v>
      </c>
      <c r="C201" s="1" t="n">
        <v>45784</v>
      </c>
      <c r="D201" t="inlineStr">
        <is>
          <t>DALARNAS LÄN</t>
        </is>
      </c>
      <c r="E201" t="inlineStr">
        <is>
          <t>MORA</t>
        </is>
      </c>
      <c r="G201" t="n">
        <v>6.6</v>
      </c>
      <c r="H201" t="n">
        <v>0</v>
      </c>
      <c r="I201" t="n">
        <v>0</v>
      </c>
      <c r="J201" t="n">
        <v>0</v>
      </c>
      <c r="K201" t="n">
        <v>0</v>
      </c>
      <c r="L201" t="n">
        <v>0</v>
      </c>
      <c r="M201" t="n">
        <v>0</v>
      </c>
      <c r="N201" t="n">
        <v>0</v>
      </c>
      <c r="O201" t="n">
        <v>0</v>
      </c>
      <c r="P201" t="n">
        <v>0</v>
      </c>
      <c r="Q201" t="n">
        <v>0</v>
      </c>
      <c r="R201" s="2" t="inlineStr"/>
    </row>
    <row r="202" ht="15" customHeight="1">
      <c r="A202" t="inlineStr">
        <is>
          <t>A 56501-2020</t>
        </is>
      </c>
      <c r="B202" s="1" t="n">
        <v>44137</v>
      </c>
      <c r="C202" s="1" t="n">
        <v>45784</v>
      </c>
      <c r="D202" t="inlineStr">
        <is>
          <t>DALARNAS LÄN</t>
        </is>
      </c>
      <c r="E202" t="inlineStr">
        <is>
          <t>MORA</t>
        </is>
      </c>
      <c r="F202" t="inlineStr">
        <is>
          <t>Allmännings- och besparingsskogar</t>
        </is>
      </c>
      <c r="G202" t="n">
        <v>11</v>
      </c>
      <c r="H202" t="n">
        <v>0</v>
      </c>
      <c r="I202" t="n">
        <v>0</v>
      </c>
      <c r="J202" t="n">
        <v>0</v>
      </c>
      <c r="K202" t="n">
        <v>0</v>
      </c>
      <c r="L202" t="n">
        <v>0</v>
      </c>
      <c r="M202" t="n">
        <v>0</v>
      </c>
      <c r="N202" t="n">
        <v>0</v>
      </c>
      <c r="O202" t="n">
        <v>0</v>
      </c>
      <c r="P202" t="n">
        <v>0</v>
      </c>
      <c r="Q202" t="n">
        <v>0</v>
      </c>
      <c r="R202" s="2" t="inlineStr"/>
    </row>
    <row r="203" ht="15" customHeight="1">
      <c r="A203" t="inlineStr">
        <is>
          <t>A 56976-2020</t>
        </is>
      </c>
      <c r="B203" s="1" t="n">
        <v>44138</v>
      </c>
      <c r="C203" s="1" t="n">
        <v>45784</v>
      </c>
      <c r="D203" t="inlineStr">
        <is>
          <t>DALARNAS LÄN</t>
        </is>
      </c>
      <c r="E203" t="inlineStr">
        <is>
          <t>MORA</t>
        </is>
      </c>
      <c r="F203" t="inlineStr">
        <is>
          <t>Allmännings- och besparingsskogar</t>
        </is>
      </c>
      <c r="G203" t="n">
        <v>0.8</v>
      </c>
      <c r="H203" t="n">
        <v>0</v>
      </c>
      <c r="I203" t="n">
        <v>0</v>
      </c>
      <c r="J203" t="n">
        <v>0</v>
      </c>
      <c r="K203" t="n">
        <v>0</v>
      </c>
      <c r="L203" t="n">
        <v>0</v>
      </c>
      <c r="M203" t="n">
        <v>0</v>
      </c>
      <c r="N203" t="n">
        <v>0</v>
      </c>
      <c r="O203" t="n">
        <v>0</v>
      </c>
      <c r="P203" t="n">
        <v>0</v>
      </c>
      <c r="Q203" t="n">
        <v>0</v>
      </c>
      <c r="R203" s="2" t="inlineStr"/>
    </row>
    <row r="204" ht="15" customHeight="1">
      <c r="A204" t="inlineStr">
        <is>
          <t>A 56974-2020</t>
        </is>
      </c>
      <c r="B204" s="1" t="n">
        <v>44138</v>
      </c>
      <c r="C204" s="1" t="n">
        <v>45784</v>
      </c>
      <c r="D204" t="inlineStr">
        <is>
          <t>DALARNAS LÄN</t>
        </is>
      </c>
      <c r="E204" t="inlineStr">
        <is>
          <t>MORA</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57268-2020</t>
        </is>
      </c>
      <c r="B205" s="1" t="n">
        <v>44139</v>
      </c>
      <c r="C205" s="1" t="n">
        <v>45784</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57848-2020</t>
        </is>
      </c>
      <c r="B206" s="1" t="n">
        <v>44141</v>
      </c>
      <c r="C206" s="1" t="n">
        <v>45784</v>
      </c>
      <c r="D206" t="inlineStr">
        <is>
          <t>DALARNAS LÄN</t>
        </is>
      </c>
      <c r="E206" t="inlineStr">
        <is>
          <t>MORA</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57926-2020</t>
        </is>
      </c>
      <c r="B207" s="1" t="n">
        <v>44141</v>
      </c>
      <c r="C207" s="1" t="n">
        <v>45784</v>
      </c>
      <c r="D207" t="inlineStr">
        <is>
          <t>DALARNAS LÄN</t>
        </is>
      </c>
      <c r="E207" t="inlineStr">
        <is>
          <t>MORA</t>
        </is>
      </c>
      <c r="F207" t="inlineStr">
        <is>
          <t>Bergvik skog väst AB</t>
        </is>
      </c>
      <c r="G207" t="n">
        <v>13.1</v>
      </c>
      <c r="H207" t="n">
        <v>0</v>
      </c>
      <c r="I207" t="n">
        <v>0</v>
      </c>
      <c r="J207" t="n">
        <v>0</v>
      </c>
      <c r="K207" t="n">
        <v>0</v>
      </c>
      <c r="L207" t="n">
        <v>0</v>
      </c>
      <c r="M207" t="n">
        <v>0</v>
      </c>
      <c r="N207" t="n">
        <v>0</v>
      </c>
      <c r="O207" t="n">
        <v>0</v>
      </c>
      <c r="P207" t="n">
        <v>0</v>
      </c>
      <c r="Q207" t="n">
        <v>0</v>
      </c>
      <c r="R207" s="2" t="inlineStr"/>
    </row>
    <row r="208" ht="15" customHeight="1">
      <c r="A208" t="inlineStr">
        <is>
          <t>A 60250-2020</t>
        </is>
      </c>
      <c r="B208" s="1" t="n">
        <v>44152</v>
      </c>
      <c r="C208" s="1" t="n">
        <v>45784</v>
      </c>
      <c r="D208" t="inlineStr">
        <is>
          <t>DALARNAS LÄN</t>
        </is>
      </c>
      <c r="E208" t="inlineStr">
        <is>
          <t>MORA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61338-2020</t>
        </is>
      </c>
      <c r="B209" s="1" t="n">
        <v>44155</v>
      </c>
      <c r="C209" s="1" t="n">
        <v>45784</v>
      </c>
      <c r="D209" t="inlineStr">
        <is>
          <t>DALARNAS LÄN</t>
        </is>
      </c>
      <c r="E209" t="inlineStr">
        <is>
          <t>MORA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62301-2020</t>
        </is>
      </c>
      <c r="B210" s="1" t="n">
        <v>44160</v>
      </c>
      <c r="C210" s="1" t="n">
        <v>45784</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62266-2020</t>
        </is>
      </c>
      <c r="B211" s="1" t="n">
        <v>44160</v>
      </c>
      <c r="C211" s="1" t="n">
        <v>45784</v>
      </c>
      <c r="D211" t="inlineStr">
        <is>
          <t>DALARNAS LÄN</t>
        </is>
      </c>
      <c r="E211" t="inlineStr">
        <is>
          <t>MORA</t>
        </is>
      </c>
      <c r="F211" t="inlineStr">
        <is>
          <t>Bergvik skog väst AB</t>
        </is>
      </c>
      <c r="G211" t="n">
        <v>5.9</v>
      </c>
      <c r="H211" t="n">
        <v>0</v>
      </c>
      <c r="I211" t="n">
        <v>0</v>
      </c>
      <c r="J211" t="n">
        <v>0</v>
      </c>
      <c r="K211" t="n">
        <v>0</v>
      </c>
      <c r="L211" t="n">
        <v>0</v>
      </c>
      <c r="M211" t="n">
        <v>0</v>
      </c>
      <c r="N211" t="n">
        <v>0</v>
      </c>
      <c r="O211" t="n">
        <v>0</v>
      </c>
      <c r="P211" t="n">
        <v>0</v>
      </c>
      <c r="Q211" t="n">
        <v>0</v>
      </c>
      <c r="R211" s="2" t="inlineStr"/>
    </row>
    <row r="212" ht="15" customHeight="1">
      <c r="A212" t="inlineStr">
        <is>
          <t>A 62268-2020</t>
        </is>
      </c>
      <c r="B212" s="1" t="n">
        <v>44160</v>
      </c>
      <c r="C212" s="1" t="n">
        <v>45784</v>
      </c>
      <c r="D212" t="inlineStr">
        <is>
          <t>DALARNAS LÄN</t>
        </is>
      </c>
      <c r="E212" t="inlineStr">
        <is>
          <t>MORA</t>
        </is>
      </c>
      <c r="F212" t="inlineStr">
        <is>
          <t>Bergvik skog väst AB</t>
        </is>
      </c>
      <c r="G212" t="n">
        <v>3.5</v>
      </c>
      <c r="H212" t="n">
        <v>0</v>
      </c>
      <c r="I212" t="n">
        <v>0</v>
      </c>
      <c r="J212" t="n">
        <v>0</v>
      </c>
      <c r="K212" t="n">
        <v>0</v>
      </c>
      <c r="L212" t="n">
        <v>0</v>
      </c>
      <c r="M212" t="n">
        <v>0</v>
      </c>
      <c r="N212" t="n">
        <v>0</v>
      </c>
      <c r="O212" t="n">
        <v>0</v>
      </c>
      <c r="P212" t="n">
        <v>0</v>
      </c>
      <c r="Q212" t="n">
        <v>0</v>
      </c>
      <c r="R212" s="2" t="inlineStr"/>
    </row>
    <row r="213" ht="15" customHeight="1">
      <c r="A213" t="inlineStr">
        <is>
          <t>A 65301-2020</t>
        </is>
      </c>
      <c r="B213" s="1" t="n">
        <v>44169</v>
      </c>
      <c r="C213" s="1" t="n">
        <v>45784</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67028-2020</t>
        </is>
      </c>
      <c r="B214" s="1" t="n">
        <v>44180</v>
      </c>
      <c r="C214" s="1" t="n">
        <v>45784</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66990-2020</t>
        </is>
      </c>
      <c r="B215" s="1" t="n">
        <v>44180</v>
      </c>
      <c r="C215" s="1" t="n">
        <v>45784</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68468-2020</t>
        </is>
      </c>
      <c r="B216" s="1" t="n">
        <v>44186</v>
      </c>
      <c r="C216" s="1" t="n">
        <v>45784</v>
      </c>
      <c r="D216" t="inlineStr">
        <is>
          <t>DALARNAS LÄN</t>
        </is>
      </c>
      <c r="E216" t="inlineStr">
        <is>
          <t>MORA</t>
        </is>
      </c>
      <c r="F216" t="inlineStr">
        <is>
          <t>Bergvik skog öst AB</t>
        </is>
      </c>
      <c r="G216" t="n">
        <v>6.5</v>
      </c>
      <c r="H216" t="n">
        <v>0</v>
      </c>
      <c r="I216" t="n">
        <v>0</v>
      </c>
      <c r="J216" t="n">
        <v>0</v>
      </c>
      <c r="K216" t="n">
        <v>0</v>
      </c>
      <c r="L216" t="n">
        <v>0</v>
      </c>
      <c r="M216" t="n">
        <v>0</v>
      </c>
      <c r="N216" t="n">
        <v>0</v>
      </c>
      <c r="O216" t="n">
        <v>0</v>
      </c>
      <c r="P216" t="n">
        <v>0</v>
      </c>
      <c r="Q216" t="n">
        <v>0</v>
      </c>
      <c r="R216" s="2" t="inlineStr"/>
    </row>
    <row r="217" ht="15" customHeight="1">
      <c r="A217" t="inlineStr">
        <is>
          <t>A 68832-2020</t>
        </is>
      </c>
      <c r="B217" s="1" t="n">
        <v>44187</v>
      </c>
      <c r="C217" s="1" t="n">
        <v>45784</v>
      </c>
      <c r="D217" t="inlineStr">
        <is>
          <t>DALARNAS LÄN</t>
        </is>
      </c>
      <c r="E217" t="inlineStr">
        <is>
          <t>MORA</t>
        </is>
      </c>
      <c r="G217" t="n">
        <v>7.7</v>
      </c>
      <c r="H217" t="n">
        <v>0</v>
      </c>
      <c r="I217" t="n">
        <v>0</v>
      </c>
      <c r="J217" t="n">
        <v>0</v>
      </c>
      <c r="K217" t="n">
        <v>0</v>
      </c>
      <c r="L217" t="n">
        <v>0</v>
      </c>
      <c r="M217" t="n">
        <v>0</v>
      </c>
      <c r="N217" t="n">
        <v>0</v>
      </c>
      <c r="O217" t="n">
        <v>0</v>
      </c>
      <c r="P217" t="n">
        <v>0</v>
      </c>
      <c r="Q217" t="n">
        <v>0</v>
      </c>
      <c r="R217" s="2" t="inlineStr"/>
    </row>
    <row r="218" ht="15" customHeight="1">
      <c r="A218" t="inlineStr">
        <is>
          <t>A 69517-2020</t>
        </is>
      </c>
      <c r="B218" s="1" t="n">
        <v>44194</v>
      </c>
      <c r="C218" s="1" t="n">
        <v>45784</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69519-2020</t>
        </is>
      </c>
      <c r="B219" s="1" t="n">
        <v>44194</v>
      </c>
      <c r="C219" s="1" t="n">
        <v>45784</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655-2021</t>
        </is>
      </c>
      <c r="B220" s="1" t="n">
        <v>44203</v>
      </c>
      <c r="C220" s="1" t="n">
        <v>45784</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768-2021</t>
        </is>
      </c>
      <c r="B221" s="1" t="n">
        <v>44203</v>
      </c>
      <c r="C221" s="1" t="n">
        <v>45784</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770-2021</t>
        </is>
      </c>
      <c r="B222" s="1" t="n">
        <v>44203</v>
      </c>
      <c r="C222" s="1" t="n">
        <v>45784</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782-2021</t>
        </is>
      </c>
      <c r="B223" s="1" t="n">
        <v>44203</v>
      </c>
      <c r="C223" s="1" t="n">
        <v>45784</v>
      </c>
      <c r="D223" t="inlineStr">
        <is>
          <t>DALARNAS LÄN</t>
        </is>
      </c>
      <c r="E223" t="inlineStr">
        <is>
          <t>MORA</t>
        </is>
      </c>
      <c r="G223" t="n">
        <v>1.7</v>
      </c>
      <c r="H223" t="n">
        <v>0</v>
      </c>
      <c r="I223" t="n">
        <v>0</v>
      </c>
      <c r="J223" t="n">
        <v>0</v>
      </c>
      <c r="K223" t="n">
        <v>0</v>
      </c>
      <c r="L223" t="n">
        <v>0</v>
      </c>
      <c r="M223" t="n">
        <v>0</v>
      </c>
      <c r="N223" t="n">
        <v>0</v>
      </c>
      <c r="O223" t="n">
        <v>0</v>
      </c>
      <c r="P223" t="n">
        <v>0</v>
      </c>
      <c r="Q223" t="n">
        <v>0</v>
      </c>
      <c r="R223" s="2" t="inlineStr"/>
    </row>
    <row r="224" ht="15" customHeight="1">
      <c r="A224" t="inlineStr">
        <is>
          <t>A 787-2021</t>
        </is>
      </c>
      <c r="B224" s="1" t="n">
        <v>44203</v>
      </c>
      <c r="C224" s="1" t="n">
        <v>45784</v>
      </c>
      <c r="D224" t="inlineStr">
        <is>
          <t>DALARNAS LÄN</t>
        </is>
      </c>
      <c r="E224" t="inlineStr">
        <is>
          <t>MORA</t>
        </is>
      </c>
      <c r="G224" t="n">
        <v>3.9</v>
      </c>
      <c r="H224" t="n">
        <v>0</v>
      </c>
      <c r="I224" t="n">
        <v>0</v>
      </c>
      <c r="J224" t="n">
        <v>0</v>
      </c>
      <c r="K224" t="n">
        <v>0</v>
      </c>
      <c r="L224" t="n">
        <v>0</v>
      </c>
      <c r="M224" t="n">
        <v>0</v>
      </c>
      <c r="N224" t="n">
        <v>0</v>
      </c>
      <c r="O224" t="n">
        <v>0</v>
      </c>
      <c r="P224" t="n">
        <v>0</v>
      </c>
      <c r="Q224" t="n">
        <v>0</v>
      </c>
      <c r="R224" s="2" t="inlineStr"/>
    </row>
    <row r="225" ht="15" customHeight="1">
      <c r="A225" t="inlineStr">
        <is>
          <t>A 657-2021</t>
        </is>
      </c>
      <c r="B225" s="1" t="n">
        <v>44203</v>
      </c>
      <c r="C225" s="1" t="n">
        <v>45784</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769-2021</t>
        </is>
      </c>
      <c r="B226" s="1" t="n">
        <v>44203</v>
      </c>
      <c r="C226" s="1" t="n">
        <v>45784</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790-2021</t>
        </is>
      </c>
      <c r="B227" s="1" t="n">
        <v>44203</v>
      </c>
      <c r="C227" s="1" t="n">
        <v>45784</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837-2021</t>
        </is>
      </c>
      <c r="B228" s="1" t="n">
        <v>44204</v>
      </c>
      <c r="C228" s="1" t="n">
        <v>45784</v>
      </c>
      <c r="D228" t="inlineStr">
        <is>
          <t>DALARNAS LÄN</t>
        </is>
      </c>
      <c r="E228" t="inlineStr">
        <is>
          <t>MORA</t>
        </is>
      </c>
      <c r="G228" t="n">
        <v>10.4</v>
      </c>
      <c r="H228" t="n">
        <v>0</v>
      </c>
      <c r="I228" t="n">
        <v>0</v>
      </c>
      <c r="J228" t="n">
        <v>0</v>
      </c>
      <c r="K228" t="n">
        <v>0</v>
      </c>
      <c r="L228" t="n">
        <v>0</v>
      </c>
      <c r="M228" t="n">
        <v>0</v>
      </c>
      <c r="N228" t="n">
        <v>0</v>
      </c>
      <c r="O228" t="n">
        <v>0</v>
      </c>
      <c r="P228" t="n">
        <v>0</v>
      </c>
      <c r="Q228" t="n">
        <v>0</v>
      </c>
      <c r="R228" s="2" t="inlineStr"/>
    </row>
    <row r="229" ht="15" customHeight="1">
      <c r="A229" t="inlineStr">
        <is>
          <t>A 1951-2021</t>
        </is>
      </c>
      <c r="B229" s="1" t="n">
        <v>44210</v>
      </c>
      <c r="C229" s="1" t="n">
        <v>45784</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8064-2021</t>
        </is>
      </c>
      <c r="B230" s="1" t="n">
        <v>44243</v>
      </c>
      <c r="C230" s="1" t="n">
        <v>45784</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8146-2021</t>
        </is>
      </c>
      <c r="B231" s="1" t="n">
        <v>44244</v>
      </c>
      <c r="C231" s="1" t="n">
        <v>45784</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8153-2021</t>
        </is>
      </c>
      <c r="B232" s="1" t="n">
        <v>44244</v>
      </c>
      <c r="C232" s="1" t="n">
        <v>45784</v>
      </c>
      <c r="D232" t="inlineStr">
        <is>
          <t>DALARNAS LÄN</t>
        </is>
      </c>
      <c r="E232" t="inlineStr">
        <is>
          <t>MORA</t>
        </is>
      </c>
      <c r="G232" t="n">
        <v>2.5</v>
      </c>
      <c r="H232" t="n">
        <v>0</v>
      </c>
      <c r="I232" t="n">
        <v>0</v>
      </c>
      <c r="J232" t="n">
        <v>0</v>
      </c>
      <c r="K232" t="n">
        <v>0</v>
      </c>
      <c r="L232" t="n">
        <v>0</v>
      </c>
      <c r="M232" t="n">
        <v>0</v>
      </c>
      <c r="N232" t="n">
        <v>0</v>
      </c>
      <c r="O232" t="n">
        <v>0</v>
      </c>
      <c r="P232" t="n">
        <v>0</v>
      </c>
      <c r="Q232" t="n">
        <v>0</v>
      </c>
      <c r="R232" s="2" t="inlineStr"/>
    </row>
    <row r="233" ht="15" customHeight="1">
      <c r="A233" t="inlineStr">
        <is>
          <t>A 12151-2021</t>
        </is>
      </c>
      <c r="B233" s="1" t="n">
        <v>44266</v>
      </c>
      <c r="C233" s="1" t="n">
        <v>45784</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16840-2021</t>
        </is>
      </c>
      <c r="B234" s="1" t="n">
        <v>44295</v>
      </c>
      <c r="C234" s="1" t="n">
        <v>45784</v>
      </c>
      <c r="D234" t="inlineStr">
        <is>
          <t>DALARNAS LÄN</t>
        </is>
      </c>
      <c r="E234" t="inlineStr">
        <is>
          <t>MORA</t>
        </is>
      </c>
      <c r="G234" t="n">
        <v>11.5</v>
      </c>
      <c r="H234" t="n">
        <v>0</v>
      </c>
      <c r="I234" t="n">
        <v>0</v>
      </c>
      <c r="J234" t="n">
        <v>0</v>
      </c>
      <c r="K234" t="n">
        <v>0</v>
      </c>
      <c r="L234" t="n">
        <v>0</v>
      </c>
      <c r="M234" t="n">
        <v>0</v>
      </c>
      <c r="N234" t="n">
        <v>0</v>
      </c>
      <c r="O234" t="n">
        <v>0</v>
      </c>
      <c r="P234" t="n">
        <v>0</v>
      </c>
      <c r="Q234" t="n">
        <v>0</v>
      </c>
      <c r="R234" s="2" t="inlineStr"/>
    </row>
    <row r="235" ht="15" customHeight="1">
      <c r="A235" t="inlineStr">
        <is>
          <t>A 17915-2021</t>
        </is>
      </c>
      <c r="B235" s="1" t="n">
        <v>44301</v>
      </c>
      <c r="C235" s="1" t="n">
        <v>45784</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17904-2021</t>
        </is>
      </c>
      <c r="B236" s="1" t="n">
        <v>44301</v>
      </c>
      <c r="C236" s="1" t="n">
        <v>45784</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19383-2021</t>
        </is>
      </c>
      <c r="B237" s="1" t="n">
        <v>44309</v>
      </c>
      <c r="C237" s="1" t="n">
        <v>45784</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19896-2021</t>
        </is>
      </c>
      <c r="B238" s="1" t="n">
        <v>44313</v>
      </c>
      <c r="C238" s="1" t="n">
        <v>45784</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20125-2021</t>
        </is>
      </c>
      <c r="B239" s="1" t="n">
        <v>44314</v>
      </c>
      <c r="C239" s="1" t="n">
        <v>45784</v>
      </c>
      <c r="D239" t="inlineStr">
        <is>
          <t>DALARNAS LÄN</t>
        </is>
      </c>
      <c r="E239" t="inlineStr">
        <is>
          <t>MORA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22931-2021</t>
        </is>
      </c>
      <c r="B240" s="1" t="n">
        <v>44326</v>
      </c>
      <c r="C240" s="1" t="n">
        <v>45784</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24465-2021</t>
        </is>
      </c>
      <c r="B241" s="1" t="n">
        <v>44337</v>
      </c>
      <c r="C241" s="1" t="n">
        <v>45784</v>
      </c>
      <c r="D241" t="inlineStr">
        <is>
          <t>DALARNAS LÄN</t>
        </is>
      </c>
      <c r="E241" t="inlineStr">
        <is>
          <t>MORA</t>
        </is>
      </c>
      <c r="G241" t="n">
        <v>2.6</v>
      </c>
      <c r="H241" t="n">
        <v>0</v>
      </c>
      <c r="I241" t="n">
        <v>0</v>
      </c>
      <c r="J241" t="n">
        <v>0</v>
      </c>
      <c r="K241" t="n">
        <v>0</v>
      </c>
      <c r="L241" t="n">
        <v>0</v>
      </c>
      <c r="M241" t="n">
        <v>0</v>
      </c>
      <c r="N241" t="n">
        <v>0</v>
      </c>
      <c r="O241" t="n">
        <v>0</v>
      </c>
      <c r="P241" t="n">
        <v>0</v>
      </c>
      <c r="Q241" t="n">
        <v>0</v>
      </c>
      <c r="R241" s="2" t="inlineStr"/>
    </row>
    <row r="242" ht="15" customHeight="1">
      <c r="A242" t="inlineStr">
        <is>
          <t>A 26314-2021</t>
        </is>
      </c>
      <c r="B242" s="1" t="n">
        <v>44347</v>
      </c>
      <c r="C242" s="1" t="n">
        <v>45784</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29697-2021</t>
        </is>
      </c>
      <c r="B243" s="1" t="n">
        <v>44362</v>
      </c>
      <c r="C243" s="1" t="n">
        <v>45784</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30030-2021</t>
        </is>
      </c>
      <c r="B244" s="1" t="n">
        <v>44363</v>
      </c>
      <c r="C244" s="1" t="n">
        <v>45784</v>
      </c>
      <c r="D244" t="inlineStr">
        <is>
          <t>DALARNAS LÄN</t>
        </is>
      </c>
      <c r="E244" t="inlineStr">
        <is>
          <t>MORA</t>
        </is>
      </c>
      <c r="G244" t="n">
        <v>7.1</v>
      </c>
      <c r="H244" t="n">
        <v>0</v>
      </c>
      <c r="I244" t="n">
        <v>0</v>
      </c>
      <c r="J244" t="n">
        <v>0</v>
      </c>
      <c r="K244" t="n">
        <v>0</v>
      </c>
      <c r="L244" t="n">
        <v>0</v>
      </c>
      <c r="M244" t="n">
        <v>0</v>
      </c>
      <c r="N244" t="n">
        <v>0</v>
      </c>
      <c r="O244" t="n">
        <v>0</v>
      </c>
      <c r="P244" t="n">
        <v>0</v>
      </c>
      <c r="Q244" t="n">
        <v>0</v>
      </c>
      <c r="R244" s="2" t="inlineStr"/>
    </row>
    <row r="245" ht="15" customHeight="1">
      <c r="A245" t="inlineStr">
        <is>
          <t>A 30895-2021</t>
        </is>
      </c>
      <c r="B245" s="1" t="n">
        <v>44365</v>
      </c>
      <c r="C245" s="1" t="n">
        <v>45784</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30888-2021</t>
        </is>
      </c>
      <c r="B246" s="1" t="n">
        <v>44365</v>
      </c>
      <c r="C246" s="1" t="n">
        <v>45784</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30905-2021</t>
        </is>
      </c>
      <c r="B247" s="1" t="n">
        <v>44365</v>
      </c>
      <c r="C247" s="1" t="n">
        <v>45784</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31169-2021</t>
        </is>
      </c>
      <c r="B248" s="1" t="n">
        <v>44368</v>
      </c>
      <c r="C248" s="1" t="n">
        <v>45784</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31177-2021</t>
        </is>
      </c>
      <c r="B249" s="1" t="n">
        <v>44368</v>
      </c>
      <c r="C249" s="1" t="n">
        <v>45784</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31689-2021</t>
        </is>
      </c>
      <c r="B250" s="1" t="n">
        <v>44369</v>
      </c>
      <c r="C250" s="1" t="n">
        <v>45784</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31705-2021</t>
        </is>
      </c>
      <c r="B251" s="1" t="n">
        <v>44369</v>
      </c>
      <c r="C251" s="1" t="n">
        <v>45784</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34018-2021</t>
        </is>
      </c>
      <c r="B252" s="1" t="n">
        <v>44379</v>
      </c>
      <c r="C252" s="1" t="n">
        <v>45784</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34660-2021</t>
        </is>
      </c>
      <c r="B253" s="1" t="n">
        <v>44382</v>
      </c>
      <c r="C253" s="1" t="n">
        <v>45784</v>
      </c>
      <c r="D253" t="inlineStr">
        <is>
          <t>DALARNAS LÄN</t>
        </is>
      </c>
      <c r="E253" t="inlineStr">
        <is>
          <t>MORA</t>
        </is>
      </c>
      <c r="G253" t="n">
        <v>7.5</v>
      </c>
      <c r="H253" t="n">
        <v>0</v>
      </c>
      <c r="I253" t="n">
        <v>0</v>
      </c>
      <c r="J253" t="n">
        <v>0</v>
      </c>
      <c r="K253" t="n">
        <v>0</v>
      </c>
      <c r="L253" t="n">
        <v>0</v>
      </c>
      <c r="M253" t="n">
        <v>0</v>
      </c>
      <c r="N253" t="n">
        <v>0</v>
      </c>
      <c r="O253" t="n">
        <v>0</v>
      </c>
      <c r="P253" t="n">
        <v>0</v>
      </c>
      <c r="Q253" t="n">
        <v>0</v>
      </c>
      <c r="R253" s="2" t="inlineStr"/>
    </row>
    <row r="254" ht="15" customHeight="1">
      <c r="A254" t="inlineStr">
        <is>
          <t>A 34715-2021</t>
        </is>
      </c>
      <c r="B254" s="1" t="n">
        <v>44382</v>
      </c>
      <c r="C254" s="1" t="n">
        <v>45784</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34875-2021</t>
        </is>
      </c>
      <c r="B255" s="1" t="n">
        <v>44383</v>
      </c>
      <c r="C255" s="1" t="n">
        <v>45784</v>
      </c>
      <c r="D255" t="inlineStr">
        <is>
          <t>DALARNAS LÄN</t>
        </is>
      </c>
      <c r="E255" t="inlineStr">
        <is>
          <t>MORA</t>
        </is>
      </c>
      <c r="G255" t="n">
        <v>5.2</v>
      </c>
      <c r="H255" t="n">
        <v>0</v>
      </c>
      <c r="I255" t="n">
        <v>0</v>
      </c>
      <c r="J255" t="n">
        <v>0</v>
      </c>
      <c r="K255" t="n">
        <v>0</v>
      </c>
      <c r="L255" t="n">
        <v>0</v>
      </c>
      <c r="M255" t="n">
        <v>0</v>
      </c>
      <c r="N255" t="n">
        <v>0</v>
      </c>
      <c r="O255" t="n">
        <v>0</v>
      </c>
      <c r="P255" t="n">
        <v>0</v>
      </c>
      <c r="Q255" t="n">
        <v>0</v>
      </c>
      <c r="R255" s="2" t="inlineStr"/>
    </row>
    <row r="256" ht="15" customHeight="1">
      <c r="A256" t="inlineStr">
        <is>
          <t>A 35005-2021</t>
        </is>
      </c>
      <c r="B256" s="1" t="n">
        <v>44383</v>
      </c>
      <c r="C256" s="1" t="n">
        <v>45784</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36168-2021</t>
        </is>
      </c>
      <c r="B257" s="1" t="n">
        <v>44389</v>
      </c>
      <c r="C257" s="1" t="n">
        <v>45784</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36184-2021</t>
        </is>
      </c>
      <c r="B258" s="1" t="n">
        <v>44389</v>
      </c>
      <c r="C258" s="1" t="n">
        <v>45784</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36173-2021</t>
        </is>
      </c>
      <c r="B259" s="1" t="n">
        <v>44389</v>
      </c>
      <c r="C259" s="1" t="n">
        <v>45784</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38769-2021</t>
        </is>
      </c>
      <c r="B260" s="1" t="n">
        <v>44410</v>
      </c>
      <c r="C260" s="1" t="n">
        <v>45784</v>
      </c>
      <c r="D260" t="inlineStr">
        <is>
          <t>DALARNAS LÄN</t>
        </is>
      </c>
      <c r="E260" t="inlineStr">
        <is>
          <t>MORA</t>
        </is>
      </c>
      <c r="G260" t="n">
        <v>0.8</v>
      </c>
      <c r="H260" t="n">
        <v>0</v>
      </c>
      <c r="I260" t="n">
        <v>0</v>
      </c>
      <c r="J260" t="n">
        <v>0</v>
      </c>
      <c r="K260" t="n">
        <v>0</v>
      </c>
      <c r="L260" t="n">
        <v>0</v>
      </c>
      <c r="M260" t="n">
        <v>0</v>
      </c>
      <c r="N260" t="n">
        <v>0</v>
      </c>
      <c r="O260" t="n">
        <v>0</v>
      </c>
      <c r="P260" t="n">
        <v>0</v>
      </c>
      <c r="Q260" t="n">
        <v>0</v>
      </c>
      <c r="R260" s="2" t="inlineStr"/>
    </row>
    <row r="261" ht="15" customHeight="1">
      <c r="A261" t="inlineStr">
        <is>
          <t>A 39227-2021</t>
        </is>
      </c>
      <c r="B261" s="1" t="n">
        <v>44413</v>
      </c>
      <c r="C261" s="1" t="n">
        <v>45784</v>
      </c>
      <c r="D261" t="inlineStr">
        <is>
          <t>DALARNAS LÄN</t>
        </is>
      </c>
      <c r="E261" t="inlineStr">
        <is>
          <t>MORA</t>
        </is>
      </c>
      <c r="G261" t="n">
        <v>3.3</v>
      </c>
      <c r="H261" t="n">
        <v>0</v>
      </c>
      <c r="I261" t="n">
        <v>0</v>
      </c>
      <c r="J261" t="n">
        <v>0</v>
      </c>
      <c r="K261" t="n">
        <v>0</v>
      </c>
      <c r="L261" t="n">
        <v>0</v>
      </c>
      <c r="M261" t="n">
        <v>0</v>
      </c>
      <c r="N261" t="n">
        <v>0</v>
      </c>
      <c r="O261" t="n">
        <v>0</v>
      </c>
      <c r="P261" t="n">
        <v>0</v>
      </c>
      <c r="Q261" t="n">
        <v>0</v>
      </c>
      <c r="R261" s="2" t="inlineStr"/>
    </row>
    <row r="262" ht="15" customHeight="1">
      <c r="A262" t="inlineStr">
        <is>
          <t>A 39198-2021</t>
        </is>
      </c>
      <c r="B262" s="1" t="n">
        <v>44413</v>
      </c>
      <c r="C262" s="1" t="n">
        <v>45784</v>
      </c>
      <c r="D262" t="inlineStr">
        <is>
          <t>DALARNAS LÄN</t>
        </is>
      </c>
      <c r="E262" t="inlineStr">
        <is>
          <t>MORA</t>
        </is>
      </c>
      <c r="G262" t="n">
        <v>4.6</v>
      </c>
      <c r="H262" t="n">
        <v>0</v>
      </c>
      <c r="I262" t="n">
        <v>0</v>
      </c>
      <c r="J262" t="n">
        <v>0</v>
      </c>
      <c r="K262" t="n">
        <v>0</v>
      </c>
      <c r="L262" t="n">
        <v>0</v>
      </c>
      <c r="M262" t="n">
        <v>0</v>
      </c>
      <c r="N262" t="n">
        <v>0</v>
      </c>
      <c r="O262" t="n">
        <v>0</v>
      </c>
      <c r="P262" t="n">
        <v>0</v>
      </c>
      <c r="Q262" t="n">
        <v>0</v>
      </c>
      <c r="R262" s="2" t="inlineStr"/>
    </row>
    <row r="263" ht="15" customHeight="1">
      <c r="A263" t="inlineStr">
        <is>
          <t>A 39672-2021</t>
        </is>
      </c>
      <c r="B263" s="1" t="n">
        <v>44417</v>
      </c>
      <c r="C263" s="1" t="n">
        <v>45784</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41022-2021</t>
        </is>
      </c>
      <c r="B264" s="1" t="n">
        <v>44421</v>
      </c>
      <c r="C264" s="1" t="n">
        <v>45784</v>
      </c>
      <c r="D264" t="inlineStr">
        <is>
          <t>DALARNAS LÄN</t>
        </is>
      </c>
      <c r="E264" t="inlineStr">
        <is>
          <t>MORA</t>
        </is>
      </c>
      <c r="G264" t="n">
        <v>11.9</v>
      </c>
      <c r="H264" t="n">
        <v>0</v>
      </c>
      <c r="I264" t="n">
        <v>0</v>
      </c>
      <c r="J264" t="n">
        <v>0</v>
      </c>
      <c r="K264" t="n">
        <v>0</v>
      </c>
      <c r="L264" t="n">
        <v>0</v>
      </c>
      <c r="M264" t="n">
        <v>0</v>
      </c>
      <c r="N264" t="n">
        <v>0</v>
      </c>
      <c r="O264" t="n">
        <v>0</v>
      </c>
      <c r="P264" t="n">
        <v>0</v>
      </c>
      <c r="Q264" t="n">
        <v>0</v>
      </c>
      <c r="R264" s="2" t="inlineStr"/>
    </row>
    <row r="265" ht="15" customHeight="1">
      <c r="A265" t="inlineStr">
        <is>
          <t>A 41028-2021</t>
        </is>
      </c>
      <c r="B265" s="1" t="n">
        <v>44421</v>
      </c>
      <c r="C265" s="1" t="n">
        <v>45784</v>
      </c>
      <c r="D265" t="inlineStr">
        <is>
          <t>DALARNAS LÄN</t>
        </is>
      </c>
      <c r="E265" t="inlineStr">
        <is>
          <t>MORA</t>
        </is>
      </c>
      <c r="G265" t="n">
        <v>7.2</v>
      </c>
      <c r="H265" t="n">
        <v>0</v>
      </c>
      <c r="I265" t="n">
        <v>0</v>
      </c>
      <c r="J265" t="n">
        <v>0</v>
      </c>
      <c r="K265" t="n">
        <v>0</v>
      </c>
      <c r="L265" t="n">
        <v>0</v>
      </c>
      <c r="M265" t="n">
        <v>0</v>
      </c>
      <c r="N265" t="n">
        <v>0</v>
      </c>
      <c r="O265" t="n">
        <v>0</v>
      </c>
      <c r="P265" t="n">
        <v>0</v>
      </c>
      <c r="Q265" t="n">
        <v>0</v>
      </c>
      <c r="R265" s="2" t="inlineStr"/>
    </row>
    <row r="266" ht="15" customHeight="1">
      <c r="A266" t="inlineStr">
        <is>
          <t>A 41032-2021</t>
        </is>
      </c>
      <c r="B266" s="1" t="n">
        <v>44421</v>
      </c>
      <c r="C266" s="1" t="n">
        <v>45784</v>
      </c>
      <c r="D266" t="inlineStr">
        <is>
          <t>DALARNAS LÄN</t>
        </is>
      </c>
      <c r="E266" t="inlineStr">
        <is>
          <t>MORA</t>
        </is>
      </c>
      <c r="G266" t="n">
        <v>4.1</v>
      </c>
      <c r="H266" t="n">
        <v>0</v>
      </c>
      <c r="I266" t="n">
        <v>0</v>
      </c>
      <c r="J266" t="n">
        <v>0</v>
      </c>
      <c r="K266" t="n">
        <v>0</v>
      </c>
      <c r="L266" t="n">
        <v>0</v>
      </c>
      <c r="M266" t="n">
        <v>0</v>
      </c>
      <c r="N266" t="n">
        <v>0</v>
      </c>
      <c r="O266" t="n">
        <v>0</v>
      </c>
      <c r="P266" t="n">
        <v>0</v>
      </c>
      <c r="Q266" t="n">
        <v>0</v>
      </c>
      <c r="R266" s="2" t="inlineStr"/>
    </row>
    <row r="267" ht="15" customHeight="1">
      <c r="A267" t="inlineStr">
        <is>
          <t>A 41121-2021</t>
        </is>
      </c>
      <c r="B267" s="1" t="n">
        <v>44423</v>
      </c>
      <c r="C267" s="1" t="n">
        <v>45784</v>
      </c>
      <c r="D267" t="inlineStr">
        <is>
          <t>DALARNAS LÄN</t>
        </is>
      </c>
      <c r="E267" t="inlineStr">
        <is>
          <t>MORA</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42508-2021</t>
        </is>
      </c>
      <c r="B268" s="1" t="n">
        <v>44427</v>
      </c>
      <c r="C268" s="1" t="n">
        <v>45784</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42505-2021</t>
        </is>
      </c>
      <c r="B269" s="1" t="n">
        <v>44427</v>
      </c>
      <c r="C269" s="1" t="n">
        <v>45784</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43458-2021</t>
        </is>
      </c>
      <c r="B270" s="1" t="n">
        <v>44432</v>
      </c>
      <c r="C270" s="1" t="n">
        <v>45784</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44307-2021</t>
        </is>
      </c>
      <c r="B271" s="1" t="n">
        <v>44435</v>
      </c>
      <c r="C271" s="1" t="n">
        <v>45784</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44756-2021</t>
        </is>
      </c>
      <c r="B272" s="1" t="n">
        <v>44438</v>
      </c>
      <c r="C272" s="1" t="n">
        <v>45784</v>
      </c>
      <c r="D272" t="inlineStr">
        <is>
          <t>DALARNAS LÄN</t>
        </is>
      </c>
      <c r="E272" t="inlineStr">
        <is>
          <t>MORA</t>
        </is>
      </c>
      <c r="G272" t="n">
        <v>2.8</v>
      </c>
      <c r="H272" t="n">
        <v>0</v>
      </c>
      <c r="I272" t="n">
        <v>0</v>
      </c>
      <c r="J272" t="n">
        <v>0</v>
      </c>
      <c r="K272" t="n">
        <v>0</v>
      </c>
      <c r="L272" t="n">
        <v>0</v>
      </c>
      <c r="M272" t="n">
        <v>0</v>
      </c>
      <c r="N272" t="n">
        <v>0</v>
      </c>
      <c r="O272" t="n">
        <v>0</v>
      </c>
      <c r="P272" t="n">
        <v>0</v>
      </c>
      <c r="Q272" t="n">
        <v>0</v>
      </c>
      <c r="R272" s="2" t="inlineStr"/>
    </row>
    <row r="273" ht="15" customHeight="1">
      <c r="A273" t="inlineStr">
        <is>
          <t>A 44769-2021</t>
        </is>
      </c>
      <c r="B273" s="1" t="n">
        <v>44438</v>
      </c>
      <c r="C273" s="1" t="n">
        <v>45784</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44765-2021</t>
        </is>
      </c>
      <c r="B274" s="1" t="n">
        <v>44438</v>
      </c>
      <c r="C274" s="1" t="n">
        <v>45784</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45453-2021</t>
        </is>
      </c>
      <c r="B275" s="1" t="n">
        <v>44440</v>
      </c>
      <c r="C275" s="1" t="n">
        <v>45784</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45765-2021</t>
        </is>
      </c>
      <c r="B276" s="1" t="n">
        <v>44441</v>
      </c>
      <c r="C276" s="1" t="n">
        <v>45784</v>
      </c>
      <c r="D276" t="inlineStr">
        <is>
          <t>DALARNAS LÄN</t>
        </is>
      </c>
      <c r="E276" t="inlineStr">
        <is>
          <t>MORA</t>
        </is>
      </c>
      <c r="G276" t="n">
        <v>1.8</v>
      </c>
      <c r="H276" t="n">
        <v>0</v>
      </c>
      <c r="I276" t="n">
        <v>0</v>
      </c>
      <c r="J276" t="n">
        <v>0</v>
      </c>
      <c r="K276" t="n">
        <v>0</v>
      </c>
      <c r="L276" t="n">
        <v>0</v>
      </c>
      <c r="M276" t="n">
        <v>0</v>
      </c>
      <c r="N276" t="n">
        <v>0</v>
      </c>
      <c r="O276" t="n">
        <v>0</v>
      </c>
      <c r="P276" t="n">
        <v>0</v>
      </c>
      <c r="Q276" t="n">
        <v>0</v>
      </c>
      <c r="R276" s="2" t="inlineStr"/>
    </row>
    <row r="277" ht="15" customHeight="1">
      <c r="A277" t="inlineStr">
        <is>
          <t>A 45770-2021</t>
        </is>
      </c>
      <c r="B277" s="1" t="n">
        <v>44441</v>
      </c>
      <c r="C277" s="1" t="n">
        <v>45784</v>
      </c>
      <c r="D277" t="inlineStr">
        <is>
          <t>DALARNAS LÄN</t>
        </is>
      </c>
      <c r="E277" t="inlineStr">
        <is>
          <t>MORA</t>
        </is>
      </c>
      <c r="G277" t="n">
        <v>23.1</v>
      </c>
      <c r="H277" t="n">
        <v>0</v>
      </c>
      <c r="I277" t="n">
        <v>0</v>
      </c>
      <c r="J277" t="n">
        <v>0</v>
      </c>
      <c r="K277" t="n">
        <v>0</v>
      </c>
      <c r="L277" t="n">
        <v>0</v>
      </c>
      <c r="M277" t="n">
        <v>0</v>
      </c>
      <c r="N277" t="n">
        <v>0</v>
      </c>
      <c r="O277" t="n">
        <v>0</v>
      </c>
      <c r="P277" t="n">
        <v>0</v>
      </c>
      <c r="Q277" t="n">
        <v>0</v>
      </c>
      <c r="R277" s="2" t="inlineStr"/>
    </row>
    <row r="278" ht="15" customHeight="1">
      <c r="A278" t="inlineStr">
        <is>
          <t>A 47477-2021</t>
        </is>
      </c>
      <c r="B278" s="1" t="n">
        <v>44447</v>
      </c>
      <c r="C278" s="1" t="n">
        <v>45784</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48000-2021</t>
        </is>
      </c>
      <c r="B279" s="1" t="n">
        <v>44449</v>
      </c>
      <c r="C279" s="1" t="n">
        <v>45784</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48354-2021</t>
        </is>
      </c>
      <c r="B280" s="1" t="n">
        <v>44451</v>
      </c>
      <c r="C280" s="1" t="n">
        <v>45784</v>
      </c>
      <c r="D280" t="inlineStr">
        <is>
          <t>DALARNAS LÄN</t>
        </is>
      </c>
      <c r="E280" t="inlineStr">
        <is>
          <t>MORA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49572-2021</t>
        </is>
      </c>
      <c r="B281" s="1" t="n">
        <v>44455</v>
      </c>
      <c r="C281" s="1" t="n">
        <v>45784</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49583-2021</t>
        </is>
      </c>
      <c r="B282" s="1" t="n">
        <v>44455</v>
      </c>
      <c r="C282" s="1" t="n">
        <v>45784</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49578-2021</t>
        </is>
      </c>
      <c r="B283" s="1" t="n">
        <v>44455</v>
      </c>
      <c r="C283" s="1" t="n">
        <v>45784</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50255-2021</t>
        </is>
      </c>
      <c r="B284" s="1" t="n">
        <v>44458</v>
      </c>
      <c r="C284" s="1" t="n">
        <v>45784</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50620-2021</t>
        </is>
      </c>
      <c r="B285" s="1" t="n">
        <v>44459</v>
      </c>
      <c r="C285" s="1" t="n">
        <v>45784</v>
      </c>
      <c r="D285" t="inlineStr">
        <is>
          <t>DALARNAS LÄN</t>
        </is>
      </c>
      <c r="E285" t="inlineStr">
        <is>
          <t>MORA</t>
        </is>
      </c>
      <c r="G285" t="n">
        <v>4.4</v>
      </c>
      <c r="H285" t="n">
        <v>0</v>
      </c>
      <c r="I285" t="n">
        <v>0</v>
      </c>
      <c r="J285" t="n">
        <v>0</v>
      </c>
      <c r="K285" t="n">
        <v>0</v>
      </c>
      <c r="L285" t="n">
        <v>0</v>
      </c>
      <c r="M285" t="n">
        <v>0</v>
      </c>
      <c r="N285" t="n">
        <v>0</v>
      </c>
      <c r="O285" t="n">
        <v>0</v>
      </c>
      <c r="P285" t="n">
        <v>0</v>
      </c>
      <c r="Q285" t="n">
        <v>0</v>
      </c>
      <c r="R285" s="2" t="inlineStr"/>
    </row>
    <row r="286" ht="15" customHeight="1">
      <c r="A286" t="inlineStr">
        <is>
          <t>A 51850-2021</t>
        </is>
      </c>
      <c r="B286" s="1" t="n">
        <v>44462</v>
      </c>
      <c r="C286" s="1" t="n">
        <v>45784</v>
      </c>
      <c r="D286" t="inlineStr">
        <is>
          <t>DALARNAS LÄN</t>
        </is>
      </c>
      <c r="E286" t="inlineStr">
        <is>
          <t>MORA</t>
        </is>
      </c>
      <c r="F286" t="inlineStr">
        <is>
          <t>Bergvik skog väst AB</t>
        </is>
      </c>
      <c r="G286" t="n">
        <v>6.1</v>
      </c>
      <c r="H286" t="n">
        <v>0</v>
      </c>
      <c r="I286" t="n">
        <v>0</v>
      </c>
      <c r="J286" t="n">
        <v>0</v>
      </c>
      <c r="K286" t="n">
        <v>0</v>
      </c>
      <c r="L286" t="n">
        <v>0</v>
      </c>
      <c r="M286" t="n">
        <v>0</v>
      </c>
      <c r="N286" t="n">
        <v>0</v>
      </c>
      <c r="O286" t="n">
        <v>0</v>
      </c>
      <c r="P286" t="n">
        <v>0</v>
      </c>
      <c r="Q286" t="n">
        <v>0</v>
      </c>
      <c r="R286" s="2" t="inlineStr"/>
    </row>
    <row r="287" ht="15" customHeight="1">
      <c r="A287" t="inlineStr">
        <is>
          <t>A 52573-2021</t>
        </is>
      </c>
      <c r="B287" s="1" t="n">
        <v>44466</v>
      </c>
      <c r="C287" s="1" t="n">
        <v>45784</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54239-2021</t>
        </is>
      </c>
      <c r="B288" s="1" t="n">
        <v>44470</v>
      </c>
      <c r="C288" s="1" t="n">
        <v>45784</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54398-2021</t>
        </is>
      </c>
      <c r="B289" s="1" t="n">
        <v>44473</v>
      </c>
      <c r="C289" s="1" t="n">
        <v>45784</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54409-2021</t>
        </is>
      </c>
      <c r="B290" s="1" t="n">
        <v>44473</v>
      </c>
      <c r="C290" s="1" t="n">
        <v>45784</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56501-2021</t>
        </is>
      </c>
      <c r="B291" s="1" t="n">
        <v>44480</v>
      </c>
      <c r="C291" s="1" t="n">
        <v>45784</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45784</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57088-2021</t>
        </is>
      </c>
      <c r="B293" s="1" t="n">
        <v>44482</v>
      </c>
      <c r="C293" s="1" t="n">
        <v>45784</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57110-2021</t>
        </is>
      </c>
      <c r="B294" s="1" t="n">
        <v>44482</v>
      </c>
      <c r="C294" s="1" t="n">
        <v>45784</v>
      </c>
      <c r="D294" t="inlineStr">
        <is>
          <t>DALARNAS LÄN</t>
        </is>
      </c>
      <c r="E294" t="inlineStr">
        <is>
          <t>MORA</t>
        </is>
      </c>
      <c r="G294" t="n">
        <v>5.4</v>
      </c>
      <c r="H294" t="n">
        <v>0</v>
      </c>
      <c r="I294" t="n">
        <v>0</v>
      </c>
      <c r="J294" t="n">
        <v>0</v>
      </c>
      <c r="K294" t="n">
        <v>0</v>
      </c>
      <c r="L294" t="n">
        <v>0</v>
      </c>
      <c r="M294" t="n">
        <v>0</v>
      </c>
      <c r="N294" t="n">
        <v>0</v>
      </c>
      <c r="O294" t="n">
        <v>0</v>
      </c>
      <c r="P294" t="n">
        <v>0</v>
      </c>
      <c r="Q294" t="n">
        <v>0</v>
      </c>
      <c r="R294" s="2" t="inlineStr"/>
    </row>
    <row r="295" ht="15" customHeight="1">
      <c r="A295" t="inlineStr">
        <is>
          <t>A 57608-2021</t>
        </is>
      </c>
      <c r="B295" s="1" t="n">
        <v>44484</v>
      </c>
      <c r="C295" s="1" t="n">
        <v>45784</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58057-2021</t>
        </is>
      </c>
      <c r="B296" s="1" t="n">
        <v>44487</v>
      </c>
      <c r="C296" s="1" t="n">
        <v>45784</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58413-2021</t>
        </is>
      </c>
      <c r="B297" s="1" t="n">
        <v>44488</v>
      </c>
      <c r="C297" s="1" t="n">
        <v>45784</v>
      </c>
      <c r="D297" t="inlineStr">
        <is>
          <t>DALARNAS LÄN</t>
        </is>
      </c>
      <c r="E297" t="inlineStr">
        <is>
          <t>MORA</t>
        </is>
      </c>
      <c r="F297" t="inlineStr">
        <is>
          <t>Bergvik skog öst AB</t>
        </is>
      </c>
      <c r="G297" t="n">
        <v>5.3</v>
      </c>
      <c r="H297" t="n">
        <v>0</v>
      </c>
      <c r="I297" t="n">
        <v>0</v>
      </c>
      <c r="J297" t="n">
        <v>0</v>
      </c>
      <c r="K297" t="n">
        <v>0</v>
      </c>
      <c r="L297" t="n">
        <v>0</v>
      </c>
      <c r="M297" t="n">
        <v>0</v>
      </c>
      <c r="N297" t="n">
        <v>0</v>
      </c>
      <c r="O297" t="n">
        <v>0</v>
      </c>
      <c r="P297" t="n">
        <v>0</v>
      </c>
      <c r="Q297" t="n">
        <v>0</v>
      </c>
      <c r="R297" s="2" t="inlineStr"/>
    </row>
    <row r="298" ht="15" customHeight="1">
      <c r="A298" t="inlineStr">
        <is>
          <t>A 60150-2021</t>
        </is>
      </c>
      <c r="B298" s="1" t="n">
        <v>44488</v>
      </c>
      <c r="C298" s="1" t="n">
        <v>45784</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58690-2021</t>
        </is>
      </c>
      <c r="B299" s="1" t="n">
        <v>44489</v>
      </c>
      <c r="C299" s="1" t="n">
        <v>45784</v>
      </c>
      <c r="D299" t="inlineStr">
        <is>
          <t>DALARNAS LÄN</t>
        </is>
      </c>
      <c r="E299" t="inlineStr">
        <is>
          <t>MORA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58961-2021</t>
        </is>
      </c>
      <c r="B300" s="1" t="n">
        <v>44490</v>
      </c>
      <c r="C300" s="1" t="n">
        <v>45784</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59899-2021</t>
        </is>
      </c>
      <c r="B301" s="1" t="n">
        <v>44494</v>
      </c>
      <c r="C301" s="1" t="n">
        <v>45784</v>
      </c>
      <c r="D301" t="inlineStr">
        <is>
          <t>DALARNAS LÄN</t>
        </is>
      </c>
      <c r="E301" t="inlineStr">
        <is>
          <t>MORA</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60847-2021</t>
        </is>
      </c>
      <c r="B302" s="1" t="n">
        <v>44497</v>
      </c>
      <c r="C302" s="1" t="n">
        <v>45784</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63089-2021</t>
        </is>
      </c>
      <c r="B303" s="1" t="n">
        <v>44505</v>
      </c>
      <c r="C303" s="1" t="n">
        <v>45784</v>
      </c>
      <c r="D303" t="inlineStr">
        <is>
          <t>DALARNAS LÄN</t>
        </is>
      </c>
      <c r="E303" t="inlineStr">
        <is>
          <t>MORA</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63088-2021</t>
        </is>
      </c>
      <c r="B304" s="1" t="n">
        <v>44505</v>
      </c>
      <c r="C304" s="1" t="n">
        <v>45784</v>
      </c>
      <c r="D304" t="inlineStr">
        <is>
          <t>DALARNAS LÄN</t>
        </is>
      </c>
      <c r="E304" t="inlineStr">
        <is>
          <t>MORA</t>
        </is>
      </c>
      <c r="F304" t="inlineStr">
        <is>
          <t>Bergvik skog väst AB</t>
        </is>
      </c>
      <c r="G304" t="n">
        <v>6.8</v>
      </c>
      <c r="H304" t="n">
        <v>0</v>
      </c>
      <c r="I304" t="n">
        <v>0</v>
      </c>
      <c r="J304" t="n">
        <v>0</v>
      </c>
      <c r="K304" t="n">
        <v>0</v>
      </c>
      <c r="L304" t="n">
        <v>0</v>
      </c>
      <c r="M304" t="n">
        <v>0</v>
      </c>
      <c r="N304" t="n">
        <v>0</v>
      </c>
      <c r="O304" t="n">
        <v>0</v>
      </c>
      <c r="P304" t="n">
        <v>0</v>
      </c>
      <c r="Q304" t="n">
        <v>0</v>
      </c>
      <c r="R304" s="2" t="inlineStr"/>
    </row>
    <row r="305" ht="15" customHeight="1">
      <c r="A305" t="inlineStr">
        <is>
          <t>A 63000-2021</t>
        </is>
      </c>
      <c r="B305" s="1" t="n">
        <v>44505</v>
      </c>
      <c r="C305" s="1" t="n">
        <v>45784</v>
      </c>
      <c r="D305" t="inlineStr">
        <is>
          <t>DALARNAS LÄN</t>
        </is>
      </c>
      <c r="E305" t="inlineStr">
        <is>
          <t>MORA</t>
        </is>
      </c>
      <c r="F305" t="inlineStr">
        <is>
          <t>Bergvik skog väst AB</t>
        </is>
      </c>
      <c r="G305" t="n">
        <v>7.3</v>
      </c>
      <c r="H305" t="n">
        <v>0</v>
      </c>
      <c r="I305" t="n">
        <v>0</v>
      </c>
      <c r="J305" t="n">
        <v>0</v>
      </c>
      <c r="K305" t="n">
        <v>0</v>
      </c>
      <c r="L305" t="n">
        <v>0</v>
      </c>
      <c r="M305" t="n">
        <v>0</v>
      </c>
      <c r="N305" t="n">
        <v>0</v>
      </c>
      <c r="O305" t="n">
        <v>0</v>
      </c>
      <c r="P305" t="n">
        <v>0</v>
      </c>
      <c r="Q305" t="n">
        <v>0</v>
      </c>
      <c r="R305" s="2" t="inlineStr"/>
    </row>
    <row r="306" ht="15" customHeight="1">
      <c r="A306" t="inlineStr">
        <is>
          <t>A 63552-2021</t>
        </is>
      </c>
      <c r="B306" s="1" t="n">
        <v>44508</v>
      </c>
      <c r="C306" s="1" t="n">
        <v>45784</v>
      </c>
      <c r="D306" t="inlineStr">
        <is>
          <t>DALARNAS LÄN</t>
        </is>
      </c>
      <c r="E306" t="inlineStr">
        <is>
          <t>MORA</t>
        </is>
      </c>
      <c r="F306" t="inlineStr">
        <is>
          <t>Bergvik skog väst AB</t>
        </is>
      </c>
      <c r="G306" t="n">
        <v>17.1</v>
      </c>
      <c r="H306" t="n">
        <v>0</v>
      </c>
      <c r="I306" t="n">
        <v>0</v>
      </c>
      <c r="J306" t="n">
        <v>0</v>
      </c>
      <c r="K306" t="n">
        <v>0</v>
      </c>
      <c r="L306" t="n">
        <v>0</v>
      </c>
      <c r="M306" t="n">
        <v>0</v>
      </c>
      <c r="N306" t="n">
        <v>0</v>
      </c>
      <c r="O306" t="n">
        <v>0</v>
      </c>
      <c r="P306" t="n">
        <v>0</v>
      </c>
      <c r="Q306" t="n">
        <v>0</v>
      </c>
      <c r="R306" s="2" t="inlineStr"/>
    </row>
    <row r="307" ht="15" customHeight="1">
      <c r="A307" t="inlineStr">
        <is>
          <t>A 63690-2021</t>
        </is>
      </c>
      <c r="B307" s="1" t="n">
        <v>44509</v>
      </c>
      <c r="C307" s="1" t="n">
        <v>45784</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65262-2021</t>
        </is>
      </c>
      <c r="B308" s="1" t="n">
        <v>44515</v>
      </c>
      <c r="C308" s="1" t="n">
        <v>45784</v>
      </c>
      <c r="D308" t="inlineStr">
        <is>
          <t>DALARNAS LÄN</t>
        </is>
      </c>
      <c r="E308" t="inlineStr">
        <is>
          <t>MORA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65186-2021</t>
        </is>
      </c>
      <c r="B309" s="1" t="n">
        <v>44515</v>
      </c>
      <c r="C309" s="1" t="n">
        <v>45784</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65258-2021</t>
        </is>
      </c>
      <c r="B310" s="1" t="n">
        <v>44515</v>
      </c>
      <c r="C310" s="1" t="n">
        <v>45784</v>
      </c>
      <c r="D310" t="inlineStr">
        <is>
          <t>DALARNAS LÄN</t>
        </is>
      </c>
      <c r="E310" t="inlineStr">
        <is>
          <t>MORA</t>
        </is>
      </c>
      <c r="F310" t="inlineStr">
        <is>
          <t>Bergvik skog väst AB</t>
        </is>
      </c>
      <c r="G310" t="n">
        <v>8.4</v>
      </c>
      <c r="H310" t="n">
        <v>0</v>
      </c>
      <c r="I310" t="n">
        <v>0</v>
      </c>
      <c r="J310" t="n">
        <v>0</v>
      </c>
      <c r="K310" t="n">
        <v>0</v>
      </c>
      <c r="L310" t="n">
        <v>0</v>
      </c>
      <c r="M310" t="n">
        <v>0</v>
      </c>
      <c r="N310" t="n">
        <v>0</v>
      </c>
      <c r="O310" t="n">
        <v>0</v>
      </c>
      <c r="P310" t="n">
        <v>0</v>
      </c>
      <c r="Q310" t="n">
        <v>0</v>
      </c>
      <c r="R310" s="2" t="inlineStr"/>
    </row>
    <row r="311" ht="15" customHeight="1">
      <c r="A311" t="inlineStr">
        <is>
          <t>A 65253-2021</t>
        </is>
      </c>
      <c r="B311" s="1" t="n">
        <v>44515</v>
      </c>
      <c r="C311" s="1" t="n">
        <v>45784</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65527-2021</t>
        </is>
      </c>
      <c r="B312" s="1" t="n">
        <v>44516</v>
      </c>
      <c r="C312" s="1" t="n">
        <v>45784</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65727-2021</t>
        </is>
      </c>
      <c r="B313" s="1" t="n">
        <v>44516</v>
      </c>
      <c r="C313" s="1" t="n">
        <v>45784</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66157-2021</t>
        </is>
      </c>
      <c r="B314" s="1" t="n">
        <v>44517</v>
      </c>
      <c r="C314" s="1" t="n">
        <v>45784</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66158-2021</t>
        </is>
      </c>
      <c r="B315" s="1" t="n">
        <v>44517</v>
      </c>
      <c r="C315" s="1" t="n">
        <v>45784</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66232-2021</t>
        </is>
      </c>
      <c r="B316" s="1" t="n">
        <v>44518</v>
      </c>
      <c r="C316" s="1" t="n">
        <v>45784</v>
      </c>
      <c r="D316" t="inlineStr">
        <is>
          <t>DALARNAS LÄN</t>
        </is>
      </c>
      <c r="E316" t="inlineStr">
        <is>
          <t>MORA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66639-2021</t>
        </is>
      </c>
      <c r="B317" s="1" t="n">
        <v>44519</v>
      </c>
      <c r="C317" s="1" t="n">
        <v>45784</v>
      </c>
      <c r="D317" t="inlineStr">
        <is>
          <t>DALARNAS LÄN</t>
        </is>
      </c>
      <c r="E317" t="inlineStr">
        <is>
          <t>MORA</t>
        </is>
      </c>
      <c r="G317" t="n">
        <v>10</v>
      </c>
      <c r="H317" t="n">
        <v>0</v>
      </c>
      <c r="I317" t="n">
        <v>0</v>
      </c>
      <c r="J317" t="n">
        <v>0</v>
      </c>
      <c r="K317" t="n">
        <v>0</v>
      </c>
      <c r="L317" t="n">
        <v>0</v>
      </c>
      <c r="M317" t="n">
        <v>0</v>
      </c>
      <c r="N317" t="n">
        <v>0</v>
      </c>
      <c r="O317" t="n">
        <v>0</v>
      </c>
      <c r="P317" t="n">
        <v>0</v>
      </c>
      <c r="Q317" t="n">
        <v>0</v>
      </c>
      <c r="R317" s="2" t="inlineStr"/>
    </row>
    <row r="318" ht="15" customHeight="1">
      <c r="A318" t="inlineStr">
        <is>
          <t>A 67045-2021</t>
        </is>
      </c>
      <c r="B318" s="1" t="n">
        <v>44522</v>
      </c>
      <c r="C318" s="1" t="n">
        <v>45784</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67125-2021</t>
        </is>
      </c>
      <c r="B319" s="1" t="n">
        <v>44523</v>
      </c>
      <c r="C319" s="1" t="n">
        <v>45784</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67316-2021</t>
        </is>
      </c>
      <c r="B320" s="1" t="n">
        <v>44523</v>
      </c>
      <c r="C320" s="1" t="n">
        <v>45784</v>
      </c>
      <c r="D320" t="inlineStr">
        <is>
          <t>DALARNAS LÄN</t>
        </is>
      </c>
      <c r="E320" t="inlineStr">
        <is>
          <t>MORA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67318-2021</t>
        </is>
      </c>
      <c r="B321" s="1" t="n">
        <v>44523</v>
      </c>
      <c r="C321" s="1" t="n">
        <v>45784</v>
      </c>
      <c r="D321" t="inlineStr">
        <is>
          <t>DALARNAS LÄN</t>
        </is>
      </c>
      <c r="E321" t="inlineStr">
        <is>
          <t>MORA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67932-2021</t>
        </is>
      </c>
      <c r="B322" s="1" t="n">
        <v>44525</v>
      </c>
      <c r="C322" s="1" t="n">
        <v>45784</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68415-2021</t>
        </is>
      </c>
      <c r="B323" s="1" t="n">
        <v>44529</v>
      </c>
      <c r="C323" s="1" t="n">
        <v>45784</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68966-2021</t>
        </is>
      </c>
      <c r="B324" s="1" t="n">
        <v>44530</v>
      </c>
      <c r="C324" s="1" t="n">
        <v>45784</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69483-2021</t>
        </is>
      </c>
      <c r="B325" s="1" t="n">
        <v>44531</v>
      </c>
      <c r="C325" s="1" t="n">
        <v>45784</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70065-2021</t>
        </is>
      </c>
      <c r="B326" s="1" t="n">
        <v>44533</v>
      </c>
      <c r="C326" s="1" t="n">
        <v>45784</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70141-2021</t>
        </is>
      </c>
      <c r="B327" s="1" t="n">
        <v>44533</v>
      </c>
      <c r="C327" s="1" t="n">
        <v>45784</v>
      </c>
      <c r="D327" t="inlineStr">
        <is>
          <t>DALARNAS LÄN</t>
        </is>
      </c>
      <c r="E327" t="inlineStr">
        <is>
          <t>MORA</t>
        </is>
      </c>
      <c r="G327" t="n">
        <v>4.1</v>
      </c>
      <c r="H327" t="n">
        <v>0</v>
      </c>
      <c r="I327" t="n">
        <v>0</v>
      </c>
      <c r="J327" t="n">
        <v>0</v>
      </c>
      <c r="K327" t="n">
        <v>0</v>
      </c>
      <c r="L327" t="n">
        <v>0</v>
      </c>
      <c r="M327" t="n">
        <v>0</v>
      </c>
      <c r="N327" t="n">
        <v>0</v>
      </c>
      <c r="O327" t="n">
        <v>0</v>
      </c>
      <c r="P327" t="n">
        <v>0</v>
      </c>
      <c r="Q327" t="n">
        <v>0</v>
      </c>
      <c r="R327" s="2" t="inlineStr"/>
    </row>
    <row r="328" ht="15" customHeight="1">
      <c r="A328" t="inlineStr">
        <is>
          <t>A 71702-2021</t>
        </is>
      </c>
      <c r="B328" s="1" t="n">
        <v>44543</v>
      </c>
      <c r="C328" s="1" t="n">
        <v>45784</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72333-2021</t>
        </is>
      </c>
      <c r="B329" s="1" t="n">
        <v>44545</v>
      </c>
      <c r="C329" s="1" t="n">
        <v>45784</v>
      </c>
      <c r="D329" t="inlineStr">
        <is>
          <t>DALARNAS LÄN</t>
        </is>
      </c>
      <c r="E329" t="inlineStr">
        <is>
          <t>MORA</t>
        </is>
      </c>
      <c r="F329" t="inlineStr">
        <is>
          <t>Allmännings- och besparingsskogar</t>
        </is>
      </c>
      <c r="G329" t="n">
        <v>0.6</v>
      </c>
      <c r="H329" t="n">
        <v>0</v>
      </c>
      <c r="I329" t="n">
        <v>0</v>
      </c>
      <c r="J329" t="n">
        <v>0</v>
      </c>
      <c r="K329" t="n">
        <v>0</v>
      </c>
      <c r="L329" t="n">
        <v>0</v>
      </c>
      <c r="M329" t="n">
        <v>0</v>
      </c>
      <c r="N329" t="n">
        <v>0</v>
      </c>
      <c r="O329" t="n">
        <v>0</v>
      </c>
      <c r="P329" t="n">
        <v>0</v>
      </c>
      <c r="Q329" t="n">
        <v>0</v>
      </c>
      <c r="R329" s="2" t="inlineStr"/>
    </row>
    <row r="330" ht="15" customHeight="1">
      <c r="A330" t="inlineStr">
        <is>
          <t>A 72439-2021</t>
        </is>
      </c>
      <c r="B330" s="1" t="n">
        <v>44545</v>
      </c>
      <c r="C330" s="1" t="n">
        <v>45784</v>
      </c>
      <c r="D330" t="inlineStr">
        <is>
          <t>DALARNAS LÄN</t>
        </is>
      </c>
      <c r="E330" t="inlineStr">
        <is>
          <t>MORA</t>
        </is>
      </c>
      <c r="F330" t="inlineStr">
        <is>
          <t>Allmännings- och besparingsskogar</t>
        </is>
      </c>
      <c r="G330" t="n">
        <v>8.5</v>
      </c>
      <c r="H330" t="n">
        <v>0</v>
      </c>
      <c r="I330" t="n">
        <v>0</v>
      </c>
      <c r="J330" t="n">
        <v>0</v>
      </c>
      <c r="K330" t="n">
        <v>0</v>
      </c>
      <c r="L330" t="n">
        <v>0</v>
      </c>
      <c r="M330" t="n">
        <v>0</v>
      </c>
      <c r="N330" t="n">
        <v>0</v>
      </c>
      <c r="O330" t="n">
        <v>0</v>
      </c>
      <c r="P330" t="n">
        <v>0</v>
      </c>
      <c r="Q330" t="n">
        <v>0</v>
      </c>
      <c r="R330" s="2" t="inlineStr"/>
    </row>
    <row r="331" ht="15" customHeight="1">
      <c r="A331" t="inlineStr">
        <is>
          <t>A 72780-2021</t>
        </is>
      </c>
      <c r="B331" s="1" t="n">
        <v>44545</v>
      </c>
      <c r="C331" s="1" t="n">
        <v>45784</v>
      </c>
      <c r="D331" t="inlineStr">
        <is>
          <t>DALARNAS LÄN</t>
        </is>
      </c>
      <c r="E331" t="inlineStr">
        <is>
          <t>MORA</t>
        </is>
      </c>
      <c r="F331" t="inlineStr">
        <is>
          <t>Allmännings- och besparingsskogar</t>
        </is>
      </c>
      <c r="G331" t="n">
        <v>1</v>
      </c>
      <c r="H331" t="n">
        <v>0</v>
      </c>
      <c r="I331" t="n">
        <v>0</v>
      </c>
      <c r="J331" t="n">
        <v>0</v>
      </c>
      <c r="K331" t="n">
        <v>0</v>
      </c>
      <c r="L331" t="n">
        <v>0</v>
      </c>
      <c r="M331" t="n">
        <v>0</v>
      </c>
      <c r="N331" t="n">
        <v>0</v>
      </c>
      <c r="O331" t="n">
        <v>0</v>
      </c>
      <c r="P331" t="n">
        <v>0</v>
      </c>
      <c r="Q331" t="n">
        <v>0</v>
      </c>
      <c r="R331" s="2" t="inlineStr"/>
    </row>
    <row r="332" ht="15" customHeight="1">
      <c r="A332" t="inlineStr">
        <is>
          <t>A 72659-2021</t>
        </is>
      </c>
      <c r="B332" s="1" t="n">
        <v>44546</v>
      </c>
      <c r="C332" s="1" t="n">
        <v>45784</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72648-2021</t>
        </is>
      </c>
      <c r="B333" s="1" t="n">
        <v>44546</v>
      </c>
      <c r="C333" s="1" t="n">
        <v>45784</v>
      </c>
      <c r="D333" t="inlineStr">
        <is>
          <t>DALARNAS LÄN</t>
        </is>
      </c>
      <c r="E333" t="inlineStr">
        <is>
          <t>MORA</t>
        </is>
      </c>
      <c r="G333" t="n">
        <v>0.2</v>
      </c>
      <c r="H333" t="n">
        <v>0</v>
      </c>
      <c r="I333" t="n">
        <v>0</v>
      </c>
      <c r="J333" t="n">
        <v>0</v>
      </c>
      <c r="K333" t="n">
        <v>0</v>
      </c>
      <c r="L333" t="n">
        <v>0</v>
      </c>
      <c r="M333" t="n">
        <v>0</v>
      </c>
      <c r="N333" t="n">
        <v>0</v>
      </c>
      <c r="O333" t="n">
        <v>0</v>
      </c>
      <c r="P333" t="n">
        <v>0</v>
      </c>
      <c r="Q333" t="n">
        <v>0</v>
      </c>
      <c r="R333" s="2" t="inlineStr"/>
    </row>
    <row r="334" ht="15" customHeight="1">
      <c r="A334" t="inlineStr">
        <is>
          <t>A 72915-2021</t>
        </is>
      </c>
      <c r="B334" s="1" t="n">
        <v>44547</v>
      </c>
      <c r="C334" s="1" t="n">
        <v>45784</v>
      </c>
      <c r="D334" t="inlineStr">
        <is>
          <t>DALARNAS LÄN</t>
        </is>
      </c>
      <c r="E334" t="inlineStr">
        <is>
          <t>MORA</t>
        </is>
      </c>
      <c r="F334" t="inlineStr">
        <is>
          <t>Allmännings- och besparingsskogar</t>
        </is>
      </c>
      <c r="G334" t="n">
        <v>38.5</v>
      </c>
      <c r="H334" t="n">
        <v>0</v>
      </c>
      <c r="I334" t="n">
        <v>0</v>
      </c>
      <c r="J334" t="n">
        <v>0</v>
      </c>
      <c r="K334" t="n">
        <v>0</v>
      </c>
      <c r="L334" t="n">
        <v>0</v>
      </c>
      <c r="M334" t="n">
        <v>0</v>
      </c>
      <c r="N334" t="n">
        <v>0</v>
      </c>
      <c r="O334" t="n">
        <v>0</v>
      </c>
      <c r="P334" t="n">
        <v>0</v>
      </c>
      <c r="Q334" t="n">
        <v>0</v>
      </c>
      <c r="R334" s="2" t="inlineStr"/>
    </row>
    <row r="335" ht="15" customHeight="1">
      <c r="A335" t="inlineStr">
        <is>
          <t>A 73930-2021</t>
        </is>
      </c>
      <c r="B335" s="1" t="n">
        <v>44553</v>
      </c>
      <c r="C335" s="1" t="n">
        <v>45784</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111-2022</t>
        </is>
      </c>
      <c r="B336" s="1" t="n">
        <v>44564</v>
      </c>
      <c r="C336" s="1" t="n">
        <v>45784</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2277-2022</t>
        </is>
      </c>
      <c r="B337" s="1" t="n">
        <v>44578</v>
      </c>
      <c r="C337" s="1" t="n">
        <v>45784</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2247-2022</t>
        </is>
      </c>
      <c r="B338" s="1" t="n">
        <v>44578</v>
      </c>
      <c r="C338" s="1" t="n">
        <v>45784</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2865-2022</t>
        </is>
      </c>
      <c r="B339" s="1" t="n">
        <v>44581</v>
      </c>
      <c r="C339" s="1" t="n">
        <v>45784</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2879-2022</t>
        </is>
      </c>
      <c r="B340" s="1" t="n">
        <v>44581</v>
      </c>
      <c r="C340" s="1" t="n">
        <v>45784</v>
      </c>
      <c r="D340" t="inlineStr">
        <is>
          <t>DALARNAS LÄN</t>
        </is>
      </c>
      <c r="E340" t="inlineStr">
        <is>
          <t>MORA</t>
        </is>
      </c>
      <c r="G340" t="n">
        <v>2.3</v>
      </c>
      <c r="H340" t="n">
        <v>0</v>
      </c>
      <c r="I340" t="n">
        <v>0</v>
      </c>
      <c r="J340" t="n">
        <v>0</v>
      </c>
      <c r="K340" t="n">
        <v>0</v>
      </c>
      <c r="L340" t="n">
        <v>0</v>
      </c>
      <c r="M340" t="n">
        <v>0</v>
      </c>
      <c r="N340" t="n">
        <v>0</v>
      </c>
      <c r="O340" t="n">
        <v>0</v>
      </c>
      <c r="P340" t="n">
        <v>0</v>
      </c>
      <c r="Q340" t="n">
        <v>0</v>
      </c>
      <c r="R340" s="2" t="inlineStr"/>
    </row>
    <row r="341" ht="15" customHeight="1">
      <c r="A341" t="inlineStr">
        <is>
          <t>A 4489-2022</t>
        </is>
      </c>
      <c r="B341" s="1" t="n">
        <v>44589</v>
      </c>
      <c r="C341" s="1" t="n">
        <v>45784</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4488-2022</t>
        </is>
      </c>
      <c r="B342" s="1" t="n">
        <v>44589</v>
      </c>
      <c r="C342" s="1" t="n">
        <v>45784</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6371-2022</t>
        </is>
      </c>
      <c r="B343" s="1" t="n">
        <v>44600</v>
      </c>
      <c r="C343" s="1" t="n">
        <v>45784</v>
      </c>
      <c r="D343" t="inlineStr">
        <is>
          <t>DALARNAS LÄN</t>
        </is>
      </c>
      <c r="E343" t="inlineStr">
        <is>
          <t>MORA</t>
        </is>
      </c>
      <c r="G343" t="n">
        <v>4.6</v>
      </c>
      <c r="H343" t="n">
        <v>0</v>
      </c>
      <c r="I343" t="n">
        <v>0</v>
      </c>
      <c r="J343" t="n">
        <v>0</v>
      </c>
      <c r="K343" t="n">
        <v>0</v>
      </c>
      <c r="L343" t="n">
        <v>0</v>
      </c>
      <c r="M343" t="n">
        <v>0</v>
      </c>
      <c r="N343" t="n">
        <v>0</v>
      </c>
      <c r="O343" t="n">
        <v>0</v>
      </c>
      <c r="P343" t="n">
        <v>0</v>
      </c>
      <c r="Q343" t="n">
        <v>0</v>
      </c>
      <c r="R343" s="2" t="inlineStr"/>
    </row>
    <row r="344" ht="15" customHeight="1">
      <c r="A344" t="inlineStr">
        <is>
          <t>A 6574-2022</t>
        </is>
      </c>
      <c r="B344" s="1" t="n">
        <v>44601</v>
      </c>
      <c r="C344" s="1" t="n">
        <v>45784</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6572-2022</t>
        </is>
      </c>
      <c r="B345" s="1" t="n">
        <v>44601</v>
      </c>
      <c r="C345" s="1" t="n">
        <v>45784</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8051-2022</t>
        </is>
      </c>
      <c r="B346" s="1" t="n">
        <v>44608</v>
      </c>
      <c r="C346" s="1" t="n">
        <v>45784</v>
      </c>
      <c r="D346" t="inlineStr">
        <is>
          <t>DALARNAS LÄN</t>
        </is>
      </c>
      <c r="E346" t="inlineStr">
        <is>
          <t>MORA</t>
        </is>
      </c>
      <c r="G346" t="n">
        <v>2.7</v>
      </c>
      <c r="H346" t="n">
        <v>0</v>
      </c>
      <c r="I346" t="n">
        <v>0</v>
      </c>
      <c r="J346" t="n">
        <v>0</v>
      </c>
      <c r="K346" t="n">
        <v>0</v>
      </c>
      <c r="L346" t="n">
        <v>0</v>
      </c>
      <c r="M346" t="n">
        <v>0</v>
      </c>
      <c r="N346" t="n">
        <v>0</v>
      </c>
      <c r="O346" t="n">
        <v>0</v>
      </c>
      <c r="P346" t="n">
        <v>0</v>
      </c>
      <c r="Q346" t="n">
        <v>0</v>
      </c>
      <c r="R346" s="2" t="inlineStr"/>
    </row>
    <row r="347" ht="15" customHeight="1">
      <c r="A347" t="inlineStr">
        <is>
          <t>A 8138-2022</t>
        </is>
      </c>
      <c r="B347" s="1" t="n">
        <v>44609</v>
      </c>
      <c r="C347" s="1" t="n">
        <v>45784</v>
      </c>
      <c r="D347" t="inlineStr">
        <is>
          <t>DALARNAS LÄN</t>
        </is>
      </c>
      <c r="E347" t="inlineStr">
        <is>
          <t>MORA</t>
        </is>
      </c>
      <c r="G347" t="n">
        <v>5</v>
      </c>
      <c r="H347" t="n">
        <v>0</v>
      </c>
      <c r="I347" t="n">
        <v>0</v>
      </c>
      <c r="J347" t="n">
        <v>0</v>
      </c>
      <c r="K347" t="n">
        <v>0</v>
      </c>
      <c r="L347" t="n">
        <v>0</v>
      </c>
      <c r="M347" t="n">
        <v>0</v>
      </c>
      <c r="N347" t="n">
        <v>0</v>
      </c>
      <c r="O347" t="n">
        <v>0</v>
      </c>
      <c r="P347" t="n">
        <v>0</v>
      </c>
      <c r="Q347" t="n">
        <v>0</v>
      </c>
      <c r="R347" s="2" t="inlineStr"/>
    </row>
    <row r="348" ht="15" customHeight="1">
      <c r="A348" t="inlineStr">
        <is>
          <t>A 8145-2022</t>
        </is>
      </c>
      <c r="B348" s="1" t="n">
        <v>44609</v>
      </c>
      <c r="C348" s="1" t="n">
        <v>45784</v>
      </c>
      <c r="D348" t="inlineStr">
        <is>
          <t>DALARNAS LÄN</t>
        </is>
      </c>
      <c r="E348" t="inlineStr">
        <is>
          <t>MORA</t>
        </is>
      </c>
      <c r="G348" t="n">
        <v>7.3</v>
      </c>
      <c r="H348" t="n">
        <v>0</v>
      </c>
      <c r="I348" t="n">
        <v>0</v>
      </c>
      <c r="J348" t="n">
        <v>0</v>
      </c>
      <c r="K348" t="n">
        <v>0</v>
      </c>
      <c r="L348" t="n">
        <v>0</v>
      </c>
      <c r="M348" t="n">
        <v>0</v>
      </c>
      <c r="N348" t="n">
        <v>0</v>
      </c>
      <c r="O348" t="n">
        <v>0</v>
      </c>
      <c r="P348" t="n">
        <v>0</v>
      </c>
      <c r="Q348" t="n">
        <v>0</v>
      </c>
      <c r="R348" s="2" t="inlineStr"/>
    </row>
    <row r="349" ht="15" customHeight="1">
      <c r="A349" t="inlineStr">
        <is>
          <t>A 8546-2022</t>
        </is>
      </c>
      <c r="B349" s="1" t="n">
        <v>44613</v>
      </c>
      <c r="C349" s="1" t="n">
        <v>45784</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9034-2022</t>
        </is>
      </c>
      <c r="B350" s="1" t="n">
        <v>44615</v>
      </c>
      <c r="C350" s="1" t="n">
        <v>45784</v>
      </c>
      <c r="D350" t="inlineStr">
        <is>
          <t>DALARNAS LÄN</t>
        </is>
      </c>
      <c r="E350" t="inlineStr">
        <is>
          <t>MORA</t>
        </is>
      </c>
      <c r="G350" t="n">
        <v>3.5</v>
      </c>
      <c r="H350" t="n">
        <v>0</v>
      </c>
      <c r="I350" t="n">
        <v>0</v>
      </c>
      <c r="J350" t="n">
        <v>0</v>
      </c>
      <c r="K350" t="n">
        <v>0</v>
      </c>
      <c r="L350" t="n">
        <v>0</v>
      </c>
      <c r="M350" t="n">
        <v>0</v>
      </c>
      <c r="N350" t="n">
        <v>0</v>
      </c>
      <c r="O350" t="n">
        <v>0</v>
      </c>
      <c r="P350" t="n">
        <v>0</v>
      </c>
      <c r="Q350" t="n">
        <v>0</v>
      </c>
      <c r="R350" s="2" t="inlineStr"/>
    </row>
    <row r="351" ht="15" customHeight="1">
      <c r="A351" t="inlineStr">
        <is>
          <t>A 9599-2022</t>
        </is>
      </c>
      <c r="B351" s="1" t="n">
        <v>44617</v>
      </c>
      <c r="C351" s="1" t="n">
        <v>45784</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9843-2022</t>
        </is>
      </c>
      <c r="B352" s="1" t="n">
        <v>44620</v>
      </c>
      <c r="C352" s="1" t="n">
        <v>45784</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11337-2022</t>
        </is>
      </c>
      <c r="B353" s="1" t="n">
        <v>44630</v>
      </c>
      <c r="C353" s="1" t="n">
        <v>45784</v>
      </c>
      <c r="D353" t="inlineStr">
        <is>
          <t>DALARNAS LÄN</t>
        </is>
      </c>
      <c r="E353" t="inlineStr">
        <is>
          <t>MORA</t>
        </is>
      </c>
      <c r="G353" t="n">
        <v>6.6</v>
      </c>
      <c r="H353" t="n">
        <v>0</v>
      </c>
      <c r="I353" t="n">
        <v>0</v>
      </c>
      <c r="J353" t="n">
        <v>0</v>
      </c>
      <c r="K353" t="n">
        <v>0</v>
      </c>
      <c r="L353" t="n">
        <v>0</v>
      </c>
      <c r="M353" t="n">
        <v>0</v>
      </c>
      <c r="N353" t="n">
        <v>0</v>
      </c>
      <c r="O353" t="n">
        <v>0</v>
      </c>
      <c r="P353" t="n">
        <v>0</v>
      </c>
      <c r="Q353" t="n">
        <v>0</v>
      </c>
      <c r="R353" s="2" t="inlineStr"/>
    </row>
    <row r="354" ht="15" customHeight="1">
      <c r="A354" t="inlineStr">
        <is>
          <t>A 11442-2022</t>
        </is>
      </c>
      <c r="B354" s="1" t="n">
        <v>44630</v>
      </c>
      <c r="C354" s="1" t="n">
        <v>45784</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12096-2022</t>
        </is>
      </c>
      <c r="B355" s="1" t="n">
        <v>44636</v>
      </c>
      <c r="C355" s="1" t="n">
        <v>45784</v>
      </c>
      <c r="D355" t="inlineStr">
        <is>
          <t>DALARNAS LÄN</t>
        </is>
      </c>
      <c r="E355" t="inlineStr">
        <is>
          <t>MORA</t>
        </is>
      </c>
      <c r="G355" t="n">
        <v>9</v>
      </c>
      <c r="H355" t="n">
        <v>0</v>
      </c>
      <c r="I355" t="n">
        <v>0</v>
      </c>
      <c r="J355" t="n">
        <v>0</v>
      </c>
      <c r="K355" t="n">
        <v>0</v>
      </c>
      <c r="L355" t="n">
        <v>0</v>
      </c>
      <c r="M355" t="n">
        <v>0</v>
      </c>
      <c r="N355" t="n">
        <v>0</v>
      </c>
      <c r="O355" t="n">
        <v>0</v>
      </c>
      <c r="P355" t="n">
        <v>0</v>
      </c>
      <c r="Q355" t="n">
        <v>0</v>
      </c>
      <c r="R355" s="2" t="inlineStr"/>
    </row>
    <row r="356" ht="15" customHeight="1">
      <c r="A356" t="inlineStr">
        <is>
          <t>A 12920-2022</t>
        </is>
      </c>
      <c r="B356" s="1" t="n">
        <v>44642</v>
      </c>
      <c r="C356" s="1" t="n">
        <v>45784</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13262-2022</t>
        </is>
      </c>
      <c r="B357" s="1" t="n">
        <v>44644</v>
      </c>
      <c r="C357" s="1" t="n">
        <v>45784</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13350-2022</t>
        </is>
      </c>
      <c r="B358" s="1" t="n">
        <v>44645</v>
      </c>
      <c r="C358" s="1" t="n">
        <v>45784</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14738-2022</t>
        </is>
      </c>
      <c r="B359" s="1" t="n">
        <v>44656</v>
      </c>
      <c r="C359" s="1" t="n">
        <v>45784</v>
      </c>
      <c r="D359" t="inlineStr">
        <is>
          <t>DALARNAS LÄN</t>
        </is>
      </c>
      <c r="E359" t="inlineStr">
        <is>
          <t>MORA</t>
        </is>
      </c>
      <c r="G359" t="n">
        <v>5.6</v>
      </c>
      <c r="H359" t="n">
        <v>0</v>
      </c>
      <c r="I359" t="n">
        <v>0</v>
      </c>
      <c r="J359" t="n">
        <v>0</v>
      </c>
      <c r="K359" t="n">
        <v>0</v>
      </c>
      <c r="L359" t="n">
        <v>0</v>
      </c>
      <c r="M359" t="n">
        <v>0</v>
      </c>
      <c r="N359" t="n">
        <v>0</v>
      </c>
      <c r="O359" t="n">
        <v>0</v>
      </c>
      <c r="P359" t="n">
        <v>0</v>
      </c>
      <c r="Q359" t="n">
        <v>0</v>
      </c>
      <c r="R359" s="2" t="inlineStr"/>
    </row>
    <row r="360" ht="15" customHeight="1">
      <c r="A360" t="inlineStr">
        <is>
          <t>A 14744-2022</t>
        </is>
      </c>
      <c r="B360" s="1" t="n">
        <v>44656</v>
      </c>
      <c r="C360" s="1" t="n">
        <v>45784</v>
      </c>
      <c r="D360" t="inlineStr">
        <is>
          <t>DALARNAS LÄN</t>
        </is>
      </c>
      <c r="E360" t="inlineStr">
        <is>
          <t>MORA</t>
        </is>
      </c>
      <c r="G360" t="n">
        <v>1.9</v>
      </c>
      <c r="H360" t="n">
        <v>0</v>
      </c>
      <c r="I360" t="n">
        <v>0</v>
      </c>
      <c r="J360" t="n">
        <v>0</v>
      </c>
      <c r="K360" t="n">
        <v>0</v>
      </c>
      <c r="L360" t="n">
        <v>0</v>
      </c>
      <c r="M360" t="n">
        <v>0</v>
      </c>
      <c r="N360" t="n">
        <v>0</v>
      </c>
      <c r="O360" t="n">
        <v>0</v>
      </c>
      <c r="P360" t="n">
        <v>0</v>
      </c>
      <c r="Q360" t="n">
        <v>0</v>
      </c>
      <c r="R360" s="2" t="inlineStr"/>
    </row>
    <row r="361" ht="15" customHeight="1">
      <c r="A361" t="inlineStr">
        <is>
          <t>A 15128-2022</t>
        </is>
      </c>
      <c r="B361" s="1" t="n">
        <v>44658</v>
      </c>
      <c r="C361" s="1" t="n">
        <v>45784</v>
      </c>
      <c r="D361" t="inlineStr">
        <is>
          <t>DALARNAS LÄN</t>
        </is>
      </c>
      <c r="E361" t="inlineStr">
        <is>
          <t>MORA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15127-2022</t>
        </is>
      </c>
      <c r="B362" s="1" t="n">
        <v>44658</v>
      </c>
      <c r="C362" s="1" t="n">
        <v>45784</v>
      </c>
      <c r="D362" t="inlineStr">
        <is>
          <t>DALARNAS LÄN</t>
        </is>
      </c>
      <c r="E362" t="inlineStr">
        <is>
          <t>MORA</t>
        </is>
      </c>
      <c r="G362" t="n">
        <v>4.9</v>
      </c>
      <c r="H362" t="n">
        <v>0</v>
      </c>
      <c r="I362" t="n">
        <v>0</v>
      </c>
      <c r="J362" t="n">
        <v>0</v>
      </c>
      <c r="K362" t="n">
        <v>0</v>
      </c>
      <c r="L362" t="n">
        <v>0</v>
      </c>
      <c r="M362" t="n">
        <v>0</v>
      </c>
      <c r="N362" t="n">
        <v>0</v>
      </c>
      <c r="O362" t="n">
        <v>0</v>
      </c>
      <c r="P362" t="n">
        <v>0</v>
      </c>
      <c r="Q362" t="n">
        <v>0</v>
      </c>
      <c r="R362" s="2" t="inlineStr"/>
    </row>
    <row r="363" ht="15" customHeight="1">
      <c r="A363" t="inlineStr">
        <is>
          <t>A 15393-2022</t>
        </is>
      </c>
      <c r="B363" s="1" t="n">
        <v>44659</v>
      </c>
      <c r="C363" s="1" t="n">
        <v>45784</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15594-2022</t>
        </is>
      </c>
      <c r="B364" s="1" t="n">
        <v>44662</v>
      </c>
      <c r="C364" s="1" t="n">
        <v>45784</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16706-2022</t>
        </is>
      </c>
      <c r="B365" s="1" t="n">
        <v>44673</v>
      </c>
      <c r="C365" s="1" t="n">
        <v>45784</v>
      </c>
      <c r="D365" t="inlineStr">
        <is>
          <t>DALARNAS LÄN</t>
        </is>
      </c>
      <c r="E365" t="inlineStr">
        <is>
          <t>MORA</t>
        </is>
      </c>
      <c r="G365" t="n">
        <v>9.1</v>
      </c>
      <c r="H365" t="n">
        <v>0</v>
      </c>
      <c r="I365" t="n">
        <v>0</v>
      </c>
      <c r="J365" t="n">
        <v>0</v>
      </c>
      <c r="K365" t="n">
        <v>0</v>
      </c>
      <c r="L365" t="n">
        <v>0</v>
      </c>
      <c r="M365" t="n">
        <v>0</v>
      </c>
      <c r="N365" t="n">
        <v>0</v>
      </c>
      <c r="O365" t="n">
        <v>0</v>
      </c>
      <c r="P365" t="n">
        <v>0</v>
      </c>
      <c r="Q365" t="n">
        <v>0</v>
      </c>
      <c r="R365" s="2" t="inlineStr"/>
    </row>
    <row r="366" ht="15" customHeight="1">
      <c r="A366" t="inlineStr">
        <is>
          <t>A 16700-2022</t>
        </is>
      </c>
      <c r="B366" s="1" t="n">
        <v>44673</v>
      </c>
      <c r="C366" s="1" t="n">
        <v>45784</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17272-2022</t>
        </is>
      </c>
      <c r="B367" s="1" t="n">
        <v>44678</v>
      </c>
      <c r="C367" s="1" t="n">
        <v>45784</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17622-2022</t>
        </is>
      </c>
      <c r="B368" s="1" t="n">
        <v>44680</v>
      </c>
      <c r="C368" s="1" t="n">
        <v>45784</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19372-2022</t>
        </is>
      </c>
      <c r="B369" s="1" t="n">
        <v>44692</v>
      </c>
      <c r="C369" s="1" t="n">
        <v>45784</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v>
      </c>
      <c r="C370" s="1" t="n">
        <v>45784</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20401-2022</t>
        </is>
      </c>
      <c r="B371" s="1" t="n">
        <v>44699</v>
      </c>
      <c r="C371" s="1" t="n">
        <v>45784</v>
      </c>
      <c r="D371" t="inlineStr">
        <is>
          <t>DALARNAS LÄN</t>
        </is>
      </c>
      <c r="E371" t="inlineStr">
        <is>
          <t>MORA</t>
        </is>
      </c>
      <c r="G371" t="n">
        <v>3.2</v>
      </c>
      <c r="H371" t="n">
        <v>0</v>
      </c>
      <c r="I371" t="n">
        <v>0</v>
      </c>
      <c r="J371" t="n">
        <v>0</v>
      </c>
      <c r="K371" t="n">
        <v>0</v>
      </c>
      <c r="L371" t="n">
        <v>0</v>
      </c>
      <c r="M371" t="n">
        <v>0</v>
      </c>
      <c r="N371" t="n">
        <v>0</v>
      </c>
      <c r="O371" t="n">
        <v>0</v>
      </c>
      <c r="P371" t="n">
        <v>0</v>
      </c>
      <c r="Q371" t="n">
        <v>0</v>
      </c>
      <c r="R371" s="2" t="inlineStr"/>
    </row>
    <row r="372" ht="15" customHeight="1">
      <c r="A372" t="inlineStr">
        <is>
          <t>A 21273-2022</t>
        </is>
      </c>
      <c r="B372" s="1" t="n">
        <v>44705</v>
      </c>
      <c r="C372" s="1" t="n">
        <v>45784</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23354-2022</t>
        </is>
      </c>
      <c r="B373" s="1" t="n">
        <v>44720</v>
      </c>
      <c r="C373" s="1" t="n">
        <v>45784</v>
      </c>
      <c r="D373" t="inlineStr">
        <is>
          <t>DALARNAS LÄN</t>
        </is>
      </c>
      <c r="E373" t="inlineStr">
        <is>
          <t>MORA</t>
        </is>
      </c>
      <c r="G373" t="n">
        <v>5.2</v>
      </c>
      <c r="H373" t="n">
        <v>0</v>
      </c>
      <c r="I373" t="n">
        <v>0</v>
      </c>
      <c r="J373" t="n">
        <v>0</v>
      </c>
      <c r="K373" t="n">
        <v>0</v>
      </c>
      <c r="L373" t="n">
        <v>0</v>
      </c>
      <c r="M373" t="n">
        <v>0</v>
      </c>
      <c r="N373" t="n">
        <v>0</v>
      </c>
      <c r="O373" t="n">
        <v>0</v>
      </c>
      <c r="P373" t="n">
        <v>0</v>
      </c>
      <c r="Q373" t="n">
        <v>0</v>
      </c>
      <c r="R373" s="2" t="inlineStr"/>
    </row>
    <row r="374" ht="15" customHeight="1">
      <c r="A374" t="inlineStr">
        <is>
          <t>A 23655-2022</t>
        </is>
      </c>
      <c r="B374" s="1" t="n">
        <v>44721</v>
      </c>
      <c r="C374" s="1" t="n">
        <v>45784</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23795-2022</t>
        </is>
      </c>
      <c r="B375" s="1" t="n">
        <v>44722</v>
      </c>
      <c r="C375" s="1" t="n">
        <v>45784</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23798-2022</t>
        </is>
      </c>
      <c r="B376" s="1" t="n">
        <v>44722</v>
      </c>
      <c r="C376" s="1" t="n">
        <v>45784</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24171-2022</t>
        </is>
      </c>
      <c r="B377" s="1" t="n">
        <v>44725</v>
      </c>
      <c r="C377" s="1" t="n">
        <v>45784</v>
      </c>
      <c r="D377" t="inlineStr">
        <is>
          <t>DALARNAS LÄN</t>
        </is>
      </c>
      <c r="E377" t="inlineStr">
        <is>
          <t>MORA</t>
        </is>
      </c>
      <c r="F377" t="inlineStr">
        <is>
          <t>Bergvik skog väst AB</t>
        </is>
      </c>
      <c r="G377" t="n">
        <v>4.5</v>
      </c>
      <c r="H377" t="n">
        <v>0</v>
      </c>
      <c r="I377" t="n">
        <v>0</v>
      </c>
      <c r="J377" t="n">
        <v>0</v>
      </c>
      <c r="K377" t="n">
        <v>0</v>
      </c>
      <c r="L377" t="n">
        <v>0</v>
      </c>
      <c r="M377" t="n">
        <v>0</v>
      </c>
      <c r="N377" t="n">
        <v>0</v>
      </c>
      <c r="O377" t="n">
        <v>0</v>
      </c>
      <c r="P377" t="n">
        <v>0</v>
      </c>
      <c r="Q377" t="n">
        <v>0</v>
      </c>
      <c r="R377" s="2" t="inlineStr"/>
    </row>
    <row r="378" ht="15" customHeight="1">
      <c r="A378" t="inlineStr">
        <is>
          <t>A 24170-2022</t>
        </is>
      </c>
      <c r="B378" s="1" t="n">
        <v>44725</v>
      </c>
      <c r="C378" s="1" t="n">
        <v>45784</v>
      </c>
      <c r="D378" t="inlineStr">
        <is>
          <t>DALARNAS LÄN</t>
        </is>
      </c>
      <c r="E378" t="inlineStr">
        <is>
          <t>MORA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24169-2022</t>
        </is>
      </c>
      <c r="B379" s="1" t="n">
        <v>44725</v>
      </c>
      <c r="C379" s="1" t="n">
        <v>45784</v>
      </c>
      <c r="D379" t="inlineStr">
        <is>
          <t>DALARNAS LÄN</t>
        </is>
      </c>
      <c r="E379" t="inlineStr">
        <is>
          <t>MORA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45784</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24366-2022</t>
        </is>
      </c>
      <c r="B381" s="1" t="n">
        <v>44726</v>
      </c>
      <c r="C381" s="1" t="n">
        <v>45784</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24393-2022</t>
        </is>
      </c>
      <c r="B382" s="1" t="n">
        <v>44726</v>
      </c>
      <c r="C382" s="1" t="n">
        <v>45784</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25451-2022</t>
        </is>
      </c>
      <c r="B383" s="1" t="n">
        <v>44732</v>
      </c>
      <c r="C383" s="1" t="n">
        <v>45784</v>
      </c>
      <c r="D383" t="inlineStr">
        <is>
          <t>DALARNAS LÄN</t>
        </is>
      </c>
      <c r="E383" t="inlineStr">
        <is>
          <t>MORA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27438-2022</t>
        </is>
      </c>
      <c r="B384" s="1" t="n">
        <v>44742</v>
      </c>
      <c r="C384" s="1" t="n">
        <v>45784</v>
      </c>
      <c r="D384" t="inlineStr">
        <is>
          <t>DALARNAS LÄN</t>
        </is>
      </c>
      <c r="E384" t="inlineStr">
        <is>
          <t>MORA</t>
        </is>
      </c>
      <c r="G384" t="n">
        <v>7</v>
      </c>
      <c r="H384" t="n">
        <v>0</v>
      </c>
      <c r="I384" t="n">
        <v>0</v>
      </c>
      <c r="J384" t="n">
        <v>0</v>
      </c>
      <c r="K384" t="n">
        <v>0</v>
      </c>
      <c r="L384" t="n">
        <v>0</v>
      </c>
      <c r="M384" t="n">
        <v>0</v>
      </c>
      <c r="N384" t="n">
        <v>0</v>
      </c>
      <c r="O384" t="n">
        <v>0</v>
      </c>
      <c r="P384" t="n">
        <v>0</v>
      </c>
      <c r="Q384" t="n">
        <v>0</v>
      </c>
      <c r="R384" s="2" t="inlineStr"/>
    </row>
    <row r="385" ht="15" customHeight="1">
      <c r="A385" t="inlineStr">
        <is>
          <t>A 27461-2022</t>
        </is>
      </c>
      <c r="B385" s="1" t="n">
        <v>44742</v>
      </c>
      <c r="C385" s="1" t="n">
        <v>45784</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28344-2022</t>
        </is>
      </c>
      <c r="B386" s="1" t="n">
        <v>44747</v>
      </c>
      <c r="C386" s="1" t="n">
        <v>45784</v>
      </c>
      <c r="D386" t="inlineStr">
        <is>
          <t>DALARNAS LÄN</t>
        </is>
      </c>
      <c r="E386" t="inlineStr">
        <is>
          <t>MORA</t>
        </is>
      </c>
      <c r="F386" t="inlineStr">
        <is>
          <t>Kyrkan</t>
        </is>
      </c>
      <c r="G386" t="n">
        <v>6.4</v>
      </c>
      <c r="H386" t="n">
        <v>0</v>
      </c>
      <c r="I386" t="n">
        <v>0</v>
      </c>
      <c r="J386" t="n">
        <v>0</v>
      </c>
      <c r="K386" t="n">
        <v>0</v>
      </c>
      <c r="L386" t="n">
        <v>0</v>
      </c>
      <c r="M386" t="n">
        <v>0</v>
      </c>
      <c r="N386" t="n">
        <v>0</v>
      </c>
      <c r="O386" t="n">
        <v>0</v>
      </c>
      <c r="P386" t="n">
        <v>0</v>
      </c>
      <c r="Q386" t="n">
        <v>0</v>
      </c>
      <c r="R386" s="2" t="inlineStr"/>
    </row>
    <row r="387" ht="15" customHeight="1">
      <c r="A387" t="inlineStr">
        <is>
          <t>A 28914-2022</t>
        </is>
      </c>
      <c r="B387" s="1" t="n">
        <v>44749</v>
      </c>
      <c r="C387" s="1" t="n">
        <v>45784</v>
      </c>
      <c r="D387" t="inlineStr">
        <is>
          <t>DALARNAS LÄN</t>
        </is>
      </c>
      <c r="E387" t="inlineStr">
        <is>
          <t>MORA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v>
      </c>
      <c r="C388" s="1" t="n">
        <v>45784</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30998-2022</t>
        </is>
      </c>
      <c r="B389" s="1" t="n">
        <v>44768</v>
      </c>
      <c r="C389" s="1" t="n">
        <v>45784</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31304-2022</t>
        </is>
      </c>
      <c r="B390" s="1" t="n">
        <v>44773</v>
      </c>
      <c r="C390" s="1" t="n">
        <v>45784</v>
      </c>
      <c r="D390" t="inlineStr">
        <is>
          <t>DALARNAS LÄN</t>
        </is>
      </c>
      <c r="E390" t="inlineStr">
        <is>
          <t>MORA</t>
        </is>
      </c>
      <c r="G390" t="n">
        <v>20.6</v>
      </c>
      <c r="H390" t="n">
        <v>0</v>
      </c>
      <c r="I390" t="n">
        <v>0</v>
      </c>
      <c r="J390" t="n">
        <v>0</v>
      </c>
      <c r="K390" t="n">
        <v>0</v>
      </c>
      <c r="L390" t="n">
        <v>0</v>
      </c>
      <c r="M390" t="n">
        <v>0</v>
      </c>
      <c r="N390" t="n">
        <v>0</v>
      </c>
      <c r="O390" t="n">
        <v>0</v>
      </c>
      <c r="P390" t="n">
        <v>0</v>
      </c>
      <c r="Q390" t="n">
        <v>0</v>
      </c>
      <c r="R390" s="2" t="inlineStr"/>
    </row>
    <row r="391" ht="15" customHeight="1">
      <c r="A391" t="inlineStr">
        <is>
          <t>A 31582-2022</t>
        </is>
      </c>
      <c r="B391" s="1" t="n">
        <v>44775</v>
      </c>
      <c r="C391" s="1" t="n">
        <v>45784</v>
      </c>
      <c r="D391" t="inlineStr">
        <is>
          <t>DALARNAS LÄN</t>
        </is>
      </c>
      <c r="E391" t="inlineStr">
        <is>
          <t>MORA</t>
        </is>
      </c>
      <c r="G391" t="n">
        <v>3.5</v>
      </c>
      <c r="H391" t="n">
        <v>0</v>
      </c>
      <c r="I391" t="n">
        <v>0</v>
      </c>
      <c r="J391" t="n">
        <v>0</v>
      </c>
      <c r="K391" t="n">
        <v>0</v>
      </c>
      <c r="L391" t="n">
        <v>0</v>
      </c>
      <c r="M391" t="n">
        <v>0</v>
      </c>
      <c r="N391" t="n">
        <v>0</v>
      </c>
      <c r="O391" t="n">
        <v>0</v>
      </c>
      <c r="P391" t="n">
        <v>0</v>
      </c>
      <c r="Q391" t="n">
        <v>0</v>
      </c>
      <c r="R391" s="2" t="inlineStr"/>
    </row>
    <row r="392" ht="15" customHeight="1">
      <c r="A392" t="inlineStr">
        <is>
          <t>A 32265-2022</t>
        </is>
      </c>
      <c r="B392" s="1" t="n">
        <v>44781</v>
      </c>
      <c r="C392" s="1" t="n">
        <v>45784</v>
      </c>
      <c r="D392" t="inlineStr">
        <is>
          <t>DALARNAS LÄN</t>
        </is>
      </c>
      <c r="E392" t="inlineStr">
        <is>
          <t>MORA</t>
        </is>
      </c>
      <c r="G392" t="n">
        <v>4</v>
      </c>
      <c r="H392" t="n">
        <v>0</v>
      </c>
      <c r="I392" t="n">
        <v>0</v>
      </c>
      <c r="J392" t="n">
        <v>0</v>
      </c>
      <c r="K392" t="n">
        <v>0</v>
      </c>
      <c r="L392" t="n">
        <v>0</v>
      </c>
      <c r="M392" t="n">
        <v>0</v>
      </c>
      <c r="N392" t="n">
        <v>0</v>
      </c>
      <c r="O392" t="n">
        <v>0</v>
      </c>
      <c r="P392" t="n">
        <v>0</v>
      </c>
      <c r="Q392" t="n">
        <v>0</v>
      </c>
      <c r="R392" s="2" t="inlineStr"/>
    </row>
    <row r="393" ht="15" customHeight="1">
      <c r="A393" t="inlineStr">
        <is>
          <t>A 32261-2022</t>
        </is>
      </c>
      <c r="B393" s="1" t="n">
        <v>44781</v>
      </c>
      <c r="C393" s="1" t="n">
        <v>45784</v>
      </c>
      <c r="D393" t="inlineStr">
        <is>
          <t>DALARNAS LÄN</t>
        </is>
      </c>
      <c r="E393" t="inlineStr">
        <is>
          <t>MORA</t>
        </is>
      </c>
      <c r="G393" t="n">
        <v>2.7</v>
      </c>
      <c r="H393" t="n">
        <v>0</v>
      </c>
      <c r="I393" t="n">
        <v>0</v>
      </c>
      <c r="J393" t="n">
        <v>0</v>
      </c>
      <c r="K393" t="n">
        <v>0</v>
      </c>
      <c r="L393" t="n">
        <v>0</v>
      </c>
      <c r="M393" t="n">
        <v>0</v>
      </c>
      <c r="N393" t="n">
        <v>0</v>
      </c>
      <c r="O393" t="n">
        <v>0</v>
      </c>
      <c r="P393" t="n">
        <v>0</v>
      </c>
      <c r="Q393" t="n">
        <v>0</v>
      </c>
      <c r="R393" s="2" t="inlineStr"/>
    </row>
    <row r="394" ht="15" customHeight="1">
      <c r="A394" t="inlineStr">
        <is>
          <t>A 32474-2022</t>
        </is>
      </c>
      <c r="B394" s="1" t="n">
        <v>44782</v>
      </c>
      <c r="C394" s="1" t="n">
        <v>45784</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32643-2022</t>
        </is>
      </c>
      <c r="B395" s="1" t="n">
        <v>44783</v>
      </c>
      <c r="C395" s="1" t="n">
        <v>45784</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33272-2022</t>
        </is>
      </c>
      <c r="B396" s="1" t="n">
        <v>44788</v>
      </c>
      <c r="C396" s="1" t="n">
        <v>45784</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33262-2022</t>
        </is>
      </c>
      <c r="B397" s="1" t="n">
        <v>44788</v>
      </c>
      <c r="C397" s="1" t="n">
        <v>45784</v>
      </c>
      <c r="D397" t="inlineStr">
        <is>
          <t>DALARNAS LÄN</t>
        </is>
      </c>
      <c r="E397" t="inlineStr">
        <is>
          <t>MORA</t>
        </is>
      </c>
      <c r="G397" t="n">
        <v>6.5</v>
      </c>
      <c r="H397" t="n">
        <v>0</v>
      </c>
      <c r="I397" t="n">
        <v>0</v>
      </c>
      <c r="J397" t="n">
        <v>0</v>
      </c>
      <c r="K397" t="n">
        <v>0</v>
      </c>
      <c r="L397" t="n">
        <v>0</v>
      </c>
      <c r="M397" t="n">
        <v>0</v>
      </c>
      <c r="N397" t="n">
        <v>0</v>
      </c>
      <c r="O397" t="n">
        <v>0</v>
      </c>
      <c r="P397" t="n">
        <v>0</v>
      </c>
      <c r="Q397" t="n">
        <v>0</v>
      </c>
      <c r="R397" s="2" t="inlineStr"/>
    </row>
    <row r="398" ht="15" customHeight="1">
      <c r="A398" t="inlineStr">
        <is>
          <t>A 33269-2022</t>
        </is>
      </c>
      <c r="B398" s="1" t="n">
        <v>44788</v>
      </c>
      <c r="C398" s="1" t="n">
        <v>45784</v>
      </c>
      <c r="D398" t="inlineStr">
        <is>
          <t>DALARNAS LÄN</t>
        </is>
      </c>
      <c r="E398" t="inlineStr">
        <is>
          <t>MORA</t>
        </is>
      </c>
      <c r="G398" t="n">
        <v>3.1</v>
      </c>
      <c r="H398" t="n">
        <v>0</v>
      </c>
      <c r="I398" t="n">
        <v>0</v>
      </c>
      <c r="J398" t="n">
        <v>0</v>
      </c>
      <c r="K398" t="n">
        <v>0</v>
      </c>
      <c r="L398" t="n">
        <v>0</v>
      </c>
      <c r="M398" t="n">
        <v>0</v>
      </c>
      <c r="N398" t="n">
        <v>0</v>
      </c>
      <c r="O398" t="n">
        <v>0</v>
      </c>
      <c r="P398" t="n">
        <v>0</v>
      </c>
      <c r="Q398" t="n">
        <v>0</v>
      </c>
      <c r="R398" s="2" t="inlineStr"/>
    </row>
    <row r="399" ht="15" customHeight="1">
      <c r="A399" t="inlineStr">
        <is>
          <t>A 33265-2022</t>
        </is>
      </c>
      <c r="B399" s="1" t="n">
        <v>44788</v>
      </c>
      <c r="C399" s="1" t="n">
        <v>45784</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33550-2022</t>
        </is>
      </c>
      <c r="B400" s="1" t="n">
        <v>44789</v>
      </c>
      <c r="C400" s="1" t="n">
        <v>45784</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33678-2022</t>
        </is>
      </c>
      <c r="B401" s="1" t="n">
        <v>44789</v>
      </c>
      <c r="C401" s="1" t="n">
        <v>45784</v>
      </c>
      <c r="D401" t="inlineStr">
        <is>
          <t>DALARNAS LÄN</t>
        </is>
      </c>
      <c r="E401" t="inlineStr">
        <is>
          <t>MORA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34927-2022</t>
        </is>
      </c>
      <c r="B402" s="1" t="n">
        <v>44796</v>
      </c>
      <c r="C402" s="1" t="n">
        <v>45784</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34897-2022</t>
        </is>
      </c>
      <c r="B403" s="1" t="n">
        <v>44796</v>
      </c>
      <c r="C403" s="1" t="n">
        <v>45784</v>
      </c>
      <c r="D403" t="inlineStr">
        <is>
          <t>DALARNAS LÄN</t>
        </is>
      </c>
      <c r="E403" t="inlineStr">
        <is>
          <t>MORA</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34824-2022</t>
        </is>
      </c>
      <c r="B404" s="1" t="n">
        <v>44796</v>
      </c>
      <c r="C404" s="1" t="n">
        <v>45784</v>
      </c>
      <c r="D404" t="inlineStr">
        <is>
          <t>DALARNAS LÄN</t>
        </is>
      </c>
      <c r="E404" t="inlineStr">
        <is>
          <t>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34923-2022</t>
        </is>
      </c>
      <c r="B405" s="1" t="n">
        <v>44796</v>
      </c>
      <c r="C405" s="1" t="n">
        <v>45784</v>
      </c>
      <c r="D405" t="inlineStr">
        <is>
          <t>DALARNAS LÄN</t>
        </is>
      </c>
      <c r="E405" t="inlineStr">
        <is>
          <t>MORA</t>
        </is>
      </c>
      <c r="G405" t="n">
        <v>5</v>
      </c>
      <c r="H405" t="n">
        <v>0</v>
      </c>
      <c r="I405" t="n">
        <v>0</v>
      </c>
      <c r="J405" t="n">
        <v>0</v>
      </c>
      <c r="K405" t="n">
        <v>0</v>
      </c>
      <c r="L405" t="n">
        <v>0</v>
      </c>
      <c r="M405" t="n">
        <v>0</v>
      </c>
      <c r="N405" t="n">
        <v>0</v>
      </c>
      <c r="O405" t="n">
        <v>0</v>
      </c>
      <c r="P405" t="n">
        <v>0</v>
      </c>
      <c r="Q405" t="n">
        <v>0</v>
      </c>
      <c r="R405" s="2" t="inlineStr"/>
    </row>
    <row r="406" ht="15" customHeight="1">
      <c r="A406" t="inlineStr">
        <is>
          <t>A 34928-2022</t>
        </is>
      </c>
      <c r="B406" s="1" t="n">
        <v>44796</v>
      </c>
      <c r="C406" s="1" t="n">
        <v>45784</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36579-2022</t>
        </is>
      </c>
      <c r="B407" s="1" t="n">
        <v>44804</v>
      </c>
      <c r="C407" s="1" t="n">
        <v>45784</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37483-2022</t>
        </is>
      </c>
      <c r="B408" s="1" t="n">
        <v>44809</v>
      </c>
      <c r="C408" s="1" t="n">
        <v>45784</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37774-2022</t>
        </is>
      </c>
      <c r="B409" s="1" t="n">
        <v>44810</v>
      </c>
      <c r="C409" s="1" t="n">
        <v>45784</v>
      </c>
      <c r="D409" t="inlineStr">
        <is>
          <t>DALARNAS LÄN</t>
        </is>
      </c>
      <c r="E409" t="inlineStr">
        <is>
          <t>MORA</t>
        </is>
      </c>
      <c r="F409" t="inlineStr">
        <is>
          <t>Bergvik skog väst AB</t>
        </is>
      </c>
      <c r="G409" t="n">
        <v>8.5</v>
      </c>
      <c r="H409" t="n">
        <v>0</v>
      </c>
      <c r="I409" t="n">
        <v>0</v>
      </c>
      <c r="J409" t="n">
        <v>0</v>
      </c>
      <c r="K409" t="n">
        <v>0</v>
      </c>
      <c r="L409" t="n">
        <v>0</v>
      </c>
      <c r="M409" t="n">
        <v>0</v>
      </c>
      <c r="N409" t="n">
        <v>0</v>
      </c>
      <c r="O409" t="n">
        <v>0</v>
      </c>
      <c r="P409" t="n">
        <v>0</v>
      </c>
      <c r="Q409" t="n">
        <v>0</v>
      </c>
      <c r="R409" s="2" t="inlineStr"/>
    </row>
    <row r="410" ht="15" customHeight="1">
      <c r="A410" t="inlineStr">
        <is>
          <t>A 37771-2022</t>
        </is>
      </c>
      <c r="B410" s="1" t="n">
        <v>44810</v>
      </c>
      <c r="C410" s="1" t="n">
        <v>45784</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37983-2022</t>
        </is>
      </c>
      <c r="B411" s="1" t="n">
        <v>44811</v>
      </c>
      <c r="C411" s="1" t="n">
        <v>45784</v>
      </c>
      <c r="D411" t="inlineStr">
        <is>
          <t>DALARNAS LÄN</t>
        </is>
      </c>
      <c r="E411" t="inlineStr">
        <is>
          <t>MORA</t>
        </is>
      </c>
      <c r="F411" t="inlineStr">
        <is>
          <t>Bergvik skog väst AB</t>
        </is>
      </c>
      <c r="G411" t="n">
        <v>13.1</v>
      </c>
      <c r="H411" t="n">
        <v>0</v>
      </c>
      <c r="I411" t="n">
        <v>0</v>
      </c>
      <c r="J411" t="n">
        <v>0</v>
      </c>
      <c r="K411" t="n">
        <v>0</v>
      </c>
      <c r="L411" t="n">
        <v>0</v>
      </c>
      <c r="M411" t="n">
        <v>0</v>
      </c>
      <c r="N411" t="n">
        <v>0</v>
      </c>
      <c r="O411" t="n">
        <v>0</v>
      </c>
      <c r="P411" t="n">
        <v>0</v>
      </c>
      <c r="Q411" t="n">
        <v>0</v>
      </c>
      <c r="R411" s="2" t="inlineStr"/>
    </row>
    <row r="412" ht="15" customHeight="1">
      <c r="A412" t="inlineStr">
        <is>
          <t>A 38305-2022</t>
        </is>
      </c>
      <c r="B412" s="1" t="n">
        <v>44812</v>
      </c>
      <c r="C412" s="1" t="n">
        <v>45784</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38651-2022</t>
        </is>
      </c>
      <c r="B413" s="1" t="n">
        <v>44813</v>
      </c>
      <c r="C413" s="1" t="n">
        <v>45784</v>
      </c>
      <c r="D413" t="inlineStr">
        <is>
          <t>DALARNAS LÄN</t>
        </is>
      </c>
      <c r="E413" t="inlineStr">
        <is>
          <t>MORA</t>
        </is>
      </c>
      <c r="G413" t="n">
        <v>4.4</v>
      </c>
      <c r="H413" t="n">
        <v>0</v>
      </c>
      <c r="I413" t="n">
        <v>0</v>
      </c>
      <c r="J413" t="n">
        <v>0</v>
      </c>
      <c r="K413" t="n">
        <v>0</v>
      </c>
      <c r="L413" t="n">
        <v>0</v>
      </c>
      <c r="M413" t="n">
        <v>0</v>
      </c>
      <c r="N413" t="n">
        <v>0</v>
      </c>
      <c r="O413" t="n">
        <v>0</v>
      </c>
      <c r="P413" t="n">
        <v>0</v>
      </c>
      <c r="Q413" t="n">
        <v>0</v>
      </c>
      <c r="R413" s="2" t="inlineStr"/>
    </row>
    <row r="414" ht="15" customHeight="1">
      <c r="A414" t="inlineStr">
        <is>
          <t>A 39162-2022</t>
        </is>
      </c>
      <c r="B414" s="1" t="n">
        <v>44817</v>
      </c>
      <c r="C414" s="1" t="n">
        <v>45784</v>
      </c>
      <c r="D414" t="inlineStr">
        <is>
          <t>DALARNAS LÄN</t>
        </is>
      </c>
      <c r="E414" t="inlineStr">
        <is>
          <t>MORA</t>
        </is>
      </c>
      <c r="F414" t="inlineStr">
        <is>
          <t>Allmännings- och besparingsskogar</t>
        </is>
      </c>
      <c r="G414" t="n">
        <v>27.2</v>
      </c>
      <c r="H414" t="n">
        <v>0</v>
      </c>
      <c r="I414" t="n">
        <v>0</v>
      </c>
      <c r="J414" t="n">
        <v>0</v>
      </c>
      <c r="K414" t="n">
        <v>0</v>
      </c>
      <c r="L414" t="n">
        <v>0</v>
      </c>
      <c r="M414" t="n">
        <v>0</v>
      </c>
      <c r="N414" t="n">
        <v>0</v>
      </c>
      <c r="O414" t="n">
        <v>0</v>
      </c>
      <c r="P414" t="n">
        <v>0</v>
      </c>
      <c r="Q414" t="n">
        <v>0</v>
      </c>
      <c r="R414" s="2" t="inlineStr"/>
    </row>
    <row r="415" ht="15" customHeight="1">
      <c r="A415" t="inlineStr">
        <is>
          <t>A 39897-2022</t>
        </is>
      </c>
      <c r="B415" s="1" t="n">
        <v>44819</v>
      </c>
      <c r="C415" s="1" t="n">
        <v>45784</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39901-2022</t>
        </is>
      </c>
      <c r="B416" s="1" t="n">
        <v>44819</v>
      </c>
      <c r="C416" s="1" t="n">
        <v>45784</v>
      </c>
      <c r="D416" t="inlineStr">
        <is>
          <t>DALARNAS LÄN</t>
        </is>
      </c>
      <c r="E416" t="inlineStr">
        <is>
          <t>MORA</t>
        </is>
      </c>
      <c r="G416" t="n">
        <v>4.9</v>
      </c>
      <c r="H416" t="n">
        <v>0</v>
      </c>
      <c r="I416" t="n">
        <v>0</v>
      </c>
      <c r="J416" t="n">
        <v>0</v>
      </c>
      <c r="K416" t="n">
        <v>0</v>
      </c>
      <c r="L416" t="n">
        <v>0</v>
      </c>
      <c r="M416" t="n">
        <v>0</v>
      </c>
      <c r="N416" t="n">
        <v>0</v>
      </c>
      <c r="O416" t="n">
        <v>0</v>
      </c>
      <c r="P416" t="n">
        <v>0</v>
      </c>
      <c r="Q416" t="n">
        <v>0</v>
      </c>
      <c r="R416" s="2" t="inlineStr"/>
    </row>
    <row r="417" ht="15" customHeight="1">
      <c r="A417" t="inlineStr">
        <is>
          <t>A 42035-2022</t>
        </is>
      </c>
      <c r="B417" s="1" t="n">
        <v>44830</v>
      </c>
      <c r="C417" s="1" t="n">
        <v>45784</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42121-2022</t>
        </is>
      </c>
      <c r="B418" s="1" t="n">
        <v>44830</v>
      </c>
      <c r="C418" s="1" t="n">
        <v>45784</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42611-2022</t>
        </is>
      </c>
      <c r="B419" s="1" t="n">
        <v>44831</v>
      </c>
      <c r="C419" s="1" t="n">
        <v>45784</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42668-2022</t>
        </is>
      </c>
      <c r="B420" s="1" t="n">
        <v>44832</v>
      </c>
      <c r="C420" s="1" t="n">
        <v>45784</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42814-2022</t>
        </is>
      </c>
      <c r="B421" s="1" t="n">
        <v>44832</v>
      </c>
      <c r="C421" s="1" t="n">
        <v>45784</v>
      </c>
      <c r="D421" t="inlineStr">
        <is>
          <t>DALARNAS LÄN</t>
        </is>
      </c>
      <c r="E421" t="inlineStr">
        <is>
          <t>MORA</t>
        </is>
      </c>
      <c r="F421" t="inlineStr">
        <is>
          <t>Bergvik skog väst AB</t>
        </is>
      </c>
      <c r="G421" t="n">
        <v>5.3</v>
      </c>
      <c r="H421" t="n">
        <v>0</v>
      </c>
      <c r="I421" t="n">
        <v>0</v>
      </c>
      <c r="J421" t="n">
        <v>0</v>
      </c>
      <c r="K421" t="n">
        <v>0</v>
      </c>
      <c r="L421" t="n">
        <v>0</v>
      </c>
      <c r="M421" t="n">
        <v>0</v>
      </c>
      <c r="N421" t="n">
        <v>0</v>
      </c>
      <c r="O421" t="n">
        <v>0</v>
      </c>
      <c r="P421" t="n">
        <v>0</v>
      </c>
      <c r="Q421" t="n">
        <v>0</v>
      </c>
      <c r="R421" s="2" t="inlineStr"/>
    </row>
    <row r="422" ht="15" customHeight="1">
      <c r="A422" t="inlineStr">
        <is>
          <t>A 43540-2022</t>
        </is>
      </c>
      <c r="B422" s="1" t="n">
        <v>44837</v>
      </c>
      <c r="C422" s="1" t="n">
        <v>45784</v>
      </c>
      <c r="D422" t="inlineStr">
        <is>
          <t>DALARNAS LÄN</t>
        </is>
      </c>
      <c r="E422" t="inlineStr">
        <is>
          <t>MORA</t>
        </is>
      </c>
      <c r="G422" t="n">
        <v>10.5</v>
      </c>
      <c r="H422" t="n">
        <v>0</v>
      </c>
      <c r="I422" t="n">
        <v>0</v>
      </c>
      <c r="J422" t="n">
        <v>0</v>
      </c>
      <c r="K422" t="n">
        <v>0</v>
      </c>
      <c r="L422" t="n">
        <v>0</v>
      </c>
      <c r="M422" t="n">
        <v>0</v>
      </c>
      <c r="N422" t="n">
        <v>0</v>
      </c>
      <c r="O422" t="n">
        <v>0</v>
      </c>
      <c r="P422" t="n">
        <v>0</v>
      </c>
      <c r="Q422" t="n">
        <v>0</v>
      </c>
      <c r="R422" s="2" t="inlineStr"/>
    </row>
    <row r="423" ht="15" customHeight="1">
      <c r="A423" t="inlineStr">
        <is>
          <t>A 43641-2022</t>
        </is>
      </c>
      <c r="B423" s="1" t="n">
        <v>44837</v>
      </c>
      <c r="C423" s="1" t="n">
        <v>45784</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43826-2022</t>
        </is>
      </c>
      <c r="B424" s="1" t="n">
        <v>44838</v>
      </c>
      <c r="C424" s="1" t="n">
        <v>45784</v>
      </c>
      <c r="D424" t="inlineStr">
        <is>
          <t>DALARNAS LÄN</t>
        </is>
      </c>
      <c r="E424" t="inlineStr">
        <is>
          <t>MORA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43879-2022</t>
        </is>
      </c>
      <c r="B425" s="1" t="n">
        <v>44838</v>
      </c>
      <c r="C425" s="1" t="n">
        <v>45784</v>
      </c>
      <c r="D425" t="inlineStr">
        <is>
          <t>DALARNAS LÄN</t>
        </is>
      </c>
      <c r="E425" t="inlineStr">
        <is>
          <t>MORA</t>
        </is>
      </c>
      <c r="G425" t="n">
        <v>3.4</v>
      </c>
      <c r="H425" t="n">
        <v>0</v>
      </c>
      <c r="I425" t="n">
        <v>0</v>
      </c>
      <c r="J425" t="n">
        <v>0</v>
      </c>
      <c r="K425" t="n">
        <v>0</v>
      </c>
      <c r="L425" t="n">
        <v>0</v>
      </c>
      <c r="M425" t="n">
        <v>0</v>
      </c>
      <c r="N425" t="n">
        <v>0</v>
      </c>
      <c r="O425" t="n">
        <v>0</v>
      </c>
      <c r="P425" t="n">
        <v>0</v>
      </c>
      <c r="Q425" t="n">
        <v>0</v>
      </c>
      <c r="R425" s="2" t="inlineStr"/>
    </row>
    <row r="426" ht="15" customHeight="1">
      <c r="A426" t="inlineStr">
        <is>
          <t>A 43944-2022</t>
        </is>
      </c>
      <c r="B426" s="1" t="n">
        <v>44838</v>
      </c>
      <c r="C426" s="1" t="n">
        <v>45784</v>
      </c>
      <c r="D426" t="inlineStr">
        <is>
          <t>DALARNAS LÄN</t>
        </is>
      </c>
      <c r="E426" t="inlineStr">
        <is>
          <t>MORA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45238-2022</t>
        </is>
      </c>
      <c r="B427" s="1" t="n">
        <v>44844</v>
      </c>
      <c r="C427" s="1" t="n">
        <v>45784</v>
      </c>
      <c r="D427" t="inlineStr">
        <is>
          <t>DALARNAS LÄN</t>
        </is>
      </c>
      <c r="E427" t="inlineStr">
        <is>
          <t>MORA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45463-2022</t>
        </is>
      </c>
      <c r="B428" s="1" t="n">
        <v>44845</v>
      </c>
      <c r="C428" s="1" t="n">
        <v>45784</v>
      </c>
      <c r="D428" t="inlineStr">
        <is>
          <t>DALARNAS LÄN</t>
        </is>
      </c>
      <c r="E428" t="inlineStr">
        <is>
          <t>MORA</t>
        </is>
      </c>
      <c r="G428" t="n">
        <v>8.4</v>
      </c>
      <c r="H428" t="n">
        <v>0</v>
      </c>
      <c r="I428" t="n">
        <v>0</v>
      </c>
      <c r="J428" t="n">
        <v>0</v>
      </c>
      <c r="K428" t="n">
        <v>0</v>
      </c>
      <c r="L428" t="n">
        <v>0</v>
      </c>
      <c r="M428" t="n">
        <v>0</v>
      </c>
      <c r="N428" t="n">
        <v>0</v>
      </c>
      <c r="O428" t="n">
        <v>0</v>
      </c>
      <c r="P428" t="n">
        <v>0</v>
      </c>
      <c r="Q428" t="n">
        <v>0</v>
      </c>
      <c r="R428" s="2" t="inlineStr"/>
    </row>
    <row r="429" ht="15" customHeight="1">
      <c r="A429" t="inlineStr">
        <is>
          <t>A 45462-2022</t>
        </is>
      </c>
      <c r="B429" s="1" t="n">
        <v>44845</v>
      </c>
      <c r="C429" s="1" t="n">
        <v>45784</v>
      </c>
      <c r="D429" t="inlineStr">
        <is>
          <t>DALARNAS LÄN</t>
        </is>
      </c>
      <c r="E429" t="inlineStr">
        <is>
          <t>MORA</t>
        </is>
      </c>
      <c r="G429" t="n">
        <v>6.9</v>
      </c>
      <c r="H429" t="n">
        <v>0</v>
      </c>
      <c r="I429" t="n">
        <v>0</v>
      </c>
      <c r="J429" t="n">
        <v>0</v>
      </c>
      <c r="K429" t="n">
        <v>0</v>
      </c>
      <c r="L429" t="n">
        <v>0</v>
      </c>
      <c r="M429" t="n">
        <v>0</v>
      </c>
      <c r="N429" t="n">
        <v>0</v>
      </c>
      <c r="O429" t="n">
        <v>0</v>
      </c>
      <c r="P429" t="n">
        <v>0</v>
      </c>
      <c r="Q429" t="n">
        <v>0</v>
      </c>
      <c r="R429" s="2" t="inlineStr"/>
    </row>
    <row r="430" ht="15" customHeight="1">
      <c r="A430" t="inlineStr">
        <is>
          <t>A 45465-2022</t>
        </is>
      </c>
      <c r="B430" s="1" t="n">
        <v>44845</v>
      </c>
      <c r="C430" s="1" t="n">
        <v>45784</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v>
      </c>
      <c r="C431" s="1" t="n">
        <v>45784</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46402-2022</t>
        </is>
      </c>
      <c r="B432" s="1" t="n">
        <v>44848</v>
      </c>
      <c r="C432" s="1" t="n">
        <v>45784</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46801-2022</t>
        </is>
      </c>
      <c r="B433" s="1" t="n">
        <v>44851</v>
      </c>
      <c r="C433" s="1" t="n">
        <v>45784</v>
      </c>
      <c r="D433" t="inlineStr">
        <is>
          <t>DALARNAS LÄN</t>
        </is>
      </c>
      <c r="E433" t="inlineStr">
        <is>
          <t>MORA</t>
        </is>
      </c>
      <c r="G433" t="n">
        <v>1.5</v>
      </c>
      <c r="H433" t="n">
        <v>0</v>
      </c>
      <c r="I433" t="n">
        <v>0</v>
      </c>
      <c r="J433" t="n">
        <v>0</v>
      </c>
      <c r="K433" t="n">
        <v>0</v>
      </c>
      <c r="L433" t="n">
        <v>0</v>
      </c>
      <c r="M433" t="n">
        <v>0</v>
      </c>
      <c r="N433" t="n">
        <v>0</v>
      </c>
      <c r="O433" t="n">
        <v>0</v>
      </c>
      <c r="P433" t="n">
        <v>0</v>
      </c>
      <c r="Q433" t="n">
        <v>0</v>
      </c>
      <c r="R433" s="2" t="inlineStr"/>
    </row>
    <row r="434" ht="15" customHeight="1">
      <c r="A434" t="inlineStr">
        <is>
          <t>A 47143-2022</t>
        </is>
      </c>
      <c r="B434" s="1" t="n">
        <v>44852</v>
      </c>
      <c r="C434" s="1" t="n">
        <v>45784</v>
      </c>
      <c r="D434" t="inlineStr">
        <is>
          <t>DALARNAS LÄN</t>
        </is>
      </c>
      <c r="E434" t="inlineStr">
        <is>
          <t>MORA</t>
        </is>
      </c>
      <c r="G434" t="n">
        <v>3.9</v>
      </c>
      <c r="H434" t="n">
        <v>0</v>
      </c>
      <c r="I434" t="n">
        <v>0</v>
      </c>
      <c r="J434" t="n">
        <v>0</v>
      </c>
      <c r="K434" t="n">
        <v>0</v>
      </c>
      <c r="L434" t="n">
        <v>0</v>
      </c>
      <c r="M434" t="n">
        <v>0</v>
      </c>
      <c r="N434" t="n">
        <v>0</v>
      </c>
      <c r="O434" t="n">
        <v>0</v>
      </c>
      <c r="P434" t="n">
        <v>0</v>
      </c>
      <c r="Q434" t="n">
        <v>0</v>
      </c>
      <c r="R434" s="2" t="inlineStr"/>
    </row>
    <row r="435" ht="15" customHeight="1">
      <c r="A435" t="inlineStr">
        <is>
          <t>A 47429-2022</t>
        </is>
      </c>
      <c r="B435" s="1" t="n">
        <v>44853</v>
      </c>
      <c r="C435" s="1" t="n">
        <v>45784</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48383-2022</t>
        </is>
      </c>
      <c r="B436" s="1" t="n">
        <v>44858</v>
      </c>
      <c r="C436" s="1" t="n">
        <v>45784</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48376-2022</t>
        </is>
      </c>
      <c r="B437" s="1" t="n">
        <v>44858</v>
      </c>
      <c r="C437" s="1" t="n">
        <v>45784</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48456-2022</t>
        </is>
      </c>
      <c r="B438" s="1" t="n">
        <v>44858</v>
      </c>
      <c r="C438" s="1" t="n">
        <v>45784</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48570-2022</t>
        </is>
      </c>
      <c r="B439" s="1" t="n">
        <v>44859</v>
      </c>
      <c r="C439" s="1" t="n">
        <v>45784</v>
      </c>
      <c r="D439" t="inlineStr">
        <is>
          <t>DALARNAS LÄN</t>
        </is>
      </c>
      <c r="E439" t="inlineStr">
        <is>
          <t>MORA</t>
        </is>
      </c>
      <c r="G439" t="n">
        <v>6.2</v>
      </c>
      <c r="H439" t="n">
        <v>0</v>
      </c>
      <c r="I439" t="n">
        <v>0</v>
      </c>
      <c r="J439" t="n">
        <v>0</v>
      </c>
      <c r="K439" t="n">
        <v>0</v>
      </c>
      <c r="L439" t="n">
        <v>0</v>
      </c>
      <c r="M439" t="n">
        <v>0</v>
      </c>
      <c r="N439" t="n">
        <v>0</v>
      </c>
      <c r="O439" t="n">
        <v>0</v>
      </c>
      <c r="P439" t="n">
        <v>0</v>
      </c>
      <c r="Q439" t="n">
        <v>0</v>
      </c>
      <c r="R439" s="2" t="inlineStr"/>
    </row>
    <row r="440" ht="15" customHeight="1">
      <c r="A440" t="inlineStr">
        <is>
          <t>A 48728-2022</t>
        </is>
      </c>
      <c r="B440" s="1" t="n">
        <v>44859</v>
      </c>
      <c r="C440" s="1" t="n">
        <v>45784</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49257-2022</t>
        </is>
      </c>
      <c r="B441" s="1" t="n">
        <v>44861</v>
      </c>
      <c r="C441" s="1" t="n">
        <v>45784</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50056-2022</t>
        </is>
      </c>
      <c r="B442" s="1" t="n">
        <v>44865</v>
      </c>
      <c r="C442" s="1" t="n">
        <v>45784</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50719-2022</t>
        </is>
      </c>
      <c r="B443" s="1" t="n">
        <v>44867</v>
      </c>
      <c r="C443" s="1" t="n">
        <v>45784</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51444-2022</t>
        </is>
      </c>
      <c r="B444" s="1" t="n">
        <v>44869</v>
      </c>
      <c r="C444" s="1" t="n">
        <v>45784</v>
      </c>
      <c r="D444" t="inlineStr">
        <is>
          <t>DALARNAS LÄN</t>
        </is>
      </c>
      <c r="E444" t="inlineStr">
        <is>
          <t>MORA</t>
        </is>
      </c>
      <c r="G444" t="n">
        <v>24.3</v>
      </c>
      <c r="H444" t="n">
        <v>0</v>
      </c>
      <c r="I444" t="n">
        <v>0</v>
      </c>
      <c r="J444" t="n">
        <v>0</v>
      </c>
      <c r="K444" t="n">
        <v>0</v>
      </c>
      <c r="L444" t="n">
        <v>0</v>
      </c>
      <c r="M444" t="n">
        <v>0</v>
      </c>
      <c r="N444" t="n">
        <v>0</v>
      </c>
      <c r="O444" t="n">
        <v>0</v>
      </c>
      <c r="P444" t="n">
        <v>0</v>
      </c>
      <c r="Q444" t="n">
        <v>0</v>
      </c>
      <c r="R444" s="2" t="inlineStr"/>
    </row>
    <row r="445" ht="15" customHeight="1">
      <c r="A445" t="inlineStr">
        <is>
          <t>A 52525-2022</t>
        </is>
      </c>
      <c r="B445" s="1" t="n">
        <v>44874</v>
      </c>
      <c r="C445" s="1" t="n">
        <v>45784</v>
      </c>
      <c r="D445" t="inlineStr">
        <is>
          <t>DALARNAS LÄN</t>
        </is>
      </c>
      <c r="E445" t="inlineStr">
        <is>
          <t>MORA</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52557-2022</t>
        </is>
      </c>
      <c r="B446" s="1" t="n">
        <v>44874</v>
      </c>
      <c r="C446" s="1" t="n">
        <v>45784</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52845-2022</t>
        </is>
      </c>
      <c r="B447" s="1" t="n">
        <v>44875</v>
      </c>
      <c r="C447" s="1" t="n">
        <v>45784</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53214-2022</t>
        </is>
      </c>
      <c r="B448" s="1" t="n">
        <v>44876</v>
      </c>
      <c r="C448" s="1" t="n">
        <v>45784</v>
      </c>
      <c r="D448" t="inlineStr">
        <is>
          <t>DALARNAS LÄN</t>
        </is>
      </c>
      <c r="E448" t="inlineStr">
        <is>
          <t>MORA</t>
        </is>
      </c>
      <c r="G448" t="n">
        <v>10.6</v>
      </c>
      <c r="H448" t="n">
        <v>0</v>
      </c>
      <c r="I448" t="n">
        <v>0</v>
      </c>
      <c r="J448" t="n">
        <v>0</v>
      </c>
      <c r="K448" t="n">
        <v>0</v>
      </c>
      <c r="L448" t="n">
        <v>0</v>
      </c>
      <c r="M448" t="n">
        <v>0</v>
      </c>
      <c r="N448" t="n">
        <v>0</v>
      </c>
      <c r="O448" t="n">
        <v>0</v>
      </c>
      <c r="P448" t="n">
        <v>0</v>
      </c>
      <c r="Q448" t="n">
        <v>0</v>
      </c>
      <c r="R448" s="2" t="inlineStr"/>
    </row>
    <row r="449" ht="15" customHeight="1">
      <c r="A449" t="inlineStr">
        <is>
          <t>A 54409-2022</t>
        </is>
      </c>
      <c r="B449" s="1" t="n">
        <v>44882</v>
      </c>
      <c r="C449" s="1" t="n">
        <v>45784</v>
      </c>
      <c r="D449" t="inlineStr">
        <is>
          <t>DALARNAS LÄN</t>
        </is>
      </c>
      <c r="E449" t="inlineStr">
        <is>
          <t>MORA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54739-2022</t>
        </is>
      </c>
      <c r="B450" s="1" t="n">
        <v>44883</v>
      </c>
      <c r="C450" s="1" t="n">
        <v>45784</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55010-2022</t>
        </is>
      </c>
      <c r="B451" s="1" t="n">
        <v>44886</v>
      </c>
      <c r="C451" s="1" t="n">
        <v>45784</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55051-2022</t>
        </is>
      </c>
      <c r="B452" s="1" t="n">
        <v>44886</v>
      </c>
      <c r="C452" s="1" t="n">
        <v>45784</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55106-2022</t>
        </is>
      </c>
      <c r="B453" s="1" t="n">
        <v>44886</v>
      </c>
      <c r="C453" s="1" t="n">
        <v>45784</v>
      </c>
      <c r="D453" t="inlineStr">
        <is>
          <t>DALARNAS LÄN</t>
        </is>
      </c>
      <c r="E453" t="inlineStr">
        <is>
          <t>MORA</t>
        </is>
      </c>
      <c r="G453" t="n">
        <v>7.7</v>
      </c>
      <c r="H453" t="n">
        <v>0</v>
      </c>
      <c r="I453" t="n">
        <v>0</v>
      </c>
      <c r="J453" t="n">
        <v>0</v>
      </c>
      <c r="K453" t="n">
        <v>0</v>
      </c>
      <c r="L453" t="n">
        <v>0</v>
      </c>
      <c r="M453" t="n">
        <v>0</v>
      </c>
      <c r="N453" t="n">
        <v>0</v>
      </c>
      <c r="O453" t="n">
        <v>0</v>
      </c>
      <c r="P453" t="n">
        <v>0</v>
      </c>
      <c r="Q453" t="n">
        <v>0</v>
      </c>
      <c r="R453" s="2" t="inlineStr"/>
    </row>
    <row r="454" ht="15" customHeight="1">
      <c r="A454" t="inlineStr">
        <is>
          <t>A 55077-2022</t>
        </is>
      </c>
      <c r="B454" s="1" t="n">
        <v>44886</v>
      </c>
      <c r="C454" s="1" t="n">
        <v>45784</v>
      </c>
      <c r="D454" t="inlineStr">
        <is>
          <t>DALARNAS LÄN</t>
        </is>
      </c>
      <c r="E454" t="inlineStr">
        <is>
          <t>MORA</t>
        </is>
      </c>
      <c r="G454" t="n">
        <v>2.9</v>
      </c>
      <c r="H454" t="n">
        <v>0</v>
      </c>
      <c r="I454" t="n">
        <v>0</v>
      </c>
      <c r="J454" t="n">
        <v>0</v>
      </c>
      <c r="K454" t="n">
        <v>0</v>
      </c>
      <c r="L454" t="n">
        <v>0</v>
      </c>
      <c r="M454" t="n">
        <v>0</v>
      </c>
      <c r="N454" t="n">
        <v>0</v>
      </c>
      <c r="O454" t="n">
        <v>0</v>
      </c>
      <c r="P454" t="n">
        <v>0</v>
      </c>
      <c r="Q454" t="n">
        <v>0</v>
      </c>
      <c r="R454" s="2" t="inlineStr"/>
    </row>
    <row r="455" ht="15" customHeight="1">
      <c r="A455" t="inlineStr">
        <is>
          <t>A 55331-2022</t>
        </is>
      </c>
      <c r="B455" s="1" t="n">
        <v>44887</v>
      </c>
      <c r="C455" s="1" t="n">
        <v>45784</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55356-2022</t>
        </is>
      </c>
      <c r="B456" s="1" t="n">
        <v>44887</v>
      </c>
      <c r="C456" s="1" t="n">
        <v>45784</v>
      </c>
      <c r="D456" t="inlineStr">
        <is>
          <t>DALARNAS LÄN</t>
        </is>
      </c>
      <c r="E456" t="inlineStr">
        <is>
          <t>MORA</t>
        </is>
      </c>
      <c r="F456" t="inlineStr">
        <is>
          <t>Allmännings- och besparingsskogar</t>
        </is>
      </c>
      <c r="G456" t="n">
        <v>0.7</v>
      </c>
      <c r="H456" t="n">
        <v>0</v>
      </c>
      <c r="I456" t="n">
        <v>0</v>
      </c>
      <c r="J456" t="n">
        <v>0</v>
      </c>
      <c r="K456" t="n">
        <v>0</v>
      </c>
      <c r="L456" t="n">
        <v>0</v>
      </c>
      <c r="M456" t="n">
        <v>0</v>
      </c>
      <c r="N456" t="n">
        <v>0</v>
      </c>
      <c r="O456" t="n">
        <v>0</v>
      </c>
      <c r="P456" t="n">
        <v>0</v>
      </c>
      <c r="Q456" t="n">
        <v>0</v>
      </c>
      <c r="R456" s="2" t="inlineStr"/>
    </row>
    <row r="457" ht="15" customHeight="1">
      <c r="A457" t="inlineStr">
        <is>
          <t>A 56939-2022</t>
        </is>
      </c>
      <c r="B457" s="1" t="n">
        <v>44888</v>
      </c>
      <c r="C457" s="1" t="n">
        <v>45784</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55993-2022</t>
        </is>
      </c>
      <c r="B458" s="1" t="n">
        <v>44889</v>
      </c>
      <c r="C458" s="1" t="n">
        <v>45784</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55925-2022</t>
        </is>
      </c>
      <c r="B459" s="1" t="n">
        <v>44889</v>
      </c>
      <c r="C459" s="1" t="n">
        <v>45784</v>
      </c>
      <c r="D459" t="inlineStr">
        <is>
          <t>DALARNAS LÄN</t>
        </is>
      </c>
      <c r="E459" t="inlineStr">
        <is>
          <t>MORA</t>
        </is>
      </c>
      <c r="F459" t="inlineStr">
        <is>
          <t>Allmännings- och besparingsskogar</t>
        </is>
      </c>
      <c r="G459" t="n">
        <v>15.6</v>
      </c>
      <c r="H459" t="n">
        <v>0</v>
      </c>
      <c r="I459" t="n">
        <v>0</v>
      </c>
      <c r="J459" t="n">
        <v>0</v>
      </c>
      <c r="K459" t="n">
        <v>0</v>
      </c>
      <c r="L459" t="n">
        <v>0</v>
      </c>
      <c r="M459" t="n">
        <v>0</v>
      </c>
      <c r="N459" t="n">
        <v>0</v>
      </c>
      <c r="O459" t="n">
        <v>0</v>
      </c>
      <c r="P459" t="n">
        <v>0</v>
      </c>
      <c r="Q459" t="n">
        <v>0</v>
      </c>
      <c r="R459" s="2" t="inlineStr"/>
    </row>
    <row r="460" ht="15" customHeight="1">
      <c r="A460" t="inlineStr">
        <is>
          <t>A 56321-2022</t>
        </is>
      </c>
      <c r="B460" s="1" t="n">
        <v>44890</v>
      </c>
      <c r="C460" s="1" t="n">
        <v>45784</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45784</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56678-2022</t>
        </is>
      </c>
      <c r="B462" s="1" t="n">
        <v>44893</v>
      </c>
      <c r="C462" s="1" t="n">
        <v>45784</v>
      </c>
      <c r="D462" t="inlineStr">
        <is>
          <t>DALARNAS LÄN</t>
        </is>
      </c>
      <c r="E462" t="inlineStr">
        <is>
          <t>MORA</t>
        </is>
      </c>
      <c r="G462" t="n">
        <v>4.7</v>
      </c>
      <c r="H462" t="n">
        <v>0</v>
      </c>
      <c r="I462" t="n">
        <v>0</v>
      </c>
      <c r="J462" t="n">
        <v>0</v>
      </c>
      <c r="K462" t="n">
        <v>0</v>
      </c>
      <c r="L462" t="n">
        <v>0</v>
      </c>
      <c r="M462" t="n">
        <v>0</v>
      </c>
      <c r="N462" t="n">
        <v>0</v>
      </c>
      <c r="O462" t="n">
        <v>0</v>
      </c>
      <c r="P462" t="n">
        <v>0</v>
      </c>
      <c r="Q462" t="n">
        <v>0</v>
      </c>
      <c r="R462" s="2" t="inlineStr"/>
    </row>
    <row r="463" ht="15" customHeight="1">
      <c r="A463" t="inlineStr">
        <is>
          <t>A 56770-2022</t>
        </is>
      </c>
      <c r="B463" s="1" t="n">
        <v>44894</v>
      </c>
      <c r="C463" s="1" t="n">
        <v>45784</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56865-2022</t>
        </is>
      </c>
      <c r="B464" s="1" t="n">
        <v>44894</v>
      </c>
      <c r="C464" s="1" t="n">
        <v>45784</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57475-2022</t>
        </is>
      </c>
      <c r="B465" s="1" t="n">
        <v>44896</v>
      </c>
      <c r="C465" s="1" t="n">
        <v>45784</v>
      </c>
      <c r="D465" t="inlineStr">
        <is>
          <t>DALARNAS LÄN</t>
        </is>
      </c>
      <c r="E465" t="inlineStr">
        <is>
          <t>MORA</t>
        </is>
      </c>
      <c r="G465" t="n">
        <v>5.7</v>
      </c>
      <c r="H465" t="n">
        <v>0</v>
      </c>
      <c r="I465" t="n">
        <v>0</v>
      </c>
      <c r="J465" t="n">
        <v>0</v>
      </c>
      <c r="K465" t="n">
        <v>0</v>
      </c>
      <c r="L465" t="n">
        <v>0</v>
      </c>
      <c r="M465" t="n">
        <v>0</v>
      </c>
      <c r="N465" t="n">
        <v>0</v>
      </c>
      <c r="O465" t="n">
        <v>0</v>
      </c>
      <c r="P465" t="n">
        <v>0</v>
      </c>
      <c r="Q465" t="n">
        <v>0</v>
      </c>
      <c r="R465" s="2" t="inlineStr"/>
    </row>
    <row r="466" ht="15" customHeight="1">
      <c r="A466" t="inlineStr">
        <is>
          <t>A 57797-2022</t>
        </is>
      </c>
      <c r="B466" s="1" t="n">
        <v>44897</v>
      </c>
      <c r="C466" s="1" t="n">
        <v>45784</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57859-2022</t>
        </is>
      </c>
      <c r="B467" s="1" t="n">
        <v>44898</v>
      </c>
      <c r="C467" s="1" t="n">
        <v>45784</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57903-2022</t>
        </is>
      </c>
      <c r="B468" s="1" t="n">
        <v>44900</v>
      </c>
      <c r="C468" s="1" t="n">
        <v>45784</v>
      </c>
      <c r="D468" t="inlineStr">
        <is>
          <t>DALARNAS LÄN</t>
        </is>
      </c>
      <c r="E468" t="inlineStr">
        <is>
          <t>MORA</t>
        </is>
      </c>
      <c r="G468" t="n">
        <v>4.3</v>
      </c>
      <c r="H468" t="n">
        <v>0</v>
      </c>
      <c r="I468" t="n">
        <v>0</v>
      </c>
      <c r="J468" t="n">
        <v>0</v>
      </c>
      <c r="K468" t="n">
        <v>0</v>
      </c>
      <c r="L468" t="n">
        <v>0</v>
      </c>
      <c r="M468" t="n">
        <v>0</v>
      </c>
      <c r="N468" t="n">
        <v>0</v>
      </c>
      <c r="O468" t="n">
        <v>0</v>
      </c>
      <c r="P468" t="n">
        <v>0</v>
      </c>
      <c r="Q468" t="n">
        <v>0</v>
      </c>
      <c r="R468" s="2" t="inlineStr"/>
    </row>
    <row r="469" ht="15" customHeight="1">
      <c r="A469" t="inlineStr">
        <is>
          <t>A 58116-2022</t>
        </is>
      </c>
      <c r="B469" s="1" t="n">
        <v>44900</v>
      </c>
      <c r="C469" s="1" t="n">
        <v>45784</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58357-2022</t>
        </is>
      </c>
      <c r="B470" s="1" t="n">
        <v>44901</v>
      </c>
      <c r="C470" s="1" t="n">
        <v>45784</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58525-2022</t>
        </is>
      </c>
      <c r="B471" s="1" t="n">
        <v>44902</v>
      </c>
      <c r="C471" s="1" t="n">
        <v>45784</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58958-2022</t>
        </is>
      </c>
      <c r="B472" s="1" t="n">
        <v>44903</v>
      </c>
      <c r="C472" s="1" t="n">
        <v>45784</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59406-2022</t>
        </is>
      </c>
      <c r="B473" s="1" t="n">
        <v>44906</v>
      </c>
      <c r="C473" s="1" t="n">
        <v>45784</v>
      </c>
      <c r="D473" t="inlineStr">
        <is>
          <t>DALARNAS LÄN</t>
        </is>
      </c>
      <c r="E473" t="inlineStr">
        <is>
          <t>MORA</t>
        </is>
      </c>
      <c r="G473" t="n">
        <v>16.3</v>
      </c>
      <c r="H473" t="n">
        <v>0</v>
      </c>
      <c r="I473" t="n">
        <v>0</v>
      </c>
      <c r="J473" t="n">
        <v>0</v>
      </c>
      <c r="K473" t="n">
        <v>0</v>
      </c>
      <c r="L473" t="n">
        <v>0</v>
      </c>
      <c r="M473" t="n">
        <v>0</v>
      </c>
      <c r="N473" t="n">
        <v>0</v>
      </c>
      <c r="O473" t="n">
        <v>0</v>
      </c>
      <c r="P473" t="n">
        <v>0</v>
      </c>
      <c r="Q473" t="n">
        <v>0</v>
      </c>
      <c r="R473" s="2" t="inlineStr"/>
    </row>
    <row r="474" ht="15" customHeight="1">
      <c r="A474" t="inlineStr">
        <is>
          <t>A 59419-2022</t>
        </is>
      </c>
      <c r="B474" s="1" t="n">
        <v>44907</v>
      </c>
      <c r="C474" s="1" t="n">
        <v>45784</v>
      </c>
      <c r="D474" t="inlineStr">
        <is>
          <t>DALARNAS LÄN</t>
        </is>
      </c>
      <c r="E474" t="inlineStr">
        <is>
          <t>MORA</t>
        </is>
      </c>
      <c r="G474" t="n">
        <v>9.1</v>
      </c>
      <c r="H474" t="n">
        <v>0</v>
      </c>
      <c r="I474" t="n">
        <v>0</v>
      </c>
      <c r="J474" t="n">
        <v>0</v>
      </c>
      <c r="K474" t="n">
        <v>0</v>
      </c>
      <c r="L474" t="n">
        <v>0</v>
      </c>
      <c r="M474" t="n">
        <v>0</v>
      </c>
      <c r="N474" t="n">
        <v>0</v>
      </c>
      <c r="O474" t="n">
        <v>0</v>
      </c>
      <c r="P474" t="n">
        <v>0</v>
      </c>
      <c r="Q474" t="n">
        <v>0</v>
      </c>
      <c r="R474" s="2" t="inlineStr"/>
    </row>
    <row r="475" ht="15" customHeight="1">
      <c r="A475" t="inlineStr">
        <is>
          <t>A 59448-2022</t>
        </is>
      </c>
      <c r="B475" s="1" t="n">
        <v>44907</v>
      </c>
      <c r="C475" s="1" t="n">
        <v>45784</v>
      </c>
      <c r="D475" t="inlineStr">
        <is>
          <t>DALARNAS LÄN</t>
        </is>
      </c>
      <c r="E475" t="inlineStr">
        <is>
          <t>MORA</t>
        </is>
      </c>
      <c r="G475" t="n">
        <v>35.7</v>
      </c>
      <c r="H475" t="n">
        <v>0</v>
      </c>
      <c r="I475" t="n">
        <v>0</v>
      </c>
      <c r="J475" t="n">
        <v>0</v>
      </c>
      <c r="K475" t="n">
        <v>0</v>
      </c>
      <c r="L475" t="n">
        <v>0</v>
      </c>
      <c r="M475" t="n">
        <v>0</v>
      </c>
      <c r="N475" t="n">
        <v>0</v>
      </c>
      <c r="O475" t="n">
        <v>0</v>
      </c>
      <c r="P475" t="n">
        <v>0</v>
      </c>
      <c r="Q475" t="n">
        <v>0</v>
      </c>
      <c r="R475" s="2" t="inlineStr"/>
    </row>
    <row r="476" ht="15" customHeight="1">
      <c r="A476" t="inlineStr">
        <is>
          <t>A 60051-2022</t>
        </is>
      </c>
      <c r="B476" s="1" t="n">
        <v>44909</v>
      </c>
      <c r="C476" s="1" t="n">
        <v>45784</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60647-2022</t>
        </is>
      </c>
      <c r="B477" s="1" t="n">
        <v>44911</v>
      </c>
      <c r="C477" s="1" t="n">
        <v>45784</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61263-2022</t>
        </is>
      </c>
      <c r="B478" s="1" t="n">
        <v>44915</v>
      </c>
      <c r="C478" s="1" t="n">
        <v>45784</v>
      </c>
      <c r="D478" t="inlineStr">
        <is>
          <t>DALARNAS LÄN</t>
        </is>
      </c>
      <c r="E478" t="inlineStr">
        <is>
          <t>MORA</t>
        </is>
      </c>
      <c r="G478" t="n">
        <v>3.2</v>
      </c>
      <c r="H478" t="n">
        <v>0</v>
      </c>
      <c r="I478" t="n">
        <v>0</v>
      </c>
      <c r="J478" t="n">
        <v>0</v>
      </c>
      <c r="K478" t="n">
        <v>0</v>
      </c>
      <c r="L478" t="n">
        <v>0</v>
      </c>
      <c r="M478" t="n">
        <v>0</v>
      </c>
      <c r="N478" t="n">
        <v>0</v>
      </c>
      <c r="O478" t="n">
        <v>0</v>
      </c>
      <c r="P478" t="n">
        <v>0</v>
      </c>
      <c r="Q478" t="n">
        <v>0</v>
      </c>
      <c r="R478" s="2" t="inlineStr"/>
    </row>
    <row r="479" ht="15" customHeight="1">
      <c r="A479" t="inlineStr">
        <is>
          <t>A 61273-2022</t>
        </is>
      </c>
      <c r="B479" s="1" t="n">
        <v>44915</v>
      </c>
      <c r="C479" s="1" t="n">
        <v>45784</v>
      </c>
      <c r="D479" t="inlineStr">
        <is>
          <t>DALARNAS LÄN</t>
        </is>
      </c>
      <c r="E479" t="inlineStr">
        <is>
          <t>MORA</t>
        </is>
      </c>
      <c r="G479" t="n">
        <v>8.4</v>
      </c>
      <c r="H479" t="n">
        <v>0</v>
      </c>
      <c r="I479" t="n">
        <v>0</v>
      </c>
      <c r="J479" t="n">
        <v>0</v>
      </c>
      <c r="K479" t="n">
        <v>0</v>
      </c>
      <c r="L479" t="n">
        <v>0</v>
      </c>
      <c r="M479" t="n">
        <v>0</v>
      </c>
      <c r="N479" t="n">
        <v>0</v>
      </c>
      <c r="O479" t="n">
        <v>0</v>
      </c>
      <c r="P479" t="n">
        <v>0</v>
      </c>
      <c r="Q479" t="n">
        <v>0</v>
      </c>
      <c r="R479" s="2" t="inlineStr"/>
    </row>
    <row r="480" ht="15" customHeight="1">
      <c r="A480" t="inlineStr">
        <is>
          <t>A 61293-2022</t>
        </is>
      </c>
      <c r="B480" s="1" t="n">
        <v>44915</v>
      </c>
      <c r="C480" s="1" t="n">
        <v>45784</v>
      </c>
      <c r="D480" t="inlineStr">
        <is>
          <t>DALARNAS LÄN</t>
        </is>
      </c>
      <c r="E480" t="inlineStr">
        <is>
          <t>MORA</t>
        </is>
      </c>
      <c r="G480" t="n">
        <v>0.3</v>
      </c>
      <c r="H480" t="n">
        <v>0</v>
      </c>
      <c r="I480" t="n">
        <v>0</v>
      </c>
      <c r="J480" t="n">
        <v>0</v>
      </c>
      <c r="K480" t="n">
        <v>0</v>
      </c>
      <c r="L480" t="n">
        <v>0</v>
      </c>
      <c r="M480" t="n">
        <v>0</v>
      </c>
      <c r="N480" t="n">
        <v>0</v>
      </c>
      <c r="O480" t="n">
        <v>0</v>
      </c>
      <c r="P480" t="n">
        <v>0</v>
      </c>
      <c r="Q480" t="n">
        <v>0</v>
      </c>
      <c r="R480" s="2" t="inlineStr"/>
    </row>
    <row r="481" ht="15" customHeight="1">
      <c r="A481" t="inlineStr">
        <is>
          <t>A 61301-2022</t>
        </is>
      </c>
      <c r="B481" s="1" t="n">
        <v>44915</v>
      </c>
      <c r="C481" s="1" t="n">
        <v>45784</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61482-2022</t>
        </is>
      </c>
      <c r="B482" s="1" t="n">
        <v>44916</v>
      </c>
      <c r="C482" s="1" t="n">
        <v>45784</v>
      </c>
      <c r="D482" t="inlineStr">
        <is>
          <t>DALARNAS LÄN</t>
        </is>
      </c>
      <c r="E482" t="inlineStr">
        <is>
          <t>MORA</t>
        </is>
      </c>
      <c r="G482" t="n">
        <v>7.4</v>
      </c>
      <c r="H482" t="n">
        <v>0</v>
      </c>
      <c r="I482" t="n">
        <v>0</v>
      </c>
      <c r="J482" t="n">
        <v>0</v>
      </c>
      <c r="K482" t="n">
        <v>0</v>
      </c>
      <c r="L482" t="n">
        <v>0</v>
      </c>
      <c r="M482" t="n">
        <v>0</v>
      </c>
      <c r="N482" t="n">
        <v>0</v>
      </c>
      <c r="O482" t="n">
        <v>0</v>
      </c>
      <c r="P482" t="n">
        <v>0</v>
      </c>
      <c r="Q482" t="n">
        <v>0</v>
      </c>
      <c r="R482" s="2" t="inlineStr"/>
    </row>
    <row r="483" ht="15" customHeight="1">
      <c r="A483" t="inlineStr">
        <is>
          <t>A 61794-2022</t>
        </is>
      </c>
      <c r="B483" s="1" t="n">
        <v>44917</v>
      </c>
      <c r="C483" s="1" t="n">
        <v>45784</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62188-2022</t>
        </is>
      </c>
      <c r="B484" s="1" t="n">
        <v>44922</v>
      </c>
      <c r="C484" s="1" t="n">
        <v>45784</v>
      </c>
      <c r="D484" t="inlineStr">
        <is>
          <t>DALARNAS LÄN</t>
        </is>
      </c>
      <c r="E484" t="inlineStr">
        <is>
          <t>MORA</t>
        </is>
      </c>
      <c r="G484" t="n">
        <v>2.3</v>
      </c>
      <c r="H484" t="n">
        <v>0</v>
      </c>
      <c r="I484" t="n">
        <v>0</v>
      </c>
      <c r="J484" t="n">
        <v>0</v>
      </c>
      <c r="K484" t="n">
        <v>0</v>
      </c>
      <c r="L484" t="n">
        <v>0</v>
      </c>
      <c r="M484" t="n">
        <v>0</v>
      </c>
      <c r="N484" t="n">
        <v>0</v>
      </c>
      <c r="O484" t="n">
        <v>0</v>
      </c>
      <c r="P484" t="n">
        <v>0</v>
      </c>
      <c r="Q484" t="n">
        <v>0</v>
      </c>
      <c r="R484" s="2" t="inlineStr"/>
    </row>
    <row r="485" ht="15" customHeight="1">
      <c r="A485" t="inlineStr">
        <is>
          <t>A 518-2023</t>
        </is>
      </c>
      <c r="B485" s="1" t="n">
        <v>44930</v>
      </c>
      <c r="C485" s="1" t="n">
        <v>45784</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1888-2023</t>
        </is>
      </c>
      <c r="B486" s="1" t="n">
        <v>44937</v>
      </c>
      <c r="C486" s="1" t="n">
        <v>45784</v>
      </c>
      <c r="D486" t="inlineStr">
        <is>
          <t>DALARNAS LÄN</t>
        </is>
      </c>
      <c r="E486" t="inlineStr">
        <is>
          <t>MORA</t>
        </is>
      </c>
      <c r="G486" t="n">
        <v>3.7</v>
      </c>
      <c r="H486" t="n">
        <v>0</v>
      </c>
      <c r="I486" t="n">
        <v>0</v>
      </c>
      <c r="J486" t="n">
        <v>0</v>
      </c>
      <c r="K486" t="n">
        <v>0</v>
      </c>
      <c r="L486" t="n">
        <v>0</v>
      </c>
      <c r="M486" t="n">
        <v>0</v>
      </c>
      <c r="N486" t="n">
        <v>0</v>
      </c>
      <c r="O486" t="n">
        <v>0</v>
      </c>
      <c r="P486" t="n">
        <v>0</v>
      </c>
      <c r="Q486" t="n">
        <v>0</v>
      </c>
      <c r="R486" s="2" t="inlineStr"/>
    </row>
    <row r="487" ht="15" customHeight="1">
      <c r="A487" t="inlineStr">
        <is>
          <t>A 1906-2023</t>
        </is>
      </c>
      <c r="B487" s="1" t="n">
        <v>44937</v>
      </c>
      <c r="C487" s="1" t="n">
        <v>45784</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1894-2023</t>
        </is>
      </c>
      <c r="B488" s="1" t="n">
        <v>44937</v>
      </c>
      <c r="C488" s="1" t="n">
        <v>45784</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1897-2023</t>
        </is>
      </c>
      <c r="B489" s="1" t="n">
        <v>44937</v>
      </c>
      <c r="C489" s="1" t="n">
        <v>45784</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2308-2023</t>
        </is>
      </c>
      <c r="B490" s="1" t="n">
        <v>44942</v>
      </c>
      <c r="C490" s="1" t="n">
        <v>45784</v>
      </c>
      <c r="D490" t="inlineStr">
        <is>
          <t>DALARNAS LÄN</t>
        </is>
      </c>
      <c r="E490" t="inlineStr">
        <is>
          <t>MORA</t>
        </is>
      </c>
      <c r="G490" t="n">
        <v>2.2</v>
      </c>
      <c r="H490" t="n">
        <v>0</v>
      </c>
      <c r="I490" t="n">
        <v>0</v>
      </c>
      <c r="J490" t="n">
        <v>0</v>
      </c>
      <c r="K490" t="n">
        <v>0</v>
      </c>
      <c r="L490" t="n">
        <v>0</v>
      </c>
      <c r="M490" t="n">
        <v>0</v>
      </c>
      <c r="N490" t="n">
        <v>0</v>
      </c>
      <c r="O490" t="n">
        <v>0</v>
      </c>
      <c r="P490" t="n">
        <v>0</v>
      </c>
      <c r="Q490" t="n">
        <v>0</v>
      </c>
      <c r="R490" s="2" t="inlineStr"/>
    </row>
    <row r="491" ht="15" customHeight="1">
      <c r="A491" t="inlineStr">
        <is>
          <t>A 2304-2023</t>
        </is>
      </c>
      <c r="B491" s="1" t="n">
        <v>44942</v>
      </c>
      <c r="C491" s="1" t="n">
        <v>45784</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2372-2023</t>
        </is>
      </c>
      <c r="B492" s="1" t="n">
        <v>44942</v>
      </c>
      <c r="C492" s="1" t="n">
        <v>45784</v>
      </c>
      <c r="D492" t="inlineStr">
        <is>
          <t>DALARNAS LÄN</t>
        </is>
      </c>
      <c r="E492" t="inlineStr">
        <is>
          <t>MORA</t>
        </is>
      </c>
      <c r="G492" t="n">
        <v>7.7</v>
      </c>
      <c r="H492" t="n">
        <v>0</v>
      </c>
      <c r="I492" t="n">
        <v>0</v>
      </c>
      <c r="J492" t="n">
        <v>0</v>
      </c>
      <c r="K492" t="n">
        <v>0</v>
      </c>
      <c r="L492" t="n">
        <v>0</v>
      </c>
      <c r="M492" t="n">
        <v>0</v>
      </c>
      <c r="N492" t="n">
        <v>0</v>
      </c>
      <c r="O492" t="n">
        <v>0</v>
      </c>
      <c r="P492" t="n">
        <v>0</v>
      </c>
      <c r="Q492" t="n">
        <v>0</v>
      </c>
      <c r="R492" s="2" t="inlineStr"/>
    </row>
    <row r="493" ht="15" customHeight="1">
      <c r="A493" t="inlineStr">
        <is>
          <t>A 2830-2023</t>
        </is>
      </c>
      <c r="B493" s="1" t="n">
        <v>44945</v>
      </c>
      <c r="C493" s="1" t="n">
        <v>45784</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3049-2023</t>
        </is>
      </c>
      <c r="B494" s="1" t="n">
        <v>44946</v>
      </c>
      <c r="C494" s="1" t="n">
        <v>45784</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3430-2023</t>
        </is>
      </c>
      <c r="B495" s="1" t="n">
        <v>44949</v>
      </c>
      <c r="C495" s="1" t="n">
        <v>45784</v>
      </c>
      <c r="D495" t="inlineStr">
        <is>
          <t>DALARNAS LÄN</t>
        </is>
      </c>
      <c r="E495" t="inlineStr">
        <is>
          <t>MORA</t>
        </is>
      </c>
      <c r="G495" t="n">
        <v>2.6</v>
      </c>
      <c r="H495" t="n">
        <v>0</v>
      </c>
      <c r="I495" t="n">
        <v>0</v>
      </c>
      <c r="J495" t="n">
        <v>0</v>
      </c>
      <c r="K495" t="n">
        <v>0</v>
      </c>
      <c r="L495" t="n">
        <v>0</v>
      </c>
      <c r="M495" t="n">
        <v>0</v>
      </c>
      <c r="N495" t="n">
        <v>0</v>
      </c>
      <c r="O495" t="n">
        <v>0</v>
      </c>
      <c r="P495" t="n">
        <v>0</v>
      </c>
      <c r="Q495" t="n">
        <v>0</v>
      </c>
      <c r="R495" s="2" t="inlineStr"/>
    </row>
    <row r="496" ht="15" customHeight="1">
      <c r="A496" t="inlineStr">
        <is>
          <t>A 4205-2023</t>
        </is>
      </c>
      <c r="B496" s="1" t="n">
        <v>44953</v>
      </c>
      <c r="C496" s="1" t="n">
        <v>45784</v>
      </c>
      <c r="D496" t="inlineStr">
        <is>
          <t>DALARNAS LÄN</t>
        </is>
      </c>
      <c r="E496" t="inlineStr">
        <is>
          <t>MORA</t>
        </is>
      </c>
      <c r="G496" t="n">
        <v>26.2</v>
      </c>
      <c r="H496" t="n">
        <v>0</v>
      </c>
      <c r="I496" t="n">
        <v>0</v>
      </c>
      <c r="J496" t="n">
        <v>0</v>
      </c>
      <c r="K496" t="n">
        <v>0</v>
      </c>
      <c r="L496" t="n">
        <v>0</v>
      </c>
      <c r="M496" t="n">
        <v>0</v>
      </c>
      <c r="N496" t="n">
        <v>0</v>
      </c>
      <c r="O496" t="n">
        <v>0</v>
      </c>
      <c r="P496" t="n">
        <v>0</v>
      </c>
      <c r="Q496" t="n">
        <v>0</v>
      </c>
      <c r="R496" s="2" t="inlineStr"/>
    </row>
    <row r="497" ht="15" customHeight="1">
      <c r="A497" t="inlineStr">
        <is>
          <t>A 4210-2023</t>
        </is>
      </c>
      <c r="B497" s="1" t="n">
        <v>44953</v>
      </c>
      <c r="C497" s="1" t="n">
        <v>45784</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4209-2023</t>
        </is>
      </c>
      <c r="B498" s="1" t="n">
        <v>44953</v>
      </c>
      <c r="C498" s="1" t="n">
        <v>45784</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4206-2023</t>
        </is>
      </c>
      <c r="B499" s="1" t="n">
        <v>44953</v>
      </c>
      <c r="C499" s="1" t="n">
        <v>45784</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4208-2023</t>
        </is>
      </c>
      <c r="B500" s="1" t="n">
        <v>44953</v>
      </c>
      <c r="C500" s="1" t="n">
        <v>45784</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4497-2023</t>
        </is>
      </c>
      <c r="B501" s="1" t="n">
        <v>44956</v>
      </c>
      <c r="C501" s="1" t="n">
        <v>45784</v>
      </c>
      <c r="D501" t="inlineStr">
        <is>
          <t>DALARNAS LÄN</t>
        </is>
      </c>
      <c r="E501" t="inlineStr">
        <is>
          <t>MORA</t>
        </is>
      </c>
      <c r="G501" t="n">
        <v>6.4</v>
      </c>
      <c r="H501" t="n">
        <v>0</v>
      </c>
      <c r="I501" t="n">
        <v>0</v>
      </c>
      <c r="J501" t="n">
        <v>0</v>
      </c>
      <c r="K501" t="n">
        <v>0</v>
      </c>
      <c r="L501" t="n">
        <v>0</v>
      </c>
      <c r="M501" t="n">
        <v>0</v>
      </c>
      <c r="N501" t="n">
        <v>0</v>
      </c>
      <c r="O501" t="n">
        <v>0</v>
      </c>
      <c r="P501" t="n">
        <v>0</v>
      </c>
      <c r="Q501" t="n">
        <v>0</v>
      </c>
      <c r="R501" s="2" t="inlineStr"/>
    </row>
    <row r="502" ht="15" customHeight="1">
      <c r="A502" t="inlineStr">
        <is>
          <t>A 4506-2023</t>
        </is>
      </c>
      <c r="B502" s="1" t="n">
        <v>44956</v>
      </c>
      <c r="C502" s="1" t="n">
        <v>45784</v>
      </c>
      <c r="D502" t="inlineStr">
        <is>
          <t>DALARNAS LÄN</t>
        </is>
      </c>
      <c r="E502" t="inlineStr">
        <is>
          <t>MORA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5309-2023</t>
        </is>
      </c>
      <c r="B503" s="1" t="n">
        <v>44956</v>
      </c>
      <c r="C503" s="1" t="n">
        <v>45784</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5486-2023</t>
        </is>
      </c>
      <c r="B504" s="1" t="n">
        <v>44957</v>
      </c>
      <c r="C504" s="1" t="n">
        <v>45784</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5493-2023</t>
        </is>
      </c>
      <c r="B505" s="1" t="n">
        <v>44957</v>
      </c>
      <c r="C505" s="1" t="n">
        <v>45784</v>
      </c>
      <c r="D505" t="inlineStr">
        <is>
          <t>DALARNAS LÄN</t>
        </is>
      </c>
      <c r="E505" t="inlineStr">
        <is>
          <t>MORA</t>
        </is>
      </c>
      <c r="F505" t="inlineStr">
        <is>
          <t>Allmännings- och besparingsskogar</t>
        </is>
      </c>
      <c r="G505" t="n">
        <v>14.9</v>
      </c>
      <c r="H505" t="n">
        <v>0</v>
      </c>
      <c r="I505" t="n">
        <v>0</v>
      </c>
      <c r="J505" t="n">
        <v>0</v>
      </c>
      <c r="K505" t="n">
        <v>0</v>
      </c>
      <c r="L505" t="n">
        <v>0</v>
      </c>
      <c r="M505" t="n">
        <v>0</v>
      </c>
      <c r="N505" t="n">
        <v>0</v>
      </c>
      <c r="O505" t="n">
        <v>0</v>
      </c>
      <c r="P505" t="n">
        <v>0</v>
      </c>
      <c r="Q505" t="n">
        <v>0</v>
      </c>
      <c r="R505" s="2" t="inlineStr"/>
    </row>
    <row r="506" ht="15" customHeight="1">
      <c r="A506" t="inlineStr">
        <is>
          <t>A 5491-2023</t>
        </is>
      </c>
      <c r="B506" s="1" t="n">
        <v>44957</v>
      </c>
      <c r="C506" s="1" t="n">
        <v>45784</v>
      </c>
      <c r="D506" t="inlineStr">
        <is>
          <t>DALARNAS LÄN</t>
        </is>
      </c>
      <c r="E506" t="inlineStr">
        <is>
          <t>MORA</t>
        </is>
      </c>
      <c r="G506" t="n">
        <v>3.5</v>
      </c>
      <c r="H506" t="n">
        <v>0</v>
      </c>
      <c r="I506" t="n">
        <v>0</v>
      </c>
      <c r="J506" t="n">
        <v>0</v>
      </c>
      <c r="K506" t="n">
        <v>0</v>
      </c>
      <c r="L506" t="n">
        <v>0</v>
      </c>
      <c r="M506" t="n">
        <v>0</v>
      </c>
      <c r="N506" t="n">
        <v>0</v>
      </c>
      <c r="O506" t="n">
        <v>0</v>
      </c>
      <c r="P506" t="n">
        <v>0</v>
      </c>
      <c r="Q506" t="n">
        <v>0</v>
      </c>
      <c r="R506" s="2" t="inlineStr"/>
    </row>
    <row r="507" ht="15" customHeight="1">
      <c r="A507" t="inlineStr">
        <is>
          <t>A 5028-2023</t>
        </is>
      </c>
      <c r="B507" s="1" t="n">
        <v>44958</v>
      </c>
      <c r="C507" s="1" t="n">
        <v>45784</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5031-2023</t>
        </is>
      </c>
      <c r="B508" s="1" t="n">
        <v>44958</v>
      </c>
      <c r="C508" s="1" t="n">
        <v>45784</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5298-2023</t>
        </is>
      </c>
      <c r="B509" s="1" t="n">
        <v>44959</v>
      </c>
      <c r="C509" s="1" t="n">
        <v>45784</v>
      </c>
      <c r="D509" t="inlineStr">
        <is>
          <t>DALARNAS LÄN</t>
        </is>
      </c>
      <c r="E509" t="inlineStr">
        <is>
          <t>MORA</t>
        </is>
      </c>
      <c r="F509" t="inlineStr">
        <is>
          <t>Bergvik skog väst AB</t>
        </is>
      </c>
      <c r="G509" t="n">
        <v>6.2</v>
      </c>
      <c r="H509" t="n">
        <v>0</v>
      </c>
      <c r="I509" t="n">
        <v>0</v>
      </c>
      <c r="J509" t="n">
        <v>0</v>
      </c>
      <c r="K509" t="n">
        <v>0</v>
      </c>
      <c r="L509" t="n">
        <v>0</v>
      </c>
      <c r="M509" t="n">
        <v>0</v>
      </c>
      <c r="N509" t="n">
        <v>0</v>
      </c>
      <c r="O509" t="n">
        <v>0</v>
      </c>
      <c r="P509" t="n">
        <v>0</v>
      </c>
      <c r="Q509" t="n">
        <v>0</v>
      </c>
      <c r="R509" s="2" t="inlineStr"/>
    </row>
    <row r="510" ht="15" customHeight="1">
      <c r="A510" t="inlineStr">
        <is>
          <t>A 6168-2023</t>
        </is>
      </c>
      <c r="B510" s="1" t="n">
        <v>44964</v>
      </c>
      <c r="C510" s="1" t="n">
        <v>45784</v>
      </c>
      <c r="D510" t="inlineStr">
        <is>
          <t>DALARNAS LÄN</t>
        </is>
      </c>
      <c r="E510" t="inlineStr">
        <is>
          <t>MORA</t>
        </is>
      </c>
      <c r="G510" t="n">
        <v>12.7</v>
      </c>
      <c r="H510" t="n">
        <v>0</v>
      </c>
      <c r="I510" t="n">
        <v>0</v>
      </c>
      <c r="J510" t="n">
        <v>0</v>
      </c>
      <c r="K510" t="n">
        <v>0</v>
      </c>
      <c r="L510" t="n">
        <v>0</v>
      </c>
      <c r="M510" t="n">
        <v>0</v>
      </c>
      <c r="N510" t="n">
        <v>0</v>
      </c>
      <c r="O510" t="n">
        <v>0</v>
      </c>
      <c r="P510" t="n">
        <v>0</v>
      </c>
      <c r="Q510" t="n">
        <v>0</v>
      </c>
      <c r="R510" s="2" t="inlineStr"/>
    </row>
    <row r="511" ht="15" customHeight="1">
      <c r="A511" t="inlineStr">
        <is>
          <t>A 7613-2023</t>
        </is>
      </c>
      <c r="B511" s="1" t="n">
        <v>44967</v>
      </c>
      <c r="C511" s="1" t="n">
        <v>45784</v>
      </c>
      <c r="D511" t="inlineStr">
        <is>
          <t>DALARNAS LÄN</t>
        </is>
      </c>
      <c r="E511" t="inlineStr">
        <is>
          <t>MORA</t>
        </is>
      </c>
      <c r="G511" t="n">
        <v>3.8</v>
      </c>
      <c r="H511" t="n">
        <v>0</v>
      </c>
      <c r="I511" t="n">
        <v>0</v>
      </c>
      <c r="J511" t="n">
        <v>0</v>
      </c>
      <c r="K511" t="n">
        <v>0</v>
      </c>
      <c r="L511" t="n">
        <v>0</v>
      </c>
      <c r="M511" t="n">
        <v>0</v>
      </c>
      <c r="N511" t="n">
        <v>0</v>
      </c>
      <c r="O511" t="n">
        <v>0</v>
      </c>
      <c r="P511" t="n">
        <v>0</v>
      </c>
      <c r="Q511" t="n">
        <v>0</v>
      </c>
      <c r="R511" s="2" t="inlineStr"/>
    </row>
    <row r="512" ht="15" customHeight="1">
      <c r="A512" t="inlineStr">
        <is>
          <t>A 7464-2023</t>
        </is>
      </c>
      <c r="B512" s="1" t="n">
        <v>44971</v>
      </c>
      <c r="C512" s="1" t="n">
        <v>45784</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8785-2023</t>
        </is>
      </c>
      <c r="B513" s="1" t="n">
        <v>44978</v>
      </c>
      <c r="C513" s="1" t="n">
        <v>45784</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9023-2023</t>
        </is>
      </c>
      <c r="B514" s="1" t="n">
        <v>44979</v>
      </c>
      <c r="C514" s="1" t="n">
        <v>45784</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9828-2023</t>
        </is>
      </c>
      <c r="B515" s="1" t="n">
        <v>44984</v>
      </c>
      <c r="C515" s="1" t="n">
        <v>45784</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10210-2023</t>
        </is>
      </c>
      <c r="B516" s="1" t="n">
        <v>44986</v>
      </c>
      <c r="C516" s="1" t="n">
        <v>45784</v>
      </c>
      <c r="D516" t="inlineStr">
        <is>
          <t>DALARNAS LÄN</t>
        </is>
      </c>
      <c r="E516" t="inlineStr">
        <is>
          <t>MORA</t>
        </is>
      </c>
      <c r="G516" t="n">
        <v>19.7</v>
      </c>
      <c r="H516" t="n">
        <v>0</v>
      </c>
      <c r="I516" t="n">
        <v>0</v>
      </c>
      <c r="J516" t="n">
        <v>0</v>
      </c>
      <c r="K516" t="n">
        <v>0</v>
      </c>
      <c r="L516" t="n">
        <v>0</v>
      </c>
      <c r="M516" t="n">
        <v>0</v>
      </c>
      <c r="N516" t="n">
        <v>0</v>
      </c>
      <c r="O516" t="n">
        <v>0</v>
      </c>
      <c r="P516" t="n">
        <v>0</v>
      </c>
      <c r="Q516" t="n">
        <v>0</v>
      </c>
      <c r="R516" s="2" t="inlineStr"/>
    </row>
    <row r="517" ht="15" customHeight="1">
      <c r="A517" t="inlineStr">
        <is>
          <t>A 11857-2023</t>
        </is>
      </c>
      <c r="B517" s="1" t="n">
        <v>44995</v>
      </c>
      <c r="C517" s="1" t="n">
        <v>45784</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12675-2023</t>
        </is>
      </c>
      <c r="B518" s="1" t="n">
        <v>45000</v>
      </c>
      <c r="C518" s="1" t="n">
        <v>45784</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12790-2023</t>
        </is>
      </c>
      <c r="B519" s="1" t="n">
        <v>45001</v>
      </c>
      <c r="C519" s="1" t="n">
        <v>45784</v>
      </c>
      <c r="D519" t="inlineStr">
        <is>
          <t>DALARNAS LÄN</t>
        </is>
      </c>
      <c r="E519" t="inlineStr">
        <is>
          <t>MORA</t>
        </is>
      </c>
      <c r="G519" t="n">
        <v>12.3</v>
      </c>
      <c r="H519" t="n">
        <v>0</v>
      </c>
      <c r="I519" t="n">
        <v>0</v>
      </c>
      <c r="J519" t="n">
        <v>0</v>
      </c>
      <c r="K519" t="n">
        <v>0</v>
      </c>
      <c r="L519" t="n">
        <v>0</v>
      </c>
      <c r="M519" t="n">
        <v>0</v>
      </c>
      <c r="N519" t="n">
        <v>0</v>
      </c>
      <c r="O519" t="n">
        <v>0</v>
      </c>
      <c r="P519" t="n">
        <v>0</v>
      </c>
      <c r="Q519" t="n">
        <v>0</v>
      </c>
      <c r="R519" s="2" t="inlineStr"/>
    </row>
    <row r="520" ht="15" customHeight="1">
      <c r="A520" t="inlineStr">
        <is>
          <t>A 12828-2023</t>
        </is>
      </c>
      <c r="B520" s="1" t="n">
        <v>45001</v>
      </c>
      <c r="C520" s="1" t="n">
        <v>45784</v>
      </c>
      <c r="D520" t="inlineStr">
        <is>
          <t>DALARNAS LÄN</t>
        </is>
      </c>
      <c r="E520" t="inlineStr">
        <is>
          <t>MORA</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13177-2023</t>
        </is>
      </c>
      <c r="B521" s="1" t="n">
        <v>45002</v>
      </c>
      <c r="C521" s="1" t="n">
        <v>45784</v>
      </c>
      <c r="D521" t="inlineStr">
        <is>
          <t>DALARNAS LÄN</t>
        </is>
      </c>
      <c r="E521" t="inlineStr">
        <is>
          <t>MORA</t>
        </is>
      </c>
      <c r="G521" t="n">
        <v>17.5</v>
      </c>
      <c r="H521" t="n">
        <v>0</v>
      </c>
      <c r="I521" t="n">
        <v>0</v>
      </c>
      <c r="J521" t="n">
        <v>0</v>
      </c>
      <c r="K521" t="n">
        <v>0</v>
      </c>
      <c r="L521" t="n">
        <v>0</v>
      </c>
      <c r="M521" t="n">
        <v>0</v>
      </c>
      <c r="N521" t="n">
        <v>0</v>
      </c>
      <c r="O521" t="n">
        <v>0</v>
      </c>
      <c r="P521" t="n">
        <v>0</v>
      </c>
      <c r="Q521" t="n">
        <v>0</v>
      </c>
      <c r="R521" s="2" t="inlineStr"/>
    </row>
    <row r="522" ht="15" customHeight="1">
      <c r="A522" t="inlineStr">
        <is>
          <t>A 13717-2023</t>
        </is>
      </c>
      <c r="B522" s="1" t="n">
        <v>45007</v>
      </c>
      <c r="C522" s="1" t="n">
        <v>45784</v>
      </c>
      <c r="D522" t="inlineStr">
        <is>
          <t>DALARNAS LÄN</t>
        </is>
      </c>
      <c r="E522" t="inlineStr">
        <is>
          <t>MORA</t>
        </is>
      </c>
      <c r="G522" t="n">
        <v>5.6</v>
      </c>
      <c r="H522" t="n">
        <v>0</v>
      </c>
      <c r="I522" t="n">
        <v>0</v>
      </c>
      <c r="J522" t="n">
        <v>0</v>
      </c>
      <c r="K522" t="n">
        <v>0</v>
      </c>
      <c r="L522" t="n">
        <v>0</v>
      </c>
      <c r="M522" t="n">
        <v>0</v>
      </c>
      <c r="N522" t="n">
        <v>0</v>
      </c>
      <c r="O522" t="n">
        <v>0</v>
      </c>
      <c r="P522" t="n">
        <v>0</v>
      </c>
      <c r="Q522" t="n">
        <v>0</v>
      </c>
      <c r="R522" s="2" t="inlineStr"/>
      <c r="U522">
        <f>HYPERLINK("https://klasma.github.io/Logging_2062/knärot/A 13717-2023 karta knärot.png", "A 13717-2023")</f>
        <v/>
      </c>
      <c r="V522">
        <f>HYPERLINK("https://klasma.github.io/Logging_2062/klagomål/A 13717-2023 FSC-klagomål.docx", "A 13717-2023")</f>
        <v/>
      </c>
      <c r="W522">
        <f>HYPERLINK("https://klasma.github.io/Logging_2062/klagomålsmail/A 13717-2023 FSC-klagomål mail.docx", "A 13717-2023")</f>
        <v/>
      </c>
      <c r="X522">
        <f>HYPERLINK("https://klasma.github.io/Logging_2062/tillsyn/A 13717-2023 tillsynsbegäran.docx", "A 13717-2023")</f>
        <v/>
      </c>
      <c r="Y522">
        <f>HYPERLINK("https://klasma.github.io/Logging_2062/tillsynsmail/A 13717-2023 tillsynsbegäran mail.docx", "A 13717-2023")</f>
        <v/>
      </c>
    </row>
    <row r="523" ht="15" customHeight="1">
      <c r="A523" t="inlineStr">
        <is>
          <t>A 14040-2023</t>
        </is>
      </c>
      <c r="B523" s="1" t="n">
        <v>45008</v>
      </c>
      <c r="C523" s="1" t="n">
        <v>45784</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14641-2023</t>
        </is>
      </c>
      <c r="B524" s="1" t="n">
        <v>45013</v>
      </c>
      <c r="C524" s="1" t="n">
        <v>45784</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14981-2023</t>
        </is>
      </c>
      <c r="B525" s="1" t="n">
        <v>45015</v>
      </c>
      <c r="C525" s="1" t="n">
        <v>45784</v>
      </c>
      <c r="D525" t="inlineStr">
        <is>
          <t>DALARNAS LÄN</t>
        </is>
      </c>
      <c r="E525" t="inlineStr">
        <is>
          <t>MORA</t>
        </is>
      </c>
      <c r="G525" t="n">
        <v>11.7</v>
      </c>
      <c r="H525" t="n">
        <v>0</v>
      </c>
      <c r="I525" t="n">
        <v>0</v>
      </c>
      <c r="J525" t="n">
        <v>0</v>
      </c>
      <c r="K525" t="n">
        <v>0</v>
      </c>
      <c r="L525" t="n">
        <v>0</v>
      </c>
      <c r="M525" t="n">
        <v>0</v>
      </c>
      <c r="N525" t="n">
        <v>0</v>
      </c>
      <c r="O525" t="n">
        <v>0</v>
      </c>
      <c r="P525" t="n">
        <v>0</v>
      </c>
      <c r="Q525" t="n">
        <v>0</v>
      </c>
      <c r="R525" s="2" t="inlineStr"/>
    </row>
    <row r="526" ht="15" customHeight="1">
      <c r="A526" t="inlineStr">
        <is>
          <t>A 15416-2023</t>
        </is>
      </c>
      <c r="B526" s="1" t="n">
        <v>45019</v>
      </c>
      <c r="C526" s="1" t="n">
        <v>45784</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15415-2023</t>
        </is>
      </c>
      <c r="B527" s="1" t="n">
        <v>45019</v>
      </c>
      <c r="C527" s="1" t="n">
        <v>45784</v>
      </c>
      <c r="D527" t="inlineStr">
        <is>
          <t>DALARNAS LÄN</t>
        </is>
      </c>
      <c r="E527" t="inlineStr">
        <is>
          <t>MORA</t>
        </is>
      </c>
      <c r="G527" t="n">
        <v>7.2</v>
      </c>
      <c r="H527" t="n">
        <v>0</v>
      </c>
      <c r="I527" t="n">
        <v>0</v>
      </c>
      <c r="J527" t="n">
        <v>0</v>
      </c>
      <c r="K527" t="n">
        <v>0</v>
      </c>
      <c r="L527" t="n">
        <v>0</v>
      </c>
      <c r="M527" t="n">
        <v>0</v>
      </c>
      <c r="N527" t="n">
        <v>0</v>
      </c>
      <c r="O527" t="n">
        <v>0</v>
      </c>
      <c r="P527" t="n">
        <v>0</v>
      </c>
      <c r="Q527" t="n">
        <v>0</v>
      </c>
      <c r="R527" s="2" t="inlineStr"/>
    </row>
    <row r="528" ht="15" customHeight="1">
      <c r="A528" t="inlineStr">
        <is>
          <t>A 15671-2023</t>
        </is>
      </c>
      <c r="B528" s="1" t="n">
        <v>45021</v>
      </c>
      <c r="C528" s="1" t="n">
        <v>45784</v>
      </c>
      <c r="D528" t="inlineStr">
        <is>
          <t>DALARNAS LÄN</t>
        </is>
      </c>
      <c r="E528" t="inlineStr">
        <is>
          <t>MORA</t>
        </is>
      </c>
      <c r="G528" t="n">
        <v>14.3</v>
      </c>
      <c r="H528" t="n">
        <v>0</v>
      </c>
      <c r="I528" t="n">
        <v>0</v>
      </c>
      <c r="J528" t="n">
        <v>0</v>
      </c>
      <c r="K528" t="n">
        <v>0</v>
      </c>
      <c r="L528" t="n">
        <v>0</v>
      </c>
      <c r="M528" t="n">
        <v>0</v>
      </c>
      <c r="N528" t="n">
        <v>0</v>
      </c>
      <c r="O528" t="n">
        <v>0</v>
      </c>
      <c r="P528" t="n">
        <v>0</v>
      </c>
      <c r="Q528" t="n">
        <v>0</v>
      </c>
      <c r="R528" s="2" t="inlineStr"/>
    </row>
    <row r="529" ht="15" customHeight="1">
      <c r="A529" t="inlineStr">
        <is>
          <t>A 16407-2023</t>
        </is>
      </c>
      <c r="B529" s="1" t="n">
        <v>45029</v>
      </c>
      <c r="C529" s="1" t="n">
        <v>45784</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16852-2023</t>
        </is>
      </c>
      <c r="B530" s="1" t="n">
        <v>45033</v>
      </c>
      <c r="C530" s="1" t="n">
        <v>45784</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v>
      </c>
      <c r="C531" s="1" t="n">
        <v>45784</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18433-2023</t>
        </is>
      </c>
      <c r="B532" s="1" t="n">
        <v>45042</v>
      </c>
      <c r="C532" s="1" t="n">
        <v>45784</v>
      </c>
      <c r="D532" t="inlineStr">
        <is>
          <t>DALARNAS LÄN</t>
        </is>
      </c>
      <c r="E532" t="inlineStr">
        <is>
          <t>MORA</t>
        </is>
      </c>
      <c r="G532" t="n">
        <v>2.4</v>
      </c>
      <c r="H532" t="n">
        <v>0</v>
      </c>
      <c r="I532" t="n">
        <v>0</v>
      </c>
      <c r="J532" t="n">
        <v>0</v>
      </c>
      <c r="K532" t="n">
        <v>0</v>
      </c>
      <c r="L532" t="n">
        <v>0</v>
      </c>
      <c r="M532" t="n">
        <v>0</v>
      </c>
      <c r="N532" t="n">
        <v>0</v>
      </c>
      <c r="O532" t="n">
        <v>0</v>
      </c>
      <c r="P532" t="n">
        <v>0</v>
      </c>
      <c r="Q532" t="n">
        <v>0</v>
      </c>
      <c r="R532" s="2" t="inlineStr"/>
    </row>
    <row r="533" ht="15" customHeight="1">
      <c r="A533" t="inlineStr">
        <is>
          <t>A 18725-2023</t>
        </is>
      </c>
      <c r="B533" s="1" t="n">
        <v>45043</v>
      </c>
      <c r="C533" s="1" t="n">
        <v>45784</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19191-2023</t>
        </is>
      </c>
      <c r="B534" s="1" t="n">
        <v>45044</v>
      </c>
      <c r="C534" s="1" t="n">
        <v>45784</v>
      </c>
      <c r="D534" t="inlineStr">
        <is>
          <t>DALARNAS LÄN</t>
        </is>
      </c>
      <c r="E534" t="inlineStr">
        <is>
          <t>MORA</t>
        </is>
      </c>
      <c r="G534" t="n">
        <v>12.5</v>
      </c>
      <c r="H534" t="n">
        <v>0</v>
      </c>
      <c r="I534" t="n">
        <v>0</v>
      </c>
      <c r="J534" t="n">
        <v>0</v>
      </c>
      <c r="K534" t="n">
        <v>0</v>
      </c>
      <c r="L534" t="n">
        <v>0</v>
      </c>
      <c r="M534" t="n">
        <v>0</v>
      </c>
      <c r="N534" t="n">
        <v>0</v>
      </c>
      <c r="O534" t="n">
        <v>0</v>
      </c>
      <c r="P534" t="n">
        <v>0</v>
      </c>
      <c r="Q534" t="n">
        <v>0</v>
      </c>
      <c r="R534" s="2" t="inlineStr"/>
    </row>
    <row r="535" ht="15" customHeight="1">
      <c r="A535" t="inlineStr">
        <is>
          <t>A 19202-2023</t>
        </is>
      </c>
      <c r="B535" s="1" t="n">
        <v>45044</v>
      </c>
      <c r="C535" s="1" t="n">
        <v>45784</v>
      </c>
      <c r="D535" t="inlineStr">
        <is>
          <t>DALARNAS LÄN</t>
        </is>
      </c>
      <c r="E535" t="inlineStr">
        <is>
          <t>MORA</t>
        </is>
      </c>
      <c r="G535" t="n">
        <v>28.5</v>
      </c>
      <c r="H535" t="n">
        <v>0</v>
      </c>
      <c r="I535" t="n">
        <v>0</v>
      </c>
      <c r="J535" t="n">
        <v>0</v>
      </c>
      <c r="K535" t="n">
        <v>0</v>
      </c>
      <c r="L535" t="n">
        <v>0</v>
      </c>
      <c r="M535" t="n">
        <v>0</v>
      </c>
      <c r="N535" t="n">
        <v>0</v>
      </c>
      <c r="O535" t="n">
        <v>0</v>
      </c>
      <c r="P535" t="n">
        <v>0</v>
      </c>
      <c r="Q535" t="n">
        <v>0</v>
      </c>
      <c r="R535" s="2" t="inlineStr"/>
    </row>
    <row r="536" ht="15" customHeight="1">
      <c r="A536" t="inlineStr">
        <is>
          <t>A 19286-2023</t>
        </is>
      </c>
      <c r="B536" s="1" t="n">
        <v>45049</v>
      </c>
      <c r="C536" s="1" t="n">
        <v>45784</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20297-2023</t>
        </is>
      </c>
      <c r="B537" s="1" t="n">
        <v>45056</v>
      </c>
      <c r="C537" s="1" t="n">
        <v>45784</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20299-2023</t>
        </is>
      </c>
      <c r="B538" s="1" t="n">
        <v>45056</v>
      </c>
      <c r="C538" s="1" t="n">
        <v>45784</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20300-2023</t>
        </is>
      </c>
      <c r="B539" s="1" t="n">
        <v>45056</v>
      </c>
      <c r="C539" s="1" t="n">
        <v>45784</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20504-2023</t>
        </is>
      </c>
      <c r="B540" s="1" t="n">
        <v>45057</v>
      </c>
      <c r="C540" s="1" t="n">
        <v>45784</v>
      </c>
      <c r="D540" t="inlineStr">
        <is>
          <t>DALARNAS LÄN</t>
        </is>
      </c>
      <c r="E540" t="inlineStr">
        <is>
          <t>MORA</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20563-2023</t>
        </is>
      </c>
      <c r="B541" s="1" t="n">
        <v>45057</v>
      </c>
      <c r="C541" s="1" t="n">
        <v>45784</v>
      </c>
      <c r="D541" t="inlineStr">
        <is>
          <t>DALARNAS LÄN</t>
        </is>
      </c>
      <c r="E541" t="inlineStr">
        <is>
          <t>MORA</t>
        </is>
      </c>
      <c r="F541" t="inlineStr">
        <is>
          <t>Bergvik skog öst AB</t>
        </is>
      </c>
      <c r="G541" t="n">
        <v>23.2</v>
      </c>
      <c r="H541" t="n">
        <v>0</v>
      </c>
      <c r="I541" t="n">
        <v>0</v>
      </c>
      <c r="J541" t="n">
        <v>0</v>
      </c>
      <c r="K541" t="n">
        <v>0</v>
      </c>
      <c r="L541" t="n">
        <v>0</v>
      </c>
      <c r="M541" t="n">
        <v>0</v>
      </c>
      <c r="N541" t="n">
        <v>0</v>
      </c>
      <c r="O541" t="n">
        <v>0</v>
      </c>
      <c r="P541" t="n">
        <v>0</v>
      </c>
      <c r="Q541" t="n">
        <v>0</v>
      </c>
      <c r="R541" s="2" t="inlineStr"/>
    </row>
    <row r="542" ht="15" customHeight="1">
      <c r="A542" t="inlineStr">
        <is>
          <t>A 21034-2023</t>
        </is>
      </c>
      <c r="B542" s="1" t="n">
        <v>45061</v>
      </c>
      <c r="C542" s="1" t="n">
        <v>45784</v>
      </c>
      <c r="D542" t="inlineStr">
        <is>
          <t>DALARNAS LÄN</t>
        </is>
      </c>
      <c r="E542" t="inlineStr">
        <is>
          <t>MORA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21055-2023</t>
        </is>
      </c>
      <c r="B543" s="1" t="n">
        <v>45061</v>
      </c>
      <c r="C543" s="1" t="n">
        <v>45784</v>
      </c>
      <c r="D543" t="inlineStr">
        <is>
          <t>DALARNAS LÄN</t>
        </is>
      </c>
      <c r="E543" t="inlineStr">
        <is>
          <t>MORA</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21027-2023</t>
        </is>
      </c>
      <c r="B544" s="1" t="n">
        <v>45061</v>
      </c>
      <c r="C544" s="1" t="n">
        <v>45784</v>
      </c>
      <c r="D544" t="inlineStr">
        <is>
          <t>DALARNAS LÄN</t>
        </is>
      </c>
      <c r="E544" t="inlineStr">
        <is>
          <t>MORA</t>
        </is>
      </c>
      <c r="F544" t="inlineStr">
        <is>
          <t>Bergvik skog öst AB</t>
        </is>
      </c>
      <c r="G544" t="n">
        <v>5.1</v>
      </c>
      <c r="H544" t="n">
        <v>0</v>
      </c>
      <c r="I544" t="n">
        <v>0</v>
      </c>
      <c r="J544" t="n">
        <v>0</v>
      </c>
      <c r="K544" t="n">
        <v>0</v>
      </c>
      <c r="L544" t="n">
        <v>0</v>
      </c>
      <c r="M544" t="n">
        <v>0</v>
      </c>
      <c r="N544" t="n">
        <v>0</v>
      </c>
      <c r="O544" t="n">
        <v>0</v>
      </c>
      <c r="P544" t="n">
        <v>0</v>
      </c>
      <c r="Q544" t="n">
        <v>0</v>
      </c>
      <c r="R544" s="2" t="inlineStr"/>
    </row>
    <row r="545" ht="15" customHeight="1">
      <c r="A545" t="inlineStr">
        <is>
          <t>A 21410-2023</t>
        </is>
      </c>
      <c r="B545" s="1" t="n">
        <v>45063</v>
      </c>
      <c r="C545" s="1" t="n">
        <v>45784</v>
      </c>
      <c r="D545" t="inlineStr">
        <is>
          <t>DALARNAS LÄN</t>
        </is>
      </c>
      <c r="E545" t="inlineStr">
        <is>
          <t>MORA</t>
        </is>
      </c>
      <c r="G545" t="n">
        <v>7</v>
      </c>
      <c r="H545" t="n">
        <v>0</v>
      </c>
      <c r="I545" t="n">
        <v>0</v>
      </c>
      <c r="J545" t="n">
        <v>0</v>
      </c>
      <c r="K545" t="n">
        <v>0</v>
      </c>
      <c r="L545" t="n">
        <v>0</v>
      </c>
      <c r="M545" t="n">
        <v>0</v>
      </c>
      <c r="N545" t="n">
        <v>0</v>
      </c>
      <c r="O545" t="n">
        <v>0</v>
      </c>
      <c r="P545" t="n">
        <v>0</v>
      </c>
      <c r="Q545" t="n">
        <v>0</v>
      </c>
      <c r="R545" s="2" t="inlineStr"/>
    </row>
    <row r="546" ht="15" customHeight="1">
      <c r="A546" t="inlineStr">
        <is>
          <t>A 21898-2023</t>
        </is>
      </c>
      <c r="B546" s="1" t="n">
        <v>45068</v>
      </c>
      <c r="C546" s="1" t="n">
        <v>45784</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21834-2023</t>
        </is>
      </c>
      <c r="B547" s="1" t="n">
        <v>45068</v>
      </c>
      <c r="C547" s="1" t="n">
        <v>45784</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21896-2023</t>
        </is>
      </c>
      <c r="B548" s="1" t="n">
        <v>45068</v>
      </c>
      <c r="C548" s="1" t="n">
        <v>45784</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22449-2023</t>
        </is>
      </c>
      <c r="B549" s="1" t="n">
        <v>45070</v>
      </c>
      <c r="C549" s="1" t="n">
        <v>45784</v>
      </c>
      <c r="D549" t="inlineStr">
        <is>
          <t>DALARNAS LÄN</t>
        </is>
      </c>
      <c r="E549" t="inlineStr">
        <is>
          <t>MORA</t>
        </is>
      </c>
      <c r="F549" t="inlineStr">
        <is>
          <t>Kommuner</t>
        </is>
      </c>
      <c r="G549" t="n">
        <v>0.7</v>
      </c>
      <c r="H549" t="n">
        <v>0</v>
      </c>
      <c r="I549" t="n">
        <v>0</v>
      </c>
      <c r="J549" t="n">
        <v>0</v>
      </c>
      <c r="K549" t="n">
        <v>0</v>
      </c>
      <c r="L549" t="n">
        <v>0</v>
      </c>
      <c r="M549" t="n">
        <v>0</v>
      </c>
      <c r="N549" t="n">
        <v>0</v>
      </c>
      <c r="O549" t="n">
        <v>0</v>
      </c>
      <c r="P549" t="n">
        <v>0</v>
      </c>
      <c r="Q549" t="n">
        <v>0</v>
      </c>
      <c r="R549" s="2" t="inlineStr"/>
    </row>
    <row r="550" ht="15" customHeight="1">
      <c r="A550" t="inlineStr">
        <is>
          <t>A 22492-2023</t>
        </is>
      </c>
      <c r="B550" s="1" t="n">
        <v>45071</v>
      </c>
      <c r="C550" s="1" t="n">
        <v>45784</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22785-2023</t>
        </is>
      </c>
      <c r="B551" s="1" t="n">
        <v>45072</v>
      </c>
      <c r="C551" s="1" t="n">
        <v>45784</v>
      </c>
      <c r="D551" t="inlineStr">
        <is>
          <t>DALARNAS LÄN</t>
        </is>
      </c>
      <c r="E551" t="inlineStr">
        <is>
          <t>MORA</t>
        </is>
      </c>
      <c r="G551" t="n">
        <v>0.7</v>
      </c>
      <c r="H551" t="n">
        <v>0</v>
      </c>
      <c r="I551" t="n">
        <v>0</v>
      </c>
      <c r="J551" t="n">
        <v>0</v>
      </c>
      <c r="K551" t="n">
        <v>0</v>
      </c>
      <c r="L551" t="n">
        <v>0</v>
      </c>
      <c r="M551" t="n">
        <v>0</v>
      </c>
      <c r="N551" t="n">
        <v>0</v>
      </c>
      <c r="O551" t="n">
        <v>0</v>
      </c>
      <c r="P551" t="n">
        <v>0</v>
      </c>
      <c r="Q551" t="n">
        <v>0</v>
      </c>
      <c r="R551" s="2" t="inlineStr"/>
    </row>
    <row r="552" ht="15" customHeight="1">
      <c r="A552" t="inlineStr">
        <is>
          <t>A 22841-2023</t>
        </is>
      </c>
      <c r="B552" s="1" t="n">
        <v>45072</v>
      </c>
      <c r="C552" s="1" t="n">
        <v>45784</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22881-2023</t>
        </is>
      </c>
      <c r="B553" s="1" t="n">
        <v>45072</v>
      </c>
      <c r="C553" s="1" t="n">
        <v>45784</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22888-2023</t>
        </is>
      </c>
      <c r="B554" s="1" t="n">
        <v>45072</v>
      </c>
      <c r="C554" s="1" t="n">
        <v>45784</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22854-2023</t>
        </is>
      </c>
      <c r="B555" s="1" t="n">
        <v>45072</v>
      </c>
      <c r="C555" s="1" t="n">
        <v>45784</v>
      </c>
      <c r="D555" t="inlineStr">
        <is>
          <t>DALARNAS LÄN</t>
        </is>
      </c>
      <c r="E555" t="inlineStr">
        <is>
          <t>MORA</t>
        </is>
      </c>
      <c r="G555" t="n">
        <v>3.3</v>
      </c>
      <c r="H555" t="n">
        <v>0</v>
      </c>
      <c r="I555" t="n">
        <v>0</v>
      </c>
      <c r="J555" t="n">
        <v>0</v>
      </c>
      <c r="K555" t="n">
        <v>0</v>
      </c>
      <c r="L555" t="n">
        <v>0</v>
      </c>
      <c r="M555" t="n">
        <v>0</v>
      </c>
      <c r="N555" t="n">
        <v>0</v>
      </c>
      <c r="O555" t="n">
        <v>0</v>
      </c>
      <c r="P555" t="n">
        <v>0</v>
      </c>
      <c r="Q555" t="n">
        <v>0</v>
      </c>
      <c r="R555" s="2" t="inlineStr"/>
    </row>
    <row r="556" ht="15" customHeight="1">
      <c r="A556" t="inlineStr">
        <is>
          <t>A 22887-2023</t>
        </is>
      </c>
      <c r="B556" s="1" t="n">
        <v>45072</v>
      </c>
      <c r="C556" s="1" t="n">
        <v>45784</v>
      </c>
      <c r="D556" t="inlineStr">
        <is>
          <t>DALARNAS LÄN</t>
        </is>
      </c>
      <c r="E556" t="inlineStr">
        <is>
          <t>MORA</t>
        </is>
      </c>
      <c r="G556" t="n">
        <v>3.6</v>
      </c>
      <c r="H556" t="n">
        <v>0</v>
      </c>
      <c r="I556" t="n">
        <v>0</v>
      </c>
      <c r="J556" t="n">
        <v>0</v>
      </c>
      <c r="K556" t="n">
        <v>0</v>
      </c>
      <c r="L556" t="n">
        <v>0</v>
      </c>
      <c r="M556" t="n">
        <v>0</v>
      </c>
      <c r="N556" t="n">
        <v>0</v>
      </c>
      <c r="O556" t="n">
        <v>0</v>
      </c>
      <c r="P556" t="n">
        <v>0</v>
      </c>
      <c r="Q556" t="n">
        <v>0</v>
      </c>
      <c r="R556" s="2" t="inlineStr"/>
    </row>
    <row r="557" ht="15" customHeight="1">
      <c r="A557" t="inlineStr">
        <is>
          <t>A 23113-2023</t>
        </is>
      </c>
      <c r="B557" s="1" t="n">
        <v>45075</v>
      </c>
      <c r="C557" s="1" t="n">
        <v>45784</v>
      </c>
      <c r="D557" t="inlineStr">
        <is>
          <t>DALARNAS LÄN</t>
        </is>
      </c>
      <c r="E557" t="inlineStr">
        <is>
          <t>MORA</t>
        </is>
      </c>
      <c r="G557" t="n">
        <v>18.3</v>
      </c>
      <c r="H557" t="n">
        <v>0</v>
      </c>
      <c r="I557" t="n">
        <v>0</v>
      </c>
      <c r="J557" t="n">
        <v>0</v>
      </c>
      <c r="K557" t="n">
        <v>0</v>
      </c>
      <c r="L557" t="n">
        <v>0</v>
      </c>
      <c r="M557" t="n">
        <v>0</v>
      </c>
      <c r="N557" t="n">
        <v>0</v>
      </c>
      <c r="O557" t="n">
        <v>0</v>
      </c>
      <c r="P557" t="n">
        <v>0</v>
      </c>
      <c r="Q557" t="n">
        <v>0</v>
      </c>
      <c r="R557" s="2" t="inlineStr"/>
    </row>
    <row r="558" ht="15" customHeight="1">
      <c r="A558" t="inlineStr">
        <is>
          <t>A 23192-2023</t>
        </is>
      </c>
      <c r="B558" s="1" t="n">
        <v>45075</v>
      </c>
      <c r="C558" s="1" t="n">
        <v>45784</v>
      </c>
      <c r="D558" t="inlineStr">
        <is>
          <t>DALARNAS LÄN</t>
        </is>
      </c>
      <c r="E558" t="inlineStr">
        <is>
          <t>MORA</t>
        </is>
      </c>
      <c r="G558" t="n">
        <v>12.3</v>
      </c>
      <c r="H558" t="n">
        <v>0</v>
      </c>
      <c r="I558" t="n">
        <v>0</v>
      </c>
      <c r="J558" t="n">
        <v>0</v>
      </c>
      <c r="K558" t="n">
        <v>0</v>
      </c>
      <c r="L558" t="n">
        <v>0</v>
      </c>
      <c r="M558" t="n">
        <v>0</v>
      </c>
      <c r="N558" t="n">
        <v>0</v>
      </c>
      <c r="O558" t="n">
        <v>0</v>
      </c>
      <c r="P558" t="n">
        <v>0</v>
      </c>
      <c r="Q558" t="n">
        <v>0</v>
      </c>
      <c r="R558" s="2" t="inlineStr"/>
    </row>
    <row r="559" ht="15" customHeight="1">
      <c r="A559" t="inlineStr">
        <is>
          <t>A 23194-2023</t>
        </is>
      </c>
      <c r="B559" s="1" t="n">
        <v>45075</v>
      </c>
      <c r="C559" s="1" t="n">
        <v>45784</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23586-2023</t>
        </is>
      </c>
      <c r="B560" s="1" t="n">
        <v>45077</v>
      </c>
      <c r="C560" s="1" t="n">
        <v>45784</v>
      </c>
      <c r="D560" t="inlineStr">
        <is>
          <t>DALARNAS LÄN</t>
        </is>
      </c>
      <c r="E560" t="inlineStr">
        <is>
          <t>MORA</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23737-2023</t>
        </is>
      </c>
      <c r="B561" s="1" t="n">
        <v>45077</v>
      </c>
      <c r="C561" s="1" t="n">
        <v>45784</v>
      </c>
      <c r="D561" t="inlineStr">
        <is>
          <t>DALARNAS LÄN</t>
        </is>
      </c>
      <c r="E561" t="inlineStr">
        <is>
          <t>MORA</t>
        </is>
      </c>
      <c r="G561" t="n">
        <v>5.4</v>
      </c>
      <c r="H561" t="n">
        <v>0</v>
      </c>
      <c r="I561" t="n">
        <v>0</v>
      </c>
      <c r="J561" t="n">
        <v>0</v>
      </c>
      <c r="K561" t="n">
        <v>0</v>
      </c>
      <c r="L561" t="n">
        <v>0</v>
      </c>
      <c r="M561" t="n">
        <v>0</v>
      </c>
      <c r="N561" t="n">
        <v>0</v>
      </c>
      <c r="O561" t="n">
        <v>0</v>
      </c>
      <c r="P561" t="n">
        <v>0</v>
      </c>
      <c r="Q561" t="n">
        <v>0</v>
      </c>
      <c r="R561" s="2" t="inlineStr"/>
    </row>
    <row r="562" ht="15" customHeight="1">
      <c r="A562" t="inlineStr">
        <is>
          <t>A 23948-2023</t>
        </is>
      </c>
      <c r="B562" s="1" t="n">
        <v>45078</v>
      </c>
      <c r="C562" s="1" t="n">
        <v>45784</v>
      </c>
      <c r="D562" t="inlineStr">
        <is>
          <t>DALARNAS LÄN</t>
        </is>
      </c>
      <c r="E562" t="inlineStr">
        <is>
          <t>MORA</t>
        </is>
      </c>
      <c r="G562" t="n">
        <v>6.4</v>
      </c>
      <c r="H562" t="n">
        <v>0</v>
      </c>
      <c r="I562" t="n">
        <v>0</v>
      </c>
      <c r="J562" t="n">
        <v>0</v>
      </c>
      <c r="K562" t="n">
        <v>0</v>
      </c>
      <c r="L562" t="n">
        <v>0</v>
      </c>
      <c r="M562" t="n">
        <v>0</v>
      </c>
      <c r="N562" t="n">
        <v>0</v>
      </c>
      <c r="O562" t="n">
        <v>0</v>
      </c>
      <c r="P562" t="n">
        <v>0</v>
      </c>
      <c r="Q562" t="n">
        <v>0</v>
      </c>
      <c r="R562" s="2" t="inlineStr"/>
    </row>
    <row r="563" ht="15" customHeight="1">
      <c r="A563" t="inlineStr">
        <is>
          <t>A 24085-2023</t>
        </is>
      </c>
      <c r="B563" s="1" t="n">
        <v>45079</v>
      </c>
      <c r="C563" s="1" t="n">
        <v>45784</v>
      </c>
      <c r="D563" t="inlineStr">
        <is>
          <t>DALARNAS LÄN</t>
        </is>
      </c>
      <c r="E563" t="inlineStr">
        <is>
          <t>MORA</t>
        </is>
      </c>
      <c r="G563" t="n">
        <v>2.8</v>
      </c>
      <c r="H563" t="n">
        <v>0</v>
      </c>
      <c r="I563" t="n">
        <v>0</v>
      </c>
      <c r="J563" t="n">
        <v>0</v>
      </c>
      <c r="K563" t="n">
        <v>0</v>
      </c>
      <c r="L563" t="n">
        <v>0</v>
      </c>
      <c r="M563" t="n">
        <v>0</v>
      </c>
      <c r="N563" t="n">
        <v>0</v>
      </c>
      <c r="O563" t="n">
        <v>0</v>
      </c>
      <c r="P563" t="n">
        <v>0</v>
      </c>
      <c r="Q563" t="n">
        <v>0</v>
      </c>
      <c r="R563" s="2" t="inlineStr"/>
    </row>
    <row r="564" ht="15" customHeight="1">
      <c r="A564" t="inlineStr">
        <is>
          <t>A 25200-2023</t>
        </is>
      </c>
      <c r="B564" s="1" t="n">
        <v>45079</v>
      </c>
      <c r="C564" s="1" t="n">
        <v>45784</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24634-2023</t>
        </is>
      </c>
      <c r="B565" s="1" t="n">
        <v>45084</v>
      </c>
      <c r="C565" s="1" t="n">
        <v>45784</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24664-2023</t>
        </is>
      </c>
      <c r="B566" s="1" t="n">
        <v>45084</v>
      </c>
      <c r="C566" s="1" t="n">
        <v>45784</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24657-2023</t>
        </is>
      </c>
      <c r="B567" s="1" t="n">
        <v>45084</v>
      </c>
      <c r="C567" s="1" t="n">
        <v>45784</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26273-2023</t>
        </is>
      </c>
      <c r="B568" s="1" t="n">
        <v>45086</v>
      </c>
      <c r="C568" s="1" t="n">
        <v>45784</v>
      </c>
      <c r="D568" t="inlineStr">
        <is>
          <t>DALARNAS LÄN</t>
        </is>
      </c>
      <c r="E568" t="inlineStr">
        <is>
          <t>MORA</t>
        </is>
      </c>
      <c r="G568" t="n">
        <v>3.9</v>
      </c>
      <c r="H568" t="n">
        <v>0</v>
      </c>
      <c r="I568" t="n">
        <v>0</v>
      </c>
      <c r="J568" t="n">
        <v>0</v>
      </c>
      <c r="K568" t="n">
        <v>0</v>
      </c>
      <c r="L568" t="n">
        <v>0</v>
      </c>
      <c r="M568" t="n">
        <v>0</v>
      </c>
      <c r="N568" t="n">
        <v>0</v>
      </c>
      <c r="O568" t="n">
        <v>0</v>
      </c>
      <c r="P568" t="n">
        <v>0</v>
      </c>
      <c r="Q568" t="n">
        <v>0</v>
      </c>
      <c r="R568" s="2" t="inlineStr"/>
    </row>
    <row r="569" ht="15" customHeight="1">
      <c r="A569" t="inlineStr">
        <is>
          <t>A 25629-2023</t>
        </is>
      </c>
      <c r="B569" s="1" t="n">
        <v>45089</v>
      </c>
      <c r="C569" s="1" t="n">
        <v>45784</v>
      </c>
      <c r="D569" t="inlineStr">
        <is>
          <t>DALARNAS LÄN</t>
        </is>
      </c>
      <c r="E569" t="inlineStr">
        <is>
          <t>MORA</t>
        </is>
      </c>
      <c r="F569" t="inlineStr">
        <is>
          <t>Bergvik skog väst AB</t>
        </is>
      </c>
      <c r="G569" t="n">
        <v>4.1</v>
      </c>
      <c r="H569" t="n">
        <v>0</v>
      </c>
      <c r="I569" t="n">
        <v>0</v>
      </c>
      <c r="J569" t="n">
        <v>0</v>
      </c>
      <c r="K569" t="n">
        <v>0</v>
      </c>
      <c r="L569" t="n">
        <v>0</v>
      </c>
      <c r="M569" t="n">
        <v>0</v>
      </c>
      <c r="N569" t="n">
        <v>0</v>
      </c>
      <c r="O569" t="n">
        <v>0</v>
      </c>
      <c r="P569" t="n">
        <v>0</v>
      </c>
      <c r="Q569" t="n">
        <v>0</v>
      </c>
      <c r="R569" s="2" t="inlineStr"/>
    </row>
    <row r="570" ht="15" customHeight="1">
      <c r="A570" t="inlineStr">
        <is>
          <t>A 25749-2023</t>
        </is>
      </c>
      <c r="B570" s="1" t="n">
        <v>45090</v>
      </c>
      <c r="C570" s="1" t="n">
        <v>45784</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25865-2023</t>
        </is>
      </c>
      <c r="B571" s="1" t="n">
        <v>45090</v>
      </c>
      <c r="C571" s="1" t="n">
        <v>45784</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25906-2023</t>
        </is>
      </c>
      <c r="B572" s="1" t="n">
        <v>45090</v>
      </c>
      <c r="C572" s="1" t="n">
        <v>45784</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25935-2023</t>
        </is>
      </c>
      <c r="B573" s="1" t="n">
        <v>45090</v>
      </c>
      <c r="C573" s="1" t="n">
        <v>45784</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25869-2023</t>
        </is>
      </c>
      <c r="B574" s="1" t="n">
        <v>45090</v>
      </c>
      <c r="C574" s="1" t="n">
        <v>45784</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25874-2023</t>
        </is>
      </c>
      <c r="B575" s="1" t="n">
        <v>45090</v>
      </c>
      <c r="C575" s="1" t="n">
        <v>45784</v>
      </c>
      <c r="D575" t="inlineStr">
        <is>
          <t>DALARNAS LÄN</t>
        </is>
      </c>
      <c r="E575" t="inlineStr">
        <is>
          <t>MORA</t>
        </is>
      </c>
      <c r="G575" t="n">
        <v>4.6</v>
      </c>
      <c r="H575" t="n">
        <v>0</v>
      </c>
      <c r="I575" t="n">
        <v>0</v>
      </c>
      <c r="J575" t="n">
        <v>0</v>
      </c>
      <c r="K575" t="n">
        <v>0</v>
      </c>
      <c r="L575" t="n">
        <v>0</v>
      </c>
      <c r="M575" t="n">
        <v>0</v>
      </c>
      <c r="N575" t="n">
        <v>0</v>
      </c>
      <c r="O575" t="n">
        <v>0</v>
      </c>
      <c r="P575" t="n">
        <v>0</v>
      </c>
      <c r="Q575" t="n">
        <v>0</v>
      </c>
      <c r="R575" s="2" t="inlineStr"/>
    </row>
    <row r="576" ht="15" customHeight="1">
      <c r="A576" t="inlineStr">
        <is>
          <t>A 25887-2023</t>
        </is>
      </c>
      <c r="B576" s="1" t="n">
        <v>45090</v>
      </c>
      <c r="C576" s="1" t="n">
        <v>45784</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26786-2023</t>
        </is>
      </c>
      <c r="B577" s="1" t="n">
        <v>45093</v>
      </c>
      <c r="C577" s="1" t="n">
        <v>45784</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27188-2023</t>
        </is>
      </c>
      <c r="B578" s="1" t="n">
        <v>45096</v>
      </c>
      <c r="C578" s="1" t="n">
        <v>45784</v>
      </c>
      <c r="D578" t="inlineStr">
        <is>
          <t>DALARNAS LÄN</t>
        </is>
      </c>
      <c r="E578" t="inlineStr">
        <is>
          <t>MORA</t>
        </is>
      </c>
      <c r="G578" t="n">
        <v>4.8</v>
      </c>
      <c r="H578" t="n">
        <v>0</v>
      </c>
      <c r="I578" t="n">
        <v>0</v>
      </c>
      <c r="J578" t="n">
        <v>0</v>
      </c>
      <c r="K578" t="n">
        <v>0</v>
      </c>
      <c r="L578" t="n">
        <v>0</v>
      </c>
      <c r="M578" t="n">
        <v>0</v>
      </c>
      <c r="N578" t="n">
        <v>0</v>
      </c>
      <c r="O578" t="n">
        <v>0</v>
      </c>
      <c r="P578" t="n">
        <v>0</v>
      </c>
      <c r="Q578" t="n">
        <v>0</v>
      </c>
      <c r="R578" s="2" t="inlineStr"/>
    </row>
    <row r="579" ht="15" customHeight="1">
      <c r="A579" t="inlineStr">
        <is>
          <t>A 27880-2023</t>
        </is>
      </c>
      <c r="B579" s="1" t="n">
        <v>45098</v>
      </c>
      <c r="C579" s="1" t="n">
        <v>45784</v>
      </c>
      <c r="D579" t="inlineStr">
        <is>
          <t>DALARNAS LÄN</t>
        </is>
      </c>
      <c r="E579" t="inlineStr">
        <is>
          <t>MORA</t>
        </is>
      </c>
      <c r="F579" t="inlineStr">
        <is>
          <t>Bergvik skog öst AB</t>
        </is>
      </c>
      <c r="G579" t="n">
        <v>2.9</v>
      </c>
      <c r="H579" t="n">
        <v>0</v>
      </c>
      <c r="I579" t="n">
        <v>0</v>
      </c>
      <c r="J579" t="n">
        <v>0</v>
      </c>
      <c r="K579" t="n">
        <v>0</v>
      </c>
      <c r="L579" t="n">
        <v>0</v>
      </c>
      <c r="M579" t="n">
        <v>0</v>
      </c>
      <c r="N579" t="n">
        <v>0</v>
      </c>
      <c r="O579" t="n">
        <v>0</v>
      </c>
      <c r="P579" t="n">
        <v>0</v>
      </c>
      <c r="Q579" t="n">
        <v>0</v>
      </c>
      <c r="R579" s="2" t="inlineStr"/>
    </row>
    <row r="580" ht="15" customHeight="1">
      <c r="A580" t="inlineStr">
        <is>
          <t>A 27975-2023</t>
        </is>
      </c>
      <c r="B580" s="1" t="n">
        <v>45098</v>
      </c>
      <c r="C580" s="1" t="n">
        <v>45784</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28095-2023</t>
        </is>
      </c>
      <c r="B581" s="1" t="n">
        <v>45099</v>
      </c>
      <c r="C581" s="1" t="n">
        <v>45784</v>
      </c>
      <c r="D581" t="inlineStr">
        <is>
          <t>DALARNAS LÄN</t>
        </is>
      </c>
      <c r="E581" t="inlineStr">
        <is>
          <t>MORA</t>
        </is>
      </c>
      <c r="G581" t="n">
        <v>6.7</v>
      </c>
      <c r="H581" t="n">
        <v>0</v>
      </c>
      <c r="I581" t="n">
        <v>0</v>
      </c>
      <c r="J581" t="n">
        <v>0</v>
      </c>
      <c r="K581" t="n">
        <v>0</v>
      </c>
      <c r="L581" t="n">
        <v>0</v>
      </c>
      <c r="M581" t="n">
        <v>0</v>
      </c>
      <c r="N581" t="n">
        <v>0</v>
      </c>
      <c r="O581" t="n">
        <v>0</v>
      </c>
      <c r="P581" t="n">
        <v>0</v>
      </c>
      <c r="Q581" t="n">
        <v>0</v>
      </c>
      <c r="R581" s="2" t="inlineStr"/>
    </row>
    <row r="582" ht="15" customHeight="1">
      <c r="A582" t="inlineStr">
        <is>
          <t>A 28315-2023</t>
        </is>
      </c>
      <c r="B582" s="1" t="n">
        <v>45099</v>
      </c>
      <c r="C582" s="1" t="n">
        <v>45784</v>
      </c>
      <c r="D582" t="inlineStr">
        <is>
          <t>DALARNAS LÄN</t>
        </is>
      </c>
      <c r="E582" t="inlineStr">
        <is>
          <t>MORA</t>
        </is>
      </c>
      <c r="G582" t="n">
        <v>5.4</v>
      </c>
      <c r="H582" t="n">
        <v>0</v>
      </c>
      <c r="I582" t="n">
        <v>0</v>
      </c>
      <c r="J582" t="n">
        <v>0</v>
      </c>
      <c r="K582" t="n">
        <v>0</v>
      </c>
      <c r="L582" t="n">
        <v>0</v>
      </c>
      <c r="M582" t="n">
        <v>0</v>
      </c>
      <c r="N582" t="n">
        <v>0</v>
      </c>
      <c r="O582" t="n">
        <v>0</v>
      </c>
      <c r="P582" t="n">
        <v>0</v>
      </c>
      <c r="Q582" t="n">
        <v>0</v>
      </c>
      <c r="R582" s="2" t="inlineStr"/>
    </row>
    <row r="583" ht="15" customHeight="1">
      <c r="A583" t="inlineStr">
        <is>
          <t>A 28318-2023</t>
        </is>
      </c>
      <c r="B583" s="1" t="n">
        <v>45099</v>
      </c>
      <c r="C583" s="1" t="n">
        <v>45784</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28596-2023</t>
        </is>
      </c>
      <c r="B584" s="1" t="n">
        <v>45103</v>
      </c>
      <c r="C584" s="1" t="n">
        <v>45784</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28832-2023</t>
        </is>
      </c>
      <c r="B585" s="1" t="n">
        <v>45104</v>
      </c>
      <c r="C585" s="1" t="n">
        <v>45784</v>
      </c>
      <c r="D585" t="inlineStr">
        <is>
          <t>DALARNAS LÄN</t>
        </is>
      </c>
      <c r="E585" t="inlineStr">
        <is>
          <t>MORA</t>
        </is>
      </c>
      <c r="F585" t="inlineStr">
        <is>
          <t>Bergvik skog öst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28934-2023</t>
        </is>
      </c>
      <c r="B586" s="1" t="n">
        <v>45104</v>
      </c>
      <c r="C586" s="1" t="n">
        <v>45784</v>
      </c>
      <c r="D586" t="inlineStr">
        <is>
          <t>DALARNAS LÄN</t>
        </is>
      </c>
      <c r="E586" t="inlineStr">
        <is>
          <t>MORA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29022-2023</t>
        </is>
      </c>
      <c r="B587" s="1" t="n">
        <v>45104</v>
      </c>
      <c r="C587" s="1" t="n">
        <v>45784</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29118-2023</t>
        </is>
      </c>
      <c r="B588" s="1" t="n">
        <v>45105</v>
      </c>
      <c r="C588" s="1" t="n">
        <v>45784</v>
      </c>
      <c r="D588" t="inlineStr">
        <is>
          <t>DALARNAS LÄN</t>
        </is>
      </c>
      <c r="E588" t="inlineStr">
        <is>
          <t>MORA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29191-2023</t>
        </is>
      </c>
      <c r="B589" s="1" t="n">
        <v>45105</v>
      </c>
      <c r="C589" s="1" t="n">
        <v>45784</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29193-2023</t>
        </is>
      </c>
      <c r="B590" s="1" t="n">
        <v>45105</v>
      </c>
      <c r="C590" s="1" t="n">
        <v>45784</v>
      </c>
      <c r="D590" t="inlineStr">
        <is>
          <t>DALARNAS LÄN</t>
        </is>
      </c>
      <c r="E590" t="inlineStr">
        <is>
          <t>MORA</t>
        </is>
      </c>
      <c r="G590" t="n">
        <v>0.4</v>
      </c>
      <c r="H590" t="n">
        <v>0</v>
      </c>
      <c r="I590" t="n">
        <v>0</v>
      </c>
      <c r="J590" t="n">
        <v>0</v>
      </c>
      <c r="K590" t="n">
        <v>0</v>
      </c>
      <c r="L590" t="n">
        <v>0</v>
      </c>
      <c r="M590" t="n">
        <v>0</v>
      </c>
      <c r="N590" t="n">
        <v>0</v>
      </c>
      <c r="O590" t="n">
        <v>0</v>
      </c>
      <c r="P590" t="n">
        <v>0</v>
      </c>
      <c r="Q590" t="n">
        <v>0</v>
      </c>
      <c r="R590" s="2" t="inlineStr"/>
    </row>
    <row r="591" ht="15" customHeight="1">
      <c r="A591" t="inlineStr">
        <is>
          <t>A 29116-2023</t>
        </is>
      </c>
      <c r="B591" s="1" t="n">
        <v>45105</v>
      </c>
      <c r="C591" s="1" t="n">
        <v>45784</v>
      </c>
      <c r="D591" t="inlineStr">
        <is>
          <t>DALARNAS LÄN</t>
        </is>
      </c>
      <c r="E591" t="inlineStr">
        <is>
          <t>MORA</t>
        </is>
      </c>
      <c r="G591" t="n">
        <v>1.9</v>
      </c>
      <c r="H591" t="n">
        <v>0</v>
      </c>
      <c r="I591" t="n">
        <v>0</v>
      </c>
      <c r="J591" t="n">
        <v>0</v>
      </c>
      <c r="K591" t="n">
        <v>0</v>
      </c>
      <c r="L591" t="n">
        <v>0</v>
      </c>
      <c r="M591" t="n">
        <v>0</v>
      </c>
      <c r="N591" t="n">
        <v>0</v>
      </c>
      <c r="O591" t="n">
        <v>0</v>
      </c>
      <c r="P591" t="n">
        <v>0</v>
      </c>
      <c r="Q591" t="n">
        <v>0</v>
      </c>
      <c r="R591" s="2" t="inlineStr"/>
    </row>
    <row r="592" ht="15" customHeight="1">
      <c r="A592" t="inlineStr">
        <is>
          <t>A 29188-2023</t>
        </is>
      </c>
      <c r="B592" s="1" t="n">
        <v>45105</v>
      </c>
      <c r="C592" s="1" t="n">
        <v>45784</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29192-2023</t>
        </is>
      </c>
      <c r="B593" s="1" t="n">
        <v>45105</v>
      </c>
      <c r="C593" s="1" t="n">
        <v>45784</v>
      </c>
      <c r="D593" t="inlineStr">
        <is>
          <t>DALARNAS LÄN</t>
        </is>
      </c>
      <c r="E593" t="inlineStr">
        <is>
          <t>MORA</t>
        </is>
      </c>
      <c r="G593" t="n">
        <v>10.5</v>
      </c>
      <c r="H593" t="n">
        <v>0</v>
      </c>
      <c r="I593" t="n">
        <v>0</v>
      </c>
      <c r="J593" t="n">
        <v>0</v>
      </c>
      <c r="K593" t="n">
        <v>0</v>
      </c>
      <c r="L593" t="n">
        <v>0</v>
      </c>
      <c r="M593" t="n">
        <v>0</v>
      </c>
      <c r="N593" t="n">
        <v>0</v>
      </c>
      <c r="O593" t="n">
        <v>0</v>
      </c>
      <c r="P593" t="n">
        <v>0</v>
      </c>
      <c r="Q593" t="n">
        <v>0</v>
      </c>
      <c r="R593" s="2" t="inlineStr"/>
    </row>
    <row r="594" ht="15" customHeight="1">
      <c r="A594" t="inlineStr">
        <is>
          <t>A 31040-2023</t>
        </is>
      </c>
      <c r="B594" s="1" t="n">
        <v>45113</v>
      </c>
      <c r="C594" s="1" t="n">
        <v>45784</v>
      </c>
      <c r="D594" t="inlineStr">
        <is>
          <t>DALARNAS LÄN</t>
        </is>
      </c>
      <c r="E594" t="inlineStr">
        <is>
          <t>MORA</t>
        </is>
      </c>
      <c r="F594" t="inlineStr">
        <is>
          <t>Bergvik skog väst AB</t>
        </is>
      </c>
      <c r="G594" t="n">
        <v>11.6</v>
      </c>
      <c r="H594" t="n">
        <v>0</v>
      </c>
      <c r="I594" t="n">
        <v>0</v>
      </c>
      <c r="J594" t="n">
        <v>0</v>
      </c>
      <c r="K594" t="n">
        <v>0</v>
      </c>
      <c r="L594" t="n">
        <v>0</v>
      </c>
      <c r="M594" t="n">
        <v>0</v>
      </c>
      <c r="N594" t="n">
        <v>0</v>
      </c>
      <c r="O594" t="n">
        <v>0</v>
      </c>
      <c r="P594" t="n">
        <v>0</v>
      </c>
      <c r="Q594" t="n">
        <v>0</v>
      </c>
      <c r="R594" s="2" t="inlineStr"/>
    </row>
    <row r="595" ht="15" customHeight="1">
      <c r="A595" t="inlineStr">
        <is>
          <t>A 31241-2023</t>
        </is>
      </c>
      <c r="B595" s="1" t="n">
        <v>45114</v>
      </c>
      <c r="C595" s="1" t="n">
        <v>45784</v>
      </c>
      <c r="D595" t="inlineStr">
        <is>
          <t>DALARNAS LÄN</t>
        </is>
      </c>
      <c r="E595" t="inlineStr">
        <is>
          <t>MORA</t>
        </is>
      </c>
      <c r="G595" t="n">
        <v>17.5</v>
      </c>
      <c r="H595" t="n">
        <v>0</v>
      </c>
      <c r="I595" t="n">
        <v>0</v>
      </c>
      <c r="J595" t="n">
        <v>0</v>
      </c>
      <c r="K595" t="n">
        <v>0</v>
      </c>
      <c r="L595" t="n">
        <v>0</v>
      </c>
      <c r="M595" t="n">
        <v>0</v>
      </c>
      <c r="N595" t="n">
        <v>0</v>
      </c>
      <c r="O595" t="n">
        <v>0</v>
      </c>
      <c r="P595" t="n">
        <v>0</v>
      </c>
      <c r="Q595" t="n">
        <v>0</v>
      </c>
      <c r="R595" s="2" t="inlineStr"/>
    </row>
    <row r="596" ht="15" customHeight="1">
      <c r="A596" t="inlineStr">
        <is>
          <t>A 31366-2023</t>
        </is>
      </c>
      <c r="B596" s="1" t="n">
        <v>45114</v>
      </c>
      <c r="C596" s="1" t="n">
        <v>45784</v>
      </c>
      <c r="D596" t="inlineStr">
        <is>
          <t>DALARNAS LÄN</t>
        </is>
      </c>
      <c r="E596" t="inlineStr">
        <is>
          <t>MORA</t>
        </is>
      </c>
      <c r="G596" t="n">
        <v>4</v>
      </c>
      <c r="H596" t="n">
        <v>0</v>
      </c>
      <c r="I596" t="n">
        <v>0</v>
      </c>
      <c r="J596" t="n">
        <v>0</v>
      </c>
      <c r="K596" t="n">
        <v>0</v>
      </c>
      <c r="L596" t="n">
        <v>0</v>
      </c>
      <c r="M596" t="n">
        <v>0</v>
      </c>
      <c r="N596" t="n">
        <v>0</v>
      </c>
      <c r="O596" t="n">
        <v>0</v>
      </c>
      <c r="P596" t="n">
        <v>0</v>
      </c>
      <c r="Q596" t="n">
        <v>0</v>
      </c>
      <c r="R596" s="2" t="inlineStr"/>
    </row>
    <row r="597" ht="15" customHeight="1">
      <c r="A597" t="inlineStr">
        <is>
          <t>A 33676-2023</t>
        </is>
      </c>
      <c r="B597" s="1" t="n">
        <v>45132</v>
      </c>
      <c r="C597" s="1" t="n">
        <v>45784</v>
      </c>
      <c r="D597" t="inlineStr">
        <is>
          <t>DALARNAS LÄN</t>
        </is>
      </c>
      <c r="E597" t="inlineStr">
        <is>
          <t>MORA</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34193-2023</t>
        </is>
      </c>
      <c r="B598" s="1" t="n">
        <v>45138</v>
      </c>
      <c r="C598" s="1" t="n">
        <v>45784</v>
      </c>
      <c r="D598" t="inlineStr">
        <is>
          <t>DALARNAS LÄN</t>
        </is>
      </c>
      <c r="E598" t="inlineStr">
        <is>
          <t>MORA</t>
        </is>
      </c>
      <c r="G598" t="n">
        <v>10.4</v>
      </c>
      <c r="H598" t="n">
        <v>0</v>
      </c>
      <c r="I598" t="n">
        <v>0</v>
      </c>
      <c r="J598" t="n">
        <v>0</v>
      </c>
      <c r="K598" t="n">
        <v>0</v>
      </c>
      <c r="L598" t="n">
        <v>0</v>
      </c>
      <c r="M598" t="n">
        <v>0</v>
      </c>
      <c r="N598" t="n">
        <v>0</v>
      </c>
      <c r="O598" t="n">
        <v>0</v>
      </c>
      <c r="P598" t="n">
        <v>0</v>
      </c>
      <c r="Q598" t="n">
        <v>0</v>
      </c>
      <c r="R598" s="2" t="inlineStr"/>
    </row>
    <row r="599" ht="15" customHeight="1">
      <c r="A599" t="inlineStr">
        <is>
          <t>A 34278-2023</t>
        </is>
      </c>
      <c r="B599" s="1" t="n">
        <v>45138</v>
      </c>
      <c r="C599" s="1" t="n">
        <v>45784</v>
      </c>
      <c r="D599" t="inlineStr">
        <is>
          <t>DALARNAS LÄN</t>
        </is>
      </c>
      <c r="E599" t="inlineStr">
        <is>
          <t>MORA</t>
        </is>
      </c>
      <c r="G599" t="n">
        <v>3.1</v>
      </c>
      <c r="H599" t="n">
        <v>0</v>
      </c>
      <c r="I599" t="n">
        <v>0</v>
      </c>
      <c r="J599" t="n">
        <v>0</v>
      </c>
      <c r="K599" t="n">
        <v>0</v>
      </c>
      <c r="L599" t="n">
        <v>0</v>
      </c>
      <c r="M599" t="n">
        <v>0</v>
      </c>
      <c r="N599" t="n">
        <v>0</v>
      </c>
      <c r="O599" t="n">
        <v>0</v>
      </c>
      <c r="P599" t="n">
        <v>0</v>
      </c>
      <c r="Q599" t="n">
        <v>0</v>
      </c>
      <c r="R599" s="2" t="inlineStr"/>
    </row>
    <row r="600" ht="15" customHeight="1">
      <c r="A600" t="inlineStr">
        <is>
          <t>A 35040-2023</t>
        </is>
      </c>
      <c r="B600" s="1" t="n">
        <v>45145</v>
      </c>
      <c r="C600" s="1" t="n">
        <v>45784</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35041-2023</t>
        </is>
      </c>
      <c r="B601" s="1" t="n">
        <v>45145</v>
      </c>
      <c r="C601" s="1" t="n">
        <v>45784</v>
      </c>
      <c r="D601" t="inlineStr">
        <is>
          <t>DALARNAS LÄN</t>
        </is>
      </c>
      <c r="E601" t="inlineStr">
        <is>
          <t>MORA</t>
        </is>
      </c>
      <c r="G601" t="n">
        <v>15.4</v>
      </c>
      <c r="H601" t="n">
        <v>0</v>
      </c>
      <c r="I601" t="n">
        <v>0</v>
      </c>
      <c r="J601" t="n">
        <v>0</v>
      </c>
      <c r="K601" t="n">
        <v>0</v>
      </c>
      <c r="L601" t="n">
        <v>0</v>
      </c>
      <c r="M601" t="n">
        <v>0</v>
      </c>
      <c r="N601" t="n">
        <v>0</v>
      </c>
      <c r="O601" t="n">
        <v>0</v>
      </c>
      <c r="P601" t="n">
        <v>0</v>
      </c>
      <c r="Q601" t="n">
        <v>0</v>
      </c>
      <c r="R601" s="2" t="inlineStr"/>
    </row>
    <row r="602" ht="15" customHeight="1">
      <c r="A602" t="inlineStr">
        <is>
          <t>A 35236-2023</t>
        </is>
      </c>
      <c r="B602" s="1" t="n">
        <v>45145</v>
      </c>
      <c r="C602" s="1" t="n">
        <v>45784</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35033-2023</t>
        </is>
      </c>
      <c r="B603" s="1" t="n">
        <v>45145</v>
      </c>
      <c r="C603" s="1" t="n">
        <v>45784</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35551-2023</t>
        </is>
      </c>
      <c r="B604" s="1" t="n">
        <v>45147</v>
      </c>
      <c r="C604" s="1" t="n">
        <v>45784</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35521-2023</t>
        </is>
      </c>
      <c r="B605" s="1" t="n">
        <v>45147</v>
      </c>
      <c r="C605" s="1" t="n">
        <v>45784</v>
      </c>
      <c r="D605" t="inlineStr">
        <is>
          <t>DALARNAS LÄN</t>
        </is>
      </c>
      <c r="E605" t="inlineStr">
        <is>
          <t>MORA</t>
        </is>
      </c>
      <c r="G605" t="n">
        <v>3.7</v>
      </c>
      <c r="H605" t="n">
        <v>0</v>
      </c>
      <c r="I605" t="n">
        <v>0</v>
      </c>
      <c r="J605" t="n">
        <v>0</v>
      </c>
      <c r="K605" t="n">
        <v>0</v>
      </c>
      <c r="L605" t="n">
        <v>0</v>
      </c>
      <c r="M605" t="n">
        <v>0</v>
      </c>
      <c r="N605" t="n">
        <v>0</v>
      </c>
      <c r="O605" t="n">
        <v>0</v>
      </c>
      <c r="P605" t="n">
        <v>0</v>
      </c>
      <c r="Q605" t="n">
        <v>0</v>
      </c>
      <c r="R605" s="2" t="inlineStr"/>
    </row>
    <row r="606" ht="15" customHeight="1">
      <c r="A606" t="inlineStr">
        <is>
          <t>A 35923-2023</t>
        </is>
      </c>
      <c r="B606" s="1" t="n">
        <v>45148</v>
      </c>
      <c r="C606" s="1" t="n">
        <v>45784</v>
      </c>
      <c r="D606" t="inlineStr">
        <is>
          <t>DALARNAS LÄN</t>
        </is>
      </c>
      <c r="E606" t="inlineStr">
        <is>
          <t>MORA</t>
        </is>
      </c>
      <c r="G606" t="n">
        <v>10.7</v>
      </c>
      <c r="H606" t="n">
        <v>0</v>
      </c>
      <c r="I606" t="n">
        <v>0</v>
      </c>
      <c r="J606" t="n">
        <v>0</v>
      </c>
      <c r="K606" t="n">
        <v>0</v>
      </c>
      <c r="L606" t="n">
        <v>0</v>
      </c>
      <c r="M606" t="n">
        <v>0</v>
      </c>
      <c r="N606" t="n">
        <v>0</v>
      </c>
      <c r="O606" t="n">
        <v>0</v>
      </c>
      <c r="P606" t="n">
        <v>0</v>
      </c>
      <c r="Q606" t="n">
        <v>0</v>
      </c>
      <c r="R606" s="2" t="inlineStr"/>
    </row>
    <row r="607" ht="15" customHeight="1">
      <c r="A607" t="inlineStr">
        <is>
          <t>A 36740-2023</t>
        </is>
      </c>
      <c r="B607" s="1" t="n">
        <v>45153</v>
      </c>
      <c r="C607" s="1" t="n">
        <v>45784</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36600-2023</t>
        </is>
      </c>
      <c r="B608" s="1" t="n">
        <v>45153</v>
      </c>
      <c r="C608" s="1" t="n">
        <v>45784</v>
      </c>
      <c r="D608" t="inlineStr">
        <is>
          <t>DALARNAS LÄN</t>
        </is>
      </c>
      <c r="E608" t="inlineStr">
        <is>
          <t>MORA</t>
        </is>
      </c>
      <c r="G608" t="n">
        <v>7.3</v>
      </c>
      <c r="H608" t="n">
        <v>0</v>
      </c>
      <c r="I608" t="n">
        <v>0</v>
      </c>
      <c r="J608" t="n">
        <v>0</v>
      </c>
      <c r="K608" t="n">
        <v>0</v>
      </c>
      <c r="L608" t="n">
        <v>0</v>
      </c>
      <c r="M608" t="n">
        <v>0</v>
      </c>
      <c r="N608" t="n">
        <v>0</v>
      </c>
      <c r="O608" t="n">
        <v>0</v>
      </c>
      <c r="P608" t="n">
        <v>0</v>
      </c>
      <c r="Q608" t="n">
        <v>0</v>
      </c>
      <c r="R608" s="2" t="inlineStr"/>
    </row>
    <row r="609" ht="15" customHeight="1">
      <c r="A609" t="inlineStr">
        <is>
          <t>A 37552-2023</t>
        </is>
      </c>
      <c r="B609" s="1" t="n">
        <v>45159</v>
      </c>
      <c r="C609" s="1" t="n">
        <v>45784</v>
      </c>
      <c r="D609" t="inlineStr">
        <is>
          <t>DALARNAS LÄN</t>
        </is>
      </c>
      <c r="E609" t="inlineStr">
        <is>
          <t>MORA</t>
        </is>
      </c>
      <c r="G609" t="n">
        <v>4</v>
      </c>
      <c r="H609" t="n">
        <v>0</v>
      </c>
      <c r="I609" t="n">
        <v>0</v>
      </c>
      <c r="J609" t="n">
        <v>0</v>
      </c>
      <c r="K609" t="n">
        <v>0</v>
      </c>
      <c r="L609" t="n">
        <v>0</v>
      </c>
      <c r="M609" t="n">
        <v>0</v>
      </c>
      <c r="N609" t="n">
        <v>0</v>
      </c>
      <c r="O609" t="n">
        <v>0</v>
      </c>
      <c r="P609" t="n">
        <v>0</v>
      </c>
      <c r="Q609" t="n">
        <v>0</v>
      </c>
      <c r="R609" s="2" t="inlineStr"/>
    </row>
    <row r="610" ht="15" customHeight="1">
      <c r="A610" t="inlineStr">
        <is>
          <t>A 37553-2023</t>
        </is>
      </c>
      <c r="B610" s="1" t="n">
        <v>45159</v>
      </c>
      <c r="C610" s="1" t="n">
        <v>45784</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37710-2023</t>
        </is>
      </c>
      <c r="B611" s="1" t="n">
        <v>45159</v>
      </c>
      <c r="C611" s="1" t="n">
        <v>45784</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37554-2023</t>
        </is>
      </c>
      <c r="B612" s="1" t="n">
        <v>45159</v>
      </c>
      <c r="C612" s="1" t="n">
        <v>45784</v>
      </c>
      <c r="D612" t="inlineStr">
        <is>
          <t>DALARNAS LÄN</t>
        </is>
      </c>
      <c r="E612" t="inlineStr">
        <is>
          <t>MORA</t>
        </is>
      </c>
      <c r="G612" t="n">
        <v>4.3</v>
      </c>
      <c r="H612" t="n">
        <v>0</v>
      </c>
      <c r="I612" t="n">
        <v>0</v>
      </c>
      <c r="J612" t="n">
        <v>0</v>
      </c>
      <c r="K612" t="n">
        <v>0</v>
      </c>
      <c r="L612" t="n">
        <v>0</v>
      </c>
      <c r="M612" t="n">
        <v>0</v>
      </c>
      <c r="N612" t="n">
        <v>0</v>
      </c>
      <c r="O612" t="n">
        <v>0</v>
      </c>
      <c r="P612" t="n">
        <v>0</v>
      </c>
      <c r="Q612" t="n">
        <v>0</v>
      </c>
      <c r="R612" s="2" t="inlineStr"/>
    </row>
    <row r="613" ht="15" customHeight="1">
      <c r="A613" t="inlineStr">
        <is>
          <t>A 37932-2023</t>
        </is>
      </c>
      <c r="B613" s="1" t="n">
        <v>45160</v>
      </c>
      <c r="C613" s="1" t="n">
        <v>45784</v>
      </c>
      <c r="D613" t="inlineStr">
        <is>
          <t>DALARNAS LÄN</t>
        </is>
      </c>
      <c r="E613" t="inlineStr">
        <is>
          <t>MORA</t>
        </is>
      </c>
      <c r="G613" t="n">
        <v>4.9</v>
      </c>
      <c r="H613" t="n">
        <v>0</v>
      </c>
      <c r="I613" t="n">
        <v>0</v>
      </c>
      <c r="J613" t="n">
        <v>0</v>
      </c>
      <c r="K613" t="n">
        <v>0</v>
      </c>
      <c r="L613" t="n">
        <v>0</v>
      </c>
      <c r="M613" t="n">
        <v>0</v>
      </c>
      <c r="N613" t="n">
        <v>0</v>
      </c>
      <c r="O613" t="n">
        <v>0</v>
      </c>
      <c r="P613" t="n">
        <v>0</v>
      </c>
      <c r="Q613" t="n">
        <v>0</v>
      </c>
      <c r="R613" s="2" t="inlineStr"/>
    </row>
    <row r="614" ht="15" customHeight="1">
      <c r="A614" t="inlineStr">
        <is>
          <t>A 38159-2023</t>
        </is>
      </c>
      <c r="B614" s="1" t="n">
        <v>45161</v>
      </c>
      <c r="C614" s="1" t="n">
        <v>45784</v>
      </c>
      <c r="D614" t="inlineStr">
        <is>
          <t>DALARNAS LÄN</t>
        </is>
      </c>
      <c r="E614" t="inlineStr">
        <is>
          <t>MORA</t>
        </is>
      </c>
      <c r="G614" t="n">
        <v>4.2</v>
      </c>
      <c r="H614" t="n">
        <v>0</v>
      </c>
      <c r="I614" t="n">
        <v>0</v>
      </c>
      <c r="J614" t="n">
        <v>0</v>
      </c>
      <c r="K614" t="n">
        <v>0</v>
      </c>
      <c r="L614" t="n">
        <v>0</v>
      </c>
      <c r="M614" t="n">
        <v>0</v>
      </c>
      <c r="N614" t="n">
        <v>0</v>
      </c>
      <c r="O614" t="n">
        <v>0</v>
      </c>
      <c r="P614" t="n">
        <v>0</v>
      </c>
      <c r="Q614" t="n">
        <v>0</v>
      </c>
      <c r="R614" s="2" t="inlineStr"/>
    </row>
    <row r="615" ht="15" customHeight="1">
      <c r="A615" t="inlineStr">
        <is>
          <t>A 38468-2023</t>
        </is>
      </c>
      <c r="B615" s="1" t="n">
        <v>45162</v>
      </c>
      <c r="C615" s="1" t="n">
        <v>45784</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38479-2023</t>
        </is>
      </c>
      <c r="B616" s="1" t="n">
        <v>45162</v>
      </c>
      <c r="C616" s="1" t="n">
        <v>45784</v>
      </c>
      <c r="D616" t="inlineStr">
        <is>
          <t>DALARNAS LÄN</t>
        </is>
      </c>
      <c r="E616" t="inlineStr">
        <is>
          <t>MORA</t>
        </is>
      </c>
      <c r="G616" t="n">
        <v>2.7</v>
      </c>
      <c r="H616" t="n">
        <v>0</v>
      </c>
      <c r="I616" t="n">
        <v>0</v>
      </c>
      <c r="J616" t="n">
        <v>0</v>
      </c>
      <c r="K616" t="n">
        <v>0</v>
      </c>
      <c r="L616" t="n">
        <v>0</v>
      </c>
      <c r="M616" t="n">
        <v>0</v>
      </c>
      <c r="N616" t="n">
        <v>0</v>
      </c>
      <c r="O616" t="n">
        <v>0</v>
      </c>
      <c r="P616" t="n">
        <v>0</v>
      </c>
      <c r="Q616" t="n">
        <v>0</v>
      </c>
      <c r="R616" s="2" t="inlineStr"/>
    </row>
    <row r="617" ht="15" customHeight="1">
      <c r="A617" t="inlineStr">
        <is>
          <t>A 39009-2023</t>
        </is>
      </c>
      <c r="B617" s="1" t="n">
        <v>45162</v>
      </c>
      <c r="C617" s="1" t="n">
        <v>45784</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38627-2023</t>
        </is>
      </c>
      <c r="B618" s="1" t="n">
        <v>45162</v>
      </c>
      <c r="C618" s="1" t="n">
        <v>45784</v>
      </c>
      <c r="D618" t="inlineStr">
        <is>
          <t>DALARNAS LÄN</t>
        </is>
      </c>
      <c r="E618" t="inlineStr">
        <is>
          <t>MORA</t>
        </is>
      </c>
      <c r="G618" t="n">
        <v>6.5</v>
      </c>
      <c r="H618" t="n">
        <v>0</v>
      </c>
      <c r="I618" t="n">
        <v>0</v>
      </c>
      <c r="J618" t="n">
        <v>0</v>
      </c>
      <c r="K618" t="n">
        <v>0</v>
      </c>
      <c r="L618" t="n">
        <v>0</v>
      </c>
      <c r="M618" t="n">
        <v>0</v>
      </c>
      <c r="N618" t="n">
        <v>0</v>
      </c>
      <c r="O618" t="n">
        <v>0</v>
      </c>
      <c r="P618" t="n">
        <v>0</v>
      </c>
      <c r="Q618" t="n">
        <v>0</v>
      </c>
      <c r="R618" s="2" t="inlineStr"/>
    </row>
    <row r="619" ht="15" customHeight="1">
      <c r="A619" t="inlineStr">
        <is>
          <t>A 39233-2023</t>
        </is>
      </c>
      <c r="B619" s="1" t="n">
        <v>45166</v>
      </c>
      <c r="C619" s="1" t="n">
        <v>45784</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39312-2023</t>
        </is>
      </c>
      <c r="B620" s="1" t="n">
        <v>45166</v>
      </c>
      <c r="C620" s="1" t="n">
        <v>45784</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39694-2023</t>
        </is>
      </c>
      <c r="B621" s="1" t="n">
        <v>45167</v>
      </c>
      <c r="C621" s="1" t="n">
        <v>45784</v>
      </c>
      <c r="D621" t="inlineStr">
        <is>
          <t>DALARNAS LÄN</t>
        </is>
      </c>
      <c r="E621" t="inlineStr">
        <is>
          <t>MORA</t>
        </is>
      </c>
      <c r="G621" t="n">
        <v>3.6</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45784</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39847-2023</t>
        </is>
      </c>
      <c r="B623" s="1" t="n">
        <v>45168</v>
      </c>
      <c r="C623" s="1" t="n">
        <v>45784</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40034-2023</t>
        </is>
      </c>
      <c r="B624" s="1" t="n">
        <v>45168</v>
      </c>
      <c r="C624" s="1" t="n">
        <v>45784</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40247-2023</t>
        </is>
      </c>
      <c r="B625" s="1" t="n">
        <v>45169</v>
      </c>
      <c r="C625" s="1" t="n">
        <v>45784</v>
      </c>
      <c r="D625" t="inlineStr">
        <is>
          <t>DALARNAS LÄN</t>
        </is>
      </c>
      <c r="E625" t="inlineStr">
        <is>
          <t>MORA</t>
        </is>
      </c>
      <c r="G625" t="n">
        <v>5.7</v>
      </c>
      <c r="H625" t="n">
        <v>0</v>
      </c>
      <c r="I625" t="n">
        <v>0</v>
      </c>
      <c r="J625" t="n">
        <v>0</v>
      </c>
      <c r="K625" t="n">
        <v>0</v>
      </c>
      <c r="L625" t="n">
        <v>0</v>
      </c>
      <c r="M625" t="n">
        <v>0</v>
      </c>
      <c r="N625" t="n">
        <v>0</v>
      </c>
      <c r="O625" t="n">
        <v>0</v>
      </c>
      <c r="P625" t="n">
        <v>0</v>
      </c>
      <c r="Q625" t="n">
        <v>0</v>
      </c>
      <c r="R625" s="2" t="inlineStr"/>
    </row>
    <row r="626" ht="15" customHeight="1">
      <c r="A626" t="inlineStr">
        <is>
          <t>A 40651-2023</t>
        </is>
      </c>
      <c r="B626" s="1" t="n">
        <v>45170</v>
      </c>
      <c r="C626" s="1" t="n">
        <v>45784</v>
      </c>
      <c r="D626" t="inlineStr">
        <is>
          <t>DALARNAS LÄN</t>
        </is>
      </c>
      <c r="E626" t="inlineStr">
        <is>
          <t>MORA</t>
        </is>
      </c>
      <c r="F626" t="inlineStr">
        <is>
          <t>Bergvik skog öst AB</t>
        </is>
      </c>
      <c r="G626" t="n">
        <v>2.6</v>
      </c>
      <c r="H626" t="n">
        <v>0</v>
      </c>
      <c r="I626" t="n">
        <v>0</v>
      </c>
      <c r="J626" t="n">
        <v>0</v>
      </c>
      <c r="K626" t="n">
        <v>0</v>
      </c>
      <c r="L626" t="n">
        <v>0</v>
      </c>
      <c r="M626" t="n">
        <v>0</v>
      </c>
      <c r="N626" t="n">
        <v>0</v>
      </c>
      <c r="O626" t="n">
        <v>0</v>
      </c>
      <c r="P626" t="n">
        <v>0</v>
      </c>
      <c r="Q626" t="n">
        <v>0</v>
      </c>
      <c r="R626" s="2" t="inlineStr"/>
    </row>
    <row r="627" ht="15" customHeight="1">
      <c r="A627" t="inlineStr">
        <is>
          <t>A 40949-2023</t>
        </is>
      </c>
      <c r="B627" s="1" t="n">
        <v>45173</v>
      </c>
      <c r="C627" s="1" t="n">
        <v>45784</v>
      </c>
      <c r="D627" t="inlineStr">
        <is>
          <t>DALARNAS LÄN</t>
        </is>
      </c>
      <c r="E627" t="inlineStr">
        <is>
          <t>MORA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41169-2023</t>
        </is>
      </c>
      <c r="B628" s="1" t="n">
        <v>45174</v>
      </c>
      <c r="C628" s="1" t="n">
        <v>45784</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41170-2023</t>
        </is>
      </c>
      <c r="B629" s="1" t="n">
        <v>45174</v>
      </c>
      <c r="C629" s="1" t="n">
        <v>45784</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41638-2023</t>
        </is>
      </c>
      <c r="B630" s="1" t="n">
        <v>45175</v>
      </c>
      <c r="C630" s="1" t="n">
        <v>45784</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41637-2023</t>
        </is>
      </c>
      <c r="B631" s="1" t="n">
        <v>45175</v>
      </c>
      <c r="C631" s="1" t="n">
        <v>45784</v>
      </c>
      <c r="D631" t="inlineStr">
        <is>
          <t>DALARNAS LÄN</t>
        </is>
      </c>
      <c r="E631" t="inlineStr">
        <is>
          <t>MORA</t>
        </is>
      </c>
      <c r="G631" t="n">
        <v>10.4</v>
      </c>
      <c r="H631" t="n">
        <v>0</v>
      </c>
      <c r="I631" t="n">
        <v>0</v>
      </c>
      <c r="J631" t="n">
        <v>0</v>
      </c>
      <c r="K631" t="n">
        <v>0</v>
      </c>
      <c r="L631" t="n">
        <v>0</v>
      </c>
      <c r="M631" t="n">
        <v>0</v>
      </c>
      <c r="N631" t="n">
        <v>0</v>
      </c>
      <c r="O631" t="n">
        <v>0</v>
      </c>
      <c r="P631" t="n">
        <v>0</v>
      </c>
      <c r="Q631" t="n">
        <v>0</v>
      </c>
      <c r="R631" s="2" t="inlineStr"/>
    </row>
    <row r="632" ht="15" customHeight="1">
      <c r="A632" t="inlineStr">
        <is>
          <t>A 42391-2023</t>
        </is>
      </c>
      <c r="B632" s="1" t="n">
        <v>45180</v>
      </c>
      <c r="C632" s="1" t="n">
        <v>45784</v>
      </c>
      <c r="D632" t="inlineStr">
        <is>
          <t>DALARNAS LÄN</t>
        </is>
      </c>
      <c r="E632" t="inlineStr">
        <is>
          <t>MORA</t>
        </is>
      </c>
      <c r="F632" t="inlineStr">
        <is>
          <t>Kommuner</t>
        </is>
      </c>
      <c r="G632" t="n">
        <v>0.3</v>
      </c>
      <c r="H632" t="n">
        <v>0</v>
      </c>
      <c r="I632" t="n">
        <v>0</v>
      </c>
      <c r="J632" t="n">
        <v>0</v>
      </c>
      <c r="K632" t="n">
        <v>0</v>
      </c>
      <c r="L632" t="n">
        <v>0</v>
      </c>
      <c r="M632" t="n">
        <v>0</v>
      </c>
      <c r="N632" t="n">
        <v>0</v>
      </c>
      <c r="O632" t="n">
        <v>0</v>
      </c>
      <c r="P632" t="n">
        <v>0</v>
      </c>
      <c r="Q632" t="n">
        <v>0</v>
      </c>
      <c r="R632" s="2" t="inlineStr"/>
    </row>
    <row r="633" ht="15" customHeight="1">
      <c r="A633" t="inlineStr">
        <is>
          <t>A 42267-2023</t>
        </is>
      </c>
      <c r="B633" s="1" t="n">
        <v>45180</v>
      </c>
      <c r="C633" s="1" t="n">
        <v>45784</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43498-2023</t>
        </is>
      </c>
      <c r="B634" s="1" t="n">
        <v>45184</v>
      </c>
      <c r="C634" s="1" t="n">
        <v>45784</v>
      </c>
      <c r="D634" t="inlineStr">
        <is>
          <t>DALARNAS LÄN</t>
        </is>
      </c>
      <c r="E634" t="inlineStr">
        <is>
          <t>MORA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43566-2023</t>
        </is>
      </c>
      <c r="B635" s="1" t="n">
        <v>45184</v>
      </c>
      <c r="C635" s="1" t="n">
        <v>45784</v>
      </c>
      <c r="D635" t="inlineStr">
        <is>
          <t>DALARNAS LÄN</t>
        </is>
      </c>
      <c r="E635" t="inlineStr">
        <is>
          <t>MORA</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43533-2023</t>
        </is>
      </c>
      <c r="B636" s="1" t="n">
        <v>45184</v>
      </c>
      <c r="C636" s="1" t="n">
        <v>45784</v>
      </c>
      <c r="D636" t="inlineStr">
        <is>
          <t>DALARNAS LÄN</t>
        </is>
      </c>
      <c r="E636" t="inlineStr">
        <is>
          <t>MORA</t>
        </is>
      </c>
      <c r="F636" t="inlineStr">
        <is>
          <t>Bergvik skog väst AB</t>
        </is>
      </c>
      <c r="G636" t="n">
        <v>10.3</v>
      </c>
      <c r="H636" t="n">
        <v>0</v>
      </c>
      <c r="I636" t="n">
        <v>0</v>
      </c>
      <c r="J636" t="n">
        <v>0</v>
      </c>
      <c r="K636" t="n">
        <v>0</v>
      </c>
      <c r="L636" t="n">
        <v>0</v>
      </c>
      <c r="M636" t="n">
        <v>0</v>
      </c>
      <c r="N636" t="n">
        <v>0</v>
      </c>
      <c r="O636" t="n">
        <v>0</v>
      </c>
      <c r="P636" t="n">
        <v>0</v>
      </c>
      <c r="Q636" t="n">
        <v>0</v>
      </c>
      <c r="R636" s="2" t="inlineStr"/>
    </row>
    <row r="637" ht="15" customHeight="1">
      <c r="A637" t="inlineStr">
        <is>
          <t>A 43863-2023</t>
        </is>
      </c>
      <c r="B637" s="1" t="n">
        <v>45187</v>
      </c>
      <c r="C637" s="1" t="n">
        <v>45784</v>
      </c>
      <c r="D637" t="inlineStr">
        <is>
          <t>DALARNAS LÄN</t>
        </is>
      </c>
      <c r="E637" t="inlineStr">
        <is>
          <t>MORA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44201-2023</t>
        </is>
      </c>
      <c r="B638" s="1" t="n">
        <v>45188</v>
      </c>
      <c r="C638" s="1" t="n">
        <v>45784</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44205-2023</t>
        </is>
      </c>
      <c r="B639" s="1" t="n">
        <v>45188</v>
      </c>
      <c r="C639" s="1" t="n">
        <v>45784</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44106-2023</t>
        </is>
      </c>
      <c r="B640" s="1" t="n">
        <v>45188</v>
      </c>
      <c r="C640" s="1" t="n">
        <v>45784</v>
      </c>
      <c r="D640" t="inlineStr">
        <is>
          <t>DALARNAS LÄN</t>
        </is>
      </c>
      <c r="E640" t="inlineStr">
        <is>
          <t>MORA</t>
        </is>
      </c>
      <c r="G640" t="n">
        <v>10.1</v>
      </c>
      <c r="H640" t="n">
        <v>0</v>
      </c>
      <c r="I640" t="n">
        <v>0</v>
      </c>
      <c r="J640" t="n">
        <v>0</v>
      </c>
      <c r="K640" t="n">
        <v>0</v>
      </c>
      <c r="L640" t="n">
        <v>0</v>
      </c>
      <c r="M640" t="n">
        <v>0</v>
      </c>
      <c r="N640" t="n">
        <v>0</v>
      </c>
      <c r="O640" t="n">
        <v>0</v>
      </c>
      <c r="P640" t="n">
        <v>0</v>
      </c>
      <c r="Q640" t="n">
        <v>0</v>
      </c>
      <c r="R640" s="2" t="inlineStr"/>
    </row>
    <row r="641" ht="15" customHeight="1">
      <c r="A641" t="inlineStr">
        <is>
          <t>A 44117-2023</t>
        </is>
      </c>
      <c r="B641" s="1" t="n">
        <v>45188</v>
      </c>
      <c r="C641" s="1" t="n">
        <v>45784</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44177-2023</t>
        </is>
      </c>
      <c r="B642" s="1" t="n">
        <v>45188</v>
      </c>
      <c r="C642" s="1" t="n">
        <v>45784</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45475-2023</t>
        </is>
      </c>
      <c r="B643" s="1" t="n">
        <v>45188</v>
      </c>
      <c r="C643" s="1" t="n">
        <v>45784</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44718-2023</t>
        </is>
      </c>
      <c r="B644" s="1" t="n">
        <v>45190</v>
      </c>
      <c r="C644" s="1" t="n">
        <v>45784</v>
      </c>
      <c r="D644" t="inlineStr">
        <is>
          <t>DALARNAS LÄN</t>
        </is>
      </c>
      <c r="E644" t="inlineStr">
        <is>
          <t>MORA</t>
        </is>
      </c>
      <c r="G644" t="n">
        <v>7.4</v>
      </c>
      <c r="H644" t="n">
        <v>0</v>
      </c>
      <c r="I644" t="n">
        <v>0</v>
      </c>
      <c r="J644" t="n">
        <v>0</v>
      </c>
      <c r="K644" t="n">
        <v>0</v>
      </c>
      <c r="L644" t="n">
        <v>0</v>
      </c>
      <c r="M644" t="n">
        <v>0</v>
      </c>
      <c r="N644" t="n">
        <v>0</v>
      </c>
      <c r="O644" t="n">
        <v>0</v>
      </c>
      <c r="P644" t="n">
        <v>0</v>
      </c>
      <c r="Q644" t="n">
        <v>0</v>
      </c>
      <c r="R644" s="2" t="inlineStr"/>
    </row>
    <row r="645" ht="15" customHeight="1">
      <c r="A645" t="inlineStr">
        <is>
          <t>A 44820-2023</t>
        </is>
      </c>
      <c r="B645" s="1" t="n">
        <v>45190</v>
      </c>
      <c r="C645" s="1" t="n">
        <v>45784</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44817-2023</t>
        </is>
      </c>
      <c r="B646" s="1" t="n">
        <v>45190</v>
      </c>
      <c r="C646" s="1" t="n">
        <v>45784</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45295-2023</t>
        </is>
      </c>
      <c r="B647" s="1" t="n">
        <v>45191</v>
      </c>
      <c r="C647" s="1" t="n">
        <v>45784</v>
      </c>
      <c r="D647" t="inlineStr">
        <is>
          <t>DALARNAS LÄN</t>
        </is>
      </c>
      <c r="E647" t="inlineStr">
        <is>
          <t>MORA</t>
        </is>
      </c>
      <c r="G647" t="n">
        <v>10.9</v>
      </c>
      <c r="H647" t="n">
        <v>0</v>
      </c>
      <c r="I647" t="n">
        <v>0</v>
      </c>
      <c r="J647" t="n">
        <v>0</v>
      </c>
      <c r="K647" t="n">
        <v>0</v>
      </c>
      <c r="L647" t="n">
        <v>0</v>
      </c>
      <c r="M647" t="n">
        <v>0</v>
      </c>
      <c r="N647" t="n">
        <v>0</v>
      </c>
      <c r="O647" t="n">
        <v>0</v>
      </c>
      <c r="P647" t="n">
        <v>0</v>
      </c>
      <c r="Q647" t="n">
        <v>0</v>
      </c>
      <c r="R647" s="2" t="inlineStr"/>
    </row>
    <row r="648" ht="15" customHeight="1">
      <c r="A648" t="inlineStr">
        <is>
          <t>A 45562-2023</t>
        </is>
      </c>
      <c r="B648" s="1" t="n">
        <v>45194</v>
      </c>
      <c r="C648" s="1" t="n">
        <v>45784</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45574-2023</t>
        </is>
      </c>
      <c r="B649" s="1" t="n">
        <v>45194</v>
      </c>
      <c r="C649" s="1" t="n">
        <v>45784</v>
      </c>
      <c r="D649" t="inlineStr">
        <is>
          <t>DALARNAS LÄN</t>
        </is>
      </c>
      <c r="E649" t="inlineStr">
        <is>
          <t>MORA</t>
        </is>
      </c>
      <c r="G649" t="n">
        <v>6.3</v>
      </c>
      <c r="H649" t="n">
        <v>0</v>
      </c>
      <c r="I649" t="n">
        <v>0</v>
      </c>
      <c r="J649" t="n">
        <v>0</v>
      </c>
      <c r="K649" t="n">
        <v>0</v>
      </c>
      <c r="L649" t="n">
        <v>0</v>
      </c>
      <c r="M649" t="n">
        <v>0</v>
      </c>
      <c r="N649" t="n">
        <v>0</v>
      </c>
      <c r="O649" t="n">
        <v>0</v>
      </c>
      <c r="P649" t="n">
        <v>0</v>
      </c>
      <c r="Q649" t="n">
        <v>0</v>
      </c>
      <c r="R649" s="2" t="inlineStr"/>
    </row>
    <row r="650" ht="15" customHeight="1">
      <c r="A650" t="inlineStr">
        <is>
          <t>A 46087-2023</t>
        </is>
      </c>
      <c r="B650" s="1" t="n">
        <v>45196</v>
      </c>
      <c r="C650" s="1" t="n">
        <v>45784</v>
      </c>
      <c r="D650" t="inlineStr">
        <is>
          <t>DALARNAS LÄN</t>
        </is>
      </c>
      <c r="E650" t="inlineStr">
        <is>
          <t>MORA</t>
        </is>
      </c>
      <c r="F650" t="inlineStr">
        <is>
          <t>Bergvik skog öst AB</t>
        </is>
      </c>
      <c r="G650" t="n">
        <v>24.2</v>
      </c>
      <c r="H650" t="n">
        <v>0</v>
      </c>
      <c r="I650" t="n">
        <v>0</v>
      </c>
      <c r="J650" t="n">
        <v>0</v>
      </c>
      <c r="K650" t="n">
        <v>0</v>
      </c>
      <c r="L650" t="n">
        <v>0</v>
      </c>
      <c r="M650" t="n">
        <v>0</v>
      </c>
      <c r="N650" t="n">
        <v>0</v>
      </c>
      <c r="O650" t="n">
        <v>0</v>
      </c>
      <c r="P650" t="n">
        <v>0</v>
      </c>
      <c r="Q650" t="n">
        <v>0</v>
      </c>
      <c r="R650" s="2" t="inlineStr"/>
    </row>
    <row r="651" ht="15" customHeight="1">
      <c r="A651" t="inlineStr">
        <is>
          <t>A 46152-2023</t>
        </is>
      </c>
      <c r="B651" s="1" t="n">
        <v>45196</v>
      </c>
      <c r="C651" s="1" t="n">
        <v>45784</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47036-2023</t>
        </is>
      </c>
      <c r="B652" s="1" t="n">
        <v>45196</v>
      </c>
      <c r="C652" s="1" t="n">
        <v>45784</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46612-2023</t>
        </is>
      </c>
      <c r="B653" s="1" t="n">
        <v>45198</v>
      </c>
      <c r="C653" s="1" t="n">
        <v>45784</v>
      </c>
      <c r="D653" t="inlineStr">
        <is>
          <t>DALARNAS LÄN</t>
        </is>
      </c>
      <c r="E653" t="inlineStr">
        <is>
          <t>MORA</t>
        </is>
      </c>
      <c r="G653" t="n">
        <v>3.2</v>
      </c>
      <c r="H653" t="n">
        <v>0</v>
      </c>
      <c r="I653" t="n">
        <v>0</v>
      </c>
      <c r="J653" t="n">
        <v>0</v>
      </c>
      <c r="K653" t="n">
        <v>0</v>
      </c>
      <c r="L653" t="n">
        <v>0</v>
      </c>
      <c r="M653" t="n">
        <v>0</v>
      </c>
      <c r="N653" t="n">
        <v>0</v>
      </c>
      <c r="O653" t="n">
        <v>0</v>
      </c>
      <c r="P653" t="n">
        <v>0</v>
      </c>
      <c r="Q653" t="n">
        <v>0</v>
      </c>
      <c r="R653" s="2" t="inlineStr"/>
    </row>
    <row r="654" ht="15" customHeight="1">
      <c r="A654" t="inlineStr">
        <is>
          <t>A 46791-2023</t>
        </is>
      </c>
      <c r="B654" s="1" t="n">
        <v>45198</v>
      </c>
      <c r="C654" s="1" t="n">
        <v>45784</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46755-2023</t>
        </is>
      </c>
      <c r="B655" s="1" t="n">
        <v>45198</v>
      </c>
      <c r="C655" s="1" t="n">
        <v>45784</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47347-2023</t>
        </is>
      </c>
      <c r="B656" s="1" t="n">
        <v>45202</v>
      </c>
      <c r="C656" s="1" t="n">
        <v>45784</v>
      </c>
      <c r="D656" t="inlineStr">
        <is>
          <t>DALARNAS LÄN</t>
        </is>
      </c>
      <c r="E656" t="inlineStr">
        <is>
          <t>MORA</t>
        </is>
      </c>
      <c r="F656" t="inlineStr">
        <is>
          <t>Bergvik skog öst AB</t>
        </is>
      </c>
      <c r="G656" t="n">
        <v>5.1</v>
      </c>
      <c r="H656" t="n">
        <v>0</v>
      </c>
      <c r="I656" t="n">
        <v>0</v>
      </c>
      <c r="J656" t="n">
        <v>0</v>
      </c>
      <c r="K656" t="n">
        <v>0</v>
      </c>
      <c r="L656" t="n">
        <v>0</v>
      </c>
      <c r="M656" t="n">
        <v>0</v>
      </c>
      <c r="N656" t="n">
        <v>0</v>
      </c>
      <c r="O656" t="n">
        <v>0</v>
      </c>
      <c r="P656" t="n">
        <v>0</v>
      </c>
      <c r="Q656" t="n">
        <v>0</v>
      </c>
      <c r="R656" s="2" t="inlineStr"/>
    </row>
    <row r="657" ht="15" customHeight="1">
      <c r="A657" t="inlineStr">
        <is>
          <t>A 47410-2023</t>
        </is>
      </c>
      <c r="B657" s="1" t="n">
        <v>45202</v>
      </c>
      <c r="C657" s="1" t="n">
        <v>45784</v>
      </c>
      <c r="D657" t="inlineStr">
        <is>
          <t>DALARNAS LÄN</t>
        </is>
      </c>
      <c r="E657" t="inlineStr">
        <is>
          <t>MORA</t>
        </is>
      </c>
      <c r="G657" t="n">
        <v>7.3</v>
      </c>
      <c r="H657" t="n">
        <v>0</v>
      </c>
      <c r="I657" t="n">
        <v>0</v>
      </c>
      <c r="J657" t="n">
        <v>0</v>
      </c>
      <c r="K657" t="n">
        <v>0</v>
      </c>
      <c r="L657" t="n">
        <v>0</v>
      </c>
      <c r="M657" t="n">
        <v>0</v>
      </c>
      <c r="N657" t="n">
        <v>0</v>
      </c>
      <c r="O657" t="n">
        <v>0</v>
      </c>
      <c r="P657" t="n">
        <v>0</v>
      </c>
      <c r="Q657" t="n">
        <v>0</v>
      </c>
      <c r="R657" s="2" t="inlineStr"/>
    </row>
    <row r="658" ht="15" customHeight="1">
      <c r="A658" t="inlineStr">
        <is>
          <t>A 47440-2023</t>
        </is>
      </c>
      <c r="B658" s="1" t="n">
        <v>45202</v>
      </c>
      <c r="C658" s="1" t="n">
        <v>45784</v>
      </c>
      <c r="D658" t="inlineStr">
        <is>
          <t>DALARNAS LÄN</t>
        </is>
      </c>
      <c r="E658" t="inlineStr">
        <is>
          <t>MORA</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47574-2023</t>
        </is>
      </c>
      <c r="B659" s="1" t="n">
        <v>45203</v>
      </c>
      <c r="C659" s="1" t="n">
        <v>45784</v>
      </c>
      <c r="D659" t="inlineStr">
        <is>
          <t>DALARNAS LÄN</t>
        </is>
      </c>
      <c r="E659" t="inlineStr">
        <is>
          <t>MORA</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47683-2023</t>
        </is>
      </c>
      <c r="B660" s="1" t="n">
        <v>45203</v>
      </c>
      <c r="C660" s="1" t="n">
        <v>45784</v>
      </c>
      <c r="D660" t="inlineStr">
        <is>
          <t>DALARNAS LÄN</t>
        </is>
      </c>
      <c r="E660" t="inlineStr">
        <is>
          <t>MORA</t>
        </is>
      </c>
      <c r="F660" t="inlineStr">
        <is>
          <t>Kyrkan</t>
        </is>
      </c>
      <c r="G660" t="n">
        <v>33.8</v>
      </c>
      <c r="H660" t="n">
        <v>0</v>
      </c>
      <c r="I660" t="n">
        <v>0</v>
      </c>
      <c r="J660" t="n">
        <v>0</v>
      </c>
      <c r="K660" t="n">
        <v>0</v>
      </c>
      <c r="L660" t="n">
        <v>0</v>
      </c>
      <c r="M660" t="n">
        <v>0</v>
      </c>
      <c r="N660" t="n">
        <v>0</v>
      </c>
      <c r="O660" t="n">
        <v>0</v>
      </c>
      <c r="P660" t="n">
        <v>0</v>
      </c>
      <c r="Q660" t="n">
        <v>0</v>
      </c>
      <c r="R660" s="2" t="inlineStr"/>
    </row>
    <row r="661" ht="15" customHeight="1">
      <c r="A661" t="inlineStr">
        <is>
          <t>A 48825-2023</t>
        </is>
      </c>
      <c r="B661" s="1" t="n">
        <v>45203</v>
      </c>
      <c r="C661" s="1" t="n">
        <v>45784</v>
      </c>
      <c r="D661" t="inlineStr">
        <is>
          <t>DALARNAS LÄN</t>
        </is>
      </c>
      <c r="E661" t="inlineStr">
        <is>
          <t>MORA</t>
        </is>
      </c>
      <c r="G661" t="n">
        <v>7.9</v>
      </c>
      <c r="H661" t="n">
        <v>0</v>
      </c>
      <c r="I661" t="n">
        <v>0</v>
      </c>
      <c r="J661" t="n">
        <v>0</v>
      </c>
      <c r="K661" t="n">
        <v>0</v>
      </c>
      <c r="L661" t="n">
        <v>0</v>
      </c>
      <c r="M661" t="n">
        <v>0</v>
      </c>
      <c r="N661" t="n">
        <v>0</v>
      </c>
      <c r="O661" t="n">
        <v>0</v>
      </c>
      <c r="P661" t="n">
        <v>0</v>
      </c>
      <c r="Q661" t="n">
        <v>0</v>
      </c>
      <c r="R661" s="2" t="inlineStr"/>
    </row>
    <row r="662" ht="15" customHeight="1">
      <c r="A662" t="inlineStr">
        <is>
          <t>A 48824-2023</t>
        </is>
      </c>
      <c r="B662" s="1" t="n">
        <v>45203</v>
      </c>
      <c r="C662" s="1" t="n">
        <v>45784</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47855-2023</t>
        </is>
      </c>
      <c r="B663" s="1" t="n">
        <v>45204</v>
      </c>
      <c r="C663" s="1" t="n">
        <v>45784</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48027-2023</t>
        </is>
      </c>
      <c r="B664" s="1" t="n">
        <v>45204</v>
      </c>
      <c r="C664" s="1" t="n">
        <v>45784</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48113-2023</t>
        </is>
      </c>
      <c r="B665" s="1" t="n">
        <v>45205</v>
      </c>
      <c r="C665" s="1" t="n">
        <v>45784</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48313-2023</t>
        </is>
      </c>
      <c r="B666" s="1" t="n">
        <v>45205</v>
      </c>
      <c r="C666" s="1" t="n">
        <v>45784</v>
      </c>
      <c r="D666" t="inlineStr">
        <is>
          <t>DALARNAS LÄN</t>
        </is>
      </c>
      <c r="E666" t="inlineStr">
        <is>
          <t>MORA</t>
        </is>
      </c>
      <c r="G666" t="n">
        <v>3.7</v>
      </c>
      <c r="H666" t="n">
        <v>0</v>
      </c>
      <c r="I666" t="n">
        <v>0</v>
      </c>
      <c r="J666" t="n">
        <v>0</v>
      </c>
      <c r="K666" t="n">
        <v>0</v>
      </c>
      <c r="L666" t="n">
        <v>0</v>
      </c>
      <c r="M666" t="n">
        <v>0</v>
      </c>
      <c r="N666" t="n">
        <v>0</v>
      </c>
      <c r="O666" t="n">
        <v>0</v>
      </c>
      <c r="P666" t="n">
        <v>0</v>
      </c>
      <c r="Q666" t="n">
        <v>0</v>
      </c>
      <c r="R666" s="2" t="inlineStr"/>
    </row>
    <row r="667" ht="15" customHeight="1">
      <c r="A667" t="inlineStr">
        <is>
          <t>A 48339-2023</t>
        </is>
      </c>
      <c r="B667" s="1" t="n">
        <v>45205</v>
      </c>
      <c r="C667" s="1" t="n">
        <v>45784</v>
      </c>
      <c r="D667" t="inlineStr">
        <is>
          <t>DALARNAS LÄN</t>
        </is>
      </c>
      <c r="E667" t="inlineStr">
        <is>
          <t>MORA</t>
        </is>
      </c>
      <c r="G667" t="n">
        <v>2.3</v>
      </c>
      <c r="H667" t="n">
        <v>0</v>
      </c>
      <c r="I667" t="n">
        <v>0</v>
      </c>
      <c r="J667" t="n">
        <v>0</v>
      </c>
      <c r="K667" t="n">
        <v>0</v>
      </c>
      <c r="L667" t="n">
        <v>0</v>
      </c>
      <c r="M667" t="n">
        <v>0</v>
      </c>
      <c r="N667" t="n">
        <v>0</v>
      </c>
      <c r="O667" t="n">
        <v>0</v>
      </c>
      <c r="P667" t="n">
        <v>0</v>
      </c>
      <c r="Q667" t="n">
        <v>0</v>
      </c>
      <c r="R667" s="2" t="inlineStr"/>
    </row>
    <row r="668" ht="15" customHeight="1">
      <c r="A668" t="inlineStr">
        <is>
          <t>A 48342-2023</t>
        </is>
      </c>
      <c r="B668" s="1" t="n">
        <v>45205</v>
      </c>
      <c r="C668" s="1" t="n">
        <v>45784</v>
      </c>
      <c r="D668" t="inlineStr">
        <is>
          <t>DALARNAS LÄN</t>
        </is>
      </c>
      <c r="E668" t="inlineStr">
        <is>
          <t>MORA</t>
        </is>
      </c>
      <c r="G668" t="n">
        <v>1</v>
      </c>
      <c r="H668" t="n">
        <v>0</v>
      </c>
      <c r="I668" t="n">
        <v>0</v>
      </c>
      <c r="J668" t="n">
        <v>0</v>
      </c>
      <c r="K668" t="n">
        <v>0</v>
      </c>
      <c r="L668" t="n">
        <v>0</v>
      </c>
      <c r="M668" t="n">
        <v>0</v>
      </c>
      <c r="N668" t="n">
        <v>0</v>
      </c>
      <c r="O668" t="n">
        <v>0</v>
      </c>
      <c r="P668" t="n">
        <v>0</v>
      </c>
      <c r="Q668" t="n">
        <v>0</v>
      </c>
      <c r="R668" s="2" t="inlineStr"/>
    </row>
    <row r="669" ht="15" customHeight="1">
      <c r="A669" t="inlineStr">
        <is>
          <t>A 48924-2023</t>
        </is>
      </c>
      <c r="B669" s="1" t="n">
        <v>45209</v>
      </c>
      <c r="C669" s="1" t="n">
        <v>45784</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49158-2023</t>
        </is>
      </c>
      <c r="B670" s="1" t="n">
        <v>45210</v>
      </c>
      <c r="C670" s="1" t="n">
        <v>45784</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49159-2023</t>
        </is>
      </c>
      <c r="B671" s="1" t="n">
        <v>45210</v>
      </c>
      <c r="C671" s="1" t="n">
        <v>45784</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45784</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49778-2023</t>
        </is>
      </c>
      <c r="B673" s="1" t="n">
        <v>45212</v>
      </c>
      <c r="C673" s="1" t="n">
        <v>45784</v>
      </c>
      <c r="D673" t="inlineStr">
        <is>
          <t>DALARNAS LÄN</t>
        </is>
      </c>
      <c r="E673" t="inlineStr">
        <is>
          <t>MORA</t>
        </is>
      </c>
      <c r="G673" t="n">
        <v>0.6</v>
      </c>
      <c r="H673" t="n">
        <v>0</v>
      </c>
      <c r="I673" t="n">
        <v>0</v>
      </c>
      <c r="J673" t="n">
        <v>0</v>
      </c>
      <c r="K673" t="n">
        <v>0</v>
      </c>
      <c r="L673" t="n">
        <v>0</v>
      </c>
      <c r="M673" t="n">
        <v>0</v>
      </c>
      <c r="N673" t="n">
        <v>0</v>
      </c>
      <c r="O673" t="n">
        <v>0</v>
      </c>
      <c r="P673" t="n">
        <v>0</v>
      </c>
      <c r="Q673" t="n">
        <v>0</v>
      </c>
      <c r="R673" s="2" t="inlineStr"/>
    </row>
    <row r="674" ht="15" customHeight="1">
      <c r="A674" t="inlineStr">
        <is>
          <t>A 49991-2023</t>
        </is>
      </c>
      <c r="B674" s="1" t="n">
        <v>45215</v>
      </c>
      <c r="C674" s="1" t="n">
        <v>45784</v>
      </c>
      <c r="D674" t="inlineStr">
        <is>
          <t>DALARNAS LÄN</t>
        </is>
      </c>
      <c r="E674" t="inlineStr">
        <is>
          <t>MORA</t>
        </is>
      </c>
      <c r="G674" t="n">
        <v>1.8</v>
      </c>
      <c r="H674" t="n">
        <v>0</v>
      </c>
      <c r="I674" t="n">
        <v>0</v>
      </c>
      <c r="J674" t="n">
        <v>0</v>
      </c>
      <c r="K674" t="n">
        <v>0</v>
      </c>
      <c r="L674" t="n">
        <v>0</v>
      </c>
      <c r="M674" t="n">
        <v>0</v>
      </c>
      <c r="N674" t="n">
        <v>0</v>
      </c>
      <c r="O674" t="n">
        <v>0</v>
      </c>
      <c r="P674" t="n">
        <v>0</v>
      </c>
      <c r="Q674" t="n">
        <v>0</v>
      </c>
      <c r="R674" s="2" t="inlineStr"/>
    </row>
    <row r="675" ht="15" customHeight="1">
      <c r="A675" t="inlineStr">
        <is>
          <t>A 49995-2023</t>
        </is>
      </c>
      <c r="B675" s="1" t="n">
        <v>45215</v>
      </c>
      <c r="C675" s="1" t="n">
        <v>45784</v>
      </c>
      <c r="D675" t="inlineStr">
        <is>
          <t>DALARNAS LÄN</t>
        </is>
      </c>
      <c r="E675" t="inlineStr">
        <is>
          <t>MORA</t>
        </is>
      </c>
      <c r="G675" t="n">
        <v>4</v>
      </c>
      <c r="H675" t="n">
        <v>0</v>
      </c>
      <c r="I675" t="n">
        <v>0</v>
      </c>
      <c r="J675" t="n">
        <v>0</v>
      </c>
      <c r="K675" t="n">
        <v>0</v>
      </c>
      <c r="L675" t="n">
        <v>0</v>
      </c>
      <c r="M675" t="n">
        <v>0</v>
      </c>
      <c r="N675" t="n">
        <v>0</v>
      </c>
      <c r="O675" t="n">
        <v>0</v>
      </c>
      <c r="P675" t="n">
        <v>0</v>
      </c>
      <c r="Q675" t="n">
        <v>0</v>
      </c>
      <c r="R675" s="2" t="inlineStr"/>
    </row>
    <row r="676" ht="15" customHeight="1">
      <c r="A676" t="inlineStr">
        <is>
          <t>A 51729-2023</t>
        </is>
      </c>
      <c r="B676" s="1" t="n">
        <v>45215</v>
      </c>
      <c r="C676" s="1" t="n">
        <v>45784</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50721-2023</t>
        </is>
      </c>
      <c r="B677" s="1" t="n">
        <v>45217</v>
      </c>
      <c r="C677" s="1" t="n">
        <v>45784</v>
      </c>
      <c r="D677" t="inlineStr">
        <is>
          <t>DALARNAS LÄN</t>
        </is>
      </c>
      <c r="E677" t="inlineStr">
        <is>
          <t>MORA</t>
        </is>
      </c>
      <c r="G677" t="n">
        <v>3.9</v>
      </c>
      <c r="H677" t="n">
        <v>0</v>
      </c>
      <c r="I677" t="n">
        <v>0</v>
      </c>
      <c r="J677" t="n">
        <v>0</v>
      </c>
      <c r="K677" t="n">
        <v>0</v>
      </c>
      <c r="L677" t="n">
        <v>0</v>
      </c>
      <c r="M677" t="n">
        <v>0</v>
      </c>
      <c r="N677" t="n">
        <v>0</v>
      </c>
      <c r="O677" t="n">
        <v>0</v>
      </c>
      <c r="P677" t="n">
        <v>0</v>
      </c>
      <c r="Q677" t="n">
        <v>0</v>
      </c>
      <c r="R677" s="2" t="inlineStr"/>
    </row>
    <row r="678" ht="15" customHeight="1">
      <c r="A678" t="inlineStr">
        <is>
          <t>A 50759-2023</t>
        </is>
      </c>
      <c r="B678" s="1" t="n">
        <v>45217</v>
      </c>
      <c r="C678" s="1" t="n">
        <v>45784</v>
      </c>
      <c r="D678" t="inlineStr">
        <is>
          <t>DALARNAS LÄN</t>
        </is>
      </c>
      <c r="E678" t="inlineStr">
        <is>
          <t>MORA</t>
        </is>
      </c>
      <c r="G678" t="n">
        <v>5.3</v>
      </c>
      <c r="H678" t="n">
        <v>0</v>
      </c>
      <c r="I678" t="n">
        <v>0</v>
      </c>
      <c r="J678" t="n">
        <v>0</v>
      </c>
      <c r="K678" t="n">
        <v>0</v>
      </c>
      <c r="L678" t="n">
        <v>0</v>
      </c>
      <c r="M678" t="n">
        <v>0</v>
      </c>
      <c r="N678" t="n">
        <v>0</v>
      </c>
      <c r="O678" t="n">
        <v>0</v>
      </c>
      <c r="P678" t="n">
        <v>0</v>
      </c>
      <c r="Q678" t="n">
        <v>0</v>
      </c>
      <c r="R678" s="2" t="inlineStr"/>
    </row>
    <row r="679" ht="15" customHeight="1">
      <c r="A679" t="inlineStr">
        <is>
          <t>A 51150-2023</t>
        </is>
      </c>
      <c r="B679" s="1" t="n">
        <v>45219</v>
      </c>
      <c r="C679" s="1" t="n">
        <v>45784</v>
      </c>
      <c r="D679" t="inlineStr">
        <is>
          <t>DALARNAS LÄN</t>
        </is>
      </c>
      <c r="E679" t="inlineStr">
        <is>
          <t>MORA</t>
        </is>
      </c>
      <c r="G679" t="n">
        <v>2.3</v>
      </c>
      <c r="H679" t="n">
        <v>0</v>
      </c>
      <c r="I679" t="n">
        <v>0</v>
      </c>
      <c r="J679" t="n">
        <v>0</v>
      </c>
      <c r="K679" t="n">
        <v>0</v>
      </c>
      <c r="L679" t="n">
        <v>0</v>
      </c>
      <c r="M679" t="n">
        <v>0</v>
      </c>
      <c r="N679" t="n">
        <v>0</v>
      </c>
      <c r="O679" t="n">
        <v>0</v>
      </c>
      <c r="P679" t="n">
        <v>0</v>
      </c>
      <c r="Q679" t="n">
        <v>0</v>
      </c>
      <c r="R679" s="2" t="inlineStr"/>
    </row>
    <row r="680" ht="15" customHeight="1">
      <c r="A680" t="inlineStr">
        <is>
          <t>A 51348-2023</t>
        </is>
      </c>
      <c r="B680" s="1" t="n">
        <v>45219</v>
      </c>
      <c r="C680" s="1" t="n">
        <v>45784</v>
      </c>
      <c r="D680" t="inlineStr">
        <is>
          <t>DALARNAS LÄN</t>
        </is>
      </c>
      <c r="E680" t="inlineStr">
        <is>
          <t>MORA</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51253-2023</t>
        </is>
      </c>
      <c r="B681" s="1" t="n">
        <v>45219</v>
      </c>
      <c r="C681" s="1" t="n">
        <v>45784</v>
      </c>
      <c r="D681" t="inlineStr">
        <is>
          <t>DALARNAS LÄN</t>
        </is>
      </c>
      <c r="E681" t="inlineStr">
        <is>
          <t>MORA</t>
        </is>
      </c>
      <c r="G681" t="n">
        <v>5</v>
      </c>
      <c r="H681" t="n">
        <v>0</v>
      </c>
      <c r="I681" t="n">
        <v>0</v>
      </c>
      <c r="J681" t="n">
        <v>0</v>
      </c>
      <c r="K681" t="n">
        <v>0</v>
      </c>
      <c r="L681" t="n">
        <v>0</v>
      </c>
      <c r="M681" t="n">
        <v>0</v>
      </c>
      <c r="N681" t="n">
        <v>0</v>
      </c>
      <c r="O681" t="n">
        <v>0</v>
      </c>
      <c r="P681" t="n">
        <v>0</v>
      </c>
      <c r="Q681" t="n">
        <v>0</v>
      </c>
      <c r="R681" s="2" t="inlineStr"/>
    </row>
    <row r="682" ht="15" customHeight="1">
      <c r="A682" t="inlineStr">
        <is>
          <t>A 51146-2023</t>
        </is>
      </c>
      <c r="B682" s="1" t="n">
        <v>45219</v>
      </c>
      <c r="C682" s="1" t="n">
        <v>45784</v>
      </c>
      <c r="D682" t="inlineStr">
        <is>
          <t>DALARNAS LÄN</t>
        </is>
      </c>
      <c r="E682" t="inlineStr">
        <is>
          <t>MORA</t>
        </is>
      </c>
      <c r="G682" t="n">
        <v>6.9</v>
      </c>
      <c r="H682" t="n">
        <v>0</v>
      </c>
      <c r="I682" t="n">
        <v>0</v>
      </c>
      <c r="J682" t="n">
        <v>0</v>
      </c>
      <c r="K682" t="n">
        <v>0</v>
      </c>
      <c r="L682" t="n">
        <v>0</v>
      </c>
      <c r="M682" t="n">
        <v>0</v>
      </c>
      <c r="N682" t="n">
        <v>0</v>
      </c>
      <c r="O682" t="n">
        <v>0</v>
      </c>
      <c r="P682" t="n">
        <v>0</v>
      </c>
      <c r="Q682" t="n">
        <v>0</v>
      </c>
      <c r="R682" s="2" t="inlineStr"/>
    </row>
    <row r="683" ht="15" customHeight="1">
      <c r="A683" t="inlineStr">
        <is>
          <t>A 51650-2023</t>
        </is>
      </c>
      <c r="B683" s="1" t="n">
        <v>45222</v>
      </c>
      <c r="C683" s="1" t="n">
        <v>45784</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51739-2023</t>
        </is>
      </c>
      <c r="B684" s="1" t="n">
        <v>45222</v>
      </c>
      <c r="C684" s="1" t="n">
        <v>45784</v>
      </c>
      <c r="D684" t="inlineStr">
        <is>
          <t>DALARNAS LÄN</t>
        </is>
      </c>
      <c r="E684" t="inlineStr">
        <is>
          <t>MORA</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51570-2023</t>
        </is>
      </c>
      <c r="B685" s="1" t="n">
        <v>45222</v>
      </c>
      <c r="C685" s="1" t="n">
        <v>45784</v>
      </c>
      <c r="D685" t="inlineStr">
        <is>
          <t>DALARNAS LÄN</t>
        </is>
      </c>
      <c r="E685" t="inlineStr">
        <is>
          <t>MORA</t>
        </is>
      </c>
      <c r="G685" t="n">
        <v>10.1</v>
      </c>
      <c r="H685" t="n">
        <v>0</v>
      </c>
      <c r="I685" t="n">
        <v>0</v>
      </c>
      <c r="J685" t="n">
        <v>0</v>
      </c>
      <c r="K685" t="n">
        <v>0</v>
      </c>
      <c r="L685" t="n">
        <v>0</v>
      </c>
      <c r="M685" t="n">
        <v>0</v>
      </c>
      <c r="N685" t="n">
        <v>0</v>
      </c>
      <c r="O685" t="n">
        <v>0</v>
      </c>
      <c r="P685" t="n">
        <v>0</v>
      </c>
      <c r="Q685" t="n">
        <v>0</v>
      </c>
      <c r="R685" s="2" t="inlineStr"/>
    </row>
    <row r="686" ht="15" customHeight="1">
      <c r="A686" t="inlineStr">
        <is>
          <t>A 51628-2023</t>
        </is>
      </c>
      <c r="B686" s="1" t="n">
        <v>45222</v>
      </c>
      <c r="C686" s="1" t="n">
        <v>45784</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51780-2023</t>
        </is>
      </c>
      <c r="B687" s="1" t="n">
        <v>45222</v>
      </c>
      <c r="C687" s="1" t="n">
        <v>45784</v>
      </c>
      <c r="D687" t="inlineStr">
        <is>
          <t>DALARNAS LÄN</t>
        </is>
      </c>
      <c r="E687" t="inlineStr">
        <is>
          <t>MORA</t>
        </is>
      </c>
      <c r="G687" t="n">
        <v>9.9</v>
      </c>
      <c r="H687" t="n">
        <v>0</v>
      </c>
      <c r="I687" t="n">
        <v>0</v>
      </c>
      <c r="J687" t="n">
        <v>0</v>
      </c>
      <c r="K687" t="n">
        <v>0</v>
      </c>
      <c r="L687" t="n">
        <v>0</v>
      </c>
      <c r="M687" t="n">
        <v>0</v>
      </c>
      <c r="N687" t="n">
        <v>0</v>
      </c>
      <c r="O687" t="n">
        <v>0</v>
      </c>
      <c r="P687" t="n">
        <v>0</v>
      </c>
      <c r="Q687" t="n">
        <v>0</v>
      </c>
      <c r="R687" s="2" t="inlineStr"/>
    </row>
    <row r="688" ht="15" customHeight="1">
      <c r="A688" t="inlineStr">
        <is>
          <t>A 52006-2023</t>
        </is>
      </c>
      <c r="B688" s="1" t="n">
        <v>45223</v>
      </c>
      <c r="C688" s="1" t="n">
        <v>45784</v>
      </c>
      <c r="D688" t="inlineStr">
        <is>
          <t>DALARNAS LÄN</t>
        </is>
      </c>
      <c r="E688" t="inlineStr">
        <is>
          <t>MORA</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52584-2023</t>
        </is>
      </c>
      <c r="B689" s="1" t="n">
        <v>45225</v>
      </c>
      <c r="C689" s="1" t="n">
        <v>45784</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52766-2023</t>
        </is>
      </c>
      <c r="B690" s="1" t="n">
        <v>45226</v>
      </c>
      <c r="C690" s="1" t="n">
        <v>45784</v>
      </c>
      <c r="D690" t="inlineStr">
        <is>
          <t>DALARNAS LÄN</t>
        </is>
      </c>
      <c r="E690" t="inlineStr">
        <is>
          <t>MORA</t>
        </is>
      </c>
      <c r="G690" t="n">
        <v>4.3</v>
      </c>
      <c r="H690" t="n">
        <v>0</v>
      </c>
      <c r="I690" t="n">
        <v>0</v>
      </c>
      <c r="J690" t="n">
        <v>0</v>
      </c>
      <c r="K690" t="n">
        <v>0</v>
      </c>
      <c r="L690" t="n">
        <v>0</v>
      </c>
      <c r="M690" t="n">
        <v>0</v>
      </c>
      <c r="N690" t="n">
        <v>0</v>
      </c>
      <c r="O690" t="n">
        <v>0</v>
      </c>
      <c r="P690" t="n">
        <v>0</v>
      </c>
      <c r="Q690" t="n">
        <v>0</v>
      </c>
      <c r="R690" s="2" t="inlineStr"/>
    </row>
    <row r="691" ht="15" customHeight="1">
      <c r="A691" t="inlineStr">
        <is>
          <t>A 52919-2023</t>
        </is>
      </c>
      <c r="B691" s="1" t="n">
        <v>45226</v>
      </c>
      <c r="C691" s="1" t="n">
        <v>45784</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52908-2023</t>
        </is>
      </c>
      <c r="B692" s="1" t="n">
        <v>45226</v>
      </c>
      <c r="C692" s="1" t="n">
        <v>45784</v>
      </c>
      <c r="D692" t="inlineStr">
        <is>
          <t>DALARNAS LÄN</t>
        </is>
      </c>
      <c r="E692" t="inlineStr">
        <is>
          <t>MORA</t>
        </is>
      </c>
      <c r="G692" t="n">
        <v>3.3</v>
      </c>
      <c r="H692" t="n">
        <v>0</v>
      </c>
      <c r="I692" t="n">
        <v>0</v>
      </c>
      <c r="J692" t="n">
        <v>0</v>
      </c>
      <c r="K692" t="n">
        <v>0</v>
      </c>
      <c r="L692" t="n">
        <v>0</v>
      </c>
      <c r="M692" t="n">
        <v>0</v>
      </c>
      <c r="N692" t="n">
        <v>0</v>
      </c>
      <c r="O692" t="n">
        <v>0</v>
      </c>
      <c r="P692" t="n">
        <v>0</v>
      </c>
      <c r="Q692" t="n">
        <v>0</v>
      </c>
      <c r="R692" s="2" t="inlineStr"/>
    </row>
    <row r="693" ht="15" customHeight="1">
      <c r="A693" t="inlineStr">
        <is>
          <t>A 53026-2023</t>
        </is>
      </c>
      <c r="B693" s="1" t="n">
        <v>45226</v>
      </c>
      <c r="C693" s="1" t="n">
        <v>45784</v>
      </c>
      <c r="D693" t="inlineStr">
        <is>
          <t>DALARNAS LÄN</t>
        </is>
      </c>
      <c r="E693" t="inlineStr">
        <is>
          <t>MORA</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52804-2023</t>
        </is>
      </c>
      <c r="B694" s="1" t="n">
        <v>45226</v>
      </c>
      <c r="C694" s="1" t="n">
        <v>45784</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54626-2023</t>
        </is>
      </c>
      <c r="B695" s="1" t="n">
        <v>45228</v>
      </c>
      <c r="C695" s="1" t="n">
        <v>45784</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54593-2023</t>
        </is>
      </c>
      <c r="B696" s="1" t="n">
        <v>45228</v>
      </c>
      <c r="C696" s="1" t="n">
        <v>45784</v>
      </c>
      <c r="D696" t="inlineStr">
        <is>
          <t>DALARNAS LÄN</t>
        </is>
      </c>
      <c r="E696" t="inlineStr">
        <is>
          <t>MORA</t>
        </is>
      </c>
      <c r="G696" t="n">
        <v>2.2</v>
      </c>
      <c r="H696" t="n">
        <v>0</v>
      </c>
      <c r="I696" t="n">
        <v>0</v>
      </c>
      <c r="J696" t="n">
        <v>0</v>
      </c>
      <c r="K696" t="n">
        <v>0</v>
      </c>
      <c r="L696" t="n">
        <v>0</v>
      </c>
      <c r="M696" t="n">
        <v>0</v>
      </c>
      <c r="N696" t="n">
        <v>0</v>
      </c>
      <c r="O696" t="n">
        <v>0</v>
      </c>
      <c r="P696" t="n">
        <v>0</v>
      </c>
      <c r="Q696" t="n">
        <v>0</v>
      </c>
      <c r="R696" s="2" t="inlineStr"/>
    </row>
    <row r="697" ht="15" customHeight="1">
      <c r="A697" t="inlineStr">
        <is>
          <t>A 54627-2023</t>
        </is>
      </c>
      <c r="B697" s="1" t="n">
        <v>45228</v>
      </c>
      <c r="C697" s="1" t="n">
        <v>45784</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54594-2023</t>
        </is>
      </c>
      <c r="B698" s="1" t="n">
        <v>45228</v>
      </c>
      <c r="C698" s="1" t="n">
        <v>45784</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53344-2023</t>
        </is>
      </c>
      <c r="B699" s="1" t="n">
        <v>45229</v>
      </c>
      <c r="C699" s="1" t="n">
        <v>45784</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53349-2023</t>
        </is>
      </c>
      <c r="B700" s="1" t="n">
        <v>45229</v>
      </c>
      <c r="C700" s="1" t="n">
        <v>45784</v>
      </c>
      <c r="D700" t="inlineStr">
        <is>
          <t>DALARNAS LÄN</t>
        </is>
      </c>
      <c r="E700" t="inlineStr">
        <is>
          <t>MORA</t>
        </is>
      </c>
      <c r="G700" t="n">
        <v>3</v>
      </c>
      <c r="H700" t="n">
        <v>0</v>
      </c>
      <c r="I700" t="n">
        <v>0</v>
      </c>
      <c r="J700" t="n">
        <v>0</v>
      </c>
      <c r="K700" t="n">
        <v>0</v>
      </c>
      <c r="L700" t="n">
        <v>0</v>
      </c>
      <c r="M700" t="n">
        <v>0</v>
      </c>
      <c r="N700" t="n">
        <v>0</v>
      </c>
      <c r="O700" t="n">
        <v>0</v>
      </c>
      <c r="P700" t="n">
        <v>0</v>
      </c>
      <c r="Q700" t="n">
        <v>0</v>
      </c>
      <c r="R700" s="2" t="inlineStr"/>
    </row>
    <row r="701" ht="15" customHeight="1">
      <c r="A701" t="inlineStr">
        <is>
          <t>A 53297-2023</t>
        </is>
      </c>
      <c r="B701" s="1" t="n">
        <v>45229</v>
      </c>
      <c r="C701" s="1" t="n">
        <v>45784</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53341-2023</t>
        </is>
      </c>
      <c r="B702" s="1" t="n">
        <v>45229</v>
      </c>
      <c r="C702" s="1" t="n">
        <v>45784</v>
      </c>
      <c r="D702" t="inlineStr">
        <is>
          <t>DALARNAS LÄN</t>
        </is>
      </c>
      <c r="E702" t="inlineStr">
        <is>
          <t>MORA</t>
        </is>
      </c>
      <c r="G702" t="n">
        <v>2.1</v>
      </c>
      <c r="H702" t="n">
        <v>0</v>
      </c>
      <c r="I702" t="n">
        <v>0</v>
      </c>
      <c r="J702" t="n">
        <v>0</v>
      </c>
      <c r="K702" t="n">
        <v>0</v>
      </c>
      <c r="L702" t="n">
        <v>0</v>
      </c>
      <c r="M702" t="n">
        <v>0</v>
      </c>
      <c r="N702" t="n">
        <v>0</v>
      </c>
      <c r="O702" t="n">
        <v>0</v>
      </c>
      <c r="P702" t="n">
        <v>0</v>
      </c>
      <c r="Q702" t="n">
        <v>0</v>
      </c>
      <c r="R702" s="2" t="inlineStr"/>
    </row>
    <row r="703" ht="15" customHeight="1">
      <c r="A703" t="inlineStr">
        <is>
          <t>A 54003-2023</t>
        </is>
      </c>
      <c r="B703" s="1" t="n">
        <v>45231</v>
      </c>
      <c r="C703" s="1" t="n">
        <v>45784</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55225-2023</t>
        </is>
      </c>
      <c r="B704" s="1" t="n">
        <v>45231</v>
      </c>
      <c r="C704" s="1" t="n">
        <v>45784</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53994-2023</t>
        </is>
      </c>
      <c r="B705" s="1" t="n">
        <v>45231</v>
      </c>
      <c r="C705" s="1" t="n">
        <v>45784</v>
      </c>
      <c r="D705" t="inlineStr">
        <is>
          <t>DALARNAS LÄN</t>
        </is>
      </c>
      <c r="E705" t="inlineStr">
        <is>
          <t>MORA</t>
        </is>
      </c>
      <c r="F705" t="inlineStr">
        <is>
          <t>Bergvik skog öst AB</t>
        </is>
      </c>
      <c r="G705" t="n">
        <v>3.5</v>
      </c>
      <c r="H705" t="n">
        <v>0</v>
      </c>
      <c r="I705" t="n">
        <v>0</v>
      </c>
      <c r="J705" t="n">
        <v>0</v>
      </c>
      <c r="K705" t="n">
        <v>0</v>
      </c>
      <c r="L705" t="n">
        <v>0</v>
      </c>
      <c r="M705" t="n">
        <v>0</v>
      </c>
      <c r="N705" t="n">
        <v>0</v>
      </c>
      <c r="O705" t="n">
        <v>0</v>
      </c>
      <c r="P705" t="n">
        <v>0</v>
      </c>
      <c r="Q705" t="n">
        <v>0</v>
      </c>
      <c r="R705" s="2" t="inlineStr"/>
    </row>
    <row r="706" ht="15" customHeight="1">
      <c r="A706" t="inlineStr">
        <is>
          <t>A 54097-2023</t>
        </is>
      </c>
      <c r="B706" s="1" t="n">
        <v>45232</v>
      </c>
      <c r="C706" s="1" t="n">
        <v>45784</v>
      </c>
      <c r="D706" t="inlineStr">
        <is>
          <t>DALARNAS LÄN</t>
        </is>
      </c>
      <c r="E706" t="inlineStr">
        <is>
          <t>MORA</t>
        </is>
      </c>
      <c r="G706" t="n">
        <v>5.6</v>
      </c>
      <c r="H706" t="n">
        <v>0</v>
      </c>
      <c r="I706" t="n">
        <v>0</v>
      </c>
      <c r="J706" t="n">
        <v>0</v>
      </c>
      <c r="K706" t="n">
        <v>0</v>
      </c>
      <c r="L706" t="n">
        <v>0</v>
      </c>
      <c r="M706" t="n">
        <v>0</v>
      </c>
      <c r="N706" t="n">
        <v>0</v>
      </c>
      <c r="O706" t="n">
        <v>0</v>
      </c>
      <c r="P706" t="n">
        <v>0</v>
      </c>
      <c r="Q706" t="n">
        <v>0</v>
      </c>
      <c r="R706" s="2" t="inlineStr"/>
    </row>
    <row r="707" ht="15" customHeight="1">
      <c r="A707" t="inlineStr">
        <is>
          <t>A 54121-2023</t>
        </is>
      </c>
      <c r="B707" s="1" t="n">
        <v>45232</v>
      </c>
      <c r="C707" s="1" t="n">
        <v>45784</v>
      </c>
      <c r="D707" t="inlineStr">
        <is>
          <t>DALARNAS LÄN</t>
        </is>
      </c>
      <c r="E707" t="inlineStr">
        <is>
          <t>MORA</t>
        </is>
      </c>
      <c r="G707" t="n">
        <v>7</v>
      </c>
      <c r="H707" t="n">
        <v>0</v>
      </c>
      <c r="I707" t="n">
        <v>0</v>
      </c>
      <c r="J707" t="n">
        <v>0</v>
      </c>
      <c r="K707" t="n">
        <v>0</v>
      </c>
      <c r="L707" t="n">
        <v>0</v>
      </c>
      <c r="M707" t="n">
        <v>0</v>
      </c>
      <c r="N707" t="n">
        <v>0</v>
      </c>
      <c r="O707" t="n">
        <v>0</v>
      </c>
      <c r="P707" t="n">
        <v>0</v>
      </c>
      <c r="Q707" t="n">
        <v>0</v>
      </c>
      <c r="R707" s="2" t="inlineStr"/>
    </row>
    <row r="708" ht="15" customHeight="1">
      <c r="A708" t="inlineStr">
        <is>
          <t>A 54129-2023</t>
        </is>
      </c>
      <c r="B708" s="1" t="n">
        <v>45232</v>
      </c>
      <c r="C708" s="1" t="n">
        <v>45784</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54193-2023</t>
        </is>
      </c>
      <c r="B709" s="1" t="n">
        <v>45232</v>
      </c>
      <c r="C709" s="1" t="n">
        <v>45784</v>
      </c>
      <c r="D709" t="inlineStr">
        <is>
          <t>DALARNAS LÄN</t>
        </is>
      </c>
      <c r="E709" t="inlineStr">
        <is>
          <t>MORA</t>
        </is>
      </c>
      <c r="G709" t="n">
        <v>5.7</v>
      </c>
      <c r="H709" t="n">
        <v>0</v>
      </c>
      <c r="I709" t="n">
        <v>0</v>
      </c>
      <c r="J709" t="n">
        <v>0</v>
      </c>
      <c r="K709" t="n">
        <v>0</v>
      </c>
      <c r="L709" t="n">
        <v>0</v>
      </c>
      <c r="M709" t="n">
        <v>0</v>
      </c>
      <c r="N709" t="n">
        <v>0</v>
      </c>
      <c r="O709" t="n">
        <v>0</v>
      </c>
      <c r="P709" t="n">
        <v>0</v>
      </c>
      <c r="Q709" t="n">
        <v>0</v>
      </c>
      <c r="R709" s="2" t="inlineStr"/>
    </row>
    <row r="710" ht="15" customHeight="1">
      <c r="A710" t="inlineStr">
        <is>
          <t>A 54194-2023</t>
        </is>
      </c>
      <c r="B710" s="1" t="n">
        <v>45232</v>
      </c>
      <c r="C710" s="1" t="n">
        <v>45784</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54192-2023</t>
        </is>
      </c>
      <c r="B711" s="1" t="n">
        <v>45232</v>
      </c>
      <c r="C711" s="1" t="n">
        <v>45784</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54253-2023</t>
        </is>
      </c>
      <c r="B712" s="1" t="n">
        <v>45232</v>
      </c>
      <c r="C712" s="1" t="n">
        <v>45784</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ht="15" customHeight="1">
      <c r="A713" t="inlineStr">
        <is>
          <t>A 54257-2023</t>
        </is>
      </c>
      <c r="B713" s="1" t="n">
        <v>45232</v>
      </c>
      <c r="C713" s="1" t="n">
        <v>45784</v>
      </c>
      <c r="D713" t="inlineStr">
        <is>
          <t>DALARNAS LÄN</t>
        </is>
      </c>
      <c r="E713" t="inlineStr">
        <is>
          <t>MORA</t>
        </is>
      </c>
      <c r="G713" t="n">
        <v>4</v>
      </c>
      <c r="H713" t="n">
        <v>0</v>
      </c>
      <c r="I713" t="n">
        <v>0</v>
      </c>
      <c r="J713" t="n">
        <v>0</v>
      </c>
      <c r="K713" t="n">
        <v>0</v>
      </c>
      <c r="L713" t="n">
        <v>0</v>
      </c>
      <c r="M713" t="n">
        <v>0</v>
      </c>
      <c r="N713" t="n">
        <v>0</v>
      </c>
      <c r="O713" t="n">
        <v>0</v>
      </c>
      <c r="P713" t="n">
        <v>0</v>
      </c>
      <c r="Q713" t="n">
        <v>0</v>
      </c>
      <c r="R713" s="2" t="inlineStr"/>
    </row>
    <row r="714" ht="15" customHeight="1">
      <c r="A714" t="inlineStr">
        <is>
          <t>A 54827-2023</t>
        </is>
      </c>
      <c r="B714" s="1" t="n">
        <v>45236</v>
      </c>
      <c r="C714" s="1" t="n">
        <v>45784</v>
      </c>
      <c r="D714" t="inlineStr">
        <is>
          <t>DALARNAS LÄN</t>
        </is>
      </c>
      <c r="E714" t="inlineStr">
        <is>
          <t>MORA</t>
        </is>
      </c>
      <c r="G714" t="n">
        <v>18.7</v>
      </c>
      <c r="H714" t="n">
        <v>0</v>
      </c>
      <c r="I714" t="n">
        <v>0</v>
      </c>
      <c r="J714" t="n">
        <v>0</v>
      </c>
      <c r="K714" t="n">
        <v>0</v>
      </c>
      <c r="L714" t="n">
        <v>0</v>
      </c>
      <c r="M714" t="n">
        <v>0</v>
      </c>
      <c r="N714" t="n">
        <v>0</v>
      </c>
      <c r="O714" t="n">
        <v>0</v>
      </c>
      <c r="P714" t="n">
        <v>0</v>
      </c>
      <c r="Q714" t="n">
        <v>0</v>
      </c>
      <c r="R714" s="2" t="inlineStr"/>
    </row>
    <row r="715" ht="15" customHeight="1">
      <c r="A715" t="inlineStr">
        <is>
          <t>A 54923-2023</t>
        </is>
      </c>
      <c r="B715" s="1" t="n">
        <v>45236</v>
      </c>
      <c r="C715" s="1" t="n">
        <v>45784</v>
      </c>
      <c r="D715" t="inlineStr">
        <is>
          <t>DALARNAS LÄN</t>
        </is>
      </c>
      <c r="E715" t="inlineStr">
        <is>
          <t>MORA</t>
        </is>
      </c>
      <c r="G715" t="n">
        <v>7.3</v>
      </c>
      <c r="H715" t="n">
        <v>0</v>
      </c>
      <c r="I715" t="n">
        <v>0</v>
      </c>
      <c r="J715" t="n">
        <v>0</v>
      </c>
      <c r="K715" t="n">
        <v>0</v>
      </c>
      <c r="L715" t="n">
        <v>0</v>
      </c>
      <c r="M715" t="n">
        <v>0</v>
      </c>
      <c r="N715" t="n">
        <v>0</v>
      </c>
      <c r="O715" t="n">
        <v>0</v>
      </c>
      <c r="P715" t="n">
        <v>0</v>
      </c>
      <c r="Q715" t="n">
        <v>0</v>
      </c>
      <c r="R715" s="2" t="inlineStr"/>
    </row>
    <row r="716" ht="15" customHeight="1">
      <c r="A716" t="inlineStr">
        <is>
          <t>A 55222-2023</t>
        </is>
      </c>
      <c r="B716" s="1" t="n">
        <v>45237</v>
      </c>
      <c r="C716" s="1" t="n">
        <v>45784</v>
      </c>
      <c r="D716" t="inlineStr">
        <is>
          <t>DALARNAS LÄN</t>
        </is>
      </c>
      <c r="E716" t="inlineStr">
        <is>
          <t>MORA</t>
        </is>
      </c>
      <c r="F716" t="inlineStr">
        <is>
          <t>Allmännings- och besparingsskogar</t>
        </is>
      </c>
      <c r="G716" t="n">
        <v>19.8</v>
      </c>
      <c r="H716" t="n">
        <v>0</v>
      </c>
      <c r="I716" t="n">
        <v>0</v>
      </c>
      <c r="J716" t="n">
        <v>0</v>
      </c>
      <c r="K716" t="n">
        <v>0</v>
      </c>
      <c r="L716" t="n">
        <v>0</v>
      </c>
      <c r="M716" t="n">
        <v>0</v>
      </c>
      <c r="N716" t="n">
        <v>0</v>
      </c>
      <c r="O716" t="n">
        <v>0</v>
      </c>
      <c r="P716" t="n">
        <v>0</v>
      </c>
      <c r="Q716" t="n">
        <v>0</v>
      </c>
      <c r="R716" s="2" t="inlineStr"/>
    </row>
    <row r="717" ht="15" customHeight="1">
      <c r="A717" t="inlineStr">
        <is>
          <t>A 55398-2023</t>
        </is>
      </c>
      <c r="B717" s="1" t="n">
        <v>45238</v>
      </c>
      <c r="C717" s="1" t="n">
        <v>45784</v>
      </c>
      <c r="D717" t="inlineStr">
        <is>
          <t>DALARNAS LÄN</t>
        </is>
      </c>
      <c r="E717" t="inlineStr">
        <is>
          <t>MORA</t>
        </is>
      </c>
      <c r="G717" t="n">
        <v>7.2</v>
      </c>
      <c r="H717" t="n">
        <v>0</v>
      </c>
      <c r="I717" t="n">
        <v>0</v>
      </c>
      <c r="J717" t="n">
        <v>0</v>
      </c>
      <c r="K717" t="n">
        <v>0</v>
      </c>
      <c r="L717" t="n">
        <v>0</v>
      </c>
      <c r="M717" t="n">
        <v>0</v>
      </c>
      <c r="N717" t="n">
        <v>0</v>
      </c>
      <c r="O717" t="n">
        <v>0</v>
      </c>
      <c r="P717" t="n">
        <v>0</v>
      </c>
      <c r="Q717" t="n">
        <v>0</v>
      </c>
      <c r="R717" s="2" t="inlineStr"/>
    </row>
    <row r="718" ht="15" customHeight="1">
      <c r="A718" t="inlineStr">
        <is>
          <t>A 55691-2023</t>
        </is>
      </c>
      <c r="B718" s="1" t="n">
        <v>45239</v>
      </c>
      <c r="C718" s="1" t="n">
        <v>45784</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55848-2023</t>
        </is>
      </c>
      <c r="B719" s="1" t="n">
        <v>45239</v>
      </c>
      <c r="C719" s="1" t="n">
        <v>45784</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56010-2023</t>
        </is>
      </c>
      <c r="B720" s="1" t="n">
        <v>45240</v>
      </c>
      <c r="C720" s="1" t="n">
        <v>45784</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56037-2023</t>
        </is>
      </c>
      <c r="B721" s="1" t="n">
        <v>45240</v>
      </c>
      <c r="C721" s="1" t="n">
        <v>45784</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56020-2023</t>
        </is>
      </c>
      <c r="B722" s="1" t="n">
        <v>45240</v>
      </c>
      <c r="C722" s="1" t="n">
        <v>45784</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56012-2023</t>
        </is>
      </c>
      <c r="B723" s="1" t="n">
        <v>45240</v>
      </c>
      <c r="C723" s="1" t="n">
        <v>45784</v>
      </c>
      <c r="D723" t="inlineStr">
        <is>
          <t>DALARNAS LÄN</t>
        </is>
      </c>
      <c r="E723" t="inlineStr">
        <is>
          <t>MORA</t>
        </is>
      </c>
      <c r="G723" t="n">
        <v>0.3</v>
      </c>
      <c r="H723" t="n">
        <v>0</v>
      </c>
      <c r="I723" t="n">
        <v>0</v>
      </c>
      <c r="J723" t="n">
        <v>0</v>
      </c>
      <c r="K723" t="n">
        <v>0</v>
      </c>
      <c r="L723" t="n">
        <v>0</v>
      </c>
      <c r="M723" t="n">
        <v>0</v>
      </c>
      <c r="N723" t="n">
        <v>0</v>
      </c>
      <c r="O723" t="n">
        <v>0</v>
      </c>
      <c r="P723" t="n">
        <v>0</v>
      </c>
      <c r="Q723" t="n">
        <v>0</v>
      </c>
      <c r="R723" s="2" t="inlineStr"/>
    </row>
    <row r="724" ht="15" customHeight="1">
      <c r="A724" t="inlineStr">
        <is>
          <t>A 56239-2023</t>
        </is>
      </c>
      <c r="B724" s="1" t="n">
        <v>45240</v>
      </c>
      <c r="C724" s="1" t="n">
        <v>45784</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56032-2023</t>
        </is>
      </c>
      <c r="B725" s="1" t="n">
        <v>45240</v>
      </c>
      <c r="C725" s="1" t="n">
        <v>45784</v>
      </c>
      <c r="D725" t="inlineStr">
        <is>
          <t>DALARNAS LÄN</t>
        </is>
      </c>
      <c r="E725" t="inlineStr">
        <is>
          <t>MORA</t>
        </is>
      </c>
      <c r="G725" t="n">
        <v>2</v>
      </c>
      <c r="H725" t="n">
        <v>0</v>
      </c>
      <c r="I725" t="n">
        <v>0</v>
      </c>
      <c r="J725" t="n">
        <v>0</v>
      </c>
      <c r="K725" t="n">
        <v>0</v>
      </c>
      <c r="L725" t="n">
        <v>0</v>
      </c>
      <c r="M725" t="n">
        <v>0</v>
      </c>
      <c r="N725" t="n">
        <v>0</v>
      </c>
      <c r="O725" t="n">
        <v>0</v>
      </c>
      <c r="P725" t="n">
        <v>0</v>
      </c>
      <c r="Q725" t="n">
        <v>0</v>
      </c>
      <c r="R725" s="2" t="inlineStr"/>
    </row>
    <row r="726" ht="15" customHeight="1">
      <c r="A726" t="inlineStr">
        <is>
          <t>A 55977-2023</t>
        </is>
      </c>
      <c r="B726" s="1" t="n">
        <v>45240</v>
      </c>
      <c r="C726" s="1" t="n">
        <v>45784</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56009-2023</t>
        </is>
      </c>
      <c r="B727" s="1" t="n">
        <v>45240</v>
      </c>
      <c r="C727" s="1" t="n">
        <v>45784</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55984-2023</t>
        </is>
      </c>
      <c r="B728" s="1" t="n">
        <v>45240</v>
      </c>
      <c r="C728" s="1" t="n">
        <v>45784</v>
      </c>
      <c r="D728" t="inlineStr">
        <is>
          <t>DALARNAS LÄN</t>
        </is>
      </c>
      <c r="E728" t="inlineStr">
        <is>
          <t>MORA</t>
        </is>
      </c>
      <c r="G728" t="n">
        <v>5.3</v>
      </c>
      <c r="H728" t="n">
        <v>0</v>
      </c>
      <c r="I728" t="n">
        <v>0</v>
      </c>
      <c r="J728" t="n">
        <v>0</v>
      </c>
      <c r="K728" t="n">
        <v>0</v>
      </c>
      <c r="L728" t="n">
        <v>0</v>
      </c>
      <c r="M728" t="n">
        <v>0</v>
      </c>
      <c r="N728" t="n">
        <v>0</v>
      </c>
      <c r="O728" t="n">
        <v>0</v>
      </c>
      <c r="P728" t="n">
        <v>0</v>
      </c>
      <c r="Q728" t="n">
        <v>0</v>
      </c>
      <c r="R728" s="2" t="inlineStr"/>
    </row>
    <row r="729" ht="15" customHeight="1">
      <c r="A729" t="inlineStr">
        <is>
          <t>A 56711-2023</t>
        </is>
      </c>
      <c r="B729" s="1" t="n">
        <v>45244</v>
      </c>
      <c r="C729" s="1" t="n">
        <v>45784</v>
      </c>
      <c r="D729" t="inlineStr">
        <is>
          <t>DALARNAS LÄN</t>
        </is>
      </c>
      <c r="E729" t="inlineStr">
        <is>
          <t>MORA</t>
        </is>
      </c>
      <c r="G729" t="n">
        <v>4.4</v>
      </c>
      <c r="H729" t="n">
        <v>0</v>
      </c>
      <c r="I729" t="n">
        <v>0</v>
      </c>
      <c r="J729" t="n">
        <v>0</v>
      </c>
      <c r="K729" t="n">
        <v>0</v>
      </c>
      <c r="L729" t="n">
        <v>0</v>
      </c>
      <c r="M729" t="n">
        <v>0</v>
      </c>
      <c r="N729" t="n">
        <v>0</v>
      </c>
      <c r="O729" t="n">
        <v>0</v>
      </c>
      <c r="P729" t="n">
        <v>0</v>
      </c>
      <c r="Q729" t="n">
        <v>0</v>
      </c>
      <c r="R729" s="2" t="inlineStr"/>
    </row>
    <row r="730" ht="15" customHeight="1">
      <c r="A730" t="inlineStr">
        <is>
          <t>A 56767-2023</t>
        </is>
      </c>
      <c r="B730" s="1" t="n">
        <v>45244</v>
      </c>
      <c r="C730" s="1" t="n">
        <v>45784</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56934-2023</t>
        </is>
      </c>
      <c r="B731" s="1" t="n">
        <v>45244</v>
      </c>
      <c r="C731" s="1" t="n">
        <v>45784</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v>
      </c>
      <c r="C732" s="1" t="n">
        <v>45784</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57314-2023</t>
        </is>
      </c>
      <c r="B733" s="1" t="n">
        <v>45245</v>
      </c>
      <c r="C733" s="1" t="n">
        <v>45784</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57625-2023</t>
        </is>
      </c>
      <c r="B734" s="1" t="n">
        <v>45246</v>
      </c>
      <c r="C734" s="1" t="n">
        <v>45784</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57989-2023</t>
        </is>
      </c>
      <c r="B735" s="1" t="n">
        <v>45247</v>
      </c>
      <c r="C735" s="1" t="n">
        <v>45784</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57999-2023</t>
        </is>
      </c>
      <c r="B736" s="1" t="n">
        <v>45247</v>
      </c>
      <c r="C736" s="1" t="n">
        <v>45784</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58075-2023</t>
        </is>
      </c>
      <c r="B737" s="1" t="n">
        <v>45247</v>
      </c>
      <c r="C737" s="1" t="n">
        <v>45784</v>
      </c>
      <c r="D737" t="inlineStr">
        <is>
          <t>DALARNAS LÄN</t>
        </is>
      </c>
      <c r="E737" t="inlineStr">
        <is>
          <t>MORA</t>
        </is>
      </c>
      <c r="G737" t="n">
        <v>2.6</v>
      </c>
      <c r="H737" t="n">
        <v>0</v>
      </c>
      <c r="I737" t="n">
        <v>0</v>
      </c>
      <c r="J737" t="n">
        <v>0</v>
      </c>
      <c r="K737" t="n">
        <v>0</v>
      </c>
      <c r="L737" t="n">
        <v>0</v>
      </c>
      <c r="M737" t="n">
        <v>0</v>
      </c>
      <c r="N737" t="n">
        <v>0</v>
      </c>
      <c r="O737" t="n">
        <v>0</v>
      </c>
      <c r="P737" t="n">
        <v>0</v>
      </c>
      <c r="Q737" t="n">
        <v>0</v>
      </c>
      <c r="R737" s="2" t="inlineStr"/>
    </row>
    <row r="738" ht="15" customHeight="1">
      <c r="A738" t="inlineStr">
        <is>
          <t>A 57889-2023</t>
        </is>
      </c>
      <c r="B738" s="1" t="n">
        <v>45247</v>
      </c>
      <c r="C738" s="1" t="n">
        <v>45784</v>
      </c>
      <c r="D738" t="inlineStr">
        <is>
          <t>DALARNAS LÄN</t>
        </is>
      </c>
      <c r="E738" t="inlineStr">
        <is>
          <t>MORA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58972-2023</t>
        </is>
      </c>
      <c r="B739" s="1" t="n">
        <v>45252</v>
      </c>
      <c r="C739" s="1" t="n">
        <v>45784</v>
      </c>
      <c r="D739" t="inlineStr">
        <is>
          <t>DALARNAS LÄN</t>
        </is>
      </c>
      <c r="E739" t="inlineStr">
        <is>
          <t>MORA</t>
        </is>
      </c>
      <c r="G739" t="n">
        <v>0.5</v>
      </c>
      <c r="H739" t="n">
        <v>0</v>
      </c>
      <c r="I739" t="n">
        <v>0</v>
      </c>
      <c r="J739" t="n">
        <v>0</v>
      </c>
      <c r="K739" t="n">
        <v>0</v>
      </c>
      <c r="L739" t="n">
        <v>0</v>
      </c>
      <c r="M739" t="n">
        <v>0</v>
      </c>
      <c r="N739" t="n">
        <v>0</v>
      </c>
      <c r="O739" t="n">
        <v>0</v>
      </c>
      <c r="P739" t="n">
        <v>0</v>
      </c>
      <c r="Q739" t="n">
        <v>0</v>
      </c>
      <c r="R739" s="2" t="inlineStr"/>
    </row>
    <row r="740" ht="15" customHeight="1">
      <c r="A740" t="inlineStr">
        <is>
          <t>A 58977-2023</t>
        </is>
      </c>
      <c r="B740" s="1" t="n">
        <v>45252</v>
      </c>
      <c r="C740" s="1" t="n">
        <v>45784</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58892-2023</t>
        </is>
      </c>
      <c r="B741" s="1" t="n">
        <v>45252</v>
      </c>
      <c r="C741" s="1" t="n">
        <v>45784</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59168-2023</t>
        </is>
      </c>
      <c r="B742" s="1" t="n">
        <v>45253</v>
      </c>
      <c r="C742" s="1" t="n">
        <v>45784</v>
      </c>
      <c r="D742" t="inlineStr">
        <is>
          <t>DALARNAS LÄN</t>
        </is>
      </c>
      <c r="E742" t="inlineStr">
        <is>
          <t>MORA</t>
        </is>
      </c>
      <c r="G742" t="n">
        <v>1</v>
      </c>
      <c r="H742" t="n">
        <v>0</v>
      </c>
      <c r="I742" t="n">
        <v>0</v>
      </c>
      <c r="J742" t="n">
        <v>0</v>
      </c>
      <c r="K742" t="n">
        <v>0</v>
      </c>
      <c r="L742" t="n">
        <v>0</v>
      </c>
      <c r="M742" t="n">
        <v>0</v>
      </c>
      <c r="N742" t="n">
        <v>0</v>
      </c>
      <c r="O742" t="n">
        <v>0</v>
      </c>
      <c r="P742" t="n">
        <v>0</v>
      </c>
      <c r="Q742" t="n">
        <v>0</v>
      </c>
      <c r="R742" s="2" t="inlineStr"/>
    </row>
    <row r="743" ht="15" customHeight="1">
      <c r="A743" t="inlineStr">
        <is>
          <t>A 59174-2023</t>
        </is>
      </c>
      <c r="B743" s="1" t="n">
        <v>45253</v>
      </c>
      <c r="C743" s="1" t="n">
        <v>45784</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59170-2023</t>
        </is>
      </c>
      <c r="B744" s="1" t="n">
        <v>45253</v>
      </c>
      <c r="C744" s="1" t="n">
        <v>45784</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row>
    <row r="745" ht="15" customHeight="1">
      <c r="A745" t="inlineStr">
        <is>
          <t>A 59180-2023</t>
        </is>
      </c>
      <c r="B745" s="1" t="n">
        <v>45253</v>
      </c>
      <c r="C745" s="1" t="n">
        <v>45784</v>
      </c>
      <c r="D745" t="inlineStr">
        <is>
          <t>DALARNAS LÄN</t>
        </is>
      </c>
      <c r="E745" t="inlineStr">
        <is>
          <t>MORA</t>
        </is>
      </c>
      <c r="G745" t="n">
        <v>6</v>
      </c>
      <c r="H745" t="n">
        <v>0</v>
      </c>
      <c r="I745" t="n">
        <v>0</v>
      </c>
      <c r="J745" t="n">
        <v>0</v>
      </c>
      <c r="K745" t="n">
        <v>0</v>
      </c>
      <c r="L745" t="n">
        <v>0</v>
      </c>
      <c r="M745" t="n">
        <v>0</v>
      </c>
      <c r="N745" t="n">
        <v>0</v>
      </c>
      <c r="O745" t="n">
        <v>0</v>
      </c>
      <c r="P745" t="n">
        <v>0</v>
      </c>
      <c r="Q745" t="n">
        <v>0</v>
      </c>
      <c r="R745" s="2" t="inlineStr"/>
    </row>
    <row r="746" ht="15" customHeight="1">
      <c r="A746" t="inlineStr">
        <is>
          <t>A 59182-2023</t>
        </is>
      </c>
      <c r="B746" s="1" t="n">
        <v>45253</v>
      </c>
      <c r="C746" s="1" t="n">
        <v>45784</v>
      </c>
      <c r="D746" t="inlineStr">
        <is>
          <t>DALARNAS LÄN</t>
        </is>
      </c>
      <c r="E746" t="inlineStr">
        <is>
          <t>MORA</t>
        </is>
      </c>
      <c r="G746" t="n">
        <v>3.3</v>
      </c>
      <c r="H746" t="n">
        <v>0</v>
      </c>
      <c r="I746" t="n">
        <v>0</v>
      </c>
      <c r="J746" t="n">
        <v>0</v>
      </c>
      <c r="K746" t="n">
        <v>0</v>
      </c>
      <c r="L746" t="n">
        <v>0</v>
      </c>
      <c r="M746" t="n">
        <v>0</v>
      </c>
      <c r="N746" t="n">
        <v>0</v>
      </c>
      <c r="O746" t="n">
        <v>0</v>
      </c>
      <c r="P746" t="n">
        <v>0</v>
      </c>
      <c r="Q746" t="n">
        <v>0</v>
      </c>
      <c r="R746" s="2" t="inlineStr"/>
    </row>
    <row r="747" ht="15" customHeight="1">
      <c r="A747" t="inlineStr">
        <is>
          <t>A 59995-2023</t>
        </is>
      </c>
      <c r="B747" s="1" t="n">
        <v>45254</v>
      </c>
      <c r="C747" s="1" t="n">
        <v>45784</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59891-2023</t>
        </is>
      </c>
      <c r="B748" s="1" t="n">
        <v>45254</v>
      </c>
      <c r="C748" s="1" t="n">
        <v>45784</v>
      </c>
      <c r="D748" t="inlineStr">
        <is>
          <t>DALARNAS LÄN</t>
        </is>
      </c>
      <c r="E748" t="inlineStr">
        <is>
          <t>MORA</t>
        </is>
      </c>
      <c r="G748" t="n">
        <v>9</v>
      </c>
      <c r="H748" t="n">
        <v>0</v>
      </c>
      <c r="I748" t="n">
        <v>0</v>
      </c>
      <c r="J748" t="n">
        <v>0</v>
      </c>
      <c r="K748" t="n">
        <v>0</v>
      </c>
      <c r="L748" t="n">
        <v>0</v>
      </c>
      <c r="M748" t="n">
        <v>0</v>
      </c>
      <c r="N748" t="n">
        <v>0</v>
      </c>
      <c r="O748" t="n">
        <v>0</v>
      </c>
      <c r="P748" t="n">
        <v>0</v>
      </c>
      <c r="Q748" t="n">
        <v>0</v>
      </c>
      <c r="R748" s="2" t="inlineStr"/>
    </row>
    <row r="749" ht="15" customHeight="1">
      <c r="A749" t="inlineStr">
        <is>
          <t>A 59850-2023</t>
        </is>
      </c>
      <c r="B749" s="1" t="n">
        <v>45257</v>
      </c>
      <c r="C749" s="1" t="n">
        <v>45784</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59868-2023</t>
        </is>
      </c>
      <c r="B750" s="1" t="n">
        <v>45257</v>
      </c>
      <c r="C750" s="1" t="n">
        <v>45784</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60258-2023</t>
        </is>
      </c>
      <c r="B751" s="1" t="n">
        <v>45258</v>
      </c>
      <c r="C751" s="1" t="n">
        <v>45784</v>
      </c>
      <c r="D751" t="inlineStr">
        <is>
          <t>DALARNAS LÄN</t>
        </is>
      </c>
      <c r="E751" t="inlineStr">
        <is>
          <t>MORA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60360-2023</t>
        </is>
      </c>
      <c r="B752" s="1" t="n">
        <v>45259</v>
      </c>
      <c r="C752" s="1" t="n">
        <v>45784</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60526-2023</t>
        </is>
      </c>
      <c r="B753" s="1" t="n">
        <v>45259</v>
      </c>
      <c r="C753" s="1" t="n">
        <v>45784</v>
      </c>
      <c r="D753" t="inlineStr">
        <is>
          <t>DALARNAS LÄN</t>
        </is>
      </c>
      <c r="E753" t="inlineStr">
        <is>
          <t>MORA</t>
        </is>
      </c>
      <c r="G753" t="n">
        <v>6.7</v>
      </c>
      <c r="H753" t="n">
        <v>0</v>
      </c>
      <c r="I753" t="n">
        <v>0</v>
      </c>
      <c r="J753" t="n">
        <v>0</v>
      </c>
      <c r="K753" t="n">
        <v>0</v>
      </c>
      <c r="L753" t="n">
        <v>0</v>
      </c>
      <c r="M753" t="n">
        <v>0</v>
      </c>
      <c r="N753" t="n">
        <v>0</v>
      </c>
      <c r="O753" t="n">
        <v>0</v>
      </c>
      <c r="P753" t="n">
        <v>0</v>
      </c>
      <c r="Q753" t="n">
        <v>0</v>
      </c>
      <c r="R753" s="2" t="inlineStr"/>
    </row>
    <row r="754" ht="15" customHeight="1">
      <c r="A754" t="inlineStr">
        <is>
          <t>A 60428-2023</t>
        </is>
      </c>
      <c r="B754" s="1" t="n">
        <v>45259</v>
      </c>
      <c r="C754" s="1" t="n">
        <v>45784</v>
      </c>
      <c r="D754" t="inlineStr">
        <is>
          <t>DALARNAS LÄN</t>
        </is>
      </c>
      <c r="E754" t="inlineStr">
        <is>
          <t>MORA</t>
        </is>
      </c>
      <c r="G754" t="n">
        <v>4.9</v>
      </c>
      <c r="H754" t="n">
        <v>0</v>
      </c>
      <c r="I754" t="n">
        <v>0</v>
      </c>
      <c r="J754" t="n">
        <v>0</v>
      </c>
      <c r="K754" t="n">
        <v>0</v>
      </c>
      <c r="L754" t="n">
        <v>0</v>
      </c>
      <c r="M754" t="n">
        <v>0</v>
      </c>
      <c r="N754" t="n">
        <v>0</v>
      </c>
      <c r="O754" t="n">
        <v>0</v>
      </c>
      <c r="P754" t="n">
        <v>0</v>
      </c>
      <c r="Q754" t="n">
        <v>0</v>
      </c>
      <c r="R754" s="2" t="inlineStr"/>
    </row>
    <row r="755" ht="15" customHeight="1">
      <c r="A755" t="inlineStr">
        <is>
          <t>A 60465-2023</t>
        </is>
      </c>
      <c r="B755" s="1" t="n">
        <v>45259</v>
      </c>
      <c r="C755" s="1" t="n">
        <v>45784</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60666-2023</t>
        </is>
      </c>
      <c r="B756" s="1" t="n">
        <v>45260</v>
      </c>
      <c r="C756" s="1" t="n">
        <v>45784</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60674-2023</t>
        </is>
      </c>
      <c r="B757" s="1" t="n">
        <v>45260</v>
      </c>
      <c r="C757" s="1" t="n">
        <v>45784</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60673-2023</t>
        </is>
      </c>
      <c r="B758" s="1" t="n">
        <v>45260</v>
      </c>
      <c r="C758" s="1" t="n">
        <v>45784</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60715-2023</t>
        </is>
      </c>
      <c r="B759" s="1" t="n">
        <v>45260</v>
      </c>
      <c r="C759" s="1" t="n">
        <v>45784</v>
      </c>
      <c r="D759" t="inlineStr">
        <is>
          <t>DALARNAS LÄN</t>
        </is>
      </c>
      <c r="E759" t="inlineStr">
        <is>
          <t>MORA</t>
        </is>
      </c>
      <c r="G759" t="n">
        <v>1.7</v>
      </c>
      <c r="H759" t="n">
        <v>0</v>
      </c>
      <c r="I759" t="n">
        <v>0</v>
      </c>
      <c r="J759" t="n">
        <v>0</v>
      </c>
      <c r="K759" t="n">
        <v>0</v>
      </c>
      <c r="L759" t="n">
        <v>0</v>
      </c>
      <c r="M759" t="n">
        <v>0</v>
      </c>
      <c r="N759" t="n">
        <v>0</v>
      </c>
      <c r="O759" t="n">
        <v>0</v>
      </c>
      <c r="P759" t="n">
        <v>0</v>
      </c>
      <c r="Q759" t="n">
        <v>0</v>
      </c>
      <c r="R759" s="2" t="inlineStr"/>
    </row>
    <row r="760" ht="15" customHeight="1">
      <c r="A760" t="inlineStr">
        <is>
          <t>A 60718-2023</t>
        </is>
      </c>
      <c r="B760" s="1" t="n">
        <v>45260</v>
      </c>
      <c r="C760" s="1" t="n">
        <v>45784</v>
      </c>
      <c r="D760" t="inlineStr">
        <is>
          <t>DALARNAS LÄN</t>
        </is>
      </c>
      <c r="E760" t="inlineStr">
        <is>
          <t>MORA</t>
        </is>
      </c>
      <c r="G760" t="n">
        <v>2.6</v>
      </c>
      <c r="H760" t="n">
        <v>0</v>
      </c>
      <c r="I760" t="n">
        <v>0</v>
      </c>
      <c r="J760" t="n">
        <v>0</v>
      </c>
      <c r="K760" t="n">
        <v>0</v>
      </c>
      <c r="L760" t="n">
        <v>0</v>
      </c>
      <c r="M760" t="n">
        <v>0</v>
      </c>
      <c r="N760" t="n">
        <v>0</v>
      </c>
      <c r="O760" t="n">
        <v>0</v>
      </c>
      <c r="P760" t="n">
        <v>0</v>
      </c>
      <c r="Q760" t="n">
        <v>0</v>
      </c>
      <c r="R760" s="2" t="inlineStr"/>
    </row>
    <row r="761" ht="15" customHeight="1">
      <c r="A761" t="inlineStr">
        <is>
          <t>A 61249-2023</t>
        </is>
      </c>
      <c r="B761" s="1" t="n">
        <v>45264</v>
      </c>
      <c r="C761" s="1" t="n">
        <v>45784</v>
      </c>
      <c r="D761" t="inlineStr">
        <is>
          <t>DALARNAS LÄN</t>
        </is>
      </c>
      <c r="E761" t="inlineStr">
        <is>
          <t>MORA</t>
        </is>
      </c>
      <c r="F761" t="inlineStr">
        <is>
          <t>Allmännings- och besparingsskogar</t>
        </is>
      </c>
      <c r="G761" t="n">
        <v>1.7</v>
      </c>
      <c r="H761" t="n">
        <v>0</v>
      </c>
      <c r="I761" t="n">
        <v>0</v>
      </c>
      <c r="J761" t="n">
        <v>0</v>
      </c>
      <c r="K761" t="n">
        <v>0</v>
      </c>
      <c r="L761" t="n">
        <v>0</v>
      </c>
      <c r="M761" t="n">
        <v>0</v>
      </c>
      <c r="N761" t="n">
        <v>0</v>
      </c>
      <c r="O761" t="n">
        <v>0</v>
      </c>
      <c r="P761" t="n">
        <v>0</v>
      </c>
      <c r="Q761" t="n">
        <v>0</v>
      </c>
      <c r="R761" s="2" t="inlineStr"/>
    </row>
    <row r="762" ht="15" customHeight="1">
      <c r="A762" t="inlineStr">
        <is>
          <t>A 61405-2023</t>
        </is>
      </c>
      <c r="B762" s="1" t="n">
        <v>45264</v>
      </c>
      <c r="C762" s="1" t="n">
        <v>45784</v>
      </c>
      <c r="D762" t="inlineStr">
        <is>
          <t>DALARNAS LÄN</t>
        </is>
      </c>
      <c r="E762" t="inlineStr">
        <is>
          <t>MORA</t>
        </is>
      </c>
      <c r="G762" t="n">
        <v>0.4</v>
      </c>
      <c r="H762" t="n">
        <v>0</v>
      </c>
      <c r="I762" t="n">
        <v>0</v>
      </c>
      <c r="J762" t="n">
        <v>0</v>
      </c>
      <c r="K762" t="n">
        <v>0</v>
      </c>
      <c r="L762" t="n">
        <v>0</v>
      </c>
      <c r="M762" t="n">
        <v>0</v>
      </c>
      <c r="N762" t="n">
        <v>0</v>
      </c>
      <c r="O762" t="n">
        <v>0</v>
      </c>
      <c r="P762" t="n">
        <v>0</v>
      </c>
      <c r="Q762" t="n">
        <v>0</v>
      </c>
      <c r="R762" s="2" t="inlineStr"/>
    </row>
    <row r="763" ht="15" customHeight="1">
      <c r="A763" t="inlineStr">
        <is>
          <t>A 61273-2023</t>
        </is>
      </c>
      <c r="B763" s="1" t="n">
        <v>45264</v>
      </c>
      <c r="C763" s="1" t="n">
        <v>45784</v>
      </c>
      <c r="D763" t="inlineStr">
        <is>
          <t>DALARNAS LÄN</t>
        </is>
      </c>
      <c r="E763" t="inlineStr">
        <is>
          <t>MORA</t>
        </is>
      </c>
      <c r="G763" t="n">
        <v>0.8</v>
      </c>
      <c r="H763" t="n">
        <v>0</v>
      </c>
      <c r="I763" t="n">
        <v>0</v>
      </c>
      <c r="J763" t="n">
        <v>0</v>
      </c>
      <c r="K763" t="n">
        <v>0</v>
      </c>
      <c r="L763" t="n">
        <v>0</v>
      </c>
      <c r="M763" t="n">
        <v>0</v>
      </c>
      <c r="N763" t="n">
        <v>0</v>
      </c>
      <c r="O763" t="n">
        <v>0</v>
      </c>
      <c r="P763" t="n">
        <v>0</v>
      </c>
      <c r="Q763" t="n">
        <v>0</v>
      </c>
      <c r="R763" s="2" t="inlineStr"/>
    </row>
    <row r="764" ht="15" customHeight="1">
      <c r="A764" t="inlineStr">
        <is>
          <t>A 61217-2023</t>
        </is>
      </c>
      <c r="B764" s="1" t="n">
        <v>45264</v>
      </c>
      <c r="C764" s="1" t="n">
        <v>45784</v>
      </c>
      <c r="D764" t="inlineStr">
        <is>
          <t>DALARNAS LÄN</t>
        </is>
      </c>
      <c r="E764" t="inlineStr">
        <is>
          <t>MORA</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61261-2023</t>
        </is>
      </c>
      <c r="B765" s="1" t="n">
        <v>45264</v>
      </c>
      <c r="C765" s="1" t="n">
        <v>45784</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61270-2023</t>
        </is>
      </c>
      <c r="B766" s="1" t="n">
        <v>45264</v>
      </c>
      <c r="C766" s="1" t="n">
        <v>45784</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61392-2023</t>
        </is>
      </c>
      <c r="B767" s="1" t="n">
        <v>45264</v>
      </c>
      <c r="C767" s="1" t="n">
        <v>45784</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61209-2023</t>
        </is>
      </c>
      <c r="B768" s="1" t="n">
        <v>45264</v>
      </c>
      <c r="C768" s="1" t="n">
        <v>45784</v>
      </c>
      <c r="D768" t="inlineStr">
        <is>
          <t>DALARNAS LÄN</t>
        </is>
      </c>
      <c r="E768" t="inlineStr">
        <is>
          <t>MORA</t>
        </is>
      </c>
      <c r="F768" t="inlineStr">
        <is>
          <t>Bergvik skog öst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61218-2023</t>
        </is>
      </c>
      <c r="B769" s="1" t="n">
        <v>45264</v>
      </c>
      <c r="C769" s="1" t="n">
        <v>45784</v>
      </c>
      <c r="D769" t="inlineStr">
        <is>
          <t>DALARNAS LÄN</t>
        </is>
      </c>
      <c r="E769" t="inlineStr">
        <is>
          <t>MORA</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61222-2023</t>
        </is>
      </c>
      <c r="B770" s="1" t="n">
        <v>45264</v>
      </c>
      <c r="C770" s="1" t="n">
        <v>45784</v>
      </c>
      <c r="D770" t="inlineStr">
        <is>
          <t>DALARNAS LÄN</t>
        </is>
      </c>
      <c r="E770" t="inlineStr">
        <is>
          <t>MORA</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61425-2023</t>
        </is>
      </c>
      <c r="B771" s="1" t="n">
        <v>45264</v>
      </c>
      <c r="C771" s="1" t="n">
        <v>45784</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61529-2023</t>
        </is>
      </c>
      <c r="B772" s="1" t="n">
        <v>45265</v>
      </c>
      <c r="C772" s="1" t="n">
        <v>45784</v>
      </c>
      <c r="D772" t="inlineStr">
        <is>
          <t>DALARNAS LÄN</t>
        </is>
      </c>
      <c r="E772" t="inlineStr">
        <is>
          <t>MORA</t>
        </is>
      </c>
      <c r="G772" t="n">
        <v>29.6</v>
      </c>
      <c r="H772" t="n">
        <v>0</v>
      </c>
      <c r="I772" t="n">
        <v>0</v>
      </c>
      <c r="J772" t="n">
        <v>0</v>
      </c>
      <c r="K772" t="n">
        <v>0</v>
      </c>
      <c r="L772" t="n">
        <v>0</v>
      </c>
      <c r="M772" t="n">
        <v>0</v>
      </c>
      <c r="N772" t="n">
        <v>0</v>
      </c>
      <c r="O772" t="n">
        <v>0</v>
      </c>
      <c r="P772" t="n">
        <v>0</v>
      </c>
      <c r="Q772" t="n">
        <v>0</v>
      </c>
      <c r="R772" s="2" t="inlineStr"/>
    </row>
    <row r="773" ht="15" customHeight="1">
      <c r="A773" t="inlineStr">
        <is>
          <t>A 61990-2023</t>
        </is>
      </c>
      <c r="B773" s="1" t="n">
        <v>45265</v>
      </c>
      <c r="C773" s="1" t="n">
        <v>45784</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61998-2023</t>
        </is>
      </c>
      <c r="B774" s="1" t="n">
        <v>45265</v>
      </c>
      <c r="C774" s="1" t="n">
        <v>45784</v>
      </c>
      <c r="D774" t="inlineStr">
        <is>
          <t>DALARNAS LÄN</t>
        </is>
      </c>
      <c r="E774" t="inlineStr">
        <is>
          <t>MORA</t>
        </is>
      </c>
      <c r="G774" t="n">
        <v>2.2</v>
      </c>
      <c r="H774" t="n">
        <v>0</v>
      </c>
      <c r="I774" t="n">
        <v>0</v>
      </c>
      <c r="J774" t="n">
        <v>0</v>
      </c>
      <c r="K774" t="n">
        <v>0</v>
      </c>
      <c r="L774" t="n">
        <v>0</v>
      </c>
      <c r="M774" t="n">
        <v>0</v>
      </c>
      <c r="N774" t="n">
        <v>0</v>
      </c>
      <c r="O774" t="n">
        <v>0</v>
      </c>
      <c r="P774" t="n">
        <v>0</v>
      </c>
      <c r="Q774" t="n">
        <v>0</v>
      </c>
      <c r="R774" s="2" t="inlineStr"/>
    </row>
    <row r="775" ht="15" customHeight="1">
      <c r="A775" t="inlineStr">
        <is>
          <t>A 61922-2023</t>
        </is>
      </c>
      <c r="B775" s="1" t="n">
        <v>45266</v>
      </c>
      <c r="C775" s="1" t="n">
        <v>45784</v>
      </c>
      <c r="D775" t="inlineStr">
        <is>
          <t>DALARNAS LÄN</t>
        </is>
      </c>
      <c r="E775" t="inlineStr">
        <is>
          <t>MORA</t>
        </is>
      </c>
      <c r="G775" t="n">
        <v>4.9</v>
      </c>
      <c r="H775" t="n">
        <v>0</v>
      </c>
      <c r="I775" t="n">
        <v>0</v>
      </c>
      <c r="J775" t="n">
        <v>0</v>
      </c>
      <c r="K775" t="n">
        <v>0</v>
      </c>
      <c r="L775" t="n">
        <v>0</v>
      </c>
      <c r="M775" t="n">
        <v>0</v>
      </c>
      <c r="N775" t="n">
        <v>0</v>
      </c>
      <c r="O775" t="n">
        <v>0</v>
      </c>
      <c r="P775" t="n">
        <v>0</v>
      </c>
      <c r="Q775" t="n">
        <v>0</v>
      </c>
      <c r="R775" s="2" t="inlineStr"/>
    </row>
    <row r="776" ht="15" customHeight="1">
      <c r="A776" t="inlineStr">
        <is>
          <t>A 62246-2023</t>
        </is>
      </c>
      <c r="B776" s="1" t="n">
        <v>45266</v>
      </c>
      <c r="C776" s="1" t="n">
        <v>45784</v>
      </c>
      <c r="D776" t="inlineStr">
        <is>
          <t>DALARNAS LÄN</t>
        </is>
      </c>
      <c r="E776" t="inlineStr">
        <is>
          <t>MORA</t>
        </is>
      </c>
      <c r="G776" t="n">
        <v>10.7</v>
      </c>
      <c r="H776" t="n">
        <v>0</v>
      </c>
      <c r="I776" t="n">
        <v>0</v>
      </c>
      <c r="J776" t="n">
        <v>0</v>
      </c>
      <c r="K776" t="n">
        <v>0</v>
      </c>
      <c r="L776" t="n">
        <v>0</v>
      </c>
      <c r="M776" t="n">
        <v>0</v>
      </c>
      <c r="N776" t="n">
        <v>0</v>
      </c>
      <c r="O776" t="n">
        <v>0</v>
      </c>
      <c r="P776" t="n">
        <v>0</v>
      </c>
      <c r="Q776" t="n">
        <v>0</v>
      </c>
      <c r="R776" s="2" t="inlineStr"/>
    </row>
    <row r="777" ht="15" customHeight="1">
      <c r="A777" t="inlineStr">
        <is>
          <t>A 62660-2023</t>
        </is>
      </c>
      <c r="B777" s="1" t="n">
        <v>45271</v>
      </c>
      <c r="C777" s="1" t="n">
        <v>45784</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62853-2023</t>
        </is>
      </c>
      <c r="B778" s="1" t="n">
        <v>45272</v>
      </c>
      <c r="C778" s="1" t="n">
        <v>45784</v>
      </c>
      <c r="D778" t="inlineStr">
        <is>
          <t>DALARNAS LÄN</t>
        </is>
      </c>
      <c r="E778" t="inlineStr">
        <is>
          <t>MORA</t>
        </is>
      </c>
      <c r="G778" t="n">
        <v>13.6</v>
      </c>
      <c r="H778" t="n">
        <v>0</v>
      </c>
      <c r="I778" t="n">
        <v>0</v>
      </c>
      <c r="J778" t="n">
        <v>0</v>
      </c>
      <c r="K778" t="n">
        <v>0</v>
      </c>
      <c r="L778" t="n">
        <v>0</v>
      </c>
      <c r="M778" t="n">
        <v>0</v>
      </c>
      <c r="N778" t="n">
        <v>0</v>
      </c>
      <c r="O778" t="n">
        <v>0</v>
      </c>
      <c r="P778" t="n">
        <v>0</v>
      </c>
      <c r="Q778" t="n">
        <v>0</v>
      </c>
      <c r="R778" s="2" t="inlineStr"/>
    </row>
    <row r="779" ht="15" customHeight="1">
      <c r="A779" t="inlineStr">
        <is>
          <t>A 62854-2023</t>
        </is>
      </c>
      <c r="B779" s="1" t="n">
        <v>45272</v>
      </c>
      <c r="C779" s="1" t="n">
        <v>45784</v>
      </c>
      <c r="D779" t="inlineStr">
        <is>
          <t>DALARNAS LÄN</t>
        </is>
      </c>
      <c r="E779" t="inlineStr">
        <is>
          <t>MORA</t>
        </is>
      </c>
      <c r="G779" t="n">
        <v>11.3</v>
      </c>
      <c r="H779" t="n">
        <v>0</v>
      </c>
      <c r="I779" t="n">
        <v>0</v>
      </c>
      <c r="J779" t="n">
        <v>0</v>
      </c>
      <c r="K779" t="n">
        <v>0</v>
      </c>
      <c r="L779" t="n">
        <v>0</v>
      </c>
      <c r="M779" t="n">
        <v>0</v>
      </c>
      <c r="N779" t="n">
        <v>0</v>
      </c>
      <c r="O779" t="n">
        <v>0</v>
      </c>
      <c r="P779" t="n">
        <v>0</v>
      </c>
      <c r="Q779" t="n">
        <v>0</v>
      </c>
      <c r="R779" s="2" t="inlineStr"/>
    </row>
    <row r="780" ht="15" customHeight="1">
      <c r="A780" t="inlineStr">
        <is>
          <t>A 63168-2023</t>
        </is>
      </c>
      <c r="B780" s="1" t="n">
        <v>45273</v>
      </c>
      <c r="C780" s="1" t="n">
        <v>45784</v>
      </c>
      <c r="D780" t="inlineStr">
        <is>
          <t>DALARNAS LÄN</t>
        </is>
      </c>
      <c r="E780" t="inlineStr">
        <is>
          <t>MORA</t>
        </is>
      </c>
      <c r="G780" t="n">
        <v>4</v>
      </c>
      <c r="H780" t="n">
        <v>0</v>
      </c>
      <c r="I780" t="n">
        <v>0</v>
      </c>
      <c r="J780" t="n">
        <v>0</v>
      </c>
      <c r="K780" t="n">
        <v>0</v>
      </c>
      <c r="L780" t="n">
        <v>0</v>
      </c>
      <c r="M780" t="n">
        <v>0</v>
      </c>
      <c r="N780" t="n">
        <v>0</v>
      </c>
      <c r="O780" t="n">
        <v>0</v>
      </c>
      <c r="P780" t="n">
        <v>0</v>
      </c>
      <c r="Q780" t="n">
        <v>0</v>
      </c>
      <c r="R780" s="2" t="inlineStr"/>
    </row>
    <row r="781" ht="15" customHeight="1">
      <c r="A781" t="inlineStr">
        <is>
          <t>A 63958-2023</t>
        </is>
      </c>
      <c r="B781" s="1" t="n">
        <v>45278</v>
      </c>
      <c r="C781" s="1" t="n">
        <v>45784</v>
      </c>
      <c r="D781" t="inlineStr">
        <is>
          <t>DALARNAS LÄN</t>
        </is>
      </c>
      <c r="E781" t="inlineStr">
        <is>
          <t>MORA</t>
        </is>
      </c>
      <c r="G781" t="n">
        <v>1.9</v>
      </c>
      <c r="H781" t="n">
        <v>0</v>
      </c>
      <c r="I781" t="n">
        <v>0</v>
      </c>
      <c r="J781" t="n">
        <v>0</v>
      </c>
      <c r="K781" t="n">
        <v>0</v>
      </c>
      <c r="L781" t="n">
        <v>0</v>
      </c>
      <c r="M781" t="n">
        <v>0</v>
      </c>
      <c r="N781" t="n">
        <v>0</v>
      </c>
      <c r="O781" t="n">
        <v>0</v>
      </c>
      <c r="P781" t="n">
        <v>0</v>
      </c>
      <c r="Q781" t="n">
        <v>0</v>
      </c>
      <c r="R781" s="2" t="inlineStr"/>
    </row>
    <row r="782" ht="15" customHeight="1">
      <c r="A782" t="inlineStr">
        <is>
          <t>A 64099-2023</t>
        </is>
      </c>
      <c r="B782" s="1" t="n">
        <v>45279</v>
      </c>
      <c r="C782" s="1" t="n">
        <v>45784</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64088-2023</t>
        </is>
      </c>
      <c r="B783" s="1" t="n">
        <v>45279</v>
      </c>
      <c r="C783" s="1" t="n">
        <v>45784</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64093-2023</t>
        </is>
      </c>
      <c r="B784" s="1" t="n">
        <v>45279</v>
      </c>
      <c r="C784" s="1" t="n">
        <v>45784</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64327-2023</t>
        </is>
      </c>
      <c r="B785" s="1" t="n">
        <v>45280</v>
      </c>
      <c r="C785" s="1" t="n">
        <v>45784</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439-2024</t>
        </is>
      </c>
      <c r="B786" s="1" t="n">
        <v>45296</v>
      </c>
      <c r="C786" s="1" t="n">
        <v>45784</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442-2024</t>
        </is>
      </c>
      <c r="B787" s="1" t="n">
        <v>45296</v>
      </c>
      <c r="C787" s="1" t="n">
        <v>45784</v>
      </c>
      <c r="D787" t="inlineStr">
        <is>
          <t>DALARNAS LÄN</t>
        </is>
      </c>
      <c r="E787" t="inlineStr">
        <is>
          <t>MORA</t>
        </is>
      </c>
      <c r="G787" t="n">
        <v>0.5</v>
      </c>
      <c r="H787" t="n">
        <v>0</v>
      </c>
      <c r="I787" t="n">
        <v>0</v>
      </c>
      <c r="J787" t="n">
        <v>0</v>
      </c>
      <c r="K787" t="n">
        <v>0</v>
      </c>
      <c r="L787" t="n">
        <v>0</v>
      </c>
      <c r="M787" t="n">
        <v>0</v>
      </c>
      <c r="N787" t="n">
        <v>0</v>
      </c>
      <c r="O787" t="n">
        <v>0</v>
      </c>
      <c r="P787" t="n">
        <v>0</v>
      </c>
      <c r="Q787" t="n">
        <v>0</v>
      </c>
      <c r="R787" s="2" t="inlineStr"/>
    </row>
    <row r="788" ht="15" customHeight="1">
      <c r="A788" t="inlineStr">
        <is>
          <t>A 437-2024</t>
        </is>
      </c>
      <c r="B788" s="1" t="n">
        <v>45296</v>
      </c>
      <c r="C788" s="1" t="n">
        <v>45784</v>
      </c>
      <c r="D788" t="inlineStr">
        <is>
          <t>DALARNAS LÄN</t>
        </is>
      </c>
      <c r="E788" t="inlineStr">
        <is>
          <t>MORA</t>
        </is>
      </c>
      <c r="G788" t="n">
        <v>1.6</v>
      </c>
      <c r="H788" t="n">
        <v>0</v>
      </c>
      <c r="I788" t="n">
        <v>0</v>
      </c>
      <c r="J788" t="n">
        <v>0</v>
      </c>
      <c r="K788" t="n">
        <v>0</v>
      </c>
      <c r="L788" t="n">
        <v>0</v>
      </c>
      <c r="M788" t="n">
        <v>0</v>
      </c>
      <c r="N788" t="n">
        <v>0</v>
      </c>
      <c r="O788" t="n">
        <v>0</v>
      </c>
      <c r="P788" t="n">
        <v>0</v>
      </c>
      <c r="Q788" t="n">
        <v>0</v>
      </c>
      <c r="R788" s="2" t="inlineStr"/>
    </row>
    <row r="789" ht="15" customHeight="1">
      <c r="A789" t="inlineStr">
        <is>
          <t>A 501-2024</t>
        </is>
      </c>
      <c r="B789" s="1" t="n">
        <v>45299</v>
      </c>
      <c r="C789" s="1" t="n">
        <v>45784</v>
      </c>
      <c r="D789" t="inlineStr">
        <is>
          <t>DALARNAS LÄN</t>
        </is>
      </c>
      <c r="E789" t="inlineStr">
        <is>
          <t>MORA</t>
        </is>
      </c>
      <c r="G789" t="n">
        <v>2.5</v>
      </c>
      <c r="H789" t="n">
        <v>0</v>
      </c>
      <c r="I789" t="n">
        <v>0</v>
      </c>
      <c r="J789" t="n">
        <v>0</v>
      </c>
      <c r="K789" t="n">
        <v>0</v>
      </c>
      <c r="L789" t="n">
        <v>0</v>
      </c>
      <c r="M789" t="n">
        <v>0</v>
      </c>
      <c r="N789" t="n">
        <v>0</v>
      </c>
      <c r="O789" t="n">
        <v>0</v>
      </c>
      <c r="P789" t="n">
        <v>0</v>
      </c>
      <c r="Q789" t="n">
        <v>0</v>
      </c>
      <c r="R789" s="2" t="inlineStr"/>
    </row>
    <row r="790" ht="15" customHeight="1">
      <c r="A790" t="inlineStr">
        <is>
          <t>A 571-2024</t>
        </is>
      </c>
      <c r="B790" s="1" t="n">
        <v>45299</v>
      </c>
      <c r="C790" s="1" t="n">
        <v>45784</v>
      </c>
      <c r="D790" t="inlineStr">
        <is>
          <t>DALARNAS LÄN</t>
        </is>
      </c>
      <c r="E790" t="inlineStr">
        <is>
          <t>MORA</t>
        </is>
      </c>
      <c r="G790" t="n">
        <v>3.3</v>
      </c>
      <c r="H790" t="n">
        <v>0</v>
      </c>
      <c r="I790" t="n">
        <v>0</v>
      </c>
      <c r="J790" t="n">
        <v>0</v>
      </c>
      <c r="K790" t="n">
        <v>0</v>
      </c>
      <c r="L790" t="n">
        <v>0</v>
      </c>
      <c r="M790" t="n">
        <v>0</v>
      </c>
      <c r="N790" t="n">
        <v>0</v>
      </c>
      <c r="O790" t="n">
        <v>0</v>
      </c>
      <c r="P790" t="n">
        <v>0</v>
      </c>
      <c r="Q790" t="n">
        <v>0</v>
      </c>
      <c r="R790" s="2" t="inlineStr"/>
    </row>
    <row r="791" ht="15" customHeight="1">
      <c r="A791" t="inlineStr">
        <is>
          <t>A 573-2024</t>
        </is>
      </c>
      <c r="B791" s="1" t="n">
        <v>45299</v>
      </c>
      <c r="C791" s="1" t="n">
        <v>45784</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2084-2024</t>
        </is>
      </c>
      <c r="B792" s="1" t="n">
        <v>45309</v>
      </c>
      <c r="C792" s="1" t="n">
        <v>45784</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2276-2024</t>
        </is>
      </c>
      <c r="B793" s="1" t="n">
        <v>45310</v>
      </c>
      <c r="C793" s="1" t="n">
        <v>45784</v>
      </c>
      <c r="D793" t="inlineStr">
        <is>
          <t>DALARNAS LÄN</t>
        </is>
      </c>
      <c r="E793" t="inlineStr">
        <is>
          <t>MORA</t>
        </is>
      </c>
      <c r="G793" t="n">
        <v>3.7</v>
      </c>
      <c r="H793" t="n">
        <v>0</v>
      </c>
      <c r="I793" t="n">
        <v>0</v>
      </c>
      <c r="J793" t="n">
        <v>0</v>
      </c>
      <c r="K793" t="n">
        <v>0</v>
      </c>
      <c r="L793" t="n">
        <v>0</v>
      </c>
      <c r="M793" t="n">
        <v>0</v>
      </c>
      <c r="N793" t="n">
        <v>0</v>
      </c>
      <c r="O793" t="n">
        <v>0</v>
      </c>
      <c r="P793" t="n">
        <v>0</v>
      </c>
      <c r="Q793" t="n">
        <v>0</v>
      </c>
      <c r="R793" s="2" t="inlineStr"/>
    </row>
    <row r="794" ht="15" customHeight="1">
      <c r="A794" t="inlineStr">
        <is>
          <t>A 2292-2024</t>
        </is>
      </c>
      <c r="B794" s="1" t="n">
        <v>45310</v>
      </c>
      <c r="C794" s="1" t="n">
        <v>45784</v>
      </c>
      <c r="D794" t="inlineStr">
        <is>
          <t>DALARNAS LÄN</t>
        </is>
      </c>
      <c r="E794" t="inlineStr">
        <is>
          <t>MORA</t>
        </is>
      </c>
      <c r="G794" t="n">
        <v>2.9</v>
      </c>
      <c r="H794" t="n">
        <v>0</v>
      </c>
      <c r="I794" t="n">
        <v>0</v>
      </c>
      <c r="J794" t="n">
        <v>0</v>
      </c>
      <c r="K794" t="n">
        <v>0</v>
      </c>
      <c r="L794" t="n">
        <v>0</v>
      </c>
      <c r="M794" t="n">
        <v>0</v>
      </c>
      <c r="N794" t="n">
        <v>0</v>
      </c>
      <c r="O794" t="n">
        <v>0</v>
      </c>
      <c r="P794" t="n">
        <v>0</v>
      </c>
      <c r="Q794" t="n">
        <v>0</v>
      </c>
      <c r="R794" s="2" t="inlineStr"/>
    </row>
    <row r="795" ht="15" customHeight="1">
      <c r="A795" t="inlineStr">
        <is>
          <t>A 3107-2024</t>
        </is>
      </c>
      <c r="B795" s="1" t="n">
        <v>45316</v>
      </c>
      <c r="C795" s="1" t="n">
        <v>45784</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3219-2024</t>
        </is>
      </c>
      <c r="B796" s="1" t="n">
        <v>45316</v>
      </c>
      <c r="C796" s="1" t="n">
        <v>45784</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3322-2024</t>
        </is>
      </c>
      <c r="B797" s="1" t="n">
        <v>45317</v>
      </c>
      <c r="C797" s="1" t="n">
        <v>45784</v>
      </c>
      <c r="D797" t="inlineStr">
        <is>
          <t>DALARNAS LÄN</t>
        </is>
      </c>
      <c r="E797" t="inlineStr">
        <is>
          <t>MORA</t>
        </is>
      </c>
      <c r="G797" t="n">
        <v>3.8</v>
      </c>
      <c r="H797" t="n">
        <v>0</v>
      </c>
      <c r="I797" t="n">
        <v>0</v>
      </c>
      <c r="J797" t="n">
        <v>0</v>
      </c>
      <c r="K797" t="n">
        <v>0</v>
      </c>
      <c r="L797" t="n">
        <v>0</v>
      </c>
      <c r="M797" t="n">
        <v>0</v>
      </c>
      <c r="N797" t="n">
        <v>0</v>
      </c>
      <c r="O797" t="n">
        <v>0</v>
      </c>
      <c r="P797" t="n">
        <v>0</v>
      </c>
      <c r="Q797" t="n">
        <v>0</v>
      </c>
      <c r="R797" s="2" t="inlineStr"/>
    </row>
    <row r="798" ht="15" customHeight="1">
      <c r="A798" t="inlineStr">
        <is>
          <t>A 3531-2024</t>
        </is>
      </c>
      <c r="B798" s="1" t="n">
        <v>45320</v>
      </c>
      <c r="C798" s="1" t="n">
        <v>45784</v>
      </c>
      <c r="D798" t="inlineStr">
        <is>
          <t>DALARNAS LÄN</t>
        </is>
      </c>
      <c r="E798" t="inlineStr">
        <is>
          <t>MORA</t>
        </is>
      </c>
      <c r="G798" t="n">
        <v>1.4</v>
      </c>
      <c r="H798" t="n">
        <v>0</v>
      </c>
      <c r="I798" t="n">
        <v>0</v>
      </c>
      <c r="J798" t="n">
        <v>0</v>
      </c>
      <c r="K798" t="n">
        <v>0</v>
      </c>
      <c r="L798" t="n">
        <v>0</v>
      </c>
      <c r="M798" t="n">
        <v>0</v>
      </c>
      <c r="N798" t="n">
        <v>0</v>
      </c>
      <c r="O798" t="n">
        <v>0</v>
      </c>
      <c r="P798" t="n">
        <v>0</v>
      </c>
      <c r="Q798" t="n">
        <v>0</v>
      </c>
      <c r="R798" s="2" t="inlineStr"/>
      <c r="U798">
        <f>HYPERLINK("https://klasma.github.io/Logging_2062/knärot/A 3531-2024 karta knärot.png", "A 3531-2024")</f>
        <v/>
      </c>
      <c r="V798">
        <f>HYPERLINK("https://klasma.github.io/Logging_2062/klagomål/A 3531-2024 FSC-klagomål.docx", "A 3531-2024")</f>
        <v/>
      </c>
      <c r="W798">
        <f>HYPERLINK("https://klasma.github.io/Logging_2062/klagomålsmail/A 3531-2024 FSC-klagomål mail.docx", "A 3531-2024")</f>
        <v/>
      </c>
      <c r="X798">
        <f>HYPERLINK("https://klasma.github.io/Logging_2062/tillsyn/A 3531-2024 tillsynsbegäran.docx", "A 3531-2024")</f>
        <v/>
      </c>
      <c r="Y798">
        <f>HYPERLINK("https://klasma.github.io/Logging_2062/tillsynsmail/A 3531-2024 tillsynsbegäran mail.docx", "A 3531-2024")</f>
        <v/>
      </c>
    </row>
    <row r="799" ht="15" customHeight="1">
      <c r="A799" t="inlineStr">
        <is>
          <t>A 4479-2024</t>
        </is>
      </c>
      <c r="B799" s="1" t="n">
        <v>45327</v>
      </c>
      <c r="C799" s="1" t="n">
        <v>45784</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4773-2024</t>
        </is>
      </c>
      <c r="B800" s="1" t="n">
        <v>45328</v>
      </c>
      <c r="C800" s="1" t="n">
        <v>45784</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5217-2024</t>
        </is>
      </c>
      <c r="B801" s="1" t="n">
        <v>45330</v>
      </c>
      <c r="C801" s="1" t="n">
        <v>45784</v>
      </c>
      <c r="D801" t="inlineStr">
        <is>
          <t>DALARNAS LÄN</t>
        </is>
      </c>
      <c r="E801" t="inlineStr">
        <is>
          <t>MORA</t>
        </is>
      </c>
      <c r="G801" t="n">
        <v>4.2</v>
      </c>
      <c r="H801" t="n">
        <v>0</v>
      </c>
      <c r="I801" t="n">
        <v>0</v>
      </c>
      <c r="J801" t="n">
        <v>0</v>
      </c>
      <c r="K801" t="n">
        <v>0</v>
      </c>
      <c r="L801" t="n">
        <v>0</v>
      </c>
      <c r="M801" t="n">
        <v>0</v>
      </c>
      <c r="N801" t="n">
        <v>0</v>
      </c>
      <c r="O801" t="n">
        <v>0</v>
      </c>
      <c r="P801" t="n">
        <v>0</v>
      </c>
      <c r="Q801" t="n">
        <v>0</v>
      </c>
      <c r="R801" s="2" t="inlineStr"/>
    </row>
    <row r="802" ht="15" customHeight="1">
      <c r="A802" t="inlineStr">
        <is>
          <t>A 5461-2024</t>
        </is>
      </c>
      <c r="B802" s="1" t="n">
        <v>45332</v>
      </c>
      <c r="C802" s="1" t="n">
        <v>45784</v>
      </c>
      <c r="D802" t="inlineStr">
        <is>
          <t>DALARNAS LÄN</t>
        </is>
      </c>
      <c r="E802" t="inlineStr">
        <is>
          <t>MORA</t>
        </is>
      </c>
      <c r="G802" t="n">
        <v>6.7</v>
      </c>
      <c r="H802" t="n">
        <v>0</v>
      </c>
      <c r="I802" t="n">
        <v>0</v>
      </c>
      <c r="J802" t="n">
        <v>0</v>
      </c>
      <c r="K802" t="n">
        <v>0</v>
      </c>
      <c r="L802" t="n">
        <v>0</v>
      </c>
      <c r="M802" t="n">
        <v>0</v>
      </c>
      <c r="N802" t="n">
        <v>0</v>
      </c>
      <c r="O802" t="n">
        <v>0</v>
      </c>
      <c r="P802" t="n">
        <v>0</v>
      </c>
      <c r="Q802" t="n">
        <v>0</v>
      </c>
      <c r="R802" s="2" t="inlineStr"/>
    </row>
    <row r="803" ht="15" customHeight="1">
      <c r="A803" t="inlineStr">
        <is>
          <t>A 5542-2024</t>
        </is>
      </c>
      <c r="B803" s="1" t="n">
        <v>45334</v>
      </c>
      <c r="C803" s="1" t="n">
        <v>45784</v>
      </c>
      <c r="D803" t="inlineStr">
        <is>
          <t>DALARNAS LÄN</t>
        </is>
      </c>
      <c r="E803" t="inlineStr">
        <is>
          <t>MORA</t>
        </is>
      </c>
      <c r="F803" t="inlineStr">
        <is>
          <t>Kommuner</t>
        </is>
      </c>
      <c r="G803" t="n">
        <v>0.1</v>
      </c>
      <c r="H803" t="n">
        <v>0</v>
      </c>
      <c r="I803" t="n">
        <v>0</v>
      </c>
      <c r="J803" t="n">
        <v>0</v>
      </c>
      <c r="K803" t="n">
        <v>0</v>
      </c>
      <c r="L803" t="n">
        <v>0</v>
      </c>
      <c r="M803" t="n">
        <v>0</v>
      </c>
      <c r="N803" t="n">
        <v>0</v>
      </c>
      <c r="O803" t="n">
        <v>0</v>
      </c>
      <c r="P803" t="n">
        <v>0</v>
      </c>
      <c r="Q803" t="n">
        <v>0</v>
      </c>
      <c r="R803" s="2" t="inlineStr"/>
    </row>
    <row r="804" ht="15" customHeight="1">
      <c r="A804" t="inlineStr">
        <is>
          <t>A 5527-2024</t>
        </is>
      </c>
      <c r="B804" s="1" t="n">
        <v>45334</v>
      </c>
      <c r="C804" s="1" t="n">
        <v>45784</v>
      </c>
      <c r="D804" t="inlineStr">
        <is>
          <t>DALARNAS LÄN</t>
        </is>
      </c>
      <c r="E804" t="inlineStr">
        <is>
          <t>MORA</t>
        </is>
      </c>
      <c r="G804" t="n">
        <v>1</v>
      </c>
      <c r="H804" t="n">
        <v>0</v>
      </c>
      <c r="I804" t="n">
        <v>0</v>
      </c>
      <c r="J804" t="n">
        <v>0</v>
      </c>
      <c r="K804" t="n">
        <v>0</v>
      </c>
      <c r="L804" t="n">
        <v>0</v>
      </c>
      <c r="M804" t="n">
        <v>0</v>
      </c>
      <c r="N804" t="n">
        <v>0</v>
      </c>
      <c r="O804" t="n">
        <v>0</v>
      </c>
      <c r="P804" t="n">
        <v>0</v>
      </c>
      <c r="Q804" t="n">
        <v>0</v>
      </c>
      <c r="R804" s="2" t="inlineStr"/>
    </row>
    <row r="805" ht="15" customHeight="1">
      <c r="A805" t="inlineStr">
        <is>
          <t>A 5532-2024</t>
        </is>
      </c>
      <c r="B805" s="1" t="n">
        <v>45334</v>
      </c>
      <c r="C805" s="1" t="n">
        <v>45784</v>
      </c>
      <c r="D805" t="inlineStr">
        <is>
          <t>DALARNAS LÄN</t>
        </is>
      </c>
      <c r="E805" t="inlineStr">
        <is>
          <t>MORA</t>
        </is>
      </c>
      <c r="G805" t="n">
        <v>8.4</v>
      </c>
      <c r="H805" t="n">
        <v>0</v>
      </c>
      <c r="I805" t="n">
        <v>0</v>
      </c>
      <c r="J805" t="n">
        <v>0</v>
      </c>
      <c r="K805" t="n">
        <v>0</v>
      </c>
      <c r="L805" t="n">
        <v>0</v>
      </c>
      <c r="M805" t="n">
        <v>0</v>
      </c>
      <c r="N805" t="n">
        <v>0</v>
      </c>
      <c r="O805" t="n">
        <v>0</v>
      </c>
      <c r="P805" t="n">
        <v>0</v>
      </c>
      <c r="Q805" t="n">
        <v>0</v>
      </c>
      <c r="R805" s="2" t="inlineStr"/>
    </row>
    <row r="806" ht="15" customHeight="1">
      <c r="A806" t="inlineStr">
        <is>
          <t>A 5540-2024</t>
        </is>
      </c>
      <c r="B806" s="1" t="n">
        <v>45334</v>
      </c>
      <c r="C806" s="1" t="n">
        <v>45784</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5541-2024</t>
        </is>
      </c>
      <c r="B807" s="1" t="n">
        <v>45334</v>
      </c>
      <c r="C807" s="1" t="n">
        <v>45784</v>
      </c>
      <c r="D807" t="inlineStr">
        <is>
          <t>DALARNAS LÄN</t>
        </is>
      </c>
      <c r="E807" t="inlineStr">
        <is>
          <t>MORA</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5644-2024</t>
        </is>
      </c>
      <c r="B808" s="1" t="n">
        <v>45334</v>
      </c>
      <c r="C808" s="1" t="n">
        <v>45784</v>
      </c>
      <c r="D808" t="inlineStr">
        <is>
          <t>DALARNAS LÄN</t>
        </is>
      </c>
      <c r="E808" t="inlineStr">
        <is>
          <t>MORA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6007-2024</t>
        </is>
      </c>
      <c r="B809" s="1" t="n">
        <v>45336</v>
      </c>
      <c r="C809" s="1" t="n">
        <v>45784</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6183-2024</t>
        </is>
      </c>
      <c r="B810" s="1" t="n">
        <v>45337</v>
      </c>
      <c r="C810" s="1" t="n">
        <v>45784</v>
      </c>
      <c r="D810" t="inlineStr">
        <is>
          <t>DALARNAS LÄN</t>
        </is>
      </c>
      <c r="E810" t="inlineStr">
        <is>
          <t>MORA</t>
        </is>
      </c>
      <c r="G810" t="n">
        <v>7.9</v>
      </c>
      <c r="H810" t="n">
        <v>0</v>
      </c>
      <c r="I810" t="n">
        <v>0</v>
      </c>
      <c r="J810" t="n">
        <v>0</v>
      </c>
      <c r="K810" t="n">
        <v>0</v>
      </c>
      <c r="L810" t="n">
        <v>0</v>
      </c>
      <c r="M810" t="n">
        <v>0</v>
      </c>
      <c r="N810" t="n">
        <v>0</v>
      </c>
      <c r="O810" t="n">
        <v>0</v>
      </c>
      <c r="P810" t="n">
        <v>0</v>
      </c>
      <c r="Q810" t="n">
        <v>0</v>
      </c>
      <c r="R810" s="2" t="inlineStr"/>
    </row>
    <row r="811" ht="15" customHeight="1">
      <c r="A811" t="inlineStr">
        <is>
          <t>A 6175-2024</t>
        </is>
      </c>
      <c r="B811" s="1" t="n">
        <v>45337</v>
      </c>
      <c r="C811" s="1" t="n">
        <v>45784</v>
      </c>
      <c r="D811" t="inlineStr">
        <is>
          <t>DALARNAS LÄN</t>
        </is>
      </c>
      <c r="E811" t="inlineStr">
        <is>
          <t>MORA</t>
        </is>
      </c>
      <c r="G811" t="n">
        <v>16.1</v>
      </c>
      <c r="H811" t="n">
        <v>0</v>
      </c>
      <c r="I811" t="n">
        <v>0</v>
      </c>
      <c r="J811" t="n">
        <v>0</v>
      </c>
      <c r="K811" t="n">
        <v>0</v>
      </c>
      <c r="L811" t="n">
        <v>0</v>
      </c>
      <c r="M811" t="n">
        <v>0</v>
      </c>
      <c r="N811" t="n">
        <v>0</v>
      </c>
      <c r="O811" t="n">
        <v>0</v>
      </c>
      <c r="P811" t="n">
        <v>0</v>
      </c>
      <c r="Q811" t="n">
        <v>0</v>
      </c>
      <c r="R811" s="2" t="inlineStr"/>
    </row>
    <row r="812" ht="15" customHeight="1">
      <c r="A812" t="inlineStr">
        <is>
          <t>A 7116-2024</t>
        </is>
      </c>
      <c r="B812" s="1" t="n">
        <v>45343</v>
      </c>
      <c r="C812" s="1" t="n">
        <v>45784</v>
      </c>
      <c r="D812" t="inlineStr">
        <is>
          <t>DALARNAS LÄN</t>
        </is>
      </c>
      <c r="E812" t="inlineStr">
        <is>
          <t>MORA</t>
        </is>
      </c>
      <c r="G812" t="n">
        <v>0.3</v>
      </c>
      <c r="H812" t="n">
        <v>0</v>
      </c>
      <c r="I812" t="n">
        <v>0</v>
      </c>
      <c r="J812" t="n">
        <v>0</v>
      </c>
      <c r="K812" t="n">
        <v>0</v>
      </c>
      <c r="L812" t="n">
        <v>0</v>
      </c>
      <c r="M812" t="n">
        <v>0</v>
      </c>
      <c r="N812" t="n">
        <v>0</v>
      </c>
      <c r="O812" t="n">
        <v>0</v>
      </c>
      <c r="P812" t="n">
        <v>0</v>
      </c>
      <c r="Q812" t="n">
        <v>0</v>
      </c>
      <c r="R812" s="2" t="inlineStr"/>
    </row>
    <row r="813" ht="15" customHeight="1">
      <c r="A813" t="inlineStr">
        <is>
          <t>A 7414-2024</t>
        </is>
      </c>
      <c r="B813" s="1" t="n">
        <v>45345</v>
      </c>
      <c r="C813" s="1" t="n">
        <v>45784</v>
      </c>
      <c r="D813" t="inlineStr">
        <is>
          <t>DALARNAS LÄN</t>
        </is>
      </c>
      <c r="E813" t="inlineStr">
        <is>
          <t>MORA</t>
        </is>
      </c>
      <c r="G813" t="n">
        <v>1.9</v>
      </c>
      <c r="H813" t="n">
        <v>0</v>
      </c>
      <c r="I813" t="n">
        <v>0</v>
      </c>
      <c r="J813" t="n">
        <v>0</v>
      </c>
      <c r="K813" t="n">
        <v>0</v>
      </c>
      <c r="L813" t="n">
        <v>0</v>
      </c>
      <c r="M813" t="n">
        <v>0</v>
      </c>
      <c r="N813" t="n">
        <v>0</v>
      </c>
      <c r="O813" t="n">
        <v>0</v>
      </c>
      <c r="P813" t="n">
        <v>0</v>
      </c>
      <c r="Q813" t="n">
        <v>0</v>
      </c>
      <c r="R813" s="2" t="inlineStr"/>
    </row>
    <row r="814" ht="15" customHeight="1">
      <c r="A814" t="inlineStr">
        <is>
          <t>A 7945-2024</t>
        </is>
      </c>
      <c r="B814" s="1" t="n">
        <v>45350</v>
      </c>
      <c r="C814" s="1" t="n">
        <v>45784</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45784</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8068-2024</t>
        </is>
      </c>
      <c r="B816" s="1" t="n">
        <v>45351</v>
      </c>
      <c r="C816" s="1" t="n">
        <v>45784</v>
      </c>
      <c r="D816" t="inlineStr">
        <is>
          <t>DALARNAS LÄN</t>
        </is>
      </c>
      <c r="E816" t="inlineStr">
        <is>
          <t>MORA</t>
        </is>
      </c>
      <c r="G816" t="n">
        <v>6.4</v>
      </c>
      <c r="H816" t="n">
        <v>0</v>
      </c>
      <c r="I816" t="n">
        <v>0</v>
      </c>
      <c r="J816" t="n">
        <v>0</v>
      </c>
      <c r="K816" t="n">
        <v>0</v>
      </c>
      <c r="L816" t="n">
        <v>0</v>
      </c>
      <c r="M816" t="n">
        <v>0</v>
      </c>
      <c r="N816" t="n">
        <v>0</v>
      </c>
      <c r="O816" t="n">
        <v>0</v>
      </c>
      <c r="P816" t="n">
        <v>0</v>
      </c>
      <c r="Q816" t="n">
        <v>0</v>
      </c>
      <c r="R816" s="2" t="inlineStr"/>
    </row>
    <row r="817" ht="15" customHeight="1">
      <c r="A817" t="inlineStr">
        <is>
          <t>A 8100-2024</t>
        </is>
      </c>
      <c r="B817" s="1" t="n">
        <v>45351</v>
      </c>
      <c r="C817" s="1" t="n">
        <v>45784</v>
      </c>
      <c r="D817" t="inlineStr">
        <is>
          <t>DALARNAS LÄN</t>
        </is>
      </c>
      <c r="E817" t="inlineStr">
        <is>
          <t>MORA</t>
        </is>
      </c>
      <c r="G817" t="n">
        <v>3.2</v>
      </c>
      <c r="H817" t="n">
        <v>0</v>
      </c>
      <c r="I817" t="n">
        <v>0</v>
      </c>
      <c r="J817" t="n">
        <v>0</v>
      </c>
      <c r="K817" t="n">
        <v>0</v>
      </c>
      <c r="L817" t="n">
        <v>0</v>
      </c>
      <c r="M817" t="n">
        <v>0</v>
      </c>
      <c r="N817" t="n">
        <v>0</v>
      </c>
      <c r="O817" t="n">
        <v>0</v>
      </c>
      <c r="P817" t="n">
        <v>0</v>
      </c>
      <c r="Q817" t="n">
        <v>0</v>
      </c>
      <c r="R817" s="2" t="inlineStr"/>
    </row>
    <row r="818" ht="15" customHeight="1">
      <c r="A818" t="inlineStr">
        <is>
          <t>A 9276-2024</t>
        </is>
      </c>
      <c r="B818" s="1" t="n">
        <v>45358</v>
      </c>
      <c r="C818" s="1" t="n">
        <v>45784</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9277-2024</t>
        </is>
      </c>
      <c r="B819" s="1" t="n">
        <v>45358</v>
      </c>
      <c r="C819" s="1" t="n">
        <v>45784</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9855-2024</t>
        </is>
      </c>
      <c r="B820" s="1" t="n">
        <v>45363</v>
      </c>
      <c r="C820" s="1" t="n">
        <v>45784</v>
      </c>
      <c r="D820" t="inlineStr">
        <is>
          <t>DALARNAS LÄN</t>
        </is>
      </c>
      <c r="E820" t="inlineStr">
        <is>
          <t>MORA</t>
        </is>
      </c>
      <c r="G820" t="n">
        <v>8.6</v>
      </c>
      <c r="H820" t="n">
        <v>0</v>
      </c>
      <c r="I820" t="n">
        <v>0</v>
      </c>
      <c r="J820" t="n">
        <v>0</v>
      </c>
      <c r="K820" t="n">
        <v>0</v>
      </c>
      <c r="L820" t="n">
        <v>0</v>
      </c>
      <c r="M820" t="n">
        <v>0</v>
      </c>
      <c r="N820" t="n">
        <v>0</v>
      </c>
      <c r="O820" t="n">
        <v>0</v>
      </c>
      <c r="P820" t="n">
        <v>0</v>
      </c>
      <c r="Q820" t="n">
        <v>0</v>
      </c>
      <c r="R820" s="2" t="inlineStr"/>
    </row>
    <row r="821" ht="15" customHeight="1">
      <c r="A821" t="inlineStr">
        <is>
          <t>A 11218-2024</t>
        </is>
      </c>
      <c r="B821" s="1" t="n">
        <v>45371</v>
      </c>
      <c r="C821" s="1" t="n">
        <v>45784</v>
      </c>
      <c r="D821" t="inlineStr">
        <is>
          <t>DALARNAS LÄN</t>
        </is>
      </c>
      <c r="E821" t="inlineStr">
        <is>
          <t>MORA</t>
        </is>
      </c>
      <c r="G821" t="n">
        <v>11.9</v>
      </c>
      <c r="H821" t="n">
        <v>0</v>
      </c>
      <c r="I821" t="n">
        <v>0</v>
      </c>
      <c r="J821" t="n">
        <v>0</v>
      </c>
      <c r="K821" t="n">
        <v>0</v>
      </c>
      <c r="L821" t="n">
        <v>0</v>
      </c>
      <c r="M821" t="n">
        <v>0</v>
      </c>
      <c r="N821" t="n">
        <v>0</v>
      </c>
      <c r="O821" t="n">
        <v>0</v>
      </c>
      <c r="P821" t="n">
        <v>0</v>
      </c>
      <c r="Q821" t="n">
        <v>0</v>
      </c>
      <c r="R821" s="2" t="inlineStr"/>
    </row>
    <row r="822" ht="15" customHeight="1">
      <c r="A822" t="inlineStr">
        <is>
          <t>A 11354-2024</t>
        </is>
      </c>
      <c r="B822" s="1" t="n">
        <v>45372</v>
      </c>
      <c r="C822" s="1" t="n">
        <v>45784</v>
      </c>
      <c r="D822" t="inlineStr">
        <is>
          <t>DALARNAS LÄN</t>
        </is>
      </c>
      <c r="E822" t="inlineStr">
        <is>
          <t>MORA</t>
        </is>
      </c>
      <c r="G822" t="n">
        <v>2.5</v>
      </c>
      <c r="H822" t="n">
        <v>0</v>
      </c>
      <c r="I822" t="n">
        <v>0</v>
      </c>
      <c r="J822" t="n">
        <v>0</v>
      </c>
      <c r="K822" t="n">
        <v>0</v>
      </c>
      <c r="L822" t="n">
        <v>0</v>
      </c>
      <c r="M822" t="n">
        <v>0</v>
      </c>
      <c r="N822" t="n">
        <v>0</v>
      </c>
      <c r="O822" t="n">
        <v>0</v>
      </c>
      <c r="P822" t="n">
        <v>0</v>
      </c>
      <c r="Q822" t="n">
        <v>0</v>
      </c>
      <c r="R822" s="2" t="inlineStr"/>
    </row>
    <row r="823" ht="15" customHeight="1">
      <c r="A823" t="inlineStr">
        <is>
          <t>A 11463-2024</t>
        </is>
      </c>
      <c r="B823" s="1" t="n">
        <v>45372</v>
      </c>
      <c r="C823" s="1" t="n">
        <v>45784</v>
      </c>
      <c r="D823" t="inlineStr">
        <is>
          <t>DALARNAS LÄN</t>
        </is>
      </c>
      <c r="E823" t="inlineStr">
        <is>
          <t>MORA</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11919-2024</t>
        </is>
      </c>
      <c r="B824" s="1" t="n">
        <v>45376</v>
      </c>
      <c r="C824" s="1" t="n">
        <v>45784</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12987-2024</t>
        </is>
      </c>
      <c r="B825" s="1" t="n">
        <v>45385</v>
      </c>
      <c r="C825" s="1" t="n">
        <v>45784</v>
      </c>
      <c r="D825" t="inlineStr">
        <is>
          <t>DALARNAS LÄN</t>
        </is>
      </c>
      <c r="E825" t="inlineStr">
        <is>
          <t>MORA</t>
        </is>
      </c>
      <c r="G825" t="n">
        <v>1.3</v>
      </c>
      <c r="H825" t="n">
        <v>0</v>
      </c>
      <c r="I825" t="n">
        <v>0</v>
      </c>
      <c r="J825" t="n">
        <v>0</v>
      </c>
      <c r="K825" t="n">
        <v>0</v>
      </c>
      <c r="L825" t="n">
        <v>0</v>
      </c>
      <c r="M825" t="n">
        <v>0</v>
      </c>
      <c r="N825" t="n">
        <v>0</v>
      </c>
      <c r="O825" t="n">
        <v>0</v>
      </c>
      <c r="P825" t="n">
        <v>0</v>
      </c>
      <c r="Q825" t="n">
        <v>0</v>
      </c>
      <c r="R825" s="2" t="inlineStr"/>
    </row>
    <row r="826" ht="15" customHeight="1">
      <c r="A826" t="inlineStr">
        <is>
          <t>A 13492-2024</t>
        </is>
      </c>
      <c r="B826" s="1" t="n">
        <v>45387</v>
      </c>
      <c r="C826" s="1" t="n">
        <v>45784</v>
      </c>
      <c r="D826" t="inlineStr">
        <is>
          <t>DALARNAS LÄN</t>
        </is>
      </c>
      <c r="E826" t="inlineStr">
        <is>
          <t>MORA</t>
        </is>
      </c>
      <c r="G826" t="n">
        <v>0.5</v>
      </c>
      <c r="H826" t="n">
        <v>0</v>
      </c>
      <c r="I826" t="n">
        <v>0</v>
      </c>
      <c r="J826" t="n">
        <v>0</v>
      </c>
      <c r="K826" t="n">
        <v>0</v>
      </c>
      <c r="L826" t="n">
        <v>0</v>
      </c>
      <c r="M826" t="n">
        <v>0</v>
      </c>
      <c r="N826" t="n">
        <v>0</v>
      </c>
      <c r="O826" t="n">
        <v>0</v>
      </c>
      <c r="P826" t="n">
        <v>0</v>
      </c>
      <c r="Q826" t="n">
        <v>0</v>
      </c>
      <c r="R826" s="2" t="inlineStr"/>
    </row>
    <row r="827" ht="15" customHeight="1">
      <c r="A827" t="inlineStr">
        <is>
          <t>A 13479-2024</t>
        </is>
      </c>
      <c r="B827" s="1" t="n">
        <v>45387</v>
      </c>
      <c r="C827" s="1" t="n">
        <v>45784</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13410-2024</t>
        </is>
      </c>
      <c r="B828" s="1" t="n">
        <v>45387</v>
      </c>
      <c r="C828" s="1" t="n">
        <v>45784</v>
      </c>
      <c r="D828" t="inlineStr">
        <is>
          <t>DALARNAS LÄN</t>
        </is>
      </c>
      <c r="E828" t="inlineStr">
        <is>
          <t>MORA</t>
        </is>
      </c>
      <c r="G828" t="n">
        <v>2.8</v>
      </c>
      <c r="H828" t="n">
        <v>0</v>
      </c>
      <c r="I828" t="n">
        <v>0</v>
      </c>
      <c r="J828" t="n">
        <v>0</v>
      </c>
      <c r="K828" t="n">
        <v>0</v>
      </c>
      <c r="L828" t="n">
        <v>0</v>
      </c>
      <c r="M828" t="n">
        <v>0</v>
      </c>
      <c r="N828" t="n">
        <v>0</v>
      </c>
      <c r="O828" t="n">
        <v>0</v>
      </c>
      <c r="P828" t="n">
        <v>0</v>
      </c>
      <c r="Q828" t="n">
        <v>0</v>
      </c>
      <c r="R828" s="2" t="inlineStr"/>
    </row>
    <row r="829" ht="15" customHeight="1">
      <c r="A829" t="inlineStr">
        <is>
          <t>A 13386-2024</t>
        </is>
      </c>
      <c r="B829" s="1" t="n">
        <v>45387</v>
      </c>
      <c r="C829" s="1" t="n">
        <v>45784</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13403-2024</t>
        </is>
      </c>
      <c r="B830" s="1" t="n">
        <v>45387</v>
      </c>
      <c r="C830" s="1" t="n">
        <v>45784</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13433-2024</t>
        </is>
      </c>
      <c r="B831" s="1" t="n">
        <v>45387</v>
      </c>
      <c r="C831" s="1" t="n">
        <v>45784</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13589-2024</t>
        </is>
      </c>
      <c r="B832" s="1" t="n">
        <v>45389</v>
      </c>
      <c r="C832" s="1" t="n">
        <v>45784</v>
      </c>
      <c r="D832" t="inlineStr">
        <is>
          <t>DALARNAS LÄN</t>
        </is>
      </c>
      <c r="E832" t="inlineStr">
        <is>
          <t>MORA</t>
        </is>
      </c>
      <c r="G832" t="n">
        <v>1.6</v>
      </c>
      <c r="H832" t="n">
        <v>0</v>
      </c>
      <c r="I832" t="n">
        <v>0</v>
      </c>
      <c r="J832" t="n">
        <v>0</v>
      </c>
      <c r="K832" t="n">
        <v>0</v>
      </c>
      <c r="L832" t="n">
        <v>0</v>
      </c>
      <c r="M832" t="n">
        <v>0</v>
      </c>
      <c r="N832" t="n">
        <v>0</v>
      </c>
      <c r="O832" t="n">
        <v>0</v>
      </c>
      <c r="P832" t="n">
        <v>0</v>
      </c>
      <c r="Q832" t="n">
        <v>0</v>
      </c>
      <c r="R832" s="2" t="inlineStr"/>
    </row>
    <row r="833" ht="15" customHeight="1">
      <c r="A833" t="inlineStr">
        <is>
          <t>A 13985-2024</t>
        </is>
      </c>
      <c r="B833" s="1" t="n">
        <v>45392</v>
      </c>
      <c r="C833" s="1" t="n">
        <v>45784</v>
      </c>
      <c r="D833" t="inlineStr">
        <is>
          <t>DALARNAS LÄN</t>
        </is>
      </c>
      <c r="E833" t="inlineStr">
        <is>
          <t>MORA</t>
        </is>
      </c>
      <c r="G833" t="n">
        <v>6.5</v>
      </c>
      <c r="H833" t="n">
        <v>0</v>
      </c>
      <c r="I833" t="n">
        <v>0</v>
      </c>
      <c r="J833" t="n">
        <v>0</v>
      </c>
      <c r="K833" t="n">
        <v>0</v>
      </c>
      <c r="L833" t="n">
        <v>0</v>
      </c>
      <c r="M833" t="n">
        <v>0</v>
      </c>
      <c r="N833" t="n">
        <v>0</v>
      </c>
      <c r="O833" t="n">
        <v>0</v>
      </c>
      <c r="P833" t="n">
        <v>0</v>
      </c>
      <c r="Q833" t="n">
        <v>0</v>
      </c>
      <c r="R833" s="2" t="inlineStr"/>
    </row>
    <row r="834" ht="15" customHeight="1">
      <c r="A834" t="inlineStr">
        <is>
          <t>A 14842-2024</t>
        </is>
      </c>
      <c r="B834" s="1" t="n">
        <v>45397</v>
      </c>
      <c r="C834" s="1" t="n">
        <v>45784</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14833-2024</t>
        </is>
      </c>
      <c r="B835" s="1" t="n">
        <v>45397</v>
      </c>
      <c r="C835" s="1" t="n">
        <v>45784</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15592-2024</t>
        </is>
      </c>
      <c r="B836" s="1" t="n">
        <v>45401</v>
      </c>
      <c r="C836" s="1" t="n">
        <v>45784</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row r="837" ht="15" customHeight="1">
      <c r="A837" t="inlineStr">
        <is>
          <t>A 15435-2024</t>
        </is>
      </c>
      <c r="B837" s="1" t="n">
        <v>45401</v>
      </c>
      <c r="C837" s="1" t="n">
        <v>45784</v>
      </c>
      <c r="D837" t="inlineStr">
        <is>
          <t>DALARNAS LÄN</t>
        </is>
      </c>
      <c r="E837" t="inlineStr">
        <is>
          <t>MORA</t>
        </is>
      </c>
      <c r="G837" t="n">
        <v>2.1</v>
      </c>
      <c r="H837" t="n">
        <v>0</v>
      </c>
      <c r="I837" t="n">
        <v>0</v>
      </c>
      <c r="J837" t="n">
        <v>0</v>
      </c>
      <c r="K837" t="n">
        <v>0</v>
      </c>
      <c r="L837" t="n">
        <v>0</v>
      </c>
      <c r="M837" t="n">
        <v>0</v>
      </c>
      <c r="N837" t="n">
        <v>0</v>
      </c>
      <c r="O837" t="n">
        <v>0</v>
      </c>
      <c r="P837" t="n">
        <v>0</v>
      </c>
      <c r="Q837" t="n">
        <v>0</v>
      </c>
      <c r="R837" s="2" t="inlineStr"/>
    </row>
    <row r="838" ht="15" customHeight="1">
      <c r="A838" t="inlineStr">
        <is>
          <t>A 15508-2024</t>
        </is>
      </c>
      <c r="B838" s="1" t="n">
        <v>45401</v>
      </c>
      <c r="C838" s="1" t="n">
        <v>45784</v>
      </c>
      <c r="D838" t="inlineStr">
        <is>
          <t>DALARNAS LÄN</t>
        </is>
      </c>
      <c r="E838" t="inlineStr">
        <is>
          <t>MORA</t>
        </is>
      </c>
      <c r="G838" t="n">
        <v>3.1</v>
      </c>
      <c r="H838" t="n">
        <v>0</v>
      </c>
      <c r="I838" t="n">
        <v>0</v>
      </c>
      <c r="J838" t="n">
        <v>0</v>
      </c>
      <c r="K838" t="n">
        <v>0</v>
      </c>
      <c r="L838" t="n">
        <v>0</v>
      </c>
      <c r="M838" t="n">
        <v>0</v>
      </c>
      <c r="N838" t="n">
        <v>0</v>
      </c>
      <c r="O838" t="n">
        <v>0</v>
      </c>
      <c r="P838" t="n">
        <v>0</v>
      </c>
      <c r="Q838" t="n">
        <v>0</v>
      </c>
      <c r="R838" s="2" t="inlineStr"/>
    </row>
    <row r="839" ht="15" customHeight="1">
      <c r="A839" t="inlineStr">
        <is>
          <t>A 15499-2024</t>
        </is>
      </c>
      <c r="B839" s="1" t="n">
        <v>45401</v>
      </c>
      <c r="C839" s="1" t="n">
        <v>45784</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15440-2024</t>
        </is>
      </c>
      <c r="B840" s="1" t="n">
        <v>45401</v>
      </c>
      <c r="C840" s="1" t="n">
        <v>45784</v>
      </c>
      <c r="D840" t="inlineStr">
        <is>
          <t>DALARNAS LÄN</t>
        </is>
      </c>
      <c r="E840" t="inlineStr">
        <is>
          <t>MORA</t>
        </is>
      </c>
      <c r="G840" t="n">
        <v>1.1</v>
      </c>
      <c r="H840" t="n">
        <v>0</v>
      </c>
      <c r="I840" t="n">
        <v>0</v>
      </c>
      <c r="J840" t="n">
        <v>0</v>
      </c>
      <c r="K840" t="n">
        <v>0</v>
      </c>
      <c r="L840" t="n">
        <v>0</v>
      </c>
      <c r="M840" t="n">
        <v>0</v>
      </c>
      <c r="N840" t="n">
        <v>0</v>
      </c>
      <c r="O840" t="n">
        <v>0</v>
      </c>
      <c r="P840" t="n">
        <v>0</v>
      </c>
      <c r="Q840" t="n">
        <v>0</v>
      </c>
      <c r="R840" s="2" t="inlineStr"/>
    </row>
    <row r="841" ht="15" customHeight="1">
      <c r="A841" t="inlineStr">
        <is>
          <t>A 15784-2024</t>
        </is>
      </c>
      <c r="B841" s="1" t="n">
        <v>45404</v>
      </c>
      <c r="C841" s="1" t="n">
        <v>45784</v>
      </c>
      <c r="D841" t="inlineStr">
        <is>
          <t>DALARNAS LÄN</t>
        </is>
      </c>
      <c r="E841" t="inlineStr">
        <is>
          <t>MORA</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15786-2024</t>
        </is>
      </c>
      <c r="B842" s="1" t="n">
        <v>45404</v>
      </c>
      <c r="C842" s="1" t="n">
        <v>45784</v>
      </c>
      <c r="D842" t="inlineStr">
        <is>
          <t>DALARNAS LÄN</t>
        </is>
      </c>
      <c r="E842" t="inlineStr">
        <is>
          <t>MORA</t>
        </is>
      </c>
      <c r="F842" t="inlineStr">
        <is>
          <t>Bergvik skog öst AB</t>
        </is>
      </c>
      <c r="G842" t="n">
        <v>2.7</v>
      </c>
      <c r="H842" t="n">
        <v>0</v>
      </c>
      <c r="I842" t="n">
        <v>0</v>
      </c>
      <c r="J842" t="n">
        <v>0</v>
      </c>
      <c r="K842" t="n">
        <v>0</v>
      </c>
      <c r="L842" t="n">
        <v>0</v>
      </c>
      <c r="M842" t="n">
        <v>0</v>
      </c>
      <c r="N842" t="n">
        <v>0</v>
      </c>
      <c r="O842" t="n">
        <v>0</v>
      </c>
      <c r="P842" t="n">
        <v>0</v>
      </c>
      <c r="Q842" t="n">
        <v>0</v>
      </c>
      <c r="R842" s="2" t="inlineStr"/>
    </row>
    <row r="843" ht="15" customHeight="1">
      <c r="A843" t="inlineStr">
        <is>
          <t>A 15818-2024</t>
        </is>
      </c>
      <c r="B843" s="1" t="n">
        <v>45404</v>
      </c>
      <c r="C843" s="1" t="n">
        <v>45784</v>
      </c>
      <c r="D843" t="inlineStr">
        <is>
          <t>DALARNAS LÄN</t>
        </is>
      </c>
      <c r="E843" t="inlineStr">
        <is>
          <t>MORA</t>
        </is>
      </c>
      <c r="G843" t="n">
        <v>7</v>
      </c>
      <c r="H843" t="n">
        <v>0</v>
      </c>
      <c r="I843" t="n">
        <v>0</v>
      </c>
      <c r="J843" t="n">
        <v>0</v>
      </c>
      <c r="K843" t="n">
        <v>0</v>
      </c>
      <c r="L843" t="n">
        <v>0</v>
      </c>
      <c r="M843" t="n">
        <v>0</v>
      </c>
      <c r="N843" t="n">
        <v>0</v>
      </c>
      <c r="O843" t="n">
        <v>0</v>
      </c>
      <c r="P843" t="n">
        <v>0</v>
      </c>
      <c r="Q843" t="n">
        <v>0</v>
      </c>
      <c r="R843" s="2" t="inlineStr"/>
    </row>
    <row r="844" ht="15" customHeight="1">
      <c r="A844" t="inlineStr">
        <is>
          <t>A 15817-2024</t>
        </is>
      </c>
      <c r="B844" s="1" t="n">
        <v>45404</v>
      </c>
      <c r="C844" s="1" t="n">
        <v>45784</v>
      </c>
      <c r="D844" t="inlineStr">
        <is>
          <t>DALARNAS LÄN</t>
        </is>
      </c>
      <c r="E844" t="inlineStr">
        <is>
          <t>MORA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16129-2024</t>
        </is>
      </c>
      <c r="B845" s="1" t="n">
        <v>45406</v>
      </c>
      <c r="C845" s="1" t="n">
        <v>45784</v>
      </c>
      <c r="D845" t="inlineStr">
        <is>
          <t>DALARNAS LÄN</t>
        </is>
      </c>
      <c r="E845" t="inlineStr">
        <is>
          <t>MORA</t>
        </is>
      </c>
      <c r="G845" t="n">
        <v>0.7</v>
      </c>
      <c r="H845" t="n">
        <v>0</v>
      </c>
      <c r="I845" t="n">
        <v>0</v>
      </c>
      <c r="J845" t="n">
        <v>0</v>
      </c>
      <c r="K845" t="n">
        <v>0</v>
      </c>
      <c r="L845" t="n">
        <v>0</v>
      </c>
      <c r="M845" t="n">
        <v>0</v>
      </c>
      <c r="N845" t="n">
        <v>0</v>
      </c>
      <c r="O845" t="n">
        <v>0</v>
      </c>
      <c r="P845" t="n">
        <v>0</v>
      </c>
      <c r="Q845" t="n">
        <v>0</v>
      </c>
      <c r="R845" s="2" t="inlineStr"/>
    </row>
    <row r="846" ht="15" customHeight="1">
      <c r="A846" t="inlineStr">
        <is>
          <t>A 16573-2024</t>
        </is>
      </c>
      <c r="B846" s="1" t="n">
        <v>45408</v>
      </c>
      <c r="C846" s="1" t="n">
        <v>45784</v>
      </c>
      <c r="D846" t="inlineStr">
        <is>
          <t>DALARNAS LÄN</t>
        </is>
      </c>
      <c r="E846" t="inlineStr">
        <is>
          <t>MORA</t>
        </is>
      </c>
      <c r="G846" t="n">
        <v>4.5</v>
      </c>
      <c r="H846" t="n">
        <v>0</v>
      </c>
      <c r="I846" t="n">
        <v>0</v>
      </c>
      <c r="J846" t="n">
        <v>0</v>
      </c>
      <c r="K846" t="n">
        <v>0</v>
      </c>
      <c r="L846" t="n">
        <v>0</v>
      </c>
      <c r="M846" t="n">
        <v>0</v>
      </c>
      <c r="N846" t="n">
        <v>0</v>
      </c>
      <c r="O846" t="n">
        <v>0</v>
      </c>
      <c r="P846" t="n">
        <v>0</v>
      </c>
      <c r="Q846" t="n">
        <v>0</v>
      </c>
      <c r="R846" s="2" t="inlineStr"/>
    </row>
    <row r="847" ht="15" customHeight="1">
      <c r="A847" t="inlineStr">
        <is>
          <t>A 16522-2024</t>
        </is>
      </c>
      <c r="B847" s="1" t="n">
        <v>45408</v>
      </c>
      <c r="C847" s="1" t="n">
        <v>45784</v>
      </c>
      <c r="D847" t="inlineStr">
        <is>
          <t>DALARNAS LÄN</t>
        </is>
      </c>
      <c r="E847" t="inlineStr">
        <is>
          <t>MORA</t>
        </is>
      </c>
      <c r="G847" t="n">
        <v>11.2</v>
      </c>
      <c r="H847" t="n">
        <v>0</v>
      </c>
      <c r="I847" t="n">
        <v>0</v>
      </c>
      <c r="J847" t="n">
        <v>0</v>
      </c>
      <c r="K847" t="n">
        <v>0</v>
      </c>
      <c r="L847" t="n">
        <v>0</v>
      </c>
      <c r="M847" t="n">
        <v>0</v>
      </c>
      <c r="N847" t="n">
        <v>0</v>
      </c>
      <c r="O847" t="n">
        <v>0</v>
      </c>
      <c r="P847" t="n">
        <v>0</v>
      </c>
      <c r="Q847" t="n">
        <v>0</v>
      </c>
      <c r="R847" s="2" t="inlineStr"/>
    </row>
    <row r="848" ht="15" customHeight="1">
      <c r="A848" t="inlineStr">
        <is>
          <t>A 16574-2024</t>
        </is>
      </c>
      <c r="B848" s="1" t="n">
        <v>45408</v>
      </c>
      <c r="C848" s="1" t="n">
        <v>45784</v>
      </c>
      <c r="D848" t="inlineStr">
        <is>
          <t>DALARNAS LÄN</t>
        </is>
      </c>
      <c r="E848" t="inlineStr">
        <is>
          <t>MORA</t>
        </is>
      </c>
      <c r="G848" t="n">
        <v>3</v>
      </c>
      <c r="H848" t="n">
        <v>0</v>
      </c>
      <c r="I848" t="n">
        <v>0</v>
      </c>
      <c r="J848" t="n">
        <v>0</v>
      </c>
      <c r="K848" t="n">
        <v>0</v>
      </c>
      <c r="L848" t="n">
        <v>0</v>
      </c>
      <c r="M848" t="n">
        <v>0</v>
      </c>
      <c r="N848" t="n">
        <v>0</v>
      </c>
      <c r="O848" t="n">
        <v>0</v>
      </c>
      <c r="P848" t="n">
        <v>0</v>
      </c>
      <c r="Q848" t="n">
        <v>0</v>
      </c>
      <c r="R848" s="2" t="inlineStr"/>
    </row>
    <row r="849" ht="15" customHeight="1">
      <c r="A849" t="inlineStr">
        <is>
          <t>A 16733-2024</t>
        </is>
      </c>
      <c r="B849" s="1" t="n">
        <v>45410</v>
      </c>
      <c r="C849" s="1" t="n">
        <v>45784</v>
      </c>
      <c r="D849" t="inlineStr">
        <is>
          <t>DALARNAS LÄN</t>
        </is>
      </c>
      <c r="E849" t="inlineStr">
        <is>
          <t>MORA</t>
        </is>
      </c>
      <c r="G849" t="n">
        <v>6.3</v>
      </c>
      <c r="H849" t="n">
        <v>0</v>
      </c>
      <c r="I849" t="n">
        <v>0</v>
      </c>
      <c r="J849" t="n">
        <v>0</v>
      </c>
      <c r="K849" t="n">
        <v>0</v>
      </c>
      <c r="L849" t="n">
        <v>0</v>
      </c>
      <c r="M849" t="n">
        <v>0</v>
      </c>
      <c r="N849" t="n">
        <v>0</v>
      </c>
      <c r="O849" t="n">
        <v>0</v>
      </c>
      <c r="P849" t="n">
        <v>0</v>
      </c>
      <c r="Q849" t="n">
        <v>0</v>
      </c>
      <c r="R849" s="2" t="inlineStr"/>
    </row>
    <row r="850" ht="15" customHeight="1">
      <c r="A850" t="inlineStr">
        <is>
          <t>A 17145-2024</t>
        </is>
      </c>
      <c r="B850" s="1" t="n">
        <v>45412</v>
      </c>
      <c r="C850" s="1" t="n">
        <v>45784</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17217-2024</t>
        </is>
      </c>
      <c r="B851" s="1" t="n">
        <v>45414</v>
      </c>
      <c r="C851" s="1" t="n">
        <v>45784</v>
      </c>
      <c r="D851" t="inlineStr">
        <is>
          <t>DALARNAS LÄN</t>
        </is>
      </c>
      <c r="E851" t="inlineStr">
        <is>
          <t>MORA</t>
        </is>
      </c>
      <c r="G851" t="n">
        <v>11.3</v>
      </c>
      <c r="H851" t="n">
        <v>0</v>
      </c>
      <c r="I851" t="n">
        <v>0</v>
      </c>
      <c r="J851" t="n">
        <v>0</v>
      </c>
      <c r="K851" t="n">
        <v>0</v>
      </c>
      <c r="L851" t="n">
        <v>0</v>
      </c>
      <c r="M851" t="n">
        <v>0</v>
      </c>
      <c r="N851" t="n">
        <v>0</v>
      </c>
      <c r="O851" t="n">
        <v>0</v>
      </c>
      <c r="P851" t="n">
        <v>0</v>
      </c>
      <c r="Q851" t="n">
        <v>0</v>
      </c>
      <c r="R851" s="2" t="inlineStr"/>
    </row>
    <row r="852" ht="15" customHeight="1">
      <c r="A852" t="inlineStr">
        <is>
          <t>A 17368-2024</t>
        </is>
      </c>
      <c r="B852" s="1" t="n">
        <v>45414</v>
      </c>
      <c r="C852" s="1" t="n">
        <v>45784</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17468-2024</t>
        </is>
      </c>
      <c r="B853" s="1" t="n">
        <v>45415</v>
      </c>
      <c r="C853" s="1" t="n">
        <v>45784</v>
      </c>
      <c r="D853" t="inlineStr">
        <is>
          <t>DALARNAS LÄN</t>
        </is>
      </c>
      <c r="E853" t="inlineStr">
        <is>
          <t>MORA</t>
        </is>
      </c>
      <c r="G853" t="n">
        <v>8</v>
      </c>
      <c r="H853" t="n">
        <v>0</v>
      </c>
      <c r="I853" t="n">
        <v>0</v>
      </c>
      <c r="J853" t="n">
        <v>0</v>
      </c>
      <c r="K853" t="n">
        <v>0</v>
      </c>
      <c r="L853" t="n">
        <v>0</v>
      </c>
      <c r="M853" t="n">
        <v>0</v>
      </c>
      <c r="N853" t="n">
        <v>0</v>
      </c>
      <c r="O853" t="n">
        <v>0</v>
      </c>
      <c r="P853" t="n">
        <v>0</v>
      </c>
      <c r="Q853" t="n">
        <v>0</v>
      </c>
      <c r="R853" s="2" t="inlineStr"/>
    </row>
    <row r="854" ht="15" customHeight="1">
      <c r="A854" t="inlineStr">
        <is>
          <t>A 17516-2024</t>
        </is>
      </c>
      <c r="B854" s="1" t="n">
        <v>45415</v>
      </c>
      <c r="C854" s="1" t="n">
        <v>45784</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17645-2024</t>
        </is>
      </c>
      <c r="B855" s="1" t="n">
        <v>45418</v>
      </c>
      <c r="C855" s="1" t="n">
        <v>45784</v>
      </c>
      <c r="D855" t="inlineStr">
        <is>
          <t>DALARNAS LÄN</t>
        </is>
      </c>
      <c r="E855" t="inlineStr">
        <is>
          <t>MORA</t>
        </is>
      </c>
      <c r="G855" t="n">
        <v>1.9</v>
      </c>
      <c r="H855" t="n">
        <v>0</v>
      </c>
      <c r="I855" t="n">
        <v>0</v>
      </c>
      <c r="J855" t="n">
        <v>0</v>
      </c>
      <c r="K855" t="n">
        <v>0</v>
      </c>
      <c r="L855" t="n">
        <v>0</v>
      </c>
      <c r="M855" t="n">
        <v>0</v>
      </c>
      <c r="N855" t="n">
        <v>0</v>
      </c>
      <c r="O855" t="n">
        <v>0</v>
      </c>
      <c r="P855" t="n">
        <v>0</v>
      </c>
      <c r="Q855" t="n">
        <v>0</v>
      </c>
      <c r="R855" s="2" t="inlineStr"/>
    </row>
    <row r="856" ht="15" customHeight="1">
      <c r="A856" t="inlineStr">
        <is>
          <t>A 17647-2024</t>
        </is>
      </c>
      <c r="B856" s="1" t="n">
        <v>45418</v>
      </c>
      <c r="C856" s="1" t="n">
        <v>45784</v>
      </c>
      <c r="D856" t="inlineStr">
        <is>
          <t>DALARNAS LÄN</t>
        </is>
      </c>
      <c r="E856" t="inlineStr">
        <is>
          <t>MORA</t>
        </is>
      </c>
      <c r="G856" t="n">
        <v>1</v>
      </c>
      <c r="H856" t="n">
        <v>0</v>
      </c>
      <c r="I856" t="n">
        <v>0</v>
      </c>
      <c r="J856" t="n">
        <v>0</v>
      </c>
      <c r="K856" t="n">
        <v>0</v>
      </c>
      <c r="L856" t="n">
        <v>0</v>
      </c>
      <c r="M856" t="n">
        <v>0</v>
      </c>
      <c r="N856" t="n">
        <v>0</v>
      </c>
      <c r="O856" t="n">
        <v>0</v>
      </c>
      <c r="P856" t="n">
        <v>0</v>
      </c>
      <c r="Q856" t="n">
        <v>0</v>
      </c>
      <c r="R856" s="2" t="inlineStr"/>
    </row>
    <row r="857" ht="15" customHeight="1">
      <c r="A857" t="inlineStr">
        <is>
          <t>A 17692-2024</t>
        </is>
      </c>
      <c r="B857" s="1" t="n">
        <v>45418</v>
      </c>
      <c r="C857" s="1" t="n">
        <v>45784</v>
      </c>
      <c r="D857" t="inlineStr">
        <is>
          <t>DALARNAS LÄN</t>
        </is>
      </c>
      <c r="E857" t="inlineStr">
        <is>
          <t>MORA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17646-2024</t>
        </is>
      </c>
      <c r="B858" s="1" t="n">
        <v>45418</v>
      </c>
      <c r="C858" s="1" t="n">
        <v>45784</v>
      </c>
      <c r="D858" t="inlineStr">
        <is>
          <t>DALARNAS LÄN</t>
        </is>
      </c>
      <c r="E858" t="inlineStr">
        <is>
          <t>MORA</t>
        </is>
      </c>
      <c r="G858" t="n">
        <v>0.8</v>
      </c>
      <c r="H858" t="n">
        <v>0</v>
      </c>
      <c r="I858" t="n">
        <v>0</v>
      </c>
      <c r="J858" t="n">
        <v>0</v>
      </c>
      <c r="K858" t="n">
        <v>0</v>
      </c>
      <c r="L858" t="n">
        <v>0</v>
      </c>
      <c r="M858" t="n">
        <v>0</v>
      </c>
      <c r="N858" t="n">
        <v>0</v>
      </c>
      <c r="O858" t="n">
        <v>0</v>
      </c>
      <c r="P858" t="n">
        <v>0</v>
      </c>
      <c r="Q858" t="n">
        <v>0</v>
      </c>
      <c r="R858" s="2" t="inlineStr"/>
    </row>
    <row r="859" ht="15" customHeight="1">
      <c r="A859" t="inlineStr">
        <is>
          <t>A 17894-2024</t>
        </is>
      </c>
      <c r="B859" s="1" t="n">
        <v>45419</v>
      </c>
      <c r="C859" s="1" t="n">
        <v>45784</v>
      </c>
      <c r="D859" t="inlineStr">
        <is>
          <t>DALARNAS LÄN</t>
        </is>
      </c>
      <c r="E859" t="inlineStr">
        <is>
          <t>MORA</t>
        </is>
      </c>
      <c r="G859" t="n">
        <v>3.5</v>
      </c>
      <c r="H859" t="n">
        <v>0</v>
      </c>
      <c r="I859" t="n">
        <v>0</v>
      </c>
      <c r="J859" t="n">
        <v>0</v>
      </c>
      <c r="K859" t="n">
        <v>0</v>
      </c>
      <c r="L859" t="n">
        <v>0</v>
      </c>
      <c r="M859" t="n">
        <v>0</v>
      </c>
      <c r="N859" t="n">
        <v>0</v>
      </c>
      <c r="O859" t="n">
        <v>0</v>
      </c>
      <c r="P859" t="n">
        <v>0</v>
      </c>
      <c r="Q859" t="n">
        <v>0</v>
      </c>
      <c r="R859" s="2" t="inlineStr"/>
    </row>
    <row r="860" ht="15" customHeight="1">
      <c r="A860" t="inlineStr">
        <is>
          <t>A 17950-2024</t>
        </is>
      </c>
      <c r="B860" s="1" t="n">
        <v>45419</v>
      </c>
      <c r="C860" s="1" t="n">
        <v>45784</v>
      </c>
      <c r="D860" t="inlineStr">
        <is>
          <t>DALARNAS LÄN</t>
        </is>
      </c>
      <c r="E860" t="inlineStr">
        <is>
          <t>MORA</t>
        </is>
      </c>
      <c r="G860" t="n">
        <v>2.6</v>
      </c>
      <c r="H860" t="n">
        <v>0</v>
      </c>
      <c r="I860" t="n">
        <v>0</v>
      </c>
      <c r="J860" t="n">
        <v>0</v>
      </c>
      <c r="K860" t="n">
        <v>0</v>
      </c>
      <c r="L860" t="n">
        <v>0</v>
      </c>
      <c r="M860" t="n">
        <v>0</v>
      </c>
      <c r="N860" t="n">
        <v>0</v>
      </c>
      <c r="O860" t="n">
        <v>0</v>
      </c>
      <c r="P860" t="n">
        <v>0</v>
      </c>
      <c r="Q860" t="n">
        <v>0</v>
      </c>
      <c r="R860" s="2" t="inlineStr"/>
    </row>
    <row r="861" ht="15" customHeight="1">
      <c r="A861" t="inlineStr">
        <is>
          <t>A 18118-2024</t>
        </is>
      </c>
      <c r="B861" s="1" t="n">
        <v>45420</v>
      </c>
      <c r="C861" s="1" t="n">
        <v>45784</v>
      </c>
      <c r="D861" t="inlineStr">
        <is>
          <t>DALARNAS LÄN</t>
        </is>
      </c>
      <c r="E861" t="inlineStr">
        <is>
          <t>MORA</t>
        </is>
      </c>
      <c r="F861" t="inlineStr">
        <is>
          <t>Bergvik skog öst AB</t>
        </is>
      </c>
      <c r="G861" t="n">
        <v>5.2</v>
      </c>
      <c r="H861" t="n">
        <v>0</v>
      </c>
      <c r="I861" t="n">
        <v>0</v>
      </c>
      <c r="J861" t="n">
        <v>0</v>
      </c>
      <c r="K861" t="n">
        <v>0</v>
      </c>
      <c r="L861" t="n">
        <v>0</v>
      </c>
      <c r="M861" t="n">
        <v>0</v>
      </c>
      <c r="N861" t="n">
        <v>0</v>
      </c>
      <c r="O861" t="n">
        <v>0</v>
      </c>
      <c r="P861" t="n">
        <v>0</v>
      </c>
      <c r="Q861" t="n">
        <v>0</v>
      </c>
      <c r="R861" s="2" t="inlineStr"/>
    </row>
    <row r="862" ht="15" customHeight="1">
      <c r="A862" t="inlineStr">
        <is>
          <t>A 18202-2024</t>
        </is>
      </c>
      <c r="B862" s="1" t="n">
        <v>45420</v>
      </c>
      <c r="C862" s="1" t="n">
        <v>45784</v>
      </c>
      <c r="D862" t="inlineStr">
        <is>
          <t>DALARNAS LÄN</t>
        </is>
      </c>
      <c r="E862" t="inlineStr">
        <is>
          <t>MORA</t>
        </is>
      </c>
      <c r="G862" t="n">
        <v>2</v>
      </c>
      <c r="H862" t="n">
        <v>0</v>
      </c>
      <c r="I862" t="n">
        <v>0</v>
      </c>
      <c r="J862" t="n">
        <v>0</v>
      </c>
      <c r="K862" t="n">
        <v>0</v>
      </c>
      <c r="L862" t="n">
        <v>0</v>
      </c>
      <c r="M862" t="n">
        <v>0</v>
      </c>
      <c r="N862" t="n">
        <v>0</v>
      </c>
      <c r="O862" t="n">
        <v>0</v>
      </c>
      <c r="P862" t="n">
        <v>0</v>
      </c>
      <c r="Q862" t="n">
        <v>0</v>
      </c>
      <c r="R862" s="2" t="inlineStr"/>
    </row>
    <row r="863" ht="15" customHeight="1">
      <c r="A863" t="inlineStr">
        <is>
          <t>A 18214-2024</t>
        </is>
      </c>
      <c r="B863" s="1" t="n">
        <v>45420</v>
      </c>
      <c r="C863" s="1" t="n">
        <v>45784</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18119-2024</t>
        </is>
      </c>
      <c r="B864" s="1" t="n">
        <v>45420</v>
      </c>
      <c r="C864" s="1" t="n">
        <v>45784</v>
      </c>
      <c r="D864" t="inlineStr">
        <is>
          <t>DALARNAS LÄN</t>
        </is>
      </c>
      <c r="E864" t="inlineStr">
        <is>
          <t>MORA</t>
        </is>
      </c>
      <c r="F864" t="inlineStr">
        <is>
          <t>Bergvik skog öst AB</t>
        </is>
      </c>
      <c r="G864" t="n">
        <v>5.8</v>
      </c>
      <c r="H864" t="n">
        <v>0</v>
      </c>
      <c r="I864" t="n">
        <v>0</v>
      </c>
      <c r="J864" t="n">
        <v>0</v>
      </c>
      <c r="K864" t="n">
        <v>0</v>
      </c>
      <c r="L864" t="n">
        <v>0</v>
      </c>
      <c r="M864" t="n">
        <v>0</v>
      </c>
      <c r="N864" t="n">
        <v>0</v>
      </c>
      <c r="O864" t="n">
        <v>0</v>
      </c>
      <c r="P864" t="n">
        <v>0</v>
      </c>
      <c r="Q864" t="n">
        <v>0</v>
      </c>
      <c r="R864" s="2" t="inlineStr"/>
    </row>
    <row r="865" ht="15" customHeight="1">
      <c r="A865" t="inlineStr">
        <is>
          <t>A 18429-2024</t>
        </is>
      </c>
      <c r="B865" s="1" t="n">
        <v>45425</v>
      </c>
      <c r="C865" s="1" t="n">
        <v>45784</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18444-2024</t>
        </is>
      </c>
      <c r="B866" s="1" t="n">
        <v>45425</v>
      </c>
      <c r="C866" s="1" t="n">
        <v>45784</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18559-2024</t>
        </is>
      </c>
      <c r="B867" s="1" t="n">
        <v>45425</v>
      </c>
      <c r="C867" s="1" t="n">
        <v>45784</v>
      </c>
      <c r="D867" t="inlineStr">
        <is>
          <t>DALARNAS LÄN</t>
        </is>
      </c>
      <c r="E867" t="inlineStr">
        <is>
          <t>MORA</t>
        </is>
      </c>
      <c r="G867" t="n">
        <v>3.6</v>
      </c>
      <c r="H867" t="n">
        <v>0</v>
      </c>
      <c r="I867" t="n">
        <v>0</v>
      </c>
      <c r="J867" t="n">
        <v>0</v>
      </c>
      <c r="K867" t="n">
        <v>0</v>
      </c>
      <c r="L867" t="n">
        <v>0</v>
      </c>
      <c r="M867" t="n">
        <v>0</v>
      </c>
      <c r="N867" t="n">
        <v>0</v>
      </c>
      <c r="O867" t="n">
        <v>0</v>
      </c>
      <c r="P867" t="n">
        <v>0</v>
      </c>
      <c r="Q867" t="n">
        <v>0</v>
      </c>
      <c r="R867" s="2" t="inlineStr"/>
    </row>
    <row r="868" ht="15" customHeight="1">
      <c r="A868" t="inlineStr">
        <is>
          <t>A 18696-2024</t>
        </is>
      </c>
      <c r="B868" s="1" t="n">
        <v>45426</v>
      </c>
      <c r="C868" s="1" t="n">
        <v>45784</v>
      </c>
      <c r="D868" t="inlineStr">
        <is>
          <t>DALARNAS LÄN</t>
        </is>
      </c>
      <c r="E868" t="inlineStr">
        <is>
          <t>MORA</t>
        </is>
      </c>
      <c r="G868" t="n">
        <v>9.6</v>
      </c>
      <c r="H868" t="n">
        <v>0</v>
      </c>
      <c r="I868" t="n">
        <v>0</v>
      </c>
      <c r="J868" t="n">
        <v>0</v>
      </c>
      <c r="K868" t="n">
        <v>0</v>
      </c>
      <c r="L868" t="n">
        <v>0</v>
      </c>
      <c r="M868" t="n">
        <v>0</v>
      </c>
      <c r="N868" t="n">
        <v>0</v>
      </c>
      <c r="O868" t="n">
        <v>0</v>
      </c>
      <c r="P868" t="n">
        <v>0</v>
      </c>
      <c r="Q868" t="n">
        <v>0</v>
      </c>
      <c r="R868" s="2" t="inlineStr"/>
    </row>
    <row r="869" ht="15" customHeight="1">
      <c r="A869" t="inlineStr">
        <is>
          <t>A 18941-2024</t>
        </is>
      </c>
      <c r="B869" s="1" t="n">
        <v>45427</v>
      </c>
      <c r="C869" s="1" t="n">
        <v>45784</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18922-2024</t>
        </is>
      </c>
      <c r="B870" s="1" t="n">
        <v>45427</v>
      </c>
      <c r="C870" s="1" t="n">
        <v>45784</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18895-2024</t>
        </is>
      </c>
      <c r="B871" s="1" t="n">
        <v>45427</v>
      </c>
      <c r="C871" s="1" t="n">
        <v>45784</v>
      </c>
      <c r="D871" t="inlineStr">
        <is>
          <t>DALARNAS LÄN</t>
        </is>
      </c>
      <c r="E871" t="inlineStr">
        <is>
          <t>MORA</t>
        </is>
      </c>
      <c r="G871" t="n">
        <v>11.5</v>
      </c>
      <c r="H871" t="n">
        <v>0</v>
      </c>
      <c r="I871" t="n">
        <v>0</v>
      </c>
      <c r="J871" t="n">
        <v>0</v>
      </c>
      <c r="K871" t="n">
        <v>0</v>
      </c>
      <c r="L871" t="n">
        <v>0</v>
      </c>
      <c r="M871" t="n">
        <v>0</v>
      </c>
      <c r="N871" t="n">
        <v>0</v>
      </c>
      <c r="O871" t="n">
        <v>0</v>
      </c>
      <c r="P871" t="n">
        <v>0</v>
      </c>
      <c r="Q871" t="n">
        <v>0</v>
      </c>
      <c r="R871" s="2" t="inlineStr"/>
    </row>
    <row r="872" ht="15" customHeight="1">
      <c r="A872" t="inlineStr">
        <is>
          <t>A 18901-2024</t>
        </is>
      </c>
      <c r="B872" s="1" t="n">
        <v>45427</v>
      </c>
      <c r="C872" s="1" t="n">
        <v>45784</v>
      </c>
      <c r="D872" t="inlineStr">
        <is>
          <t>DALARNAS LÄN</t>
        </is>
      </c>
      <c r="E872" t="inlineStr">
        <is>
          <t>MORA</t>
        </is>
      </c>
      <c r="G872" t="n">
        <v>6.6</v>
      </c>
      <c r="H872" t="n">
        <v>0</v>
      </c>
      <c r="I872" t="n">
        <v>0</v>
      </c>
      <c r="J872" t="n">
        <v>0</v>
      </c>
      <c r="K872" t="n">
        <v>0</v>
      </c>
      <c r="L872" t="n">
        <v>0</v>
      </c>
      <c r="M872" t="n">
        <v>0</v>
      </c>
      <c r="N872" t="n">
        <v>0</v>
      </c>
      <c r="O872" t="n">
        <v>0</v>
      </c>
      <c r="P872" t="n">
        <v>0</v>
      </c>
      <c r="Q872" t="n">
        <v>0</v>
      </c>
      <c r="R872" s="2" t="inlineStr"/>
    </row>
    <row r="873" ht="15" customHeight="1">
      <c r="A873" t="inlineStr">
        <is>
          <t>A 18992-2024</t>
        </is>
      </c>
      <c r="B873" s="1" t="n">
        <v>45427</v>
      </c>
      <c r="C873" s="1" t="n">
        <v>45784</v>
      </c>
      <c r="D873" t="inlineStr">
        <is>
          <t>DALARNAS LÄN</t>
        </is>
      </c>
      <c r="E873" t="inlineStr">
        <is>
          <t>MORA</t>
        </is>
      </c>
      <c r="G873" t="n">
        <v>9.9</v>
      </c>
      <c r="H873" t="n">
        <v>0</v>
      </c>
      <c r="I873" t="n">
        <v>0</v>
      </c>
      <c r="J873" t="n">
        <v>0</v>
      </c>
      <c r="K873" t="n">
        <v>0</v>
      </c>
      <c r="L873" t="n">
        <v>0</v>
      </c>
      <c r="M873" t="n">
        <v>0</v>
      </c>
      <c r="N873" t="n">
        <v>0</v>
      </c>
      <c r="O873" t="n">
        <v>0</v>
      </c>
      <c r="P873" t="n">
        <v>0</v>
      </c>
      <c r="Q873" t="n">
        <v>0</v>
      </c>
      <c r="R873" s="2" t="inlineStr"/>
    </row>
    <row r="874" ht="15" customHeight="1">
      <c r="A874" t="inlineStr">
        <is>
          <t>A 19686-2024</t>
        </is>
      </c>
      <c r="B874" s="1" t="n">
        <v>45432</v>
      </c>
      <c r="C874" s="1" t="n">
        <v>45784</v>
      </c>
      <c r="D874" t="inlineStr">
        <is>
          <t>DALARNAS LÄN</t>
        </is>
      </c>
      <c r="E874" t="inlineStr">
        <is>
          <t>MORA</t>
        </is>
      </c>
      <c r="G874" t="n">
        <v>5.6</v>
      </c>
      <c r="H874" t="n">
        <v>0</v>
      </c>
      <c r="I874" t="n">
        <v>0</v>
      </c>
      <c r="J874" t="n">
        <v>0</v>
      </c>
      <c r="K874" t="n">
        <v>0</v>
      </c>
      <c r="L874" t="n">
        <v>0</v>
      </c>
      <c r="M874" t="n">
        <v>0</v>
      </c>
      <c r="N874" t="n">
        <v>0</v>
      </c>
      <c r="O874" t="n">
        <v>0</v>
      </c>
      <c r="P874" t="n">
        <v>0</v>
      </c>
      <c r="Q874" t="n">
        <v>0</v>
      </c>
      <c r="R874" s="2" t="inlineStr"/>
    </row>
    <row r="875" ht="15" customHeight="1">
      <c r="A875" t="inlineStr">
        <is>
          <t>A 19910-2024</t>
        </is>
      </c>
      <c r="B875" s="1" t="n">
        <v>45433</v>
      </c>
      <c r="C875" s="1" t="n">
        <v>45784</v>
      </c>
      <c r="D875" t="inlineStr">
        <is>
          <t>DALARNAS LÄN</t>
        </is>
      </c>
      <c r="E875" t="inlineStr">
        <is>
          <t>MORA</t>
        </is>
      </c>
      <c r="G875" t="n">
        <v>0.9</v>
      </c>
      <c r="H875" t="n">
        <v>0</v>
      </c>
      <c r="I875" t="n">
        <v>0</v>
      </c>
      <c r="J875" t="n">
        <v>0</v>
      </c>
      <c r="K875" t="n">
        <v>0</v>
      </c>
      <c r="L875" t="n">
        <v>0</v>
      </c>
      <c r="M875" t="n">
        <v>0</v>
      </c>
      <c r="N875" t="n">
        <v>0</v>
      </c>
      <c r="O875" t="n">
        <v>0</v>
      </c>
      <c r="P875" t="n">
        <v>0</v>
      </c>
      <c r="Q875" t="n">
        <v>0</v>
      </c>
      <c r="R875" s="2" t="inlineStr"/>
    </row>
    <row r="876" ht="15" customHeight="1">
      <c r="A876" t="inlineStr">
        <is>
          <t>A 20036-2024</t>
        </is>
      </c>
      <c r="B876" s="1" t="n">
        <v>45434</v>
      </c>
      <c r="C876" s="1" t="n">
        <v>45784</v>
      </c>
      <c r="D876" t="inlineStr">
        <is>
          <t>DALARNAS LÄN</t>
        </is>
      </c>
      <c r="E876" t="inlineStr">
        <is>
          <t>MORA</t>
        </is>
      </c>
      <c r="G876" t="n">
        <v>1</v>
      </c>
      <c r="H876" t="n">
        <v>0</v>
      </c>
      <c r="I876" t="n">
        <v>0</v>
      </c>
      <c r="J876" t="n">
        <v>0</v>
      </c>
      <c r="K876" t="n">
        <v>0</v>
      </c>
      <c r="L876" t="n">
        <v>0</v>
      </c>
      <c r="M876" t="n">
        <v>0</v>
      </c>
      <c r="N876" t="n">
        <v>0</v>
      </c>
      <c r="O876" t="n">
        <v>0</v>
      </c>
      <c r="P876" t="n">
        <v>0</v>
      </c>
      <c r="Q876" t="n">
        <v>0</v>
      </c>
      <c r="R876" s="2" t="inlineStr"/>
    </row>
    <row r="877" ht="15" customHeight="1">
      <c r="A877" t="inlineStr">
        <is>
          <t>A 20674-2024</t>
        </is>
      </c>
      <c r="B877" s="1" t="n">
        <v>45436</v>
      </c>
      <c r="C877" s="1" t="n">
        <v>45784</v>
      </c>
      <c r="D877" t="inlineStr">
        <is>
          <t>DALARNAS LÄN</t>
        </is>
      </c>
      <c r="E877" t="inlineStr">
        <is>
          <t>MORA</t>
        </is>
      </c>
      <c r="G877" t="n">
        <v>16</v>
      </c>
      <c r="H877" t="n">
        <v>0</v>
      </c>
      <c r="I877" t="n">
        <v>0</v>
      </c>
      <c r="J877" t="n">
        <v>0</v>
      </c>
      <c r="K877" t="n">
        <v>0</v>
      </c>
      <c r="L877" t="n">
        <v>0</v>
      </c>
      <c r="M877" t="n">
        <v>0</v>
      </c>
      <c r="N877" t="n">
        <v>0</v>
      </c>
      <c r="O877" t="n">
        <v>0</v>
      </c>
      <c r="P877" t="n">
        <v>0</v>
      </c>
      <c r="Q877" t="n">
        <v>0</v>
      </c>
      <c r="R877" s="2" t="inlineStr"/>
    </row>
    <row r="878" ht="15" customHeight="1">
      <c r="A878" t="inlineStr">
        <is>
          <t>A 20889-2024</t>
        </is>
      </c>
      <c r="B878" s="1" t="n">
        <v>45439</v>
      </c>
      <c r="C878" s="1" t="n">
        <v>45784</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21049-2024</t>
        </is>
      </c>
      <c r="B879" s="1" t="n">
        <v>45439</v>
      </c>
      <c r="C879" s="1" t="n">
        <v>45784</v>
      </c>
      <c r="D879" t="inlineStr">
        <is>
          <t>DALARNAS LÄN</t>
        </is>
      </c>
      <c r="E879" t="inlineStr">
        <is>
          <t>MORA</t>
        </is>
      </c>
      <c r="G879" t="n">
        <v>11</v>
      </c>
      <c r="H879" t="n">
        <v>0</v>
      </c>
      <c r="I879" t="n">
        <v>0</v>
      </c>
      <c r="J879" t="n">
        <v>0</v>
      </c>
      <c r="K879" t="n">
        <v>0</v>
      </c>
      <c r="L879" t="n">
        <v>0</v>
      </c>
      <c r="M879" t="n">
        <v>0</v>
      </c>
      <c r="N879" t="n">
        <v>0</v>
      </c>
      <c r="O879" t="n">
        <v>0</v>
      </c>
      <c r="P879" t="n">
        <v>0</v>
      </c>
      <c r="Q879" t="n">
        <v>0</v>
      </c>
      <c r="R879" s="2" t="inlineStr"/>
    </row>
    <row r="880" ht="15" customHeight="1">
      <c r="A880" t="inlineStr">
        <is>
          <t>A 20885-2024</t>
        </is>
      </c>
      <c r="B880" s="1" t="n">
        <v>45439</v>
      </c>
      <c r="C880" s="1" t="n">
        <v>45784</v>
      </c>
      <c r="D880" t="inlineStr">
        <is>
          <t>DALARNAS LÄN</t>
        </is>
      </c>
      <c r="E880" t="inlineStr">
        <is>
          <t>MORA</t>
        </is>
      </c>
      <c r="G880" t="n">
        <v>5</v>
      </c>
      <c r="H880" t="n">
        <v>0</v>
      </c>
      <c r="I880" t="n">
        <v>0</v>
      </c>
      <c r="J880" t="n">
        <v>0</v>
      </c>
      <c r="K880" t="n">
        <v>0</v>
      </c>
      <c r="L880" t="n">
        <v>0</v>
      </c>
      <c r="M880" t="n">
        <v>0</v>
      </c>
      <c r="N880" t="n">
        <v>0</v>
      </c>
      <c r="O880" t="n">
        <v>0</v>
      </c>
      <c r="P880" t="n">
        <v>0</v>
      </c>
      <c r="Q880" t="n">
        <v>0</v>
      </c>
      <c r="R880" s="2" t="inlineStr"/>
    </row>
    <row r="881" ht="15" customHeight="1">
      <c r="A881" t="inlineStr">
        <is>
          <t>A 20986-2024</t>
        </is>
      </c>
      <c r="B881" s="1" t="n">
        <v>45439</v>
      </c>
      <c r="C881" s="1" t="n">
        <v>45784</v>
      </c>
      <c r="D881" t="inlineStr">
        <is>
          <t>DALARNAS LÄN</t>
        </is>
      </c>
      <c r="E881" t="inlineStr">
        <is>
          <t>MORA</t>
        </is>
      </c>
      <c r="F881" t="inlineStr">
        <is>
          <t>Bergvik skog öst AB</t>
        </is>
      </c>
      <c r="G881" t="n">
        <v>18.7</v>
      </c>
      <c r="H881" t="n">
        <v>0</v>
      </c>
      <c r="I881" t="n">
        <v>0</v>
      </c>
      <c r="J881" t="n">
        <v>0</v>
      </c>
      <c r="K881" t="n">
        <v>0</v>
      </c>
      <c r="L881" t="n">
        <v>0</v>
      </c>
      <c r="M881" t="n">
        <v>0</v>
      </c>
      <c r="N881" t="n">
        <v>0</v>
      </c>
      <c r="O881" t="n">
        <v>0</v>
      </c>
      <c r="P881" t="n">
        <v>0</v>
      </c>
      <c r="Q881" t="n">
        <v>0</v>
      </c>
      <c r="R881" s="2" t="inlineStr"/>
    </row>
    <row r="882" ht="15" customHeight="1">
      <c r="A882" t="inlineStr">
        <is>
          <t>A 20989-2024</t>
        </is>
      </c>
      <c r="B882" s="1" t="n">
        <v>45439</v>
      </c>
      <c r="C882" s="1" t="n">
        <v>45784</v>
      </c>
      <c r="D882" t="inlineStr">
        <is>
          <t>DALARNAS LÄN</t>
        </is>
      </c>
      <c r="E882" t="inlineStr">
        <is>
          <t>MORA</t>
        </is>
      </c>
      <c r="F882" t="inlineStr">
        <is>
          <t>Bergvik skog öst AB</t>
        </is>
      </c>
      <c r="G882" t="n">
        <v>14.7</v>
      </c>
      <c r="H882" t="n">
        <v>0</v>
      </c>
      <c r="I882" t="n">
        <v>0</v>
      </c>
      <c r="J882" t="n">
        <v>0</v>
      </c>
      <c r="K882" t="n">
        <v>0</v>
      </c>
      <c r="L882" t="n">
        <v>0</v>
      </c>
      <c r="M882" t="n">
        <v>0</v>
      </c>
      <c r="N882" t="n">
        <v>0</v>
      </c>
      <c r="O882" t="n">
        <v>0</v>
      </c>
      <c r="P882" t="n">
        <v>0</v>
      </c>
      <c r="Q882" t="n">
        <v>0</v>
      </c>
      <c r="R882" s="2" t="inlineStr"/>
    </row>
    <row r="883" ht="15" customHeight="1">
      <c r="A883" t="inlineStr">
        <is>
          <t>A 20930-2024</t>
        </is>
      </c>
      <c r="B883" s="1" t="n">
        <v>45439</v>
      </c>
      <c r="C883" s="1" t="n">
        <v>45784</v>
      </c>
      <c r="D883" t="inlineStr">
        <is>
          <t>DALARNAS LÄN</t>
        </is>
      </c>
      <c r="E883" t="inlineStr">
        <is>
          <t>MORA</t>
        </is>
      </c>
      <c r="F883" t="inlineStr">
        <is>
          <t>Bergvik skog väst AB</t>
        </is>
      </c>
      <c r="G883" t="n">
        <v>5.3</v>
      </c>
      <c r="H883" t="n">
        <v>0</v>
      </c>
      <c r="I883" t="n">
        <v>0</v>
      </c>
      <c r="J883" t="n">
        <v>0</v>
      </c>
      <c r="K883" t="n">
        <v>0</v>
      </c>
      <c r="L883" t="n">
        <v>0</v>
      </c>
      <c r="M883" t="n">
        <v>0</v>
      </c>
      <c r="N883" t="n">
        <v>0</v>
      </c>
      <c r="O883" t="n">
        <v>0</v>
      </c>
      <c r="P883" t="n">
        <v>0</v>
      </c>
      <c r="Q883" t="n">
        <v>0</v>
      </c>
      <c r="R883" s="2" t="inlineStr"/>
    </row>
    <row r="884" ht="15" customHeight="1">
      <c r="A884" t="inlineStr">
        <is>
          <t>A 21221-2024</t>
        </is>
      </c>
      <c r="B884" s="1" t="n">
        <v>45440</v>
      </c>
      <c r="C884" s="1" t="n">
        <v>45784</v>
      </c>
      <c r="D884" t="inlineStr">
        <is>
          <t>DALARNAS LÄN</t>
        </is>
      </c>
      <c r="E884" t="inlineStr">
        <is>
          <t>MORA</t>
        </is>
      </c>
      <c r="G884" t="n">
        <v>6.7</v>
      </c>
      <c r="H884" t="n">
        <v>0</v>
      </c>
      <c r="I884" t="n">
        <v>0</v>
      </c>
      <c r="J884" t="n">
        <v>0</v>
      </c>
      <c r="K884" t="n">
        <v>0</v>
      </c>
      <c r="L884" t="n">
        <v>0</v>
      </c>
      <c r="M884" t="n">
        <v>0</v>
      </c>
      <c r="N884" t="n">
        <v>0</v>
      </c>
      <c r="O884" t="n">
        <v>0</v>
      </c>
      <c r="P884" t="n">
        <v>0</v>
      </c>
      <c r="Q884" t="n">
        <v>0</v>
      </c>
      <c r="R884" s="2" t="inlineStr"/>
    </row>
    <row r="885" ht="15" customHeight="1">
      <c r="A885" t="inlineStr">
        <is>
          <t>A 21244-2024</t>
        </is>
      </c>
      <c r="B885" s="1" t="n">
        <v>45440</v>
      </c>
      <c r="C885" s="1" t="n">
        <v>45784</v>
      </c>
      <c r="D885" t="inlineStr">
        <is>
          <t>DALARNAS LÄN</t>
        </is>
      </c>
      <c r="E885" t="inlineStr">
        <is>
          <t>MORA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21256-2024</t>
        </is>
      </c>
      <c r="B886" s="1" t="n">
        <v>45440</v>
      </c>
      <c r="C886" s="1" t="n">
        <v>45784</v>
      </c>
      <c r="D886" t="inlineStr">
        <is>
          <t>DALARNAS LÄN</t>
        </is>
      </c>
      <c r="E886" t="inlineStr">
        <is>
          <t>MORA</t>
        </is>
      </c>
      <c r="G886" t="n">
        <v>3</v>
      </c>
      <c r="H886" t="n">
        <v>0</v>
      </c>
      <c r="I886" t="n">
        <v>0</v>
      </c>
      <c r="J886" t="n">
        <v>0</v>
      </c>
      <c r="K886" t="n">
        <v>0</v>
      </c>
      <c r="L886" t="n">
        <v>0</v>
      </c>
      <c r="M886" t="n">
        <v>0</v>
      </c>
      <c r="N886" t="n">
        <v>0</v>
      </c>
      <c r="O886" t="n">
        <v>0</v>
      </c>
      <c r="P886" t="n">
        <v>0</v>
      </c>
      <c r="Q886" t="n">
        <v>0</v>
      </c>
      <c r="R886" s="2" t="inlineStr"/>
    </row>
    <row r="887" ht="15" customHeight="1">
      <c r="A887" t="inlineStr">
        <is>
          <t>A 21650-2024</t>
        </is>
      </c>
      <c r="B887" s="1" t="n">
        <v>45442</v>
      </c>
      <c r="C887" s="1" t="n">
        <v>45784</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21635-2024</t>
        </is>
      </c>
      <c r="B888" s="1" t="n">
        <v>45442</v>
      </c>
      <c r="C888" s="1" t="n">
        <v>45784</v>
      </c>
      <c r="D888" t="inlineStr">
        <is>
          <t>DALARNAS LÄN</t>
        </is>
      </c>
      <c r="E888" t="inlineStr">
        <is>
          <t>MORA</t>
        </is>
      </c>
      <c r="G888" t="n">
        <v>2.7</v>
      </c>
      <c r="H888" t="n">
        <v>0</v>
      </c>
      <c r="I888" t="n">
        <v>0</v>
      </c>
      <c r="J888" t="n">
        <v>0</v>
      </c>
      <c r="K888" t="n">
        <v>0</v>
      </c>
      <c r="L888" t="n">
        <v>0</v>
      </c>
      <c r="M888" t="n">
        <v>0</v>
      </c>
      <c r="N888" t="n">
        <v>0</v>
      </c>
      <c r="O888" t="n">
        <v>0</v>
      </c>
      <c r="P888" t="n">
        <v>0</v>
      </c>
      <c r="Q888" t="n">
        <v>0</v>
      </c>
      <c r="R888" s="2" t="inlineStr"/>
    </row>
    <row r="889" ht="15" customHeight="1">
      <c r="A889" t="inlineStr">
        <is>
          <t>A 21660-2024</t>
        </is>
      </c>
      <c r="B889" s="1" t="n">
        <v>45442</v>
      </c>
      <c r="C889" s="1" t="n">
        <v>45784</v>
      </c>
      <c r="D889" t="inlineStr">
        <is>
          <t>DALARNAS LÄN</t>
        </is>
      </c>
      <c r="E889" t="inlineStr">
        <is>
          <t>MORA</t>
        </is>
      </c>
      <c r="G889" t="n">
        <v>2</v>
      </c>
      <c r="H889" t="n">
        <v>0</v>
      </c>
      <c r="I889" t="n">
        <v>0</v>
      </c>
      <c r="J889" t="n">
        <v>0</v>
      </c>
      <c r="K889" t="n">
        <v>0</v>
      </c>
      <c r="L889" t="n">
        <v>0</v>
      </c>
      <c r="M889" t="n">
        <v>0</v>
      </c>
      <c r="N889" t="n">
        <v>0</v>
      </c>
      <c r="O889" t="n">
        <v>0</v>
      </c>
      <c r="P889" t="n">
        <v>0</v>
      </c>
      <c r="Q889" t="n">
        <v>0</v>
      </c>
      <c r="R889" s="2" t="inlineStr"/>
    </row>
    <row r="890" ht="15" customHeight="1">
      <c r="A890" t="inlineStr">
        <is>
          <t>A 21886-2024</t>
        </is>
      </c>
      <c r="B890" s="1" t="n">
        <v>45443</v>
      </c>
      <c r="C890" s="1" t="n">
        <v>45784</v>
      </c>
      <c r="D890" t="inlineStr">
        <is>
          <t>DALARNAS LÄN</t>
        </is>
      </c>
      <c r="E890" t="inlineStr">
        <is>
          <t>MORA</t>
        </is>
      </c>
      <c r="F890" t="inlineStr">
        <is>
          <t>Bergvik skog öst AB</t>
        </is>
      </c>
      <c r="G890" t="n">
        <v>4.5</v>
      </c>
      <c r="H890" t="n">
        <v>0</v>
      </c>
      <c r="I890" t="n">
        <v>0</v>
      </c>
      <c r="J890" t="n">
        <v>0</v>
      </c>
      <c r="K890" t="n">
        <v>0</v>
      </c>
      <c r="L890" t="n">
        <v>0</v>
      </c>
      <c r="M890" t="n">
        <v>0</v>
      </c>
      <c r="N890" t="n">
        <v>0</v>
      </c>
      <c r="O890" t="n">
        <v>0</v>
      </c>
      <c r="P890" t="n">
        <v>0</v>
      </c>
      <c r="Q890" t="n">
        <v>0</v>
      </c>
      <c r="R890" s="2" t="inlineStr"/>
    </row>
    <row r="891" ht="15" customHeight="1">
      <c r="A891" t="inlineStr">
        <is>
          <t>A 22390-2024</t>
        </is>
      </c>
      <c r="B891" s="1" t="n">
        <v>45446</v>
      </c>
      <c r="C891" s="1" t="n">
        <v>45784</v>
      </c>
      <c r="D891" t="inlineStr">
        <is>
          <t>DALARNAS LÄN</t>
        </is>
      </c>
      <c r="E891" t="inlineStr">
        <is>
          <t>MORA</t>
        </is>
      </c>
      <c r="G891" t="n">
        <v>0.6</v>
      </c>
      <c r="H891" t="n">
        <v>0</v>
      </c>
      <c r="I891" t="n">
        <v>0</v>
      </c>
      <c r="J891" t="n">
        <v>0</v>
      </c>
      <c r="K891" t="n">
        <v>0</v>
      </c>
      <c r="L891" t="n">
        <v>0</v>
      </c>
      <c r="M891" t="n">
        <v>0</v>
      </c>
      <c r="N891" t="n">
        <v>0</v>
      </c>
      <c r="O891" t="n">
        <v>0</v>
      </c>
      <c r="P891" t="n">
        <v>0</v>
      </c>
      <c r="Q891" t="n">
        <v>0</v>
      </c>
      <c r="R891" s="2" t="inlineStr"/>
    </row>
    <row r="892" ht="15" customHeight="1">
      <c r="A892" t="inlineStr">
        <is>
          <t>A 22598-2024</t>
        </is>
      </c>
      <c r="B892" s="1" t="n">
        <v>45447</v>
      </c>
      <c r="C892" s="1" t="n">
        <v>45784</v>
      </c>
      <c r="D892" t="inlineStr">
        <is>
          <t>DALARNAS LÄN</t>
        </is>
      </c>
      <c r="E892" t="inlineStr">
        <is>
          <t>MORA</t>
        </is>
      </c>
      <c r="G892" t="n">
        <v>7.2</v>
      </c>
      <c r="H892" t="n">
        <v>0</v>
      </c>
      <c r="I892" t="n">
        <v>0</v>
      </c>
      <c r="J892" t="n">
        <v>0</v>
      </c>
      <c r="K892" t="n">
        <v>0</v>
      </c>
      <c r="L892" t="n">
        <v>0</v>
      </c>
      <c r="M892" t="n">
        <v>0</v>
      </c>
      <c r="N892" t="n">
        <v>0</v>
      </c>
      <c r="O892" t="n">
        <v>0</v>
      </c>
      <c r="P892" t="n">
        <v>0</v>
      </c>
      <c r="Q892" t="n">
        <v>0</v>
      </c>
      <c r="R892" s="2" t="inlineStr"/>
    </row>
    <row r="893" ht="15" customHeight="1">
      <c r="A893" t="inlineStr">
        <is>
          <t>A 25515-2024</t>
        </is>
      </c>
      <c r="B893" s="1" t="n">
        <v>45448</v>
      </c>
      <c r="C893" s="1" t="n">
        <v>45784</v>
      </c>
      <c r="D893" t="inlineStr">
        <is>
          <t>DALARNAS LÄN</t>
        </is>
      </c>
      <c r="E893" t="inlineStr">
        <is>
          <t>MORA</t>
        </is>
      </c>
      <c r="G893" t="n">
        <v>24.5</v>
      </c>
      <c r="H893" t="n">
        <v>0</v>
      </c>
      <c r="I893" t="n">
        <v>0</v>
      </c>
      <c r="J893" t="n">
        <v>0</v>
      </c>
      <c r="K893" t="n">
        <v>0</v>
      </c>
      <c r="L893" t="n">
        <v>0</v>
      </c>
      <c r="M893" t="n">
        <v>0</v>
      </c>
      <c r="N893" t="n">
        <v>0</v>
      </c>
      <c r="O893" t="n">
        <v>0</v>
      </c>
      <c r="P893" t="n">
        <v>0</v>
      </c>
      <c r="Q893" t="n">
        <v>0</v>
      </c>
      <c r="R893" s="2" t="inlineStr"/>
    </row>
    <row r="894" ht="15" customHeight="1">
      <c r="A894" t="inlineStr">
        <is>
          <t>A 22732-2024</t>
        </is>
      </c>
      <c r="B894" s="1" t="n">
        <v>45448</v>
      </c>
      <c r="C894" s="1" t="n">
        <v>45784</v>
      </c>
      <c r="D894" t="inlineStr">
        <is>
          <t>DALARNAS LÄN</t>
        </is>
      </c>
      <c r="E894" t="inlineStr">
        <is>
          <t>MORA</t>
        </is>
      </c>
      <c r="G894" t="n">
        <v>3.6</v>
      </c>
      <c r="H894" t="n">
        <v>0</v>
      </c>
      <c r="I894" t="n">
        <v>0</v>
      </c>
      <c r="J894" t="n">
        <v>0</v>
      </c>
      <c r="K894" t="n">
        <v>0</v>
      </c>
      <c r="L894" t="n">
        <v>0</v>
      </c>
      <c r="M894" t="n">
        <v>0</v>
      </c>
      <c r="N894" t="n">
        <v>0</v>
      </c>
      <c r="O894" t="n">
        <v>0</v>
      </c>
      <c r="P894" t="n">
        <v>0</v>
      </c>
      <c r="Q894" t="n">
        <v>0</v>
      </c>
      <c r="R894" s="2" t="inlineStr"/>
    </row>
    <row r="895" ht="15" customHeight="1">
      <c r="A895" t="inlineStr">
        <is>
          <t>A 22737-2024</t>
        </is>
      </c>
      <c r="B895" s="1" t="n">
        <v>45448</v>
      </c>
      <c r="C895" s="1" t="n">
        <v>45784</v>
      </c>
      <c r="D895" t="inlineStr">
        <is>
          <t>DALARNAS LÄN</t>
        </is>
      </c>
      <c r="E895" t="inlineStr">
        <is>
          <t>MORA</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23057-2024</t>
        </is>
      </c>
      <c r="B896" s="1" t="n">
        <v>45450</v>
      </c>
      <c r="C896" s="1" t="n">
        <v>45784</v>
      </c>
      <c r="D896" t="inlineStr">
        <is>
          <t>DALARNAS LÄN</t>
        </is>
      </c>
      <c r="E896" t="inlineStr">
        <is>
          <t>MORA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23311-2024</t>
        </is>
      </c>
      <c r="B897" s="1" t="n">
        <v>45453</v>
      </c>
      <c r="C897" s="1" t="n">
        <v>45784</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23364-2024</t>
        </is>
      </c>
      <c r="B898" s="1" t="n">
        <v>45453</v>
      </c>
      <c r="C898" s="1" t="n">
        <v>45784</v>
      </c>
      <c r="D898" t="inlineStr">
        <is>
          <t>DALARNAS LÄN</t>
        </is>
      </c>
      <c r="E898" t="inlineStr">
        <is>
          <t>MORA</t>
        </is>
      </c>
      <c r="G898" t="n">
        <v>4.8</v>
      </c>
      <c r="H898" t="n">
        <v>0</v>
      </c>
      <c r="I898" t="n">
        <v>0</v>
      </c>
      <c r="J898" t="n">
        <v>0</v>
      </c>
      <c r="K898" t="n">
        <v>0</v>
      </c>
      <c r="L898" t="n">
        <v>0</v>
      </c>
      <c r="M898" t="n">
        <v>0</v>
      </c>
      <c r="N898" t="n">
        <v>0</v>
      </c>
      <c r="O898" t="n">
        <v>0</v>
      </c>
      <c r="P898" t="n">
        <v>0</v>
      </c>
      <c r="Q898" t="n">
        <v>0</v>
      </c>
      <c r="R898" s="2" t="inlineStr"/>
    </row>
    <row r="899" ht="15" customHeight="1">
      <c r="A899" t="inlineStr">
        <is>
          <t>A 23300-2024</t>
        </is>
      </c>
      <c r="B899" s="1" t="n">
        <v>45453</v>
      </c>
      <c r="C899" s="1" t="n">
        <v>45784</v>
      </c>
      <c r="D899" t="inlineStr">
        <is>
          <t>DALARNAS LÄN</t>
        </is>
      </c>
      <c r="E899" t="inlineStr">
        <is>
          <t>MORA</t>
        </is>
      </c>
      <c r="G899" t="n">
        <v>0.5</v>
      </c>
      <c r="H899" t="n">
        <v>0</v>
      </c>
      <c r="I899" t="n">
        <v>0</v>
      </c>
      <c r="J899" t="n">
        <v>0</v>
      </c>
      <c r="K899" t="n">
        <v>0</v>
      </c>
      <c r="L899" t="n">
        <v>0</v>
      </c>
      <c r="M899" t="n">
        <v>0</v>
      </c>
      <c r="N899" t="n">
        <v>0</v>
      </c>
      <c r="O899" t="n">
        <v>0</v>
      </c>
      <c r="P899" t="n">
        <v>0</v>
      </c>
      <c r="Q899" t="n">
        <v>0</v>
      </c>
      <c r="R899" s="2" t="inlineStr"/>
    </row>
    <row r="900" ht="15" customHeight="1">
      <c r="A900" t="inlineStr">
        <is>
          <t>A 23318-2024</t>
        </is>
      </c>
      <c r="B900" s="1" t="n">
        <v>45453</v>
      </c>
      <c r="C900" s="1" t="n">
        <v>45784</v>
      </c>
      <c r="D900" t="inlineStr">
        <is>
          <t>DALARNAS LÄN</t>
        </is>
      </c>
      <c r="E900" t="inlineStr">
        <is>
          <t>MORA</t>
        </is>
      </c>
      <c r="G900" t="n">
        <v>5.9</v>
      </c>
      <c r="H900" t="n">
        <v>0</v>
      </c>
      <c r="I900" t="n">
        <v>0</v>
      </c>
      <c r="J900" t="n">
        <v>0</v>
      </c>
      <c r="K900" t="n">
        <v>0</v>
      </c>
      <c r="L900" t="n">
        <v>0</v>
      </c>
      <c r="M900" t="n">
        <v>0</v>
      </c>
      <c r="N900" t="n">
        <v>0</v>
      </c>
      <c r="O900" t="n">
        <v>0</v>
      </c>
      <c r="P900" t="n">
        <v>0</v>
      </c>
      <c r="Q900" t="n">
        <v>0</v>
      </c>
      <c r="R900" s="2" t="inlineStr"/>
    </row>
    <row r="901" ht="15" customHeight="1">
      <c r="A901" t="inlineStr">
        <is>
          <t>A 23306-2024</t>
        </is>
      </c>
      <c r="B901" s="1" t="n">
        <v>45453</v>
      </c>
      <c r="C901" s="1" t="n">
        <v>45784</v>
      </c>
      <c r="D901" t="inlineStr">
        <is>
          <t>DALARNAS LÄN</t>
        </is>
      </c>
      <c r="E901" t="inlineStr">
        <is>
          <t>MORA</t>
        </is>
      </c>
      <c r="G901" t="n">
        <v>5.1</v>
      </c>
      <c r="H901" t="n">
        <v>0</v>
      </c>
      <c r="I901" t="n">
        <v>0</v>
      </c>
      <c r="J901" t="n">
        <v>0</v>
      </c>
      <c r="K901" t="n">
        <v>0</v>
      </c>
      <c r="L901" t="n">
        <v>0</v>
      </c>
      <c r="M901" t="n">
        <v>0</v>
      </c>
      <c r="N901" t="n">
        <v>0</v>
      </c>
      <c r="O901" t="n">
        <v>0</v>
      </c>
      <c r="P901" t="n">
        <v>0</v>
      </c>
      <c r="Q901" t="n">
        <v>0</v>
      </c>
      <c r="R901" s="2" t="inlineStr"/>
    </row>
    <row r="902" ht="15" customHeight="1">
      <c r="A902" t="inlineStr">
        <is>
          <t>A 23302-2024</t>
        </is>
      </c>
      <c r="B902" s="1" t="n">
        <v>45453</v>
      </c>
      <c r="C902" s="1" t="n">
        <v>45784</v>
      </c>
      <c r="D902" t="inlineStr">
        <is>
          <t>DALARNAS LÄN</t>
        </is>
      </c>
      <c r="E902" t="inlineStr">
        <is>
          <t>MORA</t>
        </is>
      </c>
      <c r="G902" t="n">
        <v>1.3</v>
      </c>
      <c r="H902" t="n">
        <v>0</v>
      </c>
      <c r="I902" t="n">
        <v>0</v>
      </c>
      <c r="J902" t="n">
        <v>0</v>
      </c>
      <c r="K902" t="n">
        <v>0</v>
      </c>
      <c r="L902" t="n">
        <v>0</v>
      </c>
      <c r="M902" t="n">
        <v>0</v>
      </c>
      <c r="N902" t="n">
        <v>0</v>
      </c>
      <c r="O902" t="n">
        <v>0</v>
      </c>
      <c r="P902" t="n">
        <v>0</v>
      </c>
      <c r="Q902" t="n">
        <v>0</v>
      </c>
      <c r="R902" s="2" t="inlineStr"/>
    </row>
    <row r="903" ht="15" customHeight="1">
      <c r="A903" t="inlineStr">
        <is>
          <t>A 23298-2024</t>
        </is>
      </c>
      <c r="B903" s="1" t="n">
        <v>45453</v>
      </c>
      <c r="C903" s="1" t="n">
        <v>45784</v>
      </c>
      <c r="D903" t="inlineStr">
        <is>
          <t>DALARNAS LÄN</t>
        </is>
      </c>
      <c r="E903" t="inlineStr">
        <is>
          <t>MORA</t>
        </is>
      </c>
      <c r="G903" t="n">
        <v>6.7</v>
      </c>
      <c r="H903" t="n">
        <v>0</v>
      </c>
      <c r="I903" t="n">
        <v>0</v>
      </c>
      <c r="J903" t="n">
        <v>0</v>
      </c>
      <c r="K903" t="n">
        <v>0</v>
      </c>
      <c r="L903" t="n">
        <v>0</v>
      </c>
      <c r="M903" t="n">
        <v>0</v>
      </c>
      <c r="N903" t="n">
        <v>0</v>
      </c>
      <c r="O903" t="n">
        <v>0</v>
      </c>
      <c r="P903" t="n">
        <v>0</v>
      </c>
      <c r="Q903" t="n">
        <v>0</v>
      </c>
      <c r="R903" s="2" t="inlineStr"/>
    </row>
    <row r="904" ht="15" customHeight="1">
      <c r="A904" t="inlineStr">
        <is>
          <t>A 23669-2024</t>
        </is>
      </c>
      <c r="B904" s="1" t="n">
        <v>45454</v>
      </c>
      <c r="C904" s="1" t="n">
        <v>45784</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23797-2024</t>
        </is>
      </c>
      <c r="B905" s="1" t="n">
        <v>45455</v>
      </c>
      <c r="C905" s="1" t="n">
        <v>45784</v>
      </c>
      <c r="D905" t="inlineStr">
        <is>
          <t>DALARNAS LÄN</t>
        </is>
      </c>
      <c r="E905" t="inlineStr">
        <is>
          <t>MORA</t>
        </is>
      </c>
      <c r="G905" t="n">
        <v>2.9</v>
      </c>
      <c r="H905" t="n">
        <v>0</v>
      </c>
      <c r="I905" t="n">
        <v>0</v>
      </c>
      <c r="J905" t="n">
        <v>0</v>
      </c>
      <c r="K905" t="n">
        <v>0</v>
      </c>
      <c r="L905" t="n">
        <v>0</v>
      </c>
      <c r="M905" t="n">
        <v>0</v>
      </c>
      <c r="N905" t="n">
        <v>0</v>
      </c>
      <c r="O905" t="n">
        <v>0</v>
      </c>
      <c r="P905" t="n">
        <v>0</v>
      </c>
      <c r="Q905" t="n">
        <v>0</v>
      </c>
      <c r="R905" s="2" t="inlineStr"/>
    </row>
    <row r="906" ht="15" customHeight="1">
      <c r="A906" t="inlineStr">
        <is>
          <t>A 23866-2024</t>
        </is>
      </c>
      <c r="B906" s="1" t="n">
        <v>45455</v>
      </c>
      <c r="C906" s="1" t="n">
        <v>45784</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24350-2024</t>
        </is>
      </c>
      <c r="B907" s="1" t="n">
        <v>45457</v>
      </c>
      <c r="C907" s="1" t="n">
        <v>45784</v>
      </c>
      <c r="D907" t="inlineStr">
        <is>
          <t>DALARNAS LÄN</t>
        </is>
      </c>
      <c r="E907" t="inlineStr">
        <is>
          <t>MORA</t>
        </is>
      </c>
      <c r="F907" t="inlineStr">
        <is>
          <t>Bergvik skog öst AB</t>
        </is>
      </c>
      <c r="G907" t="n">
        <v>9.6</v>
      </c>
      <c r="H907" t="n">
        <v>0</v>
      </c>
      <c r="I907" t="n">
        <v>0</v>
      </c>
      <c r="J907" t="n">
        <v>0</v>
      </c>
      <c r="K907" t="n">
        <v>0</v>
      </c>
      <c r="L907" t="n">
        <v>0</v>
      </c>
      <c r="M907" t="n">
        <v>0</v>
      </c>
      <c r="N907" t="n">
        <v>0</v>
      </c>
      <c r="O907" t="n">
        <v>0</v>
      </c>
      <c r="P907" t="n">
        <v>0</v>
      </c>
      <c r="Q907" t="n">
        <v>0</v>
      </c>
      <c r="R907" s="2" t="inlineStr"/>
    </row>
    <row r="908" ht="15" customHeight="1">
      <c r="A908" t="inlineStr">
        <is>
          <t>A 24343-2024</t>
        </is>
      </c>
      <c r="B908" s="1" t="n">
        <v>45457</v>
      </c>
      <c r="C908" s="1" t="n">
        <v>45784</v>
      </c>
      <c r="D908" t="inlineStr">
        <is>
          <t>DALARNAS LÄN</t>
        </is>
      </c>
      <c r="E908" t="inlineStr">
        <is>
          <t>MORA</t>
        </is>
      </c>
      <c r="F908" t="inlineStr">
        <is>
          <t>Bergvik skog öst AB</t>
        </is>
      </c>
      <c r="G908" t="n">
        <v>2</v>
      </c>
      <c r="H908" t="n">
        <v>0</v>
      </c>
      <c r="I908" t="n">
        <v>0</v>
      </c>
      <c r="J908" t="n">
        <v>0</v>
      </c>
      <c r="K908" t="n">
        <v>0</v>
      </c>
      <c r="L908" t="n">
        <v>0</v>
      </c>
      <c r="M908" t="n">
        <v>0</v>
      </c>
      <c r="N908" t="n">
        <v>0</v>
      </c>
      <c r="O908" t="n">
        <v>0</v>
      </c>
      <c r="P908" t="n">
        <v>0</v>
      </c>
      <c r="Q908" t="n">
        <v>0</v>
      </c>
      <c r="R908" s="2" t="inlineStr"/>
    </row>
    <row r="909" ht="15" customHeight="1">
      <c r="A909" t="inlineStr">
        <is>
          <t>A 24768-2024</t>
        </is>
      </c>
      <c r="B909" s="1" t="n">
        <v>45460</v>
      </c>
      <c r="C909" s="1" t="n">
        <v>45784</v>
      </c>
      <c r="D909" t="inlineStr">
        <is>
          <t>DALARNAS LÄN</t>
        </is>
      </c>
      <c r="E909" t="inlineStr">
        <is>
          <t>MORA</t>
        </is>
      </c>
      <c r="G909" t="n">
        <v>2.4</v>
      </c>
      <c r="H909" t="n">
        <v>0</v>
      </c>
      <c r="I909" t="n">
        <v>0</v>
      </c>
      <c r="J909" t="n">
        <v>0</v>
      </c>
      <c r="K909" t="n">
        <v>0</v>
      </c>
      <c r="L909" t="n">
        <v>0</v>
      </c>
      <c r="M909" t="n">
        <v>0</v>
      </c>
      <c r="N909" t="n">
        <v>0</v>
      </c>
      <c r="O909" t="n">
        <v>0</v>
      </c>
      <c r="P909" t="n">
        <v>0</v>
      </c>
      <c r="Q909" t="n">
        <v>0</v>
      </c>
      <c r="R909" s="2" t="inlineStr"/>
    </row>
    <row r="910" ht="15" customHeight="1">
      <c r="A910" t="inlineStr">
        <is>
          <t>A 24772-2024</t>
        </is>
      </c>
      <c r="B910" s="1" t="n">
        <v>45460</v>
      </c>
      <c r="C910" s="1" t="n">
        <v>45784</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24590-2024</t>
        </is>
      </c>
      <c r="B911" s="1" t="n">
        <v>45460</v>
      </c>
      <c r="C911" s="1" t="n">
        <v>45784</v>
      </c>
      <c r="D911" t="inlineStr">
        <is>
          <t>DALARNAS LÄN</t>
        </is>
      </c>
      <c r="E911" t="inlineStr">
        <is>
          <t>MORA</t>
        </is>
      </c>
      <c r="G911" t="n">
        <v>0.6</v>
      </c>
      <c r="H911" t="n">
        <v>0</v>
      </c>
      <c r="I911" t="n">
        <v>0</v>
      </c>
      <c r="J911" t="n">
        <v>0</v>
      </c>
      <c r="K911" t="n">
        <v>0</v>
      </c>
      <c r="L911" t="n">
        <v>0</v>
      </c>
      <c r="M911" t="n">
        <v>0</v>
      </c>
      <c r="N911" t="n">
        <v>0</v>
      </c>
      <c r="O911" t="n">
        <v>0</v>
      </c>
      <c r="P911" t="n">
        <v>0</v>
      </c>
      <c r="Q911" t="n">
        <v>0</v>
      </c>
      <c r="R911" s="2" t="inlineStr"/>
    </row>
    <row r="912" ht="15" customHeight="1">
      <c r="A912" t="inlineStr">
        <is>
          <t>A 24593-2024</t>
        </is>
      </c>
      <c r="B912" s="1" t="n">
        <v>45460</v>
      </c>
      <c r="C912" s="1" t="n">
        <v>45784</v>
      </c>
      <c r="D912" t="inlineStr">
        <is>
          <t>DALARNAS LÄN</t>
        </is>
      </c>
      <c r="E912" t="inlineStr">
        <is>
          <t>MORA</t>
        </is>
      </c>
      <c r="G912" t="n">
        <v>6.6</v>
      </c>
      <c r="H912" t="n">
        <v>0</v>
      </c>
      <c r="I912" t="n">
        <v>0</v>
      </c>
      <c r="J912" t="n">
        <v>0</v>
      </c>
      <c r="K912" t="n">
        <v>0</v>
      </c>
      <c r="L912" t="n">
        <v>0</v>
      </c>
      <c r="M912" t="n">
        <v>0</v>
      </c>
      <c r="N912" t="n">
        <v>0</v>
      </c>
      <c r="O912" t="n">
        <v>0</v>
      </c>
      <c r="P912" t="n">
        <v>0</v>
      </c>
      <c r="Q912" t="n">
        <v>0</v>
      </c>
      <c r="R912" s="2" t="inlineStr"/>
    </row>
    <row r="913" ht="15" customHeight="1">
      <c r="A913" t="inlineStr">
        <is>
          <t>A 25499-2024</t>
        </is>
      </c>
      <c r="B913" s="1" t="n">
        <v>45463</v>
      </c>
      <c r="C913" s="1" t="n">
        <v>45784</v>
      </c>
      <c r="D913" t="inlineStr">
        <is>
          <t>DALARNAS LÄN</t>
        </is>
      </c>
      <c r="E913" t="inlineStr">
        <is>
          <t>MORA</t>
        </is>
      </c>
      <c r="G913" t="n">
        <v>0.8</v>
      </c>
      <c r="H913" t="n">
        <v>0</v>
      </c>
      <c r="I913" t="n">
        <v>0</v>
      </c>
      <c r="J913" t="n">
        <v>0</v>
      </c>
      <c r="K913" t="n">
        <v>0</v>
      </c>
      <c r="L913" t="n">
        <v>0</v>
      </c>
      <c r="M913" t="n">
        <v>0</v>
      </c>
      <c r="N913" t="n">
        <v>0</v>
      </c>
      <c r="O913" t="n">
        <v>0</v>
      </c>
      <c r="P913" t="n">
        <v>0</v>
      </c>
      <c r="Q913" t="n">
        <v>0</v>
      </c>
      <c r="R913" s="2" t="inlineStr"/>
    </row>
    <row r="914" ht="15" customHeight="1">
      <c r="A914" t="inlineStr">
        <is>
          <t>A 25494-2024</t>
        </is>
      </c>
      <c r="B914" s="1" t="n">
        <v>45463</v>
      </c>
      <c r="C914" s="1" t="n">
        <v>45784</v>
      </c>
      <c r="D914" t="inlineStr">
        <is>
          <t>DALARNAS LÄN</t>
        </is>
      </c>
      <c r="E914" t="inlineStr">
        <is>
          <t>MORA</t>
        </is>
      </c>
      <c r="G914" t="n">
        <v>4.9</v>
      </c>
      <c r="H914" t="n">
        <v>0</v>
      </c>
      <c r="I914" t="n">
        <v>0</v>
      </c>
      <c r="J914" t="n">
        <v>0</v>
      </c>
      <c r="K914" t="n">
        <v>0</v>
      </c>
      <c r="L914" t="n">
        <v>0</v>
      </c>
      <c r="M914" t="n">
        <v>0</v>
      </c>
      <c r="N914" t="n">
        <v>0</v>
      </c>
      <c r="O914" t="n">
        <v>0</v>
      </c>
      <c r="P914" t="n">
        <v>0</v>
      </c>
      <c r="Q914" t="n">
        <v>0</v>
      </c>
      <c r="R914" s="2" t="inlineStr"/>
    </row>
    <row r="915" ht="15" customHeight="1">
      <c r="A915" t="inlineStr">
        <is>
          <t>A 25426-2024</t>
        </is>
      </c>
      <c r="B915" s="1" t="n">
        <v>45463</v>
      </c>
      <c r="C915" s="1" t="n">
        <v>45784</v>
      </c>
      <c r="D915" t="inlineStr">
        <is>
          <t>DALARNAS LÄN</t>
        </is>
      </c>
      <c r="E915" t="inlineStr">
        <is>
          <t>MORA</t>
        </is>
      </c>
      <c r="G915" t="n">
        <v>14.1</v>
      </c>
      <c r="H915" t="n">
        <v>0</v>
      </c>
      <c r="I915" t="n">
        <v>0</v>
      </c>
      <c r="J915" t="n">
        <v>0</v>
      </c>
      <c r="K915" t="n">
        <v>0</v>
      </c>
      <c r="L915" t="n">
        <v>0</v>
      </c>
      <c r="M915" t="n">
        <v>0</v>
      </c>
      <c r="N915" t="n">
        <v>0</v>
      </c>
      <c r="O915" t="n">
        <v>0</v>
      </c>
      <c r="P915" t="n">
        <v>0</v>
      </c>
      <c r="Q915" t="n">
        <v>0</v>
      </c>
      <c r="R915" s="2" t="inlineStr"/>
    </row>
    <row r="916" ht="15" customHeight="1">
      <c r="A916" t="inlineStr">
        <is>
          <t>A 25856-2024</t>
        </is>
      </c>
      <c r="B916" s="1" t="n">
        <v>45467</v>
      </c>
      <c r="C916" s="1" t="n">
        <v>45784</v>
      </c>
      <c r="D916" t="inlineStr">
        <is>
          <t>DALARNAS LÄN</t>
        </is>
      </c>
      <c r="E916" t="inlineStr">
        <is>
          <t>MORA</t>
        </is>
      </c>
      <c r="G916" t="n">
        <v>2.8</v>
      </c>
      <c r="H916" t="n">
        <v>0</v>
      </c>
      <c r="I916" t="n">
        <v>0</v>
      </c>
      <c r="J916" t="n">
        <v>0</v>
      </c>
      <c r="K916" t="n">
        <v>0</v>
      </c>
      <c r="L916" t="n">
        <v>0</v>
      </c>
      <c r="M916" t="n">
        <v>0</v>
      </c>
      <c r="N916" t="n">
        <v>0</v>
      </c>
      <c r="O916" t="n">
        <v>0</v>
      </c>
      <c r="P916" t="n">
        <v>0</v>
      </c>
      <c r="Q916" t="n">
        <v>0</v>
      </c>
      <c r="R916" s="2" t="inlineStr"/>
    </row>
    <row r="917" ht="15" customHeight="1">
      <c r="A917" t="inlineStr">
        <is>
          <t>A 26577-2024</t>
        </is>
      </c>
      <c r="B917" s="1" t="n">
        <v>45469</v>
      </c>
      <c r="C917" s="1" t="n">
        <v>45784</v>
      </c>
      <c r="D917" t="inlineStr">
        <is>
          <t>DALARNAS LÄN</t>
        </is>
      </c>
      <c r="E917" t="inlineStr">
        <is>
          <t>MORA</t>
        </is>
      </c>
      <c r="G917" t="n">
        <v>5.4</v>
      </c>
      <c r="H917" t="n">
        <v>0</v>
      </c>
      <c r="I917" t="n">
        <v>0</v>
      </c>
      <c r="J917" t="n">
        <v>0</v>
      </c>
      <c r="K917" t="n">
        <v>0</v>
      </c>
      <c r="L917" t="n">
        <v>0</v>
      </c>
      <c r="M917" t="n">
        <v>0</v>
      </c>
      <c r="N917" t="n">
        <v>0</v>
      </c>
      <c r="O917" t="n">
        <v>0</v>
      </c>
      <c r="P917" t="n">
        <v>0</v>
      </c>
      <c r="Q917" t="n">
        <v>0</v>
      </c>
      <c r="R917" s="2" t="inlineStr"/>
    </row>
    <row r="918" ht="15" customHeight="1">
      <c r="A918" t="inlineStr">
        <is>
          <t>A 26810-2024</t>
        </is>
      </c>
      <c r="B918" s="1" t="n">
        <v>45470</v>
      </c>
      <c r="C918" s="1" t="n">
        <v>45784</v>
      </c>
      <c r="D918" t="inlineStr">
        <is>
          <t>DALARNAS LÄN</t>
        </is>
      </c>
      <c r="E918" t="inlineStr">
        <is>
          <t>MORA</t>
        </is>
      </c>
      <c r="G918" t="n">
        <v>2.7</v>
      </c>
      <c r="H918" t="n">
        <v>0</v>
      </c>
      <c r="I918" t="n">
        <v>0</v>
      </c>
      <c r="J918" t="n">
        <v>0</v>
      </c>
      <c r="K918" t="n">
        <v>0</v>
      </c>
      <c r="L918" t="n">
        <v>0</v>
      </c>
      <c r="M918" t="n">
        <v>0</v>
      </c>
      <c r="N918" t="n">
        <v>0</v>
      </c>
      <c r="O918" t="n">
        <v>0</v>
      </c>
      <c r="P918" t="n">
        <v>0</v>
      </c>
      <c r="Q918" t="n">
        <v>0</v>
      </c>
      <c r="R918" s="2" t="inlineStr"/>
    </row>
    <row r="919" ht="15" customHeight="1">
      <c r="A919" t="inlineStr">
        <is>
          <t>A 26724-2024</t>
        </is>
      </c>
      <c r="B919" s="1" t="n">
        <v>45470</v>
      </c>
      <c r="C919" s="1" t="n">
        <v>45784</v>
      </c>
      <c r="D919" t="inlineStr">
        <is>
          <t>DALARNAS LÄN</t>
        </is>
      </c>
      <c r="E919" t="inlineStr">
        <is>
          <t>MORA</t>
        </is>
      </c>
      <c r="G919" t="n">
        <v>5.1</v>
      </c>
      <c r="H919" t="n">
        <v>0</v>
      </c>
      <c r="I919" t="n">
        <v>0</v>
      </c>
      <c r="J919" t="n">
        <v>0</v>
      </c>
      <c r="K919" t="n">
        <v>0</v>
      </c>
      <c r="L919" t="n">
        <v>0</v>
      </c>
      <c r="M919" t="n">
        <v>0</v>
      </c>
      <c r="N919" t="n">
        <v>0</v>
      </c>
      <c r="O919" t="n">
        <v>0</v>
      </c>
      <c r="P919" t="n">
        <v>0</v>
      </c>
      <c r="Q919" t="n">
        <v>0</v>
      </c>
      <c r="R919" s="2" t="inlineStr"/>
    </row>
    <row r="920" ht="15" customHeight="1">
      <c r="A920" t="inlineStr">
        <is>
          <t>A 26758-2024</t>
        </is>
      </c>
      <c r="B920" s="1" t="n">
        <v>45470</v>
      </c>
      <c r="C920" s="1" t="n">
        <v>45784</v>
      </c>
      <c r="D920" t="inlineStr">
        <is>
          <t>DALARNAS LÄN</t>
        </is>
      </c>
      <c r="E920" t="inlineStr">
        <is>
          <t>MORA</t>
        </is>
      </c>
      <c r="G920" t="n">
        <v>1.4</v>
      </c>
      <c r="H920" t="n">
        <v>0</v>
      </c>
      <c r="I920" t="n">
        <v>0</v>
      </c>
      <c r="J920" t="n">
        <v>0</v>
      </c>
      <c r="K920" t="n">
        <v>0</v>
      </c>
      <c r="L920" t="n">
        <v>0</v>
      </c>
      <c r="M920" t="n">
        <v>0</v>
      </c>
      <c r="N920" t="n">
        <v>0</v>
      </c>
      <c r="O920" t="n">
        <v>0</v>
      </c>
      <c r="P920" t="n">
        <v>0</v>
      </c>
      <c r="Q920" t="n">
        <v>0</v>
      </c>
      <c r="R920" s="2" t="inlineStr"/>
    </row>
    <row r="921" ht="15" customHeight="1">
      <c r="A921" t="inlineStr">
        <is>
          <t>A 26753-2024</t>
        </is>
      </c>
      <c r="B921" s="1" t="n">
        <v>45470</v>
      </c>
      <c r="C921" s="1" t="n">
        <v>45784</v>
      </c>
      <c r="D921" t="inlineStr">
        <is>
          <t>DALARNAS LÄN</t>
        </is>
      </c>
      <c r="E921" t="inlineStr">
        <is>
          <t>MORA</t>
        </is>
      </c>
      <c r="G921" t="n">
        <v>4</v>
      </c>
      <c r="H921" t="n">
        <v>0</v>
      </c>
      <c r="I921" t="n">
        <v>0</v>
      </c>
      <c r="J921" t="n">
        <v>0</v>
      </c>
      <c r="K921" t="n">
        <v>0</v>
      </c>
      <c r="L921" t="n">
        <v>0</v>
      </c>
      <c r="M921" t="n">
        <v>0</v>
      </c>
      <c r="N921" t="n">
        <v>0</v>
      </c>
      <c r="O921" t="n">
        <v>0</v>
      </c>
      <c r="P921" t="n">
        <v>0</v>
      </c>
      <c r="Q921" t="n">
        <v>0</v>
      </c>
      <c r="R921" s="2" t="inlineStr"/>
    </row>
    <row r="922" ht="15" customHeight="1">
      <c r="A922" t="inlineStr">
        <is>
          <t>A 27125-2024</t>
        </is>
      </c>
      <c r="B922" s="1" t="n">
        <v>45471</v>
      </c>
      <c r="C922" s="1" t="n">
        <v>45784</v>
      </c>
      <c r="D922" t="inlineStr">
        <is>
          <t>DALARNAS LÄN</t>
        </is>
      </c>
      <c r="E922" t="inlineStr">
        <is>
          <t>MORA</t>
        </is>
      </c>
      <c r="G922" t="n">
        <v>2.3</v>
      </c>
      <c r="H922" t="n">
        <v>0</v>
      </c>
      <c r="I922" t="n">
        <v>0</v>
      </c>
      <c r="J922" t="n">
        <v>0</v>
      </c>
      <c r="K922" t="n">
        <v>0</v>
      </c>
      <c r="L922" t="n">
        <v>0</v>
      </c>
      <c r="M922" t="n">
        <v>0</v>
      </c>
      <c r="N922" t="n">
        <v>0</v>
      </c>
      <c r="O922" t="n">
        <v>0</v>
      </c>
      <c r="P922" t="n">
        <v>0</v>
      </c>
      <c r="Q922" t="n">
        <v>0</v>
      </c>
      <c r="R922" s="2" t="inlineStr"/>
    </row>
    <row r="923" ht="15" customHeight="1">
      <c r="A923" t="inlineStr">
        <is>
          <t>A 27186-2024</t>
        </is>
      </c>
      <c r="B923" s="1" t="n">
        <v>45471</v>
      </c>
      <c r="C923" s="1" t="n">
        <v>45784</v>
      </c>
      <c r="D923" t="inlineStr">
        <is>
          <t>DALARNAS LÄN</t>
        </is>
      </c>
      <c r="E923" t="inlineStr">
        <is>
          <t>MORA</t>
        </is>
      </c>
      <c r="G923" t="n">
        <v>1.7</v>
      </c>
      <c r="H923" t="n">
        <v>0</v>
      </c>
      <c r="I923" t="n">
        <v>0</v>
      </c>
      <c r="J923" t="n">
        <v>0</v>
      </c>
      <c r="K923" t="n">
        <v>0</v>
      </c>
      <c r="L923" t="n">
        <v>0</v>
      </c>
      <c r="M923" t="n">
        <v>0</v>
      </c>
      <c r="N923" t="n">
        <v>0</v>
      </c>
      <c r="O923" t="n">
        <v>0</v>
      </c>
      <c r="P923" t="n">
        <v>0</v>
      </c>
      <c r="Q923" t="n">
        <v>0</v>
      </c>
      <c r="R923" s="2" t="inlineStr"/>
    </row>
    <row r="924" ht="15" customHeight="1">
      <c r="A924" t="inlineStr">
        <is>
          <t>A 27254-2024</t>
        </is>
      </c>
      <c r="B924" s="1" t="n">
        <v>45471</v>
      </c>
      <c r="C924" s="1" t="n">
        <v>45784</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27420-2024</t>
        </is>
      </c>
      <c r="B925" s="1" t="n">
        <v>45474</v>
      </c>
      <c r="C925" s="1" t="n">
        <v>45784</v>
      </c>
      <c r="D925" t="inlineStr">
        <is>
          <t>DALARNAS LÄN</t>
        </is>
      </c>
      <c r="E925" t="inlineStr">
        <is>
          <t>MORA</t>
        </is>
      </c>
      <c r="G925" t="n">
        <v>7.3</v>
      </c>
      <c r="H925" t="n">
        <v>0</v>
      </c>
      <c r="I925" t="n">
        <v>0</v>
      </c>
      <c r="J925" t="n">
        <v>0</v>
      </c>
      <c r="K925" t="n">
        <v>0</v>
      </c>
      <c r="L925" t="n">
        <v>0</v>
      </c>
      <c r="M925" t="n">
        <v>0</v>
      </c>
      <c r="N925" t="n">
        <v>0</v>
      </c>
      <c r="O925" t="n">
        <v>0</v>
      </c>
      <c r="P925" t="n">
        <v>0</v>
      </c>
      <c r="Q925" t="n">
        <v>0</v>
      </c>
      <c r="R925" s="2" t="inlineStr"/>
    </row>
    <row r="926" ht="15" customHeight="1">
      <c r="A926" t="inlineStr">
        <is>
          <t>A 27483-2024</t>
        </is>
      </c>
      <c r="B926" s="1" t="n">
        <v>45474</v>
      </c>
      <c r="C926" s="1" t="n">
        <v>45784</v>
      </c>
      <c r="D926" t="inlineStr">
        <is>
          <t>DALARNAS LÄN</t>
        </is>
      </c>
      <c r="E926" t="inlineStr">
        <is>
          <t>MORA</t>
        </is>
      </c>
      <c r="G926" t="n">
        <v>0.9</v>
      </c>
      <c r="H926" t="n">
        <v>0</v>
      </c>
      <c r="I926" t="n">
        <v>0</v>
      </c>
      <c r="J926" t="n">
        <v>0</v>
      </c>
      <c r="K926" t="n">
        <v>0</v>
      </c>
      <c r="L926" t="n">
        <v>0</v>
      </c>
      <c r="M926" t="n">
        <v>0</v>
      </c>
      <c r="N926" t="n">
        <v>0</v>
      </c>
      <c r="O926" t="n">
        <v>0</v>
      </c>
      <c r="P926" t="n">
        <v>0</v>
      </c>
      <c r="Q926" t="n">
        <v>0</v>
      </c>
      <c r="R926" s="2" t="inlineStr"/>
    </row>
    <row r="927" ht="15" customHeight="1">
      <c r="A927" t="inlineStr">
        <is>
          <t>A 28130-2024</t>
        </is>
      </c>
      <c r="B927" s="1" t="n">
        <v>45476</v>
      </c>
      <c r="C927" s="1" t="n">
        <v>45784</v>
      </c>
      <c r="D927" t="inlineStr">
        <is>
          <t>DALARNAS LÄN</t>
        </is>
      </c>
      <c r="E927" t="inlineStr">
        <is>
          <t>MORA</t>
        </is>
      </c>
      <c r="G927" t="n">
        <v>1.5</v>
      </c>
      <c r="H927" t="n">
        <v>0</v>
      </c>
      <c r="I927" t="n">
        <v>0</v>
      </c>
      <c r="J927" t="n">
        <v>0</v>
      </c>
      <c r="K927" t="n">
        <v>0</v>
      </c>
      <c r="L927" t="n">
        <v>0</v>
      </c>
      <c r="M927" t="n">
        <v>0</v>
      </c>
      <c r="N927" t="n">
        <v>0</v>
      </c>
      <c r="O927" t="n">
        <v>0</v>
      </c>
      <c r="P927" t="n">
        <v>0</v>
      </c>
      <c r="Q927" t="n">
        <v>0</v>
      </c>
      <c r="R927" s="2" t="inlineStr"/>
    </row>
    <row r="928" ht="15" customHeight="1">
      <c r="A928" t="inlineStr">
        <is>
          <t>A 28131-2024</t>
        </is>
      </c>
      <c r="B928" s="1" t="n">
        <v>45476</v>
      </c>
      <c r="C928" s="1" t="n">
        <v>45784</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28014-2024</t>
        </is>
      </c>
      <c r="B929" s="1" t="n">
        <v>45476</v>
      </c>
      <c r="C929" s="1" t="n">
        <v>45784</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28132-2024</t>
        </is>
      </c>
      <c r="B930" s="1" t="n">
        <v>45476</v>
      </c>
      <c r="C930" s="1" t="n">
        <v>45784</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28384-2024</t>
        </is>
      </c>
      <c r="B931" s="1" t="n">
        <v>45477</v>
      </c>
      <c r="C931" s="1" t="n">
        <v>45784</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28487-2024</t>
        </is>
      </c>
      <c r="B932" s="1" t="n">
        <v>45477</v>
      </c>
      <c r="C932" s="1" t="n">
        <v>45784</v>
      </c>
      <c r="D932" t="inlineStr">
        <is>
          <t>DALARNAS LÄN</t>
        </is>
      </c>
      <c r="E932" t="inlineStr">
        <is>
          <t>MORA</t>
        </is>
      </c>
      <c r="G932" t="n">
        <v>3.1</v>
      </c>
      <c r="H932" t="n">
        <v>0</v>
      </c>
      <c r="I932" t="n">
        <v>0</v>
      </c>
      <c r="J932" t="n">
        <v>0</v>
      </c>
      <c r="K932" t="n">
        <v>0</v>
      </c>
      <c r="L932" t="n">
        <v>0</v>
      </c>
      <c r="M932" t="n">
        <v>0</v>
      </c>
      <c r="N932" t="n">
        <v>0</v>
      </c>
      <c r="O932" t="n">
        <v>0</v>
      </c>
      <c r="P932" t="n">
        <v>0</v>
      </c>
      <c r="Q932" t="n">
        <v>0</v>
      </c>
      <c r="R932" s="2" t="inlineStr"/>
    </row>
    <row r="933" ht="15" customHeight="1">
      <c r="A933" t="inlineStr">
        <is>
          <t>A 28372-2024</t>
        </is>
      </c>
      <c r="B933" s="1" t="n">
        <v>45477</v>
      </c>
      <c r="C933" s="1" t="n">
        <v>45784</v>
      </c>
      <c r="D933" t="inlineStr">
        <is>
          <t>DALARNAS LÄN</t>
        </is>
      </c>
      <c r="E933" t="inlineStr">
        <is>
          <t>MORA</t>
        </is>
      </c>
      <c r="G933" t="n">
        <v>3.4</v>
      </c>
      <c r="H933" t="n">
        <v>0</v>
      </c>
      <c r="I933" t="n">
        <v>0</v>
      </c>
      <c r="J933" t="n">
        <v>0</v>
      </c>
      <c r="K933" t="n">
        <v>0</v>
      </c>
      <c r="L933" t="n">
        <v>0</v>
      </c>
      <c r="M933" t="n">
        <v>0</v>
      </c>
      <c r="N933" t="n">
        <v>0</v>
      </c>
      <c r="O933" t="n">
        <v>0</v>
      </c>
      <c r="P933" t="n">
        <v>0</v>
      </c>
      <c r="Q933" t="n">
        <v>0</v>
      </c>
      <c r="R933" s="2" t="inlineStr"/>
    </row>
    <row r="934" ht="15" customHeight="1">
      <c r="A934" t="inlineStr">
        <is>
          <t>A 28264-2024</t>
        </is>
      </c>
      <c r="B934" s="1" t="n">
        <v>45477</v>
      </c>
      <c r="C934" s="1" t="n">
        <v>45784</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29043-2024</t>
        </is>
      </c>
      <c r="B935" s="1" t="n">
        <v>45481</v>
      </c>
      <c r="C935" s="1" t="n">
        <v>45784</v>
      </c>
      <c r="D935" t="inlineStr">
        <is>
          <t>DALARNAS LÄN</t>
        </is>
      </c>
      <c r="E935" t="inlineStr">
        <is>
          <t>MORA</t>
        </is>
      </c>
      <c r="G935" t="n">
        <v>2.4</v>
      </c>
      <c r="H935" t="n">
        <v>0</v>
      </c>
      <c r="I935" t="n">
        <v>0</v>
      </c>
      <c r="J935" t="n">
        <v>0</v>
      </c>
      <c r="K935" t="n">
        <v>0</v>
      </c>
      <c r="L935" t="n">
        <v>0</v>
      </c>
      <c r="M935" t="n">
        <v>0</v>
      </c>
      <c r="N935" t="n">
        <v>0</v>
      </c>
      <c r="O935" t="n">
        <v>0</v>
      </c>
      <c r="P935" t="n">
        <v>0</v>
      </c>
      <c r="Q935" t="n">
        <v>0</v>
      </c>
      <c r="R935" s="2" t="inlineStr"/>
    </row>
    <row r="936" ht="15" customHeight="1">
      <c r="A936" t="inlineStr">
        <is>
          <t>A 28964-2024</t>
        </is>
      </c>
      <c r="B936" s="1" t="n">
        <v>45481</v>
      </c>
      <c r="C936" s="1" t="n">
        <v>45784</v>
      </c>
      <c r="D936" t="inlineStr">
        <is>
          <t>DALARNAS LÄN</t>
        </is>
      </c>
      <c r="E936" t="inlineStr">
        <is>
          <t>MORA</t>
        </is>
      </c>
      <c r="G936" t="n">
        <v>1.3</v>
      </c>
      <c r="H936" t="n">
        <v>0</v>
      </c>
      <c r="I936" t="n">
        <v>0</v>
      </c>
      <c r="J936" t="n">
        <v>0</v>
      </c>
      <c r="K936" t="n">
        <v>0</v>
      </c>
      <c r="L936" t="n">
        <v>0</v>
      </c>
      <c r="M936" t="n">
        <v>0</v>
      </c>
      <c r="N936" t="n">
        <v>0</v>
      </c>
      <c r="O936" t="n">
        <v>0</v>
      </c>
      <c r="P936" t="n">
        <v>0</v>
      </c>
      <c r="Q936" t="n">
        <v>0</v>
      </c>
      <c r="R936" s="2" t="inlineStr"/>
    </row>
    <row r="937" ht="15" customHeight="1">
      <c r="A937" t="inlineStr">
        <is>
          <t>A 28952-2024</t>
        </is>
      </c>
      <c r="B937" s="1" t="n">
        <v>45481</v>
      </c>
      <c r="C937" s="1" t="n">
        <v>45784</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29182-2024</t>
        </is>
      </c>
      <c r="B938" s="1" t="n">
        <v>45482</v>
      </c>
      <c r="C938" s="1" t="n">
        <v>45784</v>
      </c>
      <c r="D938" t="inlineStr">
        <is>
          <t>DALARNAS LÄN</t>
        </is>
      </c>
      <c r="E938" t="inlineStr">
        <is>
          <t>MORA</t>
        </is>
      </c>
      <c r="G938" t="n">
        <v>4.6</v>
      </c>
      <c r="H938" t="n">
        <v>0</v>
      </c>
      <c r="I938" t="n">
        <v>0</v>
      </c>
      <c r="J938" t="n">
        <v>0</v>
      </c>
      <c r="K938" t="n">
        <v>0</v>
      </c>
      <c r="L938" t="n">
        <v>0</v>
      </c>
      <c r="M938" t="n">
        <v>0</v>
      </c>
      <c r="N938" t="n">
        <v>0</v>
      </c>
      <c r="O938" t="n">
        <v>0</v>
      </c>
      <c r="P938" t="n">
        <v>0</v>
      </c>
      <c r="Q938" t="n">
        <v>0</v>
      </c>
      <c r="R938" s="2" t="inlineStr"/>
    </row>
    <row r="939" ht="15" customHeight="1">
      <c r="A939" t="inlineStr">
        <is>
          <t>A 29178-2024</t>
        </is>
      </c>
      <c r="B939" s="1" t="n">
        <v>45482</v>
      </c>
      <c r="C939" s="1" t="n">
        <v>45784</v>
      </c>
      <c r="D939" t="inlineStr">
        <is>
          <t>DALARNAS LÄN</t>
        </is>
      </c>
      <c r="E939" t="inlineStr">
        <is>
          <t>MORA</t>
        </is>
      </c>
      <c r="G939" t="n">
        <v>3.9</v>
      </c>
      <c r="H939" t="n">
        <v>0</v>
      </c>
      <c r="I939" t="n">
        <v>0</v>
      </c>
      <c r="J939" t="n">
        <v>0</v>
      </c>
      <c r="K939" t="n">
        <v>0</v>
      </c>
      <c r="L939" t="n">
        <v>0</v>
      </c>
      <c r="M939" t="n">
        <v>0</v>
      </c>
      <c r="N939" t="n">
        <v>0</v>
      </c>
      <c r="O939" t="n">
        <v>0</v>
      </c>
      <c r="P939" t="n">
        <v>0</v>
      </c>
      <c r="Q939" t="n">
        <v>0</v>
      </c>
      <c r="R939" s="2" t="inlineStr"/>
    </row>
    <row r="940" ht="15" customHeight="1">
      <c r="A940" t="inlineStr">
        <is>
          <t>A 29302-2024</t>
        </is>
      </c>
      <c r="B940" s="1" t="n">
        <v>45483</v>
      </c>
      <c r="C940" s="1" t="n">
        <v>45784</v>
      </c>
      <c r="D940" t="inlineStr">
        <is>
          <t>DALARNAS LÄN</t>
        </is>
      </c>
      <c r="E940" t="inlineStr">
        <is>
          <t>MORA</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29316-2024</t>
        </is>
      </c>
      <c r="B941" s="1" t="n">
        <v>45483</v>
      </c>
      <c r="C941" s="1" t="n">
        <v>45784</v>
      </c>
      <c r="D941" t="inlineStr">
        <is>
          <t>DALARNAS LÄN</t>
        </is>
      </c>
      <c r="E941" t="inlineStr">
        <is>
          <t>MORA</t>
        </is>
      </c>
      <c r="F941" t="inlineStr">
        <is>
          <t>Bergvik skog öst AB</t>
        </is>
      </c>
      <c r="G941" t="n">
        <v>1.3</v>
      </c>
      <c r="H941" t="n">
        <v>0</v>
      </c>
      <c r="I941" t="n">
        <v>0</v>
      </c>
      <c r="J941" t="n">
        <v>0</v>
      </c>
      <c r="K941" t="n">
        <v>0</v>
      </c>
      <c r="L941" t="n">
        <v>0</v>
      </c>
      <c r="M941" t="n">
        <v>0</v>
      </c>
      <c r="N941" t="n">
        <v>0</v>
      </c>
      <c r="O941" t="n">
        <v>0</v>
      </c>
      <c r="P941" t="n">
        <v>0</v>
      </c>
      <c r="Q941" t="n">
        <v>0</v>
      </c>
      <c r="R941" s="2" t="inlineStr"/>
    </row>
    <row r="942" ht="15" customHeight="1">
      <c r="A942" t="inlineStr">
        <is>
          <t>A 29799-2024</t>
        </is>
      </c>
      <c r="B942" s="1" t="n">
        <v>45485</v>
      </c>
      <c r="C942" s="1" t="n">
        <v>45784</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29801-2024</t>
        </is>
      </c>
      <c r="B943" s="1" t="n">
        <v>45485</v>
      </c>
      <c r="C943" s="1" t="n">
        <v>45784</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29901-2024</t>
        </is>
      </c>
      <c r="B944" s="1" t="n">
        <v>45487</v>
      </c>
      <c r="C944" s="1" t="n">
        <v>45784</v>
      </c>
      <c r="D944" t="inlineStr">
        <is>
          <t>DALARNAS LÄN</t>
        </is>
      </c>
      <c r="E944" t="inlineStr">
        <is>
          <t>MORA</t>
        </is>
      </c>
      <c r="F944" t="inlineStr">
        <is>
          <t>Bergvik skog öst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29896-2024</t>
        </is>
      </c>
      <c r="B945" s="1" t="n">
        <v>45487</v>
      </c>
      <c r="C945" s="1" t="n">
        <v>45784</v>
      </c>
      <c r="D945" t="inlineStr">
        <is>
          <t>DALARNAS LÄN</t>
        </is>
      </c>
      <c r="E945" t="inlineStr">
        <is>
          <t>MORA</t>
        </is>
      </c>
      <c r="G945" t="n">
        <v>7.9</v>
      </c>
      <c r="H945" t="n">
        <v>0</v>
      </c>
      <c r="I945" t="n">
        <v>0</v>
      </c>
      <c r="J945" t="n">
        <v>0</v>
      </c>
      <c r="K945" t="n">
        <v>0</v>
      </c>
      <c r="L945" t="n">
        <v>0</v>
      </c>
      <c r="M945" t="n">
        <v>0</v>
      </c>
      <c r="N945" t="n">
        <v>0</v>
      </c>
      <c r="O945" t="n">
        <v>0</v>
      </c>
      <c r="P945" t="n">
        <v>0</v>
      </c>
      <c r="Q945" t="n">
        <v>0</v>
      </c>
      <c r="R945" s="2" t="inlineStr"/>
    </row>
    <row r="946" ht="15" customHeight="1">
      <c r="A946" t="inlineStr">
        <is>
          <t>A 29900-2024</t>
        </is>
      </c>
      <c r="B946" s="1" t="n">
        <v>45487</v>
      </c>
      <c r="C946" s="1" t="n">
        <v>45784</v>
      </c>
      <c r="D946" t="inlineStr">
        <is>
          <t>DALARNAS LÄN</t>
        </is>
      </c>
      <c r="E946" t="inlineStr">
        <is>
          <t>MORA</t>
        </is>
      </c>
      <c r="F946" t="inlineStr">
        <is>
          <t>Bergvik skog öst AB</t>
        </is>
      </c>
      <c r="G946" t="n">
        <v>1</v>
      </c>
      <c r="H946" t="n">
        <v>0</v>
      </c>
      <c r="I946" t="n">
        <v>0</v>
      </c>
      <c r="J946" t="n">
        <v>0</v>
      </c>
      <c r="K946" t="n">
        <v>0</v>
      </c>
      <c r="L946" t="n">
        <v>0</v>
      </c>
      <c r="M946" t="n">
        <v>0</v>
      </c>
      <c r="N946" t="n">
        <v>0</v>
      </c>
      <c r="O946" t="n">
        <v>0</v>
      </c>
      <c r="P946" t="n">
        <v>0</v>
      </c>
      <c r="Q946" t="n">
        <v>0</v>
      </c>
      <c r="R946" s="2" t="inlineStr"/>
    </row>
    <row r="947" ht="15" customHeight="1">
      <c r="A947" t="inlineStr">
        <is>
          <t>A 30203-2024</t>
        </is>
      </c>
      <c r="B947" s="1" t="n">
        <v>45490</v>
      </c>
      <c r="C947" s="1" t="n">
        <v>45784</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30202-2024</t>
        </is>
      </c>
      <c r="B948" s="1" t="n">
        <v>45490</v>
      </c>
      <c r="C948" s="1" t="n">
        <v>45784</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30194-2024</t>
        </is>
      </c>
      <c r="B949" s="1" t="n">
        <v>45490</v>
      </c>
      <c r="C949" s="1" t="n">
        <v>45784</v>
      </c>
      <c r="D949" t="inlineStr">
        <is>
          <t>DALARNAS LÄN</t>
        </is>
      </c>
      <c r="E949" t="inlineStr">
        <is>
          <t>MORA</t>
        </is>
      </c>
      <c r="G949" t="n">
        <v>3.1</v>
      </c>
      <c r="H949" t="n">
        <v>0</v>
      </c>
      <c r="I949" t="n">
        <v>0</v>
      </c>
      <c r="J949" t="n">
        <v>0</v>
      </c>
      <c r="K949" t="n">
        <v>0</v>
      </c>
      <c r="L949" t="n">
        <v>0</v>
      </c>
      <c r="M949" t="n">
        <v>0</v>
      </c>
      <c r="N949" t="n">
        <v>0</v>
      </c>
      <c r="O949" t="n">
        <v>0</v>
      </c>
      <c r="P949" t="n">
        <v>0</v>
      </c>
      <c r="Q949" t="n">
        <v>0</v>
      </c>
      <c r="R949" s="2" t="inlineStr"/>
    </row>
    <row r="950" ht="15" customHeight="1">
      <c r="A950" t="inlineStr">
        <is>
          <t>A 30402-2024</t>
        </is>
      </c>
      <c r="B950" s="1" t="n">
        <v>45491</v>
      </c>
      <c r="C950" s="1" t="n">
        <v>45784</v>
      </c>
      <c r="D950" t="inlineStr">
        <is>
          <t>DALARNAS LÄN</t>
        </is>
      </c>
      <c r="E950" t="inlineStr">
        <is>
          <t>MORA</t>
        </is>
      </c>
      <c r="G950" t="n">
        <v>17.6</v>
      </c>
      <c r="H950" t="n">
        <v>0</v>
      </c>
      <c r="I950" t="n">
        <v>0</v>
      </c>
      <c r="J950" t="n">
        <v>0</v>
      </c>
      <c r="K950" t="n">
        <v>0</v>
      </c>
      <c r="L950" t="n">
        <v>0</v>
      </c>
      <c r="M950" t="n">
        <v>0</v>
      </c>
      <c r="N950" t="n">
        <v>0</v>
      </c>
      <c r="O950" t="n">
        <v>0</v>
      </c>
      <c r="P950" t="n">
        <v>0</v>
      </c>
      <c r="Q950" t="n">
        <v>0</v>
      </c>
      <c r="R950" s="2" t="inlineStr"/>
    </row>
    <row r="951" ht="15" customHeight="1">
      <c r="A951" t="inlineStr">
        <is>
          <t>A 30631-2024</t>
        </is>
      </c>
      <c r="B951" s="1" t="n">
        <v>45495</v>
      </c>
      <c r="C951" s="1" t="n">
        <v>45784</v>
      </c>
      <c r="D951" t="inlineStr">
        <is>
          <t>DALARNAS LÄN</t>
        </is>
      </c>
      <c r="E951" t="inlineStr">
        <is>
          <t>MORA</t>
        </is>
      </c>
      <c r="G951" t="n">
        <v>3.2</v>
      </c>
      <c r="H951" t="n">
        <v>0</v>
      </c>
      <c r="I951" t="n">
        <v>0</v>
      </c>
      <c r="J951" t="n">
        <v>0</v>
      </c>
      <c r="K951" t="n">
        <v>0</v>
      </c>
      <c r="L951" t="n">
        <v>0</v>
      </c>
      <c r="M951" t="n">
        <v>0</v>
      </c>
      <c r="N951" t="n">
        <v>0</v>
      </c>
      <c r="O951" t="n">
        <v>0</v>
      </c>
      <c r="P951" t="n">
        <v>0</v>
      </c>
      <c r="Q951" t="n">
        <v>0</v>
      </c>
      <c r="R951" s="2" t="inlineStr"/>
    </row>
    <row r="952" ht="15" customHeight="1">
      <c r="A952" t="inlineStr">
        <is>
          <t>A 30826-2024</t>
        </is>
      </c>
      <c r="B952" s="1" t="n">
        <v>45497</v>
      </c>
      <c r="C952" s="1" t="n">
        <v>45784</v>
      </c>
      <c r="D952" t="inlineStr">
        <is>
          <t>DALARNAS LÄN</t>
        </is>
      </c>
      <c r="E952" t="inlineStr">
        <is>
          <t>MORA</t>
        </is>
      </c>
      <c r="G952" t="n">
        <v>3.8</v>
      </c>
      <c r="H952" t="n">
        <v>0</v>
      </c>
      <c r="I952" t="n">
        <v>0</v>
      </c>
      <c r="J952" t="n">
        <v>0</v>
      </c>
      <c r="K952" t="n">
        <v>0</v>
      </c>
      <c r="L952" t="n">
        <v>0</v>
      </c>
      <c r="M952" t="n">
        <v>0</v>
      </c>
      <c r="N952" t="n">
        <v>0</v>
      </c>
      <c r="O952" t="n">
        <v>0</v>
      </c>
      <c r="P952" t="n">
        <v>0</v>
      </c>
      <c r="Q952" t="n">
        <v>0</v>
      </c>
      <c r="R952" s="2" t="inlineStr"/>
    </row>
    <row r="953" ht="15" customHeight="1">
      <c r="A953" t="inlineStr">
        <is>
          <t>A 30822-2024</t>
        </is>
      </c>
      <c r="B953" s="1" t="n">
        <v>45497</v>
      </c>
      <c r="C953" s="1" t="n">
        <v>45784</v>
      </c>
      <c r="D953" t="inlineStr">
        <is>
          <t>DALARNAS LÄN</t>
        </is>
      </c>
      <c r="E953" t="inlineStr">
        <is>
          <t>MORA</t>
        </is>
      </c>
      <c r="G953" t="n">
        <v>1.8</v>
      </c>
      <c r="H953" t="n">
        <v>0</v>
      </c>
      <c r="I953" t="n">
        <v>0</v>
      </c>
      <c r="J953" t="n">
        <v>0</v>
      </c>
      <c r="K953" t="n">
        <v>0</v>
      </c>
      <c r="L953" t="n">
        <v>0</v>
      </c>
      <c r="M953" t="n">
        <v>0</v>
      </c>
      <c r="N953" t="n">
        <v>0</v>
      </c>
      <c r="O953" t="n">
        <v>0</v>
      </c>
      <c r="P953" t="n">
        <v>0</v>
      </c>
      <c r="Q953" t="n">
        <v>0</v>
      </c>
      <c r="R953" s="2" t="inlineStr"/>
    </row>
    <row r="954" ht="15" customHeight="1">
      <c r="A954" t="inlineStr">
        <is>
          <t>A 30819-2024</t>
        </is>
      </c>
      <c r="B954" s="1" t="n">
        <v>45497</v>
      </c>
      <c r="C954" s="1" t="n">
        <v>45784</v>
      </c>
      <c r="D954" t="inlineStr">
        <is>
          <t>DALARNAS LÄN</t>
        </is>
      </c>
      <c r="E954" t="inlineStr">
        <is>
          <t>MORA</t>
        </is>
      </c>
      <c r="G954" t="n">
        <v>2.2</v>
      </c>
      <c r="H954" t="n">
        <v>0</v>
      </c>
      <c r="I954" t="n">
        <v>0</v>
      </c>
      <c r="J954" t="n">
        <v>0</v>
      </c>
      <c r="K954" t="n">
        <v>0</v>
      </c>
      <c r="L954" t="n">
        <v>0</v>
      </c>
      <c r="M954" t="n">
        <v>0</v>
      </c>
      <c r="N954" t="n">
        <v>0</v>
      </c>
      <c r="O954" t="n">
        <v>0</v>
      </c>
      <c r="P954" t="n">
        <v>0</v>
      </c>
      <c r="Q954" t="n">
        <v>0</v>
      </c>
      <c r="R954" s="2" t="inlineStr"/>
    </row>
    <row r="955" ht="15" customHeight="1">
      <c r="A955" t="inlineStr">
        <is>
          <t>A 30984-2024</t>
        </is>
      </c>
      <c r="B955" s="1" t="n">
        <v>45499</v>
      </c>
      <c r="C955" s="1" t="n">
        <v>45784</v>
      </c>
      <c r="D955" t="inlineStr">
        <is>
          <t>DALARNAS LÄN</t>
        </is>
      </c>
      <c r="E955" t="inlineStr">
        <is>
          <t>MORA</t>
        </is>
      </c>
      <c r="G955" t="n">
        <v>1.5</v>
      </c>
      <c r="H955" t="n">
        <v>0</v>
      </c>
      <c r="I955" t="n">
        <v>0</v>
      </c>
      <c r="J955" t="n">
        <v>0</v>
      </c>
      <c r="K955" t="n">
        <v>0</v>
      </c>
      <c r="L955" t="n">
        <v>0</v>
      </c>
      <c r="M955" t="n">
        <v>0</v>
      </c>
      <c r="N955" t="n">
        <v>0</v>
      </c>
      <c r="O955" t="n">
        <v>0</v>
      </c>
      <c r="P955" t="n">
        <v>0</v>
      </c>
      <c r="Q955" t="n">
        <v>0</v>
      </c>
      <c r="R955" s="2" t="inlineStr"/>
    </row>
    <row r="956" ht="15" customHeight="1">
      <c r="A956" t="inlineStr">
        <is>
          <t>A 30985-2024</t>
        </is>
      </c>
      <c r="B956" s="1" t="n">
        <v>45499</v>
      </c>
      <c r="C956" s="1" t="n">
        <v>45784</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31107-2024</t>
        </is>
      </c>
      <c r="B957" s="1" t="n">
        <v>45502</v>
      </c>
      <c r="C957" s="1" t="n">
        <v>45784</v>
      </c>
      <c r="D957" t="inlineStr">
        <is>
          <t>DALARNAS LÄN</t>
        </is>
      </c>
      <c r="E957" t="inlineStr">
        <is>
          <t>MORA</t>
        </is>
      </c>
      <c r="G957" t="n">
        <v>1.1</v>
      </c>
      <c r="H957" t="n">
        <v>0</v>
      </c>
      <c r="I957" t="n">
        <v>0</v>
      </c>
      <c r="J957" t="n">
        <v>0</v>
      </c>
      <c r="K957" t="n">
        <v>0</v>
      </c>
      <c r="L957" t="n">
        <v>0</v>
      </c>
      <c r="M957" t="n">
        <v>0</v>
      </c>
      <c r="N957" t="n">
        <v>0</v>
      </c>
      <c r="O957" t="n">
        <v>0</v>
      </c>
      <c r="P957" t="n">
        <v>0</v>
      </c>
      <c r="Q957" t="n">
        <v>0</v>
      </c>
      <c r="R957" s="2" t="inlineStr"/>
    </row>
    <row r="958" ht="15" customHeight="1">
      <c r="A958" t="inlineStr">
        <is>
          <t>A 31083-2024</t>
        </is>
      </c>
      <c r="B958" s="1" t="n">
        <v>45502</v>
      </c>
      <c r="C958" s="1" t="n">
        <v>45784</v>
      </c>
      <c r="D958" t="inlineStr">
        <is>
          <t>DALARNAS LÄN</t>
        </is>
      </c>
      <c r="E958" t="inlineStr">
        <is>
          <t>MORA</t>
        </is>
      </c>
      <c r="G958" t="n">
        <v>0.8</v>
      </c>
      <c r="H958" t="n">
        <v>0</v>
      </c>
      <c r="I958" t="n">
        <v>0</v>
      </c>
      <c r="J958" t="n">
        <v>0</v>
      </c>
      <c r="K958" t="n">
        <v>0</v>
      </c>
      <c r="L958" t="n">
        <v>0</v>
      </c>
      <c r="M958" t="n">
        <v>0</v>
      </c>
      <c r="N958" t="n">
        <v>0</v>
      </c>
      <c r="O958" t="n">
        <v>0</v>
      </c>
      <c r="P958" t="n">
        <v>0</v>
      </c>
      <c r="Q958" t="n">
        <v>0</v>
      </c>
      <c r="R958" s="2" t="inlineStr"/>
    </row>
    <row r="959" ht="15" customHeight="1">
      <c r="A959" t="inlineStr">
        <is>
          <t>A 31112-2024</t>
        </is>
      </c>
      <c r="B959" s="1" t="n">
        <v>45502</v>
      </c>
      <c r="C959" s="1" t="n">
        <v>45784</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31108-2024</t>
        </is>
      </c>
      <c r="B960" s="1" t="n">
        <v>45502</v>
      </c>
      <c r="C960" s="1" t="n">
        <v>45784</v>
      </c>
      <c r="D960" t="inlineStr">
        <is>
          <t>DALARNAS LÄN</t>
        </is>
      </c>
      <c r="E960" t="inlineStr">
        <is>
          <t>MORA</t>
        </is>
      </c>
      <c r="G960" t="n">
        <v>2</v>
      </c>
      <c r="H960" t="n">
        <v>0</v>
      </c>
      <c r="I960" t="n">
        <v>0</v>
      </c>
      <c r="J960" t="n">
        <v>0</v>
      </c>
      <c r="K960" t="n">
        <v>0</v>
      </c>
      <c r="L960" t="n">
        <v>0</v>
      </c>
      <c r="M960" t="n">
        <v>0</v>
      </c>
      <c r="N960" t="n">
        <v>0</v>
      </c>
      <c r="O960" t="n">
        <v>0</v>
      </c>
      <c r="P960" t="n">
        <v>0</v>
      </c>
      <c r="Q960" t="n">
        <v>0</v>
      </c>
      <c r="R960" s="2" t="inlineStr"/>
    </row>
    <row r="961" ht="15" customHeight="1">
      <c r="A961" t="inlineStr">
        <is>
          <t>A 31113-2024</t>
        </is>
      </c>
      <c r="B961" s="1" t="n">
        <v>45502</v>
      </c>
      <c r="C961" s="1" t="n">
        <v>45784</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31109-2024</t>
        </is>
      </c>
      <c r="B962" s="1" t="n">
        <v>45502</v>
      </c>
      <c r="C962" s="1" t="n">
        <v>45784</v>
      </c>
      <c r="D962" t="inlineStr">
        <is>
          <t>DALARNAS LÄN</t>
        </is>
      </c>
      <c r="E962" t="inlineStr">
        <is>
          <t>MORA</t>
        </is>
      </c>
      <c r="G962" t="n">
        <v>1.3</v>
      </c>
      <c r="H962" t="n">
        <v>0</v>
      </c>
      <c r="I962" t="n">
        <v>0</v>
      </c>
      <c r="J962" t="n">
        <v>0</v>
      </c>
      <c r="K962" t="n">
        <v>0</v>
      </c>
      <c r="L962" t="n">
        <v>0</v>
      </c>
      <c r="M962" t="n">
        <v>0</v>
      </c>
      <c r="N962" t="n">
        <v>0</v>
      </c>
      <c r="O962" t="n">
        <v>0</v>
      </c>
      <c r="P962" t="n">
        <v>0</v>
      </c>
      <c r="Q962" t="n">
        <v>0</v>
      </c>
      <c r="R962" s="2" t="inlineStr"/>
    </row>
    <row r="963" ht="15" customHeight="1">
      <c r="A963" t="inlineStr">
        <is>
          <t>A 31085-2024</t>
        </is>
      </c>
      <c r="B963" s="1" t="n">
        <v>45502</v>
      </c>
      <c r="C963" s="1" t="n">
        <v>45784</v>
      </c>
      <c r="D963" t="inlineStr">
        <is>
          <t>DALARNAS LÄN</t>
        </is>
      </c>
      <c r="E963" t="inlineStr">
        <is>
          <t>MORA</t>
        </is>
      </c>
      <c r="G963" t="n">
        <v>1.6</v>
      </c>
      <c r="H963" t="n">
        <v>0</v>
      </c>
      <c r="I963" t="n">
        <v>0</v>
      </c>
      <c r="J963" t="n">
        <v>0</v>
      </c>
      <c r="K963" t="n">
        <v>0</v>
      </c>
      <c r="L963" t="n">
        <v>0</v>
      </c>
      <c r="M963" t="n">
        <v>0</v>
      </c>
      <c r="N963" t="n">
        <v>0</v>
      </c>
      <c r="O963" t="n">
        <v>0</v>
      </c>
      <c r="P963" t="n">
        <v>0</v>
      </c>
      <c r="Q963" t="n">
        <v>0</v>
      </c>
      <c r="R963" s="2" t="inlineStr"/>
    </row>
    <row r="964" ht="15" customHeight="1">
      <c r="A964" t="inlineStr">
        <is>
          <t>A 31376-2024</t>
        </is>
      </c>
      <c r="B964" s="1" t="n">
        <v>45505</v>
      </c>
      <c r="C964" s="1" t="n">
        <v>45784</v>
      </c>
      <c r="D964" t="inlineStr">
        <is>
          <t>DALARNAS LÄN</t>
        </is>
      </c>
      <c r="E964" t="inlineStr">
        <is>
          <t>MORA</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31383-2024</t>
        </is>
      </c>
      <c r="B965" s="1" t="n">
        <v>45505</v>
      </c>
      <c r="C965" s="1" t="n">
        <v>45784</v>
      </c>
      <c r="D965" t="inlineStr">
        <is>
          <t>DALARNAS LÄN</t>
        </is>
      </c>
      <c r="E965" t="inlineStr">
        <is>
          <t>MORA</t>
        </is>
      </c>
      <c r="F965" t="inlineStr">
        <is>
          <t>Bergvik skog öst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31369-2024</t>
        </is>
      </c>
      <c r="B966" s="1" t="n">
        <v>45505</v>
      </c>
      <c r="C966" s="1" t="n">
        <v>45784</v>
      </c>
      <c r="D966" t="inlineStr">
        <is>
          <t>DALARNAS LÄN</t>
        </is>
      </c>
      <c r="E966" t="inlineStr">
        <is>
          <t>MORA</t>
        </is>
      </c>
      <c r="F966" t="inlineStr">
        <is>
          <t>Bergvik skog öst AB</t>
        </is>
      </c>
      <c r="G966" t="n">
        <v>2.5</v>
      </c>
      <c r="H966" t="n">
        <v>0</v>
      </c>
      <c r="I966" t="n">
        <v>0</v>
      </c>
      <c r="J966" t="n">
        <v>0</v>
      </c>
      <c r="K966" t="n">
        <v>0</v>
      </c>
      <c r="L966" t="n">
        <v>0</v>
      </c>
      <c r="M966" t="n">
        <v>0</v>
      </c>
      <c r="N966" t="n">
        <v>0</v>
      </c>
      <c r="O966" t="n">
        <v>0</v>
      </c>
      <c r="P966" t="n">
        <v>0</v>
      </c>
      <c r="Q966" t="n">
        <v>0</v>
      </c>
      <c r="R966" s="2" t="inlineStr"/>
    </row>
    <row r="967" ht="15" customHeight="1">
      <c r="A967" t="inlineStr">
        <is>
          <t>A 31374-2024</t>
        </is>
      </c>
      <c r="B967" s="1" t="n">
        <v>45505</v>
      </c>
      <c r="C967" s="1" t="n">
        <v>45784</v>
      </c>
      <c r="D967" t="inlineStr">
        <is>
          <t>DALARNAS LÄN</t>
        </is>
      </c>
      <c r="E967" t="inlineStr">
        <is>
          <t>MORA</t>
        </is>
      </c>
      <c r="F967" t="inlineStr">
        <is>
          <t>Bergvik skog öst AB</t>
        </is>
      </c>
      <c r="G967" t="n">
        <v>0.7</v>
      </c>
      <c r="H967" t="n">
        <v>0</v>
      </c>
      <c r="I967" t="n">
        <v>0</v>
      </c>
      <c r="J967" t="n">
        <v>0</v>
      </c>
      <c r="K967" t="n">
        <v>0</v>
      </c>
      <c r="L967" t="n">
        <v>0</v>
      </c>
      <c r="M967" t="n">
        <v>0</v>
      </c>
      <c r="N967" t="n">
        <v>0</v>
      </c>
      <c r="O967" t="n">
        <v>0</v>
      </c>
      <c r="P967" t="n">
        <v>0</v>
      </c>
      <c r="Q967" t="n">
        <v>0</v>
      </c>
      <c r="R967" s="2" t="inlineStr"/>
    </row>
    <row r="968" ht="15" customHeight="1">
      <c r="A968" t="inlineStr">
        <is>
          <t>A 31382-2024</t>
        </is>
      </c>
      <c r="B968" s="1" t="n">
        <v>45505</v>
      </c>
      <c r="C968" s="1" t="n">
        <v>45784</v>
      </c>
      <c r="D968" t="inlineStr">
        <is>
          <t>DALARNAS LÄN</t>
        </is>
      </c>
      <c r="E968" t="inlineStr">
        <is>
          <t>MORA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31398-2024</t>
        </is>
      </c>
      <c r="B969" s="1" t="n">
        <v>45505</v>
      </c>
      <c r="C969" s="1" t="n">
        <v>45784</v>
      </c>
      <c r="D969" t="inlineStr">
        <is>
          <t>DALARNAS LÄN</t>
        </is>
      </c>
      <c r="E969" t="inlineStr">
        <is>
          <t>MORA</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31395-2024</t>
        </is>
      </c>
      <c r="B970" s="1" t="n">
        <v>45505</v>
      </c>
      <c r="C970" s="1" t="n">
        <v>45784</v>
      </c>
      <c r="D970" t="inlineStr">
        <is>
          <t>DALARNAS LÄN</t>
        </is>
      </c>
      <c r="E970" t="inlineStr">
        <is>
          <t>MORA</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31829-2024</t>
        </is>
      </c>
      <c r="B971" s="1" t="n">
        <v>45509</v>
      </c>
      <c r="C971" s="1" t="n">
        <v>45784</v>
      </c>
      <c r="D971" t="inlineStr">
        <is>
          <t>DALARNAS LÄN</t>
        </is>
      </c>
      <c r="E971" t="inlineStr">
        <is>
          <t>MORA</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31828-2024</t>
        </is>
      </c>
      <c r="B972" s="1" t="n">
        <v>45509</v>
      </c>
      <c r="C972" s="1" t="n">
        <v>45784</v>
      </c>
      <c r="D972" t="inlineStr">
        <is>
          <t>DALARNAS LÄN</t>
        </is>
      </c>
      <c r="E972" t="inlineStr">
        <is>
          <t>MORA</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31929-2024</t>
        </is>
      </c>
      <c r="B973" s="1" t="n">
        <v>45510</v>
      </c>
      <c r="C973" s="1" t="n">
        <v>45784</v>
      </c>
      <c r="D973" t="inlineStr">
        <is>
          <t>DALARNAS LÄN</t>
        </is>
      </c>
      <c r="E973" t="inlineStr">
        <is>
          <t>MORA</t>
        </is>
      </c>
      <c r="G973" t="n">
        <v>10.8</v>
      </c>
      <c r="H973" t="n">
        <v>0</v>
      </c>
      <c r="I973" t="n">
        <v>0</v>
      </c>
      <c r="J973" t="n">
        <v>0</v>
      </c>
      <c r="K973" t="n">
        <v>0</v>
      </c>
      <c r="L973" t="n">
        <v>0</v>
      </c>
      <c r="M973" t="n">
        <v>0</v>
      </c>
      <c r="N973" t="n">
        <v>0</v>
      </c>
      <c r="O973" t="n">
        <v>0</v>
      </c>
      <c r="P973" t="n">
        <v>0</v>
      </c>
      <c r="Q973" t="n">
        <v>0</v>
      </c>
      <c r="R973" s="2" t="inlineStr"/>
    </row>
    <row r="974" ht="15" customHeight="1">
      <c r="A974" t="inlineStr">
        <is>
          <t>A 32410-2024</t>
        </is>
      </c>
      <c r="B974" s="1" t="n">
        <v>45512</v>
      </c>
      <c r="C974" s="1" t="n">
        <v>45784</v>
      </c>
      <c r="D974" t="inlineStr">
        <is>
          <t>DALARNAS LÄN</t>
        </is>
      </c>
      <c r="E974" t="inlineStr">
        <is>
          <t>MORA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32385-2024</t>
        </is>
      </c>
      <c r="B975" s="1" t="n">
        <v>45512</v>
      </c>
      <c r="C975" s="1" t="n">
        <v>45784</v>
      </c>
      <c r="D975" t="inlineStr">
        <is>
          <t>DALARNAS LÄN</t>
        </is>
      </c>
      <c r="E975" t="inlineStr">
        <is>
          <t>MORA</t>
        </is>
      </c>
      <c r="G975" t="n">
        <v>3</v>
      </c>
      <c r="H975" t="n">
        <v>0</v>
      </c>
      <c r="I975" t="n">
        <v>0</v>
      </c>
      <c r="J975" t="n">
        <v>0</v>
      </c>
      <c r="K975" t="n">
        <v>0</v>
      </c>
      <c r="L975" t="n">
        <v>0</v>
      </c>
      <c r="M975" t="n">
        <v>0</v>
      </c>
      <c r="N975" t="n">
        <v>0</v>
      </c>
      <c r="O975" t="n">
        <v>0</v>
      </c>
      <c r="P975" t="n">
        <v>0</v>
      </c>
      <c r="Q975" t="n">
        <v>0</v>
      </c>
      <c r="R975" s="2" t="inlineStr"/>
    </row>
    <row r="976" ht="15" customHeight="1">
      <c r="A976" t="inlineStr">
        <is>
          <t>A 32811-2024</t>
        </is>
      </c>
      <c r="B976" s="1" t="n">
        <v>45516</v>
      </c>
      <c r="C976" s="1" t="n">
        <v>45784</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32780-2024</t>
        </is>
      </c>
      <c r="B977" s="1" t="n">
        <v>45516</v>
      </c>
      <c r="C977" s="1" t="n">
        <v>45784</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32721-2024</t>
        </is>
      </c>
      <c r="B978" s="1" t="n">
        <v>45516</v>
      </c>
      <c r="C978" s="1" t="n">
        <v>45784</v>
      </c>
      <c r="D978" t="inlineStr">
        <is>
          <t>DALARNAS LÄN</t>
        </is>
      </c>
      <c r="E978" t="inlineStr">
        <is>
          <t>MORA</t>
        </is>
      </c>
      <c r="G978" t="n">
        <v>4.2</v>
      </c>
      <c r="H978" t="n">
        <v>0</v>
      </c>
      <c r="I978" t="n">
        <v>0</v>
      </c>
      <c r="J978" t="n">
        <v>0</v>
      </c>
      <c r="K978" t="n">
        <v>0</v>
      </c>
      <c r="L978" t="n">
        <v>0</v>
      </c>
      <c r="M978" t="n">
        <v>0</v>
      </c>
      <c r="N978" t="n">
        <v>0</v>
      </c>
      <c r="O978" t="n">
        <v>0</v>
      </c>
      <c r="P978" t="n">
        <v>0</v>
      </c>
      <c r="Q978" t="n">
        <v>0</v>
      </c>
      <c r="R978" s="2" t="inlineStr"/>
    </row>
    <row r="979" ht="15" customHeight="1">
      <c r="A979" t="inlineStr">
        <is>
          <t>A 32718-2024</t>
        </is>
      </c>
      <c r="B979" s="1" t="n">
        <v>45516</v>
      </c>
      <c r="C979" s="1" t="n">
        <v>45784</v>
      </c>
      <c r="D979" t="inlineStr">
        <is>
          <t>DALARNAS LÄN</t>
        </is>
      </c>
      <c r="E979" t="inlineStr">
        <is>
          <t>MORA</t>
        </is>
      </c>
      <c r="G979" t="n">
        <v>1.8</v>
      </c>
      <c r="H979" t="n">
        <v>0</v>
      </c>
      <c r="I979" t="n">
        <v>0</v>
      </c>
      <c r="J979" t="n">
        <v>0</v>
      </c>
      <c r="K979" t="n">
        <v>0</v>
      </c>
      <c r="L979" t="n">
        <v>0</v>
      </c>
      <c r="M979" t="n">
        <v>0</v>
      </c>
      <c r="N979" t="n">
        <v>0</v>
      </c>
      <c r="O979" t="n">
        <v>0</v>
      </c>
      <c r="P979" t="n">
        <v>0</v>
      </c>
      <c r="Q979" t="n">
        <v>0</v>
      </c>
      <c r="R979" s="2" t="inlineStr"/>
    </row>
    <row r="980" ht="15" customHeight="1">
      <c r="A980" t="inlineStr">
        <is>
          <t>A 33501-2024</t>
        </is>
      </c>
      <c r="B980" s="1" t="n">
        <v>45519</v>
      </c>
      <c r="C980" s="1" t="n">
        <v>45784</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33510-2024</t>
        </is>
      </c>
      <c r="B981" s="1" t="n">
        <v>45519</v>
      </c>
      <c r="C981" s="1" t="n">
        <v>45784</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33414-2024</t>
        </is>
      </c>
      <c r="B982" s="1" t="n">
        <v>45519</v>
      </c>
      <c r="C982" s="1" t="n">
        <v>45784</v>
      </c>
      <c r="D982" t="inlineStr">
        <is>
          <t>DALARNAS LÄN</t>
        </is>
      </c>
      <c r="E982" t="inlineStr">
        <is>
          <t>MORA</t>
        </is>
      </c>
      <c r="G982" t="n">
        <v>7.3</v>
      </c>
      <c r="H982" t="n">
        <v>0</v>
      </c>
      <c r="I982" t="n">
        <v>0</v>
      </c>
      <c r="J982" t="n">
        <v>0</v>
      </c>
      <c r="K982" t="n">
        <v>0</v>
      </c>
      <c r="L982" t="n">
        <v>0</v>
      </c>
      <c r="M982" t="n">
        <v>0</v>
      </c>
      <c r="N982" t="n">
        <v>0</v>
      </c>
      <c r="O982" t="n">
        <v>0</v>
      </c>
      <c r="P982" t="n">
        <v>0</v>
      </c>
      <c r="Q982" t="n">
        <v>0</v>
      </c>
      <c r="R982" s="2" t="inlineStr"/>
    </row>
    <row r="983" ht="15" customHeight="1">
      <c r="A983" t="inlineStr">
        <is>
          <t>A 33531-2024</t>
        </is>
      </c>
      <c r="B983" s="1" t="n">
        <v>45519</v>
      </c>
      <c r="C983" s="1" t="n">
        <v>45784</v>
      </c>
      <c r="D983" t="inlineStr">
        <is>
          <t>DALARNAS LÄN</t>
        </is>
      </c>
      <c r="E983" t="inlineStr">
        <is>
          <t>MORA</t>
        </is>
      </c>
      <c r="G983" t="n">
        <v>14.8</v>
      </c>
      <c r="H983" t="n">
        <v>0</v>
      </c>
      <c r="I983" t="n">
        <v>0</v>
      </c>
      <c r="J983" t="n">
        <v>0</v>
      </c>
      <c r="K983" t="n">
        <v>0</v>
      </c>
      <c r="L983" t="n">
        <v>0</v>
      </c>
      <c r="M983" t="n">
        <v>0</v>
      </c>
      <c r="N983" t="n">
        <v>0</v>
      </c>
      <c r="O983" t="n">
        <v>0</v>
      </c>
      <c r="P983" t="n">
        <v>0</v>
      </c>
      <c r="Q983" t="n">
        <v>0</v>
      </c>
      <c r="R983" s="2" t="inlineStr"/>
    </row>
    <row r="984" ht="15" customHeight="1">
      <c r="A984" t="inlineStr">
        <is>
          <t>A 33513-2024</t>
        </is>
      </c>
      <c r="B984" s="1" t="n">
        <v>45519</v>
      </c>
      <c r="C984" s="1" t="n">
        <v>45784</v>
      </c>
      <c r="D984" t="inlineStr">
        <is>
          <t>DALARNAS LÄN</t>
        </is>
      </c>
      <c r="E984" t="inlineStr">
        <is>
          <t>MORA</t>
        </is>
      </c>
      <c r="G984" t="n">
        <v>5.9</v>
      </c>
      <c r="H984" t="n">
        <v>0</v>
      </c>
      <c r="I984" t="n">
        <v>0</v>
      </c>
      <c r="J984" t="n">
        <v>0</v>
      </c>
      <c r="K984" t="n">
        <v>0</v>
      </c>
      <c r="L984" t="n">
        <v>0</v>
      </c>
      <c r="M984" t="n">
        <v>0</v>
      </c>
      <c r="N984" t="n">
        <v>0</v>
      </c>
      <c r="O984" t="n">
        <v>0</v>
      </c>
      <c r="P984" t="n">
        <v>0</v>
      </c>
      <c r="Q984" t="n">
        <v>0</v>
      </c>
      <c r="R984" s="2" t="inlineStr"/>
    </row>
    <row r="985" ht="15" customHeight="1">
      <c r="A985" t="inlineStr">
        <is>
          <t>A 33627-2024</t>
        </is>
      </c>
      <c r="B985" s="1" t="n">
        <v>45520</v>
      </c>
      <c r="C985" s="1" t="n">
        <v>45784</v>
      </c>
      <c r="D985" t="inlineStr">
        <is>
          <t>DALARNAS LÄN</t>
        </is>
      </c>
      <c r="E985" t="inlineStr">
        <is>
          <t>MORA</t>
        </is>
      </c>
      <c r="G985" t="n">
        <v>1.1</v>
      </c>
      <c r="H985" t="n">
        <v>0</v>
      </c>
      <c r="I985" t="n">
        <v>0</v>
      </c>
      <c r="J985" t="n">
        <v>0</v>
      </c>
      <c r="K985" t="n">
        <v>0</v>
      </c>
      <c r="L985" t="n">
        <v>0</v>
      </c>
      <c r="M985" t="n">
        <v>0</v>
      </c>
      <c r="N985" t="n">
        <v>0</v>
      </c>
      <c r="O985" t="n">
        <v>0</v>
      </c>
      <c r="P985" t="n">
        <v>0</v>
      </c>
      <c r="Q985" t="n">
        <v>0</v>
      </c>
      <c r="R985" s="2" t="inlineStr"/>
    </row>
    <row r="986" ht="15" customHeight="1">
      <c r="A986" t="inlineStr">
        <is>
          <t>A 33666-2024</t>
        </is>
      </c>
      <c r="B986" s="1" t="n">
        <v>45520</v>
      </c>
      <c r="C986" s="1" t="n">
        <v>45784</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33937-2024</t>
        </is>
      </c>
      <c r="B987" s="1" t="n">
        <v>45523</v>
      </c>
      <c r="C987" s="1" t="n">
        <v>45784</v>
      </c>
      <c r="D987" t="inlineStr">
        <is>
          <t>DALARNAS LÄN</t>
        </is>
      </c>
      <c r="E987" t="inlineStr">
        <is>
          <t>MORA</t>
        </is>
      </c>
      <c r="G987" t="n">
        <v>3.1</v>
      </c>
      <c r="H987" t="n">
        <v>0</v>
      </c>
      <c r="I987" t="n">
        <v>0</v>
      </c>
      <c r="J987" t="n">
        <v>0</v>
      </c>
      <c r="K987" t="n">
        <v>0</v>
      </c>
      <c r="L987" t="n">
        <v>0</v>
      </c>
      <c r="M987" t="n">
        <v>0</v>
      </c>
      <c r="N987" t="n">
        <v>0</v>
      </c>
      <c r="O987" t="n">
        <v>0</v>
      </c>
      <c r="P987" t="n">
        <v>0</v>
      </c>
      <c r="Q987" t="n">
        <v>0</v>
      </c>
      <c r="R987" s="2" t="inlineStr"/>
    </row>
    <row r="988" ht="15" customHeight="1">
      <c r="A988" t="inlineStr">
        <is>
          <t>A 34282-2024</t>
        </is>
      </c>
      <c r="B988" s="1" t="n">
        <v>45524</v>
      </c>
      <c r="C988" s="1" t="n">
        <v>45784</v>
      </c>
      <c r="D988" t="inlineStr">
        <is>
          <t>DALARNAS LÄN</t>
        </is>
      </c>
      <c r="E988" t="inlineStr">
        <is>
          <t>MORA</t>
        </is>
      </c>
      <c r="G988" t="n">
        <v>0.5</v>
      </c>
      <c r="H988" t="n">
        <v>0</v>
      </c>
      <c r="I988" t="n">
        <v>0</v>
      </c>
      <c r="J988" t="n">
        <v>0</v>
      </c>
      <c r="K988" t="n">
        <v>0</v>
      </c>
      <c r="L988" t="n">
        <v>0</v>
      </c>
      <c r="M988" t="n">
        <v>0</v>
      </c>
      <c r="N988" t="n">
        <v>0</v>
      </c>
      <c r="O988" t="n">
        <v>0</v>
      </c>
      <c r="P988" t="n">
        <v>0</v>
      </c>
      <c r="Q988" t="n">
        <v>0</v>
      </c>
      <c r="R988" s="2" t="inlineStr"/>
    </row>
    <row r="989" ht="15" customHeight="1">
      <c r="A989" t="inlineStr">
        <is>
          <t>A 34270-2024</t>
        </is>
      </c>
      <c r="B989" s="1" t="n">
        <v>45524</v>
      </c>
      <c r="C989" s="1" t="n">
        <v>45784</v>
      </c>
      <c r="D989" t="inlineStr">
        <is>
          <t>DALARNAS LÄN</t>
        </is>
      </c>
      <c r="E989" t="inlineStr">
        <is>
          <t>MORA</t>
        </is>
      </c>
      <c r="G989" t="n">
        <v>0.8</v>
      </c>
      <c r="H989" t="n">
        <v>0</v>
      </c>
      <c r="I989" t="n">
        <v>0</v>
      </c>
      <c r="J989" t="n">
        <v>0</v>
      </c>
      <c r="K989" t="n">
        <v>0</v>
      </c>
      <c r="L989" t="n">
        <v>0</v>
      </c>
      <c r="M989" t="n">
        <v>0</v>
      </c>
      <c r="N989" t="n">
        <v>0</v>
      </c>
      <c r="O989" t="n">
        <v>0</v>
      </c>
      <c r="P989" t="n">
        <v>0</v>
      </c>
      <c r="Q989" t="n">
        <v>0</v>
      </c>
      <c r="R989" s="2" t="inlineStr"/>
    </row>
    <row r="990" ht="15" customHeight="1">
      <c r="A990" t="inlineStr">
        <is>
          <t>A 34248-2024</t>
        </is>
      </c>
      <c r="B990" s="1" t="n">
        <v>45524</v>
      </c>
      <c r="C990" s="1" t="n">
        <v>45784</v>
      </c>
      <c r="D990" t="inlineStr">
        <is>
          <t>DALARNAS LÄN</t>
        </is>
      </c>
      <c r="E990" t="inlineStr">
        <is>
          <t>MORA</t>
        </is>
      </c>
      <c r="G990" t="n">
        <v>3.3</v>
      </c>
      <c r="H990" t="n">
        <v>0</v>
      </c>
      <c r="I990" t="n">
        <v>0</v>
      </c>
      <c r="J990" t="n">
        <v>0</v>
      </c>
      <c r="K990" t="n">
        <v>0</v>
      </c>
      <c r="L990" t="n">
        <v>0</v>
      </c>
      <c r="M990" t="n">
        <v>0</v>
      </c>
      <c r="N990" t="n">
        <v>0</v>
      </c>
      <c r="O990" t="n">
        <v>0</v>
      </c>
      <c r="P990" t="n">
        <v>0</v>
      </c>
      <c r="Q990" t="n">
        <v>0</v>
      </c>
      <c r="R990" s="2" t="inlineStr"/>
    </row>
    <row r="991" ht="15" customHeight="1">
      <c r="A991" t="inlineStr">
        <is>
          <t>A 34268-2024</t>
        </is>
      </c>
      <c r="B991" s="1" t="n">
        <v>45524</v>
      </c>
      <c r="C991" s="1" t="n">
        <v>45784</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34272-2024</t>
        </is>
      </c>
      <c r="B992" s="1" t="n">
        <v>45524</v>
      </c>
      <c r="C992" s="1" t="n">
        <v>45784</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34277-2024</t>
        </is>
      </c>
      <c r="B993" s="1" t="n">
        <v>45524</v>
      </c>
      <c r="C993" s="1" t="n">
        <v>45784</v>
      </c>
      <c r="D993" t="inlineStr">
        <is>
          <t>DALARNAS LÄN</t>
        </is>
      </c>
      <c r="E993" t="inlineStr">
        <is>
          <t>MORA</t>
        </is>
      </c>
      <c r="G993" t="n">
        <v>1.1</v>
      </c>
      <c r="H993" t="n">
        <v>0</v>
      </c>
      <c r="I993" t="n">
        <v>0</v>
      </c>
      <c r="J993" t="n">
        <v>0</v>
      </c>
      <c r="K993" t="n">
        <v>0</v>
      </c>
      <c r="L993" t="n">
        <v>0</v>
      </c>
      <c r="M993" t="n">
        <v>0</v>
      </c>
      <c r="N993" t="n">
        <v>0</v>
      </c>
      <c r="O993" t="n">
        <v>0</v>
      </c>
      <c r="P993" t="n">
        <v>0</v>
      </c>
      <c r="Q993" t="n">
        <v>0</v>
      </c>
      <c r="R993" s="2" t="inlineStr"/>
    </row>
    <row r="994" ht="15" customHeight="1">
      <c r="A994" t="inlineStr">
        <is>
          <t>A 34288-2024</t>
        </is>
      </c>
      <c r="B994" s="1" t="n">
        <v>45524</v>
      </c>
      <c r="C994" s="1" t="n">
        <v>45784</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34292-2024</t>
        </is>
      </c>
      <c r="B995" s="1" t="n">
        <v>45524</v>
      </c>
      <c r="C995" s="1" t="n">
        <v>45784</v>
      </c>
      <c r="D995" t="inlineStr">
        <is>
          <t>DALARNAS LÄN</t>
        </is>
      </c>
      <c r="E995" t="inlineStr">
        <is>
          <t>MORA</t>
        </is>
      </c>
      <c r="G995" t="n">
        <v>1.7</v>
      </c>
      <c r="H995" t="n">
        <v>0</v>
      </c>
      <c r="I995" t="n">
        <v>0</v>
      </c>
      <c r="J995" t="n">
        <v>0</v>
      </c>
      <c r="K995" t="n">
        <v>0</v>
      </c>
      <c r="L995" t="n">
        <v>0</v>
      </c>
      <c r="M995" t="n">
        <v>0</v>
      </c>
      <c r="N995" t="n">
        <v>0</v>
      </c>
      <c r="O995" t="n">
        <v>0</v>
      </c>
      <c r="P995" t="n">
        <v>0</v>
      </c>
      <c r="Q995" t="n">
        <v>0</v>
      </c>
      <c r="R995" s="2" t="inlineStr"/>
    </row>
    <row r="996" ht="15" customHeight="1">
      <c r="A996" t="inlineStr">
        <is>
          <t>A 35287-2024</t>
        </is>
      </c>
      <c r="B996" s="1" t="n">
        <v>45530</v>
      </c>
      <c r="C996" s="1" t="n">
        <v>45784</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35176-2024</t>
        </is>
      </c>
      <c r="B997" s="1" t="n">
        <v>45530</v>
      </c>
      <c r="C997" s="1" t="n">
        <v>45784</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35327-2024</t>
        </is>
      </c>
      <c r="B998" s="1" t="n">
        <v>45530</v>
      </c>
      <c r="C998" s="1" t="n">
        <v>45784</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35259-2024</t>
        </is>
      </c>
      <c r="B999" s="1" t="n">
        <v>45530</v>
      </c>
      <c r="C999" s="1" t="n">
        <v>45784</v>
      </c>
      <c r="D999" t="inlineStr">
        <is>
          <t>DALARNAS LÄN</t>
        </is>
      </c>
      <c r="E999" t="inlineStr">
        <is>
          <t>MORA</t>
        </is>
      </c>
      <c r="G999" t="n">
        <v>2.1</v>
      </c>
      <c r="H999" t="n">
        <v>0</v>
      </c>
      <c r="I999" t="n">
        <v>0</v>
      </c>
      <c r="J999" t="n">
        <v>0</v>
      </c>
      <c r="K999" t="n">
        <v>0</v>
      </c>
      <c r="L999" t="n">
        <v>0</v>
      </c>
      <c r="M999" t="n">
        <v>0</v>
      </c>
      <c r="N999" t="n">
        <v>0</v>
      </c>
      <c r="O999" t="n">
        <v>0</v>
      </c>
      <c r="P999" t="n">
        <v>0</v>
      </c>
      <c r="Q999" t="n">
        <v>0</v>
      </c>
      <c r="R999" s="2" t="inlineStr"/>
    </row>
    <row r="1000" ht="15" customHeight="1">
      <c r="A1000" t="inlineStr">
        <is>
          <t>A 35325-2024</t>
        </is>
      </c>
      <c r="B1000" s="1" t="n">
        <v>45530</v>
      </c>
      <c r="C1000" s="1" t="n">
        <v>45784</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35278-2024</t>
        </is>
      </c>
      <c r="B1001" s="1" t="n">
        <v>45530</v>
      </c>
      <c r="C1001" s="1" t="n">
        <v>45784</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35363-2024</t>
        </is>
      </c>
      <c r="B1002" s="1" t="n">
        <v>45531</v>
      </c>
      <c r="C1002" s="1" t="n">
        <v>45784</v>
      </c>
      <c r="D1002" t="inlineStr">
        <is>
          <t>DALARNAS LÄN</t>
        </is>
      </c>
      <c r="E1002" t="inlineStr">
        <is>
          <t>MORA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35381-2024</t>
        </is>
      </c>
      <c r="B1003" s="1" t="n">
        <v>45531</v>
      </c>
      <c r="C1003" s="1" t="n">
        <v>45784</v>
      </c>
      <c r="D1003" t="inlineStr">
        <is>
          <t>DALARNAS LÄN</t>
        </is>
      </c>
      <c r="E1003" t="inlineStr">
        <is>
          <t>MORA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35897-2024</t>
        </is>
      </c>
      <c r="B1004" s="1" t="n">
        <v>45533</v>
      </c>
      <c r="C1004" s="1" t="n">
        <v>45784</v>
      </c>
      <c r="D1004" t="inlineStr">
        <is>
          <t>DALARNAS LÄN</t>
        </is>
      </c>
      <c r="E1004" t="inlineStr">
        <is>
          <t>MORA</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36038-2024</t>
        </is>
      </c>
      <c r="B1005" s="1" t="n">
        <v>45533</v>
      </c>
      <c r="C1005" s="1" t="n">
        <v>45784</v>
      </c>
      <c r="D1005" t="inlineStr">
        <is>
          <t>DALARNAS LÄN</t>
        </is>
      </c>
      <c r="E1005" t="inlineStr">
        <is>
          <t>MORA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36058-2024</t>
        </is>
      </c>
      <c r="B1006" s="1" t="n">
        <v>45533</v>
      </c>
      <c r="C1006" s="1" t="n">
        <v>45784</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35952-2024</t>
        </is>
      </c>
      <c r="B1007" s="1" t="n">
        <v>45533</v>
      </c>
      <c r="C1007" s="1" t="n">
        <v>45784</v>
      </c>
      <c r="D1007" t="inlineStr">
        <is>
          <t>DALARNAS LÄN</t>
        </is>
      </c>
      <c r="E1007" t="inlineStr">
        <is>
          <t>MORA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36277-2024</t>
        </is>
      </c>
      <c r="B1008" s="1" t="n">
        <v>45534</v>
      </c>
      <c r="C1008" s="1" t="n">
        <v>45784</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36502-2024</t>
        </is>
      </c>
      <c r="B1009" s="1" t="n">
        <v>45537</v>
      </c>
      <c r="C1009" s="1" t="n">
        <v>45784</v>
      </c>
      <c r="D1009" t="inlineStr">
        <is>
          <t>DALARNAS LÄN</t>
        </is>
      </c>
      <c r="E1009" t="inlineStr">
        <is>
          <t>MORA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36659-2024</t>
        </is>
      </c>
      <c r="B1010" s="1" t="n">
        <v>45537</v>
      </c>
      <c r="C1010" s="1" t="n">
        <v>45784</v>
      </c>
      <c r="D1010" t="inlineStr">
        <is>
          <t>DALARNAS LÄN</t>
        </is>
      </c>
      <c r="E1010" t="inlineStr">
        <is>
          <t>MORA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37471-2024</t>
        </is>
      </c>
      <c r="B1011" s="1" t="n">
        <v>45540</v>
      </c>
      <c r="C1011" s="1" t="n">
        <v>45784</v>
      </c>
      <c r="D1011" t="inlineStr">
        <is>
          <t>DALARNAS LÄN</t>
        </is>
      </c>
      <c r="E1011" t="inlineStr">
        <is>
          <t>MORA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37695-2024</t>
        </is>
      </c>
      <c r="B1012" s="1" t="n">
        <v>45541</v>
      </c>
      <c r="C1012" s="1" t="n">
        <v>45784</v>
      </c>
      <c r="D1012" t="inlineStr">
        <is>
          <t>DALARNAS LÄN</t>
        </is>
      </c>
      <c r="E1012" t="inlineStr">
        <is>
          <t>MORA</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37750-2024</t>
        </is>
      </c>
      <c r="B1013" s="1" t="n">
        <v>45541</v>
      </c>
      <c r="C1013" s="1" t="n">
        <v>45784</v>
      </c>
      <c r="D1013" t="inlineStr">
        <is>
          <t>DALARNAS LÄN</t>
        </is>
      </c>
      <c r="E1013" t="inlineStr">
        <is>
          <t>MORA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37860-2024</t>
        </is>
      </c>
      <c r="B1014" s="1" t="n">
        <v>45544</v>
      </c>
      <c r="C1014" s="1" t="n">
        <v>45784</v>
      </c>
      <c r="D1014" t="inlineStr">
        <is>
          <t>DALARNAS LÄN</t>
        </is>
      </c>
      <c r="E1014" t="inlineStr">
        <is>
          <t>MORA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37971-2024</t>
        </is>
      </c>
      <c r="B1015" s="1" t="n">
        <v>45544</v>
      </c>
      <c r="C1015" s="1" t="n">
        <v>45784</v>
      </c>
      <c r="D1015" t="inlineStr">
        <is>
          <t>DALARNAS LÄN</t>
        </is>
      </c>
      <c r="E1015" t="inlineStr">
        <is>
          <t>MORA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38055-2024</t>
        </is>
      </c>
      <c r="B1016" s="1" t="n">
        <v>45544</v>
      </c>
      <c r="C1016" s="1" t="n">
        <v>45784</v>
      </c>
      <c r="D1016" t="inlineStr">
        <is>
          <t>DALARNAS LÄN</t>
        </is>
      </c>
      <c r="E1016" t="inlineStr">
        <is>
          <t>MORA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38203-2024</t>
        </is>
      </c>
      <c r="B1017" s="1" t="n">
        <v>45545</v>
      </c>
      <c r="C1017" s="1" t="n">
        <v>45784</v>
      </c>
      <c r="D1017" t="inlineStr">
        <is>
          <t>DALARNAS LÄN</t>
        </is>
      </c>
      <c r="E1017" t="inlineStr">
        <is>
          <t>MORA</t>
        </is>
      </c>
      <c r="G1017" t="n">
        <v>22.7</v>
      </c>
      <c r="H1017" t="n">
        <v>0</v>
      </c>
      <c r="I1017" t="n">
        <v>0</v>
      </c>
      <c r="J1017" t="n">
        <v>0</v>
      </c>
      <c r="K1017" t="n">
        <v>0</v>
      </c>
      <c r="L1017" t="n">
        <v>0</v>
      </c>
      <c r="M1017" t="n">
        <v>0</v>
      </c>
      <c r="N1017" t="n">
        <v>0</v>
      </c>
      <c r="O1017" t="n">
        <v>0</v>
      </c>
      <c r="P1017" t="n">
        <v>0</v>
      </c>
      <c r="Q1017" t="n">
        <v>0</v>
      </c>
      <c r="R1017" s="2" t="inlineStr"/>
    </row>
    <row r="1018" ht="15" customHeight="1">
      <c r="A1018" t="inlineStr">
        <is>
          <t>A 38563-2024</t>
        </is>
      </c>
      <c r="B1018" s="1" t="n">
        <v>45546</v>
      </c>
      <c r="C1018" s="1" t="n">
        <v>45784</v>
      </c>
      <c r="D1018" t="inlineStr">
        <is>
          <t>DALARNAS LÄN</t>
        </is>
      </c>
      <c r="E1018" t="inlineStr">
        <is>
          <t>MORA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38884-2024</t>
        </is>
      </c>
      <c r="B1019" s="1" t="n">
        <v>45547</v>
      </c>
      <c r="C1019" s="1" t="n">
        <v>45784</v>
      </c>
      <c r="D1019" t="inlineStr">
        <is>
          <t>DALARNAS LÄN</t>
        </is>
      </c>
      <c r="E1019" t="inlineStr">
        <is>
          <t>MORA</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39328-2024</t>
        </is>
      </c>
      <c r="B1020" s="1" t="n">
        <v>45551</v>
      </c>
      <c r="C1020" s="1" t="n">
        <v>45784</v>
      </c>
      <c r="D1020" t="inlineStr">
        <is>
          <t>DALARNAS LÄN</t>
        </is>
      </c>
      <c r="E1020" t="inlineStr">
        <is>
          <t>MORA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39344-2024</t>
        </is>
      </c>
      <c r="B1021" s="1" t="n">
        <v>45551</v>
      </c>
      <c r="C1021" s="1" t="n">
        <v>45784</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39348-2024</t>
        </is>
      </c>
      <c r="B1022" s="1" t="n">
        <v>45551</v>
      </c>
      <c r="C1022" s="1" t="n">
        <v>45784</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39453-2024</t>
        </is>
      </c>
      <c r="B1023" s="1" t="n">
        <v>45551</v>
      </c>
      <c r="C1023" s="1" t="n">
        <v>45784</v>
      </c>
      <c r="D1023" t="inlineStr">
        <is>
          <t>DALARNAS LÄN</t>
        </is>
      </c>
      <c r="E1023" t="inlineStr">
        <is>
          <t>MORA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39325-2024</t>
        </is>
      </c>
      <c r="B1024" s="1" t="n">
        <v>45551</v>
      </c>
      <c r="C1024" s="1" t="n">
        <v>45784</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39511-2024</t>
        </is>
      </c>
      <c r="B1025" s="1" t="n">
        <v>45551</v>
      </c>
      <c r="C1025" s="1" t="n">
        <v>45784</v>
      </c>
      <c r="D1025" t="inlineStr">
        <is>
          <t>DALARNAS LÄN</t>
        </is>
      </c>
      <c r="E1025" t="inlineStr">
        <is>
          <t>MORA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39671-2024</t>
        </is>
      </c>
      <c r="B1026" s="1" t="n">
        <v>45552</v>
      </c>
      <c r="C1026" s="1" t="n">
        <v>45784</v>
      </c>
      <c r="D1026" t="inlineStr">
        <is>
          <t>DALARNAS LÄN</t>
        </is>
      </c>
      <c r="E1026" t="inlineStr">
        <is>
          <t>MORA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39856-2024</t>
        </is>
      </c>
      <c r="B1027" s="1" t="n">
        <v>45553</v>
      </c>
      <c r="C1027" s="1" t="n">
        <v>45784</v>
      </c>
      <c r="D1027" t="inlineStr">
        <is>
          <t>DALARNAS LÄN</t>
        </is>
      </c>
      <c r="E1027" t="inlineStr">
        <is>
          <t>MORA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39888-2024</t>
        </is>
      </c>
      <c r="B1028" s="1" t="n">
        <v>45553</v>
      </c>
      <c r="C1028" s="1" t="n">
        <v>45784</v>
      </c>
      <c r="D1028" t="inlineStr">
        <is>
          <t>DALARNAS LÄN</t>
        </is>
      </c>
      <c r="E1028" t="inlineStr">
        <is>
          <t>MORA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39882-2024</t>
        </is>
      </c>
      <c r="B1029" s="1" t="n">
        <v>45553</v>
      </c>
      <c r="C1029" s="1" t="n">
        <v>45784</v>
      </c>
      <c r="D1029" t="inlineStr">
        <is>
          <t>DALARNAS LÄN</t>
        </is>
      </c>
      <c r="E1029" t="inlineStr">
        <is>
          <t>MORA</t>
        </is>
      </c>
      <c r="G1029" t="n">
        <v>14.6</v>
      </c>
      <c r="H1029" t="n">
        <v>0</v>
      </c>
      <c r="I1029" t="n">
        <v>0</v>
      </c>
      <c r="J1029" t="n">
        <v>0</v>
      </c>
      <c r="K1029" t="n">
        <v>0</v>
      </c>
      <c r="L1029" t="n">
        <v>0</v>
      </c>
      <c r="M1029" t="n">
        <v>0</v>
      </c>
      <c r="N1029" t="n">
        <v>0</v>
      </c>
      <c r="O1029" t="n">
        <v>0</v>
      </c>
      <c r="P1029" t="n">
        <v>0</v>
      </c>
      <c r="Q1029" t="n">
        <v>0</v>
      </c>
      <c r="R1029" s="2" t="inlineStr"/>
    </row>
    <row r="1030" ht="15" customHeight="1">
      <c r="A1030" t="inlineStr">
        <is>
          <t>A 40286-2024</t>
        </is>
      </c>
      <c r="B1030" s="1" t="n">
        <v>45554</v>
      </c>
      <c r="C1030" s="1" t="n">
        <v>45784</v>
      </c>
      <c r="D1030" t="inlineStr">
        <is>
          <t>DALARNAS LÄN</t>
        </is>
      </c>
      <c r="E1030" t="inlineStr">
        <is>
          <t>MORA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40325-2024</t>
        </is>
      </c>
      <c r="B1031" s="1" t="n">
        <v>45554</v>
      </c>
      <c r="C1031" s="1" t="n">
        <v>45784</v>
      </c>
      <c r="D1031" t="inlineStr">
        <is>
          <t>DALARNAS LÄN</t>
        </is>
      </c>
      <c r="E1031" t="inlineStr">
        <is>
          <t>MORA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40771-2024</t>
        </is>
      </c>
      <c r="B1032" s="1" t="n">
        <v>45558</v>
      </c>
      <c r="C1032" s="1" t="n">
        <v>45784</v>
      </c>
      <c r="D1032" t="inlineStr">
        <is>
          <t>DALARNAS LÄN</t>
        </is>
      </c>
      <c r="E1032" t="inlineStr">
        <is>
          <t>MORA</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41298-2024</t>
        </is>
      </c>
      <c r="B1033" s="1" t="n">
        <v>45559</v>
      </c>
      <c r="C1033" s="1" t="n">
        <v>45784</v>
      </c>
      <c r="D1033" t="inlineStr">
        <is>
          <t>DALARNAS LÄN</t>
        </is>
      </c>
      <c r="E1033" t="inlineStr">
        <is>
          <t>MORA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41812-2024</t>
        </is>
      </c>
      <c r="B1034" s="1" t="n">
        <v>45561</v>
      </c>
      <c r="C1034" s="1" t="n">
        <v>45784</v>
      </c>
      <c r="D1034" t="inlineStr">
        <is>
          <t>DALARNAS LÄN</t>
        </is>
      </c>
      <c r="E1034" t="inlineStr">
        <is>
          <t>MORA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41897-2024</t>
        </is>
      </c>
      <c r="B1035" s="1" t="n">
        <v>45561</v>
      </c>
      <c r="C1035" s="1" t="n">
        <v>45784</v>
      </c>
      <c r="D1035" t="inlineStr">
        <is>
          <t>DALARNAS LÄN</t>
        </is>
      </c>
      <c r="E1035" t="inlineStr">
        <is>
          <t>MORA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42085-2024</t>
        </is>
      </c>
      <c r="B1036" s="1" t="n">
        <v>45562</v>
      </c>
      <c r="C1036" s="1" t="n">
        <v>45784</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42285-2024</t>
        </is>
      </c>
      <c r="B1037" s="1" t="n">
        <v>45562</v>
      </c>
      <c r="C1037" s="1" t="n">
        <v>45784</v>
      </c>
      <c r="D1037" t="inlineStr">
        <is>
          <t>DALARNAS LÄN</t>
        </is>
      </c>
      <c r="E1037" t="inlineStr">
        <is>
          <t>MORA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42408-2024</t>
        </is>
      </c>
      <c r="B1038" s="1" t="n">
        <v>45565</v>
      </c>
      <c r="C1038" s="1" t="n">
        <v>45784</v>
      </c>
      <c r="D1038" t="inlineStr">
        <is>
          <t>DALARNAS LÄN</t>
        </is>
      </c>
      <c r="E1038" t="inlineStr">
        <is>
          <t>MORA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42670-2024</t>
        </is>
      </c>
      <c r="B1039" s="1" t="n">
        <v>45566</v>
      </c>
      <c r="C1039" s="1" t="n">
        <v>45784</v>
      </c>
      <c r="D1039" t="inlineStr">
        <is>
          <t>DALARNAS LÄN</t>
        </is>
      </c>
      <c r="E1039" t="inlineStr">
        <is>
          <t>MORA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42932-2024</t>
        </is>
      </c>
      <c r="B1040" s="1" t="n">
        <v>45567</v>
      </c>
      <c r="C1040" s="1" t="n">
        <v>45784</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43053-2024</t>
        </is>
      </c>
      <c r="B1041" s="1" t="n">
        <v>45567</v>
      </c>
      <c r="C1041" s="1" t="n">
        <v>45784</v>
      </c>
      <c r="D1041" t="inlineStr">
        <is>
          <t>DALARNAS LÄN</t>
        </is>
      </c>
      <c r="E1041" t="inlineStr">
        <is>
          <t>MORA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42928-2024</t>
        </is>
      </c>
      <c r="B1042" s="1" t="n">
        <v>45567</v>
      </c>
      <c r="C1042" s="1" t="n">
        <v>45784</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42941-2024</t>
        </is>
      </c>
      <c r="B1043" s="1" t="n">
        <v>45567</v>
      </c>
      <c r="C1043" s="1" t="n">
        <v>45784</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42943-2024</t>
        </is>
      </c>
      <c r="B1044" s="1" t="n">
        <v>45567</v>
      </c>
      <c r="C1044" s="1" t="n">
        <v>45784</v>
      </c>
      <c r="D1044" t="inlineStr">
        <is>
          <t>DALARNAS LÄN</t>
        </is>
      </c>
      <c r="E1044" t="inlineStr">
        <is>
          <t>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42934-2024</t>
        </is>
      </c>
      <c r="B1045" s="1" t="n">
        <v>45567</v>
      </c>
      <c r="C1045" s="1" t="n">
        <v>45784</v>
      </c>
      <c r="D1045" t="inlineStr">
        <is>
          <t>DALARNAS LÄN</t>
        </is>
      </c>
      <c r="E1045" t="inlineStr">
        <is>
          <t>MORA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42930-2024</t>
        </is>
      </c>
      <c r="B1046" s="1" t="n">
        <v>45567</v>
      </c>
      <c r="C1046" s="1" t="n">
        <v>45784</v>
      </c>
      <c r="D1046" t="inlineStr">
        <is>
          <t>DALARNAS LÄN</t>
        </is>
      </c>
      <c r="E1046" t="inlineStr">
        <is>
          <t>MORA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43436-2024</t>
        </is>
      </c>
      <c r="B1047" s="1" t="n">
        <v>45568</v>
      </c>
      <c r="C1047" s="1" t="n">
        <v>45784</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43432-2024</t>
        </is>
      </c>
      <c r="B1048" s="1" t="n">
        <v>45568</v>
      </c>
      <c r="C1048" s="1" t="n">
        <v>45784</v>
      </c>
      <c r="D1048" t="inlineStr">
        <is>
          <t>DALARNAS LÄN</t>
        </is>
      </c>
      <c r="E1048" t="inlineStr">
        <is>
          <t>MORA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43335-2024</t>
        </is>
      </c>
      <c r="B1049" s="1" t="n">
        <v>45568</v>
      </c>
      <c r="C1049" s="1" t="n">
        <v>45784</v>
      </c>
      <c r="D1049" t="inlineStr">
        <is>
          <t>DALARNAS LÄN</t>
        </is>
      </c>
      <c r="E1049" t="inlineStr">
        <is>
          <t>MORA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43333-2024</t>
        </is>
      </c>
      <c r="B1050" s="1" t="n">
        <v>45568</v>
      </c>
      <c r="C1050" s="1" t="n">
        <v>45784</v>
      </c>
      <c r="D1050" t="inlineStr">
        <is>
          <t>DALARNAS LÄN</t>
        </is>
      </c>
      <c r="E1050" t="inlineStr">
        <is>
          <t>MORA</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43528-2024</t>
        </is>
      </c>
      <c r="B1051" s="1" t="n">
        <v>45569</v>
      </c>
      <c r="C1051" s="1" t="n">
        <v>45784</v>
      </c>
      <c r="D1051" t="inlineStr">
        <is>
          <t>DALARNAS LÄN</t>
        </is>
      </c>
      <c r="E1051" t="inlineStr">
        <is>
          <t>MORA</t>
        </is>
      </c>
      <c r="G1051" t="n">
        <v>31.7</v>
      </c>
      <c r="H1051" t="n">
        <v>0</v>
      </c>
      <c r="I1051" t="n">
        <v>0</v>
      </c>
      <c r="J1051" t="n">
        <v>0</v>
      </c>
      <c r="K1051" t="n">
        <v>0</v>
      </c>
      <c r="L1051" t="n">
        <v>0</v>
      </c>
      <c r="M1051" t="n">
        <v>0</v>
      </c>
      <c r="N1051" t="n">
        <v>0</v>
      </c>
      <c r="O1051" t="n">
        <v>0</v>
      </c>
      <c r="P1051" t="n">
        <v>0</v>
      </c>
      <c r="Q1051" t="n">
        <v>0</v>
      </c>
      <c r="R1051" s="2" t="inlineStr"/>
    </row>
    <row r="1052" ht="15" customHeight="1">
      <c r="A1052" t="inlineStr">
        <is>
          <t>A 43873-2024</t>
        </is>
      </c>
      <c r="B1052" s="1" t="n">
        <v>45572</v>
      </c>
      <c r="C1052" s="1" t="n">
        <v>45784</v>
      </c>
      <c r="D1052" t="inlineStr">
        <is>
          <t>DALARNAS LÄN</t>
        </is>
      </c>
      <c r="E1052" t="inlineStr">
        <is>
          <t>MORA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43964-2024</t>
        </is>
      </c>
      <c r="B1053" s="1" t="n">
        <v>45572</v>
      </c>
      <c r="C1053" s="1" t="n">
        <v>45784</v>
      </c>
      <c r="D1053" t="inlineStr">
        <is>
          <t>DALARNAS LÄN</t>
        </is>
      </c>
      <c r="E1053" t="inlineStr">
        <is>
          <t>MORA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43874-2024</t>
        </is>
      </c>
      <c r="B1054" s="1" t="n">
        <v>45572</v>
      </c>
      <c r="C1054" s="1" t="n">
        <v>45784</v>
      </c>
      <c r="D1054" t="inlineStr">
        <is>
          <t>DALARNAS LÄN</t>
        </is>
      </c>
      <c r="E1054" t="inlineStr">
        <is>
          <t>MORA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44071-2024</t>
        </is>
      </c>
      <c r="B1055" s="1" t="n">
        <v>45572</v>
      </c>
      <c r="C1055" s="1" t="n">
        <v>45784</v>
      </c>
      <c r="D1055" t="inlineStr">
        <is>
          <t>DALARNAS LÄN</t>
        </is>
      </c>
      <c r="E1055" t="inlineStr">
        <is>
          <t>MORA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44258-2024</t>
        </is>
      </c>
      <c r="B1056" s="1" t="n">
        <v>45573</v>
      </c>
      <c r="C1056" s="1" t="n">
        <v>45784</v>
      </c>
      <c r="D1056" t="inlineStr">
        <is>
          <t>DALARNAS LÄN</t>
        </is>
      </c>
      <c r="E1056" t="inlineStr">
        <is>
          <t>MORA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44351-2024</t>
        </is>
      </c>
      <c r="B1057" s="1" t="n">
        <v>45573</v>
      </c>
      <c r="C1057" s="1" t="n">
        <v>45784</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45674-2024</t>
        </is>
      </c>
      <c r="B1058" s="1" t="n">
        <v>45573</v>
      </c>
      <c r="C1058" s="1" t="n">
        <v>45784</v>
      </c>
      <c r="D1058" t="inlineStr">
        <is>
          <t>DALARNAS LÄN</t>
        </is>
      </c>
      <c r="E1058" t="inlineStr">
        <is>
          <t>MORA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44595-2024</t>
        </is>
      </c>
      <c r="B1059" s="1" t="n">
        <v>45574</v>
      </c>
      <c r="C1059" s="1" t="n">
        <v>45784</v>
      </c>
      <c r="D1059" t="inlineStr">
        <is>
          <t>DALARNAS LÄN</t>
        </is>
      </c>
      <c r="E1059" t="inlineStr">
        <is>
          <t>MORA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45057-2024</t>
        </is>
      </c>
      <c r="B1060" s="1" t="n">
        <v>45575</v>
      </c>
      <c r="C1060" s="1" t="n">
        <v>45784</v>
      </c>
      <c r="D1060" t="inlineStr">
        <is>
          <t>DALARNAS LÄN</t>
        </is>
      </c>
      <c r="E1060" t="inlineStr">
        <is>
          <t>MORA</t>
        </is>
      </c>
      <c r="F1060" t="inlineStr">
        <is>
          <t>Bergvik skog öst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45335-2024</t>
        </is>
      </c>
      <c r="B1061" s="1" t="n">
        <v>45576</v>
      </c>
      <c r="C1061" s="1" t="n">
        <v>45784</v>
      </c>
      <c r="D1061" t="inlineStr">
        <is>
          <t>DALARNAS LÄN</t>
        </is>
      </c>
      <c r="E1061" t="inlineStr">
        <is>
          <t>MORA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45339-2024</t>
        </is>
      </c>
      <c r="B1062" s="1" t="n">
        <v>45576</v>
      </c>
      <c r="C1062" s="1" t="n">
        <v>45784</v>
      </c>
      <c r="D1062" t="inlineStr">
        <is>
          <t>DALARNAS LÄN</t>
        </is>
      </c>
      <c r="E1062" t="inlineStr">
        <is>
          <t>MORA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45390-2024</t>
        </is>
      </c>
      <c r="B1063" s="1" t="n">
        <v>45576</v>
      </c>
      <c r="C1063" s="1" t="n">
        <v>45784</v>
      </c>
      <c r="D1063" t="inlineStr">
        <is>
          <t>DALARNAS LÄN</t>
        </is>
      </c>
      <c r="E1063" t="inlineStr">
        <is>
          <t>MORA</t>
        </is>
      </c>
      <c r="F1063" t="inlineStr">
        <is>
          <t>Bergvik skog väst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45378-2024</t>
        </is>
      </c>
      <c r="B1064" s="1" t="n">
        <v>45576</v>
      </c>
      <c r="C1064" s="1" t="n">
        <v>45784</v>
      </c>
      <c r="D1064" t="inlineStr">
        <is>
          <t>DALARNAS LÄN</t>
        </is>
      </c>
      <c r="E1064" t="inlineStr">
        <is>
          <t>MORA</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45315-2024</t>
        </is>
      </c>
      <c r="B1065" s="1" t="n">
        <v>45576</v>
      </c>
      <c r="C1065" s="1" t="n">
        <v>45784</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45291-2024</t>
        </is>
      </c>
      <c r="B1066" s="1" t="n">
        <v>45576</v>
      </c>
      <c r="C1066" s="1" t="n">
        <v>45784</v>
      </c>
      <c r="D1066" t="inlineStr">
        <is>
          <t>DALARNAS LÄN</t>
        </is>
      </c>
      <c r="E1066" t="inlineStr">
        <is>
          <t>MORA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45863-2024</t>
        </is>
      </c>
      <c r="B1067" s="1" t="n">
        <v>45580</v>
      </c>
      <c r="C1067" s="1" t="n">
        <v>45784</v>
      </c>
      <c r="D1067" t="inlineStr">
        <is>
          <t>DALARNAS LÄN</t>
        </is>
      </c>
      <c r="E1067" t="inlineStr">
        <is>
          <t>MORA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45867-2024</t>
        </is>
      </c>
      <c r="B1068" s="1" t="n">
        <v>45580</v>
      </c>
      <c r="C1068" s="1" t="n">
        <v>45784</v>
      </c>
      <c r="D1068" t="inlineStr">
        <is>
          <t>DALARNAS LÄN</t>
        </is>
      </c>
      <c r="E1068" t="inlineStr">
        <is>
          <t>MORA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46129-2024</t>
        </is>
      </c>
      <c r="B1069" s="1" t="n">
        <v>45581</v>
      </c>
      <c r="C1069" s="1" t="n">
        <v>45784</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46417-2024</t>
        </is>
      </c>
      <c r="B1070" s="1" t="n">
        <v>45582</v>
      </c>
      <c r="C1070" s="1" t="n">
        <v>45784</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46414-2024</t>
        </is>
      </c>
      <c r="B1071" s="1" t="n">
        <v>45582</v>
      </c>
      <c r="C1071" s="1" t="n">
        <v>45784</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46412-2024</t>
        </is>
      </c>
      <c r="B1072" s="1" t="n">
        <v>45582</v>
      </c>
      <c r="C1072" s="1" t="n">
        <v>45784</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46923-2024</t>
        </is>
      </c>
      <c r="B1073" s="1" t="n">
        <v>45584</v>
      </c>
      <c r="C1073" s="1" t="n">
        <v>45784</v>
      </c>
      <c r="D1073" t="inlineStr">
        <is>
          <t>DALARNAS LÄN</t>
        </is>
      </c>
      <c r="E1073" t="inlineStr">
        <is>
          <t>MORA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46937-2024</t>
        </is>
      </c>
      <c r="B1074" s="1" t="n">
        <v>45585</v>
      </c>
      <c r="C1074" s="1" t="n">
        <v>45784</v>
      </c>
      <c r="D1074" t="inlineStr">
        <is>
          <t>DALARNAS LÄN</t>
        </is>
      </c>
      <c r="E1074" t="inlineStr">
        <is>
          <t>MORA</t>
        </is>
      </c>
      <c r="F1074" t="inlineStr">
        <is>
          <t>Bergvik skog öst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47454-2024</t>
        </is>
      </c>
      <c r="B1075" s="1" t="n">
        <v>45587</v>
      </c>
      <c r="C1075" s="1" t="n">
        <v>45784</v>
      </c>
      <c r="D1075" t="inlineStr">
        <is>
          <t>DALARNAS LÄN</t>
        </is>
      </c>
      <c r="E1075" t="inlineStr">
        <is>
          <t>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47459-2024</t>
        </is>
      </c>
      <c r="B1076" s="1" t="n">
        <v>45587</v>
      </c>
      <c r="C1076" s="1" t="n">
        <v>45784</v>
      </c>
      <c r="D1076" t="inlineStr">
        <is>
          <t>DALARNAS LÄN</t>
        </is>
      </c>
      <c r="E1076" t="inlineStr">
        <is>
          <t>MORA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47448-2024</t>
        </is>
      </c>
      <c r="B1077" s="1" t="n">
        <v>45587</v>
      </c>
      <c r="C1077" s="1" t="n">
        <v>45784</v>
      </c>
      <c r="D1077" t="inlineStr">
        <is>
          <t>DALARNAS LÄN</t>
        </is>
      </c>
      <c r="E1077" t="inlineStr">
        <is>
          <t>MORA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47784-2024</t>
        </is>
      </c>
      <c r="B1078" s="1" t="n">
        <v>45588</v>
      </c>
      <c r="C1078" s="1" t="n">
        <v>45784</v>
      </c>
      <c r="D1078" t="inlineStr">
        <is>
          <t>DALARNAS LÄN</t>
        </is>
      </c>
      <c r="E1078" t="inlineStr">
        <is>
          <t>MORA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48170-2024</t>
        </is>
      </c>
      <c r="B1079" s="1" t="n">
        <v>45589</v>
      </c>
      <c r="C1079" s="1" t="n">
        <v>45784</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48390-2024</t>
        </is>
      </c>
      <c r="B1080" s="1" t="n">
        <v>45590</v>
      </c>
      <c r="C1080" s="1" t="n">
        <v>45784</v>
      </c>
      <c r="D1080" t="inlineStr">
        <is>
          <t>DALARNAS LÄN</t>
        </is>
      </c>
      <c r="E1080" t="inlineStr">
        <is>
          <t>MORA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48585-2024</t>
        </is>
      </c>
      <c r="B1081" s="1" t="n">
        <v>45593</v>
      </c>
      <c r="C1081" s="1" t="n">
        <v>45784</v>
      </c>
      <c r="D1081" t="inlineStr">
        <is>
          <t>DALARNAS LÄN</t>
        </is>
      </c>
      <c r="E1081" t="inlineStr">
        <is>
          <t>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48754-2024</t>
        </is>
      </c>
      <c r="B1082" s="1" t="n">
        <v>45593</v>
      </c>
      <c r="C1082" s="1" t="n">
        <v>45784</v>
      </c>
      <c r="D1082" t="inlineStr">
        <is>
          <t>DALARNAS LÄN</t>
        </is>
      </c>
      <c r="E1082" t="inlineStr">
        <is>
          <t>MORA</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48522-2024</t>
        </is>
      </c>
      <c r="B1083" s="1" t="n">
        <v>45593</v>
      </c>
      <c r="C1083" s="1" t="n">
        <v>45784</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49565-2024</t>
        </is>
      </c>
      <c r="B1084" s="1" t="n">
        <v>45596</v>
      </c>
      <c r="C1084" s="1" t="n">
        <v>45784</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49467-2024</t>
        </is>
      </c>
      <c r="B1085" s="1" t="n">
        <v>45596</v>
      </c>
      <c r="C1085" s="1" t="n">
        <v>45784</v>
      </c>
      <c r="D1085" t="inlineStr">
        <is>
          <t>DALARNAS LÄN</t>
        </is>
      </c>
      <c r="E1085" t="inlineStr">
        <is>
          <t>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50449-2024</t>
        </is>
      </c>
      <c r="B1086" s="1" t="n">
        <v>45601</v>
      </c>
      <c r="C1086" s="1" t="n">
        <v>45784</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50911-2024</t>
        </is>
      </c>
      <c r="B1087" s="1" t="n">
        <v>45602</v>
      </c>
      <c r="C1087" s="1" t="n">
        <v>45784</v>
      </c>
      <c r="D1087" t="inlineStr">
        <is>
          <t>DALARNAS LÄN</t>
        </is>
      </c>
      <c r="E1087" t="inlineStr">
        <is>
          <t>MORA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50793-2024</t>
        </is>
      </c>
      <c r="B1088" s="1" t="n">
        <v>45602</v>
      </c>
      <c r="C1088" s="1" t="n">
        <v>45784</v>
      </c>
      <c r="D1088" t="inlineStr">
        <is>
          <t>DALARNAS LÄN</t>
        </is>
      </c>
      <c r="E1088" t="inlineStr">
        <is>
          <t>MORA</t>
        </is>
      </c>
      <c r="F1088" t="inlineStr">
        <is>
          <t>Allmännings- och besparingsskogar</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51194-2024</t>
        </is>
      </c>
      <c r="B1089" s="1" t="n">
        <v>45603</v>
      </c>
      <c r="C1089" s="1" t="n">
        <v>45784</v>
      </c>
      <c r="D1089" t="inlineStr">
        <is>
          <t>DALARNAS LÄN</t>
        </is>
      </c>
      <c r="E1089" t="inlineStr">
        <is>
          <t>MORA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51201-2024</t>
        </is>
      </c>
      <c r="B1090" s="1" t="n">
        <v>45603</v>
      </c>
      <c r="C1090" s="1" t="n">
        <v>45784</v>
      </c>
      <c r="D1090" t="inlineStr">
        <is>
          <t>DALARNAS LÄN</t>
        </is>
      </c>
      <c r="E1090" t="inlineStr">
        <is>
          <t>MORA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51168-2024</t>
        </is>
      </c>
      <c r="B1091" s="1" t="n">
        <v>45603</v>
      </c>
      <c r="C1091" s="1" t="n">
        <v>45784</v>
      </c>
      <c r="D1091" t="inlineStr">
        <is>
          <t>DALARNAS LÄN</t>
        </is>
      </c>
      <c r="E1091" t="inlineStr">
        <is>
          <t>MORA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51237-2024</t>
        </is>
      </c>
      <c r="B1092" s="1" t="n">
        <v>45603</v>
      </c>
      <c r="C1092" s="1" t="n">
        <v>45784</v>
      </c>
      <c r="D1092" t="inlineStr">
        <is>
          <t>DALARNAS LÄN</t>
        </is>
      </c>
      <c r="E1092" t="inlineStr">
        <is>
          <t>MORA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51554-2024</t>
        </is>
      </c>
      <c r="B1093" s="1" t="n">
        <v>45604</v>
      </c>
      <c r="C1093" s="1" t="n">
        <v>45784</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51918-2024</t>
        </is>
      </c>
      <c r="B1094" s="1" t="n">
        <v>45607</v>
      </c>
      <c r="C1094" s="1" t="n">
        <v>45784</v>
      </c>
      <c r="D1094" t="inlineStr">
        <is>
          <t>DALARNAS LÄN</t>
        </is>
      </c>
      <c r="E1094" t="inlineStr">
        <is>
          <t>MORA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51888-2024</t>
        </is>
      </c>
      <c r="B1095" s="1" t="n">
        <v>45607</v>
      </c>
      <c r="C1095" s="1" t="n">
        <v>45784</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51965-2024</t>
        </is>
      </c>
      <c r="B1096" s="1" t="n">
        <v>45607</v>
      </c>
      <c r="C1096" s="1" t="n">
        <v>45784</v>
      </c>
      <c r="D1096" t="inlineStr">
        <is>
          <t>DALARNAS LÄN</t>
        </is>
      </c>
      <c r="E1096" t="inlineStr">
        <is>
          <t>MORA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51814-2024</t>
        </is>
      </c>
      <c r="B1097" s="1" t="n">
        <v>45607</v>
      </c>
      <c r="C1097" s="1" t="n">
        <v>45784</v>
      </c>
      <c r="D1097" t="inlineStr">
        <is>
          <t>DALARNAS LÄN</t>
        </is>
      </c>
      <c r="E1097" t="inlineStr">
        <is>
          <t>MORA</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52288-2024</t>
        </is>
      </c>
      <c r="B1098" s="1" t="n">
        <v>45608</v>
      </c>
      <c r="C1098" s="1" t="n">
        <v>45784</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52510-2024</t>
        </is>
      </c>
      <c r="B1099" s="1" t="n">
        <v>45609</v>
      </c>
      <c r="C1099" s="1" t="n">
        <v>45784</v>
      </c>
      <c r="D1099" t="inlineStr">
        <is>
          <t>DALARNAS LÄN</t>
        </is>
      </c>
      <c r="E1099" t="inlineStr">
        <is>
          <t>MORA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52850-2024</t>
        </is>
      </c>
      <c r="B1100" s="1" t="n">
        <v>45610</v>
      </c>
      <c r="C1100" s="1" t="n">
        <v>45784</v>
      </c>
      <c r="D1100" t="inlineStr">
        <is>
          <t>DALARNAS LÄN</t>
        </is>
      </c>
      <c r="E1100" t="inlineStr">
        <is>
          <t>MORA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52894-2024</t>
        </is>
      </c>
      <c r="B1101" s="1" t="n">
        <v>45610</v>
      </c>
      <c r="C1101" s="1" t="n">
        <v>45784</v>
      </c>
      <c r="D1101" t="inlineStr">
        <is>
          <t>DALARNAS LÄN</t>
        </is>
      </c>
      <c r="E1101" t="inlineStr">
        <is>
          <t>MORA</t>
        </is>
      </c>
      <c r="G1101" t="n">
        <v>9.9</v>
      </c>
      <c r="H1101" t="n">
        <v>0</v>
      </c>
      <c r="I1101" t="n">
        <v>0</v>
      </c>
      <c r="J1101" t="n">
        <v>0</v>
      </c>
      <c r="K1101" t="n">
        <v>0</v>
      </c>
      <c r="L1101" t="n">
        <v>0</v>
      </c>
      <c r="M1101" t="n">
        <v>0</v>
      </c>
      <c r="N1101" t="n">
        <v>0</v>
      </c>
      <c r="O1101" t="n">
        <v>0</v>
      </c>
      <c r="P1101" t="n">
        <v>0</v>
      </c>
      <c r="Q1101" t="n">
        <v>0</v>
      </c>
      <c r="R1101" s="2" t="inlineStr"/>
    </row>
    <row r="1102" ht="15" customHeight="1">
      <c r="A1102" t="inlineStr">
        <is>
          <t>A 53159-2024</t>
        </is>
      </c>
      <c r="B1102" s="1" t="n">
        <v>45611</v>
      </c>
      <c r="C1102" s="1" t="n">
        <v>45784</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53155-2024</t>
        </is>
      </c>
      <c r="B1103" s="1" t="n">
        <v>45611</v>
      </c>
      <c r="C1103" s="1" t="n">
        <v>45784</v>
      </c>
      <c r="D1103" t="inlineStr">
        <is>
          <t>DALARNAS LÄN</t>
        </is>
      </c>
      <c r="E1103" t="inlineStr">
        <is>
          <t>MORA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53150-2024</t>
        </is>
      </c>
      <c r="B1104" s="1" t="n">
        <v>45611</v>
      </c>
      <c r="C1104" s="1" t="n">
        <v>45784</v>
      </c>
      <c r="D1104" t="inlineStr">
        <is>
          <t>DALARNAS LÄN</t>
        </is>
      </c>
      <c r="E1104" t="inlineStr">
        <is>
          <t>MORA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53157-2024</t>
        </is>
      </c>
      <c r="B1105" s="1" t="n">
        <v>45611</v>
      </c>
      <c r="C1105" s="1" t="n">
        <v>45784</v>
      </c>
      <c r="D1105" t="inlineStr">
        <is>
          <t>DALARNAS LÄN</t>
        </is>
      </c>
      <c r="E1105" t="inlineStr">
        <is>
          <t>MORA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53546-2024</t>
        </is>
      </c>
      <c r="B1106" s="1" t="n">
        <v>45614</v>
      </c>
      <c r="C1106" s="1" t="n">
        <v>45784</v>
      </c>
      <c r="D1106" t="inlineStr">
        <is>
          <t>DALARNAS LÄN</t>
        </is>
      </c>
      <c r="E1106" t="inlineStr">
        <is>
          <t>MORA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53527-2024</t>
        </is>
      </c>
      <c r="B1107" s="1" t="n">
        <v>45614</v>
      </c>
      <c r="C1107" s="1" t="n">
        <v>45784</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53754-2024</t>
        </is>
      </c>
      <c r="B1108" s="1" t="n">
        <v>45615</v>
      </c>
      <c r="C1108" s="1" t="n">
        <v>45784</v>
      </c>
      <c r="D1108" t="inlineStr">
        <is>
          <t>DALARNAS LÄN</t>
        </is>
      </c>
      <c r="E1108" t="inlineStr">
        <is>
          <t>MORA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53750-2024</t>
        </is>
      </c>
      <c r="B1109" s="1" t="n">
        <v>45615</v>
      </c>
      <c r="C1109" s="1" t="n">
        <v>45784</v>
      </c>
      <c r="D1109" t="inlineStr">
        <is>
          <t>DALARNAS LÄN</t>
        </is>
      </c>
      <c r="E1109" t="inlineStr">
        <is>
          <t>MORA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53743-2024</t>
        </is>
      </c>
      <c r="B1110" s="1" t="n">
        <v>45615</v>
      </c>
      <c r="C1110" s="1" t="n">
        <v>45784</v>
      </c>
      <c r="D1110" t="inlineStr">
        <is>
          <t>DALARNAS LÄN</t>
        </is>
      </c>
      <c r="E1110" t="inlineStr">
        <is>
          <t>MORA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54129-2024</t>
        </is>
      </c>
      <c r="B1111" s="1" t="n">
        <v>45616</v>
      </c>
      <c r="C1111" s="1" t="n">
        <v>45784</v>
      </c>
      <c r="D1111" t="inlineStr">
        <is>
          <t>DALARNAS LÄN</t>
        </is>
      </c>
      <c r="E1111" t="inlineStr">
        <is>
          <t>MORA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53978-2024</t>
        </is>
      </c>
      <c r="B1112" s="1" t="n">
        <v>45616</v>
      </c>
      <c r="C1112" s="1" t="n">
        <v>45784</v>
      </c>
      <c r="D1112" t="inlineStr">
        <is>
          <t>DALARNAS LÄN</t>
        </is>
      </c>
      <c r="E1112" t="inlineStr">
        <is>
          <t>MORA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53980-2024</t>
        </is>
      </c>
      <c r="B1113" s="1" t="n">
        <v>45616</v>
      </c>
      <c r="C1113" s="1" t="n">
        <v>45784</v>
      </c>
      <c r="D1113" t="inlineStr">
        <is>
          <t>DALARNAS LÄN</t>
        </is>
      </c>
      <c r="E1113" t="inlineStr">
        <is>
          <t>MORA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54042-2024</t>
        </is>
      </c>
      <c r="B1114" s="1" t="n">
        <v>45616</v>
      </c>
      <c r="C1114" s="1" t="n">
        <v>45784</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54507-2024</t>
        </is>
      </c>
      <c r="B1115" s="1" t="n">
        <v>45617</v>
      </c>
      <c r="C1115" s="1" t="n">
        <v>45784</v>
      </c>
      <c r="D1115" t="inlineStr">
        <is>
          <t>DALARNAS LÄN</t>
        </is>
      </c>
      <c r="E1115" t="inlineStr">
        <is>
          <t>MORA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54628-2024</t>
        </is>
      </c>
      <c r="B1116" s="1" t="n">
        <v>45617</v>
      </c>
      <c r="C1116" s="1" t="n">
        <v>45784</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54749-2024</t>
        </is>
      </c>
      <c r="B1117" s="1" t="n">
        <v>45618</v>
      </c>
      <c r="C1117" s="1" t="n">
        <v>45784</v>
      </c>
      <c r="D1117" t="inlineStr">
        <is>
          <t>DALARNAS LÄN</t>
        </is>
      </c>
      <c r="E1117" t="inlineStr">
        <is>
          <t>MORA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54762-2024</t>
        </is>
      </c>
      <c r="B1118" s="1" t="n">
        <v>45618</v>
      </c>
      <c r="C1118" s="1" t="n">
        <v>45784</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54699-2024</t>
        </is>
      </c>
      <c r="B1119" s="1" t="n">
        <v>45618</v>
      </c>
      <c r="C1119" s="1" t="n">
        <v>45784</v>
      </c>
      <c r="D1119" t="inlineStr">
        <is>
          <t>DALARNAS LÄN</t>
        </is>
      </c>
      <c r="E1119" t="inlineStr">
        <is>
          <t>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55114-2024</t>
        </is>
      </c>
      <c r="B1120" s="1" t="n">
        <v>45621</v>
      </c>
      <c r="C1120" s="1" t="n">
        <v>45784</v>
      </c>
      <c r="D1120" t="inlineStr">
        <is>
          <t>DALARNAS LÄN</t>
        </is>
      </c>
      <c r="E1120" t="inlineStr">
        <is>
          <t>MORA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55105-2024</t>
        </is>
      </c>
      <c r="B1121" s="1" t="n">
        <v>45621</v>
      </c>
      <c r="C1121" s="1" t="n">
        <v>45784</v>
      </c>
      <c r="D1121" t="inlineStr">
        <is>
          <t>DALARNAS LÄN</t>
        </is>
      </c>
      <c r="E1121" t="inlineStr">
        <is>
          <t>MORA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55120-2024</t>
        </is>
      </c>
      <c r="B1122" s="1" t="n">
        <v>45621</v>
      </c>
      <c r="C1122" s="1" t="n">
        <v>45784</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55402-2024</t>
        </is>
      </c>
      <c r="B1123" s="1" t="n">
        <v>45622</v>
      </c>
      <c r="C1123" s="1" t="n">
        <v>45784</v>
      </c>
      <c r="D1123" t="inlineStr">
        <is>
          <t>DALARNAS LÄN</t>
        </is>
      </c>
      <c r="E1123" t="inlineStr">
        <is>
          <t>MORA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55415-2024</t>
        </is>
      </c>
      <c r="B1124" s="1" t="n">
        <v>45622</v>
      </c>
      <c r="C1124" s="1" t="n">
        <v>45784</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55424-2024</t>
        </is>
      </c>
      <c r="B1125" s="1" t="n">
        <v>45622</v>
      </c>
      <c r="C1125" s="1" t="n">
        <v>45784</v>
      </c>
      <c r="D1125" t="inlineStr">
        <is>
          <t>DALARNAS LÄN</t>
        </is>
      </c>
      <c r="E1125" t="inlineStr">
        <is>
          <t>MORA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55625-2024</t>
        </is>
      </c>
      <c r="B1126" s="1" t="n">
        <v>45622</v>
      </c>
      <c r="C1126" s="1" t="n">
        <v>45784</v>
      </c>
      <c r="D1126" t="inlineStr">
        <is>
          <t>DALARNAS LÄN</t>
        </is>
      </c>
      <c r="E1126" t="inlineStr">
        <is>
          <t>MORA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55456-2024</t>
        </is>
      </c>
      <c r="B1127" s="1" t="n">
        <v>45622</v>
      </c>
      <c r="C1127" s="1" t="n">
        <v>45784</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55671-2024</t>
        </is>
      </c>
      <c r="B1128" s="1" t="n">
        <v>45622</v>
      </c>
      <c r="C1128" s="1" t="n">
        <v>45784</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55809-2024</t>
        </is>
      </c>
      <c r="B1129" s="1" t="n">
        <v>45623</v>
      </c>
      <c r="C1129" s="1" t="n">
        <v>45784</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56078-2024</t>
        </is>
      </c>
      <c r="B1130" s="1" t="n">
        <v>45624</v>
      </c>
      <c r="C1130" s="1" t="n">
        <v>45784</v>
      </c>
      <c r="D1130" t="inlineStr">
        <is>
          <t>DALARNAS LÄN</t>
        </is>
      </c>
      <c r="E1130" t="inlineStr">
        <is>
          <t>MORA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56268-2024</t>
        </is>
      </c>
      <c r="B1131" s="1" t="n">
        <v>45624</v>
      </c>
      <c r="C1131" s="1" t="n">
        <v>45784</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56521-2024</t>
        </is>
      </c>
      <c r="B1132" s="1" t="n">
        <v>45625</v>
      </c>
      <c r="C1132" s="1" t="n">
        <v>45784</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56425-2024</t>
        </is>
      </c>
      <c r="B1133" s="1" t="n">
        <v>45625</v>
      </c>
      <c r="C1133" s="1" t="n">
        <v>45784</v>
      </c>
      <c r="D1133" t="inlineStr">
        <is>
          <t>DALARNAS LÄN</t>
        </is>
      </c>
      <c r="E1133" t="inlineStr">
        <is>
          <t>MORA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56900-2024</t>
        </is>
      </c>
      <c r="B1134" s="1" t="n">
        <v>45625</v>
      </c>
      <c r="C1134" s="1" t="n">
        <v>45784</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56528-2024</t>
        </is>
      </c>
      <c r="B1135" s="1" t="n">
        <v>45625</v>
      </c>
      <c r="C1135" s="1" t="n">
        <v>45784</v>
      </c>
      <c r="D1135" t="inlineStr">
        <is>
          <t>DALARNAS LÄN</t>
        </is>
      </c>
      <c r="E1135" t="inlineStr">
        <is>
          <t>MORA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56532-2024</t>
        </is>
      </c>
      <c r="B1136" s="1" t="n">
        <v>45625</v>
      </c>
      <c r="C1136" s="1" t="n">
        <v>45784</v>
      </c>
      <c r="D1136" t="inlineStr">
        <is>
          <t>DALARNAS LÄN</t>
        </is>
      </c>
      <c r="E1136" t="inlineStr">
        <is>
          <t>MORA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56927-2024</t>
        </is>
      </c>
      <c r="B1137" s="1" t="n">
        <v>45625</v>
      </c>
      <c r="C1137" s="1" t="n">
        <v>45784</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56937-2024</t>
        </is>
      </c>
      <c r="B1138" s="1" t="n">
        <v>45625</v>
      </c>
      <c r="C1138" s="1" t="n">
        <v>45784</v>
      </c>
      <c r="D1138" t="inlineStr">
        <is>
          <t>DALARNAS LÄN</t>
        </is>
      </c>
      <c r="E1138" t="inlineStr">
        <is>
          <t>MORA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56935-2024</t>
        </is>
      </c>
      <c r="B1139" s="1" t="n">
        <v>45625</v>
      </c>
      <c r="C1139" s="1" t="n">
        <v>45784</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56834-2024</t>
        </is>
      </c>
      <c r="B1140" s="1" t="n">
        <v>45628</v>
      </c>
      <c r="C1140" s="1" t="n">
        <v>45784</v>
      </c>
      <c r="D1140" t="inlineStr">
        <is>
          <t>DALARNAS LÄN</t>
        </is>
      </c>
      <c r="E1140" t="inlineStr">
        <is>
          <t>MORA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56767-2024</t>
        </is>
      </c>
      <c r="B1141" s="1" t="n">
        <v>45628</v>
      </c>
      <c r="C1141" s="1" t="n">
        <v>45784</v>
      </c>
      <c r="D1141" t="inlineStr">
        <is>
          <t>DALARNAS LÄN</t>
        </is>
      </c>
      <c r="E1141" t="inlineStr">
        <is>
          <t>MORA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56770-2024</t>
        </is>
      </c>
      <c r="B1142" s="1" t="n">
        <v>45628</v>
      </c>
      <c r="C1142" s="1" t="n">
        <v>45784</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56828-2024</t>
        </is>
      </c>
      <c r="B1143" s="1" t="n">
        <v>45628</v>
      </c>
      <c r="C1143" s="1" t="n">
        <v>45784</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57957-2024</t>
        </is>
      </c>
      <c r="B1144" s="1" t="n">
        <v>45631</v>
      </c>
      <c r="C1144" s="1" t="n">
        <v>45784</v>
      </c>
      <c r="D1144" t="inlineStr">
        <is>
          <t>DALARNAS LÄN</t>
        </is>
      </c>
      <c r="E1144" t="inlineStr">
        <is>
          <t>MORA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57994-2024</t>
        </is>
      </c>
      <c r="B1145" s="1" t="n">
        <v>45631</v>
      </c>
      <c r="C1145" s="1" t="n">
        <v>45784</v>
      </c>
      <c r="D1145" t="inlineStr">
        <is>
          <t>DALARNAS LÄN</t>
        </is>
      </c>
      <c r="E1145" t="inlineStr">
        <is>
          <t>MORA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58036-2024</t>
        </is>
      </c>
      <c r="B1146" s="1" t="n">
        <v>45631</v>
      </c>
      <c r="C1146" s="1" t="n">
        <v>45784</v>
      </c>
      <c r="D1146" t="inlineStr">
        <is>
          <t>DALARNAS LÄN</t>
        </is>
      </c>
      <c r="E1146" t="inlineStr">
        <is>
          <t>MORA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58089-2024</t>
        </is>
      </c>
      <c r="B1147" s="1" t="n">
        <v>45632</v>
      </c>
      <c r="C1147" s="1" t="n">
        <v>45784</v>
      </c>
      <c r="D1147" t="inlineStr">
        <is>
          <t>DALARNAS LÄN</t>
        </is>
      </c>
      <c r="E1147" t="inlineStr">
        <is>
          <t>MORA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58171-2024</t>
        </is>
      </c>
      <c r="B1148" s="1" t="n">
        <v>45632</v>
      </c>
      <c r="C1148" s="1" t="n">
        <v>45784</v>
      </c>
      <c r="D1148" t="inlineStr">
        <is>
          <t>DALARNAS LÄN</t>
        </is>
      </c>
      <c r="E1148" t="inlineStr">
        <is>
          <t>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58177-2024</t>
        </is>
      </c>
      <c r="B1149" s="1" t="n">
        <v>45632</v>
      </c>
      <c r="C1149" s="1" t="n">
        <v>45784</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58131-2024</t>
        </is>
      </c>
      <c r="B1150" s="1" t="n">
        <v>45632</v>
      </c>
      <c r="C1150" s="1" t="n">
        <v>45784</v>
      </c>
      <c r="D1150" t="inlineStr">
        <is>
          <t>DALARNAS LÄN</t>
        </is>
      </c>
      <c r="E1150" t="inlineStr">
        <is>
          <t>MORA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59002-2024</t>
        </is>
      </c>
      <c r="B1151" s="1" t="n">
        <v>45636</v>
      </c>
      <c r="C1151" s="1" t="n">
        <v>45784</v>
      </c>
      <c r="D1151" t="inlineStr">
        <is>
          <t>DALARNAS LÄN</t>
        </is>
      </c>
      <c r="E1151" t="inlineStr">
        <is>
          <t>MORA</t>
        </is>
      </c>
      <c r="F1151" t="inlineStr">
        <is>
          <t>Bergvik skog väst AB</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59101-2024</t>
        </is>
      </c>
      <c r="B1152" s="1" t="n">
        <v>45637</v>
      </c>
      <c r="C1152" s="1" t="n">
        <v>45784</v>
      </c>
      <c r="D1152" t="inlineStr">
        <is>
          <t>DALARNAS LÄN</t>
        </is>
      </c>
      <c r="E1152" t="inlineStr">
        <is>
          <t>MORA</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59404-2024</t>
        </is>
      </c>
      <c r="B1153" s="1" t="n">
        <v>45638</v>
      </c>
      <c r="C1153" s="1" t="n">
        <v>45784</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59401-2024</t>
        </is>
      </c>
      <c r="B1154" s="1" t="n">
        <v>45638</v>
      </c>
      <c r="C1154" s="1" t="n">
        <v>45784</v>
      </c>
      <c r="D1154" t="inlineStr">
        <is>
          <t>DALARNAS LÄN</t>
        </is>
      </c>
      <c r="E1154" t="inlineStr">
        <is>
          <t>MORA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59839-2024</t>
        </is>
      </c>
      <c r="B1155" s="1" t="n">
        <v>45639</v>
      </c>
      <c r="C1155" s="1" t="n">
        <v>45784</v>
      </c>
      <c r="D1155" t="inlineStr">
        <is>
          <t>DALARNAS LÄN</t>
        </is>
      </c>
      <c r="E1155" t="inlineStr">
        <is>
          <t>MORA</t>
        </is>
      </c>
      <c r="F1155" t="inlineStr">
        <is>
          <t>Bergvik skog öst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59646-2024</t>
        </is>
      </c>
      <c r="B1156" s="1" t="n">
        <v>45639</v>
      </c>
      <c r="C1156" s="1" t="n">
        <v>45784</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60187-2024</t>
        </is>
      </c>
      <c r="B1157" s="1" t="n">
        <v>45642</v>
      </c>
      <c r="C1157" s="1" t="n">
        <v>45784</v>
      </c>
      <c r="D1157" t="inlineStr">
        <is>
          <t>DALARNAS LÄN</t>
        </is>
      </c>
      <c r="E1157" t="inlineStr">
        <is>
          <t>MORA</t>
        </is>
      </c>
      <c r="F1157" t="inlineStr">
        <is>
          <t>Allmännings- och besparingsskogar</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60099-2024</t>
        </is>
      </c>
      <c r="B1158" s="1" t="n">
        <v>45642</v>
      </c>
      <c r="C1158" s="1" t="n">
        <v>45784</v>
      </c>
      <c r="D1158" t="inlineStr">
        <is>
          <t>DALARNAS LÄN</t>
        </is>
      </c>
      <c r="E1158" t="inlineStr">
        <is>
          <t>MORA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59983-2024</t>
        </is>
      </c>
      <c r="B1159" s="1" t="n">
        <v>45642</v>
      </c>
      <c r="C1159" s="1" t="n">
        <v>45784</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61188-2024</t>
        </is>
      </c>
      <c r="B1160" s="1" t="n">
        <v>45645</v>
      </c>
      <c r="C1160" s="1" t="n">
        <v>45784</v>
      </c>
      <c r="D1160" t="inlineStr">
        <is>
          <t>DALARNAS LÄN</t>
        </is>
      </c>
      <c r="E1160" t="inlineStr">
        <is>
          <t>MORA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60953-2024</t>
        </is>
      </c>
      <c r="B1161" s="1" t="n">
        <v>45645</v>
      </c>
      <c r="C1161" s="1" t="n">
        <v>45784</v>
      </c>
      <c r="D1161" t="inlineStr">
        <is>
          <t>DALARNAS LÄN</t>
        </is>
      </c>
      <c r="E1161" t="inlineStr">
        <is>
          <t>MORA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61191-2024</t>
        </is>
      </c>
      <c r="B1162" s="1" t="n">
        <v>45645</v>
      </c>
      <c r="C1162" s="1" t="n">
        <v>45784</v>
      </c>
      <c r="D1162" t="inlineStr">
        <is>
          <t>DALARNAS LÄN</t>
        </is>
      </c>
      <c r="E1162" t="inlineStr">
        <is>
          <t>MORA</t>
        </is>
      </c>
      <c r="F1162" t="inlineStr">
        <is>
          <t>Allmännings- och besparingsskogar</t>
        </is>
      </c>
      <c r="G1162" t="n">
        <v>12.4</v>
      </c>
      <c r="H1162" t="n">
        <v>0</v>
      </c>
      <c r="I1162" t="n">
        <v>0</v>
      </c>
      <c r="J1162" t="n">
        <v>0</v>
      </c>
      <c r="K1162" t="n">
        <v>0</v>
      </c>
      <c r="L1162" t="n">
        <v>0</v>
      </c>
      <c r="M1162" t="n">
        <v>0</v>
      </c>
      <c r="N1162" t="n">
        <v>0</v>
      </c>
      <c r="O1162" t="n">
        <v>0</v>
      </c>
      <c r="P1162" t="n">
        <v>0</v>
      </c>
      <c r="Q1162" t="n">
        <v>0</v>
      </c>
      <c r="R1162" s="2" t="inlineStr"/>
    </row>
    <row r="1163" ht="15" customHeight="1">
      <c r="A1163" t="inlineStr">
        <is>
          <t>A 61270-2024</t>
        </is>
      </c>
      <c r="B1163" s="1" t="n">
        <v>45645</v>
      </c>
      <c r="C1163" s="1" t="n">
        <v>45784</v>
      </c>
      <c r="D1163" t="inlineStr">
        <is>
          <t>DALARNAS LÄN</t>
        </is>
      </c>
      <c r="E1163" t="inlineStr">
        <is>
          <t>MORA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61278-2024</t>
        </is>
      </c>
      <c r="B1164" s="1" t="n">
        <v>45645</v>
      </c>
      <c r="C1164" s="1" t="n">
        <v>45784</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61282-2024</t>
        </is>
      </c>
      <c r="B1165" s="1" t="n">
        <v>45645</v>
      </c>
      <c r="C1165" s="1" t="n">
        <v>45784</v>
      </c>
      <c r="D1165" t="inlineStr">
        <is>
          <t>DALARNAS LÄN</t>
        </is>
      </c>
      <c r="E1165" t="inlineStr">
        <is>
          <t>MORA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61654-2024</t>
        </is>
      </c>
      <c r="B1166" s="1" t="n">
        <v>45646</v>
      </c>
      <c r="C1166" s="1" t="n">
        <v>45784</v>
      </c>
      <c r="D1166" t="inlineStr">
        <is>
          <t>DALARNAS LÄN</t>
        </is>
      </c>
      <c r="E1166" t="inlineStr">
        <is>
          <t>MORA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61350-2024</t>
        </is>
      </c>
      <c r="B1167" s="1" t="n">
        <v>45646</v>
      </c>
      <c r="C1167" s="1" t="n">
        <v>45784</v>
      </c>
      <c r="D1167" t="inlineStr">
        <is>
          <t>DALARNAS LÄN</t>
        </is>
      </c>
      <c r="E1167" t="inlineStr">
        <is>
          <t>MORA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1252-2025</t>
        </is>
      </c>
      <c r="B1168" s="1" t="n">
        <v>45667</v>
      </c>
      <c r="C1168" s="1" t="n">
        <v>45784</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1241-2025</t>
        </is>
      </c>
      <c r="B1169" s="1" t="n">
        <v>45667</v>
      </c>
      <c r="C1169" s="1" t="n">
        <v>45784</v>
      </c>
      <c r="D1169" t="inlineStr">
        <is>
          <t>DALARNAS LÄN</t>
        </is>
      </c>
      <c r="E1169" t="inlineStr">
        <is>
          <t>MORA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1314-2025</t>
        </is>
      </c>
      <c r="B1170" s="1" t="n">
        <v>45667</v>
      </c>
      <c r="C1170" s="1" t="n">
        <v>45784</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2784-2025</t>
        </is>
      </c>
      <c r="B1171" s="1" t="n">
        <v>45677</v>
      </c>
      <c r="C1171" s="1" t="n">
        <v>45784</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4079-2025</t>
        </is>
      </c>
      <c r="B1172" s="1" t="n">
        <v>45684</v>
      </c>
      <c r="C1172" s="1" t="n">
        <v>45784</v>
      </c>
      <c r="D1172" t="inlineStr">
        <is>
          <t>DALARNAS LÄN</t>
        </is>
      </c>
      <c r="E1172" t="inlineStr">
        <is>
          <t>MORA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4768-2025</t>
        </is>
      </c>
      <c r="B1173" s="1" t="n">
        <v>45688</v>
      </c>
      <c r="C1173" s="1" t="n">
        <v>45784</v>
      </c>
      <c r="D1173" t="inlineStr">
        <is>
          <t>DALARNAS LÄN</t>
        </is>
      </c>
      <c r="E1173" t="inlineStr">
        <is>
          <t>MORA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4764-2025</t>
        </is>
      </c>
      <c r="B1174" s="1" t="n">
        <v>45688</v>
      </c>
      <c r="C1174" s="1" t="n">
        <v>45784</v>
      </c>
      <c r="D1174" t="inlineStr">
        <is>
          <t>DALARNAS LÄN</t>
        </is>
      </c>
      <c r="E1174" t="inlineStr">
        <is>
          <t>MORA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4994-2025</t>
        </is>
      </c>
      <c r="B1175" s="1" t="n">
        <v>45691</v>
      </c>
      <c r="C1175" s="1" t="n">
        <v>45784</v>
      </c>
      <c r="D1175" t="inlineStr">
        <is>
          <t>DALARNAS LÄN</t>
        </is>
      </c>
      <c r="E1175" t="inlineStr">
        <is>
          <t>MORA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5001-2025</t>
        </is>
      </c>
      <c r="B1176" s="1" t="n">
        <v>45691</v>
      </c>
      <c r="C1176" s="1" t="n">
        <v>45784</v>
      </c>
      <c r="D1176" t="inlineStr">
        <is>
          <t>DALARNAS LÄN</t>
        </is>
      </c>
      <c r="E1176" t="inlineStr">
        <is>
          <t>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5216-2025</t>
        </is>
      </c>
      <c r="B1177" s="1" t="n">
        <v>45691</v>
      </c>
      <c r="C1177" s="1" t="n">
        <v>45784</v>
      </c>
      <c r="D1177" t="inlineStr">
        <is>
          <t>DALARNAS LÄN</t>
        </is>
      </c>
      <c r="E1177" t="inlineStr">
        <is>
          <t>MORA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5418-2025</t>
        </is>
      </c>
      <c r="B1178" s="1" t="n">
        <v>45692</v>
      </c>
      <c r="C1178" s="1" t="n">
        <v>45784</v>
      </c>
      <c r="D1178" t="inlineStr">
        <is>
          <t>DALARNAS LÄN</t>
        </is>
      </c>
      <c r="E1178" t="inlineStr">
        <is>
          <t>MORA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5769-2025</t>
        </is>
      </c>
      <c r="B1179" s="1" t="n">
        <v>45694</v>
      </c>
      <c r="C1179" s="1" t="n">
        <v>45784</v>
      </c>
      <c r="D1179" t="inlineStr">
        <is>
          <t>DALARNAS LÄN</t>
        </is>
      </c>
      <c r="E1179" t="inlineStr">
        <is>
          <t>MORA</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5922-2025</t>
        </is>
      </c>
      <c r="B1180" s="1" t="n">
        <v>45695</v>
      </c>
      <c r="C1180" s="1" t="n">
        <v>45784</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5980-2025</t>
        </is>
      </c>
      <c r="B1181" s="1" t="n">
        <v>45695</v>
      </c>
      <c r="C1181" s="1" t="n">
        <v>45784</v>
      </c>
      <c r="D1181" t="inlineStr">
        <is>
          <t>DALARNAS LÄN</t>
        </is>
      </c>
      <c r="E1181" t="inlineStr">
        <is>
          <t>MORA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6520-2025</t>
        </is>
      </c>
      <c r="B1182" s="1" t="n">
        <v>45699</v>
      </c>
      <c r="C1182" s="1" t="n">
        <v>45784</v>
      </c>
      <c r="D1182" t="inlineStr">
        <is>
          <t>DALARNAS LÄN</t>
        </is>
      </c>
      <c r="E1182" t="inlineStr">
        <is>
          <t>MORA</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7576-2025</t>
        </is>
      </c>
      <c r="B1183" s="1" t="n">
        <v>45705</v>
      </c>
      <c r="C1183" s="1" t="n">
        <v>45784</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7565-2025</t>
        </is>
      </c>
      <c r="B1184" s="1" t="n">
        <v>45705</v>
      </c>
      <c r="C1184" s="1" t="n">
        <v>45784</v>
      </c>
      <c r="D1184" t="inlineStr">
        <is>
          <t>DALARNAS LÄN</t>
        </is>
      </c>
      <c r="E1184" t="inlineStr">
        <is>
          <t>MORA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7552-2025</t>
        </is>
      </c>
      <c r="B1185" s="1" t="n">
        <v>45705</v>
      </c>
      <c r="C1185" s="1" t="n">
        <v>45784</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7766-2025</t>
        </is>
      </c>
      <c r="B1186" s="1" t="n">
        <v>45706</v>
      </c>
      <c r="C1186" s="1" t="n">
        <v>45784</v>
      </c>
      <c r="D1186" t="inlineStr">
        <is>
          <t>DALARNAS LÄN</t>
        </is>
      </c>
      <c r="E1186" t="inlineStr">
        <is>
          <t>MORA</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8343-2025</t>
        </is>
      </c>
      <c r="B1187" s="1" t="n">
        <v>45708</v>
      </c>
      <c r="C1187" s="1" t="n">
        <v>45784</v>
      </c>
      <c r="D1187" t="inlineStr">
        <is>
          <t>DALARNAS LÄN</t>
        </is>
      </c>
      <c r="E1187" t="inlineStr">
        <is>
          <t>MORA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8687-2025</t>
        </is>
      </c>
      <c r="B1188" s="1" t="n">
        <v>45712</v>
      </c>
      <c r="C1188" s="1" t="n">
        <v>45784</v>
      </c>
      <c r="D1188" t="inlineStr">
        <is>
          <t>DALARNAS LÄN</t>
        </is>
      </c>
      <c r="E1188" t="inlineStr">
        <is>
          <t>MORA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9461-2025</t>
        </is>
      </c>
      <c r="B1189" s="1" t="n">
        <v>45715</v>
      </c>
      <c r="C1189" s="1" t="n">
        <v>45784</v>
      </c>
      <c r="D1189" t="inlineStr">
        <is>
          <t>DALARNAS LÄN</t>
        </is>
      </c>
      <c r="E1189" t="inlineStr">
        <is>
          <t>MORA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9554-2025</t>
        </is>
      </c>
      <c r="B1190" s="1" t="n">
        <v>45715</v>
      </c>
      <c r="C1190" s="1" t="n">
        <v>45784</v>
      </c>
      <c r="D1190" t="inlineStr">
        <is>
          <t>DALARNAS LÄN</t>
        </is>
      </c>
      <c r="E1190" t="inlineStr">
        <is>
          <t>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10777-2025</t>
        </is>
      </c>
      <c r="B1191" s="1" t="n">
        <v>45722</v>
      </c>
      <c r="C1191" s="1" t="n">
        <v>45784</v>
      </c>
      <c r="D1191" t="inlineStr">
        <is>
          <t>DALARNAS LÄN</t>
        </is>
      </c>
      <c r="E1191" t="inlineStr">
        <is>
          <t>MORA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11193-2025</t>
        </is>
      </c>
      <c r="B1192" s="1" t="n">
        <v>45725</v>
      </c>
      <c r="C1192" s="1" t="n">
        <v>45784</v>
      </c>
      <c r="D1192" t="inlineStr">
        <is>
          <t>DALARNAS LÄN</t>
        </is>
      </c>
      <c r="E1192" t="inlineStr">
        <is>
          <t>MORA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12478-2025</t>
        </is>
      </c>
      <c r="B1193" s="1" t="n">
        <v>45730</v>
      </c>
      <c r="C1193" s="1" t="n">
        <v>45784</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12490-2025</t>
        </is>
      </c>
      <c r="B1194" s="1" t="n">
        <v>45730</v>
      </c>
      <c r="C1194" s="1" t="n">
        <v>45784</v>
      </c>
      <c r="D1194" t="inlineStr">
        <is>
          <t>DALARNAS LÄN</t>
        </is>
      </c>
      <c r="E1194" t="inlineStr">
        <is>
          <t>MORA</t>
        </is>
      </c>
      <c r="F1194" t="inlineStr">
        <is>
          <t>Bergvik skog öst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14017-2025</t>
        </is>
      </c>
      <c r="B1195" s="1" t="n">
        <v>45740</v>
      </c>
      <c r="C1195" s="1" t="n">
        <v>45784</v>
      </c>
      <c r="D1195" t="inlineStr">
        <is>
          <t>DALARNAS LÄN</t>
        </is>
      </c>
      <c r="E1195" t="inlineStr">
        <is>
          <t>MORA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14372-2025</t>
        </is>
      </c>
      <c r="B1196" s="1" t="n">
        <v>45741</v>
      </c>
      <c r="C1196" s="1" t="n">
        <v>45784</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14378-2025</t>
        </is>
      </c>
      <c r="B1197" s="1" t="n">
        <v>45741</v>
      </c>
      <c r="C1197" s="1" t="n">
        <v>45784</v>
      </c>
      <c r="D1197" t="inlineStr">
        <is>
          <t>DALARNAS LÄN</t>
        </is>
      </c>
      <c r="E1197" t="inlineStr">
        <is>
          <t>MORA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14479-2025</t>
        </is>
      </c>
      <c r="B1198" s="1" t="n">
        <v>45741</v>
      </c>
      <c r="C1198" s="1" t="n">
        <v>45784</v>
      </c>
      <c r="D1198" t="inlineStr">
        <is>
          <t>DALARNAS LÄN</t>
        </is>
      </c>
      <c r="E1198" t="inlineStr">
        <is>
          <t>MORA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45784</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14611-2025</t>
        </is>
      </c>
      <c r="B1200" s="1" t="n">
        <v>45742</v>
      </c>
      <c r="C1200" s="1" t="n">
        <v>45784</v>
      </c>
      <c r="D1200" t="inlineStr">
        <is>
          <t>DALARNAS LÄN</t>
        </is>
      </c>
      <c r="E1200" t="inlineStr">
        <is>
          <t>MORA</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14829-2025</t>
        </is>
      </c>
      <c r="B1201" s="1" t="n">
        <v>45743</v>
      </c>
      <c r="C1201" s="1" t="n">
        <v>45784</v>
      </c>
      <c r="D1201" t="inlineStr">
        <is>
          <t>DALARNAS LÄN</t>
        </is>
      </c>
      <c r="E1201" t="inlineStr">
        <is>
          <t>MORA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14936-2025</t>
        </is>
      </c>
      <c r="B1202" s="1" t="n">
        <v>45743</v>
      </c>
      <c r="C1202" s="1" t="n">
        <v>45784</v>
      </c>
      <c r="D1202" t="inlineStr">
        <is>
          <t>DALARNAS LÄN</t>
        </is>
      </c>
      <c r="E1202" t="inlineStr">
        <is>
          <t>MORA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15172-2025</t>
        </is>
      </c>
      <c r="B1203" s="1" t="n">
        <v>45744</v>
      </c>
      <c r="C1203" s="1" t="n">
        <v>45784</v>
      </c>
      <c r="D1203" t="inlineStr">
        <is>
          <t>DALARNAS LÄN</t>
        </is>
      </c>
      <c r="E1203" t="inlineStr">
        <is>
          <t>MORA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15443-2025</t>
        </is>
      </c>
      <c r="B1204" s="1" t="n">
        <v>45747</v>
      </c>
      <c r="C1204" s="1" t="n">
        <v>45784</v>
      </c>
      <c r="D1204" t="inlineStr">
        <is>
          <t>DALARNAS LÄN</t>
        </is>
      </c>
      <c r="E1204" t="inlineStr">
        <is>
          <t>MORA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15643-2025</t>
        </is>
      </c>
      <c r="B1205" s="1" t="n">
        <v>45748</v>
      </c>
      <c r="C1205" s="1" t="n">
        <v>45784</v>
      </c>
      <c r="D1205" t="inlineStr">
        <is>
          <t>DALARNAS LÄN</t>
        </is>
      </c>
      <c r="E1205" t="inlineStr">
        <is>
          <t>MORA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15993-2025</t>
        </is>
      </c>
      <c r="B1206" s="1" t="n">
        <v>45749</v>
      </c>
      <c r="C1206" s="1" t="n">
        <v>45784</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16174-2025</t>
        </is>
      </c>
      <c r="B1207" s="1" t="n">
        <v>45750</v>
      </c>
      <c r="C1207" s="1" t="n">
        <v>45784</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16637-2025</t>
        </is>
      </c>
      <c r="B1208" s="1" t="n">
        <v>45754</v>
      </c>
      <c r="C1208" s="1" t="n">
        <v>45784</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16967-2025</t>
        </is>
      </c>
      <c r="B1209" s="1" t="n">
        <v>45755</v>
      </c>
      <c r="C1209" s="1" t="n">
        <v>45784</v>
      </c>
      <c r="D1209" t="inlineStr">
        <is>
          <t>DALARNAS LÄN</t>
        </is>
      </c>
      <c r="E1209" t="inlineStr">
        <is>
          <t>MORA</t>
        </is>
      </c>
      <c r="F1209" t="inlineStr">
        <is>
          <t>Bergvik skog öst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16965-2025</t>
        </is>
      </c>
      <c r="B1210" s="1" t="n">
        <v>45755</v>
      </c>
      <c r="C1210" s="1" t="n">
        <v>45784</v>
      </c>
      <c r="D1210" t="inlineStr">
        <is>
          <t>DALARNAS LÄN</t>
        </is>
      </c>
      <c r="E1210" t="inlineStr">
        <is>
          <t>MORA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16961-2025</t>
        </is>
      </c>
      <c r="B1211" s="1" t="n">
        <v>45755</v>
      </c>
      <c r="C1211" s="1" t="n">
        <v>45784</v>
      </c>
      <c r="D1211" t="inlineStr">
        <is>
          <t>DALARNAS LÄN</t>
        </is>
      </c>
      <c r="E1211" t="inlineStr">
        <is>
          <t>MORA</t>
        </is>
      </c>
      <c r="F1211" t="inlineStr">
        <is>
          <t>Bergvik skog öst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17278-2025</t>
        </is>
      </c>
      <c r="B1212" s="1" t="n">
        <v>45756</v>
      </c>
      <c r="C1212" s="1" t="n">
        <v>45784</v>
      </c>
      <c r="D1212" t="inlineStr">
        <is>
          <t>DALARNAS LÄN</t>
        </is>
      </c>
      <c r="E1212" t="inlineStr">
        <is>
          <t>MORA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17176-2025</t>
        </is>
      </c>
      <c r="B1213" s="1" t="n">
        <v>45756</v>
      </c>
      <c r="C1213" s="1" t="n">
        <v>45784</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17288-2025</t>
        </is>
      </c>
      <c r="B1214" s="1" t="n">
        <v>45756</v>
      </c>
      <c r="C1214" s="1" t="n">
        <v>45784</v>
      </c>
      <c r="D1214" t="inlineStr">
        <is>
          <t>DALARNAS LÄN</t>
        </is>
      </c>
      <c r="E1214" t="inlineStr">
        <is>
          <t>MORA</t>
        </is>
      </c>
      <c r="F1214" t="inlineStr">
        <is>
          <t>Kyrkan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17164-2025</t>
        </is>
      </c>
      <c r="B1215" s="1" t="n">
        <v>45756</v>
      </c>
      <c r="C1215" s="1" t="n">
        <v>45784</v>
      </c>
      <c r="D1215" t="inlineStr">
        <is>
          <t>DALARNAS LÄN</t>
        </is>
      </c>
      <c r="E1215" t="inlineStr">
        <is>
          <t>MORA</t>
        </is>
      </c>
      <c r="F1215" t="inlineStr">
        <is>
          <t>Bergvik skog öst AB</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17172-2025</t>
        </is>
      </c>
      <c r="B1216" s="1" t="n">
        <v>45756</v>
      </c>
      <c r="C1216" s="1" t="n">
        <v>45784</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17268-2025</t>
        </is>
      </c>
      <c r="B1217" s="1" t="n">
        <v>45756</v>
      </c>
      <c r="C1217" s="1" t="n">
        <v>45784</v>
      </c>
      <c r="D1217" t="inlineStr">
        <is>
          <t>DALARNAS LÄN</t>
        </is>
      </c>
      <c r="E1217" t="inlineStr">
        <is>
          <t>MORA</t>
        </is>
      </c>
      <c r="G1217" t="n">
        <v>6.8</v>
      </c>
      <c r="H1217" t="n">
        <v>0</v>
      </c>
      <c r="I1217" t="n">
        <v>0</v>
      </c>
      <c r="J1217" t="n">
        <v>0</v>
      </c>
      <c r="K1217" t="n">
        <v>0</v>
      </c>
      <c r="L1217" t="n">
        <v>0</v>
      </c>
      <c r="M1217" t="n">
        <v>0</v>
      </c>
      <c r="N1217" t="n">
        <v>0</v>
      </c>
      <c r="O1217" t="n">
        <v>0</v>
      </c>
      <c r="P1217" t="n">
        <v>0</v>
      </c>
      <c r="Q1217" t="n">
        <v>0</v>
      </c>
      <c r="R1217" s="2" t="inlineStr"/>
    </row>
    <row r="1218" ht="15" customHeight="1">
      <c r="A1218" t="inlineStr">
        <is>
          <t>A 17280-2025</t>
        </is>
      </c>
      <c r="B1218" s="1" t="n">
        <v>45756</v>
      </c>
      <c r="C1218" s="1" t="n">
        <v>45784</v>
      </c>
      <c r="D1218" t="inlineStr">
        <is>
          <t>DALARNAS LÄN</t>
        </is>
      </c>
      <c r="E1218" t="inlineStr">
        <is>
          <t>MORA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17163-2025</t>
        </is>
      </c>
      <c r="B1219" s="1" t="n">
        <v>45756</v>
      </c>
      <c r="C1219" s="1" t="n">
        <v>45784</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17167-2025</t>
        </is>
      </c>
      <c r="B1220" s="1" t="n">
        <v>45756</v>
      </c>
      <c r="C1220" s="1" t="n">
        <v>45784</v>
      </c>
      <c r="D1220" t="inlineStr">
        <is>
          <t>DALARNAS LÄN</t>
        </is>
      </c>
      <c r="E1220" t="inlineStr">
        <is>
          <t>MORA</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17494-2025</t>
        </is>
      </c>
      <c r="B1221" s="1" t="n">
        <v>45757</v>
      </c>
      <c r="C1221" s="1" t="n">
        <v>45784</v>
      </c>
      <c r="D1221" t="inlineStr">
        <is>
          <t>DALARNAS LÄN</t>
        </is>
      </c>
      <c r="E1221" t="inlineStr">
        <is>
          <t>MORA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17393-2025</t>
        </is>
      </c>
      <c r="B1222" s="1" t="n">
        <v>45757</v>
      </c>
      <c r="C1222" s="1" t="n">
        <v>45784</v>
      </c>
      <c r="D1222" t="inlineStr">
        <is>
          <t>DALARNAS LÄN</t>
        </is>
      </c>
      <c r="E1222" t="inlineStr">
        <is>
          <t>MORA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17865-2025</t>
        </is>
      </c>
      <c r="B1223" s="1" t="n">
        <v>45758</v>
      </c>
      <c r="C1223" s="1" t="n">
        <v>45784</v>
      </c>
      <c r="D1223" t="inlineStr">
        <is>
          <t>DALARNAS LÄN</t>
        </is>
      </c>
      <c r="E1223" t="inlineStr">
        <is>
          <t>MORA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17737-2025</t>
        </is>
      </c>
      <c r="B1224" s="1" t="n">
        <v>45758</v>
      </c>
      <c r="C1224" s="1" t="n">
        <v>45784</v>
      </c>
      <c r="D1224" t="inlineStr">
        <is>
          <t>DALARNAS LÄN</t>
        </is>
      </c>
      <c r="E1224" t="inlineStr">
        <is>
          <t>MORA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17674-2025</t>
        </is>
      </c>
      <c r="B1225" s="1" t="n">
        <v>45758</v>
      </c>
      <c r="C1225" s="1" t="n">
        <v>45784</v>
      </c>
      <c r="D1225" t="inlineStr">
        <is>
          <t>DALARNAS LÄN</t>
        </is>
      </c>
      <c r="E1225" t="inlineStr">
        <is>
          <t>MORA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18122-2025</t>
        </is>
      </c>
      <c r="B1226" s="1" t="n">
        <v>45761</v>
      </c>
      <c r="C1226" s="1" t="n">
        <v>45784</v>
      </c>
      <c r="D1226" t="inlineStr">
        <is>
          <t>DALARNAS LÄN</t>
        </is>
      </c>
      <c r="E1226" t="inlineStr">
        <is>
          <t>MORA</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18134-2025</t>
        </is>
      </c>
      <c r="B1227" s="1" t="n">
        <v>45761</v>
      </c>
      <c r="C1227" s="1" t="n">
        <v>45784</v>
      </c>
      <c r="D1227" t="inlineStr">
        <is>
          <t>DALARNAS LÄN</t>
        </is>
      </c>
      <c r="E1227" t="inlineStr">
        <is>
          <t>MORA</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18139-2025</t>
        </is>
      </c>
      <c r="B1228" s="1" t="n">
        <v>45761</v>
      </c>
      <c r="C1228" s="1" t="n">
        <v>45784</v>
      </c>
      <c r="D1228" t="inlineStr">
        <is>
          <t>DALARNAS LÄN</t>
        </is>
      </c>
      <c r="E1228" t="inlineStr">
        <is>
          <t>MORA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18127-2025</t>
        </is>
      </c>
      <c r="B1229" s="1" t="n">
        <v>45761</v>
      </c>
      <c r="C1229" s="1" t="n">
        <v>45784</v>
      </c>
      <c r="D1229" t="inlineStr">
        <is>
          <t>DALARNAS LÄN</t>
        </is>
      </c>
      <c r="E1229" t="inlineStr">
        <is>
          <t>MORA</t>
        </is>
      </c>
      <c r="F1229" t="inlineStr">
        <is>
          <t>Bergvik skog öst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18580-2025</t>
        </is>
      </c>
      <c r="B1230" s="1" t="n">
        <v>45763</v>
      </c>
      <c r="C1230" s="1" t="n">
        <v>45784</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18702-2025</t>
        </is>
      </c>
      <c r="B1231" s="1" t="n">
        <v>45763</v>
      </c>
      <c r="C1231" s="1" t="n">
        <v>45784</v>
      </c>
      <c r="D1231" t="inlineStr">
        <is>
          <t>DALARNAS LÄN</t>
        </is>
      </c>
      <c r="E1231" t="inlineStr">
        <is>
          <t>MORA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45784</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19193-2025</t>
        </is>
      </c>
      <c r="B1233" s="1" t="n">
        <v>45769</v>
      </c>
      <c r="C1233" s="1" t="n">
        <v>45784</v>
      </c>
      <c r="D1233" t="inlineStr">
        <is>
          <t>DALARNAS LÄN</t>
        </is>
      </c>
      <c r="E1233" t="inlineStr">
        <is>
          <t>MORA</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19183-2025</t>
        </is>
      </c>
      <c r="B1234" s="1" t="n">
        <v>45769</v>
      </c>
      <c r="C1234" s="1" t="n">
        <v>45784</v>
      </c>
      <c r="D1234" t="inlineStr">
        <is>
          <t>DALARNAS LÄN</t>
        </is>
      </c>
      <c r="E1234" t="inlineStr">
        <is>
          <t>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19842-2025</t>
        </is>
      </c>
      <c r="B1235" s="1" t="n">
        <v>45771</v>
      </c>
      <c r="C1235" s="1" t="n">
        <v>45784</v>
      </c>
      <c r="D1235" t="inlineStr">
        <is>
          <t>DALARNAS LÄN</t>
        </is>
      </c>
      <c r="E1235" t="inlineStr">
        <is>
          <t>MORA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19814-2025</t>
        </is>
      </c>
      <c r="B1236" s="1" t="n">
        <v>45771</v>
      </c>
      <c r="C1236" s="1" t="n">
        <v>45784</v>
      </c>
      <c r="D1236" t="inlineStr">
        <is>
          <t>DALARNAS LÄN</t>
        </is>
      </c>
      <c r="E1236" t="inlineStr">
        <is>
          <t>MORA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19906-2025</t>
        </is>
      </c>
      <c r="B1237" s="1" t="n">
        <v>45771</v>
      </c>
      <c r="C1237" s="1" t="n">
        <v>45784</v>
      </c>
      <c r="D1237" t="inlineStr">
        <is>
          <t>DALARNAS LÄN</t>
        </is>
      </c>
      <c r="E1237" t="inlineStr">
        <is>
          <t>MORA</t>
        </is>
      </c>
      <c r="F1237" t="inlineStr">
        <is>
          <t>Bergvik skog öst AB</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20067-2025</t>
        </is>
      </c>
      <c r="B1238" s="1" t="n">
        <v>45772</v>
      </c>
      <c r="C1238" s="1" t="n">
        <v>45784</v>
      </c>
      <c r="D1238" t="inlineStr">
        <is>
          <t>DALARNAS LÄN</t>
        </is>
      </c>
      <c r="E1238" t="inlineStr">
        <is>
          <t>MORA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20126-2025</t>
        </is>
      </c>
      <c r="B1239" s="1" t="n">
        <v>45772</v>
      </c>
      <c r="C1239" s="1" t="n">
        <v>45784</v>
      </c>
      <c r="D1239" t="inlineStr">
        <is>
          <t>DALARNAS LÄN</t>
        </is>
      </c>
      <c r="E1239" t="inlineStr">
        <is>
          <t>MORA</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20544-2025</t>
        </is>
      </c>
      <c r="B1240" s="1" t="n">
        <v>45775</v>
      </c>
      <c r="C1240" s="1" t="n">
        <v>45784</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20549-2025</t>
        </is>
      </c>
      <c r="B1241" s="1" t="n">
        <v>45775</v>
      </c>
      <c r="C1241" s="1" t="n">
        <v>45784</v>
      </c>
      <c r="D1241" t="inlineStr">
        <is>
          <t>DALARNAS LÄN</t>
        </is>
      </c>
      <c r="E1241" t="inlineStr">
        <is>
          <t>MORA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20377-2025</t>
        </is>
      </c>
      <c r="B1242" s="1" t="n">
        <v>45775</v>
      </c>
      <c r="C1242" s="1" t="n">
        <v>45784</v>
      </c>
      <c r="D1242" t="inlineStr">
        <is>
          <t>DALARNAS LÄN</t>
        </is>
      </c>
      <c r="E1242" t="inlineStr">
        <is>
          <t>MORA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45784</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20538-2025</t>
        </is>
      </c>
      <c r="B1244" s="1" t="n">
        <v>45775</v>
      </c>
      <c r="C1244" s="1" t="n">
        <v>45784</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c r="A1245" t="inlineStr">
        <is>
          <t>A 20531-2025</t>
        </is>
      </c>
      <c r="B1245" s="1" t="n">
        <v>45775</v>
      </c>
      <c r="C1245" s="1" t="n">
        <v>45784</v>
      </c>
      <c r="D1245" t="inlineStr">
        <is>
          <t>DALARNAS LÄN</t>
        </is>
      </c>
      <c r="E1245" t="inlineStr">
        <is>
          <t>MORA</t>
        </is>
      </c>
      <c r="G1245" t="n">
        <v>3</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2025-05-07T17:22:59Z</dcterms:created>
  <dcterms:modified xmlns:dcterms="http://purl.org/dc/terms/" xmlns:xsi="http://www.w3.org/2001/XMLSchema-instance" xsi:type="dcterms:W3CDTF">2025-05-07T17:23:00Z</dcterms:modified>
</cp:coreProperties>
</file>