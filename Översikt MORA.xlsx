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45891</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45891</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45891</v>
      </c>
      <c r="D5" t="inlineStr">
        <is>
          <t>DALARNAS LÄN</t>
        </is>
      </c>
      <c r="E5" t="inlineStr">
        <is>
          <t>MORA</t>
        </is>
      </c>
      <c r="F5" t="inlineStr">
        <is>
          <t>Allmännings- och besparingsskogar</t>
        </is>
      </c>
      <c r="G5" t="n">
        <v>23.6</v>
      </c>
      <c r="H5" t="n">
        <v>7</v>
      </c>
      <c r="I5" t="n">
        <v>9</v>
      </c>
      <c r="J5" t="n">
        <v>17</v>
      </c>
      <c r="K5" t="n">
        <v>1</v>
      </c>
      <c r="L5" t="n">
        <v>0</v>
      </c>
      <c r="M5" t="n">
        <v>0</v>
      </c>
      <c r="N5" t="n">
        <v>0</v>
      </c>
      <c r="O5" t="n">
        <v>18</v>
      </c>
      <c r="P5" t="n">
        <v>1</v>
      </c>
      <c r="Q5" t="n">
        <v>30</v>
      </c>
      <c r="R5" s="2" t="inlineStr">
        <is>
          <t>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45891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45891</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45891</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45891</v>
      </c>
      <c r="D9" t="inlineStr">
        <is>
          <t>DALARNAS LÄN</t>
        </is>
      </c>
      <c r="E9" t="inlineStr">
        <is>
          <t>MORA</t>
        </is>
      </c>
      <c r="G9" t="n">
        <v>9.9</v>
      </c>
      <c r="H9" t="n">
        <v>7</v>
      </c>
      <c r="I9" t="n">
        <v>1</v>
      </c>
      <c r="J9" t="n">
        <v>12</v>
      </c>
      <c r="K9" t="n">
        <v>0</v>
      </c>
      <c r="L9" t="n">
        <v>0</v>
      </c>
      <c r="M9" t="n">
        <v>0</v>
      </c>
      <c r="N9" t="n">
        <v>0</v>
      </c>
      <c r="O9" t="n">
        <v>12</v>
      </c>
      <c r="P9" t="n">
        <v>0</v>
      </c>
      <c r="Q9" t="n">
        <v>16</v>
      </c>
      <c r="R9" s="2" t="inlineStr">
        <is>
          <t>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45891</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45891</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45891</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45891</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45891</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23535-2025</t>
        </is>
      </c>
      <c r="B15" s="1" t="n">
        <v>45792</v>
      </c>
      <c r="C15" s="1" t="n">
        <v>45891</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45891</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45891</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45891</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45891</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29934-2025</t>
        </is>
      </c>
      <c r="B20" s="1" t="n">
        <v>45826.44267361111</v>
      </c>
      <c r="C20" s="1" t="n">
        <v>45891</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45891</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5064-2023</t>
        </is>
      </c>
      <c r="B22" s="1" t="n">
        <v>44958.60337962963</v>
      </c>
      <c r="C22" s="1" t="n">
        <v>45891</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21041-2023</t>
        </is>
      </c>
      <c r="B23" s="1" t="n">
        <v>45061.58952546296</v>
      </c>
      <c r="C23" s="1" t="n">
        <v>45891</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45891</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45891</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45891</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45891</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54028-2020</t>
        </is>
      </c>
      <c r="B28" s="1" t="n">
        <v>44125</v>
      </c>
      <c r="C28" s="1" t="n">
        <v>45891</v>
      </c>
      <c r="D28" t="inlineStr">
        <is>
          <t>DALARNAS LÄN</t>
        </is>
      </c>
      <c r="E28" t="inlineStr">
        <is>
          <t>MORA</t>
        </is>
      </c>
      <c r="G28" t="n">
        <v>10.9</v>
      </c>
      <c r="H28" t="n">
        <v>1</v>
      </c>
      <c r="I28" t="n">
        <v>1</v>
      </c>
      <c r="J28" t="n">
        <v>5</v>
      </c>
      <c r="K28" t="n">
        <v>1</v>
      </c>
      <c r="L28" t="n">
        <v>0</v>
      </c>
      <c r="M28" t="n">
        <v>0</v>
      </c>
      <c r="N28" t="n">
        <v>0</v>
      </c>
      <c r="O28" t="n">
        <v>6</v>
      </c>
      <c r="P28" t="n">
        <v>1</v>
      </c>
      <c r="Q28" t="n">
        <v>7</v>
      </c>
      <c r="R28" s="2" t="inlineStr">
        <is>
          <t>Gräddporing
Kolflarnlav
Kortskaftad ärgspik
Nordtagging
Tretåig hackspett
Vedskivlav
Mindre märgborre</t>
        </is>
      </c>
      <c r="S28">
        <f>HYPERLINK("https://klasma.github.io/Logging_2062/artfynd/A 54028-2020 artfynd.xlsx", "A 54028-2020")</f>
        <v/>
      </c>
      <c r="T28">
        <f>HYPERLINK("https://klasma.github.io/Logging_2062/kartor/A 54028-2020 karta.png", "A 54028-2020")</f>
        <v/>
      </c>
      <c r="V28">
        <f>HYPERLINK("https://klasma.github.io/Logging_2062/klagomål/A 54028-2020 FSC-klagomål.docx", "A 54028-2020")</f>
        <v/>
      </c>
      <c r="W28">
        <f>HYPERLINK("https://klasma.github.io/Logging_2062/klagomålsmail/A 54028-2020 FSC-klagomål mail.docx", "A 54028-2020")</f>
        <v/>
      </c>
      <c r="X28">
        <f>HYPERLINK("https://klasma.github.io/Logging_2062/tillsyn/A 54028-2020 tillsynsbegäran.docx", "A 54028-2020")</f>
        <v/>
      </c>
      <c r="Y28">
        <f>HYPERLINK("https://klasma.github.io/Logging_2062/tillsynsmail/A 54028-2020 tillsynsbegäran mail.docx", "A 54028-2020")</f>
        <v/>
      </c>
      <c r="Z28">
        <f>HYPERLINK("https://klasma.github.io/Logging_2062/fåglar/A 54028-2020 prioriterade fågelarter.docx", "A 54028-2020")</f>
        <v/>
      </c>
    </row>
    <row r="29" ht="15" customHeight="1">
      <c r="A29" t="inlineStr">
        <is>
          <t>A 61259-2023</t>
        </is>
      </c>
      <c r="B29" s="1" t="n">
        <v>45264</v>
      </c>
      <c r="C29" s="1" t="n">
        <v>45891</v>
      </c>
      <c r="D29" t="inlineStr">
        <is>
          <t>DALARNAS LÄN</t>
        </is>
      </c>
      <c r="E29" t="inlineStr">
        <is>
          <t>MORA</t>
        </is>
      </c>
      <c r="F29" t="inlineStr">
        <is>
          <t>Allmännings- och besparingsskogar</t>
        </is>
      </c>
      <c r="G29" t="n">
        <v>1</v>
      </c>
      <c r="H29" t="n">
        <v>1</v>
      </c>
      <c r="I29" t="n">
        <v>3</v>
      </c>
      <c r="J29" t="n">
        <v>3</v>
      </c>
      <c r="K29" t="n">
        <v>1</v>
      </c>
      <c r="L29" t="n">
        <v>0</v>
      </c>
      <c r="M29" t="n">
        <v>0</v>
      </c>
      <c r="N29" t="n">
        <v>0</v>
      </c>
      <c r="O29" t="n">
        <v>4</v>
      </c>
      <c r="P29" t="n">
        <v>1</v>
      </c>
      <c r="Q29" t="n">
        <v>7</v>
      </c>
      <c r="R29" s="2" t="inlineStr">
        <is>
          <t>Knärot
Brunpudrad nållav
Garnlav
Vitgrynig nållav
Bronshjon
Thomsons trägnagare
Vågbandad barkbock</t>
        </is>
      </c>
      <c r="S29">
        <f>HYPERLINK("https://klasma.github.io/Logging_2062/artfynd/A 61259-2023 artfynd.xlsx", "A 61259-2023")</f>
        <v/>
      </c>
      <c r="T29">
        <f>HYPERLINK("https://klasma.github.io/Logging_2062/kartor/A 61259-2023 karta.png", "A 61259-2023")</f>
        <v/>
      </c>
      <c r="U29">
        <f>HYPERLINK("https://klasma.github.io/Logging_2062/knärot/A 61259-2023 karta knärot.png", "A 61259-2023")</f>
        <v/>
      </c>
      <c r="V29">
        <f>HYPERLINK("https://klasma.github.io/Logging_2062/klagomål/A 61259-2023 FSC-klagomål.docx", "A 61259-2023")</f>
        <v/>
      </c>
      <c r="W29">
        <f>HYPERLINK("https://klasma.github.io/Logging_2062/klagomålsmail/A 61259-2023 FSC-klagomål mail.docx", "A 61259-2023")</f>
        <v/>
      </c>
      <c r="X29">
        <f>HYPERLINK("https://klasma.github.io/Logging_2062/tillsyn/A 61259-2023 tillsynsbegäran.docx", "A 61259-2023")</f>
        <v/>
      </c>
      <c r="Y29">
        <f>HYPERLINK("https://klasma.github.io/Logging_2062/tillsynsmail/A 61259-2023 tillsynsbegäran mail.docx", "A 61259-2023")</f>
        <v/>
      </c>
    </row>
    <row r="30" ht="15" customHeight="1">
      <c r="A30" t="inlineStr">
        <is>
          <t>A 29380-2025</t>
        </is>
      </c>
      <c r="B30" s="1" t="n">
        <v>45824.59025462963</v>
      </c>
      <c r="C30" s="1" t="n">
        <v>45891</v>
      </c>
      <c r="D30" t="inlineStr">
        <is>
          <t>DALARNAS LÄN</t>
        </is>
      </c>
      <c r="E30" t="inlineStr">
        <is>
          <t>MORA</t>
        </is>
      </c>
      <c r="G30" t="n">
        <v>8</v>
      </c>
      <c r="H30" t="n">
        <v>2</v>
      </c>
      <c r="I30" t="n">
        <v>1</v>
      </c>
      <c r="J30" t="n">
        <v>5</v>
      </c>
      <c r="K30" t="n">
        <v>0</v>
      </c>
      <c r="L30" t="n">
        <v>0</v>
      </c>
      <c r="M30" t="n">
        <v>0</v>
      </c>
      <c r="N30" t="n">
        <v>0</v>
      </c>
      <c r="O30" t="n">
        <v>5</v>
      </c>
      <c r="P30" t="n">
        <v>0</v>
      </c>
      <c r="Q30" t="n">
        <v>7</v>
      </c>
      <c r="R30" s="2" t="inlineStr">
        <is>
          <t>Garnlav
Kolflarnlav
Mörk kolflarnlav
Tallticka
Talltita
Mindre märgborre
Tjäder</t>
        </is>
      </c>
      <c r="S30">
        <f>HYPERLINK("https://klasma.github.io/Logging_2062/artfynd/A 29380-2025 artfynd.xlsx", "A 29380-2025")</f>
        <v/>
      </c>
      <c r="T30">
        <f>HYPERLINK("https://klasma.github.io/Logging_2062/kartor/A 29380-2025 karta.png", "A 29380-2025")</f>
        <v/>
      </c>
      <c r="V30">
        <f>HYPERLINK("https://klasma.github.io/Logging_2062/klagomål/A 29380-2025 FSC-klagomål.docx", "A 29380-2025")</f>
        <v/>
      </c>
      <c r="W30">
        <f>HYPERLINK("https://klasma.github.io/Logging_2062/klagomålsmail/A 29380-2025 FSC-klagomål mail.docx", "A 29380-2025")</f>
        <v/>
      </c>
      <c r="X30">
        <f>HYPERLINK("https://klasma.github.io/Logging_2062/tillsyn/A 29380-2025 tillsynsbegäran.docx", "A 29380-2025")</f>
        <v/>
      </c>
      <c r="Y30">
        <f>HYPERLINK("https://klasma.github.io/Logging_2062/tillsynsmail/A 29380-2025 tillsynsbegäran mail.docx", "A 29380-2025")</f>
        <v/>
      </c>
      <c r="Z30">
        <f>HYPERLINK("https://klasma.github.io/Logging_2062/fåglar/A 29380-2025 prioriterade fågelarter.docx", "A 29380-2025")</f>
        <v/>
      </c>
    </row>
    <row r="31" ht="15" customHeight="1">
      <c r="A31" t="inlineStr">
        <is>
          <t>A 29520-2025</t>
        </is>
      </c>
      <c r="B31" s="1" t="n">
        <v>45825.3303125</v>
      </c>
      <c r="C31" s="1" t="n">
        <v>45891</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34447-2024</t>
        </is>
      </c>
      <c r="B32" s="1" t="n">
        <v>45525</v>
      </c>
      <c r="C32" s="1" t="n">
        <v>45891</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45891</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35487-2025</t>
        </is>
      </c>
      <c r="B34" s="1" t="n">
        <v>45855.75481481481</v>
      </c>
      <c r="C34" s="1" t="n">
        <v>45891</v>
      </c>
      <c r="D34" t="inlineStr">
        <is>
          <t>DALARNAS LÄN</t>
        </is>
      </c>
      <c r="E34" t="inlineStr">
        <is>
          <t>MORA</t>
        </is>
      </c>
      <c r="F34" t="inlineStr">
        <is>
          <t>Allmännings- och besparingsskogar</t>
        </is>
      </c>
      <c r="G34" t="n">
        <v>0.7</v>
      </c>
      <c r="H34" t="n">
        <v>2</v>
      </c>
      <c r="I34" t="n">
        <v>0</v>
      </c>
      <c r="J34" t="n">
        <v>3</v>
      </c>
      <c r="K34" t="n">
        <v>0</v>
      </c>
      <c r="L34" t="n">
        <v>0</v>
      </c>
      <c r="M34" t="n">
        <v>0</v>
      </c>
      <c r="N34" t="n">
        <v>0</v>
      </c>
      <c r="O34" t="n">
        <v>3</v>
      </c>
      <c r="P34" t="n">
        <v>0</v>
      </c>
      <c r="Q34" t="n">
        <v>5</v>
      </c>
      <c r="R34" s="2" t="inlineStr">
        <is>
          <t>Dvärgbägarlav
Garnlav
Vedskivlav
Tjäder
Revlummer</t>
        </is>
      </c>
      <c r="S34">
        <f>HYPERLINK("https://klasma.github.io/Logging_2062/artfynd/A 35487-2025 artfynd.xlsx", "A 35487-2025")</f>
        <v/>
      </c>
      <c r="T34">
        <f>HYPERLINK("https://klasma.github.io/Logging_2062/kartor/A 35487-2025 karta.png", "A 35487-2025")</f>
        <v/>
      </c>
      <c r="V34">
        <f>HYPERLINK("https://klasma.github.io/Logging_2062/klagomål/A 35487-2025 FSC-klagomål.docx", "A 35487-2025")</f>
        <v/>
      </c>
      <c r="W34">
        <f>HYPERLINK("https://klasma.github.io/Logging_2062/klagomålsmail/A 35487-2025 FSC-klagomål mail.docx", "A 35487-2025")</f>
        <v/>
      </c>
      <c r="X34">
        <f>HYPERLINK("https://klasma.github.io/Logging_2062/tillsyn/A 35487-2025 tillsynsbegäran.docx", "A 35487-2025")</f>
        <v/>
      </c>
      <c r="Y34">
        <f>HYPERLINK("https://klasma.github.io/Logging_2062/tillsynsmail/A 35487-2025 tillsynsbegäran mail.docx", "A 35487-2025")</f>
        <v/>
      </c>
      <c r="Z34">
        <f>HYPERLINK("https://klasma.github.io/Logging_2062/fåglar/A 35487-2025 prioriterade fågelarter.docx", "A 35487-2025")</f>
        <v/>
      </c>
    </row>
    <row r="35" ht="15" customHeight="1">
      <c r="A35" t="inlineStr">
        <is>
          <t>A 8760-2025</t>
        </is>
      </c>
      <c r="B35" s="1" t="n">
        <v>45712.57467592593</v>
      </c>
      <c r="C35" s="1" t="n">
        <v>45891</v>
      </c>
      <c r="D35" t="inlineStr">
        <is>
          <t>DALARNAS LÄN</t>
        </is>
      </c>
      <c r="E35" t="inlineStr">
        <is>
          <t>MORA</t>
        </is>
      </c>
      <c r="F35" t="inlineStr">
        <is>
          <t>Allmännings- och besparingsskogar</t>
        </is>
      </c>
      <c r="G35" t="n">
        <v>36.6</v>
      </c>
      <c r="H35" t="n">
        <v>0</v>
      </c>
      <c r="I35" t="n">
        <v>0</v>
      </c>
      <c r="J35" t="n">
        <v>5</v>
      </c>
      <c r="K35" t="n">
        <v>0</v>
      </c>
      <c r="L35" t="n">
        <v>0</v>
      </c>
      <c r="M35" t="n">
        <v>0</v>
      </c>
      <c r="N35" t="n">
        <v>0</v>
      </c>
      <c r="O35" t="n">
        <v>5</v>
      </c>
      <c r="P35" t="n">
        <v>0</v>
      </c>
      <c r="Q35" t="n">
        <v>5</v>
      </c>
      <c r="R35" s="2" t="inlineStr">
        <is>
          <t>Garnlav
Mörk kolflarnlav
Skogshare
Vedflamlav
Vedskivlav</t>
        </is>
      </c>
      <c r="S35">
        <f>HYPERLINK("https://klasma.github.io/Logging_2062/artfynd/A 8760-2025 artfynd.xlsx", "A 8760-2025")</f>
        <v/>
      </c>
      <c r="T35">
        <f>HYPERLINK("https://klasma.github.io/Logging_2062/kartor/A 8760-2025 karta.png", "A 8760-2025")</f>
        <v/>
      </c>
      <c r="V35">
        <f>HYPERLINK("https://klasma.github.io/Logging_2062/klagomål/A 8760-2025 FSC-klagomål.docx", "A 8760-2025")</f>
        <v/>
      </c>
      <c r="W35">
        <f>HYPERLINK("https://klasma.github.io/Logging_2062/klagomålsmail/A 8760-2025 FSC-klagomål mail.docx", "A 8760-2025")</f>
        <v/>
      </c>
      <c r="X35">
        <f>HYPERLINK("https://klasma.github.io/Logging_2062/tillsyn/A 8760-2025 tillsynsbegäran.docx", "A 8760-2025")</f>
        <v/>
      </c>
      <c r="Y35">
        <f>HYPERLINK("https://klasma.github.io/Logging_2062/tillsynsmail/A 8760-2025 tillsynsbegäran mail.docx", "A 8760-2025")</f>
        <v/>
      </c>
    </row>
    <row r="36" ht="15" customHeight="1">
      <c r="A36" t="inlineStr">
        <is>
          <t>A 25750-2021</t>
        </is>
      </c>
      <c r="B36" s="1" t="n">
        <v>44343</v>
      </c>
      <c r="C36" s="1" t="n">
        <v>45891</v>
      </c>
      <c r="D36" t="inlineStr">
        <is>
          <t>DALARNAS LÄN</t>
        </is>
      </c>
      <c r="E36" t="inlineStr">
        <is>
          <t>MORA</t>
        </is>
      </c>
      <c r="G36" t="n">
        <v>3.4</v>
      </c>
      <c r="H36" t="n">
        <v>2</v>
      </c>
      <c r="I36" t="n">
        <v>0</v>
      </c>
      <c r="J36" t="n">
        <v>4</v>
      </c>
      <c r="K36" t="n">
        <v>1</v>
      </c>
      <c r="L36" t="n">
        <v>0</v>
      </c>
      <c r="M36" t="n">
        <v>0</v>
      </c>
      <c r="N36" t="n">
        <v>0</v>
      </c>
      <c r="O36" t="n">
        <v>5</v>
      </c>
      <c r="P36" t="n">
        <v>1</v>
      </c>
      <c r="Q36" t="n">
        <v>5</v>
      </c>
      <c r="R36" s="2" t="inlineStr">
        <is>
          <t>Knärot
Garnlav
Kolflarnlav
Mörk kolflarnlav
Spillkråka</t>
        </is>
      </c>
      <c r="S36">
        <f>HYPERLINK("https://klasma.github.io/Logging_2062/artfynd/A 25750-2021 artfynd.xlsx", "A 25750-2021")</f>
        <v/>
      </c>
      <c r="T36">
        <f>HYPERLINK("https://klasma.github.io/Logging_2062/kartor/A 25750-2021 karta.png", "A 25750-2021")</f>
        <v/>
      </c>
      <c r="U36">
        <f>HYPERLINK("https://klasma.github.io/Logging_2062/knärot/A 25750-2021 karta knärot.png", "A 25750-2021")</f>
        <v/>
      </c>
      <c r="V36">
        <f>HYPERLINK("https://klasma.github.io/Logging_2062/klagomål/A 25750-2021 FSC-klagomål.docx", "A 25750-2021")</f>
        <v/>
      </c>
      <c r="W36">
        <f>HYPERLINK("https://klasma.github.io/Logging_2062/klagomålsmail/A 25750-2021 FSC-klagomål mail.docx", "A 25750-2021")</f>
        <v/>
      </c>
      <c r="X36">
        <f>HYPERLINK("https://klasma.github.io/Logging_2062/tillsyn/A 25750-2021 tillsynsbegäran.docx", "A 25750-2021")</f>
        <v/>
      </c>
      <c r="Y36">
        <f>HYPERLINK("https://klasma.github.io/Logging_2062/tillsynsmail/A 25750-2021 tillsynsbegäran mail.docx", "A 25750-2021")</f>
        <v/>
      </c>
      <c r="Z36">
        <f>HYPERLINK("https://klasma.github.io/Logging_2062/fåglar/A 25750-2021 prioriterade fågelarter.docx", "A 25750-2021")</f>
        <v/>
      </c>
    </row>
    <row r="37" ht="15" customHeight="1">
      <c r="A37" t="inlineStr">
        <is>
          <t>A 31539-2025</t>
        </is>
      </c>
      <c r="B37" s="1" t="n">
        <v>45833</v>
      </c>
      <c r="C37" s="1" t="n">
        <v>45891</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14293-2024</t>
        </is>
      </c>
      <c r="B38" s="1" t="n">
        <v>45393.63902777778</v>
      </c>
      <c r="C38" s="1" t="n">
        <v>45891</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17648-2024</t>
        </is>
      </c>
      <c r="B39" s="1" t="n">
        <v>45418.39261574074</v>
      </c>
      <c r="C39" s="1" t="n">
        <v>45891</v>
      </c>
      <c r="D39" t="inlineStr">
        <is>
          <t>DALARNAS LÄN</t>
        </is>
      </c>
      <c r="E39" t="inlineStr">
        <is>
          <t>MORA</t>
        </is>
      </c>
      <c r="G39" t="n">
        <v>1.7</v>
      </c>
      <c r="H39" t="n">
        <v>4</v>
      </c>
      <c r="I39" t="n">
        <v>0</v>
      </c>
      <c r="J39" t="n">
        <v>2</v>
      </c>
      <c r="K39" t="n">
        <v>0</v>
      </c>
      <c r="L39" t="n">
        <v>0</v>
      </c>
      <c r="M39" t="n">
        <v>0</v>
      </c>
      <c r="N39" t="n">
        <v>0</v>
      </c>
      <c r="O39" t="n">
        <v>2</v>
      </c>
      <c r="P39" t="n">
        <v>0</v>
      </c>
      <c r="Q39" t="n">
        <v>4</v>
      </c>
      <c r="R39" s="2" t="inlineStr">
        <is>
          <t>Brunlångöra
Nordfladdermus
Dvärgpipistrell
Vattenfladdermus</t>
        </is>
      </c>
      <c r="S39">
        <f>HYPERLINK("https://klasma.github.io/Logging_2062/artfynd/A 17648-2024 artfynd.xlsx", "A 17648-2024")</f>
        <v/>
      </c>
      <c r="T39">
        <f>HYPERLINK("https://klasma.github.io/Logging_2062/kartor/A 17648-2024 karta.png", "A 17648-2024")</f>
        <v/>
      </c>
      <c r="V39">
        <f>HYPERLINK("https://klasma.github.io/Logging_2062/klagomål/A 17648-2024 FSC-klagomål.docx", "A 17648-2024")</f>
        <v/>
      </c>
      <c r="W39">
        <f>HYPERLINK("https://klasma.github.io/Logging_2062/klagomålsmail/A 17648-2024 FSC-klagomål mail.docx", "A 17648-2024")</f>
        <v/>
      </c>
      <c r="X39">
        <f>HYPERLINK("https://klasma.github.io/Logging_2062/tillsyn/A 17648-2024 tillsynsbegäran.docx", "A 17648-2024")</f>
        <v/>
      </c>
      <c r="Y39">
        <f>HYPERLINK("https://klasma.github.io/Logging_2062/tillsynsmail/A 17648-2024 tillsynsbegäran mail.docx", "A 17648-2024")</f>
        <v/>
      </c>
    </row>
    <row r="40" ht="15" customHeight="1">
      <c r="A40" t="inlineStr">
        <is>
          <t>A 14829-2025</t>
        </is>
      </c>
      <c r="B40" s="1" t="n">
        <v>45743.36951388889</v>
      </c>
      <c r="C40" s="1" t="n">
        <v>45891</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32222-2025</t>
        </is>
      </c>
      <c r="B41" s="1" t="n">
        <v>45835.59140046296</v>
      </c>
      <c r="C41" s="1" t="n">
        <v>45891</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24220-2025</t>
        </is>
      </c>
      <c r="B42" s="1" t="n">
        <v>45797.3635300926</v>
      </c>
      <c r="C42" s="1" t="n">
        <v>45891</v>
      </c>
      <c r="D42" t="inlineStr">
        <is>
          <t>DALARNAS LÄN</t>
        </is>
      </c>
      <c r="E42" t="inlineStr">
        <is>
          <t>MORA</t>
        </is>
      </c>
      <c r="F42" t="inlineStr">
        <is>
          <t>Bergvik skog öst AB</t>
        </is>
      </c>
      <c r="G42" t="n">
        <v>1.2</v>
      </c>
      <c r="H42" t="n">
        <v>1</v>
      </c>
      <c r="I42" t="n">
        <v>1</v>
      </c>
      <c r="J42" t="n">
        <v>1</v>
      </c>
      <c r="K42" t="n">
        <v>1</v>
      </c>
      <c r="L42" t="n">
        <v>0</v>
      </c>
      <c r="M42" t="n">
        <v>0</v>
      </c>
      <c r="N42" t="n">
        <v>0</v>
      </c>
      <c r="O42" t="n">
        <v>2</v>
      </c>
      <c r="P42" t="n">
        <v>1</v>
      </c>
      <c r="Q42" t="n">
        <v>3</v>
      </c>
      <c r="R42" s="2" t="inlineStr">
        <is>
          <t>Knärot
Garnlav
Stuplav</t>
        </is>
      </c>
      <c r="S42">
        <f>HYPERLINK("https://klasma.github.io/Logging_2062/artfynd/A 24220-2025 artfynd.xlsx", "A 24220-2025")</f>
        <v/>
      </c>
      <c r="T42">
        <f>HYPERLINK("https://klasma.github.io/Logging_2062/kartor/A 24220-2025 karta.png", "A 24220-2025")</f>
        <v/>
      </c>
      <c r="U42">
        <f>HYPERLINK("https://klasma.github.io/Logging_2062/knärot/A 24220-2025 karta knärot.png", "A 24220-2025")</f>
        <v/>
      </c>
      <c r="V42">
        <f>HYPERLINK("https://klasma.github.io/Logging_2062/klagomål/A 24220-2025 FSC-klagomål.docx", "A 24220-2025")</f>
        <v/>
      </c>
      <c r="W42">
        <f>HYPERLINK("https://klasma.github.io/Logging_2062/klagomålsmail/A 24220-2025 FSC-klagomål mail.docx", "A 24220-2025")</f>
        <v/>
      </c>
      <c r="X42">
        <f>HYPERLINK("https://klasma.github.io/Logging_2062/tillsyn/A 24220-2025 tillsynsbegäran.docx", "A 24220-2025")</f>
        <v/>
      </c>
      <c r="Y42">
        <f>HYPERLINK("https://klasma.github.io/Logging_2062/tillsynsmail/A 24220-2025 tillsynsbegäran mail.docx", "A 24220-2025")</f>
        <v/>
      </c>
    </row>
    <row r="43" ht="15" customHeight="1">
      <c r="A43" t="inlineStr">
        <is>
          <t>A 20067-2025</t>
        </is>
      </c>
      <c r="B43" s="1" t="n">
        <v>45772.43609953704</v>
      </c>
      <c r="C43" s="1" t="n">
        <v>45891</v>
      </c>
      <c r="D43" t="inlineStr">
        <is>
          <t>DALARNAS LÄN</t>
        </is>
      </c>
      <c r="E43" t="inlineStr">
        <is>
          <t>MORA</t>
        </is>
      </c>
      <c r="G43" t="n">
        <v>4.3</v>
      </c>
      <c r="H43" t="n">
        <v>0</v>
      </c>
      <c r="I43" t="n">
        <v>0</v>
      </c>
      <c r="J43" t="n">
        <v>3</v>
      </c>
      <c r="K43" t="n">
        <v>0</v>
      </c>
      <c r="L43" t="n">
        <v>0</v>
      </c>
      <c r="M43" t="n">
        <v>0</v>
      </c>
      <c r="N43" t="n">
        <v>0</v>
      </c>
      <c r="O43" t="n">
        <v>3</v>
      </c>
      <c r="P43" t="n">
        <v>0</v>
      </c>
      <c r="Q43" t="n">
        <v>3</v>
      </c>
      <c r="R43" s="2" t="inlineStr">
        <is>
          <t>Dvärgbägarlav
Garnlav
Vedskivlav</t>
        </is>
      </c>
      <c r="S43">
        <f>HYPERLINK("https://klasma.github.io/Logging_2062/artfynd/A 20067-2025 artfynd.xlsx", "A 20067-2025")</f>
        <v/>
      </c>
      <c r="T43">
        <f>HYPERLINK("https://klasma.github.io/Logging_2062/kartor/A 20067-2025 karta.png", "A 20067-2025")</f>
        <v/>
      </c>
      <c r="V43">
        <f>HYPERLINK("https://klasma.github.io/Logging_2062/klagomål/A 20067-2025 FSC-klagomål.docx", "A 20067-2025")</f>
        <v/>
      </c>
      <c r="W43">
        <f>HYPERLINK("https://klasma.github.io/Logging_2062/klagomålsmail/A 20067-2025 FSC-klagomål mail.docx", "A 20067-2025")</f>
        <v/>
      </c>
      <c r="X43">
        <f>HYPERLINK("https://klasma.github.io/Logging_2062/tillsyn/A 20067-2025 tillsynsbegäran.docx", "A 20067-2025")</f>
        <v/>
      </c>
      <c r="Y43">
        <f>HYPERLINK("https://klasma.github.io/Logging_2062/tillsynsmail/A 20067-2025 tillsynsbegäran mail.docx", "A 20067-2025")</f>
        <v/>
      </c>
    </row>
    <row r="44" ht="15" customHeight="1">
      <c r="A44" t="inlineStr">
        <is>
          <t>A 29392-2025</t>
        </is>
      </c>
      <c r="B44" s="1" t="n">
        <v>45824.60537037037</v>
      </c>
      <c r="C44" s="1" t="n">
        <v>45891</v>
      </c>
      <c r="D44" t="inlineStr">
        <is>
          <t>DALARNAS LÄN</t>
        </is>
      </c>
      <c r="E44" t="inlineStr">
        <is>
          <t>MORA</t>
        </is>
      </c>
      <c r="G44" t="n">
        <v>1</v>
      </c>
      <c r="H44" t="n">
        <v>1</v>
      </c>
      <c r="I44" t="n">
        <v>2</v>
      </c>
      <c r="J44" t="n">
        <v>1</v>
      </c>
      <c r="K44" t="n">
        <v>0</v>
      </c>
      <c r="L44" t="n">
        <v>0</v>
      </c>
      <c r="M44" t="n">
        <v>0</v>
      </c>
      <c r="N44" t="n">
        <v>0</v>
      </c>
      <c r="O44" t="n">
        <v>1</v>
      </c>
      <c r="P44" t="n">
        <v>0</v>
      </c>
      <c r="Q44" t="n">
        <v>3</v>
      </c>
      <c r="R44" s="2" t="inlineStr">
        <is>
          <t>Garnlav
Mindre märgborre
Plattlummer</t>
        </is>
      </c>
      <c r="S44">
        <f>HYPERLINK("https://klasma.github.io/Logging_2062/artfynd/A 29392-2025 artfynd.xlsx", "A 29392-2025")</f>
        <v/>
      </c>
      <c r="T44">
        <f>HYPERLINK("https://klasma.github.io/Logging_2062/kartor/A 29392-2025 karta.png", "A 29392-2025")</f>
        <v/>
      </c>
      <c r="V44">
        <f>HYPERLINK("https://klasma.github.io/Logging_2062/klagomål/A 29392-2025 FSC-klagomål.docx", "A 29392-2025")</f>
        <v/>
      </c>
      <c r="W44">
        <f>HYPERLINK("https://klasma.github.io/Logging_2062/klagomålsmail/A 29392-2025 FSC-klagomål mail.docx", "A 29392-2025")</f>
        <v/>
      </c>
      <c r="X44">
        <f>HYPERLINK("https://klasma.github.io/Logging_2062/tillsyn/A 29392-2025 tillsynsbegäran.docx", "A 29392-2025")</f>
        <v/>
      </c>
      <c r="Y44">
        <f>HYPERLINK("https://klasma.github.io/Logging_2062/tillsynsmail/A 29392-2025 tillsynsbegäran mail.docx", "A 29392-2025")</f>
        <v/>
      </c>
    </row>
    <row r="45" ht="15" customHeight="1">
      <c r="A45" t="inlineStr">
        <is>
          <t>A 59626-2020</t>
        </is>
      </c>
      <c r="B45" s="1" t="n">
        <v>44150</v>
      </c>
      <c r="C45" s="1" t="n">
        <v>45891</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45891</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45891</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45891</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45891</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45891</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20538-2025</t>
        </is>
      </c>
      <c r="B51" s="1" t="n">
        <v>45775.62283564815</v>
      </c>
      <c r="C51" s="1" t="n">
        <v>45891</v>
      </c>
      <c r="D51" t="inlineStr">
        <is>
          <t>DALARNAS LÄN</t>
        </is>
      </c>
      <c r="E51" t="inlineStr">
        <is>
          <t>MORA</t>
        </is>
      </c>
      <c r="G51" t="n">
        <v>0.9</v>
      </c>
      <c r="H51" t="n">
        <v>0</v>
      </c>
      <c r="I51" t="n">
        <v>0</v>
      </c>
      <c r="J51" t="n">
        <v>1</v>
      </c>
      <c r="K51" t="n">
        <v>0</v>
      </c>
      <c r="L51" t="n">
        <v>0</v>
      </c>
      <c r="M51" t="n">
        <v>0</v>
      </c>
      <c r="N51" t="n">
        <v>0</v>
      </c>
      <c r="O51" t="n">
        <v>1</v>
      </c>
      <c r="P51" t="n">
        <v>0</v>
      </c>
      <c r="Q51" t="n">
        <v>1</v>
      </c>
      <c r="R51" s="2" t="inlineStr">
        <is>
          <t>Garnlav</t>
        </is>
      </c>
      <c r="S51">
        <f>HYPERLINK("https://klasma.github.io/Logging_2062/artfynd/A 20538-2025 artfynd.xlsx", "A 20538-2025")</f>
        <v/>
      </c>
      <c r="T51">
        <f>HYPERLINK("https://klasma.github.io/Logging_2062/kartor/A 20538-2025 karta.png", "A 20538-2025")</f>
        <v/>
      </c>
      <c r="V51">
        <f>HYPERLINK("https://klasma.github.io/Logging_2062/klagomål/A 20538-2025 FSC-klagomål.docx", "A 20538-2025")</f>
        <v/>
      </c>
      <c r="W51">
        <f>HYPERLINK("https://klasma.github.io/Logging_2062/klagomålsmail/A 20538-2025 FSC-klagomål mail.docx", "A 20538-2025")</f>
        <v/>
      </c>
      <c r="X51">
        <f>HYPERLINK("https://klasma.github.io/Logging_2062/tillsyn/A 20538-2025 tillsynsbegäran.docx", "A 20538-2025")</f>
        <v/>
      </c>
      <c r="Y51">
        <f>HYPERLINK("https://klasma.github.io/Logging_2062/tillsynsmail/A 20538-2025 tillsynsbegäran mail.docx", "A 20538-2025")</f>
        <v/>
      </c>
    </row>
    <row r="52" ht="15" customHeight="1">
      <c r="A52" t="inlineStr">
        <is>
          <t>A 23736-2023</t>
        </is>
      </c>
      <c r="B52" s="1" t="n">
        <v>45077</v>
      </c>
      <c r="C52" s="1" t="n">
        <v>45891</v>
      </c>
      <c r="D52" t="inlineStr">
        <is>
          <t>DALARNAS LÄN</t>
        </is>
      </c>
      <c r="E52" t="inlineStr">
        <is>
          <t>MORA</t>
        </is>
      </c>
      <c r="G52" t="n">
        <v>7.2</v>
      </c>
      <c r="H52" t="n">
        <v>0</v>
      </c>
      <c r="I52" t="n">
        <v>0</v>
      </c>
      <c r="J52" t="n">
        <v>1</v>
      </c>
      <c r="K52" t="n">
        <v>0</v>
      </c>
      <c r="L52" t="n">
        <v>0</v>
      </c>
      <c r="M52" t="n">
        <v>0</v>
      </c>
      <c r="N52" t="n">
        <v>0</v>
      </c>
      <c r="O52" t="n">
        <v>1</v>
      </c>
      <c r="P52" t="n">
        <v>0</v>
      </c>
      <c r="Q52" t="n">
        <v>1</v>
      </c>
      <c r="R52" s="2" t="inlineStr">
        <is>
          <t>Reliktbock</t>
        </is>
      </c>
      <c r="S52">
        <f>HYPERLINK("https://klasma.github.io/Logging_2062/artfynd/A 23736-2023 artfynd.xlsx", "A 23736-2023")</f>
        <v/>
      </c>
      <c r="T52">
        <f>HYPERLINK("https://klasma.github.io/Logging_2062/kartor/A 23736-2023 karta.png", "A 23736-2023")</f>
        <v/>
      </c>
      <c r="V52">
        <f>HYPERLINK("https://klasma.github.io/Logging_2062/klagomål/A 23736-2023 FSC-klagomål.docx", "A 23736-2023")</f>
        <v/>
      </c>
      <c r="W52">
        <f>HYPERLINK("https://klasma.github.io/Logging_2062/klagomålsmail/A 23736-2023 FSC-klagomål mail.docx", "A 23736-2023")</f>
        <v/>
      </c>
      <c r="X52">
        <f>HYPERLINK("https://klasma.github.io/Logging_2062/tillsyn/A 23736-2023 tillsynsbegäran.docx", "A 23736-2023")</f>
        <v/>
      </c>
      <c r="Y52">
        <f>HYPERLINK("https://klasma.github.io/Logging_2062/tillsynsmail/A 23736-2023 tillsynsbegäran mail.docx", "A 23736-2023")</f>
        <v/>
      </c>
    </row>
    <row r="53" ht="15" customHeight="1">
      <c r="A53" t="inlineStr">
        <is>
          <t>A 13717-2023</t>
        </is>
      </c>
      <c r="B53" s="1" t="n">
        <v>45007</v>
      </c>
      <c r="C53" s="1" t="n">
        <v>45891</v>
      </c>
      <c r="D53" t="inlineStr">
        <is>
          <t>DALARNAS LÄN</t>
        </is>
      </c>
      <c r="E53" t="inlineStr">
        <is>
          <t>MORA</t>
        </is>
      </c>
      <c r="G53" t="n">
        <v>5.6</v>
      </c>
      <c r="H53" t="n">
        <v>0</v>
      </c>
      <c r="I53" t="n">
        <v>0</v>
      </c>
      <c r="J53" t="n">
        <v>1</v>
      </c>
      <c r="K53" t="n">
        <v>0</v>
      </c>
      <c r="L53" t="n">
        <v>0</v>
      </c>
      <c r="M53" t="n">
        <v>0</v>
      </c>
      <c r="N53" t="n">
        <v>0</v>
      </c>
      <c r="O53" t="n">
        <v>1</v>
      </c>
      <c r="P53" t="n">
        <v>0</v>
      </c>
      <c r="Q53" t="n">
        <v>1</v>
      </c>
      <c r="R53" s="2" t="inlineStr">
        <is>
          <t>Slåtterfibbla</t>
        </is>
      </c>
      <c r="S53">
        <f>HYPERLINK("https://klasma.github.io/Logging_2062/artfynd/A 13717-2023 artfynd.xlsx", "A 13717-2023")</f>
        <v/>
      </c>
      <c r="T53">
        <f>HYPERLINK("https://klasma.github.io/Logging_2062/kartor/A 13717-2023 karta.png", "A 13717-2023")</f>
        <v/>
      </c>
      <c r="U53">
        <f>HYPERLINK("https://klasma.github.io/Logging_2062/knärot/A 13717-2023 karta knärot.png", "A 13717-2023")</f>
        <v/>
      </c>
      <c r="V53">
        <f>HYPERLINK("https://klasma.github.io/Logging_2062/klagomål/A 13717-2023 FSC-klagomål.docx", "A 13717-2023")</f>
        <v/>
      </c>
      <c r="W53">
        <f>HYPERLINK("https://klasma.github.io/Logging_2062/klagomålsmail/A 13717-2023 FSC-klagomål mail.docx", "A 13717-2023")</f>
        <v/>
      </c>
      <c r="X53">
        <f>HYPERLINK("https://klasma.github.io/Logging_2062/tillsyn/A 13717-2023 tillsynsbegäran.docx", "A 13717-2023")</f>
        <v/>
      </c>
      <c r="Y53">
        <f>HYPERLINK("https://klasma.github.io/Logging_2062/tillsynsmail/A 13717-2023 tillsynsbegäran mail.docx", "A 13717-2023")</f>
        <v/>
      </c>
    </row>
    <row r="54" ht="15" customHeight="1">
      <c r="A54" t="inlineStr">
        <is>
          <t>A 30328-2021</t>
        </is>
      </c>
      <c r="B54" s="1" t="n">
        <v>44364</v>
      </c>
      <c r="C54" s="1" t="n">
        <v>45891</v>
      </c>
      <c r="D54" t="inlineStr">
        <is>
          <t>DALARNAS LÄN</t>
        </is>
      </c>
      <c r="E54" t="inlineStr">
        <is>
          <t>MORA</t>
        </is>
      </c>
      <c r="F54" t="inlineStr">
        <is>
          <t>Bergvik skog öst AB</t>
        </is>
      </c>
      <c r="G54" t="n">
        <v>1.1</v>
      </c>
      <c r="H54" t="n">
        <v>1</v>
      </c>
      <c r="I54" t="n">
        <v>0</v>
      </c>
      <c r="J54" t="n">
        <v>1</v>
      </c>
      <c r="K54" t="n">
        <v>0</v>
      </c>
      <c r="L54" t="n">
        <v>0</v>
      </c>
      <c r="M54" t="n">
        <v>0</v>
      </c>
      <c r="N54" t="n">
        <v>0</v>
      </c>
      <c r="O54" t="n">
        <v>1</v>
      </c>
      <c r="P54" t="n">
        <v>0</v>
      </c>
      <c r="Q54" t="n">
        <v>1</v>
      </c>
      <c r="R54" s="2" t="inlineStr">
        <is>
          <t>Fjällvråk</t>
        </is>
      </c>
      <c r="S54">
        <f>HYPERLINK("https://klasma.github.io/Logging_2062/artfynd/A 30328-2021 artfynd.xlsx", "A 30328-2021")</f>
        <v/>
      </c>
      <c r="T54">
        <f>HYPERLINK("https://klasma.github.io/Logging_2062/kartor/A 30328-2021 karta.png", "A 30328-2021")</f>
        <v/>
      </c>
      <c r="V54">
        <f>HYPERLINK("https://klasma.github.io/Logging_2062/klagomål/A 30328-2021 FSC-klagomål.docx", "A 30328-2021")</f>
        <v/>
      </c>
      <c r="W54">
        <f>HYPERLINK("https://klasma.github.io/Logging_2062/klagomålsmail/A 30328-2021 FSC-klagomål mail.docx", "A 30328-2021")</f>
        <v/>
      </c>
      <c r="X54">
        <f>HYPERLINK("https://klasma.github.io/Logging_2062/tillsyn/A 30328-2021 tillsynsbegäran.docx", "A 30328-2021")</f>
        <v/>
      </c>
      <c r="Y54">
        <f>HYPERLINK("https://klasma.github.io/Logging_2062/tillsynsmail/A 30328-2021 tillsynsbegäran mail.docx", "A 30328-2021")</f>
        <v/>
      </c>
      <c r="Z54">
        <f>HYPERLINK("https://klasma.github.io/Logging_2062/fåglar/A 30328-2021 prioriterade fågelarter.docx", "A 30328-2021")</f>
        <v/>
      </c>
    </row>
    <row r="55" ht="15" customHeight="1">
      <c r="A55" t="inlineStr">
        <is>
          <t>A 16094-2024</t>
        </is>
      </c>
      <c r="B55" s="1" t="n">
        <v>45406.41648148148</v>
      </c>
      <c r="C55" s="1" t="n">
        <v>45891</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57669-2022</t>
        </is>
      </c>
      <c r="B56" s="1" t="n">
        <v>44897</v>
      </c>
      <c r="C56" s="1" t="n">
        <v>45891</v>
      </c>
      <c r="D56" t="inlineStr">
        <is>
          <t>DALARNAS LÄN</t>
        </is>
      </c>
      <c r="E56" t="inlineStr">
        <is>
          <t>MORA</t>
        </is>
      </c>
      <c r="G56" t="n">
        <v>4.1</v>
      </c>
      <c r="H56" t="n">
        <v>0</v>
      </c>
      <c r="I56" t="n">
        <v>0</v>
      </c>
      <c r="J56" t="n">
        <v>1</v>
      </c>
      <c r="K56" t="n">
        <v>0</v>
      </c>
      <c r="L56" t="n">
        <v>0</v>
      </c>
      <c r="M56" t="n">
        <v>0</v>
      </c>
      <c r="N56" t="n">
        <v>0</v>
      </c>
      <c r="O56" t="n">
        <v>1</v>
      </c>
      <c r="P56" t="n">
        <v>0</v>
      </c>
      <c r="Q56" t="n">
        <v>1</v>
      </c>
      <c r="R56" s="2" t="inlineStr">
        <is>
          <t>Igelkott</t>
        </is>
      </c>
      <c r="S56">
        <f>HYPERLINK("https://klasma.github.io/Logging_2062/artfynd/A 57669-2022 artfynd.xlsx", "A 57669-2022")</f>
        <v/>
      </c>
      <c r="T56">
        <f>HYPERLINK("https://klasma.github.io/Logging_2062/kartor/A 57669-2022 karta.png", "A 57669-2022")</f>
        <v/>
      </c>
      <c r="V56">
        <f>HYPERLINK("https://klasma.github.io/Logging_2062/klagomål/A 57669-2022 FSC-klagomål.docx", "A 57669-2022")</f>
        <v/>
      </c>
      <c r="W56">
        <f>HYPERLINK("https://klasma.github.io/Logging_2062/klagomålsmail/A 57669-2022 FSC-klagomål mail.docx", "A 57669-2022")</f>
        <v/>
      </c>
      <c r="X56">
        <f>HYPERLINK("https://klasma.github.io/Logging_2062/tillsyn/A 57669-2022 tillsynsbegäran.docx", "A 57669-2022")</f>
        <v/>
      </c>
      <c r="Y56">
        <f>HYPERLINK("https://klasma.github.io/Logging_2062/tillsynsmail/A 57669-2022 tillsynsbegäran mail.docx", "A 57669-2022")</f>
        <v/>
      </c>
    </row>
    <row r="57" ht="15" customHeight="1">
      <c r="A57" t="inlineStr">
        <is>
          <t>A 5304-2023</t>
        </is>
      </c>
      <c r="B57" s="1" t="n">
        <v>44959.55116898148</v>
      </c>
      <c r="C57" s="1" t="n">
        <v>45891</v>
      </c>
      <c r="D57" t="inlineStr">
        <is>
          <t>DALARNAS LÄN</t>
        </is>
      </c>
      <c r="E57" t="inlineStr">
        <is>
          <t>MORA</t>
        </is>
      </c>
      <c r="F57" t="inlineStr">
        <is>
          <t>Bergvik skog väst AB</t>
        </is>
      </c>
      <c r="G57" t="n">
        <v>7.3</v>
      </c>
      <c r="H57" t="n">
        <v>0</v>
      </c>
      <c r="I57" t="n">
        <v>0</v>
      </c>
      <c r="J57" t="n">
        <v>1</v>
      </c>
      <c r="K57" t="n">
        <v>0</v>
      </c>
      <c r="L57" t="n">
        <v>0</v>
      </c>
      <c r="M57" t="n">
        <v>0</v>
      </c>
      <c r="N57" t="n">
        <v>0</v>
      </c>
      <c r="O57" t="n">
        <v>1</v>
      </c>
      <c r="P57" t="n">
        <v>0</v>
      </c>
      <c r="Q57" t="n">
        <v>1</v>
      </c>
      <c r="R57" s="2" t="inlineStr">
        <is>
          <t>Backruta</t>
        </is>
      </c>
      <c r="S57">
        <f>HYPERLINK("https://klasma.github.io/Logging_2062/artfynd/A 5304-2023 artfynd.xlsx", "A 5304-2023")</f>
        <v/>
      </c>
      <c r="T57">
        <f>HYPERLINK("https://klasma.github.io/Logging_2062/kartor/A 5304-2023 karta.png", "A 5304-2023")</f>
        <v/>
      </c>
      <c r="V57">
        <f>HYPERLINK("https://klasma.github.io/Logging_2062/klagomål/A 5304-2023 FSC-klagomål.docx", "A 5304-2023")</f>
        <v/>
      </c>
      <c r="W57">
        <f>HYPERLINK("https://klasma.github.io/Logging_2062/klagomålsmail/A 5304-2023 FSC-klagomål mail.docx", "A 5304-2023")</f>
        <v/>
      </c>
      <c r="X57">
        <f>HYPERLINK("https://klasma.github.io/Logging_2062/tillsyn/A 5304-2023 tillsynsbegäran.docx", "A 5304-2023")</f>
        <v/>
      </c>
      <c r="Y57">
        <f>HYPERLINK("https://klasma.github.io/Logging_2062/tillsynsmail/A 5304-2023 tillsynsbegäran mail.docx", "A 5304-2023")</f>
        <v/>
      </c>
    </row>
    <row r="58" ht="15" customHeight="1">
      <c r="A58" t="inlineStr">
        <is>
          <t>A 831-2025</t>
        </is>
      </c>
      <c r="B58" s="1" t="n">
        <v>45665.58001157407</v>
      </c>
      <c r="C58" s="1" t="n">
        <v>45891</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27113-2024</t>
        </is>
      </c>
      <c r="B59" s="1" t="n">
        <v>45471</v>
      </c>
      <c r="C59" s="1" t="n">
        <v>45891</v>
      </c>
      <c r="D59" t="inlineStr">
        <is>
          <t>DALARNAS LÄN</t>
        </is>
      </c>
      <c r="E59" t="inlineStr">
        <is>
          <t>MORA</t>
        </is>
      </c>
      <c r="G59" t="n">
        <v>10.3</v>
      </c>
      <c r="H59" t="n">
        <v>0</v>
      </c>
      <c r="I59" t="n">
        <v>1</v>
      </c>
      <c r="J59" t="n">
        <v>0</v>
      </c>
      <c r="K59" t="n">
        <v>0</v>
      </c>
      <c r="L59" t="n">
        <v>0</v>
      </c>
      <c r="M59" t="n">
        <v>0</v>
      </c>
      <c r="N59" t="n">
        <v>0</v>
      </c>
      <c r="O59" t="n">
        <v>0</v>
      </c>
      <c r="P59" t="n">
        <v>0</v>
      </c>
      <c r="Q59" t="n">
        <v>1</v>
      </c>
      <c r="R59" s="2" t="inlineStr">
        <is>
          <t>Stor aspticka</t>
        </is>
      </c>
      <c r="S59">
        <f>HYPERLINK("https://klasma.github.io/Logging_2062/artfynd/A 27113-2024 artfynd.xlsx", "A 27113-2024")</f>
        <v/>
      </c>
      <c r="T59">
        <f>HYPERLINK("https://klasma.github.io/Logging_2062/kartor/A 27113-2024 karta.png", "A 27113-2024")</f>
        <v/>
      </c>
      <c r="V59">
        <f>HYPERLINK("https://klasma.github.io/Logging_2062/klagomål/A 27113-2024 FSC-klagomål.docx", "A 27113-2024")</f>
        <v/>
      </c>
      <c r="W59">
        <f>HYPERLINK("https://klasma.github.io/Logging_2062/klagomålsmail/A 27113-2024 FSC-klagomål mail.docx", "A 27113-2024")</f>
        <v/>
      </c>
      <c r="X59">
        <f>HYPERLINK("https://klasma.github.io/Logging_2062/tillsyn/A 27113-2024 tillsynsbegäran.docx", "A 27113-2024")</f>
        <v/>
      </c>
      <c r="Y59">
        <f>HYPERLINK("https://klasma.github.io/Logging_2062/tillsynsmail/A 27113-2024 tillsynsbegäran mail.docx", "A 27113-2024")</f>
        <v/>
      </c>
    </row>
    <row r="60" ht="15" customHeight="1">
      <c r="A60" t="inlineStr">
        <is>
          <t>A 45344-2024</t>
        </is>
      </c>
      <c r="B60" s="1" t="n">
        <v>45576</v>
      </c>
      <c r="C60" s="1" t="n">
        <v>45891</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45344-2024 artfynd.xlsx", "A 45344-2024")</f>
        <v/>
      </c>
      <c r="T60">
        <f>HYPERLINK("https://klasma.github.io/Logging_2062/kartor/A 45344-2024 karta.png", "A 45344-2024")</f>
        <v/>
      </c>
      <c r="V60">
        <f>HYPERLINK("https://klasma.github.io/Logging_2062/klagomål/A 45344-2024 FSC-klagomål.docx", "A 45344-2024")</f>
        <v/>
      </c>
      <c r="W60">
        <f>HYPERLINK("https://klasma.github.io/Logging_2062/klagomålsmail/A 45344-2024 FSC-klagomål mail.docx", "A 45344-2024")</f>
        <v/>
      </c>
      <c r="X60">
        <f>HYPERLINK("https://klasma.github.io/Logging_2062/tillsyn/A 45344-2024 tillsynsbegäran.docx", "A 45344-2024")</f>
        <v/>
      </c>
      <c r="Y60">
        <f>HYPERLINK("https://klasma.github.io/Logging_2062/tillsynsmail/A 45344-2024 tillsynsbegäran mail.docx", "A 45344-2024")</f>
        <v/>
      </c>
    </row>
    <row r="61" ht="15" customHeight="1">
      <c r="A61" t="inlineStr">
        <is>
          <t>A 66990-2020</t>
        </is>
      </c>
      <c r="B61" s="1" t="n">
        <v>44180</v>
      </c>
      <c r="C61" s="1" t="n">
        <v>45891</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45891</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45891</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45891</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45891</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45891</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45891</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45891</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34897-2022</t>
        </is>
      </c>
      <c r="B69" s="1" t="n">
        <v>44796</v>
      </c>
      <c r="C69" s="1" t="n">
        <v>45891</v>
      </c>
      <c r="D69" t="inlineStr">
        <is>
          <t>DALARNAS LÄN</t>
        </is>
      </c>
      <c r="E69" t="inlineStr">
        <is>
          <t>MORA</t>
        </is>
      </c>
      <c r="F69" t="inlineStr">
        <is>
          <t>Bergvik skog väst AB</t>
        </is>
      </c>
      <c r="G69" t="n">
        <v>8</v>
      </c>
      <c r="H69" t="n">
        <v>0</v>
      </c>
      <c r="I69" t="n">
        <v>0</v>
      </c>
      <c r="J69" t="n">
        <v>0</v>
      </c>
      <c r="K69" t="n">
        <v>0</v>
      </c>
      <c r="L69" t="n">
        <v>0</v>
      </c>
      <c r="M69" t="n">
        <v>0</v>
      </c>
      <c r="N69" t="n">
        <v>0</v>
      </c>
      <c r="O69" t="n">
        <v>0</v>
      </c>
      <c r="P69" t="n">
        <v>0</v>
      </c>
      <c r="Q69" t="n">
        <v>0</v>
      </c>
      <c r="R69" s="2" t="inlineStr"/>
    </row>
    <row r="70" ht="15" customHeight="1">
      <c r="A70" t="inlineStr">
        <is>
          <t>A 72648-2021</t>
        </is>
      </c>
      <c r="B70" s="1" t="n">
        <v>44546.5862037037</v>
      </c>
      <c r="C70" s="1" t="n">
        <v>45891</v>
      </c>
      <c r="D70" t="inlineStr">
        <is>
          <t>DALARNAS LÄN</t>
        </is>
      </c>
      <c r="E70" t="inlineStr">
        <is>
          <t>MORA</t>
        </is>
      </c>
      <c r="G70" t="n">
        <v>0.2</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45891</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45891</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45891</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45891</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45891</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45891</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45891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29697-2021</t>
        </is>
      </c>
      <c r="B78" s="1" t="n">
        <v>44362.38358796296</v>
      </c>
      <c r="C78" s="1" t="n">
        <v>45891</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54239-2021</t>
        </is>
      </c>
      <c r="B79" s="1" t="n">
        <v>44470.63695601852</v>
      </c>
      <c r="C79" s="1" t="n">
        <v>45891</v>
      </c>
      <c r="D79" t="inlineStr">
        <is>
          <t>DALARNAS LÄN</t>
        </is>
      </c>
      <c r="E79" t="inlineStr">
        <is>
          <t>MORA</t>
        </is>
      </c>
      <c r="G79" t="n">
        <v>0.6</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45891</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45891</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45891</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45891</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45891</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45891</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45891</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45891</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45891</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45891</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45891</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45891</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45891</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45891</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45891</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45891</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45891</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45891</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45891</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45891</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45891</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45891</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45891</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41763-2021</t>
        </is>
      </c>
      <c r="B103" s="1" t="n">
        <v>44425</v>
      </c>
      <c r="C103" s="1" t="n">
        <v>45891</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16706-2022</t>
        </is>
      </c>
      <c r="B104" s="1" t="n">
        <v>44673</v>
      </c>
      <c r="C104" s="1" t="n">
        <v>45891</v>
      </c>
      <c r="D104" t="inlineStr">
        <is>
          <t>DALARNAS LÄN</t>
        </is>
      </c>
      <c r="E104" t="inlineStr">
        <is>
          <t>MORA</t>
        </is>
      </c>
      <c r="G104" t="n">
        <v>9.1</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45891</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45891</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45891</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45891</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45891</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45891</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45891</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59899-2021</t>
        </is>
      </c>
      <c r="B112" s="1" t="n">
        <v>44494.63381944445</v>
      </c>
      <c r="C112" s="1" t="n">
        <v>45891</v>
      </c>
      <c r="D112" t="inlineStr">
        <is>
          <t>DALARNAS LÄN</t>
        </is>
      </c>
      <c r="E112" t="inlineStr">
        <is>
          <t>MORA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41028-2021</t>
        </is>
      </c>
      <c r="B113" s="1" t="n">
        <v>44421</v>
      </c>
      <c r="C113" s="1" t="n">
        <v>45891</v>
      </c>
      <c r="D113" t="inlineStr">
        <is>
          <t>DALARNAS LÄN</t>
        </is>
      </c>
      <c r="E113" t="inlineStr">
        <is>
          <t>MORA</t>
        </is>
      </c>
      <c r="G113" t="n">
        <v>7.2</v>
      </c>
      <c r="H113" t="n">
        <v>0</v>
      </c>
      <c r="I113" t="n">
        <v>0</v>
      </c>
      <c r="J113" t="n">
        <v>0</v>
      </c>
      <c r="K113" t="n">
        <v>0</v>
      </c>
      <c r="L113" t="n">
        <v>0</v>
      </c>
      <c r="M113" t="n">
        <v>0</v>
      </c>
      <c r="N113" t="n">
        <v>0</v>
      </c>
      <c r="O113" t="n">
        <v>0</v>
      </c>
      <c r="P113" t="n">
        <v>0</v>
      </c>
      <c r="Q113" t="n">
        <v>0</v>
      </c>
      <c r="R113" s="2" t="inlineStr"/>
    </row>
    <row r="114" ht="15" customHeight="1">
      <c r="A114" t="inlineStr">
        <is>
          <t>A 17622-2022</t>
        </is>
      </c>
      <c r="B114" s="1" t="n">
        <v>44680.4265162037</v>
      </c>
      <c r="C114" s="1" t="n">
        <v>45891</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2277-2022</t>
        </is>
      </c>
      <c r="B115" s="1" t="n">
        <v>44578.66320601852</v>
      </c>
      <c r="C115" s="1" t="n">
        <v>45891</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45891</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58413-2021</t>
        </is>
      </c>
      <c r="B117" s="1" t="n">
        <v>44488</v>
      </c>
      <c r="C117" s="1" t="n">
        <v>45891</v>
      </c>
      <c r="D117" t="inlineStr">
        <is>
          <t>DALARNAS LÄN</t>
        </is>
      </c>
      <c r="E117" t="inlineStr">
        <is>
          <t>MORA</t>
        </is>
      </c>
      <c r="F117" t="inlineStr">
        <is>
          <t>Bergvik skog öst AB</t>
        </is>
      </c>
      <c r="G117" t="n">
        <v>5.3</v>
      </c>
      <c r="H117" t="n">
        <v>0</v>
      </c>
      <c r="I117" t="n">
        <v>0</v>
      </c>
      <c r="J117" t="n">
        <v>0</v>
      </c>
      <c r="K117" t="n">
        <v>0</v>
      </c>
      <c r="L117" t="n">
        <v>0</v>
      </c>
      <c r="M117" t="n">
        <v>0</v>
      </c>
      <c r="N117" t="n">
        <v>0</v>
      </c>
      <c r="O117" t="n">
        <v>0</v>
      </c>
      <c r="P117" t="n">
        <v>0</v>
      </c>
      <c r="Q117" t="n">
        <v>0</v>
      </c>
      <c r="R117" s="2" t="inlineStr"/>
    </row>
    <row r="118" ht="15" customHeight="1">
      <c r="A118" t="inlineStr">
        <is>
          <t>A 32474-2022</t>
        </is>
      </c>
      <c r="B118" s="1" t="n">
        <v>44782</v>
      </c>
      <c r="C118" s="1" t="n">
        <v>45891</v>
      </c>
      <c r="D118" t="inlineStr">
        <is>
          <t>DALARNAS LÄN</t>
        </is>
      </c>
      <c r="E118" t="inlineStr">
        <is>
          <t>MORA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36168-2021</t>
        </is>
      </c>
      <c r="B119" s="1" t="n">
        <v>44389.62159722222</v>
      </c>
      <c r="C119" s="1" t="n">
        <v>45891</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45891</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45891</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42377-2020</t>
        </is>
      </c>
      <c r="B122" s="1" t="n">
        <v>44076</v>
      </c>
      <c r="C122" s="1" t="n">
        <v>45891</v>
      </c>
      <c r="D122" t="inlineStr">
        <is>
          <t>DALARNAS LÄN</t>
        </is>
      </c>
      <c r="E122" t="inlineStr">
        <is>
          <t>MORA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45891</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67045-2021</t>
        </is>
      </c>
      <c r="B124" s="1" t="n">
        <v>44522</v>
      </c>
      <c r="C124" s="1" t="n">
        <v>45891</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45891</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55249-2020</t>
        </is>
      </c>
      <c r="B126" s="1" t="n">
        <v>44130</v>
      </c>
      <c r="C126" s="1" t="n">
        <v>45891</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45891</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45891</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45891</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42362-2020</t>
        </is>
      </c>
      <c r="B130" s="1" t="n">
        <v>44074</v>
      </c>
      <c r="C130" s="1" t="n">
        <v>45891</v>
      </c>
      <c r="D130" t="inlineStr">
        <is>
          <t>DALARNAS LÄN</t>
        </is>
      </c>
      <c r="E130" t="inlineStr">
        <is>
          <t>MORA</t>
        </is>
      </c>
      <c r="G130" t="n">
        <v>4.5</v>
      </c>
      <c r="H130" t="n">
        <v>0</v>
      </c>
      <c r="I130" t="n">
        <v>0</v>
      </c>
      <c r="J130" t="n">
        <v>0</v>
      </c>
      <c r="K130" t="n">
        <v>0</v>
      </c>
      <c r="L130" t="n">
        <v>0</v>
      </c>
      <c r="M130" t="n">
        <v>0</v>
      </c>
      <c r="N130" t="n">
        <v>0</v>
      </c>
      <c r="O130" t="n">
        <v>0</v>
      </c>
      <c r="P130" t="n">
        <v>0</v>
      </c>
      <c r="Q130" t="n">
        <v>0</v>
      </c>
      <c r="R130" s="2" t="inlineStr"/>
    </row>
    <row r="131" ht="15" customHeight="1">
      <c r="A131" t="inlineStr">
        <is>
          <t>A 14744-2022</t>
        </is>
      </c>
      <c r="B131" s="1" t="n">
        <v>44656.37616898148</v>
      </c>
      <c r="C131" s="1" t="n">
        <v>45891</v>
      </c>
      <c r="D131" t="inlineStr">
        <is>
          <t>DALARNAS LÄN</t>
        </is>
      </c>
      <c r="E131" t="inlineStr">
        <is>
          <t>MORA</t>
        </is>
      </c>
      <c r="G131" t="n">
        <v>1.9</v>
      </c>
      <c r="H131" t="n">
        <v>0</v>
      </c>
      <c r="I131" t="n">
        <v>0</v>
      </c>
      <c r="J131" t="n">
        <v>0</v>
      </c>
      <c r="K131" t="n">
        <v>0</v>
      </c>
      <c r="L131" t="n">
        <v>0</v>
      </c>
      <c r="M131" t="n">
        <v>0</v>
      </c>
      <c r="N131" t="n">
        <v>0</v>
      </c>
      <c r="O131" t="n">
        <v>0</v>
      </c>
      <c r="P131" t="n">
        <v>0</v>
      </c>
      <c r="Q131" t="n">
        <v>0</v>
      </c>
      <c r="R131" s="2" t="inlineStr"/>
    </row>
    <row r="132" ht="15" customHeight="1">
      <c r="A132" t="inlineStr">
        <is>
          <t>A 8546-2022</t>
        </is>
      </c>
      <c r="B132" s="1" t="n">
        <v>44613</v>
      </c>
      <c r="C132" s="1" t="n">
        <v>45891</v>
      </c>
      <c r="D132" t="inlineStr">
        <is>
          <t>DALARNAS LÄN</t>
        </is>
      </c>
      <c r="E132" t="inlineStr">
        <is>
          <t>MORA</t>
        </is>
      </c>
      <c r="G132" t="n">
        <v>2.6</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45891</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45891</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22931-2021</t>
        </is>
      </c>
      <c r="B135" s="1" t="n">
        <v>44326</v>
      </c>
      <c r="C135" s="1" t="n">
        <v>45891</v>
      </c>
      <c r="D135" t="inlineStr">
        <is>
          <t>DALARNAS LÄN</t>
        </is>
      </c>
      <c r="E135" t="inlineStr">
        <is>
          <t>MORA</t>
        </is>
      </c>
      <c r="G135" t="n">
        <v>4.4</v>
      </c>
      <c r="H135" t="n">
        <v>0</v>
      </c>
      <c r="I135" t="n">
        <v>0</v>
      </c>
      <c r="J135" t="n">
        <v>0</v>
      </c>
      <c r="K135" t="n">
        <v>0</v>
      </c>
      <c r="L135" t="n">
        <v>0</v>
      </c>
      <c r="M135" t="n">
        <v>0</v>
      </c>
      <c r="N135" t="n">
        <v>0</v>
      </c>
      <c r="O135" t="n">
        <v>0</v>
      </c>
      <c r="P135" t="n">
        <v>0</v>
      </c>
      <c r="Q135" t="n">
        <v>0</v>
      </c>
      <c r="R135" s="2" t="inlineStr"/>
    </row>
    <row r="136" ht="15" customHeight="1">
      <c r="A136" t="inlineStr">
        <is>
          <t>A 62301-2020</t>
        </is>
      </c>
      <c r="B136" s="1" t="n">
        <v>44160</v>
      </c>
      <c r="C136" s="1" t="n">
        <v>45891</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24393-2022</t>
        </is>
      </c>
      <c r="B137" s="1" t="n">
        <v>44726</v>
      </c>
      <c r="C137" s="1" t="n">
        <v>45891</v>
      </c>
      <c r="D137" t="inlineStr">
        <is>
          <t>DALARNAS LÄN</t>
        </is>
      </c>
      <c r="E137" t="inlineStr">
        <is>
          <t>MORA</t>
        </is>
      </c>
      <c r="G137" t="n">
        <v>2.1</v>
      </c>
      <c r="H137" t="n">
        <v>0</v>
      </c>
      <c r="I137" t="n">
        <v>0</v>
      </c>
      <c r="J137" t="n">
        <v>0</v>
      </c>
      <c r="K137" t="n">
        <v>0</v>
      </c>
      <c r="L137" t="n">
        <v>0</v>
      </c>
      <c r="M137" t="n">
        <v>0</v>
      </c>
      <c r="N137" t="n">
        <v>0</v>
      </c>
      <c r="O137" t="n">
        <v>0</v>
      </c>
      <c r="P137" t="n">
        <v>0</v>
      </c>
      <c r="Q137" t="n">
        <v>0</v>
      </c>
      <c r="R137" s="2" t="inlineStr"/>
    </row>
    <row r="138" ht="15" customHeight="1">
      <c r="A138" t="inlineStr">
        <is>
          <t>A 655-2021</t>
        </is>
      </c>
      <c r="B138" s="1" t="n">
        <v>44203</v>
      </c>
      <c r="C138" s="1" t="n">
        <v>45891</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45891</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4488-2022</t>
        </is>
      </c>
      <c r="B140" s="1" t="n">
        <v>44589.65528935185</v>
      </c>
      <c r="C140" s="1" t="n">
        <v>45891</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28914-2022</t>
        </is>
      </c>
      <c r="B141" s="1" t="n">
        <v>44749.56221064815</v>
      </c>
      <c r="C141" s="1" t="n">
        <v>45891</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41768-2020</t>
        </is>
      </c>
      <c r="B142" s="1" t="n">
        <v>44074</v>
      </c>
      <c r="C142" s="1" t="n">
        <v>45891</v>
      </c>
      <c r="D142" t="inlineStr">
        <is>
          <t>DALARNAS LÄN</t>
        </is>
      </c>
      <c r="E142" t="inlineStr">
        <is>
          <t>MORA</t>
        </is>
      </c>
      <c r="G142" t="n">
        <v>0.6</v>
      </c>
      <c r="H142" t="n">
        <v>0</v>
      </c>
      <c r="I142" t="n">
        <v>0</v>
      </c>
      <c r="J142" t="n">
        <v>0</v>
      </c>
      <c r="K142" t="n">
        <v>0</v>
      </c>
      <c r="L142" t="n">
        <v>0</v>
      </c>
      <c r="M142" t="n">
        <v>0</v>
      </c>
      <c r="N142" t="n">
        <v>0</v>
      </c>
      <c r="O142" t="n">
        <v>0</v>
      </c>
      <c r="P142" t="n">
        <v>0</v>
      </c>
      <c r="Q142" t="n">
        <v>0</v>
      </c>
      <c r="R142" s="2" t="inlineStr"/>
    </row>
    <row r="143" ht="15" customHeight="1">
      <c r="A143" t="inlineStr">
        <is>
          <t>A 43284-2020</t>
        </is>
      </c>
      <c r="B143" s="1" t="n">
        <v>44081</v>
      </c>
      <c r="C143" s="1" t="n">
        <v>45891</v>
      </c>
      <c r="D143" t="inlineStr">
        <is>
          <t>DALARNAS LÄN</t>
        </is>
      </c>
      <c r="E143" t="inlineStr">
        <is>
          <t>MORA</t>
        </is>
      </c>
      <c r="G143" t="n">
        <v>2</v>
      </c>
      <c r="H143" t="n">
        <v>0</v>
      </c>
      <c r="I143" t="n">
        <v>0</v>
      </c>
      <c r="J143" t="n">
        <v>0</v>
      </c>
      <c r="K143" t="n">
        <v>0</v>
      </c>
      <c r="L143" t="n">
        <v>0</v>
      </c>
      <c r="M143" t="n">
        <v>0</v>
      </c>
      <c r="N143" t="n">
        <v>0</v>
      </c>
      <c r="O143" t="n">
        <v>0</v>
      </c>
      <c r="P143" t="n">
        <v>0</v>
      </c>
      <c r="Q143" t="n">
        <v>0</v>
      </c>
      <c r="R143" s="2" t="inlineStr"/>
    </row>
    <row r="144" ht="15" customHeight="1">
      <c r="A144" t="inlineStr">
        <is>
          <t>A 57848-2020</t>
        </is>
      </c>
      <c r="B144" s="1" t="n">
        <v>44141</v>
      </c>
      <c r="C144" s="1" t="n">
        <v>45891</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56770-2024</t>
        </is>
      </c>
      <c r="B145" s="1" t="n">
        <v>45628.41587962963</v>
      </c>
      <c r="C145" s="1" t="n">
        <v>45891</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45891</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16965-2025</t>
        </is>
      </c>
      <c r="B147" s="1" t="n">
        <v>45755.45715277778</v>
      </c>
      <c r="C147" s="1" t="n">
        <v>45891</v>
      </c>
      <c r="D147" t="inlineStr">
        <is>
          <t>DALARNAS LÄN</t>
        </is>
      </c>
      <c r="E147" t="inlineStr">
        <is>
          <t>MORA</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27461-2022</t>
        </is>
      </c>
      <c r="B148" s="1" t="n">
        <v>44742.58386574074</v>
      </c>
      <c r="C148" s="1" t="n">
        <v>45891</v>
      </c>
      <c r="D148" t="inlineStr">
        <is>
          <t>DALARNAS LÄN</t>
        </is>
      </c>
      <c r="E148" t="inlineStr">
        <is>
          <t>MORA</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45891</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45891</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21410-2023</t>
        </is>
      </c>
      <c r="B151" s="1" t="n">
        <v>45063</v>
      </c>
      <c r="C151" s="1" t="n">
        <v>45891</v>
      </c>
      <c r="D151" t="inlineStr">
        <is>
          <t>DALARNAS LÄN</t>
        </is>
      </c>
      <c r="E151" t="inlineStr">
        <is>
          <t>MORA</t>
        </is>
      </c>
      <c r="G151" t="n">
        <v>7</v>
      </c>
      <c r="H151" t="n">
        <v>0</v>
      </c>
      <c r="I151" t="n">
        <v>0</v>
      </c>
      <c r="J151" t="n">
        <v>0</v>
      </c>
      <c r="K151" t="n">
        <v>0</v>
      </c>
      <c r="L151" t="n">
        <v>0</v>
      </c>
      <c r="M151" t="n">
        <v>0</v>
      </c>
      <c r="N151" t="n">
        <v>0</v>
      </c>
      <c r="O151" t="n">
        <v>0</v>
      </c>
      <c r="P151" t="n">
        <v>0</v>
      </c>
      <c r="Q151" t="n">
        <v>0</v>
      </c>
      <c r="R151" s="2" t="inlineStr"/>
    </row>
    <row r="152" ht="15" customHeight="1">
      <c r="A152" t="inlineStr">
        <is>
          <t>A 66157-2021</t>
        </is>
      </c>
      <c r="B152" s="1" t="n">
        <v>44517.92888888889</v>
      </c>
      <c r="C152" s="1" t="n">
        <v>45891</v>
      </c>
      <c r="D152" t="inlineStr">
        <is>
          <t>DALARNAS LÄN</t>
        </is>
      </c>
      <c r="E152" t="inlineStr">
        <is>
          <t>MORA</t>
        </is>
      </c>
      <c r="G152" t="n">
        <v>2.9</v>
      </c>
      <c r="H152" t="n">
        <v>0</v>
      </c>
      <c r="I152" t="n">
        <v>0</v>
      </c>
      <c r="J152" t="n">
        <v>0</v>
      </c>
      <c r="K152" t="n">
        <v>0</v>
      </c>
      <c r="L152" t="n">
        <v>0</v>
      </c>
      <c r="M152" t="n">
        <v>0</v>
      </c>
      <c r="N152" t="n">
        <v>0</v>
      </c>
      <c r="O152" t="n">
        <v>0</v>
      </c>
      <c r="P152" t="n">
        <v>0</v>
      </c>
      <c r="Q152" t="n">
        <v>0</v>
      </c>
      <c r="R152" s="2" t="inlineStr"/>
    </row>
    <row r="153" ht="15" customHeight="1">
      <c r="A153" t="inlineStr">
        <is>
          <t>A 46801-2022</t>
        </is>
      </c>
      <c r="B153" s="1" t="n">
        <v>44851</v>
      </c>
      <c r="C153" s="1" t="n">
        <v>45891</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70141-2021</t>
        </is>
      </c>
      <c r="B154" s="1" t="n">
        <v>44533</v>
      </c>
      <c r="C154" s="1" t="n">
        <v>45891</v>
      </c>
      <c r="D154" t="inlineStr">
        <is>
          <t>DALARNAS LÄN</t>
        </is>
      </c>
      <c r="E154" t="inlineStr">
        <is>
          <t>MORA</t>
        </is>
      </c>
      <c r="G154" t="n">
        <v>4.1</v>
      </c>
      <c r="H154" t="n">
        <v>0</v>
      </c>
      <c r="I154" t="n">
        <v>0</v>
      </c>
      <c r="J154" t="n">
        <v>0</v>
      </c>
      <c r="K154" t="n">
        <v>0</v>
      </c>
      <c r="L154" t="n">
        <v>0</v>
      </c>
      <c r="M154" t="n">
        <v>0</v>
      </c>
      <c r="N154" t="n">
        <v>0</v>
      </c>
      <c r="O154" t="n">
        <v>0</v>
      </c>
      <c r="P154" t="n">
        <v>0</v>
      </c>
      <c r="Q154" t="n">
        <v>0</v>
      </c>
      <c r="R154" s="2" t="inlineStr"/>
    </row>
    <row r="155" ht="15" customHeight="1">
      <c r="A155" t="inlineStr">
        <is>
          <t>A 56767-2023</t>
        </is>
      </c>
      <c r="B155" s="1" t="n">
        <v>45244</v>
      </c>
      <c r="C155" s="1" t="n">
        <v>45891</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40949-2023</t>
        </is>
      </c>
      <c r="B156" s="1" t="n">
        <v>45173</v>
      </c>
      <c r="C156" s="1" t="n">
        <v>45891</v>
      </c>
      <c r="D156" t="inlineStr">
        <is>
          <t>DALARNAS LÄN</t>
        </is>
      </c>
      <c r="E156" t="inlineStr">
        <is>
          <t>MORA</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66232-2021</t>
        </is>
      </c>
      <c r="B157" s="1" t="n">
        <v>44518.39234953704</v>
      </c>
      <c r="C157" s="1" t="n">
        <v>45891</v>
      </c>
      <c r="D157" t="inlineStr">
        <is>
          <t>DALARNAS LÄN</t>
        </is>
      </c>
      <c r="E157" t="inlineStr">
        <is>
          <t>MORA</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15499-2024</t>
        </is>
      </c>
      <c r="B158" s="1" t="n">
        <v>45401.53798611111</v>
      </c>
      <c r="C158" s="1" t="n">
        <v>45891</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43879-2022</t>
        </is>
      </c>
      <c r="B159" s="1" t="n">
        <v>44838.46721064814</v>
      </c>
      <c r="C159" s="1" t="n">
        <v>45891</v>
      </c>
      <c r="D159" t="inlineStr">
        <is>
          <t>DALARNAS LÄN</t>
        </is>
      </c>
      <c r="E159" t="inlineStr">
        <is>
          <t>MORA</t>
        </is>
      </c>
      <c r="G159" t="n">
        <v>3.4</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45891</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39888-2024</t>
        </is>
      </c>
      <c r="B161" s="1" t="n">
        <v>45553.47538194444</v>
      </c>
      <c r="C161" s="1" t="n">
        <v>45891</v>
      </c>
      <c r="D161" t="inlineStr">
        <is>
          <t>DALARNAS LÄN</t>
        </is>
      </c>
      <c r="E161" t="inlineStr">
        <is>
          <t>MORA</t>
        </is>
      </c>
      <c r="G161" t="n">
        <v>5.4</v>
      </c>
      <c r="H161" t="n">
        <v>0</v>
      </c>
      <c r="I161" t="n">
        <v>0</v>
      </c>
      <c r="J161" t="n">
        <v>0</v>
      </c>
      <c r="K161" t="n">
        <v>0</v>
      </c>
      <c r="L161" t="n">
        <v>0</v>
      </c>
      <c r="M161" t="n">
        <v>0</v>
      </c>
      <c r="N161" t="n">
        <v>0</v>
      </c>
      <c r="O161" t="n">
        <v>0</v>
      </c>
      <c r="P161" t="n">
        <v>0</v>
      </c>
      <c r="Q161" t="n">
        <v>0</v>
      </c>
      <c r="R161" s="2" t="inlineStr"/>
    </row>
    <row r="162" ht="15" customHeight="1">
      <c r="A162" t="inlineStr">
        <is>
          <t>A 44307-2021</t>
        </is>
      </c>
      <c r="B162" s="1" t="n">
        <v>44435</v>
      </c>
      <c r="C162" s="1" t="n">
        <v>45891</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12828-2023</t>
        </is>
      </c>
      <c r="B163" s="1" t="n">
        <v>45001</v>
      </c>
      <c r="C163" s="1" t="n">
        <v>45891</v>
      </c>
      <c r="D163" t="inlineStr">
        <is>
          <t>DALARNAS LÄN</t>
        </is>
      </c>
      <c r="E163" t="inlineStr">
        <is>
          <t>MORA</t>
        </is>
      </c>
      <c r="F163" t="inlineStr">
        <is>
          <t>Bergvik skog väst AB</t>
        </is>
      </c>
      <c r="G163" t="n">
        <v>5.4</v>
      </c>
      <c r="H163" t="n">
        <v>0</v>
      </c>
      <c r="I163" t="n">
        <v>0</v>
      </c>
      <c r="J163" t="n">
        <v>0</v>
      </c>
      <c r="K163" t="n">
        <v>0</v>
      </c>
      <c r="L163" t="n">
        <v>0</v>
      </c>
      <c r="M163" t="n">
        <v>0</v>
      </c>
      <c r="N163" t="n">
        <v>0</v>
      </c>
      <c r="O163" t="n">
        <v>0</v>
      </c>
      <c r="P163" t="n">
        <v>0</v>
      </c>
      <c r="Q163" t="n">
        <v>0</v>
      </c>
      <c r="R163" s="2" t="inlineStr"/>
    </row>
    <row r="164" ht="15" customHeight="1">
      <c r="A164" t="inlineStr">
        <is>
          <t>A 34272-2024</t>
        </is>
      </c>
      <c r="B164" s="1" t="n">
        <v>45524.61752314815</v>
      </c>
      <c r="C164" s="1" t="n">
        <v>45891</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45891</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53750-2024</t>
        </is>
      </c>
      <c r="B166" s="1" t="n">
        <v>45615.48465277778</v>
      </c>
      <c r="C166" s="1" t="n">
        <v>45891</v>
      </c>
      <c r="D166" t="inlineStr">
        <is>
          <t>DALARNAS LÄN</t>
        </is>
      </c>
      <c r="E166" t="inlineStr">
        <is>
          <t>MORA</t>
        </is>
      </c>
      <c r="G166" t="n">
        <v>2.3</v>
      </c>
      <c r="H166" t="n">
        <v>0</v>
      </c>
      <c r="I166" t="n">
        <v>0</v>
      </c>
      <c r="J166" t="n">
        <v>0</v>
      </c>
      <c r="K166" t="n">
        <v>0</v>
      </c>
      <c r="L166" t="n">
        <v>0</v>
      </c>
      <c r="M166" t="n">
        <v>0</v>
      </c>
      <c r="N166" t="n">
        <v>0</v>
      </c>
      <c r="O166" t="n">
        <v>0</v>
      </c>
      <c r="P166" t="n">
        <v>0</v>
      </c>
      <c r="Q166" t="n">
        <v>0</v>
      </c>
      <c r="R166" s="2" t="inlineStr"/>
    </row>
    <row r="167" ht="15" customHeight="1">
      <c r="A167" t="inlineStr">
        <is>
          <t>A 20299-2023</t>
        </is>
      </c>
      <c r="B167" s="1" t="n">
        <v>45056</v>
      </c>
      <c r="C167" s="1" t="n">
        <v>45891</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28131-2024</t>
        </is>
      </c>
      <c r="B168" s="1" t="n">
        <v>45476.68435185185</v>
      </c>
      <c r="C168" s="1" t="n">
        <v>45891</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28132-2024</t>
        </is>
      </c>
      <c r="B169" s="1" t="n">
        <v>45476.68616898148</v>
      </c>
      <c r="C169" s="1" t="n">
        <v>45891</v>
      </c>
      <c r="D169" t="inlineStr">
        <is>
          <t>DALARNAS LÄN</t>
        </is>
      </c>
      <c r="E169" t="inlineStr">
        <is>
          <t>MORA</t>
        </is>
      </c>
      <c r="G169" t="n">
        <v>0.2</v>
      </c>
      <c r="H169" t="n">
        <v>0</v>
      </c>
      <c r="I169" t="n">
        <v>0</v>
      </c>
      <c r="J169" t="n">
        <v>0</v>
      </c>
      <c r="K169" t="n">
        <v>0</v>
      </c>
      <c r="L169" t="n">
        <v>0</v>
      </c>
      <c r="M169" t="n">
        <v>0</v>
      </c>
      <c r="N169" t="n">
        <v>0</v>
      </c>
      <c r="O169" t="n">
        <v>0</v>
      </c>
      <c r="P169" t="n">
        <v>0</v>
      </c>
      <c r="Q169" t="n">
        <v>0</v>
      </c>
      <c r="R169" s="2" t="inlineStr"/>
    </row>
    <row r="170" ht="15" customHeight="1">
      <c r="A170" t="inlineStr">
        <is>
          <t>A 37971-2024</t>
        </is>
      </c>
      <c r="B170" s="1" t="n">
        <v>45544</v>
      </c>
      <c r="C170" s="1" t="n">
        <v>45891</v>
      </c>
      <c r="D170" t="inlineStr">
        <is>
          <t>DALARNAS LÄN</t>
        </is>
      </c>
      <c r="E170" t="inlineStr">
        <is>
          <t>MORA</t>
        </is>
      </c>
      <c r="G170" t="n">
        <v>2.3</v>
      </c>
      <c r="H170" t="n">
        <v>0</v>
      </c>
      <c r="I170" t="n">
        <v>0</v>
      </c>
      <c r="J170" t="n">
        <v>0</v>
      </c>
      <c r="K170" t="n">
        <v>0</v>
      </c>
      <c r="L170" t="n">
        <v>0</v>
      </c>
      <c r="M170" t="n">
        <v>0</v>
      </c>
      <c r="N170" t="n">
        <v>0</v>
      </c>
      <c r="O170" t="n">
        <v>0</v>
      </c>
      <c r="P170" t="n">
        <v>0</v>
      </c>
      <c r="Q170" t="n">
        <v>0</v>
      </c>
      <c r="R170" s="2" t="inlineStr"/>
    </row>
    <row r="171" ht="15" customHeight="1">
      <c r="A171" t="inlineStr">
        <is>
          <t>A 57608-2021</t>
        </is>
      </c>
      <c r="B171" s="1" t="n">
        <v>44484</v>
      </c>
      <c r="C171" s="1" t="n">
        <v>45891</v>
      </c>
      <c r="D171" t="inlineStr">
        <is>
          <t>DALARNAS LÄN</t>
        </is>
      </c>
      <c r="E171" t="inlineStr">
        <is>
          <t>MORA</t>
        </is>
      </c>
      <c r="G171" t="n">
        <v>6.3</v>
      </c>
      <c r="H171" t="n">
        <v>0</v>
      </c>
      <c r="I171" t="n">
        <v>0</v>
      </c>
      <c r="J171" t="n">
        <v>0</v>
      </c>
      <c r="K171" t="n">
        <v>0</v>
      </c>
      <c r="L171" t="n">
        <v>0</v>
      </c>
      <c r="M171" t="n">
        <v>0</v>
      </c>
      <c r="N171" t="n">
        <v>0</v>
      </c>
      <c r="O171" t="n">
        <v>0</v>
      </c>
      <c r="P171" t="n">
        <v>0</v>
      </c>
      <c r="Q171" t="n">
        <v>0</v>
      </c>
      <c r="R171" s="2" t="inlineStr"/>
    </row>
    <row r="172" ht="15" customHeight="1">
      <c r="A172" t="inlineStr">
        <is>
          <t>A 18122-2025</t>
        </is>
      </c>
      <c r="B172" s="1" t="n">
        <v>45761.59221064814</v>
      </c>
      <c r="C172" s="1" t="n">
        <v>45891</v>
      </c>
      <c r="D172" t="inlineStr">
        <is>
          <t>DALARNAS LÄN</t>
        </is>
      </c>
      <c r="E172" t="inlineStr">
        <is>
          <t>MORA</t>
        </is>
      </c>
      <c r="F172" t="inlineStr">
        <is>
          <t>Bergvik skog öst AB</t>
        </is>
      </c>
      <c r="G172" t="n">
        <v>1.1</v>
      </c>
      <c r="H172" t="n">
        <v>0</v>
      </c>
      <c r="I172" t="n">
        <v>0</v>
      </c>
      <c r="J172" t="n">
        <v>0</v>
      </c>
      <c r="K172" t="n">
        <v>0</v>
      </c>
      <c r="L172" t="n">
        <v>0</v>
      </c>
      <c r="M172" t="n">
        <v>0</v>
      </c>
      <c r="N172" t="n">
        <v>0</v>
      </c>
      <c r="O172" t="n">
        <v>0</v>
      </c>
      <c r="P172" t="n">
        <v>0</v>
      </c>
      <c r="Q172" t="n">
        <v>0</v>
      </c>
      <c r="R172" s="2" t="inlineStr"/>
    </row>
    <row r="173" ht="15" customHeight="1">
      <c r="A173" t="inlineStr">
        <is>
          <t>A 23586-2023</t>
        </is>
      </c>
      <c r="B173" s="1" t="n">
        <v>45077</v>
      </c>
      <c r="C173" s="1" t="n">
        <v>45891</v>
      </c>
      <c r="D173" t="inlineStr">
        <is>
          <t>DALARNAS LÄN</t>
        </is>
      </c>
      <c r="E173" t="inlineStr">
        <is>
          <t>MORA</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46923-2024</t>
        </is>
      </c>
      <c r="B174" s="1" t="n">
        <v>45584.42887731481</v>
      </c>
      <c r="C174" s="1" t="n">
        <v>45891</v>
      </c>
      <c r="D174" t="inlineStr">
        <is>
          <t>DALARNAS LÄN</t>
        </is>
      </c>
      <c r="E174" t="inlineStr">
        <is>
          <t>MORA</t>
        </is>
      </c>
      <c r="G174" t="n">
        <v>3.4</v>
      </c>
      <c r="H174" t="n">
        <v>0</v>
      </c>
      <c r="I174" t="n">
        <v>0</v>
      </c>
      <c r="J174" t="n">
        <v>0</v>
      </c>
      <c r="K174" t="n">
        <v>0</v>
      </c>
      <c r="L174" t="n">
        <v>0</v>
      </c>
      <c r="M174" t="n">
        <v>0</v>
      </c>
      <c r="N174" t="n">
        <v>0</v>
      </c>
      <c r="O174" t="n">
        <v>0</v>
      </c>
      <c r="P174" t="n">
        <v>0</v>
      </c>
      <c r="Q174" t="n">
        <v>0</v>
      </c>
      <c r="R174" s="2" t="inlineStr"/>
    </row>
    <row r="175" ht="15" customHeight="1">
      <c r="A175" t="inlineStr">
        <is>
          <t>A 13262-2022</t>
        </is>
      </c>
      <c r="B175" s="1" t="n">
        <v>44644.70184027778</v>
      </c>
      <c r="C175" s="1" t="n">
        <v>45891</v>
      </c>
      <c r="D175" t="inlineStr">
        <is>
          <t>DALARNAS LÄN</t>
        </is>
      </c>
      <c r="E175" t="inlineStr">
        <is>
          <t>MORA</t>
        </is>
      </c>
      <c r="G175" t="n">
        <v>0.8</v>
      </c>
      <c r="H175" t="n">
        <v>0</v>
      </c>
      <c r="I175" t="n">
        <v>0</v>
      </c>
      <c r="J175" t="n">
        <v>0</v>
      </c>
      <c r="K175" t="n">
        <v>0</v>
      </c>
      <c r="L175" t="n">
        <v>0</v>
      </c>
      <c r="M175" t="n">
        <v>0</v>
      </c>
      <c r="N175" t="n">
        <v>0</v>
      </c>
      <c r="O175" t="n">
        <v>0</v>
      </c>
      <c r="P175" t="n">
        <v>0</v>
      </c>
      <c r="Q175" t="n">
        <v>0</v>
      </c>
      <c r="R175" s="2" t="inlineStr"/>
    </row>
    <row r="176" ht="15" customHeight="1">
      <c r="A176" t="inlineStr">
        <is>
          <t>A 14842-2024</t>
        </is>
      </c>
      <c r="B176" s="1" t="n">
        <v>45397</v>
      </c>
      <c r="C176" s="1" t="n">
        <v>45891</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5644-2024</t>
        </is>
      </c>
      <c r="B177" s="1" t="n">
        <v>45334</v>
      </c>
      <c r="C177" s="1" t="n">
        <v>45891</v>
      </c>
      <c r="D177" t="inlineStr">
        <is>
          <t>DALARNAS LÄN</t>
        </is>
      </c>
      <c r="E177" t="inlineStr">
        <is>
          <t>MORA</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47036-2023</t>
        </is>
      </c>
      <c r="B178" s="1" t="n">
        <v>45196</v>
      </c>
      <c r="C178" s="1" t="n">
        <v>45891</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1897-2023</t>
        </is>
      </c>
      <c r="B179" s="1" t="n">
        <v>44937</v>
      </c>
      <c r="C179" s="1" t="n">
        <v>45891</v>
      </c>
      <c r="D179" t="inlineStr">
        <is>
          <t>DALARNAS LÄN</t>
        </is>
      </c>
      <c r="E179" t="inlineStr">
        <is>
          <t>MORA</t>
        </is>
      </c>
      <c r="G179" t="n">
        <v>0.8</v>
      </c>
      <c r="H179" t="n">
        <v>0</v>
      </c>
      <c r="I179" t="n">
        <v>0</v>
      </c>
      <c r="J179" t="n">
        <v>0</v>
      </c>
      <c r="K179" t="n">
        <v>0</v>
      </c>
      <c r="L179" t="n">
        <v>0</v>
      </c>
      <c r="M179" t="n">
        <v>0</v>
      </c>
      <c r="N179" t="n">
        <v>0</v>
      </c>
      <c r="O179" t="n">
        <v>0</v>
      </c>
      <c r="P179" t="n">
        <v>0</v>
      </c>
      <c r="Q179" t="n">
        <v>0</v>
      </c>
      <c r="R179" s="2" t="inlineStr"/>
    </row>
    <row r="180" ht="15" customHeight="1">
      <c r="A180" t="inlineStr">
        <is>
          <t>A 20549-2025</t>
        </is>
      </c>
      <c r="B180" s="1" t="n">
        <v>45775.63459490741</v>
      </c>
      <c r="C180" s="1" t="n">
        <v>45891</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19193-2025</t>
        </is>
      </c>
      <c r="B181" s="1" t="n">
        <v>45769.42203703704</v>
      </c>
      <c r="C181" s="1" t="n">
        <v>45891</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17145-2024</t>
        </is>
      </c>
      <c r="B182" s="1" t="n">
        <v>45412</v>
      </c>
      <c r="C182" s="1" t="n">
        <v>45891</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51780-2023</t>
        </is>
      </c>
      <c r="B183" s="1" t="n">
        <v>45222</v>
      </c>
      <c r="C183" s="1" t="n">
        <v>45891</v>
      </c>
      <c r="D183" t="inlineStr">
        <is>
          <t>DALARNAS LÄN</t>
        </is>
      </c>
      <c r="E183" t="inlineStr">
        <is>
          <t>MORA</t>
        </is>
      </c>
      <c r="G183" t="n">
        <v>9.9</v>
      </c>
      <c r="H183" t="n">
        <v>0</v>
      </c>
      <c r="I183" t="n">
        <v>0</v>
      </c>
      <c r="J183" t="n">
        <v>0</v>
      </c>
      <c r="K183" t="n">
        <v>0</v>
      </c>
      <c r="L183" t="n">
        <v>0</v>
      </c>
      <c r="M183" t="n">
        <v>0</v>
      </c>
      <c r="N183" t="n">
        <v>0</v>
      </c>
      <c r="O183" t="n">
        <v>0</v>
      </c>
      <c r="P183" t="n">
        <v>0</v>
      </c>
      <c r="Q183" t="n">
        <v>0</v>
      </c>
      <c r="R183" s="2" t="inlineStr"/>
    </row>
    <row r="184" ht="15" customHeight="1">
      <c r="A184" t="inlineStr">
        <is>
          <t>A 46188-2022</t>
        </is>
      </c>
      <c r="B184" s="1" t="n">
        <v>44847.518125</v>
      </c>
      <c r="C184" s="1" t="n">
        <v>45891</v>
      </c>
      <c r="D184" t="inlineStr">
        <is>
          <t>DALARNAS LÄN</t>
        </is>
      </c>
      <c r="E184" t="inlineStr">
        <is>
          <t>MORA</t>
        </is>
      </c>
      <c r="G184" t="n">
        <v>1.8</v>
      </c>
      <c r="H184" t="n">
        <v>0</v>
      </c>
      <c r="I184" t="n">
        <v>0</v>
      </c>
      <c r="J184" t="n">
        <v>0</v>
      </c>
      <c r="K184" t="n">
        <v>0</v>
      </c>
      <c r="L184" t="n">
        <v>0</v>
      </c>
      <c r="M184" t="n">
        <v>0</v>
      </c>
      <c r="N184" t="n">
        <v>0</v>
      </c>
      <c r="O184" t="n">
        <v>0</v>
      </c>
      <c r="P184" t="n">
        <v>0</v>
      </c>
      <c r="Q184" t="n">
        <v>0</v>
      </c>
      <c r="R184" s="2" t="inlineStr"/>
    </row>
    <row r="185" ht="15" customHeight="1">
      <c r="A185" t="inlineStr">
        <is>
          <t>A 54257-2023</t>
        </is>
      </c>
      <c r="B185" s="1" t="n">
        <v>45232.64195601852</v>
      </c>
      <c r="C185" s="1" t="n">
        <v>45891</v>
      </c>
      <c r="D185" t="inlineStr">
        <is>
          <t>DALARNAS LÄN</t>
        </is>
      </c>
      <c r="E185" t="inlineStr">
        <is>
          <t>MORA</t>
        </is>
      </c>
      <c r="G185" t="n">
        <v>4</v>
      </c>
      <c r="H185" t="n">
        <v>0</v>
      </c>
      <c r="I185" t="n">
        <v>0</v>
      </c>
      <c r="J185" t="n">
        <v>0</v>
      </c>
      <c r="K185" t="n">
        <v>0</v>
      </c>
      <c r="L185" t="n">
        <v>0</v>
      </c>
      <c r="M185" t="n">
        <v>0</v>
      </c>
      <c r="N185" t="n">
        <v>0</v>
      </c>
      <c r="O185" t="n">
        <v>0</v>
      </c>
      <c r="P185" t="n">
        <v>0</v>
      </c>
      <c r="Q185" t="n">
        <v>0</v>
      </c>
      <c r="R185" s="2" t="inlineStr"/>
    </row>
    <row r="186" ht="15" customHeight="1">
      <c r="A186" t="inlineStr">
        <is>
          <t>A 37385-2022</t>
        </is>
      </c>
      <c r="B186" s="1" t="n">
        <v>44806</v>
      </c>
      <c r="C186" s="1" t="n">
        <v>45891</v>
      </c>
      <c r="D186" t="inlineStr">
        <is>
          <t>DALARNAS LÄN</t>
        </is>
      </c>
      <c r="E186" t="inlineStr">
        <is>
          <t>MORA</t>
        </is>
      </c>
      <c r="G186" t="n">
        <v>2.2</v>
      </c>
      <c r="H186" t="n">
        <v>0</v>
      </c>
      <c r="I186" t="n">
        <v>0</v>
      </c>
      <c r="J186" t="n">
        <v>0</v>
      </c>
      <c r="K186" t="n">
        <v>0</v>
      </c>
      <c r="L186" t="n">
        <v>0</v>
      </c>
      <c r="M186" t="n">
        <v>0</v>
      </c>
      <c r="N186" t="n">
        <v>0</v>
      </c>
      <c r="O186" t="n">
        <v>0</v>
      </c>
      <c r="P186" t="n">
        <v>0</v>
      </c>
      <c r="Q186" t="n">
        <v>0</v>
      </c>
      <c r="R186" s="2" t="inlineStr"/>
    </row>
    <row r="187" ht="15" customHeight="1">
      <c r="A187" t="inlineStr">
        <is>
          <t>A 19814-2025</t>
        </is>
      </c>
      <c r="B187" s="1" t="n">
        <v>45771.45686342593</v>
      </c>
      <c r="C187" s="1" t="n">
        <v>45891</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17516-2024</t>
        </is>
      </c>
      <c r="B188" s="1" t="n">
        <v>45415.58502314815</v>
      </c>
      <c r="C188" s="1" t="n">
        <v>45891</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61217-2023</t>
        </is>
      </c>
      <c r="B189" s="1" t="n">
        <v>45264.43802083333</v>
      </c>
      <c r="C189" s="1" t="n">
        <v>45891</v>
      </c>
      <c r="D189" t="inlineStr">
        <is>
          <t>DALARNAS LÄN</t>
        </is>
      </c>
      <c r="E189" t="inlineStr">
        <is>
          <t>MORA</t>
        </is>
      </c>
      <c r="F189" t="inlineStr">
        <is>
          <t>Allmännings- och besparingsskogar</t>
        </is>
      </c>
      <c r="G189" t="n">
        <v>2</v>
      </c>
      <c r="H189" t="n">
        <v>0</v>
      </c>
      <c r="I189" t="n">
        <v>0</v>
      </c>
      <c r="J189" t="n">
        <v>0</v>
      </c>
      <c r="K189" t="n">
        <v>0</v>
      </c>
      <c r="L189" t="n">
        <v>0</v>
      </c>
      <c r="M189" t="n">
        <v>0</v>
      </c>
      <c r="N189" t="n">
        <v>0</v>
      </c>
      <c r="O189" t="n">
        <v>0</v>
      </c>
      <c r="P189" t="n">
        <v>0</v>
      </c>
      <c r="Q189" t="n">
        <v>0</v>
      </c>
      <c r="R189" s="2" t="inlineStr"/>
    </row>
    <row r="190" ht="15" customHeight="1">
      <c r="A190" t="inlineStr">
        <is>
          <t>A 61218-2023</t>
        </is>
      </c>
      <c r="B190" s="1" t="n">
        <v>45264</v>
      </c>
      <c r="C190" s="1" t="n">
        <v>45891</v>
      </c>
      <c r="D190" t="inlineStr">
        <is>
          <t>DALARNAS LÄN</t>
        </is>
      </c>
      <c r="E190" t="inlineStr">
        <is>
          <t>MORA</t>
        </is>
      </c>
      <c r="F190" t="inlineStr">
        <is>
          <t>Allmännings- och besparingsskogar</t>
        </is>
      </c>
      <c r="G190" t="n">
        <v>2.6</v>
      </c>
      <c r="H190" t="n">
        <v>0</v>
      </c>
      <c r="I190" t="n">
        <v>0</v>
      </c>
      <c r="J190" t="n">
        <v>0</v>
      </c>
      <c r="K190" t="n">
        <v>0</v>
      </c>
      <c r="L190" t="n">
        <v>0</v>
      </c>
      <c r="M190" t="n">
        <v>0</v>
      </c>
      <c r="N190" t="n">
        <v>0</v>
      </c>
      <c r="O190" t="n">
        <v>0</v>
      </c>
      <c r="P190" t="n">
        <v>0</v>
      </c>
      <c r="Q190" t="n">
        <v>0</v>
      </c>
      <c r="R190" s="2" t="inlineStr"/>
    </row>
    <row r="191" ht="15" customHeight="1">
      <c r="A191" t="inlineStr">
        <is>
          <t>A 43641-2022</t>
        </is>
      </c>
      <c r="B191" s="1" t="n">
        <v>44837</v>
      </c>
      <c r="C191" s="1" t="n">
        <v>45891</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25749-2023</t>
        </is>
      </c>
      <c r="B192" s="1" t="n">
        <v>45090</v>
      </c>
      <c r="C192" s="1" t="n">
        <v>45891</v>
      </c>
      <c r="D192" t="inlineStr">
        <is>
          <t>DALARNAS LÄN</t>
        </is>
      </c>
      <c r="E192" t="inlineStr">
        <is>
          <t>MORA</t>
        </is>
      </c>
      <c r="G192" t="n">
        <v>2.4</v>
      </c>
      <c r="H192" t="n">
        <v>0</v>
      </c>
      <c r="I192" t="n">
        <v>0</v>
      </c>
      <c r="J192" t="n">
        <v>0</v>
      </c>
      <c r="K192" t="n">
        <v>0</v>
      </c>
      <c r="L192" t="n">
        <v>0</v>
      </c>
      <c r="M192" t="n">
        <v>0</v>
      </c>
      <c r="N192" t="n">
        <v>0</v>
      </c>
      <c r="O192" t="n">
        <v>0</v>
      </c>
      <c r="P192" t="n">
        <v>0</v>
      </c>
      <c r="Q192" t="n">
        <v>0</v>
      </c>
      <c r="R192" s="2" t="inlineStr"/>
    </row>
    <row r="193" ht="15" customHeight="1">
      <c r="A193" t="inlineStr">
        <is>
          <t>A 35363-2024</t>
        </is>
      </c>
      <c r="B193" s="1" t="n">
        <v>45531.34050925926</v>
      </c>
      <c r="C193" s="1" t="n">
        <v>45891</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8100-2024</t>
        </is>
      </c>
      <c r="B194" s="1" t="n">
        <v>45351.46583333334</v>
      </c>
      <c r="C194" s="1" t="n">
        <v>45891</v>
      </c>
      <c r="D194" t="inlineStr">
        <is>
          <t>DALARNAS LÄN</t>
        </is>
      </c>
      <c r="E194" t="inlineStr">
        <is>
          <t>MORA</t>
        </is>
      </c>
      <c r="G194" t="n">
        <v>3.2</v>
      </c>
      <c r="H194" t="n">
        <v>0</v>
      </c>
      <c r="I194" t="n">
        <v>0</v>
      </c>
      <c r="J194" t="n">
        <v>0</v>
      </c>
      <c r="K194" t="n">
        <v>0</v>
      </c>
      <c r="L194" t="n">
        <v>0</v>
      </c>
      <c r="M194" t="n">
        <v>0</v>
      </c>
      <c r="N194" t="n">
        <v>0</v>
      </c>
      <c r="O194" t="n">
        <v>0</v>
      </c>
      <c r="P194" t="n">
        <v>0</v>
      </c>
      <c r="Q194" t="n">
        <v>0</v>
      </c>
      <c r="R194" s="2" t="inlineStr"/>
    </row>
    <row r="195" ht="15" customHeight="1">
      <c r="A195" t="inlineStr">
        <is>
          <t>A 53026-2023</t>
        </is>
      </c>
      <c r="B195" s="1" t="n">
        <v>45226.6987037037</v>
      </c>
      <c r="C195" s="1" t="n">
        <v>45891</v>
      </c>
      <c r="D195" t="inlineStr">
        <is>
          <t>DALARNAS LÄN</t>
        </is>
      </c>
      <c r="E195" t="inlineStr">
        <is>
          <t>MORA</t>
        </is>
      </c>
      <c r="F195" t="inlineStr">
        <is>
          <t>Bergvik skog väst AB</t>
        </is>
      </c>
      <c r="G195" t="n">
        <v>5.3</v>
      </c>
      <c r="H195" t="n">
        <v>0</v>
      </c>
      <c r="I195" t="n">
        <v>0</v>
      </c>
      <c r="J195" t="n">
        <v>0</v>
      </c>
      <c r="K195" t="n">
        <v>0</v>
      </c>
      <c r="L195" t="n">
        <v>0</v>
      </c>
      <c r="M195" t="n">
        <v>0</v>
      </c>
      <c r="N195" t="n">
        <v>0</v>
      </c>
      <c r="O195" t="n">
        <v>0</v>
      </c>
      <c r="P195" t="n">
        <v>0</v>
      </c>
      <c r="Q195" t="n">
        <v>0</v>
      </c>
      <c r="R195" s="2" t="inlineStr"/>
    </row>
    <row r="196" ht="15" customHeight="1">
      <c r="A196" t="inlineStr">
        <is>
          <t>A 58972-2023</t>
        </is>
      </c>
      <c r="B196" s="1" t="n">
        <v>45252</v>
      </c>
      <c r="C196" s="1" t="n">
        <v>45891</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58171-2024</t>
        </is>
      </c>
      <c r="B197" s="1" t="n">
        <v>45632.46545138889</v>
      </c>
      <c r="C197" s="1" t="n">
        <v>45891</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24772-2024</t>
        </is>
      </c>
      <c r="B198" s="1" t="n">
        <v>45460.70204861111</v>
      </c>
      <c r="C198" s="1" t="n">
        <v>45891</v>
      </c>
      <c r="D198" t="inlineStr">
        <is>
          <t>DALARNAS LÄN</t>
        </is>
      </c>
      <c r="E198" t="inlineStr">
        <is>
          <t>MORA</t>
        </is>
      </c>
      <c r="G198" t="n">
        <v>0.9</v>
      </c>
      <c r="H198" t="n">
        <v>0</v>
      </c>
      <c r="I198" t="n">
        <v>0</v>
      </c>
      <c r="J198" t="n">
        <v>0</v>
      </c>
      <c r="K198" t="n">
        <v>0</v>
      </c>
      <c r="L198" t="n">
        <v>0</v>
      </c>
      <c r="M198" t="n">
        <v>0</v>
      </c>
      <c r="N198" t="n">
        <v>0</v>
      </c>
      <c r="O198" t="n">
        <v>0</v>
      </c>
      <c r="P198" t="n">
        <v>0</v>
      </c>
      <c r="Q198" t="n">
        <v>0</v>
      </c>
      <c r="R198" s="2" t="inlineStr"/>
    </row>
    <row r="199" ht="15" customHeight="1">
      <c r="A199" t="inlineStr">
        <is>
          <t>A 33513-2024</t>
        </is>
      </c>
      <c r="B199" s="1" t="n">
        <v>45519.644375</v>
      </c>
      <c r="C199" s="1" t="n">
        <v>45891</v>
      </c>
      <c r="D199" t="inlineStr">
        <is>
          <t>DALARNAS LÄN</t>
        </is>
      </c>
      <c r="E199" t="inlineStr">
        <is>
          <t>MORA</t>
        </is>
      </c>
      <c r="G199" t="n">
        <v>5.9</v>
      </c>
      <c r="H199" t="n">
        <v>0</v>
      </c>
      <c r="I199" t="n">
        <v>0</v>
      </c>
      <c r="J199" t="n">
        <v>0</v>
      </c>
      <c r="K199" t="n">
        <v>0</v>
      </c>
      <c r="L199" t="n">
        <v>0</v>
      </c>
      <c r="M199" t="n">
        <v>0</v>
      </c>
      <c r="N199" t="n">
        <v>0</v>
      </c>
      <c r="O199" t="n">
        <v>0</v>
      </c>
      <c r="P199" t="n">
        <v>0</v>
      </c>
      <c r="Q199" t="n">
        <v>0</v>
      </c>
      <c r="R199" s="2" t="inlineStr"/>
    </row>
    <row r="200" ht="15" customHeight="1">
      <c r="A200" t="inlineStr">
        <is>
          <t>A 39856-2024</t>
        </is>
      </c>
      <c r="B200" s="1" t="n">
        <v>45553.44084490741</v>
      </c>
      <c r="C200" s="1" t="n">
        <v>45891</v>
      </c>
      <c r="D200" t="inlineStr">
        <is>
          <t>DALARNAS LÄN</t>
        </is>
      </c>
      <c r="E200" t="inlineStr">
        <is>
          <t>MORA</t>
        </is>
      </c>
      <c r="G200" t="n">
        <v>4.8</v>
      </c>
      <c r="H200" t="n">
        <v>0</v>
      </c>
      <c r="I200" t="n">
        <v>0</v>
      </c>
      <c r="J200" t="n">
        <v>0</v>
      </c>
      <c r="K200" t="n">
        <v>0</v>
      </c>
      <c r="L200" t="n">
        <v>0</v>
      </c>
      <c r="M200" t="n">
        <v>0</v>
      </c>
      <c r="N200" t="n">
        <v>0</v>
      </c>
      <c r="O200" t="n">
        <v>0</v>
      </c>
      <c r="P200" t="n">
        <v>0</v>
      </c>
      <c r="Q200" t="n">
        <v>0</v>
      </c>
      <c r="R200" s="2" t="inlineStr"/>
    </row>
    <row r="201" ht="15" customHeight="1">
      <c r="A201" t="inlineStr">
        <is>
          <t>A 9855-2024</t>
        </is>
      </c>
      <c r="B201" s="1" t="n">
        <v>45363.40368055556</v>
      </c>
      <c r="C201" s="1" t="n">
        <v>45891</v>
      </c>
      <c r="D201" t="inlineStr">
        <is>
          <t>DALARNAS LÄN</t>
        </is>
      </c>
      <c r="E201" t="inlineStr">
        <is>
          <t>MORA</t>
        </is>
      </c>
      <c r="G201" t="n">
        <v>8.6</v>
      </c>
      <c r="H201" t="n">
        <v>0</v>
      </c>
      <c r="I201" t="n">
        <v>0</v>
      </c>
      <c r="J201" t="n">
        <v>0</v>
      </c>
      <c r="K201" t="n">
        <v>0</v>
      </c>
      <c r="L201" t="n">
        <v>0</v>
      </c>
      <c r="M201" t="n">
        <v>0</v>
      </c>
      <c r="N201" t="n">
        <v>0</v>
      </c>
      <c r="O201" t="n">
        <v>0</v>
      </c>
      <c r="P201" t="n">
        <v>0</v>
      </c>
      <c r="Q201" t="n">
        <v>0</v>
      </c>
      <c r="R201" s="2" t="inlineStr"/>
    </row>
    <row r="202" ht="15" customHeight="1">
      <c r="A202" t="inlineStr">
        <is>
          <t>A 22732-2024</t>
        </is>
      </c>
      <c r="B202" s="1" t="n">
        <v>45448.38677083333</v>
      </c>
      <c r="C202" s="1" t="n">
        <v>45891</v>
      </c>
      <c r="D202" t="inlineStr">
        <is>
          <t>DALARNAS LÄN</t>
        </is>
      </c>
      <c r="E202" t="inlineStr">
        <is>
          <t>MORA</t>
        </is>
      </c>
      <c r="G202" t="n">
        <v>3.6</v>
      </c>
      <c r="H202" t="n">
        <v>0</v>
      </c>
      <c r="I202" t="n">
        <v>0</v>
      </c>
      <c r="J202" t="n">
        <v>0</v>
      </c>
      <c r="K202" t="n">
        <v>0</v>
      </c>
      <c r="L202" t="n">
        <v>0</v>
      </c>
      <c r="M202" t="n">
        <v>0</v>
      </c>
      <c r="N202" t="n">
        <v>0</v>
      </c>
      <c r="O202" t="n">
        <v>0</v>
      </c>
      <c r="P202" t="n">
        <v>0</v>
      </c>
      <c r="Q202" t="n">
        <v>0</v>
      </c>
      <c r="R202" s="2" t="inlineStr"/>
    </row>
    <row r="203" ht="15" customHeight="1">
      <c r="A203" t="inlineStr">
        <is>
          <t>A 34923-2022</t>
        </is>
      </c>
      <c r="B203" s="1" t="n">
        <v>44796</v>
      </c>
      <c r="C203" s="1" t="n">
        <v>45891</v>
      </c>
      <c r="D203" t="inlineStr">
        <is>
          <t>DALARNAS LÄN</t>
        </is>
      </c>
      <c r="E203" t="inlineStr">
        <is>
          <t>MORA</t>
        </is>
      </c>
      <c r="G203" t="n">
        <v>5</v>
      </c>
      <c r="H203" t="n">
        <v>0</v>
      </c>
      <c r="I203" t="n">
        <v>0</v>
      </c>
      <c r="J203" t="n">
        <v>0</v>
      </c>
      <c r="K203" t="n">
        <v>0</v>
      </c>
      <c r="L203" t="n">
        <v>0</v>
      </c>
      <c r="M203" t="n">
        <v>0</v>
      </c>
      <c r="N203" t="n">
        <v>0</v>
      </c>
      <c r="O203" t="n">
        <v>0</v>
      </c>
      <c r="P203" t="n">
        <v>0</v>
      </c>
      <c r="Q203" t="n">
        <v>0</v>
      </c>
      <c r="R203" s="2" t="inlineStr"/>
    </row>
    <row r="204" ht="15" customHeight="1">
      <c r="A204" t="inlineStr">
        <is>
          <t>A 59174-2023</t>
        </is>
      </c>
      <c r="B204" s="1" t="n">
        <v>45253.43202546296</v>
      </c>
      <c r="C204" s="1" t="n">
        <v>45891</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36184-2021</t>
        </is>
      </c>
      <c r="B205" s="1" t="n">
        <v>44389</v>
      </c>
      <c r="C205" s="1" t="n">
        <v>45891</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59182-2023</t>
        </is>
      </c>
      <c r="B206" s="1" t="n">
        <v>45253</v>
      </c>
      <c r="C206" s="1" t="n">
        <v>45891</v>
      </c>
      <c r="D206" t="inlineStr">
        <is>
          <t>DALARNAS LÄN</t>
        </is>
      </c>
      <c r="E206" t="inlineStr">
        <is>
          <t>MORA</t>
        </is>
      </c>
      <c r="G206" t="n">
        <v>3.3</v>
      </c>
      <c r="H206" t="n">
        <v>0</v>
      </c>
      <c r="I206" t="n">
        <v>0</v>
      </c>
      <c r="J206" t="n">
        <v>0</v>
      </c>
      <c r="K206" t="n">
        <v>0</v>
      </c>
      <c r="L206" t="n">
        <v>0</v>
      </c>
      <c r="M206" t="n">
        <v>0</v>
      </c>
      <c r="N206" t="n">
        <v>0</v>
      </c>
      <c r="O206" t="n">
        <v>0</v>
      </c>
      <c r="P206" t="n">
        <v>0</v>
      </c>
      <c r="Q206" t="n">
        <v>0</v>
      </c>
      <c r="R206" s="2" t="inlineStr"/>
    </row>
    <row r="207" ht="15" customHeight="1">
      <c r="A207" t="inlineStr">
        <is>
          <t>A 501-2024</t>
        </is>
      </c>
      <c r="B207" s="1" t="n">
        <v>45299</v>
      </c>
      <c r="C207" s="1" t="n">
        <v>45891</v>
      </c>
      <c r="D207" t="inlineStr">
        <is>
          <t>DALARNAS LÄN</t>
        </is>
      </c>
      <c r="E207" t="inlineStr">
        <is>
          <t>MORA</t>
        </is>
      </c>
      <c r="G207" t="n">
        <v>2.5</v>
      </c>
      <c r="H207" t="n">
        <v>0</v>
      </c>
      <c r="I207" t="n">
        <v>0</v>
      </c>
      <c r="J207" t="n">
        <v>0</v>
      </c>
      <c r="K207" t="n">
        <v>0</v>
      </c>
      <c r="L207" t="n">
        <v>0</v>
      </c>
      <c r="M207" t="n">
        <v>0</v>
      </c>
      <c r="N207" t="n">
        <v>0</v>
      </c>
      <c r="O207" t="n">
        <v>0</v>
      </c>
      <c r="P207" t="n">
        <v>0</v>
      </c>
      <c r="Q207" t="n">
        <v>0</v>
      </c>
      <c r="R207" s="2" t="inlineStr"/>
    </row>
    <row r="208" ht="15" customHeight="1">
      <c r="A208" t="inlineStr">
        <is>
          <t>A 64327-2023</t>
        </is>
      </c>
      <c r="B208" s="1" t="n">
        <v>45280</v>
      </c>
      <c r="C208" s="1" t="n">
        <v>45891</v>
      </c>
      <c r="D208" t="inlineStr">
        <is>
          <t>DALARNAS LÄN</t>
        </is>
      </c>
      <c r="E208" t="inlineStr">
        <is>
          <t>MORA</t>
        </is>
      </c>
      <c r="G208" t="n">
        <v>0.8</v>
      </c>
      <c r="H208" t="n">
        <v>0</v>
      </c>
      <c r="I208" t="n">
        <v>0</v>
      </c>
      <c r="J208" t="n">
        <v>0</v>
      </c>
      <c r="K208" t="n">
        <v>0</v>
      </c>
      <c r="L208" t="n">
        <v>0</v>
      </c>
      <c r="M208" t="n">
        <v>0</v>
      </c>
      <c r="N208" t="n">
        <v>0</v>
      </c>
      <c r="O208" t="n">
        <v>0</v>
      </c>
      <c r="P208" t="n">
        <v>0</v>
      </c>
      <c r="Q208" t="n">
        <v>0</v>
      </c>
      <c r="R208" s="2" t="inlineStr"/>
    </row>
    <row r="209" ht="15" customHeight="1">
      <c r="A209" t="inlineStr">
        <is>
          <t>A 47784-2024</t>
        </is>
      </c>
      <c r="B209" s="1" t="n">
        <v>45588.59290509259</v>
      </c>
      <c r="C209" s="1" t="n">
        <v>45891</v>
      </c>
      <c r="D209" t="inlineStr">
        <is>
          <t>DALARNAS LÄN</t>
        </is>
      </c>
      <c r="E209" t="inlineStr">
        <is>
          <t>MORA</t>
        </is>
      </c>
      <c r="G209" t="n">
        <v>15.3</v>
      </c>
      <c r="H209" t="n">
        <v>0</v>
      </c>
      <c r="I209" t="n">
        <v>0</v>
      </c>
      <c r="J209" t="n">
        <v>0</v>
      </c>
      <c r="K209" t="n">
        <v>0</v>
      </c>
      <c r="L209" t="n">
        <v>0</v>
      </c>
      <c r="M209" t="n">
        <v>0</v>
      </c>
      <c r="N209" t="n">
        <v>0</v>
      </c>
      <c r="O209" t="n">
        <v>0</v>
      </c>
      <c r="P209" t="n">
        <v>0</v>
      </c>
      <c r="Q209" t="n">
        <v>0</v>
      </c>
      <c r="R209" s="2" t="inlineStr"/>
    </row>
    <row r="210" ht="15" customHeight="1">
      <c r="A210" t="inlineStr">
        <is>
          <t>A 18202-2024</t>
        </is>
      </c>
      <c r="B210" s="1" t="n">
        <v>45420.68172453704</v>
      </c>
      <c r="C210" s="1" t="n">
        <v>45891</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17494-2025</t>
        </is>
      </c>
      <c r="B211" s="1" t="n">
        <v>45757.52033564815</v>
      </c>
      <c r="C211" s="1" t="n">
        <v>45891</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23057-2024</t>
        </is>
      </c>
      <c r="B212" s="1" t="n">
        <v>45450</v>
      </c>
      <c r="C212" s="1" t="n">
        <v>45891</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58958-2022</t>
        </is>
      </c>
      <c r="B213" s="1" t="n">
        <v>44903.6605324074</v>
      </c>
      <c r="C213" s="1" t="n">
        <v>45891</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12987-2024</t>
        </is>
      </c>
      <c r="B214" s="1" t="n">
        <v>45385.55375</v>
      </c>
      <c r="C214" s="1" t="n">
        <v>45891</v>
      </c>
      <c r="D214" t="inlineStr">
        <is>
          <t>DALARNAS LÄN</t>
        </is>
      </c>
      <c r="E214" t="inlineStr">
        <is>
          <t>MORA</t>
        </is>
      </c>
      <c r="G214" t="n">
        <v>1.3</v>
      </c>
      <c r="H214" t="n">
        <v>0</v>
      </c>
      <c r="I214" t="n">
        <v>0</v>
      </c>
      <c r="J214" t="n">
        <v>0</v>
      </c>
      <c r="K214" t="n">
        <v>0</v>
      </c>
      <c r="L214" t="n">
        <v>0</v>
      </c>
      <c r="M214" t="n">
        <v>0</v>
      </c>
      <c r="N214" t="n">
        <v>0</v>
      </c>
      <c r="O214" t="n">
        <v>0</v>
      </c>
      <c r="P214" t="n">
        <v>0</v>
      </c>
      <c r="Q214" t="n">
        <v>0</v>
      </c>
      <c r="R214" s="2" t="inlineStr"/>
    </row>
    <row r="215" ht="15" customHeight="1">
      <c r="A215" t="inlineStr">
        <is>
          <t>A 25494-2024</t>
        </is>
      </c>
      <c r="B215" s="1" t="n">
        <v>45463</v>
      </c>
      <c r="C215" s="1" t="n">
        <v>45891</v>
      </c>
      <c r="D215" t="inlineStr">
        <is>
          <t>DALARNAS LÄN</t>
        </is>
      </c>
      <c r="E215" t="inlineStr">
        <is>
          <t>MORA</t>
        </is>
      </c>
      <c r="G215" t="n">
        <v>4.9</v>
      </c>
      <c r="H215" t="n">
        <v>0</v>
      </c>
      <c r="I215" t="n">
        <v>0</v>
      </c>
      <c r="J215" t="n">
        <v>0</v>
      </c>
      <c r="K215" t="n">
        <v>0</v>
      </c>
      <c r="L215" t="n">
        <v>0</v>
      </c>
      <c r="M215" t="n">
        <v>0</v>
      </c>
      <c r="N215" t="n">
        <v>0</v>
      </c>
      <c r="O215" t="n">
        <v>0</v>
      </c>
      <c r="P215" t="n">
        <v>0</v>
      </c>
      <c r="Q215" t="n">
        <v>0</v>
      </c>
      <c r="R215" s="2" t="inlineStr"/>
    </row>
    <row r="216" ht="15" customHeight="1">
      <c r="A216" t="inlineStr">
        <is>
          <t>A 29188-2023</t>
        </is>
      </c>
      <c r="B216" s="1" t="n">
        <v>45105.54270833333</v>
      </c>
      <c r="C216" s="1" t="n">
        <v>45891</v>
      </c>
      <c r="D216" t="inlineStr">
        <is>
          <t>DALARNAS LÄN</t>
        </is>
      </c>
      <c r="E216" t="inlineStr">
        <is>
          <t>MORA</t>
        </is>
      </c>
      <c r="G216" t="n">
        <v>0.8</v>
      </c>
      <c r="H216" t="n">
        <v>0</v>
      </c>
      <c r="I216" t="n">
        <v>0</v>
      </c>
      <c r="J216" t="n">
        <v>0</v>
      </c>
      <c r="K216" t="n">
        <v>0</v>
      </c>
      <c r="L216" t="n">
        <v>0</v>
      </c>
      <c r="M216" t="n">
        <v>0</v>
      </c>
      <c r="N216" t="n">
        <v>0</v>
      </c>
      <c r="O216" t="n">
        <v>0</v>
      </c>
      <c r="P216" t="n">
        <v>0</v>
      </c>
      <c r="Q216" t="n">
        <v>0</v>
      </c>
      <c r="R216" s="2" t="inlineStr"/>
    </row>
    <row r="217" ht="15" customHeight="1">
      <c r="A217" t="inlineStr">
        <is>
          <t>A 49159-2023</t>
        </is>
      </c>
      <c r="B217" s="1" t="n">
        <v>45210</v>
      </c>
      <c r="C217" s="1" t="n">
        <v>45891</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442-2024</t>
        </is>
      </c>
      <c r="B218" s="1" t="n">
        <v>45296.60353009259</v>
      </c>
      <c r="C218" s="1" t="n">
        <v>45891</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15172-2025</t>
        </is>
      </c>
      <c r="B219" s="1" t="n">
        <v>45744.50722222222</v>
      </c>
      <c r="C219" s="1" t="n">
        <v>45891</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64099-2023</t>
        </is>
      </c>
      <c r="B220" s="1" t="n">
        <v>45279.46009259259</v>
      </c>
      <c r="C220" s="1" t="n">
        <v>45891</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21244-2024</t>
        </is>
      </c>
      <c r="B221" s="1" t="n">
        <v>45440.59936342593</v>
      </c>
      <c r="C221" s="1" t="n">
        <v>45891</v>
      </c>
      <c r="D221" t="inlineStr">
        <is>
          <t>DALARNAS LÄN</t>
        </is>
      </c>
      <c r="E221" t="inlineStr">
        <is>
          <t>MORA</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17278-2025</t>
        </is>
      </c>
      <c r="B222" s="1" t="n">
        <v>45756.56131944444</v>
      </c>
      <c r="C222" s="1" t="n">
        <v>45891</v>
      </c>
      <c r="D222" t="inlineStr">
        <is>
          <t>DALARNAS LÄN</t>
        </is>
      </c>
      <c r="E222" t="inlineStr">
        <is>
          <t>MORA</t>
        </is>
      </c>
      <c r="G222" t="n">
        <v>3</v>
      </c>
      <c r="H222" t="n">
        <v>0</v>
      </c>
      <c r="I222" t="n">
        <v>0</v>
      </c>
      <c r="J222" t="n">
        <v>0</v>
      </c>
      <c r="K222" t="n">
        <v>0</v>
      </c>
      <c r="L222" t="n">
        <v>0</v>
      </c>
      <c r="M222" t="n">
        <v>0</v>
      </c>
      <c r="N222" t="n">
        <v>0</v>
      </c>
      <c r="O222" t="n">
        <v>0</v>
      </c>
      <c r="P222" t="n">
        <v>0</v>
      </c>
      <c r="Q222" t="n">
        <v>0</v>
      </c>
      <c r="R222" s="2" t="inlineStr"/>
    </row>
    <row r="223" ht="15" customHeight="1">
      <c r="A223" t="inlineStr">
        <is>
          <t>A 33627-2024</t>
        </is>
      </c>
      <c r="B223" s="1" t="n">
        <v>45520</v>
      </c>
      <c r="C223" s="1" t="n">
        <v>45891</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18444-2024</t>
        </is>
      </c>
      <c r="B224" s="1" t="n">
        <v>45425.45568287037</v>
      </c>
      <c r="C224" s="1" t="n">
        <v>45891</v>
      </c>
      <c r="D224" t="inlineStr">
        <is>
          <t>DALARNAS LÄN</t>
        </is>
      </c>
      <c r="E224" t="inlineStr">
        <is>
          <t>MORA</t>
        </is>
      </c>
      <c r="G224" t="n">
        <v>5</v>
      </c>
      <c r="H224" t="n">
        <v>0</v>
      </c>
      <c r="I224" t="n">
        <v>0</v>
      </c>
      <c r="J224" t="n">
        <v>0</v>
      </c>
      <c r="K224" t="n">
        <v>0</v>
      </c>
      <c r="L224" t="n">
        <v>0</v>
      </c>
      <c r="M224" t="n">
        <v>0</v>
      </c>
      <c r="N224" t="n">
        <v>0</v>
      </c>
      <c r="O224" t="n">
        <v>0</v>
      </c>
      <c r="P224" t="n">
        <v>0</v>
      </c>
      <c r="Q224" t="n">
        <v>0</v>
      </c>
      <c r="R224" s="2" t="inlineStr"/>
    </row>
    <row r="225" ht="15" customHeight="1">
      <c r="A225" t="inlineStr">
        <is>
          <t>A 37471-2024</t>
        </is>
      </c>
      <c r="B225" s="1" t="n">
        <v>45540.85054398148</v>
      </c>
      <c r="C225" s="1" t="n">
        <v>45891</v>
      </c>
      <c r="D225" t="inlineStr">
        <is>
          <t>DALARNAS LÄN</t>
        </is>
      </c>
      <c r="E225" t="inlineStr">
        <is>
          <t>MORA</t>
        </is>
      </c>
      <c r="G225" t="n">
        <v>3.5</v>
      </c>
      <c r="H225" t="n">
        <v>0</v>
      </c>
      <c r="I225" t="n">
        <v>0</v>
      </c>
      <c r="J225" t="n">
        <v>0</v>
      </c>
      <c r="K225" t="n">
        <v>0</v>
      </c>
      <c r="L225" t="n">
        <v>0</v>
      </c>
      <c r="M225" t="n">
        <v>0</v>
      </c>
      <c r="N225" t="n">
        <v>0</v>
      </c>
      <c r="O225" t="n">
        <v>0</v>
      </c>
      <c r="P225" t="n">
        <v>0</v>
      </c>
      <c r="Q225" t="n">
        <v>0</v>
      </c>
      <c r="R225" s="2" t="inlineStr"/>
    </row>
    <row r="226" ht="15" customHeight="1">
      <c r="A226" t="inlineStr">
        <is>
          <t>A 33531-2024</t>
        </is>
      </c>
      <c r="B226" s="1" t="n">
        <v>45519.67503472222</v>
      </c>
      <c r="C226" s="1" t="n">
        <v>45891</v>
      </c>
      <c r="D226" t="inlineStr">
        <is>
          <t>DALARNAS LÄN</t>
        </is>
      </c>
      <c r="E226" t="inlineStr">
        <is>
          <t>MORA</t>
        </is>
      </c>
      <c r="G226" t="n">
        <v>14.8</v>
      </c>
      <c r="H226" t="n">
        <v>0</v>
      </c>
      <c r="I226" t="n">
        <v>0</v>
      </c>
      <c r="J226" t="n">
        <v>0</v>
      </c>
      <c r="K226" t="n">
        <v>0</v>
      </c>
      <c r="L226" t="n">
        <v>0</v>
      </c>
      <c r="M226" t="n">
        <v>0</v>
      </c>
      <c r="N226" t="n">
        <v>0</v>
      </c>
      <c r="O226" t="n">
        <v>0</v>
      </c>
      <c r="P226" t="n">
        <v>0</v>
      </c>
      <c r="Q226" t="n">
        <v>0</v>
      </c>
      <c r="R226" s="2" t="inlineStr"/>
    </row>
    <row r="227" ht="15" customHeight="1">
      <c r="A227" t="inlineStr">
        <is>
          <t>A 60674-2023</t>
        </is>
      </c>
      <c r="B227" s="1" t="n">
        <v>45260.46609953704</v>
      </c>
      <c r="C227" s="1" t="n">
        <v>45891</v>
      </c>
      <c r="D227" t="inlineStr">
        <is>
          <t>DALARNAS LÄN</t>
        </is>
      </c>
      <c r="E227" t="inlineStr">
        <is>
          <t>MORA</t>
        </is>
      </c>
      <c r="G227" t="n">
        <v>2.9</v>
      </c>
      <c r="H227" t="n">
        <v>0</v>
      </c>
      <c r="I227" t="n">
        <v>0</v>
      </c>
      <c r="J227" t="n">
        <v>0</v>
      </c>
      <c r="K227" t="n">
        <v>0</v>
      </c>
      <c r="L227" t="n">
        <v>0</v>
      </c>
      <c r="M227" t="n">
        <v>0</v>
      </c>
      <c r="N227" t="n">
        <v>0</v>
      </c>
      <c r="O227" t="n">
        <v>0</v>
      </c>
      <c r="P227" t="n">
        <v>0</v>
      </c>
      <c r="Q227" t="n">
        <v>0</v>
      </c>
      <c r="R227" s="2" t="inlineStr"/>
    </row>
    <row r="228" ht="15" customHeight="1">
      <c r="A228" t="inlineStr">
        <is>
          <t>A 61293-2022</t>
        </is>
      </c>
      <c r="B228" s="1" t="n">
        <v>44915.62751157407</v>
      </c>
      <c r="C228" s="1" t="n">
        <v>45891</v>
      </c>
      <c r="D228" t="inlineStr">
        <is>
          <t>DALARNAS LÄN</t>
        </is>
      </c>
      <c r="E228" t="inlineStr">
        <is>
          <t>MORA</t>
        </is>
      </c>
      <c r="G228" t="n">
        <v>0.3</v>
      </c>
      <c r="H228" t="n">
        <v>0</v>
      </c>
      <c r="I228" t="n">
        <v>0</v>
      </c>
      <c r="J228" t="n">
        <v>0</v>
      </c>
      <c r="K228" t="n">
        <v>0</v>
      </c>
      <c r="L228" t="n">
        <v>0</v>
      </c>
      <c r="M228" t="n">
        <v>0</v>
      </c>
      <c r="N228" t="n">
        <v>0</v>
      </c>
      <c r="O228" t="n">
        <v>0</v>
      </c>
      <c r="P228" t="n">
        <v>0</v>
      </c>
      <c r="Q228" t="n">
        <v>0</v>
      </c>
      <c r="R228" s="2" t="inlineStr"/>
    </row>
    <row r="229" ht="15" customHeight="1">
      <c r="A229" t="inlineStr">
        <is>
          <t>A 22785-2023</t>
        </is>
      </c>
      <c r="B229" s="1" t="n">
        <v>45072.34796296297</v>
      </c>
      <c r="C229" s="1" t="n">
        <v>45891</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18992-2024</t>
        </is>
      </c>
      <c r="B230" s="1" t="n">
        <v>45427.61516203704</v>
      </c>
      <c r="C230" s="1" t="n">
        <v>45891</v>
      </c>
      <c r="D230" t="inlineStr">
        <is>
          <t>DALARNAS LÄN</t>
        </is>
      </c>
      <c r="E230" t="inlineStr">
        <is>
          <t>MORA</t>
        </is>
      </c>
      <c r="G230" t="n">
        <v>9.9</v>
      </c>
      <c r="H230" t="n">
        <v>0</v>
      </c>
      <c r="I230" t="n">
        <v>0</v>
      </c>
      <c r="J230" t="n">
        <v>0</v>
      </c>
      <c r="K230" t="n">
        <v>0</v>
      </c>
      <c r="L230" t="n">
        <v>0</v>
      </c>
      <c r="M230" t="n">
        <v>0</v>
      </c>
      <c r="N230" t="n">
        <v>0</v>
      </c>
      <c r="O230" t="n">
        <v>0</v>
      </c>
      <c r="P230" t="n">
        <v>0</v>
      </c>
      <c r="Q230" t="n">
        <v>0</v>
      </c>
      <c r="R230" s="2" t="inlineStr"/>
    </row>
    <row r="231" ht="15" customHeight="1">
      <c r="A231" t="inlineStr">
        <is>
          <t>A 60360-2023</t>
        </is>
      </c>
      <c r="B231" s="1" t="n">
        <v>45259</v>
      </c>
      <c r="C231" s="1" t="n">
        <v>45891</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18139-2025</t>
        </is>
      </c>
      <c r="B232" s="1" t="n">
        <v>45761.60459490741</v>
      </c>
      <c r="C232" s="1" t="n">
        <v>45891</v>
      </c>
      <c r="D232" t="inlineStr">
        <is>
          <t>DALARNAS LÄN</t>
        </is>
      </c>
      <c r="E232" t="inlineStr">
        <is>
          <t>MORA</t>
        </is>
      </c>
      <c r="F232" t="inlineStr">
        <is>
          <t>Bergvik skog öst AB</t>
        </is>
      </c>
      <c r="G232" t="n">
        <v>3</v>
      </c>
      <c r="H232" t="n">
        <v>0</v>
      </c>
      <c r="I232" t="n">
        <v>0</v>
      </c>
      <c r="J232" t="n">
        <v>0</v>
      </c>
      <c r="K232" t="n">
        <v>0</v>
      </c>
      <c r="L232" t="n">
        <v>0</v>
      </c>
      <c r="M232" t="n">
        <v>0</v>
      </c>
      <c r="N232" t="n">
        <v>0</v>
      </c>
      <c r="O232" t="n">
        <v>0</v>
      </c>
      <c r="P232" t="n">
        <v>0</v>
      </c>
      <c r="Q232" t="n">
        <v>0</v>
      </c>
      <c r="R232" s="2" t="inlineStr"/>
    </row>
    <row r="233" ht="15" customHeight="1">
      <c r="A233" t="inlineStr">
        <is>
          <t>A 25499-2024</t>
        </is>
      </c>
      <c r="B233" s="1" t="n">
        <v>45463</v>
      </c>
      <c r="C233" s="1" t="n">
        <v>45891</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60673-2023</t>
        </is>
      </c>
      <c r="B234" s="1" t="n">
        <v>45260.46438657407</v>
      </c>
      <c r="C234" s="1" t="n">
        <v>45891</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53754-2024</t>
        </is>
      </c>
      <c r="B235" s="1" t="n">
        <v>45615.49371527778</v>
      </c>
      <c r="C235" s="1" t="n">
        <v>45891</v>
      </c>
      <c r="D235" t="inlineStr">
        <is>
          <t>DALARNAS LÄN</t>
        </is>
      </c>
      <c r="E235" t="inlineStr">
        <is>
          <t>MORA</t>
        </is>
      </c>
      <c r="G235" t="n">
        <v>4.8</v>
      </c>
      <c r="H235" t="n">
        <v>0</v>
      </c>
      <c r="I235" t="n">
        <v>0</v>
      </c>
      <c r="J235" t="n">
        <v>0</v>
      </c>
      <c r="K235" t="n">
        <v>0</v>
      </c>
      <c r="L235" t="n">
        <v>0</v>
      </c>
      <c r="M235" t="n">
        <v>0</v>
      </c>
      <c r="N235" t="n">
        <v>0</v>
      </c>
      <c r="O235" t="n">
        <v>0</v>
      </c>
      <c r="P235" t="n">
        <v>0</v>
      </c>
      <c r="Q235" t="n">
        <v>0</v>
      </c>
      <c r="R235" s="2" t="inlineStr"/>
    </row>
    <row r="236" ht="15" customHeight="1">
      <c r="A236" t="inlineStr">
        <is>
          <t>A 20989-2024</t>
        </is>
      </c>
      <c r="B236" s="1" t="n">
        <v>45439</v>
      </c>
      <c r="C236" s="1" t="n">
        <v>45891</v>
      </c>
      <c r="D236" t="inlineStr">
        <is>
          <t>DALARNAS LÄN</t>
        </is>
      </c>
      <c r="E236" t="inlineStr">
        <is>
          <t>MORA</t>
        </is>
      </c>
      <c r="F236" t="inlineStr">
        <is>
          <t>Bergvik skog öst AB</t>
        </is>
      </c>
      <c r="G236" t="n">
        <v>14.7</v>
      </c>
      <c r="H236" t="n">
        <v>0</v>
      </c>
      <c r="I236" t="n">
        <v>0</v>
      </c>
      <c r="J236" t="n">
        <v>0</v>
      </c>
      <c r="K236" t="n">
        <v>0</v>
      </c>
      <c r="L236" t="n">
        <v>0</v>
      </c>
      <c r="M236" t="n">
        <v>0</v>
      </c>
      <c r="N236" t="n">
        <v>0</v>
      </c>
      <c r="O236" t="n">
        <v>0</v>
      </c>
      <c r="P236" t="n">
        <v>0</v>
      </c>
      <c r="Q236" t="n">
        <v>0</v>
      </c>
      <c r="R236" s="2" t="inlineStr"/>
    </row>
    <row r="237" ht="15" customHeight="1">
      <c r="A237" t="inlineStr">
        <is>
          <t>A 20930-2024</t>
        </is>
      </c>
      <c r="B237" s="1" t="n">
        <v>45439.51907407407</v>
      </c>
      <c r="C237" s="1" t="n">
        <v>45891</v>
      </c>
      <c r="D237" t="inlineStr">
        <is>
          <t>DALARNAS LÄN</t>
        </is>
      </c>
      <c r="E237" t="inlineStr">
        <is>
          <t>MORA</t>
        </is>
      </c>
      <c r="F237" t="inlineStr">
        <is>
          <t>Bergvik skog väst AB</t>
        </is>
      </c>
      <c r="G237" t="n">
        <v>5.3</v>
      </c>
      <c r="H237" t="n">
        <v>0</v>
      </c>
      <c r="I237" t="n">
        <v>0</v>
      </c>
      <c r="J237" t="n">
        <v>0</v>
      </c>
      <c r="K237" t="n">
        <v>0</v>
      </c>
      <c r="L237" t="n">
        <v>0</v>
      </c>
      <c r="M237" t="n">
        <v>0</v>
      </c>
      <c r="N237" t="n">
        <v>0</v>
      </c>
      <c r="O237" t="n">
        <v>0</v>
      </c>
      <c r="P237" t="n">
        <v>0</v>
      </c>
      <c r="Q237" t="n">
        <v>0</v>
      </c>
      <c r="R237" s="2" t="inlineStr"/>
    </row>
    <row r="238" ht="15" customHeight="1">
      <c r="A238" t="inlineStr">
        <is>
          <t>A 61405-2023</t>
        </is>
      </c>
      <c r="B238" s="1" t="n">
        <v>45264.65987268519</v>
      </c>
      <c r="C238" s="1" t="n">
        <v>45891</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60847-2021</t>
        </is>
      </c>
      <c r="B239" s="1" t="n">
        <v>44497</v>
      </c>
      <c r="C239" s="1" t="n">
        <v>45891</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57475-2022</t>
        </is>
      </c>
      <c r="B240" s="1" t="n">
        <v>44896</v>
      </c>
      <c r="C240" s="1" t="n">
        <v>45891</v>
      </c>
      <c r="D240" t="inlineStr">
        <is>
          <t>DALARNAS LÄN</t>
        </is>
      </c>
      <c r="E240" t="inlineStr">
        <is>
          <t>MORA</t>
        </is>
      </c>
      <c r="G240" t="n">
        <v>5.7</v>
      </c>
      <c r="H240" t="n">
        <v>0</v>
      </c>
      <c r="I240" t="n">
        <v>0</v>
      </c>
      <c r="J240" t="n">
        <v>0</v>
      </c>
      <c r="K240" t="n">
        <v>0</v>
      </c>
      <c r="L240" t="n">
        <v>0</v>
      </c>
      <c r="M240" t="n">
        <v>0</v>
      </c>
      <c r="N240" t="n">
        <v>0</v>
      </c>
      <c r="O240" t="n">
        <v>0</v>
      </c>
      <c r="P240" t="n">
        <v>0</v>
      </c>
      <c r="Q240" t="n">
        <v>0</v>
      </c>
      <c r="R240" s="2" t="inlineStr"/>
    </row>
    <row r="241" ht="15" customHeight="1">
      <c r="A241" t="inlineStr">
        <is>
          <t>A 32410-2024</t>
        </is>
      </c>
      <c r="B241" s="1" t="n">
        <v>45512.70077546296</v>
      </c>
      <c r="C241" s="1" t="n">
        <v>45891</v>
      </c>
      <c r="D241" t="inlineStr">
        <is>
          <t>DALARNAS LÄN</t>
        </is>
      </c>
      <c r="E241" t="inlineStr">
        <is>
          <t>MORA</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7972-2024</t>
        </is>
      </c>
      <c r="B242" s="1" t="n">
        <v>45350</v>
      </c>
      <c r="C242" s="1" t="n">
        <v>45891</v>
      </c>
      <c r="D242" t="inlineStr">
        <is>
          <t>DALARNAS LÄN</t>
        </is>
      </c>
      <c r="E242" t="inlineStr">
        <is>
          <t>MORA</t>
        </is>
      </c>
      <c r="G242" t="n">
        <v>2.4</v>
      </c>
      <c r="H242" t="n">
        <v>0</v>
      </c>
      <c r="I242" t="n">
        <v>0</v>
      </c>
      <c r="J242" t="n">
        <v>0</v>
      </c>
      <c r="K242" t="n">
        <v>0</v>
      </c>
      <c r="L242" t="n">
        <v>0</v>
      </c>
      <c r="M242" t="n">
        <v>0</v>
      </c>
      <c r="N242" t="n">
        <v>0</v>
      </c>
      <c r="O242" t="n">
        <v>0</v>
      </c>
      <c r="P242" t="n">
        <v>0</v>
      </c>
      <c r="Q242" t="n">
        <v>0</v>
      </c>
      <c r="R242" s="2" t="inlineStr"/>
    </row>
    <row r="243" ht="15" customHeight="1">
      <c r="A243" t="inlineStr">
        <is>
          <t>A 43432-2024</t>
        </is>
      </c>
      <c r="B243" s="1" t="n">
        <v>45568.64337962963</v>
      </c>
      <c r="C243" s="1" t="n">
        <v>45891</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46414-2024</t>
        </is>
      </c>
      <c r="B244" s="1" t="n">
        <v>45582.45226851852</v>
      </c>
      <c r="C244" s="1" t="n">
        <v>45891</v>
      </c>
      <c r="D244" t="inlineStr">
        <is>
          <t>DALARNAS LÄN</t>
        </is>
      </c>
      <c r="E244" t="inlineStr">
        <is>
          <t>MORA</t>
        </is>
      </c>
      <c r="G244" t="n">
        <v>0.6</v>
      </c>
      <c r="H244" t="n">
        <v>0</v>
      </c>
      <c r="I244" t="n">
        <v>0</v>
      </c>
      <c r="J244" t="n">
        <v>0</v>
      </c>
      <c r="K244" t="n">
        <v>0</v>
      </c>
      <c r="L244" t="n">
        <v>0</v>
      </c>
      <c r="M244" t="n">
        <v>0</v>
      </c>
      <c r="N244" t="n">
        <v>0</v>
      </c>
      <c r="O244" t="n">
        <v>0</v>
      </c>
      <c r="P244" t="n">
        <v>0</v>
      </c>
      <c r="Q244" t="n">
        <v>0</v>
      </c>
      <c r="R244" s="2" t="inlineStr"/>
    </row>
    <row r="245" ht="15" customHeight="1">
      <c r="A245" t="inlineStr">
        <is>
          <t>A 46417-2024</t>
        </is>
      </c>
      <c r="B245" s="1" t="n">
        <v>45582.45449074074</v>
      </c>
      <c r="C245" s="1" t="n">
        <v>45891</v>
      </c>
      <c r="D245" t="inlineStr">
        <is>
          <t>DALARNAS LÄN</t>
        </is>
      </c>
      <c r="E245" t="inlineStr">
        <is>
          <t>MORA</t>
        </is>
      </c>
      <c r="G245" t="n">
        <v>0.8</v>
      </c>
      <c r="H245" t="n">
        <v>0</v>
      </c>
      <c r="I245" t="n">
        <v>0</v>
      </c>
      <c r="J245" t="n">
        <v>0</v>
      </c>
      <c r="K245" t="n">
        <v>0</v>
      </c>
      <c r="L245" t="n">
        <v>0</v>
      </c>
      <c r="M245" t="n">
        <v>0</v>
      </c>
      <c r="N245" t="n">
        <v>0</v>
      </c>
      <c r="O245" t="n">
        <v>0</v>
      </c>
      <c r="P245" t="n">
        <v>0</v>
      </c>
      <c r="Q245" t="n">
        <v>0</v>
      </c>
      <c r="R245" s="2" t="inlineStr"/>
    </row>
    <row r="246" ht="15" customHeight="1">
      <c r="A246" t="inlineStr">
        <is>
          <t>A 32721-2024</t>
        </is>
      </c>
      <c r="B246" s="1" t="n">
        <v>45516.40261574074</v>
      </c>
      <c r="C246" s="1" t="n">
        <v>45891</v>
      </c>
      <c r="D246" t="inlineStr">
        <is>
          <t>DALARNAS LÄN</t>
        </is>
      </c>
      <c r="E246" t="inlineStr">
        <is>
          <t>MORA</t>
        </is>
      </c>
      <c r="G246" t="n">
        <v>4.2</v>
      </c>
      <c r="H246" t="n">
        <v>0</v>
      </c>
      <c r="I246" t="n">
        <v>0</v>
      </c>
      <c r="J246" t="n">
        <v>0</v>
      </c>
      <c r="K246" t="n">
        <v>0</v>
      </c>
      <c r="L246" t="n">
        <v>0</v>
      </c>
      <c r="M246" t="n">
        <v>0</v>
      </c>
      <c r="N246" t="n">
        <v>0</v>
      </c>
      <c r="O246" t="n">
        <v>0</v>
      </c>
      <c r="P246" t="n">
        <v>0</v>
      </c>
      <c r="Q246" t="n">
        <v>0</v>
      </c>
      <c r="R246" s="2" t="inlineStr"/>
    </row>
    <row r="247" ht="15" customHeight="1">
      <c r="A247" t="inlineStr">
        <is>
          <t>A 36038-2024</t>
        </is>
      </c>
      <c r="B247" s="1" t="n">
        <v>45533</v>
      </c>
      <c r="C247" s="1" t="n">
        <v>45891</v>
      </c>
      <c r="D247" t="inlineStr">
        <is>
          <t>DALARNAS LÄN</t>
        </is>
      </c>
      <c r="E247" t="inlineStr">
        <is>
          <t>MORA</t>
        </is>
      </c>
      <c r="G247" t="n">
        <v>5.1</v>
      </c>
      <c r="H247" t="n">
        <v>0</v>
      </c>
      <c r="I247" t="n">
        <v>0</v>
      </c>
      <c r="J247" t="n">
        <v>0</v>
      </c>
      <c r="K247" t="n">
        <v>0</v>
      </c>
      <c r="L247" t="n">
        <v>0</v>
      </c>
      <c r="M247" t="n">
        <v>0</v>
      </c>
      <c r="N247" t="n">
        <v>0</v>
      </c>
      <c r="O247" t="n">
        <v>0</v>
      </c>
      <c r="P247" t="n">
        <v>0</v>
      </c>
      <c r="Q247" t="n">
        <v>0</v>
      </c>
      <c r="R247" s="2" t="inlineStr"/>
    </row>
    <row r="248" ht="15" customHeight="1">
      <c r="A248" t="inlineStr">
        <is>
          <t>A 17280-2025</t>
        </is>
      </c>
      <c r="B248" s="1" t="n">
        <v>45756</v>
      </c>
      <c r="C248" s="1" t="n">
        <v>45891</v>
      </c>
      <c r="D248" t="inlineStr">
        <is>
          <t>DALARNAS LÄN</t>
        </is>
      </c>
      <c r="E248" t="inlineStr">
        <is>
          <t>MORA</t>
        </is>
      </c>
      <c r="G248" t="n">
        <v>2.1</v>
      </c>
      <c r="H248" t="n">
        <v>0</v>
      </c>
      <c r="I248" t="n">
        <v>0</v>
      </c>
      <c r="J248" t="n">
        <v>0</v>
      </c>
      <c r="K248" t="n">
        <v>0</v>
      </c>
      <c r="L248" t="n">
        <v>0</v>
      </c>
      <c r="M248" t="n">
        <v>0</v>
      </c>
      <c r="N248" t="n">
        <v>0</v>
      </c>
      <c r="O248" t="n">
        <v>0</v>
      </c>
      <c r="P248" t="n">
        <v>0</v>
      </c>
      <c r="Q248" t="n">
        <v>0</v>
      </c>
      <c r="R248" s="2" t="inlineStr"/>
    </row>
    <row r="249" ht="15" customHeight="1">
      <c r="A249" t="inlineStr">
        <is>
          <t>A 61270-2024</t>
        </is>
      </c>
      <c r="B249" s="1" t="n">
        <v>45645.74694444444</v>
      </c>
      <c r="C249" s="1" t="n">
        <v>45891</v>
      </c>
      <c r="D249" t="inlineStr">
        <is>
          <t>DALARNAS LÄN</t>
        </is>
      </c>
      <c r="E249" t="inlineStr">
        <is>
          <t>MORA</t>
        </is>
      </c>
      <c r="G249" t="n">
        <v>5.1</v>
      </c>
      <c r="H249" t="n">
        <v>0</v>
      </c>
      <c r="I249" t="n">
        <v>0</v>
      </c>
      <c r="J249" t="n">
        <v>0</v>
      </c>
      <c r="K249" t="n">
        <v>0</v>
      </c>
      <c r="L249" t="n">
        <v>0</v>
      </c>
      <c r="M249" t="n">
        <v>0</v>
      </c>
      <c r="N249" t="n">
        <v>0</v>
      </c>
      <c r="O249" t="n">
        <v>0</v>
      </c>
      <c r="P249" t="n">
        <v>0</v>
      </c>
      <c r="Q249" t="n">
        <v>0</v>
      </c>
      <c r="R249" s="2" t="inlineStr"/>
    </row>
    <row r="250" ht="15" customHeight="1">
      <c r="A250" t="inlineStr">
        <is>
          <t>A 60428-2023</t>
        </is>
      </c>
      <c r="B250" s="1" t="n">
        <v>45259.50996527778</v>
      </c>
      <c r="C250" s="1" t="n">
        <v>45891</v>
      </c>
      <c r="D250" t="inlineStr">
        <is>
          <t>DALARNAS LÄN</t>
        </is>
      </c>
      <c r="E250" t="inlineStr">
        <is>
          <t>MORA</t>
        </is>
      </c>
      <c r="G250" t="n">
        <v>4.9</v>
      </c>
      <c r="H250" t="n">
        <v>0</v>
      </c>
      <c r="I250" t="n">
        <v>0</v>
      </c>
      <c r="J250" t="n">
        <v>0</v>
      </c>
      <c r="K250" t="n">
        <v>0</v>
      </c>
      <c r="L250" t="n">
        <v>0</v>
      </c>
      <c r="M250" t="n">
        <v>0</v>
      </c>
      <c r="N250" t="n">
        <v>0</v>
      </c>
      <c r="O250" t="n">
        <v>0</v>
      </c>
      <c r="P250" t="n">
        <v>0</v>
      </c>
      <c r="Q250" t="n">
        <v>0</v>
      </c>
      <c r="R250" s="2" t="inlineStr"/>
    </row>
    <row r="251" ht="15" customHeight="1">
      <c r="A251" t="inlineStr">
        <is>
          <t>A 437-2024</t>
        </is>
      </c>
      <c r="B251" s="1" t="n">
        <v>45296</v>
      </c>
      <c r="C251" s="1" t="n">
        <v>45891</v>
      </c>
      <c r="D251" t="inlineStr">
        <is>
          <t>DALARNAS LÄN</t>
        </is>
      </c>
      <c r="E251" t="inlineStr">
        <is>
          <t>MORA</t>
        </is>
      </c>
      <c r="G251" t="n">
        <v>1.6</v>
      </c>
      <c r="H251" t="n">
        <v>0</v>
      </c>
      <c r="I251" t="n">
        <v>0</v>
      </c>
      <c r="J251" t="n">
        <v>0</v>
      </c>
      <c r="K251" t="n">
        <v>0</v>
      </c>
      <c r="L251" t="n">
        <v>0</v>
      </c>
      <c r="M251" t="n">
        <v>0</v>
      </c>
      <c r="N251" t="n">
        <v>0</v>
      </c>
      <c r="O251" t="n">
        <v>0</v>
      </c>
      <c r="P251" t="n">
        <v>0</v>
      </c>
      <c r="Q251" t="n">
        <v>0</v>
      </c>
      <c r="R251" s="2" t="inlineStr"/>
    </row>
    <row r="252" ht="15" customHeight="1">
      <c r="A252" t="inlineStr">
        <is>
          <t>A 9277-2024</t>
        </is>
      </c>
      <c r="B252" s="1" t="n">
        <v>45358.63265046296</v>
      </c>
      <c r="C252" s="1" t="n">
        <v>45891</v>
      </c>
      <c r="D252" t="inlineStr">
        <is>
          <t>DALARNAS LÄN</t>
        </is>
      </c>
      <c r="E252" t="inlineStr">
        <is>
          <t>MORA</t>
        </is>
      </c>
      <c r="G252" t="n">
        <v>1.7</v>
      </c>
      <c r="H252" t="n">
        <v>0</v>
      </c>
      <c r="I252" t="n">
        <v>0</v>
      </c>
      <c r="J252" t="n">
        <v>0</v>
      </c>
      <c r="K252" t="n">
        <v>0</v>
      </c>
      <c r="L252" t="n">
        <v>0</v>
      </c>
      <c r="M252" t="n">
        <v>0</v>
      </c>
      <c r="N252" t="n">
        <v>0</v>
      </c>
      <c r="O252" t="n">
        <v>0</v>
      </c>
      <c r="P252" t="n">
        <v>0</v>
      </c>
      <c r="Q252" t="n">
        <v>0</v>
      </c>
      <c r="R252" s="2" t="inlineStr"/>
    </row>
    <row r="253" ht="15" customHeight="1">
      <c r="A253" t="inlineStr">
        <is>
          <t>A 30194-2024</t>
        </is>
      </c>
      <c r="B253" s="1" t="n">
        <v>45490.33387731481</v>
      </c>
      <c r="C253" s="1" t="n">
        <v>45891</v>
      </c>
      <c r="D253" t="inlineStr">
        <is>
          <t>DALARNAS LÄN</t>
        </is>
      </c>
      <c r="E253" t="inlineStr">
        <is>
          <t>MORA</t>
        </is>
      </c>
      <c r="G253" t="n">
        <v>3.1</v>
      </c>
      <c r="H253" t="n">
        <v>0</v>
      </c>
      <c r="I253" t="n">
        <v>0</v>
      </c>
      <c r="J253" t="n">
        <v>0</v>
      </c>
      <c r="K253" t="n">
        <v>0</v>
      </c>
      <c r="L253" t="n">
        <v>0</v>
      </c>
      <c r="M253" t="n">
        <v>0</v>
      </c>
      <c r="N253" t="n">
        <v>0</v>
      </c>
      <c r="O253" t="n">
        <v>0</v>
      </c>
      <c r="P253" t="n">
        <v>0</v>
      </c>
      <c r="Q253" t="n">
        <v>0</v>
      </c>
      <c r="R253" s="2" t="inlineStr"/>
    </row>
    <row r="254" ht="15" customHeight="1">
      <c r="A254" t="inlineStr">
        <is>
          <t>A 7116-2024</t>
        </is>
      </c>
      <c r="B254" s="1" t="n">
        <v>45343.95445601852</v>
      </c>
      <c r="C254" s="1" t="n">
        <v>45891</v>
      </c>
      <c r="D254" t="inlineStr">
        <is>
          <t>DALARNAS LÄN</t>
        </is>
      </c>
      <c r="E254" t="inlineStr">
        <is>
          <t>MORA</t>
        </is>
      </c>
      <c r="G254" t="n">
        <v>0.3</v>
      </c>
      <c r="H254" t="n">
        <v>0</v>
      </c>
      <c r="I254" t="n">
        <v>0</v>
      </c>
      <c r="J254" t="n">
        <v>0</v>
      </c>
      <c r="K254" t="n">
        <v>0</v>
      </c>
      <c r="L254" t="n">
        <v>0</v>
      </c>
      <c r="M254" t="n">
        <v>0</v>
      </c>
      <c r="N254" t="n">
        <v>0</v>
      </c>
      <c r="O254" t="n">
        <v>0</v>
      </c>
      <c r="P254" t="n">
        <v>0</v>
      </c>
      <c r="Q254" t="n">
        <v>0</v>
      </c>
      <c r="R254" s="2" t="inlineStr"/>
    </row>
    <row r="255" ht="15" customHeight="1">
      <c r="A255" t="inlineStr">
        <is>
          <t>A 60715-2023</t>
        </is>
      </c>
      <c r="B255" s="1" t="n">
        <v>45260.52684027778</v>
      </c>
      <c r="C255" s="1" t="n">
        <v>45891</v>
      </c>
      <c r="D255" t="inlineStr">
        <is>
          <t>DALARNAS LÄN</t>
        </is>
      </c>
      <c r="E255" t="inlineStr">
        <is>
          <t>MORA</t>
        </is>
      </c>
      <c r="G255" t="n">
        <v>1.7</v>
      </c>
      <c r="H255" t="n">
        <v>0</v>
      </c>
      <c r="I255" t="n">
        <v>0</v>
      </c>
      <c r="J255" t="n">
        <v>0</v>
      </c>
      <c r="K255" t="n">
        <v>0</v>
      </c>
      <c r="L255" t="n">
        <v>0</v>
      </c>
      <c r="M255" t="n">
        <v>0</v>
      </c>
      <c r="N255" t="n">
        <v>0</v>
      </c>
      <c r="O255" t="n">
        <v>0</v>
      </c>
      <c r="P255" t="n">
        <v>0</v>
      </c>
      <c r="Q255" t="n">
        <v>0</v>
      </c>
      <c r="R255" s="2" t="inlineStr"/>
    </row>
    <row r="256" ht="15" customHeight="1">
      <c r="A256" t="inlineStr">
        <is>
          <t>A 59995-2023</t>
        </is>
      </c>
      <c r="B256" s="1" t="n">
        <v>45254</v>
      </c>
      <c r="C256" s="1" t="n">
        <v>45891</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13479-2024</t>
        </is>
      </c>
      <c r="B257" s="1" t="n">
        <v>45387.5900925926</v>
      </c>
      <c r="C257" s="1" t="n">
        <v>45891</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47143-2022</t>
        </is>
      </c>
      <c r="B258" s="1" t="n">
        <v>44852</v>
      </c>
      <c r="C258" s="1" t="n">
        <v>45891</v>
      </c>
      <c r="D258" t="inlineStr">
        <is>
          <t>DALARNAS LÄN</t>
        </is>
      </c>
      <c r="E258" t="inlineStr">
        <is>
          <t>MORA</t>
        </is>
      </c>
      <c r="G258" t="n">
        <v>3.9</v>
      </c>
      <c r="H258" t="n">
        <v>0</v>
      </c>
      <c r="I258" t="n">
        <v>0</v>
      </c>
      <c r="J258" t="n">
        <v>0</v>
      </c>
      <c r="K258" t="n">
        <v>0</v>
      </c>
      <c r="L258" t="n">
        <v>0</v>
      </c>
      <c r="M258" t="n">
        <v>0</v>
      </c>
      <c r="N258" t="n">
        <v>0</v>
      </c>
      <c r="O258" t="n">
        <v>0</v>
      </c>
      <c r="P258" t="n">
        <v>0</v>
      </c>
      <c r="Q258" t="n">
        <v>0</v>
      </c>
      <c r="R258" s="2" t="inlineStr"/>
    </row>
    <row r="259" ht="15" customHeight="1">
      <c r="A259" t="inlineStr">
        <is>
          <t>A 41812-2024</t>
        </is>
      </c>
      <c r="B259" s="1" t="n">
        <v>45561.3771412037</v>
      </c>
      <c r="C259" s="1" t="n">
        <v>45891</v>
      </c>
      <c r="D259" t="inlineStr">
        <is>
          <t>DALARNAS LÄN</t>
        </is>
      </c>
      <c r="E259" t="inlineStr">
        <is>
          <t>MORA</t>
        </is>
      </c>
      <c r="G259" t="n">
        <v>2.2</v>
      </c>
      <c r="H259" t="n">
        <v>0</v>
      </c>
      <c r="I259" t="n">
        <v>0</v>
      </c>
      <c r="J259" t="n">
        <v>0</v>
      </c>
      <c r="K259" t="n">
        <v>0</v>
      </c>
      <c r="L259" t="n">
        <v>0</v>
      </c>
      <c r="M259" t="n">
        <v>0</v>
      </c>
      <c r="N259" t="n">
        <v>0</v>
      </c>
      <c r="O259" t="n">
        <v>0</v>
      </c>
      <c r="P259" t="n">
        <v>0</v>
      </c>
      <c r="Q259" t="n">
        <v>0</v>
      </c>
      <c r="R259" s="2" t="inlineStr"/>
    </row>
    <row r="260" ht="15" customHeight="1">
      <c r="A260" t="inlineStr">
        <is>
          <t>A 3430-2023</t>
        </is>
      </c>
      <c r="B260" s="1" t="n">
        <v>44949.57856481482</v>
      </c>
      <c r="C260" s="1" t="n">
        <v>45891</v>
      </c>
      <c r="D260" t="inlineStr">
        <is>
          <t>DALARNAS LÄN</t>
        </is>
      </c>
      <c r="E260" t="inlineStr">
        <is>
          <t>MORA</t>
        </is>
      </c>
      <c r="G260" t="n">
        <v>2.6</v>
      </c>
      <c r="H260" t="n">
        <v>0</v>
      </c>
      <c r="I260" t="n">
        <v>0</v>
      </c>
      <c r="J260" t="n">
        <v>0</v>
      </c>
      <c r="K260" t="n">
        <v>0</v>
      </c>
      <c r="L260" t="n">
        <v>0</v>
      </c>
      <c r="M260" t="n">
        <v>0</v>
      </c>
      <c r="N260" t="n">
        <v>0</v>
      </c>
      <c r="O260" t="n">
        <v>0</v>
      </c>
      <c r="P260" t="n">
        <v>0</v>
      </c>
      <c r="Q260" t="n">
        <v>0</v>
      </c>
      <c r="R260" s="2" t="inlineStr"/>
    </row>
    <row r="261" ht="15" customHeight="1">
      <c r="A261" t="inlineStr">
        <is>
          <t>A 42085-2024</t>
        </is>
      </c>
      <c r="B261" s="1" t="n">
        <v>45562.33179398148</v>
      </c>
      <c r="C261" s="1" t="n">
        <v>45891</v>
      </c>
      <c r="D261" t="inlineStr">
        <is>
          <t>DALARNAS LÄN</t>
        </is>
      </c>
      <c r="E261" t="inlineStr">
        <is>
          <t>MORA</t>
        </is>
      </c>
      <c r="G261" t="n">
        <v>4.9</v>
      </c>
      <c r="H261" t="n">
        <v>0</v>
      </c>
      <c r="I261" t="n">
        <v>0</v>
      </c>
      <c r="J261" t="n">
        <v>0</v>
      </c>
      <c r="K261" t="n">
        <v>0</v>
      </c>
      <c r="L261" t="n">
        <v>0</v>
      </c>
      <c r="M261" t="n">
        <v>0</v>
      </c>
      <c r="N261" t="n">
        <v>0</v>
      </c>
      <c r="O261" t="n">
        <v>0</v>
      </c>
      <c r="P261" t="n">
        <v>0</v>
      </c>
      <c r="Q261" t="n">
        <v>0</v>
      </c>
      <c r="R261" s="2" t="inlineStr"/>
    </row>
    <row r="262" ht="15" customHeight="1">
      <c r="A262" t="inlineStr">
        <is>
          <t>A 60465-2023</t>
        </is>
      </c>
      <c r="B262" s="1" t="n">
        <v>45259.57872685185</v>
      </c>
      <c r="C262" s="1" t="n">
        <v>45891</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33676-2023</t>
        </is>
      </c>
      <c r="B263" s="1" t="n">
        <v>45132.6291550926</v>
      </c>
      <c r="C263" s="1" t="n">
        <v>45891</v>
      </c>
      <c r="D263" t="inlineStr">
        <is>
          <t>DALARNAS LÄN</t>
        </is>
      </c>
      <c r="E263" t="inlineStr">
        <is>
          <t>MORA</t>
        </is>
      </c>
      <c r="F263" t="inlineStr">
        <is>
          <t>Bergvik skog öst AB</t>
        </is>
      </c>
      <c r="G263" t="n">
        <v>2.7</v>
      </c>
      <c r="H263" t="n">
        <v>0</v>
      </c>
      <c r="I263" t="n">
        <v>0</v>
      </c>
      <c r="J263" t="n">
        <v>0</v>
      </c>
      <c r="K263" t="n">
        <v>0</v>
      </c>
      <c r="L263" t="n">
        <v>0</v>
      </c>
      <c r="M263" t="n">
        <v>0</v>
      </c>
      <c r="N263" t="n">
        <v>0</v>
      </c>
      <c r="O263" t="n">
        <v>0</v>
      </c>
      <c r="P263" t="n">
        <v>0</v>
      </c>
      <c r="Q263" t="n">
        <v>0</v>
      </c>
      <c r="R263" s="2" t="inlineStr"/>
    </row>
    <row r="264" ht="15" customHeight="1">
      <c r="A264" t="inlineStr">
        <is>
          <t>A 27125-2024</t>
        </is>
      </c>
      <c r="B264" s="1" t="n">
        <v>45471</v>
      </c>
      <c r="C264" s="1" t="n">
        <v>45891</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29193-2023</t>
        </is>
      </c>
      <c r="B265" s="1" t="n">
        <v>45105.54791666667</v>
      </c>
      <c r="C265" s="1" t="n">
        <v>45891</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34282-2024</t>
        </is>
      </c>
      <c r="B266" s="1" t="n">
        <v>45524.62600694445</v>
      </c>
      <c r="C266" s="1" t="n">
        <v>45891</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30822-2024</t>
        </is>
      </c>
      <c r="B267" s="1" t="n">
        <v>45497</v>
      </c>
      <c r="C267" s="1" t="n">
        <v>45891</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35325-2024</t>
        </is>
      </c>
      <c r="B268" s="1" t="n">
        <v>45530.71158564815</v>
      </c>
      <c r="C268" s="1" t="n">
        <v>45891</v>
      </c>
      <c r="D268" t="inlineStr">
        <is>
          <t>DALARNAS LÄN</t>
        </is>
      </c>
      <c r="E268" t="inlineStr">
        <is>
          <t>MORA</t>
        </is>
      </c>
      <c r="G268" t="n">
        <v>5</v>
      </c>
      <c r="H268" t="n">
        <v>0</v>
      </c>
      <c r="I268" t="n">
        <v>0</v>
      </c>
      <c r="J268" t="n">
        <v>0</v>
      </c>
      <c r="K268" t="n">
        <v>0</v>
      </c>
      <c r="L268" t="n">
        <v>0</v>
      </c>
      <c r="M268" t="n">
        <v>0</v>
      </c>
      <c r="N268" t="n">
        <v>0</v>
      </c>
      <c r="O268" t="n">
        <v>0</v>
      </c>
      <c r="P268" t="n">
        <v>0</v>
      </c>
      <c r="Q268" t="n">
        <v>0</v>
      </c>
      <c r="R268" s="2" t="inlineStr"/>
    </row>
    <row r="269" ht="15" customHeight="1">
      <c r="A269" t="inlineStr">
        <is>
          <t>A 6371-2022</t>
        </is>
      </c>
      <c r="B269" s="1" t="n">
        <v>44600</v>
      </c>
      <c r="C269" s="1" t="n">
        <v>45891</v>
      </c>
      <c r="D269" t="inlineStr">
        <is>
          <t>DALARNAS LÄN</t>
        </is>
      </c>
      <c r="E269" t="inlineStr">
        <is>
          <t>MORA</t>
        </is>
      </c>
      <c r="G269" t="n">
        <v>4.6</v>
      </c>
      <c r="H269" t="n">
        <v>0</v>
      </c>
      <c r="I269" t="n">
        <v>0</v>
      </c>
      <c r="J269" t="n">
        <v>0</v>
      </c>
      <c r="K269" t="n">
        <v>0</v>
      </c>
      <c r="L269" t="n">
        <v>0</v>
      </c>
      <c r="M269" t="n">
        <v>0</v>
      </c>
      <c r="N269" t="n">
        <v>0</v>
      </c>
      <c r="O269" t="n">
        <v>0</v>
      </c>
      <c r="P269" t="n">
        <v>0</v>
      </c>
      <c r="Q269" t="n">
        <v>0</v>
      </c>
      <c r="R269" s="2" t="inlineStr"/>
    </row>
    <row r="270" ht="15" customHeight="1">
      <c r="A270" t="inlineStr">
        <is>
          <t>A 2276-2024</t>
        </is>
      </c>
      <c r="B270" s="1" t="n">
        <v>45310.37988425926</v>
      </c>
      <c r="C270" s="1" t="n">
        <v>45891</v>
      </c>
      <c r="D270" t="inlineStr">
        <is>
          <t>DALARNAS LÄN</t>
        </is>
      </c>
      <c r="E270" t="inlineStr">
        <is>
          <t>MORA</t>
        </is>
      </c>
      <c r="G270" t="n">
        <v>3.7</v>
      </c>
      <c r="H270" t="n">
        <v>0</v>
      </c>
      <c r="I270" t="n">
        <v>0</v>
      </c>
      <c r="J270" t="n">
        <v>0</v>
      </c>
      <c r="K270" t="n">
        <v>0</v>
      </c>
      <c r="L270" t="n">
        <v>0</v>
      </c>
      <c r="M270" t="n">
        <v>0</v>
      </c>
      <c r="N270" t="n">
        <v>0</v>
      </c>
      <c r="O270" t="n">
        <v>0</v>
      </c>
      <c r="P270" t="n">
        <v>0</v>
      </c>
      <c r="Q270" t="n">
        <v>0</v>
      </c>
      <c r="R270" s="2" t="inlineStr"/>
    </row>
    <row r="271" ht="15" customHeight="1">
      <c r="A271" t="inlineStr">
        <is>
          <t>A 69519-2020</t>
        </is>
      </c>
      <c r="B271" s="1" t="n">
        <v>44194</v>
      </c>
      <c r="C271" s="1" t="n">
        <v>45891</v>
      </c>
      <c r="D271" t="inlineStr">
        <is>
          <t>DALARNAS LÄN</t>
        </is>
      </c>
      <c r="E271" t="inlineStr">
        <is>
          <t>MORA</t>
        </is>
      </c>
      <c r="G271" t="n">
        <v>0.4</v>
      </c>
      <c r="H271" t="n">
        <v>0</v>
      </c>
      <c r="I271" t="n">
        <v>0</v>
      </c>
      <c r="J271" t="n">
        <v>0</v>
      </c>
      <c r="K271" t="n">
        <v>0</v>
      </c>
      <c r="L271" t="n">
        <v>0</v>
      </c>
      <c r="M271" t="n">
        <v>0</v>
      </c>
      <c r="N271" t="n">
        <v>0</v>
      </c>
      <c r="O271" t="n">
        <v>0</v>
      </c>
      <c r="P271" t="n">
        <v>0</v>
      </c>
      <c r="Q271" t="n">
        <v>0</v>
      </c>
      <c r="R271" s="2" t="inlineStr"/>
    </row>
    <row r="272" ht="15" customHeight="1">
      <c r="A272" t="inlineStr">
        <is>
          <t>A 61278-2024</t>
        </is>
      </c>
      <c r="B272" s="1" t="n">
        <v>45645.76561342592</v>
      </c>
      <c r="C272" s="1" t="n">
        <v>45891</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58177-2024</t>
        </is>
      </c>
      <c r="B273" s="1" t="n">
        <v>45632.46821759259</v>
      </c>
      <c r="C273" s="1" t="n">
        <v>45891</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17172-2025</t>
        </is>
      </c>
      <c r="B274" s="1" t="n">
        <v>45756.37201388889</v>
      </c>
      <c r="C274" s="1" t="n">
        <v>45891</v>
      </c>
      <c r="D274" t="inlineStr">
        <is>
          <t>DALARNAS LÄN</t>
        </is>
      </c>
      <c r="E274" t="inlineStr">
        <is>
          <t>MORA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64093-2023</t>
        </is>
      </c>
      <c r="B275" s="1" t="n">
        <v>45279</v>
      </c>
      <c r="C275" s="1" t="n">
        <v>45891</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28832-2023</t>
        </is>
      </c>
      <c r="B276" s="1" t="n">
        <v>45104.40493055555</v>
      </c>
      <c r="C276" s="1" t="n">
        <v>45891</v>
      </c>
      <c r="D276" t="inlineStr">
        <is>
          <t>DALARNAS LÄN</t>
        </is>
      </c>
      <c r="E276" t="inlineStr">
        <is>
          <t>MORA</t>
        </is>
      </c>
      <c r="F276" t="inlineStr">
        <is>
          <t>Bergvik skog öst AB</t>
        </is>
      </c>
      <c r="G276" t="n">
        <v>2</v>
      </c>
      <c r="H276" t="n">
        <v>0</v>
      </c>
      <c r="I276" t="n">
        <v>0</v>
      </c>
      <c r="J276" t="n">
        <v>0</v>
      </c>
      <c r="K276" t="n">
        <v>0</v>
      </c>
      <c r="L276" t="n">
        <v>0</v>
      </c>
      <c r="M276" t="n">
        <v>0</v>
      </c>
      <c r="N276" t="n">
        <v>0</v>
      </c>
      <c r="O276" t="n">
        <v>0</v>
      </c>
      <c r="P276" t="n">
        <v>0</v>
      </c>
      <c r="Q276" t="n">
        <v>0</v>
      </c>
      <c r="R276" s="2" t="inlineStr"/>
    </row>
    <row r="277" ht="15" customHeight="1">
      <c r="A277" t="inlineStr">
        <is>
          <t>A 15993-2025</t>
        </is>
      </c>
      <c r="B277" s="1" t="n">
        <v>45749.58428240741</v>
      </c>
      <c r="C277" s="1" t="n">
        <v>45891</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37710-2023</t>
        </is>
      </c>
      <c r="B278" s="1" t="n">
        <v>45159.59186342593</v>
      </c>
      <c r="C278" s="1" t="n">
        <v>45891</v>
      </c>
      <c r="D278" t="inlineStr">
        <is>
          <t>DALARNAS LÄN</t>
        </is>
      </c>
      <c r="E278" t="inlineStr">
        <is>
          <t>MORA</t>
        </is>
      </c>
      <c r="G278" t="n">
        <v>1.9</v>
      </c>
      <c r="H278" t="n">
        <v>0</v>
      </c>
      <c r="I278" t="n">
        <v>0</v>
      </c>
      <c r="J278" t="n">
        <v>0</v>
      </c>
      <c r="K278" t="n">
        <v>0</v>
      </c>
      <c r="L278" t="n">
        <v>0</v>
      </c>
      <c r="M278" t="n">
        <v>0</v>
      </c>
      <c r="N278" t="n">
        <v>0</v>
      </c>
      <c r="O278" t="n">
        <v>0</v>
      </c>
      <c r="P278" t="n">
        <v>0</v>
      </c>
      <c r="Q278" t="n">
        <v>0</v>
      </c>
      <c r="R278" s="2" t="inlineStr"/>
    </row>
    <row r="279" ht="15" customHeight="1">
      <c r="A279" t="inlineStr">
        <is>
          <t>A 27188-2023</t>
        </is>
      </c>
      <c r="B279" s="1" t="n">
        <v>45096</v>
      </c>
      <c r="C279" s="1" t="n">
        <v>45891</v>
      </c>
      <c r="D279" t="inlineStr">
        <is>
          <t>DALARNAS LÄN</t>
        </is>
      </c>
      <c r="E279" t="inlineStr">
        <is>
          <t>MORA</t>
        </is>
      </c>
      <c r="G279" t="n">
        <v>4.8</v>
      </c>
      <c r="H279" t="n">
        <v>0</v>
      </c>
      <c r="I279" t="n">
        <v>0</v>
      </c>
      <c r="J279" t="n">
        <v>0</v>
      </c>
      <c r="K279" t="n">
        <v>0</v>
      </c>
      <c r="L279" t="n">
        <v>0</v>
      </c>
      <c r="M279" t="n">
        <v>0</v>
      </c>
      <c r="N279" t="n">
        <v>0</v>
      </c>
      <c r="O279" t="n">
        <v>0</v>
      </c>
      <c r="P279" t="n">
        <v>0</v>
      </c>
      <c r="Q279" t="n">
        <v>0</v>
      </c>
      <c r="R279" s="2" t="inlineStr"/>
    </row>
    <row r="280" ht="15" customHeight="1">
      <c r="A280" t="inlineStr">
        <is>
          <t>A 14832-2025</t>
        </is>
      </c>
      <c r="B280" s="1" t="n">
        <v>45743</v>
      </c>
      <c r="C280" s="1" t="n">
        <v>45891</v>
      </c>
      <c r="D280" t="inlineStr">
        <is>
          <t>DALARNAS LÄN</t>
        </is>
      </c>
      <c r="E280" t="inlineStr">
        <is>
          <t>MORA</t>
        </is>
      </c>
      <c r="G280" t="n">
        <v>9.1</v>
      </c>
      <c r="H280" t="n">
        <v>0</v>
      </c>
      <c r="I280" t="n">
        <v>0</v>
      </c>
      <c r="J280" t="n">
        <v>0</v>
      </c>
      <c r="K280" t="n">
        <v>0</v>
      </c>
      <c r="L280" t="n">
        <v>0</v>
      </c>
      <c r="M280" t="n">
        <v>0</v>
      </c>
      <c r="N280" t="n">
        <v>0</v>
      </c>
      <c r="O280" t="n">
        <v>0</v>
      </c>
      <c r="P280" t="n">
        <v>0</v>
      </c>
      <c r="Q280" t="n">
        <v>0</v>
      </c>
      <c r="R280" s="2" t="inlineStr"/>
    </row>
    <row r="281" ht="15" customHeight="1">
      <c r="A281" t="inlineStr">
        <is>
          <t>A 15443-2025</t>
        </is>
      </c>
      <c r="B281" s="1" t="n">
        <v>45747.48371527778</v>
      </c>
      <c r="C281" s="1" t="n">
        <v>45891</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52525-2022</t>
        </is>
      </c>
      <c r="B282" s="1" t="n">
        <v>44874</v>
      </c>
      <c r="C282" s="1" t="n">
        <v>45891</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45574-2023</t>
        </is>
      </c>
      <c r="B283" s="1" t="n">
        <v>45194</v>
      </c>
      <c r="C283" s="1" t="n">
        <v>45891</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31395-2024</t>
        </is>
      </c>
      <c r="B284" s="1" t="n">
        <v>45505.47716435185</v>
      </c>
      <c r="C284" s="1" t="n">
        <v>45891</v>
      </c>
      <c r="D284" t="inlineStr">
        <is>
          <t>DALARNAS LÄN</t>
        </is>
      </c>
      <c r="E284" t="inlineStr">
        <is>
          <t>MORA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5922-2025</t>
        </is>
      </c>
      <c r="B285" s="1" t="n">
        <v>45695.42762731481</v>
      </c>
      <c r="C285" s="1" t="n">
        <v>45891</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19910-2024</t>
        </is>
      </c>
      <c r="B286" s="1" t="n">
        <v>45433.5741087963</v>
      </c>
      <c r="C286" s="1" t="n">
        <v>45891</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41169-2023</t>
        </is>
      </c>
      <c r="B287" s="1" t="n">
        <v>45174.34662037037</v>
      </c>
      <c r="C287" s="1" t="n">
        <v>45891</v>
      </c>
      <c r="D287" t="inlineStr">
        <is>
          <t>DALARNAS LÄN</t>
        </is>
      </c>
      <c r="E287" t="inlineStr">
        <is>
          <t>MORA</t>
        </is>
      </c>
      <c r="G287" t="n">
        <v>3</v>
      </c>
      <c r="H287" t="n">
        <v>0</v>
      </c>
      <c r="I287" t="n">
        <v>0</v>
      </c>
      <c r="J287" t="n">
        <v>0</v>
      </c>
      <c r="K287" t="n">
        <v>0</v>
      </c>
      <c r="L287" t="n">
        <v>0</v>
      </c>
      <c r="M287" t="n">
        <v>0</v>
      </c>
      <c r="N287" t="n">
        <v>0</v>
      </c>
      <c r="O287" t="n">
        <v>0</v>
      </c>
      <c r="P287" t="n">
        <v>0</v>
      </c>
      <c r="Q287" t="n">
        <v>0</v>
      </c>
      <c r="R287" s="2" t="inlineStr"/>
    </row>
    <row r="288" ht="15" customHeight="1">
      <c r="A288" t="inlineStr">
        <is>
          <t>A 20126-2025</t>
        </is>
      </c>
      <c r="B288" s="1" t="n">
        <v>45772.49640046297</v>
      </c>
      <c r="C288" s="1" t="n">
        <v>45891</v>
      </c>
      <c r="D288" t="inlineStr">
        <is>
          <t>DALARNAS LÄN</t>
        </is>
      </c>
      <c r="E288" t="inlineStr">
        <is>
          <t>MORA</t>
        </is>
      </c>
      <c r="G288" t="n">
        <v>12.1</v>
      </c>
      <c r="H288" t="n">
        <v>0</v>
      </c>
      <c r="I288" t="n">
        <v>0</v>
      </c>
      <c r="J288" t="n">
        <v>0</v>
      </c>
      <c r="K288" t="n">
        <v>0</v>
      </c>
      <c r="L288" t="n">
        <v>0</v>
      </c>
      <c r="M288" t="n">
        <v>0</v>
      </c>
      <c r="N288" t="n">
        <v>0</v>
      </c>
      <c r="O288" t="n">
        <v>0</v>
      </c>
      <c r="P288" t="n">
        <v>0</v>
      </c>
      <c r="Q288" t="n">
        <v>0</v>
      </c>
      <c r="R288" s="2" t="inlineStr"/>
    </row>
    <row r="289" ht="15" customHeight="1">
      <c r="A289" t="inlineStr">
        <is>
          <t>A 15643-2025</t>
        </is>
      </c>
      <c r="B289" s="1" t="n">
        <v>45748.39222222222</v>
      </c>
      <c r="C289" s="1" t="n">
        <v>45891</v>
      </c>
      <c r="D289" t="inlineStr">
        <is>
          <t>DALARNAS LÄN</t>
        </is>
      </c>
      <c r="E289" t="inlineStr">
        <is>
          <t>MORA</t>
        </is>
      </c>
      <c r="G289" t="n">
        <v>7.6</v>
      </c>
      <c r="H289" t="n">
        <v>0</v>
      </c>
      <c r="I289" t="n">
        <v>0</v>
      </c>
      <c r="J289" t="n">
        <v>0</v>
      </c>
      <c r="K289" t="n">
        <v>0</v>
      </c>
      <c r="L289" t="n">
        <v>0</v>
      </c>
      <c r="M289" t="n">
        <v>0</v>
      </c>
      <c r="N289" t="n">
        <v>0</v>
      </c>
      <c r="O289" t="n">
        <v>0</v>
      </c>
      <c r="P289" t="n">
        <v>0</v>
      </c>
      <c r="Q289" t="n">
        <v>0</v>
      </c>
      <c r="R289" s="2" t="inlineStr"/>
    </row>
    <row r="290" ht="15" customHeight="1">
      <c r="A290" t="inlineStr">
        <is>
          <t>A 36058-2024</t>
        </is>
      </c>
      <c r="B290" s="1" t="n">
        <v>45533</v>
      </c>
      <c r="C290" s="1" t="n">
        <v>45891</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69483-2021</t>
        </is>
      </c>
      <c r="B291" s="1" t="n">
        <v>44531</v>
      </c>
      <c r="C291" s="1" t="n">
        <v>45891</v>
      </c>
      <c r="D291" t="inlineStr">
        <is>
          <t>DALARNAS LÄN</t>
        </is>
      </c>
      <c r="E291" t="inlineStr">
        <is>
          <t>MORA</t>
        </is>
      </c>
      <c r="G291" t="n">
        <v>1.5</v>
      </c>
      <c r="H291" t="n">
        <v>0</v>
      </c>
      <c r="I291" t="n">
        <v>0</v>
      </c>
      <c r="J291" t="n">
        <v>0</v>
      </c>
      <c r="K291" t="n">
        <v>0</v>
      </c>
      <c r="L291" t="n">
        <v>0</v>
      </c>
      <c r="M291" t="n">
        <v>0</v>
      </c>
      <c r="N291" t="n">
        <v>0</v>
      </c>
      <c r="O291" t="n">
        <v>0</v>
      </c>
      <c r="P291" t="n">
        <v>0</v>
      </c>
      <c r="Q291" t="n">
        <v>0</v>
      </c>
      <c r="R291" s="2" t="inlineStr"/>
    </row>
    <row r="292" ht="15" customHeight="1">
      <c r="A292" t="inlineStr">
        <is>
          <t>A 56460-2022</t>
        </is>
      </c>
      <c r="B292" s="1" t="n">
        <v>44893</v>
      </c>
      <c r="C292" s="1" t="n">
        <v>45891</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57110-2021</t>
        </is>
      </c>
      <c r="B293" s="1" t="n">
        <v>44482</v>
      </c>
      <c r="C293" s="1" t="n">
        <v>45891</v>
      </c>
      <c r="D293" t="inlineStr">
        <is>
          <t>DALARNAS LÄN</t>
        </is>
      </c>
      <c r="E293" t="inlineStr">
        <is>
          <t>MORA</t>
        </is>
      </c>
      <c r="G293" t="n">
        <v>5.4</v>
      </c>
      <c r="H293" t="n">
        <v>0</v>
      </c>
      <c r="I293" t="n">
        <v>0</v>
      </c>
      <c r="J293" t="n">
        <v>0</v>
      </c>
      <c r="K293" t="n">
        <v>0</v>
      </c>
      <c r="L293" t="n">
        <v>0</v>
      </c>
      <c r="M293" t="n">
        <v>0</v>
      </c>
      <c r="N293" t="n">
        <v>0</v>
      </c>
      <c r="O293" t="n">
        <v>0</v>
      </c>
      <c r="P293" t="n">
        <v>0</v>
      </c>
      <c r="Q293" t="n">
        <v>0</v>
      </c>
      <c r="R293" s="2" t="inlineStr"/>
    </row>
    <row r="294" ht="15" customHeight="1">
      <c r="A294" t="inlineStr">
        <is>
          <t>A 38055-2024</t>
        </is>
      </c>
      <c r="B294" s="1" t="n">
        <v>45544</v>
      </c>
      <c r="C294" s="1" t="n">
        <v>45891</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35327-2024</t>
        </is>
      </c>
      <c r="B295" s="1" t="n">
        <v>45530.71334490741</v>
      </c>
      <c r="C295" s="1" t="n">
        <v>45891</v>
      </c>
      <c r="D295" t="inlineStr">
        <is>
          <t>DALARNAS LÄN</t>
        </is>
      </c>
      <c r="E295" t="inlineStr">
        <is>
          <t>MORA</t>
        </is>
      </c>
      <c r="G295" t="n">
        <v>5</v>
      </c>
      <c r="H295" t="n">
        <v>0</v>
      </c>
      <c r="I295" t="n">
        <v>0</v>
      </c>
      <c r="J295" t="n">
        <v>0</v>
      </c>
      <c r="K295" t="n">
        <v>0</v>
      </c>
      <c r="L295" t="n">
        <v>0</v>
      </c>
      <c r="M295" t="n">
        <v>0</v>
      </c>
      <c r="N295" t="n">
        <v>0</v>
      </c>
      <c r="O295" t="n">
        <v>0</v>
      </c>
      <c r="P295" t="n">
        <v>0</v>
      </c>
      <c r="Q295" t="n">
        <v>0</v>
      </c>
      <c r="R295" s="2" t="inlineStr"/>
    </row>
    <row r="296" ht="15" customHeight="1">
      <c r="A296" t="inlineStr">
        <is>
          <t>A 5486-2023</t>
        </is>
      </c>
      <c r="B296" s="1" t="n">
        <v>44957</v>
      </c>
      <c r="C296" s="1" t="n">
        <v>45891</v>
      </c>
      <c r="D296" t="inlineStr">
        <is>
          <t>DALARNAS LÄN</t>
        </is>
      </c>
      <c r="E296" t="inlineStr">
        <is>
          <t>MORA</t>
        </is>
      </c>
      <c r="G296" t="n">
        <v>3.2</v>
      </c>
      <c r="H296" t="n">
        <v>0</v>
      </c>
      <c r="I296" t="n">
        <v>0</v>
      </c>
      <c r="J296" t="n">
        <v>0</v>
      </c>
      <c r="K296" t="n">
        <v>0</v>
      </c>
      <c r="L296" t="n">
        <v>0</v>
      </c>
      <c r="M296" t="n">
        <v>0</v>
      </c>
      <c r="N296" t="n">
        <v>0</v>
      </c>
      <c r="O296" t="n">
        <v>0</v>
      </c>
      <c r="P296" t="n">
        <v>0</v>
      </c>
      <c r="Q296" t="n">
        <v>0</v>
      </c>
      <c r="R296" s="2" t="inlineStr"/>
    </row>
    <row r="297" ht="15" customHeight="1">
      <c r="A297" t="inlineStr">
        <is>
          <t>A 17692-2024</t>
        </is>
      </c>
      <c r="B297" s="1" t="n">
        <v>45418.44195601852</v>
      </c>
      <c r="C297" s="1" t="n">
        <v>45891</v>
      </c>
      <c r="D297" t="inlineStr">
        <is>
          <t>DALARNAS LÄN</t>
        </is>
      </c>
      <c r="E297" t="inlineStr">
        <is>
          <t>MORA</t>
        </is>
      </c>
      <c r="F297" t="inlineStr">
        <is>
          <t>Bergvik skog öst AB</t>
        </is>
      </c>
      <c r="G297" t="n">
        <v>7.9</v>
      </c>
      <c r="H297" t="n">
        <v>0</v>
      </c>
      <c r="I297" t="n">
        <v>0</v>
      </c>
      <c r="J297" t="n">
        <v>0</v>
      </c>
      <c r="K297" t="n">
        <v>0</v>
      </c>
      <c r="L297" t="n">
        <v>0</v>
      </c>
      <c r="M297" t="n">
        <v>0</v>
      </c>
      <c r="N297" t="n">
        <v>0</v>
      </c>
      <c r="O297" t="n">
        <v>0</v>
      </c>
      <c r="P297" t="n">
        <v>0</v>
      </c>
      <c r="Q297" t="n">
        <v>0</v>
      </c>
      <c r="R297" s="2" t="inlineStr"/>
    </row>
    <row r="298" ht="15" customHeight="1">
      <c r="A298" t="inlineStr">
        <is>
          <t>A 39882-2024</t>
        </is>
      </c>
      <c r="B298" s="1" t="n">
        <v>45553</v>
      </c>
      <c r="C298" s="1" t="n">
        <v>45891</v>
      </c>
      <c r="D298" t="inlineStr">
        <is>
          <t>DALARNAS LÄN</t>
        </is>
      </c>
      <c r="E298" t="inlineStr">
        <is>
          <t>MORA</t>
        </is>
      </c>
      <c r="G298" t="n">
        <v>14.6</v>
      </c>
      <c r="H298" t="n">
        <v>0</v>
      </c>
      <c r="I298" t="n">
        <v>0</v>
      </c>
      <c r="J298" t="n">
        <v>0</v>
      </c>
      <c r="K298" t="n">
        <v>0</v>
      </c>
      <c r="L298" t="n">
        <v>0</v>
      </c>
      <c r="M298" t="n">
        <v>0</v>
      </c>
      <c r="N298" t="n">
        <v>0</v>
      </c>
      <c r="O298" t="n">
        <v>0</v>
      </c>
      <c r="P298" t="n">
        <v>0</v>
      </c>
      <c r="Q298" t="n">
        <v>0</v>
      </c>
      <c r="R298" s="2" t="inlineStr"/>
    </row>
    <row r="299" ht="15" customHeight="1">
      <c r="A299" t="inlineStr">
        <is>
          <t>A 46129-2024</t>
        </is>
      </c>
      <c r="B299" s="1" t="n">
        <v>45581.43337962963</v>
      </c>
      <c r="C299" s="1" t="n">
        <v>45891</v>
      </c>
      <c r="D299" t="inlineStr">
        <is>
          <t>DALARNAS LÄN</t>
        </is>
      </c>
      <c r="E299" t="inlineStr">
        <is>
          <t>MORA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28934-2023</t>
        </is>
      </c>
      <c r="B300" s="1" t="n">
        <v>45104</v>
      </c>
      <c r="C300" s="1" t="n">
        <v>45891</v>
      </c>
      <c r="D300" t="inlineStr">
        <is>
          <t>DALARNAS LÄN</t>
        </is>
      </c>
      <c r="E300" t="inlineStr">
        <is>
          <t>MORA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31929-2024</t>
        </is>
      </c>
      <c r="B301" s="1" t="n">
        <v>45510.40587962963</v>
      </c>
      <c r="C301" s="1" t="n">
        <v>45891</v>
      </c>
      <c r="D301" t="inlineStr">
        <is>
          <t>DALARNAS LÄN</t>
        </is>
      </c>
      <c r="E301" t="inlineStr">
        <is>
          <t>MORA</t>
        </is>
      </c>
      <c r="G301" t="n">
        <v>10.8</v>
      </c>
      <c r="H301" t="n">
        <v>0</v>
      </c>
      <c r="I301" t="n">
        <v>0</v>
      </c>
      <c r="J301" t="n">
        <v>0</v>
      </c>
      <c r="K301" t="n">
        <v>0</v>
      </c>
      <c r="L301" t="n">
        <v>0</v>
      </c>
      <c r="M301" t="n">
        <v>0</v>
      </c>
      <c r="N301" t="n">
        <v>0</v>
      </c>
      <c r="O301" t="n">
        <v>0</v>
      </c>
      <c r="P301" t="n">
        <v>0</v>
      </c>
      <c r="Q301" t="n">
        <v>0</v>
      </c>
      <c r="R301" s="2" t="inlineStr"/>
    </row>
    <row r="302" ht="15" customHeight="1">
      <c r="A302" t="inlineStr">
        <is>
          <t>A 39897-2022</t>
        </is>
      </c>
      <c r="B302" s="1" t="n">
        <v>44819.66083333334</v>
      </c>
      <c r="C302" s="1" t="n">
        <v>45891</v>
      </c>
      <c r="D302" t="inlineStr">
        <is>
          <t>DALARNAS LÄN</t>
        </is>
      </c>
      <c r="E302" t="inlineStr">
        <is>
          <t>MORA</t>
        </is>
      </c>
      <c r="G302" t="n">
        <v>15.8</v>
      </c>
      <c r="H302" t="n">
        <v>0</v>
      </c>
      <c r="I302" t="n">
        <v>0</v>
      </c>
      <c r="J302" t="n">
        <v>0</v>
      </c>
      <c r="K302" t="n">
        <v>0</v>
      </c>
      <c r="L302" t="n">
        <v>0</v>
      </c>
      <c r="M302" t="n">
        <v>0</v>
      </c>
      <c r="N302" t="n">
        <v>0</v>
      </c>
      <c r="O302" t="n">
        <v>0</v>
      </c>
      <c r="P302" t="n">
        <v>0</v>
      </c>
      <c r="Q302" t="n">
        <v>0</v>
      </c>
      <c r="R302" s="2" t="inlineStr"/>
    </row>
    <row r="303" ht="15" customHeight="1">
      <c r="A303" t="inlineStr">
        <is>
          <t>A 36600-2023</t>
        </is>
      </c>
      <c r="B303" s="1" t="n">
        <v>45153</v>
      </c>
      <c r="C303" s="1" t="n">
        <v>45891</v>
      </c>
      <c r="D303" t="inlineStr">
        <is>
          <t>DALARNAS LÄN</t>
        </is>
      </c>
      <c r="E303" t="inlineStr">
        <is>
          <t>MORA</t>
        </is>
      </c>
      <c r="G303" t="n">
        <v>7.3</v>
      </c>
      <c r="H303" t="n">
        <v>0</v>
      </c>
      <c r="I303" t="n">
        <v>0</v>
      </c>
      <c r="J303" t="n">
        <v>0</v>
      </c>
      <c r="K303" t="n">
        <v>0</v>
      </c>
      <c r="L303" t="n">
        <v>0</v>
      </c>
      <c r="M303" t="n">
        <v>0</v>
      </c>
      <c r="N303" t="n">
        <v>0</v>
      </c>
      <c r="O303" t="n">
        <v>0</v>
      </c>
      <c r="P303" t="n">
        <v>0</v>
      </c>
      <c r="Q303" t="n">
        <v>0</v>
      </c>
      <c r="R303" s="2" t="inlineStr"/>
    </row>
    <row r="304" ht="15" customHeight="1">
      <c r="A304" t="inlineStr">
        <is>
          <t>A 42943-2024</t>
        </is>
      </c>
      <c r="B304" s="1" t="n">
        <v>45567.35359953704</v>
      </c>
      <c r="C304" s="1" t="n">
        <v>45891</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37552-2023</t>
        </is>
      </c>
      <c r="B305" s="1" t="n">
        <v>45159.32799768518</v>
      </c>
      <c r="C305" s="1" t="n">
        <v>45891</v>
      </c>
      <c r="D305" t="inlineStr">
        <is>
          <t>DALARNAS LÄN</t>
        </is>
      </c>
      <c r="E305" t="inlineStr">
        <is>
          <t>MORA</t>
        </is>
      </c>
      <c r="G305" t="n">
        <v>4</v>
      </c>
      <c r="H305" t="n">
        <v>0</v>
      </c>
      <c r="I305" t="n">
        <v>0</v>
      </c>
      <c r="J305" t="n">
        <v>0</v>
      </c>
      <c r="K305" t="n">
        <v>0</v>
      </c>
      <c r="L305" t="n">
        <v>0</v>
      </c>
      <c r="M305" t="n">
        <v>0</v>
      </c>
      <c r="N305" t="n">
        <v>0</v>
      </c>
      <c r="O305" t="n">
        <v>0</v>
      </c>
      <c r="P305" t="n">
        <v>0</v>
      </c>
      <c r="Q305" t="n">
        <v>0</v>
      </c>
      <c r="R305" s="2" t="inlineStr"/>
    </row>
    <row r="306" ht="15" customHeight="1">
      <c r="A306" t="inlineStr">
        <is>
          <t>A 4489-2022</t>
        </is>
      </c>
      <c r="B306" s="1" t="n">
        <v>44589</v>
      </c>
      <c r="C306" s="1" t="n">
        <v>45891</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5418-2025</t>
        </is>
      </c>
      <c r="B307" s="1" t="n">
        <v>45692.68561342593</v>
      </c>
      <c r="C307" s="1" t="n">
        <v>45891</v>
      </c>
      <c r="D307" t="inlineStr">
        <is>
          <t>DALARNAS LÄN</t>
        </is>
      </c>
      <c r="E307" t="inlineStr">
        <is>
          <t>MORA</t>
        </is>
      </c>
      <c r="G307" t="n">
        <v>0.9</v>
      </c>
      <c r="H307" t="n">
        <v>0</v>
      </c>
      <c r="I307" t="n">
        <v>0</v>
      </c>
      <c r="J307" t="n">
        <v>0</v>
      </c>
      <c r="K307" t="n">
        <v>0</v>
      </c>
      <c r="L307" t="n">
        <v>0</v>
      </c>
      <c r="M307" t="n">
        <v>0</v>
      </c>
      <c r="N307" t="n">
        <v>0</v>
      </c>
      <c r="O307" t="n">
        <v>0</v>
      </c>
      <c r="P307" t="n">
        <v>0</v>
      </c>
      <c r="Q307" t="n">
        <v>0</v>
      </c>
      <c r="R307" s="2" t="inlineStr"/>
    </row>
    <row r="308" ht="15" customHeight="1">
      <c r="A308" t="inlineStr">
        <is>
          <t>A 19842-2025</t>
        </is>
      </c>
      <c r="B308" s="1" t="n">
        <v>45771.47938657407</v>
      </c>
      <c r="C308" s="1" t="n">
        <v>45891</v>
      </c>
      <c r="D308" t="inlineStr">
        <is>
          <t>DALARNAS LÄN</t>
        </is>
      </c>
      <c r="E308" t="inlineStr">
        <is>
          <t>MORA</t>
        </is>
      </c>
      <c r="G308" t="n">
        <v>1.9</v>
      </c>
      <c r="H308" t="n">
        <v>0</v>
      </c>
      <c r="I308" t="n">
        <v>0</v>
      </c>
      <c r="J308" t="n">
        <v>0</v>
      </c>
      <c r="K308" t="n">
        <v>0</v>
      </c>
      <c r="L308" t="n">
        <v>0</v>
      </c>
      <c r="M308" t="n">
        <v>0</v>
      </c>
      <c r="N308" t="n">
        <v>0</v>
      </c>
      <c r="O308" t="n">
        <v>0</v>
      </c>
      <c r="P308" t="n">
        <v>0</v>
      </c>
      <c r="Q308" t="n">
        <v>0</v>
      </c>
      <c r="R308" s="2" t="inlineStr"/>
    </row>
    <row r="309" ht="15" customHeight="1">
      <c r="A309" t="inlineStr">
        <is>
          <t>A 18134-2025</t>
        </is>
      </c>
      <c r="B309" s="1" t="n">
        <v>45761.60189814815</v>
      </c>
      <c r="C309" s="1" t="n">
        <v>45891</v>
      </c>
      <c r="D309" t="inlineStr">
        <is>
          <t>DALARNAS LÄN</t>
        </is>
      </c>
      <c r="E309" t="inlineStr">
        <is>
          <t>MORA</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21890-2025</t>
        </is>
      </c>
      <c r="B310" s="1" t="n">
        <v>45784.44481481481</v>
      </c>
      <c r="C310" s="1" t="n">
        <v>45891</v>
      </c>
      <c r="D310" t="inlineStr">
        <is>
          <t>DALARNAS LÄN</t>
        </is>
      </c>
      <c r="E310" t="inlineStr">
        <is>
          <t>MORA</t>
        </is>
      </c>
      <c r="G310" t="n">
        <v>3.8</v>
      </c>
      <c r="H310" t="n">
        <v>0</v>
      </c>
      <c r="I310" t="n">
        <v>0</v>
      </c>
      <c r="J310" t="n">
        <v>0</v>
      </c>
      <c r="K310" t="n">
        <v>0</v>
      </c>
      <c r="L310" t="n">
        <v>0</v>
      </c>
      <c r="M310" t="n">
        <v>0</v>
      </c>
      <c r="N310" t="n">
        <v>0</v>
      </c>
      <c r="O310" t="n">
        <v>0</v>
      </c>
      <c r="P310" t="n">
        <v>0</v>
      </c>
      <c r="Q310" t="n">
        <v>0</v>
      </c>
      <c r="R310" s="2" t="inlineStr"/>
    </row>
    <row r="311" ht="15" customHeight="1">
      <c r="A311" t="inlineStr">
        <is>
          <t>A 21895-2025</t>
        </is>
      </c>
      <c r="B311" s="1" t="n">
        <v>45784.45273148148</v>
      </c>
      <c r="C311" s="1" t="n">
        <v>45891</v>
      </c>
      <c r="D311" t="inlineStr">
        <is>
          <t>DALARNAS LÄN</t>
        </is>
      </c>
      <c r="E311" t="inlineStr">
        <is>
          <t>MORA</t>
        </is>
      </c>
      <c r="G311" t="n">
        <v>0.4</v>
      </c>
      <c r="H311" t="n">
        <v>0</v>
      </c>
      <c r="I311" t="n">
        <v>0</v>
      </c>
      <c r="J311" t="n">
        <v>0</v>
      </c>
      <c r="K311" t="n">
        <v>0</v>
      </c>
      <c r="L311" t="n">
        <v>0</v>
      </c>
      <c r="M311" t="n">
        <v>0</v>
      </c>
      <c r="N311" t="n">
        <v>0</v>
      </c>
      <c r="O311" t="n">
        <v>0</v>
      </c>
      <c r="P311" t="n">
        <v>0</v>
      </c>
      <c r="Q311" t="n">
        <v>0</v>
      </c>
      <c r="R311" s="2" t="inlineStr"/>
    </row>
    <row r="312" ht="15" customHeight="1">
      <c r="A312" t="inlineStr">
        <is>
          <t>A 61249-2023</t>
        </is>
      </c>
      <c r="B312" s="1" t="n">
        <v>45264</v>
      </c>
      <c r="C312" s="1" t="n">
        <v>45891</v>
      </c>
      <c r="D312" t="inlineStr">
        <is>
          <t>DALARNAS LÄN</t>
        </is>
      </c>
      <c r="E312" t="inlineStr">
        <is>
          <t>MORA</t>
        </is>
      </c>
      <c r="F312" t="inlineStr">
        <is>
          <t>Allmännings- och besparingsskogar</t>
        </is>
      </c>
      <c r="G312" t="n">
        <v>1.7</v>
      </c>
      <c r="H312" t="n">
        <v>0</v>
      </c>
      <c r="I312" t="n">
        <v>0</v>
      </c>
      <c r="J312" t="n">
        <v>0</v>
      </c>
      <c r="K312" t="n">
        <v>0</v>
      </c>
      <c r="L312" t="n">
        <v>0</v>
      </c>
      <c r="M312" t="n">
        <v>0</v>
      </c>
      <c r="N312" t="n">
        <v>0</v>
      </c>
      <c r="O312" t="n">
        <v>0</v>
      </c>
      <c r="P312" t="n">
        <v>0</v>
      </c>
      <c r="Q312" t="n">
        <v>0</v>
      </c>
      <c r="R312" s="2" t="inlineStr"/>
    </row>
    <row r="313" ht="15" customHeight="1">
      <c r="A313" t="inlineStr">
        <is>
          <t>A 23302-2024</t>
        </is>
      </c>
      <c r="B313" s="1" t="n">
        <v>45453.44091435185</v>
      </c>
      <c r="C313" s="1" t="n">
        <v>45891</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30985-2024</t>
        </is>
      </c>
      <c r="B314" s="1" t="n">
        <v>45499.51721064815</v>
      </c>
      <c r="C314" s="1" t="n">
        <v>45891</v>
      </c>
      <c r="D314" t="inlineStr">
        <is>
          <t>DALARNAS LÄN</t>
        </is>
      </c>
      <c r="E314" t="inlineStr">
        <is>
          <t>MORA</t>
        </is>
      </c>
      <c r="G314" t="n">
        <v>0.7</v>
      </c>
      <c r="H314" t="n">
        <v>0</v>
      </c>
      <c r="I314" t="n">
        <v>0</v>
      </c>
      <c r="J314" t="n">
        <v>0</v>
      </c>
      <c r="K314" t="n">
        <v>0</v>
      </c>
      <c r="L314" t="n">
        <v>0</v>
      </c>
      <c r="M314" t="n">
        <v>0</v>
      </c>
      <c r="N314" t="n">
        <v>0</v>
      </c>
      <c r="O314" t="n">
        <v>0</v>
      </c>
      <c r="P314" t="n">
        <v>0</v>
      </c>
      <c r="Q314" t="n">
        <v>0</v>
      </c>
      <c r="R314" s="2" t="inlineStr"/>
    </row>
    <row r="315" ht="15" customHeight="1">
      <c r="A315" t="inlineStr">
        <is>
          <t>A 21894-2025</t>
        </is>
      </c>
      <c r="B315" s="1" t="n">
        <v>45784.45060185185</v>
      </c>
      <c r="C315" s="1" t="n">
        <v>45891</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57859-2022</t>
        </is>
      </c>
      <c r="B316" s="1" t="n">
        <v>44898</v>
      </c>
      <c r="C316" s="1" t="n">
        <v>45891</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60647-2022</t>
        </is>
      </c>
      <c r="B317" s="1" t="n">
        <v>44911</v>
      </c>
      <c r="C317" s="1" t="n">
        <v>45891</v>
      </c>
      <c r="D317" t="inlineStr">
        <is>
          <t>DALARNAS LÄN</t>
        </is>
      </c>
      <c r="E317" t="inlineStr">
        <is>
          <t>MORA</t>
        </is>
      </c>
      <c r="G317" t="n">
        <v>4.8</v>
      </c>
      <c r="H317" t="n">
        <v>0</v>
      </c>
      <c r="I317" t="n">
        <v>0</v>
      </c>
      <c r="J317" t="n">
        <v>0</v>
      </c>
      <c r="K317" t="n">
        <v>0</v>
      </c>
      <c r="L317" t="n">
        <v>0</v>
      </c>
      <c r="M317" t="n">
        <v>0</v>
      </c>
      <c r="N317" t="n">
        <v>0</v>
      </c>
      <c r="O317" t="n">
        <v>0</v>
      </c>
      <c r="P317" t="n">
        <v>0</v>
      </c>
      <c r="Q317" t="n">
        <v>0</v>
      </c>
      <c r="R317" s="2" t="inlineStr"/>
    </row>
    <row r="318" ht="15" customHeight="1">
      <c r="A318" t="inlineStr">
        <is>
          <t>A 48522-2024</t>
        </is>
      </c>
      <c r="B318" s="1" t="n">
        <v>45593.32924768519</v>
      </c>
      <c r="C318" s="1" t="n">
        <v>45891</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16733-2024</t>
        </is>
      </c>
      <c r="B319" s="1" t="n">
        <v>45410.78502314815</v>
      </c>
      <c r="C319" s="1" t="n">
        <v>45891</v>
      </c>
      <c r="D319" t="inlineStr">
        <is>
          <t>DALARNAS LÄN</t>
        </is>
      </c>
      <c r="E319" t="inlineStr">
        <is>
          <t>MORA</t>
        </is>
      </c>
      <c r="G319" t="n">
        <v>6.3</v>
      </c>
      <c r="H319" t="n">
        <v>0</v>
      </c>
      <c r="I319" t="n">
        <v>0</v>
      </c>
      <c r="J319" t="n">
        <v>0</v>
      </c>
      <c r="K319" t="n">
        <v>0</v>
      </c>
      <c r="L319" t="n">
        <v>0</v>
      </c>
      <c r="M319" t="n">
        <v>0</v>
      </c>
      <c r="N319" t="n">
        <v>0</v>
      </c>
      <c r="O319" t="n">
        <v>0</v>
      </c>
      <c r="P319" t="n">
        <v>0</v>
      </c>
      <c r="Q319" t="n">
        <v>0</v>
      </c>
      <c r="R319" s="2" t="inlineStr"/>
    </row>
    <row r="320" ht="15" customHeight="1">
      <c r="A320" t="inlineStr">
        <is>
          <t>A 53159-2024</t>
        </is>
      </c>
      <c r="B320" s="1" t="n">
        <v>45611.63849537037</v>
      </c>
      <c r="C320" s="1" t="n">
        <v>45891</v>
      </c>
      <c r="D320" t="inlineStr">
        <is>
          <t>DALARNAS LÄN</t>
        </is>
      </c>
      <c r="E320" t="inlineStr">
        <is>
          <t>MORA</t>
        </is>
      </c>
      <c r="G320" t="n">
        <v>3.3</v>
      </c>
      <c r="H320" t="n">
        <v>0</v>
      </c>
      <c r="I320" t="n">
        <v>0</v>
      </c>
      <c r="J320" t="n">
        <v>0</v>
      </c>
      <c r="K320" t="n">
        <v>0</v>
      </c>
      <c r="L320" t="n">
        <v>0</v>
      </c>
      <c r="M320" t="n">
        <v>0</v>
      </c>
      <c r="N320" t="n">
        <v>0</v>
      </c>
      <c r="O320" t="n">
        <v>0</v>
      </c>
      <c r="P320" t="n">
        <v>0</v>
      </c>
      <c r="Q320" t="n">
        <v>0</v>
      </c>
      <c r="R320" s="2" t="inlineStr"/>
    </row>
    <row r="321" ht="15" customHeight="1">
      <c r="A321" t="inlineStr">
        <is>
          <t>A 21877-2025</t>
        </is>
      </c>
      <c r="B321" s="1" t="n">
        <v>45784.40041666666</v>
      </c>
      <c r="C321" s="1" t="n">
        <v>45891</v>
      </c>
      <c r="D321" t="inlineStr">
        <is>
          <t>DALARNAS LÄN</t>
        </is>
      </c>
      <c r="E321" t="inlineStr">
        <is>
          <t>MORA</t>
        </is>
      </c>
      <c r="G321" t="n">
        <v>5.9</v>
      </c>
      <c r="H321" t="n">
        <v>0</v>
      </c>
      <c r="I321" t="n">
        <v>0</v>
      </c>
      <c r="J321" t="n">
        <v>0</v>
      </c>
      <c r="K321" t="n">
        <v>0</v>
      </c>
      <c r="L321" t="n">
        <v>0</v>
      </c>
      <c r="M321" t="n">
        <v>0</v>
      </c>
      <c r="N321" t="n">
        <v>0</v>
      </c>
      <c r="O321" t="n">
        <v>0</v>
      </c>
      <c r="P321" t="n">
        <v>0</v>
      </c>
      <c r="Q321" t="n">
        <v>0</v>
      </c>
      <c r="R321" s="2" t="inlineStr"/>
    </row>
    <row r="322" ht="15" customHeight="1">
      <c r="A322" t="inlineStr">
        <is>
          <t>A 68415-2021</t>
        </is>
      </c>
      <c r="B322" s="1" t="n">
        <v>44529</v>
      </c>
      <c r="C322" s="1" t="n">
        <v>45891</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60187-2024</t>
        </is>
      </c>
      <c r="B323" s="1" t="n">
        <v>45642.64803240741</v>
      </c>
      <c r="C323" s="1" t="n">
        <v>45891</v>
      </c>
      <c r="D323" t="inlineStr">
        <is>
          <t>DALARNAS LÄN</t>
        </is>
      </c>
      <c r="E323" t="inlineStr">
        <is>
          <t>MORA</t>
        </is>
      </c>
      <c r="F323" t="inlineStr">
        <is>
          <t>Allmännings- och besparingsskogar</t>
        </is>
      </c>
      <c r="G323" t="n">
        <v>24.6</v>
      </c>
      <c r="H323" t="n">
        <v>0</v>
      </c>
      <c r="I323" t="n">
        <v>0</v>
      </c>
      <c r="J323" t="n">
        <v>0</v>
      </c>
      <c r="K323" t="n">
        <v>0</v>
      </c>
      <c r="L323" t="n">
        <v>0</v>
      </c>
      <c r="M323" t="n">
        <v>0</v>
      </c>
      <c r="N323" t="n">
        <v>0</v>
      </c>
      <c r="O323" t="n">
        <v>0</v>
      </c>
      <c r="P323" t="n">
        <v>0</v>
      </c>
      <c r="Q323" t="n">
        <v>0</v>
      </c>
      <c r="R323" s="2" t="inlineStr"/>
    </row>
    <row r="324" ht="15" customHeight="1">
      <c r="A324" t="inlineStr">
        <is>
          <t>A 15435-2024</t>
        </is>
      </c>
      <c r="B324" s="1" t="n">
        <v>45401.40806712963</v>
      </c>
      <c r="C324" s="1" t="n">
        <v>45891</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24590-2024</t>
        </is>
      </c>
      <c r="B325" s="1" t="n">
        <v>45460</v>
      </c>
      <c r="C325" s="1" t="n">
        <v>45891</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51965-2024</t>
        </is>
      </c>
      <c r="B326" s="1" t="n">
        <v>45607.65123842593</v>
      </c>
      <c r="C326" s="1" t="n">
        <v>45891</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16573-2024</t>
        </is>
      </c>
      <c r="B327" s="1" t="n">
        <v>45408.46980324074</v>
      </c>
      <c r="C327" s="1" t="n">
        <v>45891</v>
      </c>
      <c r="D327" t="inlineStr">
        <is>
          <t>DALARNAS LÄN</t>
        </is>
      </c>
      <c r="E327" t="inlineStr">
        <is>
          <t>MORA</t>
        </is>
      </c>
      <c r="G327" t="n">
        <v>4.5</v>
      </c>
      <c r="H327" t="n">
        <v>0</v>
      </c>
      <c r="I327" t="n">
        <v>0</v>
      </c>
      <c r="J327" t="n">
        <v>0</v>
      </c>
      <c r="K327" t="n">
        <v>0</v>
      </c>
      <c r="L327" t="n">
        <v>0</v>
      </c>
      <c r="M327" t="n">
        <v>0</v>
      </c>
      <c r="N327" t="n">
        <v>0</v>
      </c>
      <c r="O327" t="n">
        <v>0</v>
      </c>
      <c r="P327" t="n">
        <v>0</v>
      </c>
      <c r="Q327" t="n">
        <v>0</v>
      </c>
      <c r="R327" s="2" t="inlineStr"/>
    </row>
    <row r="328" ht="15" customHeight="1">
      <c r="A328" t="inlineStr">
        <is>
          <t>A 22409-2025</t>
        </is>
      </c>
      <c r="B328" s="1" t="n">
        <v>45786.54940972223</v>
      </c>
      <c r="C328" s="1" t="n">
        <v>45891</v>
      </c>
      <c r="D328" t="inlineStr">
        <is>
          <t>DALARNAS LÄN</t>
        </is>
      </c>
      <c r="E328" t="inlineStr">
        <is>
          <t>MORA</t>
        </is>
      </c>
      <c r="F328" t="inlineStr">
        <is>
          <t>Bergvik skog öst AB</t>
        </is>
      </c>
      <c r="G328" t="n">
        <v>5</v>
      </c>
      <c r="H328" t="n">
        <v>0</v>
      </c>
      <c r="I328" t="n">
        <v>0</v>
      </c>
      <c r="J328" t="n">
        <v>0</v>
      </c>
      <c r="K328" t="n">
        <v>0</v>
      </c>
      <c r="L328" t="n">
        <v>0</v>
      </c>
      <c r="M328" t="n">
        <v>0</v>
      </c>
      <c r="N328" t="n">
        <v>0</v>
      </c>
      <c r="O328" t="n">
        <v>0</v>
      </c>
      <c r="P328" t="n">
        <v>0</v>
      </c>
      <c r="Q328" t="n">
        <v>0</v>
      </c>
      <c r="R328" s="2" t="inlineStr"/>
    </row>
    <row r="329" ht="15" customHeight="1">
      <c r="A329" t="inlineStr">
        <is>
          <t>A 42934-2024</t>
        </is>
      </c>
      <c r="B329" s="1" t="n">
        <v>45567.33655092592</v>
      </c>
      <c r="C329" s="1" t="n">
        <v>45891</v>
      </c>
      <c r="D329" t="inlineStr">
        <is>
          <t>DALARNAS LÄN</t>
        </is>
      </c>
      <c r="E329" t="inlineStr">
        <is>
          <t>MORA</t>
        </is>
      </c>
      <c r="G329" t="n">
        <v>0.7</v>
      </c>
      <c r="H329" t="n">
        <v>0</v>
      </c>
      <c r="I329" t="n">
        <v>0</v>
      </c>
      <c r="J329" t="n">
        <v>0</v>
      </c>
      <c r="K329" t="n">
        <v>0</v>
      </c>
      <c r="L329" t="n">
        <v>0</v>
      </c>
      <c r="M329" t="n">
        <v>0</v>
      </c>
      <c r="N329" t="n">
        <v>0</v>
      </c>
      <c r="O329" t="n">
        <v>0</v>
      </c>
      <c r="P329" t="n">
        <v>0</v>
      </c>
      <c r="Q329" t="n">
        <v>0</v>
      </c>
      <c r="R329" s="2" t="inlineStr"/>
    </row>
    <row r="330" ht="15" customHeight="1">
      <c r="A330" t="inlineStr">
        <is>
          <t>A 2879-2022</t>
        </is>
      </c>
      <c r="B330" s="1" t="n">
        <v>44581</v>
      </c>
      <c r="C330" s="1" t="n">
        <v>45891</v>
      </c>
      <c r="D330" t="inlineStr">
        <is>
          <t>DALARNAS LÄN</t>
        </is>
      </c>
      <c r="E330" t="inlineStr">
        <is>
          <t>MORA</t>
        </is>
      </c>
      <c r="G330" t="n">
        <v>2.3</v>
      </c>
      <c r="H330" t="n">
        <v>0</v>
      </c>
      <c r="I330" t="n">
        <v>0</v>
      </c>
      <c r="J330" t="n">
        <v>0</v>
      </c>
      <c r="K330" t="n">
        <v>0</v>
      </c>
      <c r="L330" t="n">
        <v>0</v>
      </c>
      <c r="M330" t="n">
        <v>0</v>
      </c>
      <c r="N330" t="n">
        <v>0</v>
      </c>
      <c r="O330" t="n">
        <v>0</v>
      </c>
      <c r="P330" t="n">
        <v>0</v>
      </c>
      <c r="Q330" t="n">
        <v>0</v>
      </c>
      <c r="R330" s="2" t="inlineStr"/>
    </row>
    <row r="331" ht="15" customHeight="1">
      <c r="A331" t="inlineStr">
        <is>
          <t>A 42391-2023</t>
        </is>
      </c>
      <c r="B331" s="1" t="n">
        <v>45180</v>
      </c>
      <c r="C331" s="1" t="n">
        <v>45891</v>
      </c>
      <c r="D331" t="inlineStr">
        <is>
          <t>DALARNAS LÄN</t>
        </is>
      </c>
      <c r="E331" t="inlineStr">
        <is>
          <t>MORA</t>
        </is>
      </c>
      <c r="F331" t="inlineStr">
        <is>
          <t>Kommuner</t>
        </is>
      </c>
      <c r="G331" t="n">
        <v>0.3</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45891</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18580-2025</t>
        </is>
      </c>
      <c r="B333" s="1" t="n">
        <v>45763.46721064814</v>
      </c>
      <c r="C333" s="1" t="n">
        <v>45891</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61654-2024</t>
        </is>
      </c>
      <c r="B334" s="1" t="n">
        <v>45646.74988425926</v>
      </c>
      <c r="C334" s="1" t="n">
        <v>45891</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45349-2024</t>
        </is>
      </c>
      <c r="B335" s="1" t="n">
        <v>45576</v>
      </c>
      <c r="C335" s="1" t="n">
        <v>45891</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11193-2025</t>
        </is>
      </c>
      <c r="B336" s="1" t="n">
        <v>45725</v>
      </c>
      <c r="C336" s="1" t="n">
        <v>45891</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22354-2025</t>
        </is>
      </c>
      <c r="B337" s="1" t="n">
        <v>45786.45721064815</v>
      </c>
      <c r="C337" s="1" t="n">
        <v>45891</v>
      </c>
      <c r="D337" t="inlineStr">
        <is>
          <t>DALARNAS LÄN</t>
        </is>
      </c>
      <c r="E337" t="inlineStr">
        <is>
          <t>MORA</t>
        </is>
      </c>
      <c r="F337" t="inlineStr">
        <is>
          <t>Bergvik skog öst AB</t>
        </is>
      </c>
      <c r="G337" t="n">
        <v>2</v>
      </c>
      <c r="H337" t="n">
        <v>0</v>
      </c>
      <c r="I337" t="n">
        <v>0</v>
      </c>
      <c r="J337" t="n">
        <v>0</v>
      </c>
      <c r="K337" t="n">
        <v>0</v>
      </c>
      <c r="L337" t="n">
        <v>0</v>
      </c>
      <c r="M337" t="n">
        <v>0</v>
      </c>
      <c r="N337" t="n">
        <v>0</v>
      </c>
      <c r="O337" t="n">
        <v>0</v>
      </c>
      <c r="P337" t="n">
        <v>0</v>
      </c>
      <c r="Q337" t="n">
        <v>0</v>
      </c>
      <c r="R337" s="2" t="inlineStr"/>
    </row>
    <row r="338" ht="15" customHeight="1">
      <c r="A338" t="inlineStr">
        <is>
          <t>A 57408-2024</t>
        </is>
      </c>
      <c r="B338" s="1" t="n">
        <v>45629</v>
      </c>
      <c r="C338" s="1" t="n">
        <v>45891</v>
      </c>
      <c r="D338" t="inlineStr">
        <is>
          <t>DALARNAS LÄN</t>
        </is>
      </c>
      <c r="E338" t="inlineStr">
        <is>
          <t>MORA</t>
        </is>
      </c>
      <c r="F338" t="inlineStr">
        <is>
          <t>Allmännings- och besparingsskogar</t>
        </is>
      </c>
      <c r="G338" t="n">
        <v>2.5</v>
      </c>
      <c r="H338" t="n">
        <v>0</v>
      </c>
      <c r="I338" t="n">
        <v>0</v>
      </c>
      <c r="J338" t="n">
        <v>0</v>
      </c>
      <c r="K338" t="n">
        <v>0</v>
      </c>
      <c r="L338" t="n">
        <v>0</v>
      </c>
      <c r="M338" t="n">
        <v>0</v>
      </c>
      <c r="N338" t="n">
        <v>0</v>
      </c>
      <c r="O338" t="n">
        <v>0</v>
      </c>
      <c r="P338" t="n">
        <v>0</v>
      </c>
      <c r="Q338" t="n">
        <v>0</v>
      </c>
      <c r="R338" s="2" t="inlineStr"/>
    </row>
    <row r="339" ht="15" customHeight="1">
      <c r="A339" t="inlineStr">
        <is>
          <t>A 46412-2024</t>
        </is>
      </c>
      <c r="B339" s="1" t="n">
        <v>45582.44894675926</v>
      </c>
      <c r="C339" s="1" t="n">
        <v>45891</v>
      </c>
      <c r="D339" t="inlineStr">
        <is>
          <t>DALARNAS LÄN</t>
        </is>
      </c>
      <c r="E339" t="inlineStr">
        <is>
          <t>MORA</t>
        </is>
      </c>
      <c r="G339" t="n">
        <v>4.1</v>
      </c>
      <c r="H339" t="n">
        <v>0</v>
      </c>
      <c r="I339" t="n">
        <v>0</v>
      </c>
      <c r="J339" t="n">
        <v>0</v>
      </c>
      <c r="K339" t="n">
        <v>0</v>
      </c>
      <c r="L339" t="n">
        <v>0</v>
      </c>
      <c r="M339" t="n">
        <v>0</v>
      </c>
      <c r="N339" t="n">
        <v>0</v>
      </c>
      <c r="O339" t="n">
        <v>0</v>
      </c>
      <c r="P339" t="n">
        <v>0</v>
      </c>
      <c r="Q339" t="n">
        <v>0</v>
      </c>
      <c r="R339" s="2" t="inlineStr"/>
    </row>
    <row r="340" ht="15" customHeight="1">
      <c r="A340" t="inlineStr">
        <is>
          <t>A 50685-2023</t>
        </is>
      </c>
      <c r="B340" s="1" t="n">
        <v>45210</v>
      </c>
      <c r="C340" s="1" t="n">
        <v>45891</v>
      </c>
      <c r="D340" t="inlineStr">
        <is>
          <t>DALARNAS LÄN</t>
        </is>
      </c>
      <c r="E340" t="inlineStr">
        <is>
          <t>MORA</t>
        </is>
      </c>
      <c r="G340" t="n">
        <v>1.7</v>
      </c>
      <c r="H340" t="n">
        <v>0</v>
      </c>
      <c r="I340" t="n">
        <v>0</v>
      </c>
      <c r="J340" t="n">
        <v>0</v>
      </c>
      <c r="K340" t="n">
        <v>0</v>
      </c>
      <c r="L340" t="n">
        <v>0</v>
      </c>
      <c r="M340" t="n">
        <v>0</v>
      </c>
      <c r="N340" t="n">
        <v>0</v>
      </c>
      <c r="O340" t="n">
        <v>0</v>
      </c>
      <c r="P340" t="n">
        <v>0</v>
      </c>
      <c r="Q340" t="n">
        <v>0</v>
      </c>
      <c r="R340" s="2" t="inlineStr"/>
    </row>
    <row r="341" ht="15" customHeight="1">
      <c r="A341" t="inlineStr">
        <is>
          <t>A 50759-2023</t>
        </is>
      </c>
      <c r="B341" s="1" t="n">
        <v>45217.60914351852</v>
      </c>
      <c r="C341" s="1" t="n">
        <v>45891</v>
      </c>
      <c r="D341" t="inlineStr">
        <is>
          <t>DALARNAS LÄN</t>
        </is>
      </c>
      <c r="E341" t="inlineStr">
        <is>
          <t>MORA</t>
        </is>
      </c>
      <c r="G341" t="n">
        <v>5.3</v>
      </c>
      <c r="H341" t="n">
        <v>0</v>
      </c>
      <c r="I341" t="n">
        <v>0</v>
      </c>
      <c r="J341" t="n">
        <v>0</v>
      </c>
      <c r="K341" t="n">
        <v>0</v>
      </c>
      <c r="L341" t="n">
        <v>0</v>
      </c>
      <c r="M341" t="n">
        <v>0</v>
      </c>
      <c r="N341" t="n">
        <v>0</v>
      </c>
      <c r="O341" t="n">
        <v>0</v>
      </c>
      <c r="P341" t="n">
        <v>0</v>
      </c>
      <c r="Q341" t="n">
        <v>0</v>
      </c>
      <c r="R341" s="2" t="inlineStr"/>
    </row>
    <row r="342" ht="15" customHeight="1">
      <c r="A342" t="inlineStr">
        <is>
          <t>A 54628-2024</t>
        </is>
      </c>
      <c r="B342" s="1" t="n">
        <v>45617.83969907407</v>
      </c>
      <c r="C342" s="1" t="n">
        <v>45891</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1252-2025</t>
        </is>
      </c>
      <c r="B343" s="1" t="n">
        <v>45667.46648148148</v>
      </c>
      <c r="C343" s="1" t="n">
        <v>45891</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39348-2024</t>
        </is>
      </c>
      <c r="B344" s="1" t="n">
        <v>45551.45322916667</v>
      </c>
      <c r="C344" s="1" t="n">
        <v>45891</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43964-2024</t>
        </is>
      </c>
      <c r="B345" s="1" t="n">
        <v>45572.48407407408</v>
      </c>
      <c r="C345" s="1" t="n">
        <v>45891</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2830-2023</t>
        </is>
      </c>
      <c r="B346" s="1" t="n">
        <v>44945.32997685186</v>
      </c>
      <c r="C346" s="1" t="n">
        <v>45891</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39511-2024</t>
        </is>
      </c>
      <c r="B347" s="1" t="n">
        <v>45551.68347222222</v>
      </c>
      <c r="C347" s="1" t="n">
        <v>45891</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37695-2024</t>
        </is>
      </c>
      <c r="B348" s="1" t="n">
        <v>45541.61094907407</v>
      </c>
      <c r="C348" s="1" t="n">
        <v>45891</v>
      </c>
      <c r="D348" t="inlineStr">
        <is>
          <t>DALARNAS LÄN</t>
        </is>
      </c>
      <c r="E348" t="inlineStr">
        <is>
          <t>MORA</t>
        </is>
      </c>
      <c r="G348" t="n">
        <v>19.7</v>
      </c>
      <c r="H348" t="n">
        <v>0</v>
      </c>
      <c r="I348" t="n">
        <v>0</v>
      </c>
      <c r="J348" t="n">
        <v>0</v>
      </c>
      <c r="K348" t="n">
        <v>0</v>
      </c>
      <c r="L348" t="n">
        <v>0</v>
      </c>
      <c r="M348" t="n">
        <v>0</v>
      </c>
      <c r="N348" t="n">
        <v>0</v>
      </c>
      <c r="O348" t="n">
        <v>0</v>
      </c>
      <c r="P348" t="n">
        <v>0</v>
      </c>
      <c r="Q348" t="n">
        <v>0</v>
      </c>
      <c r="R348" s="2" t="inlineStr"/>
    </row>
    <row r="349" ht="15" customHeight="1">
      <c r="A349" t="inlineStr">
        <is>
          <t>A 56834-2024</t>
        </is>
      </c>
      <c r="B349" s="1" t="n">
        <v>45628.49931712963</v>
      </c>
      <c r="C349" s="1" t="n">
        <v>45891</v>
      </c>
      <c r="D349" t="inlineStr">
        <is>
          <t>DALARNAS LÄN</t>
        </is>
      </c>
      <c r="E349" t="inlineStr">
        <is>
          <t>MORA</t>
        </is>
      </c>
      <c r="G349" t="n">
        <v>0.4</v>
      </c>
      <c r="H349" t="n">
        <v>0</v>
      </c>
      <c r="I349" t="n">
        <v>0</v>
      </c>
      <c r="J349" t="n">
        <v>0</v>
      </c>
      <c r="K349" t="n">
        <v>0</v>
      </c>
      <c r="L349" t="n">
        <v>0</v>
      </c>
      <c r="M349" t="n">
        <v>0</v>
      </c>
      <c r="N349" t="n">
        <v>0</v>
      </c>
      <c r="O349" t="n">
        <v>0</v>
      </c>
      <c r="P349" t="n">
        <v>0</v>
      </c>
      <c r="Q349" t="n">
        <v>0</v>
      </c>
      <c r="R349" s="2" t="inlineStr"/>
    </row>
    <row r="350" ht="15" customHeight="1">
      <c r="A350" t="inlineStr">
        <is>
          <t>A 8068-2024</t>
        </is>
      </c>
      <c r="B350" s="1" t="n">
        <v>45351.41524305556</v>
      </c>
      <c r="C350" s="1" t="n">
        <v>45891</v>
      </c>
      <c r="D350" t="inlineStr">
        <is>
          <t>DALARNAS LÄN</t>
        </is>
      </c>
      <c r="E350" t="inlineStr">
        <is>
          <t>MORA</t>
        </is>
      </c>
      <c r="G350" t="n">
        <v>6.4</v>
      </c>
      <c r="H350" t="n">
        <v>0</v>
      </c>
      <c r="I350" t="n">
        <v>0</v>
      </c>
      <c r="J350" t="n">
        <v>0</v>
      </c>
      <c r="K350" t="n">
        <v>0</v>
      </c>
      <c r="L350" t="n">
        <v>0</v>
      </c>
      <c r="M350" t="n">
        <v>0</v>
      </c>
      <c r="N350" t="n">
        <v>0</v>
      </c>
      <c r="O350" t="n">
        <v>0</v>
      </c>
      <c r="P350" t="n">
        <v>0</v>
      </c>
      <c r="Q350" t="n">
        <v>0</v>
      </c>
      <c r="R350" s="2" t="inlineStr"/>
    </row>
    <row r="351" ht="15" customHeight="1">
      <c r="A351" t="inlineStr">
        <is>
          <t>A 56900-2024</t>
        </is>
      </c>
      <c r="B351" s="1" t="n">
        <v>45625</v>
      </c>
      <c r="C351" s="1" t="n">
        <v>45891</v>
      </c>
      <c r="D351" t="inlineStr">
        <is>
          <t>DALARNAS LÄN</t>
        </is>
      </c>
      <c r="E351" t="inlineStr">
        <is>
          <t>MORA</t>
        </is>
      </c>
      <c r="G351" t="n">
        <v>2.7</v>
      </c>
      <c r="H351" t="n">
        <v>0</v>
      </c>
      <c r="I351" t="n">
        <v>0</v>
      </c>
      <c r="J351" t="n">
        <v>0</v>
      </c>
      <c r="K351" t="n">
        <v>0</v>
      </c>
      <c r="L351" t="n">
        <v>0</v>
      </c>
      <c r="M351" t="n">
        <v>0</v>
      </c>
      <c r="N351" t="n">
        <v>0</v>
      </c>
      <c r="O351" t="n">
        <v>0</v>
      </c>
      <c r="P351" t="n">
        <v>0</v>
      </c>
      <c r="Q351" t="n">
        <v>0</v>
      </c>
      <c r="R351" s="2" t="inlineStr"/>
    </row>
    <row r="352" ht="15" customHeight="1">
      <c r="A352" t="inlineStr">
        <is>
          <t>A 43863-2023</t>
        </is>
      </c>
      <c r="B352" s="1" t="n">
        <v>45187.62532407408</v>
      </c>
      <c r="C352" s="1" t="n">
        <v>45891</v>
      </c>
      <c r="D352" t="inlineStr">
        <is>
          <t>DALARNAS LÄN</t>
        </is>
      </c>
      <c r="E352" t="inlineStr">
        <is>
          <t>MORA</t>
        </is>
      </c>
      <c r="F352" t="inlineStr">
        <is>
          <t>Bergvik skog väst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34660-2021</t>
        </is>
      </c>
      <c r="B353" s="1" t="n">
        <v>44382.57981481482</v>
      </c>
      <c r="C353" s="1" t="n">
        <v>45891</v>
      </c>
      <c r="D353" t="inlineStr">
        <is>
          <t>DALARNAS LÄN</t>
        </is>
      </c>
      <c r="E353" t="inlineStr">
        <is>
          <t>MORA</t>
        </is>
      </c>
      <c r="G353" t="n">
        <v>7.5</v>
      </c>
      <c r="H353" t="n">
        <v>0</v>
      </c>
      <c r="I353" t="n">
        <v>0</v>
      </c>
      <c r="J353" t="n">
        <v>0</v>
      </c>
      <c r="K353" t="n">
        <v>0</v>
      </c>
      <c r="L353" t="n">
        <v>0</v>
      </c>
      <c r="M353" t="n">
        <v>0</v>
      </c>
      <c r="N353" t="n">
        <v>0</v>
      </c>
      <c r="O353" t="n">
        <v>0</v>
      </c>
      <c r="P353" t="n">
        <v>0</v>
      </c>
      <c r="Q353" t="n">
        <v>0</v>
      </c>
      <c r="R353" s="2" t="inlineStr"/>
    </row>
    <row r="354" ht="15" customHeight="1">
      <c r="A354" t="inlineStr">
        <is>
          <t>A 56927-2024</t>
        </is>
      </c>
      <c r="B354" s="1" t="n">
        <v>45625</v>
      </c>
      <c r="C354" s="1" t="n">
        <v>45891</v>
      </c>
      <c r="D354" t="inlineStr">
        <is>
          <t>DALARNAS LÄN</t>
        </is>
      </c>
      <c r="E354" t="inlineStr">
        <is>
          <t>MORA</t>
        </is>
      </c>
      <c r="G354" t="n">
        <v>2.8</v>
      </c>
      <c r="H354" t="n">
        <v>0</v>
      </c>
      <c r="I354" t="n">
        <v>0</v>
      </c>
      <c r="J354" t="n">
        <v>0</v>
      </c>
      <c r="K354" t="n">
        <v>0</v>
      </c>
      <c r="L354" t="n">
        <v>0</v>
      </c>
      <c r="M354" t="n">
        <v>0</v>
      </c>
      <c r="N354" t="n">
        <v>0</v>
      </c>
      <c r="O354" t="n">
        <v>0</v>
      </c>
      <c r="P354" t="n">
        <v>0</v>
      </c>
      <c r="Q354" t="n">
        <v>0</v>
      </c>
      <c r="R354" s="2" t="inlineStr"/>
    </row>
    <row r="355" ht="15" customHeight="1">
      <c r="A355" t="inlineStr">
        <is>
          <t>A 2308-2023</t>
        </is>
      </c>
      <c r="B355" s="1" t="n">
        <v>44942.57987268519</v>
      </c>
      <c r="C355" s="1" t="n">
        <v>45891</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35521-2023</t>
        </is>
      </c>
      <c r="B356" s="1" t="n">
        <v>45147.33251157407</v>
      </c>
      <c r="C356" s="1" t="n">
        <v>45891</v>
      </c>
      <c r="D356" t="inlineStr">
        <is>
          <t>DALARNAS LÄN</t>
        </is>
      </c>
      <c r="E356" t="inlineStr">
        <is>
          <t>MORA</t>
        </is>
      </c>
      <c r="G356" t="n">
        <v>3.7</v>
      </c>
      <c r="H356" t="n">
        <v>0</v>
      </c>
      <c r="I356" t="n">
        <v>0</v>
      </c>
      <c r="J356" t="n">
        <v>0</v>
      </c>
      <c r="K356" t="n">
        <v>0</v>
      </c>
      <c r="L356" t="n">
        <v>0</v>
      </c>
      <c r="M356" t="n">
        <v>0</v>
      </c>
      <c r="N356" t="n">
        <v>0</v>
      </c>
      <c r="O356" t="n">
        <v>0</v>
      </c>
      <c r="P356" t="n">
        <v>0</v>
      </c>
      <c r="Q356" t="n">
        <v>0</v>
      </c>
      <c r="R356" s="2" t="inlineStr"/>
    </row>
    <row r="357" ht="15" customHeight="1">
      <c r="A357" t="inlineStr">
        <is>
          <t>A 31112-2024</t>
        </is>
      </c>
      <c r="B357" s="1" t="n">
        <v>45502.55185185185</v>
      </c>
      <c r="C357" s="1" t="n">
        <v>45891</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44205-2023</t>
        </is>
      </c>
      <c r="B358" s="1" t="n">
        <v>45188</v>
      </c>
      <c r="C358" s="1" t="n">
        <v>45891</v>
      </c>
      <c r="D358" t="inlineStr">
        <is>
          <t>DALARNAS LÄN</t>
        </is>
      </c>
      <c r="E358" t="inlineStr">
        <is>
          <t>MORA</t>
        </is>
      </c>
      <c r="G358" t="n">
        <v>0.7</v>
      </c>
      <c r="H358" t="n">
        <v>0</v>
      </c>
      <c r="I358" t="n">
        <v>0</v>
      </c>
      <c r="J358" t="n">
        <v>0</v>
      </c>
      <c r="K358" t="n">
        <v>0</v>
      </c>
      <c r="L358" t="n">
        <v>0</v>
      </c>
      <c r="M358" t="n">
        <v>0</v>
      </c>
      <c r="N358" t="n">
        <v>0</v>
      </c>
      <c r="O358" t="n">
        <v>0</v>
      </c>
      <c r="P358" t="n">
        <v>0</v>
      </c>
      <c r="Q358" t="n">
        <v>0</v>
      </c>
      <c r="R358" s="2" t="inlineStr"/>
    </row>
    <row r="359" ht="15" customHeight="1">
      <c r="A359" t="inlineStr">
        <is>
          <t>A 55691-2023</t>
        </is>
      </c>
      <c r="B359" s="1" t="n">
        <v>45239.36509259259</v>
      </c>
      <c r="C359" s="1" t="n">
        <v>45891</v>
      </c>
      <c r="D359" t="inlineStr">
        <is>
          <t>DALARNAS LÄN</t>
        </is>
      </c>
      <c r="E359" t="inlineStr">
        <is>
          <t>MORA</t>
        </is>
      </c>
      <c r="G359" t="n">
        <v>2.2</v>
      </c>
      <c r="H359" t="n">
        <v>0</v>
      </c>
      <c r="I359" t="n">
        <v>0</v>
      </c>
      <c r="J359" t="n">
        <v>0</v>
      </c>
      <c r="K359" t="n">
        <v>0</v>
      </c>
      <c r="L359" t="n">
        <v>0</v>
      </c>
      <c r="M359" t="n">
        <v>0</v>
      </c>
      <c r="N359" t="n">
        <v>0</v>
      </c>
      <c r="O359" t="n">
        <v>0</v>
      </c>
      <c r="P359" t="n">
        <v>0</v>
      </c>
      <c r="Q359" t="n">
        <v>0</v>
      </c>
      <c r="R359" s="2" t="inlineStr"/>
    </row>
    <row r="360" ht="15" customHeight="1">
      <c r="A360" t="inlineStr">
        <is>
          <t>A 54192-2023</t>
        </is>
      </c>
      <c r="B360" s="1" t="n">
        <v>45232.53052083333</v>
      </c>
      <c r="C360" s="1" t="n">
        <v>45891</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56012-2023</t>
        </is>
      </c>
      <c r="B361" s="1" t="n">
        <v>45240</v>
      </c>
      <c r="C361" s="1" t="n">
        <v>45891</v>
      </c>
      <c r="D361" t="inlineStr">
        <is>
          <t>DALARNAS LÄN</t>
        </is>
      </c>
      <c r="E361" t="inlineStr">
        <is>
          <t>MORA</t>
        </is>
      </c>
      <c r="G361" t="n">
        <v>0.3</v>
      </c>
      <c r="H361" t="n">
        <v>0</v>
      </c>
      <c r="I361" t="n">
        <v>0</v>
      </c>
      <c r="J361" t="n">
        <v>0</v>
      </c>
      <c r="K361" t="n">
        <v>0</v>
      </c>
      <c r="L361" t="n">
        <v>0</v>
      </c>
      <c r="M361" t="n">
        <v>0</v>
      </c>
      <c r="N361" t="n">
        <v>0</v>
      </c>
      <c r="O361" t="n">
        <v>0</v>
      </c>
      <c r="P361" t="n">
        <v>0</v>
      </c>
      <c r="Q361" t="n">
        <v>0</v>
      </c>
      <c r="R361" s="2" t="inlineStr"/>
    </row>
    <row r="362" ht="15" customHeight="1">
      <c r="A362" t="inlineStr">
        <is>
          <t>A 59404-2024</t>
        </is>
      </c>
      <c r="B362" s="1" t="n">
        <v>45638</v>
      </c>
      <c r="C362" s="1" t="n">
        <v>45891</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22185-2025</t>
        </is>
      </c>
      <c r="B363" s="1" t="n">
        <v>45785</v>
      </c>
      <c r="C363" s="1" t="n">
        <v>45891</v>
      </c>
      <c r="D363" t="inlineStr">
        <is>
          <t>DALARNAS LÄN</t>
        </is>
      </c>
      <c r="E363" t="inlineStr">
        <is>
          <t>MORA</t>
        </is>
      </c>
      <c r="G363" t="n">
        <v>2.4</v>
      </c>
      <c r="H363" t="n">
        <v>0</v>
      </c>
      <c r="I363" t="n">
        <v>0</v>
      </c>
      <c r="J363" t="n">
        <v>0</v>
      </c>
      <c r="K363" t="n">
        <v>0</v>
      </c>
      <c r="L363" t="n">
        <v>0</v>
      </c>
      <c r="M363" t="n">
        <v>0</v>
      </c>
      <c r="N363" t="n">
        <v>0</v>
      </c>
      <c r="O363" t="n">
        <v>0</v>
      </c>
      <c r="P363" t="n">
        <v>0</v>
      </c>
      <c r="Q363" t="n">
        <v>0</v>
      </c>
      <c r="R363" s="2" t="inlineStr"/>
    </row>
    <row r="364" ht="15" customHeight="1">
      <c r="A364" t="inlineStr">
        <is>
          <t>A 23368-2025</t>
        </is>
      </c>
      <c r="B364" s="1" t="n">
        <v>45791.70299768518</v>
      </c>
      <c r="C364" s="1" t="n">
        <v>45891</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56935-2024</t>
        </is>
      </c>
      <c r="B365" s="1" t="n">
        <v>45625</v>
      </c>
      <c r="C365" s="1" t="n">
        <v>45891</v>
      </c>
      <c r="D365" t="inlineStr">
        <is>
          <t>DALARNAS LÄN</t>
        </is>
      </c>
      <c r="E365" t="inlineStr">
        <is>
          <t>MORA</t>
        </is>
      </c>
      <c r="G365" t="n">
        <v>1.1</v>
      </c>
      <c r="H365" t="n">
        <v>0</v>
      </c>
      <c r="I365" t="n">
        <v>0</v>
      </c>
      <c r="J365" t="n">
        <v>0</v>
      </c>
      <c r="K365" t="n">
        <v>0</v>
      </c>
      <c r="L365" t="n">
        <v>0</v>
      </c>
      <c r="M365" t="n">
        <v>0</v>
      </c>
      <c r="N365" t="n">
        <v>0</v>
      </c>
      <c r="O365" t="n">
        <v>0</v>
      </c>
      <c r="P365" t="n">
        <v>0</v>
      </c>
      <c r="Q365" t="n">
        <v>0</v>
      </c>
      <c r="R365" s="2" t="inlineStr"/>
    </row>
    <row r="366" ht="15" customHeight="1">
      <c r="A366" t="inlineStr">
        <is>
          <t>A 51168-2024</t>
        </is>
      </c>
      <c r="B366" s="1" t="n">
        <v>45603.58619212963</v>
      </c>
      <c r="C366" s="1" t="n">
        <v>45891</v>
      </c>
      <c r="D366" t="inlineStr">
        <is>
          <t>DALARNAS LÄN</t>
        </is>
      </c>
      <c r="E366" t="inlineStr">
        <is>
          <t>MORA</t>
        </is>
      </c>
      <c r="G366" t="n">
        <v>3</v>
      </c>
      <c r="H366" t="n">
        <v>0</v>
      </c>
      <c r="I366" t="n">
        <v>0</v>
      </c>
      <c r="J366" t="n">
        <v>0</v>
      </c>
      <c r="K366" t="n">
        <v>0</v>
      </c>
      <c r="L366" t="n">
        <v>0</v>
      </c>
      <c r="M366" t="n">
        <v>0</v>
      </c>
      <c r="N366" t="n">
        <v>0</v>
      </c>
      <c r="O366" t="n">
        <v>0</v>
      </c>
      <c r="P366" t="n">
        <v>0</v>
      </c>
      <c r="Q366" t="n">
        <v>0</v>
      </c>
      <c r="R366" s="2" t="inlineStr"/>
    </row>
    <row r="367" ht="15" customHeight="1">
      <c r="A367" t="inlineStr">
        <is>
          <t>A 18214-2024</t>
        </is>
      </c>
      <c r="B367" s="1" t="n">
        <v>45420</v>
      </c>
      <c r="C367" s="1" t="n">
        <v>45891</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23354-2022</t>
        </is>
      </c>
      <c r="B368" s="1" t="n">
        <v>44720</v>
      </c>
      <c r="C368" s="1" t="n">
        <v>45891</v>
      </c>
      <c r="D368" t="inlineStr">
        <is>
          <t>DALARNAS LÄN</t>
        </is>
      </c>
      <c r="E368" t="inlineStr">
        <is>
          <t>MORA</t>
        </is>
      </c>
      <c r="G368" t="n">
        <v>5.2</v>
      </c>
      <c r="H368" t="n">
        <v>0</v>
      </c>
      <c r="I368" t="n">
        <v>0</v>
      </c>
      <c r="J368" t="n">
        <v>0</v>
      </c>
      <c r="K368" t="n">
        <v>0</v>
      </c>
      <c r="L368" t="n">
        <v>0</v>
      </c>
      <c r="M368" t="n">
        <v>0</v>
      </c>
      <c r="N368" t="n">
        <v>0</v>
      </c>
      <c r="O368" t="n">
        <v>0</v>
      </c>
      <c r="P368" t="n">
        <v>0</v>
      </c>
      <c r="Q368" t="n">
        <v>0</v>
      </c>
      <c r="R368" s="2" t="inlineStr"/>
    </row>
    <row r="369" ht="15" customHeight="1">
      <c r="A369" t="inlineStr">
        <is>
          <t>A 34928-2022</t>
        </is>
      </c>
      <c r="B369" s="1" t="n">
        <v>44796.60479166666</v>
      </c>
      <c r="C369" s="1" t="n">
        <v>45891</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16522-2024</t>
        </is>
      </c>
      <c r="B370" s="1" t="n">
        <v>45408.41166666667</v>
      </c>
      <c r="C370" s="1" t="n">
        <v>45891</v>
      </c>
      <c r="D370" t="inlineStr">
        <is>
          <t>DALARNAS LÄN</t>
        </is>
      </c>
      <c r="E370" t="inlineStr">
        <is>
          <t>MORA</t>
        </is>
      </c>
      <c r="G370" t="n">
        <v>11.2</v>
      </c>
      <c r="H370" t="n">
        <v>0</v>
      </c>
      <c r="I370" t="n">
        <v>0</v>
      </c>
      <c r="J370" t="n">
        <v>0</v>
      </c>
      <c r="K370" t="n">
        <v>0</v>
      </c>
      <c r="L370" t="n">
        <v>0</v>
      </c>
      <c r="M370" t="n">
        <v>0</v>
      </c>
      <c r="N370" t="n">
        <v>0</v>
      </c>
      <c r="O370" t="n">
        <v>0</v>
      </c>
      <c r="P370" t="n">
        <v>0</v>
      </c>
      <c r="Q370" t="n">
        <v>0</v>
      </c>
      <c r="R370" s="2" t="inlineStr"/>
    </row>
    <row r="371" ht="15" customHeight="1">
      <c r="A371" t="inlineStr">
        <is>
          <t>A 55120-2024</t>
        </is>
      </c>
      <c r="B371" s="1" t="n">
        <v>45621.45765046297</v>
      </c>
      <c r="C371" s="1" t="n">
        <v>45891</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9461-2025</t>
        </is>
      </c>
      <c r="B372" s="1" t="n">
        <v>45715.45341435185</v>
      </c>
      <c r="C372" s="1" t="n">
        <v>45891</v>
      </c>
      <c r="D372" t="inlineStr">
        <is>
          <t>DALARNAS LÄN</t>
        </is>
      </c>
      <c r="E372" t="inlineStr">
        <is>
          <t>MORA</t>
        </is>
      </c>
      <c r="G372" t="n">
        <v>1.8</v>
      </c>
      <c r="H372" t="n">
        <v>0</v>
      </c>
      <c r="I372" t="n">
        <v>0</v>
      </c>
      <c r="J372" t="n">
        <v>0</v>
      </c>
      <c r="K372" t="n">
        <v>0</v>
      </c>
      <c r="L372" t="n">
        <v>0</v>
      </c>
      <c r="M372" t="n">
        <v>0</v>
      </c>
      <c r="N372" t="n">
        <v>0</v>
      </c>
      <c r="O372" t="n">
        <v>0</v>
      </c>
      <c r="P372" t="n">
        <v>0</v>
      </c>
      <c r="Q372" t="n">
        <v>0</v>
      </c>
      <c r="R372" s="2" t="inlineStr"/>
    </row>
    <row r="373" ht="15" customHeight="1">
      <c r="A373" t="inlineStr">
        <is>
          <t>A 24127-2025</t>
        </is>
      </c>
      <c r="B373" s="1" t="n">
        <v>45796.63137731481</v>
      </c>
      <c r="C373" s="1" t="n">
        <v>45891</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43873-2024</t>
        </is>
      </c>
      <c r="B374" s="1" t="n">
        <v>45572.38429398148</v>
      </c>
      <c r="C374" s="1" t="n">
        <v>45891</v>
      </c>
      <c r="D374" t="inlineStr">
        <is>
          <t>DALARNAS LÄN</t>
        </is>
      </c>
      <c r="E374" t="inlineStr">
        <is>
          <t>MORA</t>
        </is>
      </c>
      <c r="G374" t="n">
        <v>4.1</v>
      </c>
      <c r="H374" t="n">
        <v>0</v>
      </c>
      <c r="I374" t="n">
        <v>0</v>
      </c>
      <c r="J374" t="n">
        <v>0</v>
      </c>
      <c r="K374" t="n">
        <v>0</v>
      </c>
      <c r="L374" t="n">
        <v>0</v>
      </c>
      <c r="M374" t="n">
        <v>0</v>
      </c>
      <c r="N374" t="n">
        <v>0</v>
      </c>
      <c r="O374" t="n">
        <v>0</v>
      </c>
      <c r="P374" t="n">
        <v>0</v>
      </c>
      <c r="Q374" t="n">
        <v>0</v>
      </c>
      <c r="R374" s="2" t="inlineStr"/>
    </row>
    <row r="375" ht="15" customHeight="1">
      <c r="A375" t="inlineStr">
        <is>
          <t>A 40325-2024</t>
        </is>
      </c>
      <c r="B375" s="1" t="n">
        <v>45554.88538194444</v>
      </c>
      <c r="C375" s="1" t="n">
        <v>45891</v>
      </c>
      <c r="D375" t="inlineStr">
        <is>
          <t>DALARNAS LÄN</t>
        </is>
      </c>
      <c r="E375" t="inlineStr">
        <is>
          <t>MORA</t>
        </is>
      </c>
      <c r="G375" t="n">
        <v>2.8</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45891</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62854-2023</t>
        </is>
      </c>
      <c r="B377" s="1" t="n">
        <v>45272</v>
      </c>
      <c r="C377" s="1" t="n">
        <v>45891</v>
      </c>
      <c r="D377" t="inlineStr">
        <is>
          <t>DALARNAS LÄN</t>
        </is>
      </c>
      <c r="E377" t="inlineStr">
        <is>
          <t>MORA</t>
        </is>
      </c>
      <c r="G377" t="n">
        <v>11.3</v>
      </c>
      <c r="H377" t="n">
        <v>0</v>
      </c>
      <c r="I377" t="n">
        <v>0</v>
      </c>
      <c r="J377" t="n">
        <v>0</v>
      </c>
      <c r="K377" t="n">
        <v>0</v>
      </c>
      <c r="L377" t="n">
        <v>0</v>
      </c>
      <c r="M377" t="n">
        <v>0</v>
      </c>
      <c r="N377" t="n">
        <v>0</v>
      </c>
      <c r="O377" t="n">
        <v>0</v>
      </c>
      <c r="P377" t="n">
        <v>0</v>
      </c>
      <c r="Q377" t="n">
        <v>0</v>
      </c>
      <c r="R377" s="2" t="inlineStr"/>
    </row>
    <row r="378" ht="15" customHeight="1">
      <c r="A378" t="inlineStr">
        <is>
          <t>A 46152-2023</t>
        </is>
      </c>
      <c r="B378" s="1" t="n">
        <v>45196.58278935185</v>
      </c>
      <c r="C378" s="1" t="n">
        <v>45891</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19286-2023</t>
        </is>
      </c>
      <c r="B379" s="1" t="n">
        <v>45049</v>
      </c>
      <c r="C379" s="1" t="n">
        <v>45891</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23229-2025</t>
        </is>
      </c>
      <c r="B380" s="1" t="n">
        <v>45791</v>
      </c>
      <c r="C380" s="1" t="n">
        <v>45891</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15440-2024</t>
        </is>
      </c>
      <c r="B381" s="1" t="n">
        <v>45401.4194212963</v>
      </c>
      <c r="C381" s="1" t="n">
        <v>45891</v>
      </c>
      <c r="D381" t="inlineStr">
        <is>
          <t>DALARNAS LÄN</t>
        </is>
      </c>
      <c r="E381" t="inlineStr">
        <is>
          <t>MORA</t>
        </is>
      </c>
      <c r="G381" t="n">
        <v>1.1</v>
      </c>
      <c r="H381" t="n">
        <v>0</v>
      </c>
      <c r="I381" t="n">
        <v>0</v>
      </c>
      <c r="J381" t="n">
        <v>0</v>
      </c>
      <c r="K381" t="n">
        <v>0</v>
      </c>
      <c r="L381" t="n">
        <v>0</v>
      </c>
      <c r="M381" t="n">
        <v>0</v>
      </c>
      <c r="N381" t="n">
        <v>0</v>
      </c>
      <c r="O381" t="n">
        <v>0</v>
      </c>
      <c r="P381" t="n">
        <v>0</v>
      </c>
      <c r="Q381" t="n">
        <v>0</v>
      </c>
      <c r="R381" s="2" t="inlineStr"/>
    </row>
    <row r="382" ht="15" customHeight="1">
      <c r="A382" t="inlineStr">
        <is>
          <t>A 42035-2022</t>
        </is>
      </c>
      <c r="B382" s="1" t="n">
        <v>44830</v>
      </c>
      <c r="C382" s="1" t="n">
        <v>45891</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11857-2023</t>
        </is>
      </c>
      <c r="B383" s="1" t="n">
        <v>44995</v>
      </c>
      <c r="C383" s="1" t="n">
        <v>45891</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20889-2024</t>
        </is>
      </c>
      <c r="B384" s="1" t="n">
        <v>45439.46340277778</v>
      </c>
      <c r="C384" s="1" t="n">
        <v>45891</v>
      </c>
      <c r="D384" t="inlineStr">
        <is>
          <t>DALARNAS LÄN</t>
        </is>
      </c>
      <c r="E384" t="inlineStr">
        <is>
          <t>MORA</t>
        </is>
      </c>
      <c r="G384" t="n">
        <v>3.8</v>
      </c>
      <c r="H384" t="n">
        <v>0</v>
      </c>
      <c r="I384" t="n">
        <v>0</v>
      </c>
      <c r="J384" t="n">
        <v>0</v>
      </c>
      <c r="K384" t="n">
        <v>0</v>
      </c>
      <c r="L384" t="n">
        <v>0</v>
      </c>
      <c r="M384" t="n">
        <v>0</v>
      </c>
      <c r="N384" t="n">
        <v>0</v>
      </c>
      <c r="O384" t="n">
        <v>0</v>
      </c>
      <c r="P384" t="n">
        <v>0</v>
      </c>
      <c r="Q384" t="n">
        <v>0</v>
      </c>
      <c r="R384" s="2" t="inlineStr"/>
    </row>
    <row r="385" ht="15" customHeight="1">
      <c r="A385" t="inlineStr">
        <is>
          <t>A 15818-2024</t>
        </is>
      </c>
      <c r="B385" s="1" t="n">
        <v>45404.67442129629</v>
      </c>
      <c r="C385" s="1" t="n">
        <v>45891</v>
      </c>
      <c r="D385" t="inlineStr">
        <is>
          <t>DALARNAS LÄN</t>
        </is>
      </c>
      <c r="E385" t="inlineStr">
        <is>
          <t>MORA</t>
        </is>
      </c>
      <c r="G385" t="n">
        <v>7</v>
      </c>
      <c r="H385" t="n">
        <v>0</v>
      </c>
      <c r="I385" t="n">
        <v>0</v>
      </c>
      <c r="J385" t="n">
        <v>0</v>
      </c>
      <c r="K385" t="n">
        <v>0</v>
      </c>
      <c r="L385" t="n">
        <v>0</v>
      </c>
      <c r="M385" t="n">
        <v>0</v>
      </c>
      <c r="N385" t="n">
        <v>0</v>
      </c>
      <c r="O385" t="n">
        <v>0</v>
      </c>
      <c r="P385" t="n">
        <v>0</v>
      </c>
      <c r="Q385" t="n">
        <v>0</v>
      </c>
      <c r="R385" s="2" t="inlineStr"/>
    </row>
    <row r="386" ht="15" customHeight="1">
      <c r="A386" t="inlineStr">
        <is>
          <t>A 45674-2024</t>
        </is>
      </c>
      <c r="B386" s="1" t="n">
        <v>45573</v>
      </c>
      <c r="C386" s="1" t="n">
        <v>45891</v>
      </c>
      <c r="D386" t="inlineStr">
        <is>
          <t>DALARNAS LÄN</t>
        </is>
      </c>
      <c r="E386" t="inlineStr">
        <is>
          <t>MORA</t>
        </is>
      </c>
      <c r="G386" t="n">
        <v>3.2</v>
      </c>
      <c r="H386" t="n">
        <v>0</v>
      </c>
      <c r="I386" t="n">
        <v>0</v>
      </c>
      <c r="J386" t="n">
        <v>0</v>
      </c>
      <c r="K386" t="n">
        <v>0</v>
      </c>
      <c r="L386" t="n">
        <v>0</v>
      </c>
      <c r="M386" t="n">
        <v>0</v>
      </c>
      <c r="N386" t="n">
        <v>0</v>
      </c>
      <c r="O386" t="n">
        <v>0</v>
      </c>
      <c r="P386" t="n">
        <v>0</v>
      </c>
      <c r="Q386" t="n">
        <v>0</v>
      </c>
      <c r="R386" s="2" t="inlineStr"/>
    </row>
    <row r="387" ht="15" customHeight="1">
      <c r="A387" t="inlineStr">
        <is>
          <t>A 5980-2025</t>
        </is>
      </c>
      <c r="B387" s="1" t="n">
        <v>45695.54651620371</v>
      </c>
      <c r="C387" s="1" t="n">
        <v>45891</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45390-2024</t>
        </is>
      </c>
      <c r="B388" s="1" t="n">
        <v>45576.54820601852</v>
      </c>
      <c r="C388" s="1" t="n">
        <v>45891</v>
      </c>
      <c r="D388" t="inlineStr">
        <is>
          <t>DALARNAS LÄN</t>
        </is>
      </c>
      <c r="E388" t="inlineStr">
        <is>
          <t>MORA</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24277-2025</t>
        </is>
      </c>
      <c r="B389" s="1" t="n">
        <v>45797.4530787037</v>
      </c>
      <c r="C389" s="1" t="n">
        <v>45891</v>
      </c>
      <c r="D389" t="inlineStr">
        <is>
          <t>DALARNAS LÄN</t>
        </is>
      </c>
      <c r="E389" t="inlineStr">
        <is>
          <t>MORA</t>
        </is>
      </c>
      <c r="G389" t="n">
        <v>1.9</v>
      </c>
      <c r="H389" t="n">
        <v>0</v>
      </c>
      <c r="I389" t="n">
        <v>0</v>
      </c>
      <c r="J389" t="n">
        <v>0</v>
      </c>
      <c r="K389" t="n">
        <v>0</v>
      </c>
      <c r="L389" t="n">
        <v>0</v>
      </c>
      <c r="M389" t="n">
        <v>0</v>
      </c>
      <c r="N389" t="n">
        <v>0</v>
      </c>
      <c r="O389" t="n">
        <v>0</v>
      </c>
      <c r="P389" t="n">
        <v>0</v>
      </c>
      <c r="Q389" t="n">
        <v>0</v>
      </c>
      <c r="R389" s="2" t="inlineStr"/>
    </row>
    <row r="390" ht="15" customHeight="1">
      <c r="A390" t="inlineStr">
        <is>
          <t>A 24280-2025</t>
        </is>
      </c>
      <c r="B390" s="1" t="n">
        <v>45797.45581018519</v>
      </c>
      <c r="C390" s="1" t="n">
        <v>45891</v>
      </c>
      <c r="D390" t="inlineStr">
        <is>
          <t>DALARNAS LÄN</t>
        </is>
      </c>
      <c r="E390" t="inlineStr">
        <is>
          <t>MORA</t>
        </is>
      </c>
      <c r="G390" t="n">
        <v>1.1</v>
      </c>
      <c r="H390" t="n">
        <v>0</v>
      </c>
      <c r="I390" t="n">
        <v>0</v>
      </c>
      <c r="J390" t="n">
        <v>0</v>
      </c>
      <c r="K390" t="n">
        <v>0</v>
      </c>
      <c r="L390" t="n">
        <v>0</v>
      </c>
      <c r="M390" t="n">
        <v>0</v>
      </c>
      <c r="N390" t="n">
        <v>0</v>
      </c>
      <c r="O390" t="n">
        <v>0</v>
      </c>
      <c r="P390" t="n">
        <v>0</v>
      </c>
      <c r="Q390" t="n">
        <v>0</v>
      </c>
      <c r="R390" s="2" t="inlineStr"/>
    </row>
    <row r="391" ht="15" customHeight="1">
      <c r="A391" t="inlineStr">
        <is>
          <t>A 24630-2025</t>
        </is>
      </c>
      <c r="B391" s="1" t="n">
        <v>45798.6003587963</v>
      </c>
      <c r="C391" s="1" t="n">
        <v>45891</v>
      </c>
      <c r="D391" t="inlineStr">
        <is>
          <t>DALARNAS LÄN</t>
        </is>
      </c>
      <c r="E391" t="inlineStr">
        <is>
          <t>MORA</t>
        </is>
      </c>
      <c r="F391" t="inlineStr">
        <is>
          <t>Bergvik skog väst AB</t>
        </is>
      </c>
      <c r="G391" t="n">
        <v>10.4</v>
      </c>
      <c r="H391" t="n">
        <v>0</v>
      </c>
      <c r="I391" t="n">
        <v>0</v>
      </c>
      <c r="J391" t="n">
        <v>0</v>
      </c>
      <c r="K391" t="n">
        <v>0</v>
      </c>
      <c r="L391" t="n">
        <v>0</v>
      </c>
      <c r="M391" t="n">
        <v>0</v>
      </c>
      <c r="N391" t="n">
        <v>0</v>
      </c>
      <c r="O391" t="n">
        <v>0</v>
      </c>
      <c r="P391" t="n">
        <v>0</v>
      </c>
      <c r="Q391" t="n">
        <v>0</v>
      </c>
      <c r="R391" s="2" t="inlineStr"/>
    </row>
    <row r="392" ht="15" customHeight="1">
      <c r="A392" t="inlineStr">
        <is>
          <t>A 19183-2025</t>
        </is>
      </c>
      <c r="B392" s="1" t="n">
        <v>45769</v>
      </c>
      <c r="C392" s="1" t="n">
        <v>45891</v>
      </c>
      <c r="D392" t="inlineStr">
        <is>
          <t>DALARNAS LÄN</t>
        </is>
      </c>
      <c r="E392" t="inlineStr">
        <is>
          <t>MORA</t>
        </is>
      </c>
      <c r="G392" t="n">
        <v>0.5</v>
      </c>
      <c r="H392" t="n">
        <v>0</v>
      </c>
      <c r="I392" t="n">
        <v>0</v>
      </c>
      <c r="J392" t="n">
        <v>0</v>
      </c>
      <c r="K392" t="n">
        <v>0</v>
      </c>
      <c r="L392" t="n">
        <v>0</v>
      </c>
      <c r="M392" t="n">
        <v>0</v>
      </c>
      <c r="N392" t="n">
        <v>0</v>
      </c>
      <c r="O392" t="n">
        <v>0</v>
      </c>
      <c r="P392" t="n">
        <v>0</v>
      </c>
      <c r="Q392" t="n">
        <v>0</v>
      </c>
      <c r="R392" s="2" t="inlineStr"/>
    </row>
    <row r="393" ht="15" customHeight="1">
      <c r="A393" t="inlineStr">
        <is>
          <t>A 19756-2022</t>
        </is>
      </c>
      <c r="B393" s="1" t="n">
        <v>44694.62913194444</v>
      </c>
      <c r="C393" s="1" t="n">
        <v>45891</v>
      </c>
      <c r="D393" t="inlineStr">
        <is>
          <t>DALARNAS LÄN</t>
        </is>
      </c>
      <c r="E393" t="inlineStr">
        <is>
          <t>MORA</t>
        </is>
      </c>
      <c r="G393" t="n">
        <v>1</v>
      </c>
      <c r="H393" t="n">
        <v>0</v>
      </c>
      <c r="I393" t="n">
        <v>0</v>
      </c>
      <c r="J393" t="n">
        <v>0</v>
      </c>
      <c r="K393" t="n">
        <v>0</v>
      </c>
      <c r="L393" t="n">
        <v>0</v>
      </c>
      <c r="M393" t="n">
        <v>0</v>
      </c>
      <c r="N393" t="n">
        <v>0</v>
      </c>
      <c r="O393" t="n">
        <v>0</v>
      </c>
      <c r="P393" t="n">
        <v>0</v>
      </c>
      <c r="Q393" t="n">
        <v>0</v>
      </c>
      <c r="R393" s="2" t="inlineStr"/>
    </row>
    <row r="394" ht="15" customHeight="1">
      <c r="A394" t="inlineStr">
        <is>
          <t>A 24642-2025</t>
        </is>
      </c>
      <c r="B394" s="1" t="n">
        <v>45798.62894675926</v>
      </c>
      <c r="C394" s="1" t="n">
        <v>45891</v>
      </c>
      <c r="D394" t="inlineStr">
        <is>
          <t>DALARNAS LÄN</t>
        </is>
      </c>
      <c r="E394" t="inlineStr">
        <is>
          <t>MORA</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5216-2025</t>
        </is>
      </c>
      <c r="B395" s="1" t="n">
        <v>45691.69671296296</v>
      </c>
      <c r="C395" s="1" t="n">
        <v>45891</v>
      </c>
      <c r="D395" t="inlineStr">
        <is>
          <t>DALARNAS LÄN</t>
        </is>
      </c>
      <c r="E395" t="inlineStr">
        <is>
          <t>MORA</t>
        </is>
      </c>
      <c r="G395" t="n">
        <v>2.5</v>
      </c>
      <c r="H395" t="n">
        <v>0</v>
      </c>
      <c r="I395" t="n">
        <v>0</v>
      </c>
      <c r="J395" t="n">
        <v>0</v>
      </c>
      <c r="K395" t="n">
        <v>0</v>
      </c>
      <c r="L395" t="n">
        <v>0</v>
      </c>
      <c r="M395" t="n">
        <v>0</v>
      </c>
      <c r="N395" t="n">
        <v>0</v>
      </c>
      <c r="O395" t="n">
        <v>0</v>
      </c>
      <c r="P395" t="n">
        <v>0</v>
      </c>
      <c r="Q395" t="n">
        <v>0</v>
      </c>
      <c r="R395" s="2" t="inlineStr"/>
    </row>
    <row r="396" ht="15" customHeight="1">
      <c r="A396" t="inlineStr">
        <is>
          <t>A 53344-2023</t>
        </is>
      </c>
      <c r="B396" s="1" t="n">
        <v>45229</v>
      </c>
      <c r="C396" s="1" t="n">
        <v>45891</v>
      </c>
      <c r="D396" t="inlineStr">
        <is>
          <t>DALARNAS LÄN</t>
        </is>
      </c>
      <c r="E396" t="inlineStr">
        <is>
          <t>MORA</t>
        </is>
      </c>
      <c r="G396" t="n">
        <v>2.4</v>
      </c>
      <c r="H396" t="n">
        <v>0</v>
      </c>
      <c r="I396" t="n">
        <v>0</v>
      </c>
      <c r="J396" t="n">
        <v>0</v>
      </c>
      <c r="K396" t="n">
        <v>0</v>
      </c>
      <c r="L396" t="n">
        <v>0</v>
      </c>
      <c r="M396" t="n">
        <v>0</v>
      </c>
      <c r="N396" t="n">
        <v>0</v>
      </c>
      <c r="O396" t="n">
        <v>0</v>
      </c>
      <c r="P396" t="n">
        <v>0</v>
      </c>
      <c r="Q396" t="n">
        <v>0</v>
      </c>
      <c r="R396" s="2" t="inlineStr"/>
    </row>
    <row r="397" ht="15" customHeight="1">
      <c r="A397" t="inlineStr">
        <is>
          <t>A 9599-2022</t>
        </is>
      </c>
      <c r="B397" s="1" t="n">
        <v>44617.48909722222</v>
      </c>
      <c r="C397" s="1" t="n">
        <v>45891</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24222-2025</t>
        </is>
      </c>
      <c r="B398" s="1" t="n">
        <v>45797.36658564815</v>
      </c>
      <c r="C398" s="1" t="n">
        <v>45891</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51883-2024</t>
        </is>
      </c>
      <c r="B399" s="1" t="n">
        <v>45607</v>
      </c>
      <c r="C399" s="1" t="n">
        <v>45891</v>
      </c>
      <c r="D399" t="inlineStr">
        <is>
          <t>DALARNAS LÄN</t>
        </is>
      </c>
      <c r="E399" t="inlineStr">
        <is>
          <t>MORA</t>
        </is>
      </c>
      <c r="G399" t="n">
        <v>0.2</v>
      </c>
      <c r="H399" t="n">
        <v>0</v>
      </c>
      <c r="I399" t="n">
        <v>0</v>
      </c>
      <c r="J399" t="n">
        <v>0</v>
      </c>
      <c r="K399" t="n">
        <v>0</v>
      </c>
      <c r="L399" t="n">
        <v>0</v>
      </c>
      <c r="M399" t="n">
        <v>0</v>
      </c>
      <c r="N399" t="n">
        <v>0</v>
      </c>
      <c r="O399" t="n">
        <v>0</v>
      </c>
      <c r="P399" t="n">
        <v>0</v>
      </c>
      <c r="Q399" t="n">
        <v>0</v>
      </c>
      <c r="R399" s="2" t="inlineStr"/>
    </row>
    <row r="400" ht="15" customHeight="1">
      <c r="A400" t="inlineStr">
        <is>
          <t>A 51888-2024</t>
        </is>
      </c>
      <c r="B400" s="1" t="n">
        <v>45607.57142361111</v>
      </c>
      <c r="C400" s="1" t="n">
        <v>45891</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24653-2025</t>
        </is>
      </c>
      <c r="B401" s="1" t="n">
        <v>45798.63875</v>
      </c>
      <c r="C401" s="1" t="n">
        <v>45891</v>
      </c>
      <c r="D401" t="inlineStr">
        <is>
          <t>DALARNAS LÄN</t>
        </is>
      </c>
      <c r="E401" t="inlineStr">
        <is>
          <t>MORA</t>
        </is>
      </c>
      <c r="F401" t="inlineStr">
        <is>
          <t>Bergvik skog väst AB</t>
        </is>
      </c>
      <c r="G401" t="n">
        <v>4.9</v>
      </c>
      <c r="H401" t="n">
        <v>0</v>
      </c>
      <c r="I401" t="n">
        <v>0</v>
      </c>
      <c r="J401" t="n">
        <v>0</v>
      </c>
      <c r="K401" t="n">
        <v>0</v>
      </c>
      <c r="L401" t="n">
        <v>0</v>
      </c>
      <c r="M401" t="n">
        <v>0</v>
      </c>
      <c r="N401" t="n">
        <v>0</v>
      </c>
      <c r="O401" t="n">
        <v>0</v>
      </c>
      <c r="P401" t="n">
        <v>0</v>
      </c>
      <c r="Q401" t="n">
        <v>0</v>
      </c>
      <c r="R401" s="2" t="inlineStr"/>
    </row>
    <row r="402" ht="15" customHeight="1">
      <c r="A402" t="inlineStr">
        <is>
          <t>A 59448-2022</t>
        </is>
      </c>
      <c r="B402" s="1" t="n">
        <v>44907</v>
      </c>
      <c r="C402" s="1" t="n">
        <v>45891</v>
      </c>
      <c r="D402" t="inlineStr">
        <is>
          <t>DALARNAS LÄN</t>
        </is>
      </c>
      <c r="E402" t="inlineStr">
        <is>
          <t>MORA</t>
        </is>
      </c>
      <c r="G402" t="n">
        <v>35.7</v>
      </c>
      <c r="H402" t="n">
        <v>0</v>
      </c>
      <c r="I402" t="n">
        <v>0</v>
      </c>
      <c r="J402" t="n">
        <v>0</v>
      </c>
      <c r="K402" t="n">
        <v>0</v>
      </c>
      <c r="L402" t="n">
        <v>0</v>
      </c>
      <c r="M402" t="n">
        <v>0</v>
      </c>
      <c r="N402" t="n">
        <v>0</v>
      </c>
      <c r="O402" t="n">
        <v>0</v>
      </c>
      <c r="P402" t="n">
        <v>0</v>
      </c>
      <c r="Q402" t="n">
        <v>0</v>
      </c>
      <c r="R402" s="2" t="inlineStr"/>
    </row>
    <row r="403" ht="15" customHeight="1">
      <c r="A403" t="inlineStr">
        <is>
          <t>A 24249-2025</t>
        </is>
      </c>
      <c r="B403" s="1" t="n">
        <v>45797.40260416667</v>
      </c>
      <c r="C403" s="1" t="n">
        <v>45891</v>
      </c>
      <c r="D403" t="inlineStr">
        <is>
          <t>DALARNAS LÄN</t>
        </is>
      </c>
      <c r="E403" t="inlineStr">
        <is>
          <t>MORA</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24640-2025</t>
        </is>
      </c>
      <c r="B404" s="1" t="n">
        <v>45798.62243055556</v>
      </c>
      <c r="C404" s="1" t="n">
        <v>45891</v>
      </c>
      <c r="D404" t="inlineStr">
        <is>
          <t>DALARNAS LÄN</t>
        </is>
      </c>
      <c r="E404" t="inlineStr">
        <is>
          <t>MORA</t>
        </is>
      </c>
      <c r="F404" t="inlineStr">
        <is>
          <t>Bergvik skog väst AB</t>
        </is>
      </c>
      <c r="G404" t="n">
        <v>2.2</v>
      </c>
      <c r="H404" t="n">
        <v>0</v>
      </c>
      <c r="I404" t="n">
        <v>0</v>
      </c>
      <c r="J404" t="n">
        <v>0</v>
      </c>
      <c r="K404" t="n">
        <v>0</v>
      </c>
      <c r="L404" t="n">
        <v>0</v>
      </c>
      <c r="M404" t="n">
        <v>0</v>
      </c>
      <c r="N404" t="n">
        <v>0</v>
      </c>
      <c r="O404" t="n">
        <v>0</v>
      </c>
      <c r="P404" t="n">
        <v>0</v>
      </c>
      <c r="Q404" t="n">
        <v>0</v>
      </c>
      <c r="R404" s="2" t="inlineStr"/>
    </row>
    <row r="405" ht="15" customHeight="1">
      <c r="A405" t="inlineStr">
        <is>
          <t>A 24230-2025</t>
        </is>
      </c>
      <c r="B405" s="1" t="n">
        <v>45797.37607638889</v>
      </c>
      <c r="C405" s="1" t="n">
        <v>45891</v>
      </c>
      <c r="D405" t="inlineStr">
        <is>
          <t>DALARNAS LÄN</t>
        </is>
      </c>
      <c r="E405" t="inlineStr">
        <is>
          <t>MORA</t>
        </is>
      </c>
      <c r="G405" t="n">
        <v>6.8</v>
      </c>
      <c r="H405" t="n">
        <v>0</v>
      </c>
      <c r="I405" t="n">
        <v>0</v>
      </c>
      <c r="J405" t="n">
        <v>0</v>
      </c>
      <c r="K405" t="n">
        <v>0</v>
      </c>
      <c r="L405" t="n">
        <v>0</v>
      </c>
      <c r="M405" t="n">
        <v>0</v>
      </c>
      <c r="N405" t="n">
        <v>0</v>
      </c>
      <c r="O405" t="n">
        <v>0</v>
      </c>
      <c r="P405" t="n">
        <v>0</v>
      </c>
      <c r="Q405" t="n">
        <v>0</v>
      </c>
      <c r="R405" s="2" t="inlineStr"/>
    </row>
    <row r="406" ht="15" customHeight="1">
      <c r="A406" t="inlineStr">
        <is>
          <t>A 54398-2021</t>
        </is>
      </c>
      <c r="B406" s="1" t="n">
        <v>44473.39252314815</v>
      </c>
      <c r="C406" s="1" t="n">
        <v>45891</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57797-2022</t>
        </is>
      </c>
      <c r="B407" s="1" t="n">
        <v>44897</v>
      </c>
      <c r="C407" s="1" t="n">
        <v>45891</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40286-2024</t>
        </is>
      </c>
      <c r="B408" s="1" t="n">
        <v>45554.6687037037</v>
      </c>
      <c r="C408" s="1" t="n">
        <v>45891</v>
      </c>
      <c r="D408" t="inlineStr">
        <is>
          <t>DALARNAS LÄN</t>
        </is>
      </c>
      <c r="E408" t="inlineStr">
        <is>
          <t>MORA</t>
        </is>
      </c>
      <c r="G408" t="n">
        <v>0.4</v>
      </c>
      <c r="H408" t="n">
        <v>0</v>
      </c>
      <c r="I408" t="n">
        <v>0</v>
      </c>
      <c r="J408" t="n">
        <v>0</v>
      </c>
      <c r="K408" t="n">
        <v>0</v>
      </c>
      <c r="L408" t="n">
        <v>0</v>
      </c>
      <c r="M408" t="n">
        <v>0</v>
      </c>
      <c r="N408" t="n">
        <v>0</v>
      </c>
      <c r="O408" t="n">
        <v>0</v>
      </c>
      <c r="P408" t="n">
        <v>0</v>
      </c>
      <c r="Q408" t="n">
        <v>0</v>
      </c>
      <c r="R408" s="2" t="inlineStr"/>
    </row>
    <row r="409" ht="15" customHeight="1">
      <c r="A409" t="inlineStr">
        <is>
          <t>A 48824-2023</t>
        </is>
      </c>
      <c r="B409" s="1" t="n">
        <v>45203</v>
      </c>
      <c r="C409" s="1" t="n">
        <v>45891</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24620-2025</t>
        </is>
      </c>
      <c r="B410" s="1" t="n">
        <v>45798.59290509259</v>
      </c>
      <c r="C410" s="1" t="n">
        <v>45891</v>
      </c>
      <c r="D410" t="inlineStr">
        <is>
          <t>DALARNAS LÄN</t>
        </is>
      </c>
      <c r="E410" t="inlineStr">
        <is>
          <t>MORA</t>
        </is>
      </c>
      <c r="F410" t="inlineStr">
        <is>
          <t>Bergvik skog väst AB</t>
        </is>
      </c>
      <c r="G410" t="n">
        <v>4.9</v>
      </c>
      <c r="H410" t="n">
        <v>0</v>
      </c>
      <c r="I410" t="n">
        <v>0</v>
      </c>
      <c r="J410" t="n">
        <v>0</v>
      </c>
      <c r="K410" t="n">
        <v>0</v>
      </c>
      <c r="L410" t="n">
        <v>0</v>
      </c>
      <c r="M410" t="n">
        <v>0</v>
      </c>
      <c r="N410" t="n">
        <v>0</v>
      </c>
      <c r="O410" t="n">
        <v>0</v>
      </c>
      <c r="P410" t="n">
        <v>0</v>
      </c>
      <c r="Q410" t="n">
        <v>0</v>
      </c>
      <c r="R410" s="2" t="inlineStr"/>
    </row>
    <row r="411" ht="15" customHeight="1">
      <c r="A411" t="inlineStr">
        <is>
          <t>A 45355-2024</t>
        </is>
      </c>
      <c r="B411" s="1" t="n">
        <v>45576</v>
      </c>
      <c r="C411" s="1" t="n">
        <v>45891</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20504-2023</t>
        </is>
      </c>
      <c r="B412" s="1" t="n">
        <v>45057</v>
      </c>
      <c r="C412" s="1" t="n">
        <v>45891</v>
      </c>
      <c r="D412" t="inlineStr">
        <is>
          <t>DALARNAS LÄN</t>
        </is>
      </c>
      <c r="E412" t="inlineStr">
        <is>
          <t>MORA</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44595-2024</t>
        </is>
      </c>
      <c r="B413" s="1" t="n">
        <v>45574.51053240741</v>
      </c>
      <c r="C413" s="1" t="n">
        <v>45891</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24960-2025</t>
        </is>
      </c>
      <c r="B414" s="1" t="n">
        <v>45799.57666666667</v>
      </c>
      <c r="C414" s="1" t="n">
        <v>45891</v>
      </c>
      <c r="D414" t="inlineStr">
        <is>
          <t>DALARNAS LÄN</t>
        </is>
      </c>
      <c r="E414" t="inlineStr">
        <is>
          <t>MORA</t>
        </is>
      </c>
      <c r="G414" t="n">
        <v>3.2</v>
      </c>
      <c r="H414" t="n">
        <v>0</v>
      </c>
      <c r="I414" t="n">
        <v>0</v>
      </c>
      <c r="J414" t="n">
        <v>0</v>
      </c>
      <c r="K414" t="n">
        <v>0</v>
      </c>
      <c r="L414" t="n">
        <v>0</v>
      </c>
      <c r="M414" t="n">
        <v>0</v>
      </c>
      <c r="N414" t="n">
        <v>0</v>
      </c>
      <c r="O414" t="n">
        <v>0</v>
      </c>
      <c r="P414" t="n">
        <v>0</v>
      </c>
      <c r="Q414" t="n">
        <v>0</v>
      </c>
      <c r="R414" s="2" t="inlineStr"/>
    </row>
    <row r="415" ht="15" customHeight="1">
      <c r="A415" t="inlineStr">
        <is>
          <t>A 43566-2023</t>
        </is>
      </c>
      <c r="B415" s="1" t="n">
        <v>45184.58199074074</v>
      </c>
      <c r="C415" s="1" t="n">
        <v>45891</v>
      </c>
      <c r="D415" t="inlineStr">
        <is>
          <t>DALARNAS LÄN</t>
        </is>
      </c>
      <c r="E415" t="inlineStr">
        <is>
          <t>MORA</t>
        </is>
      </c>
      <c r="F415" t="inlineStr">
        <is>
          <t>Bergvik skog väst AB</t>
        </is>
      </c>
      <c r="G415" t="n">
        <v>4.3</v>
      </c>
      <c r="H415" t="n">
        <v>0</v>
      </c>
      <c r="I415" t="n">
        <v>0</v>
      </c>
      <c r="J415" t="n">
        <v>0</v>
      </c>
      <c r="K415" t="n">
        <v>0</v>
      </c>
      <c r="L415" t="n">
        <v>0</v>
      </c>
      <c r="M415" t="n">
        <v>0</v>
      </c>
      <c r="N415" t="n">
        <v>0</v>
      </c>
      <c r="O415" t="n">
        <v>0</v>
      </c>
      <c r="P415" t="n">
        <v>0</v>
      </c>
      <c r="Q415" t="n">
        <v>0</v>
      </c>
      <c r="R415" s="2" t="inlineStr"/>
    </row>
    <row r="416" ht="15" customHeight="1">
      <c r="A416" t="inlineStr">
        <is>
          <t>A 38627-2023</t>
        </is>
      </c>
      <c r="B416" s="1" t="n">
        <v>45162.68787037037</v>
      </c>
      <c r="C416" s="1" t="n">
        <v>45891</v>
      </c>
      <c r="D416" t="inlineStr">
        <is>
          <t>DALARNAS LÄN</t>
        </is>
      </c>
      <c r="E416" t="inlineStr">
        <is>
          <t>MORA</t>
        </is>
      </c>
      <c r="G416" t="n">
        <v>6.5</v>
      </c>
      <c r="H416" t="n">
        <v>0</v>
      </c>
      <c r="I416" t="n">
        <v>0</v>
      </c>
      <c r="J416" t="n">
        <v>0</v>
      </c>
      <c r="K416" t="n">
        <v>0</v>
      </c>
      <c r="L416" t="n">
        <v>0</v>
      </c>
      <c r="M416" t="n">
        <v>0</v>
      </c>
      <c r="N416" t="n">
        <v>0</v>
      </c>
      <c r="O416" t="n">
        <v>0</v>
      </c>
      <c r="P416" t="n">
        <v>0</v>
      </c>
      <c r="Q416" t="n">
        <v>0</v>
      </c>
      <c r="R416" s="2" t="inlineStr"/>
    </row>
    <row r="417" ht="15" customHeight="1">
      <c r="A417" t="inlineStr">
        <is>
          <t>A 16637-2025</t>
        </is>
      </c>
      <c r="B417" s="1" t="n">
        <v>45754.36738425926</v>
      </c>
      <c r="C417" s="1" t="n">
        <v>45891</v>
      </c>
      <c r="D417" t="inlineStr">
        <is>
          <t>DALARNAS LÄN</t>
        </is>
      </c>
      <c r="E417" t="inlineStr">
        <is>
          <t>MORA</t>
        </is>
      </c>
      <c r="G417" t="n">
        <v>1.1</v>
      </c>
      <c r="H417" t="n">
        <v>0</v>
      </c>
      <c r="I417" t="n">
        <v>0</v>
      </c>
      <c r="J417" t="n">
        <v>0</v>
      </c>
      <c r="K417" t="n">
        <v>0</v>
      </c>
      <c r="L417" t="n">
        <v>0</v>
      </c>
      <c r="M417" t="n">
        <v>0</v>
      </c>
      <c r="N417" t="n">
        <v>0</v>
      </c>
      <c r="O417" t="n">
        <v>0</v>
      </c>
      <c r="P417" t="n">
        <v>0</v>
      </c>
      <c r="Q417" t="n">
        <v>0</v>
      </c>
      <c r="R417" s="2" t="inlineStr"/>
    </row>
    <row r="418" ht="15" customHeight="1">
      <c r="A418" t="inlineStr">
        <is>
          <t>A 48570-2022</t>
        </is>
      </c>
      <c r="B418" s="1" t="n">
        <v>44859</v>
      </c>
      <c r="C418" s="1" t="n">
        <v>45891</v>
      </c>
      <c r="D418" t="inlineStr">
        <is>
          <t>DALARNAS LÄN</t>
        </is>
      </c>
      <c r="E418" t="inlineStr">
        <is>
          <t>MORA</t>
        </is>
      </c>
      <c r="G418" t="n">
        <v>6.2</v>
      </c>
      <c r="H418" t="n">
        <v>0</v>
      </c>
      <c r="I418" t="n">
        <v>0</v>
      </c>
      <c r="J418" t="n">
        <v>0</v>
      </c>
      <c r="K418" t="n">
        <v>0</v>
      </c>
      <c r="L418" t="n">
        <v>0</v>
      </c>
      <c r="M418" t="n">
        <v>0</v>
      </c>
      <c r="N418" t="n">
        <v>0</v>
      </c>
      <c r="O418" t="n">
        <v>0</v>
      </c>
      <c r="P418" t="n">
        <v>0</v>
      </c>
      <c r="Q418" t="n">
        <v>0</v>
      </c>
      <c r="R418" s="2" t="inlineStr"/>
    </row>
    <row r="419" ht="15" customHeight="1">
      <c r="A419" t="inlineStr">
        <is>
          <t>A 49991-2023</t>
        </is>
      </c>
      <c r="B419" s="1" t="n">
        <v>45215.43879629629</v>
      </c>
      <c r="C419" s="1" t="n">
        <v>45891</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62268-2020</t>
        </is>
      </c>
      <c r="B420" s="1" t="n">
        <v>44160</v>
      </c>
      <c r="C420" s="1" t="n">
        <v>45891</v>
      </c>
      <c r="D420" t="inlineStr">
        <is>
          <t>DALARNAS LÄN</t>
        </is>
      </c>
      <c r="E420" t="inlineStr">
        <is>
          <t>MORA</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8153-2021</t>
        </is>
      </c>
      <c r="B421" s="1" t="n">
        <v>44244</v>
      </c>
      <c r="C421" s="1" t="n">
        <v>45891</v>
      </c>
      <c r="D421" t="inlineStr">
        <is>
          <t>DALARNAS LÄN</t>
        </is>
      </c>
      <c r="E421" t="inlineStr">
        <is>
          <t>MORA</t>
        </is>
      </c>
      <c r="G421" t="n">
        <v>2.5</v>
      </c>
      <c r="H421" t="n">
        <v>0</v>
      </c>
      <c r="I421" t="n">
        <v>0</v>
      </c>
      <c r="J421" t="n">
        <v>0</v>
      </c>
      <c r="K421" t="n">
        <v>0</v>
      </c>
      <c r="L421" t="n">
        <v>0</v>
      </c>
      <c r="M421" t="n">
        <v>0</v>
      </c>
      <c r="N421" t="n">
        <v>0</v>
      </c>
      <c r="O421" t="n">
        <v>0</v>
      </c>
      <c r="P421" t="n">
        <v>0</v>
      </c>
      <c r="Q421" t="n">
        <v>0</v>
      </c>
      <c r="R421" s="2" t="inlineStr"/>
    </row>
    <row r="422" ht="15" customHeight="1">
      <c r="A422" t="inlineStr">
        <is>
          <t>A 24947-2025</t>
        </is>
      </c>
      <c r="B422" s="1" t="n">
        <v>45799.56524305556</v>
      </c>
      <c r="C422" s="1" t="n">
        <v>45891</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53743-2024</t>
        </is>
      </c>
      <c r="B423" s="1" t="n">
        <v>45615.47137731482</v>
      </c>
      <c r="C423" s="1" t="n">
        <v>45891</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48170-2024</t>
        </is>
      </c>
      <c r="B424" s="1" t="n">
        <v>45589.76975694444</v>
      </c>
      <c r="C424" s="1" t="n">
        <v>45891</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20401-2022</t>
        </is>
      </c>
      <c r="B425" s="1" t="n">
        <v>44699</v>
      </c>
      <c r="C425" s="1" t="n">
        <v>45891</v>
      </c>
      <c r="D425" t="inlineStr">
        <is>
          <t>DALARNAS LÄN</t>
        </is>
      </c>
      <c r="E425" t="inlineStr">
        <is>
          <t>MORA</t>
        </is>
      </c>
      <c r="G425" t="n">
        <v>3.2</v>
      </c>
      <c r="H425" t="n">
        <v>0</v>
      </c>
      <c r="I425" t="n">
        <v>0</v>
      </c>
      <c r="J425" t="n">
        <v>0</v>
      </c>
      <c r="K425" t="n">
        <v>0</v>
      </c>
      <c r="L425" t="n">
        <v>0</v>
      </c>
      <c r="M425" t="n">
        <v>0</v>
      </c>
      <c r="N425" t="n">
        <v>0</v>
      </c>
      <c r="O425" t="n">
        <v>0</v>
      </c>
      <c r="P425" t="n">
        <v>0</v>
      </c>
      <c r="Q425" t="n">
        <v>0</v>
      </c>
      <c r="R425" s="2" t="inlineStr"/>
    </row>
    <row r="426" ht="15" customHeight="1">
      <c r="A426" t="inlineStr">
        <is>
          <t>A 18120-2025</t>
        </is>
      </c>
      <c r="B426" s="1" t="n">
        <v>45761</v>
      </c>
      <c r="C426" s="1" t="n">
        <v>45891</v>
      </c>
      <c r="D426" t="inlineStr">
        <is>
          <t>DALARNAS LÄN</t>
        </is>
      </c>
      <c r="E426" t="inlineStr">
        <is>
          <t>MORA</t>
        </is>
      </c>
      <c r="F426" t="inlineStr">
        <is>
          <t>Bergvik skog väst AB</t>
        </is>
      </c>
      <c r="G426" t="n">
        <v>6.4</v>
      </c>
      <c r="H426" t="n">
        <v>0</v>
      </c>
      <c r="I426" t="n">
        <v>0</v>
      </c>
      <c r="J426" t="n">
        <v>0</v>
      </c>
      <c r="K426" t="n">
        <v>0</v>
      </c>
      <c r="L426" t="n">
        <v>0</v>
      </c>
      <c r="M426" t="n">
        <v>0</v>
      </c>
      <c r="N426" t="n">
        <v>0</v>
      </c>
      <c r="O426" t="n">
        <v>0</v>
      </c>
      <c r="P426" t="n">
        <v>0</v>
      </c>
      <c r="Q426" t="n">
        <v>0</v>
      </c>
      <c r="R426" s="2" t="inlineStr"/>
    </row>
    <row r="427" ht="15" customHeight="1">
      <c r="A427" t="inlineStr">
        <is>
          <t>A 18127-2025</t>
        </is>
      </c>
      <c r="B427" s="1" t="n">
        <v>45761.59523148148</v>
      </c>
      <c r="C427" s="1" t="n">
        <v>45891</v>
      </c>
      <c r="D427" t="inlineStr">
        <is>
          <t>DALARNAS LÄN</t>
        </is>
      </c>
      <c r="E427" t="inlineStr">
        <is>
          <t>MORA</t>
        </is>
      </c>
      <c r="F427" t="inlineStr">
        <is>
          <t>Bergvik skog öst AB</t>
        </is>
      </c>
      <c r="G427" t="n">
        <v>0.6</v>
      </c>
      <c r="H427" t="n">
        <v>0</v>
      </c>
      <c r="I427" t="n">
        <v>0</v>
      </c>
      <c r="J427" t="n">
        <v>0</v>
      </c>
      <c r="K427" t="n">
        <v>0</v>
      </c>
      <c r="L427" t="n">
        <v>0</v>
      </c>
      <c r="M427" t="n">
        <v>0</v>
      </c>
      <c r="N427" t="n">
        <v>0</v>
      </c>
      <c r="O427" t="n">
        <v>0</v>
      </c>
      <c r="P427" t="n">
        <v>0</v>
      </c>
      <c r="Q427" t="n">
        <v>0</v>
      </c>
      <c r="R427" s="2" t="inlineStr"/>
    </row>
    <row r="428" ht="15" customHeight="1">
      <c r="A428" t="inlineStr">
        <is>
          <t>A 25887-2023</t>
        </is>
      </c>
      <c r="B428" s="1" t="n">
        <v>45090.62493055555</v>
      </c>
      <c r="C428" s="1" t="n">
        <v>45891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20544-2025</t>
        </is>
      </c>
      <c r="B429" s="1" t="n">
        <v>45775.63119212963</v>
      </c>
      <c r="C429" s="1" t="n">
        <v>45891</v>
      </c>
      <c r="D429" t="inlineStr">
        <is>
          <t>DALARNAS LÄN</t>
        </is>
      </c>
      <c r="E429" t="inlineStr">
        <is>
          <t>MORA</t>
        </is>
      </c>
      <c r="G429" t="n">
        <v>3.6</v>
      </c>
      <c r="H429" t="n">
        <v>0</v>
      </c>
      <c r="I429" t="n">
        <v>0</v>
      </c>
      <c r="J429" t="n">
        <v>0</v>
      </c>
      <c r="K429" t="n">
        <v>0</v>
      </c>
      <c r="L429" t="n">
        <v>0</v>
      </c>
      <c r="M429" t="n">
        <v>0</v>
      </c>
      <c r="N429" t="n">
        <v>0</v>
      </c>
      <c r="O429" t="n">
        <v>0</v>
      </c>
      <c r="P429" t="n">
        <v>0</v>
      </c>
      <c r="Q429" t="n">
        <v>0</v>
      </c>
      <c r="R429" s="2" t="inlineStr"/>
    </row>
    <row r="430" ht="15" customHeight="1">
      <c r="A430" t="inlineStr">
        <is>
          <t>A 20594-2025</t>
        </is>
      </c>
      <c r="B430" s="1" t="n">
        <v>45775.74009259259</v>
      </c>
      <c r="C430" s="1" t="n">
        <v>45891</v>
      </c>
      <c r="D430" t="inlineStr">
        <is>
          <t>DALARNAS LÄN</t>
        </is>
      </c>
      <c r="E430" t="inlineStr">
        <is>
          <t>MORA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36740-2023</t>
        </is>
      </c>
      <c r="B431" s="1" t="n">
        <v>45153</v>
      </c>
      <c r="C431" s="1" t="n">
        <v>45891</v>
      </c>
      <c r="D431" t="inlineStr">
        <is>
          <t>DALARNAS LÄN</t>
        </is>
      </c>
      <c r="E431" t="inlineStr">
        <is>
          <t>MORA</t>
        </is>
      </c>
      <c r="G431" t="n">
        <v>0.2</v>
      </c>
      <c r="H431" t="n">
        <v>0</v>
      </c>
      <c r="I431" t="n">
        <v>0</v>
      </c>
      <c r="J431" t="n">
        <v>0</v>
      </c>
      <c r="K431" t="n">
        <v>0</v>
      </c>
      <c r="L431" t="n">
        <v>0</v>
      </c>
      <c r="M431" t="n">
        <v>0</v>
      </c>
      <c r="N431" t="n">
        <v>0</v>
      </c>
      <c r="O431" t="n">
        <v>0</v>
      </c>
      <c r="P431" t="n">
        <v>0</v>
      </c>
      <c r="Q431" t="n">
        <v>0</v>
      </c>
      <c r="R431" s="2" t="inlineStr"/>
    </row>
    <row r="432" ht="15" customHeight="1">
      <c r="A432" t="inlineStr">
        <is>
          <t>A 25737-2025</t>
        </is>
      </c>
      <c r="B432" s="1" t="n">
        <v>45800</v>
      </c>
      <c r="C432" s="1" t="n">
        <v>45891</v>
      </c>
      <c r="D432" t="inlineStr">
        <is>
          <t>DALARNAS LÄN</t>
        </is>
      </c>
      <c r="E432" t="inlineStr">
        <is>
          <t>MORA</t>
        </is>
      </c>
      <c r="G432" t="n">
        <v>9.6</v>
      </c>
      <c r="H432" t="n">
        <v>0</v>
      </c>
      <c r="I432" t="n">
        <v>0</v>
      </c>
      <c r="J432" t="n">
        <v>0</v>
      </c>
      <c r="K432" t="n">
        <v>0</v>
      </c>
      <c r="L432" t="n">
        <v>0</v>
      </c>
      <c r="M432" t="n">
        <v>0</v>
      </c>
      <c r="N432" t="n">
        <v>0</v>
      </c>
      <c r="O432" t="n">
        <v>0</v>
      </c>
      <c r="P432" t="n">
        <v>0</v>
      </c>
      <c r="Q432" t="n">
        <v>0</v>
      </c>
      <c r="R432" s="2" t="inlineStr"/>
    </row>
    <row r="433" ht="15" customHeight="1">
      <c r="A433" t="inlineStr">
        <is>
          <t>A 16961-2025</t>
        </is>
      </c>
      <c r="B433" s="1" t="n">
        <v>45755.45269675926</v>
      </c>
      <c r="C433" s="1" t="n">
        <v>45891</v>
      </c>
      <c r="D433" t="inlineStr">
        <is>
          <t>DALARNAS LÄN</t>
        </is>
      </c>
      <c r="E433" t="inlineStr">
        <is>
          <t>MORA</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48342-2023</t>
        </is>
      </c>
      <c r="B434" s="1" t="n">
        <v>45205</v>
      </c>
      <c r="C434" s="1" t="n">
        <v>45891</v>
      </c>
      <c r="D434" t="inlineStr">
        <is>
          <t>DALARNAS LÄN</t>
        </is>
      </c>
      <c r="E434" t="inlineStr">
        <is>
          <t>MORA</t>
        </is>
      </c>
      <c r="G434" t="n">
        <v>1</v>
      </c>
      <c r="H434" t="n">
        <v>0</v>
      </c>
      <c r="I434" t="n">
        <v>0</v>
      </c>
      <c r="J434" t="n">
        <v>0</v>
      </c>
      <c r="K434" t="n">
        <v>0</v>
      </c>
      <c r="L434" t="n">
        <v>0</v>
      </c>
      <c r="M434" t="n">
        <v>0</v>
      </c>
      <c r="N434" t="n">
        <v>0</v>
      </c>
      <c r="O434" t="n">
        <v>0</v>
      </c>
      <c r="P434" t="n">
        <v>0</v>
      </c>
      <c r="Q434" t="n">
        <v>0</v>
      </c>
      <c r="R434" s="2" t="inlineStr"/>
    </row>
    <row r="435" ht="15" customHeight="1">
      <c r="A435" t="inlineStr">
        <is>
          <t>A 53527-2024</t>
        </is>
      </c>
      <c r="B435" s="1" t="n">
        <v>45614.61569444444</v>
      </c>
      <c r="C435" s="1" t="n">
        <v>45891</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17393-2025</t>
        </is>
      </c>
      <c r="B436" s="1" t="n">
        <v>45757.34350694445</v>
      </c>
      <c r="C436" s="1" t="n">
        <v>45891</v>
      </c>
      <c r="D436" t="inlineStr">
        <is>
          <t>DALARNAS LÄN</t>
        </is>
      </c>
      <c r="E436" t="inlineStr">
        <is>
          <t>MORA</t>
        </is>
      </c>
      <c r="G436" t="n">
        <v>10.1</v>
      </c>
      <c r="H436" t="n">
        <v>0</v>
      </c>
      <c r="I436" t="n">
        <v>0</v>
      </c>
      <c r="J436" t="n">
        <v>0</v>
      </c>
      <c r="K436" t="n">
        <v>0</v>
      </c>
      <c r="L436" t="n">
        <v>0</v>
      </c>
      <c r="M436" t="n">
        <v>0</v>
      </c>
      <c r="N436" t="n">
        <v>0</v>
      </c>
      <c r="O436" t="n">
        <v>0</v>
      </c>
      <c r="P436" t="n">
        <v>0</v>
      </c>
      <c r="Q436" t="n">
        <v>0</v>
      </c>
      <c r="R436" s="2" t="inlineStr"/>
    </row>
    <row r="437" ht="15" customHeight="1">
      <c r="A437" t="inlineStr">
        <is>
          <t>A 64088-2023</t>
        </is>
      </c>
      <c r="B437" s="1" t="n">
        <v>45279.43570601852</v>
      </c>
      <c r="C437" s="1" t="n">
        <v>45891</v>
      </c>
      <c r="D437" t="inlineStr">
        <is>
          <t>DALARNAS LÄN</t>
        </is>
      </c>
      <c r="E437" t="inlineStr">
        <is>
          <t>MORA</t>
        </is>
      </c>
      <c r="G437" t="n">
        <v>1</v>
      </c>
      <c r="H437" t="n">
        <v>0</v>
      </c>
      <c r="I437" t="n">
        <v>0</v>
      </c>
      <c r="J437" t="n">
        <v>0</v>
      </c>
      <c r="K437" t="n">
        <v>0</v>
      </c>
      <c r="L437" t="n">
        <v>0</v>
      </c>
      <c r="M437" t="n">
        <v>0</v>
      </c>
      <c r="N437" t="n">
        <v>0</v>
      </c>
      <c r="O437" t="n">
        <v>0</v>
      </c>
      <c r="P437" t="n">
        <v>0</v>
      </c>
      <c r="Q437" t="n">
        <v>0</v>
      </c>
      <c r="R437" s="2" t="inlineStr"/>
    </row>
    <row r="438" ht="15" customHeight="1">
      <c r="A438" t="inlineStr">
        <is>
          <t>A 14936-2025</t>
        </is>
      </c>
      <c r="B438" s="1" t="n">
        <v>45743.55756944444</v>
      </c>
      <c r="C438" s="1" t="n">
        <v>45891</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9276-2024</t>
        </is>
      </c>
      <c r="B439" s="1" t="n">
        <v>45358.63113425926</v>
      </c>
      <c r="C439" s="1" t="n">
        <v>45891</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35381-2024</t>
        </is>
      </c>
      <c r="B440" s="1" t="n">
        <v>45531.38372685185</v>
      </c>
      <c r="C440" s="1" t="n">
        <v>45891</v>
      </c>
      <c r="D440" t="inlineStr">
        <is>
          <t>DALARNAS LÄN</t>
        </is>
      </c>
      <c r="E440" t="inlineStr">
        <is>
          <t>MORA</t>
        </is>
      </c>
      <c r="G440" t="n">
        <v>3.7</v>
      </c>
      <c r="H440" t="n">
        <v>0</v>
      </c>
      <c r="I440" t="n">
        <v>0</v>
      </c>
      <c r="J440" t="n">
        <v>0</v>
      </c>
      <c r="K440" t="n">
        <v>0</v>
      </c>
      <c r="L440" t="n">
        <v>0</v>
      </c>
      <c r="M440" t="n">
        <v>0</v>
      </c>
      <c r="N440" t="n">
        <v>0</v>
      </c>
      <c r="O440" t="n">
        <v>0</v>
      </c>
      <c r="P440" t="n">
        <v>0</v>
      </c>
      <c r="Q440" t="n">
        <v>0</v>
      </c>
      <c r="R440" s="2" t="inlineStr"/>
    </row>
    <row r="441" ht="15" customHeight="1">
      <c r="A441" t="inlineStr">
        <is>
          <t>A 26647-2025</t>
        </is>
      </c>
      <c r="B441" s="1" t="n">
        <v>45810.38439814815</v>
      </c>
      <c r="C441" s="1" t="n">
        <v>45891</v>
      </c>
      <c r="D441" t="inlineStr">
        <is>
          <t>DALARNAS LÄN</t>
        </is>
      </c>
      <c r="E441" t="inlineStr">
        <is>
          <t>MORA</t>
        </is>
      </c>
      <c r="G441" t="n">
        <v>7.9</v>
      </c>
      <c r="H441" t="n">
        <v>0</v>
      </c>
      <c r="I441" t="n">
        <v>0</v>
      </c>
      <c r="J441" t="n">
        <v>0</v>
      </c>
      <c r="K441" t="n">
        <v>0</v>
      </c>
      <c r="L441" t="n">
        <v>0</v>
      </c>
      <c r="M441" t="n">
        <v>0</v>
      </c>
      <c r="N441" t="n">
        <v>0</v>
      </c>
      <c r="O441" t="n">
        <v>0</v>
      </c>
      <c r="P441" t="n">
        <v>0</v>
      </c>
      <c r="Q441" t="n">
        <v>0</v>
      </c>
      <c r="R441" s="2" t="inlineStr"/>
    </row>
    <row r="442" ht="15" customHeight="1">
      <c r="A442" t="inlineStr">
        <is>
          <t>A 15817-2024</t>
        </is>
      </c>
      <c r="B442" s="1" t="n">
        <v>45404.67387731482</v>
      </c>
      <c r="C442" s="1" t="n">
        <v>45891</v>
      </c>
      <c r="D442" t="inlineStr">
        <is>
          <t>DALARNAS LÄN</t>
        </is>
      </c>
      <c r="E442" t="inlineStr">
        <is>
          <t>MORA</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56425-2024</t>
        </is>
      </c>
      <c r="B443" s="1" t="n">
        <v>45625.38677083333</v>
      </c>
      <c r="C443" s="1" t="n">
        <v>45891</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46755-2023</t>
        </is>
      </c>
      <c r="B444" s="1" t="n">
        <v>45198.61314814815</v>
      </c>
      <c r="C444" s="1" t="n">
        <v>45891</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30819-2024</t>
        </is>
      </c>
      <c r="B445" s="1" t="n">
        <v>45497</v>
      </c>
      <c r="C445" s="1" t="n">
        <v>45891</v>
      </c>
      <c r="D445" t="inlineStr">
        <is>
          <t>DALARNAS LÄN</t>
        </is>
      </c>
      <c r="E445" t="inlineStr">
        <is>
          <t>MORA</t>
        </is>
      </c>
      <c r="G445" t="n">
        <v>2.2</v>
      </c>
      <c r="H445" t="n">
        <v>0</v>
      </c>
      <c r="I445" t="n">
        <v>0</v>
      </c>
      <c r="J445" t="n">
        <v>0</v>
      </c>
      <c r="K445" t="n">
        <v>0</v>
      </c>
      <c r="L445" t="n">
        <v>0</v>
      </c>
      <c r="M445" t="n">
        <v>0</v>
      </c>
      <c r="N445" t="n">
        <v>0</v>
      </c>
      <c r="O445" t="n">
        <v>0</v>
      </c>
      <c r="P445" t="n">
        <v>0</v>
      </c>
      <c r="Q445" t="n">
        <v>0</v>
      </c>
      <c r="R445" s="2" t="inlineStr"/>
    </row>
    <row r="446" ht="15" customHeight="1">
      <c r="A446" t="inlineStr">
        <is>
          <t>A 14372-2025</t>
        </is>
      </c>
      <c r="B446" s="1" t="n">
        <v>45741.4050462963</v>
      </c>
      <c r="C446" s="1" t="n">
        <v>45891</v>
      </c>
      <c r="D446" t="inlineStr">
        <is>
          <t>DALARNAS LÄN</t>
        </is>
      </c>
      <c r="E446" t="inlineStr">
        <is>
          <t>MORA</t>
        </is>
      </c>
      <c r="G446" t="n">
        <v>5.1</v>
      </c>
      <c r="H446" t="n">
        <v>0</v>
      </c>
      <c r="I446" t="n">
        <v>0</v>
      </c>
      <c r="J446" t="n">
        <v>0</v>
      </c>
      <c r="K446" t="n">
        <v>0</v>
      </c>
      <c r="L446" t="n">
        <v>0</v>
      </c>
      <c r="M446" t="n">
        <v>0</v>
      </c>
      <c r="N446" t="n">
        <v>0</v>
      </c>
      <c r="O446" t="n">
        <v>0</v>
      </c>
      <c r="P446" t="n">
        <v>0</v>
      </c>
      <c r="Q446" t="n">
        <v>0</v>
      </c>
      <c r="R446" s="2" t="inlineStr"/>
    </row>
    <row r="447" ht="15" customHeight="1">
      <c r="A447" t="inlineStr">
        <is>
          <t>A 14378-2025</t>
        </is>
      </c>
      <c r="B447" s="1" t="n">
        <v>45741</v>
      </c>
      <c r="C447" s="1" t="n">
        <v>45891</v>
      </c>
      <c r="D447" t="inlineStr">
        <is>
          <t>DALARNAS LÄN</t>
        </is>
      </c>
      <c r="E447" t="inlineStr">
        <is>
          <t>MORA</t>
        </is>
      </c>
      <c r="G447" t="n">
        <v>5.2</v>
      </c>
      <c r="H447" t="n">
        <v>0</v>
      </c>
      <c r="I447" t="n">
        <v>0</v>
      </c>
      <c r="J447" t="n">
        <v>0</v>
      </c>
      <c r="K447" t="n">
        <v>0</v>
      </c>
      <c r="L447" t="n">
        <v>0</v>
      </c>
      <c r="M447" t="n">
        <v>0</v>
      </c>
      <c r="N447" t="n">
        <v>0</v>
      </c>
      <c r="O447" t="n">
        <v>0</v>
      </c>
      <c r="P447" t="n">
        <v>0</v>
      </c>
      <c r="Q447" t="n">
        <v>0</v>
      </c>
      <c r="R447" s="2" t="inlineStr"/>
    </row>
    <row r="448" ht="15" customHeight="1">
      <c r="A448" t="inlineStr">
        <is>
          <t>A 60718-2023</t>
        </is>
      </c>
      <c r="B448" s="1" t="n">
        <v>45260.5284375</v>
      </c>
      <c r="C448" s="1" t="n">
        <v>45891</v>
      </c>
      <c r="D448" t="inlineStr">
        <is>
          <t>DALARNAS LÄN</t>
        </is>
      </c>
      <c r="E448" t="inlineStr">
        <is>
          <t>MORA</t>
        </is>
      </c>
      <c r="G448" t="n">
        <v>2.6</v>
      </c>
      <c r="H448" t="n">
        <v>0</v>
      </c>
      <c r="I448" t="n">
        <v>0</v>
      </c>
      <c r="J448" t="n">
        <v>0</v>
      </c>
      <c r="K448" t="n">
        <v>0</v>
      </c>
      <c r="L448" t="n">
        <v>0</v>
      </c>
      <c r="M448" t="n">
        <v>0</v>
      </c>
      <c r="N448" t="n">
        <v>0</v>
      </c>
      <c r="O448" t="n">
        <v>0</v>
      </c>
      <c r="P448" t="n">
        <v>0</v>
      </c>
      <c r="Q448" t="n">
        <v>0</v>
      </c>
      <c r="R448" s="2" t="inlineStr"/>
    </row>
    <row r="449" ht="15" customHeight="1">
      <c r="A449" t="inlineStr">
        <is>
          <t>A 14641-2023</t>
        </is>
      </c>
      <c r="B449" s="1" t="n">
        <v>45013</v>
      </c>
      <c r="C449" s="1" t="n">
        <v>45891</v>
      </c>
      <c r="D449" t="inlineStr">
        <is>
          <t>DALARNAS LÄN</t>
        </is>
      </c>
      <c r="E449" t="inlineStr">
        <is>
          <t>MORA</t>
        </is>
      </c>
      <c r="G449" t="n">
        <v>1.5</v>
      </c>
      <c r="H449" t="n">
        <v>0</v>
      </c>
      <c r="I449" t="n">
        <v>0</v>
      </c>
      <c r="J449" t="n">
        <v>0</v>
      </c>
      <c r="K449" t="n">
        <v>0</v>
      </c>
      <c r="L449" t="n">
        <v>0</v>
      </c>
      <c r="M449" t="n">
        <v>0</v>
      </c>
      <c r="N449" t="n">
        <v>0</v>
      </c>
      <c r="O449" t="n">
        <v>0</v>
      </c>
      <c r="P449" t="n">
        <v>0</v>
      </c>
      <c r="Q449" t="n">
        <v>0</v>
      </c>
      <c r="R449" s="2" t="inlineStr"/>
    </row>
    <row r="450" ht="15" customHeight="1">
      <c r="A450" t="inlineStr">
        <is>
          <t>A 5309-2023</t>
        </is>
      </c>
      <c r="B450" s="1" t="n">
        <v>44956</v>
      </c>
      <c r="C450" s="1" t="n">
        <v>45891</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12151-2021</t>
        </is>
      </c>
      <c r="B451" s="1" t="n">
        <v>44266</v>
      </c>
      <c r="C451" s="1" t="n">
        <v>45891</v>
      </c>
      <c r="D451" t="inlineStr">
        <is>
          <t>DALARNAS LÄN</t>
        </is>
      </c>
      <c r="E451" t="inlineStr">
        <is>
          <t>MORA</t>
        </is>
      </c>
      <c r="G451" t="n">
        <v>0.5</v>
      </c>
      <c r="H451" t="n">
        <v>0</v>
      </c>
      <c r="I451" t="n">
        <v>0</v>
      </c>
      <c r="J451" t="n">
        <v>0</v>
      </c>
      <c r="K451" t="n">
        <v>0</v>
      </c>
      <c r="L451" t="n">
        <v>0</v>
      </c>
      <c r="M451" t="n">
        <v>0</v>
      </c>
      <c r="N451" t="n">
        <v>0</v>
      </c>
      <c r="O451" t="n">
        <v>0</v>
      </c>
      <c r="P451" t="n">
        <v>0</v>
      </c>
      <c r="Q451" t="n">
        <v>0</v>
      </c>
      <c r="R451" s="2" t="inlineStr"/>
    </row>
    <row r="452" ht="15" customHeight="1">
      <c r="A452" t="inlineStr">
        <is>
          <t>A 44177-2023</t>
        </is>
      </c>
      <c r="B452" s="1" t="n">
        <v>45188.51439814815</v>
      </c>
      <c r="C452" s="1" t="n">
        <v>45891</v>
      </c>
      <c r="D452" t="inlineStr">
        <is>
          <t>DALARNAS LÄN</t>
        </is>
      </c>
      <c r="E452" t="inlineStr">
        <is>
          <t>MORA</t>
        </is>
      </c>
      <c r="G452" t="n">
        <v>2</v>
      </c>
      <c r="H452" t="n">
        <v>0</v>
      </c>
      <c r="I452" t="n">
        <v>0</v>
      </c>
      <c r="J452" t="n">
        <v>0</v>
      </c>
      <c r="K452" t="n">
        <v>0</v>
      </c>
      <c r="L452" t="n">
        <v>0</v>
      </c>
      <c r="M452" t="n">
        <v>0</v>
      </c>
      <c r="N452" t="n">
        <v>0</v>
      </c>
      <c r="O452" t="n">
        <v>0</v>
      </c>
      <c r="P452" t="n">
        <v>0</v>
      </c>
      <c r="Q452" t="n">
        <v>0</v>
      </c>
      <c r="R452" s="2" t="inlineStr"/>
    </row>
    <row r="453" ht="15" customHeight="1">
      <c r="A453" t="inlineStr">
        <is>
          <t>A 44201-2023</t>
        </is>
      </c>
      <c r="B453" s="1" t="n">
        <v>45188</v>
      </c>
      <c r="C453" s="1" t="n">
        <v>45891</v>
      </c>
      <c r="D453" t="inlineStr">
        <is>
          <t>DALARNAS LÄN</t>
        </is>
      </c>
      <c r="E453" t="inlineStr">
        <is>
          <t>MORA</t>
        </is>
      </c>
      <c r="G453" t="n">
        <v>0.6</v>
      </c>
      <c r="H453" t="n">
        <v>0</v>
      </c>
      <c r="I453" t="n">
        <v>0</v>
      </c>
      <c r="J453" t="n">
        <v>0</v>
      </c>
      <c r="K453" t="n">
        <v>0</v>
      </c>
      <c r="L453" t="n">
        <v>0</v>
      </c>
      <c r="M453" t="n">
        <v>0</v>
      </c>
      <c r="N453" t="n">
        <v>0</v>
      </c>
      <c r="O453" t="n">
        <v>0</v>
      </c>
      <c r="P453" t="n">
        <v>0</v>
      </c>
      <c r="Q453" t="n">
        <v>0</v>
      </c>
      <c r="R453" s="2" t="inlineStr"/>
    </row>
    <row r="454" ht="15" customHeight="1">
      <c r="A454" t="inlineStr">
        <is>
          <t>A 26546-2025</t>
        </is>
      </c>
      <c r="B454" s="1" t="n">
        <v>45807</v>
      </c>
      <c r="C454" s="1" t="n">
        <v>45891</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26573-2025</t>
        </is>
      </c>
      <c r="B455" s="1" t="n">
        <v>45807</v>
      </c>
      <c r="C455" s="1" t="n">
        <v>45891</v>
      </c>
      <c r="D455" t="inlineStr">
        <is>
          <t>DALARNAS LÄN</t>
        </is>
      </c>
      <c r="E455" t="inlineStr">
        <is>
          <t>MORA</t>
        </is>
      </c>
      <c r="G455" t="n">
        <v>4.3</v>
      </c>
      <c r="H455" t="n">
        <v>0</v>
      </c>
      <c r="I455" t="n">
        <v>0</v>
      </c>
      <c r="J455" t="n">
        <v>0</v>
      </c>
      <c r="K455" t="n">
        <v>0</v>
      </c>
      <c r="L455" t="n">
        <v>0</v>
      </c>
      <c r="M455" t="n">
        <v>0</v>
      </c>
      <c r="N455" t="n">
        <v>0</v>
      </c>
      <c r="O455" t="n">
        <v>0</v>
      </c>
      <c r="P455" t="n">
        <v>0</v>
      </c>
      <c r="Q455" t="n">
        <v>0</v>
      </c>
      <c r="R455" s="2" t="inlineStr"/>
    </row>
    <row r="456" ht="15" customHeight="1">
      <c r="A456" t="inlineStr">
        <is>
          <t>A 42611-2022</t>
        </is>
      </c>
      <c r="B456" s="1" t="n">
        <v>44831.81482638889</v>
      </c>
      <c r="C456" s="1" t="n">
        <v>45891</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55222-2023</t>
        </is>
      </c>
      <c r="B457" s="1" t="n">
        <v>45237.60775462963</v>
      </c>
      <c r="C457" s="1" t="n">
        <v>45891</v>
      </c>
      <c r="D457" t="inlineStr">
        <is>
          <t>DALARNAS LÄN</t>
        </is>
      </c>
      <c r="E457" t="inlineStr">
        <is>
          <t>MORA</t>
        </is>
      </c>
      <c r="F457" t="inlineStr">
        <is>
          <t>Allmännings- och besparingsskogar</t>
        </is>
      </c>
      <c r="G457" t="n">
        <v>19.8</v>
      </c>
      <c r="H457" t="n">
        <v>0</v>
      </c>
      <c r="I457" t="n">
        <v>0</v>
      </c>
      <c r="J457" t="n">
        <v>0</v>
      </c>
      <c r="K457" t="n">
        <v>0</v>
      </c>
      <c r="L457" t="n">
        <v>0</v>
      </c>
      <c r="M457" t="n">
        <v>0</v>
      </c>
      <c r="N457" t="n">
        <v>0</v>
      </c>
      <c r="O457" t="n">
        <v>0</v>
      </c>
      <c r="P457" t="n">
        <v>0</v>
      </c>
      <c r="Q457" t="n">
        <v>0</v>
      </c>
      <c r="R457" s="2" t="inlineStr"/>
    </row>
    <row r="458" ht="15" customHeight="1">
      <c r="A458" t="inlineStr">
        <is>
          <t>A 31177-2021</t>
        </is>
      </c>
      <c r="B458" s="1" t="n">
        <v>44368</v>
      </c>
      <c r="C458" s="1" t="n">
        <v>45891</v>
      </c>
      <c r="D458" t="inlineStr">
        <is>
          <t>DALARNAS LÄN</t>
        </is>
      </c>
      <c r="E458" t="inlineStr">
        <is>
          <t>MORA</t>
        </is>
      </c>
      <c r="G458" t="n">
        <v>1.6</v>
      </c>
      <c r="H458" t="n">
        <v>0</v>
      </c>
      <c r="I458" t="n">
        <v>0</v>
      </c>
      <c r="J458" t="n">
        <v>0</v>
      </c>
      <c r="K458" t="n">
        <v>0</v>
      </c>
      <c r="L458" t="n">
        <v>0</v>
      </c>
      <c r="M458" t="n">
        <v>0</v>
      </c>
      <c r="N458" t="n">
        <v>0</v>
      </c>
      <c r="O458" t="n">
        <v>0</v>
      </c>
      <c r="P458" t="n">
        <v>0</v>
      </c>
      <c r="Q458" t="n">
        <v>0</v>
      </c>
      <c r="R458" s="2" t="inlineStr"/>
    </row>
    <row r="459" ht="15" customHeight="1">
      <c r="A459" t="inlineStr">
        <is>
          <t>A 26532-2025</t>
        </is>
      </c>
      <c r="B459" s="1" t="n">
        <v>45807</v>
      </c>
      <c r="C459" s="1" t="n">
        <v>45891</v>
      </c>
      <c r="D459" t="inlineStr">
        <is>
          <t>DALARNAS LÄN</t>
        </is>
      </c>
      <c r="E459" t="inlineStr">
        <is>
          <t>MORA</t>
        </is>
      </c>
      <c r="G459" t="n">
        <v>4.4</v>
      </c>
      <c r="H459" t="n">
        <v>0</v>
      </c>
      <c r="I459" t="n">
        <v>0</v>
      </c>
      <c r="J459" t="n">
        <v>0</v>
      </c>
      <c r="K459" t="n">
        <v>0</v>
      </c>
      <c r="L459" t="n">
        <v>0</v>
      </c>
      <c r="M459" t="n">
        <v>0</v>
      </c>
      <c r="N459" t="n">
        <v>0</v>
      </c>
      <c r="O459" t="n">
        <v>0</v>
      </c>
      <c r="P459" t="n">
        <v>0</v>
      </c>
      <c r="Q459" t="n">
        <v>0</v>
      </c>
      <c r="R459" s="2" t="inlineStr"/>
    </row>
    <row r="460" ht="15" customHeight="1">
      <c r="A460" t="inlineStr">
        <is>
          <t>A 26545-2025</t>
        </is>
      </c>
      <c r="B460" s="1" t="n">
        <v>45807</v>
      </c>
      <c r="C460" s="1" t="n">
        <v>45891</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51570-2023</t>
        </is>
      </c>
      <c r="B461" s="1" t="n">
        <v>45222</v>
      </c>
      <c r="C461" s="1" t="n">
        <v>45891</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20885-2024</t>
        </is>
      </c>
      <c r="B462" s="1" t="n">
        <v>45439.45527777778</v>
      </c>
      <c r="C462" s="1" t="n">
        <v>45891</v>
      </c>
      <c r="D462" t="inlineStr">
        <is>
          <t>DALARNAS LÄN</t>
        </is>
      </c>
      <c r="E462" t="inlineStr">
        <is>
          <t>MORA</t>
        </is>
      </c>
      <c r="G462" t="n">
        <v>5</v>
      </c>
      <c r="H462" t="n">
        <v>0</v>
      </c>
      <c r="I462" t="n">
        <v>0</v>
      </c>
      <c r="J462" t="n">
        <v>0</v>
      </c>
      <c r="K462" t="n">
        <v>0</v>
      </c>
      <c r="L462" t="n">
        <v>0</v>
      </c>
      <c r="M462" t="n">
        <v>0</v>
      </c>
      <c r="N462" t="n">
        <v>0</v>
      </c>
      <c r="O462" t="n">
        <v>0</v>
      </c>
      <c r="P462" t="n">
        <v>0</v>
      </c>
      <c r="Q462" t="n">
        <v>0</v>
      </c>
      <c r="R462" s="2" t="inlineStr"/>
    </row>
    <row r="463" ht="15" customHeight="1">
      <c r="A463" t="inlineStr">
        <is>
          <t>A 26630-2025</t>
        </is>
      </c>
      <c r="B463" s="1" t="n">
        <v>45809</v>
      </c>
      <c r="C463" s="1" t="n">
        <v>45891</v>
      </c>
      <c r="D463" t="inlineStr">
        <is>
          <t>DALARNAS LÄN</t>
        </is>
      </c>
      <c r="E463" t="inlineStr">
        <is>
          <t>MORA</t>
        </is>
      </c>
      <c r="G463" t="n">
        <v>32.1</v>
      </c>
      <c r="H463" t="n">
        <v>0</v>
      </c>
      <c r="I463" t="n">
        <v>0</v>
      </c>
      <c r="J463" t="n">
        <v>0</v>
      </c>
      <c r="K463" t="n">
        <v>0</v>
      </c>
      <c r="L463" t="n">
        <v>0</v>
      </c>
      <c r="M463" t="n">
        <v>0</v>
      </c>
      <c r="N463" t="n">
        <v>0</v>
      </c>
      <c r="O463" t="n">
        <v>0</v>
      </c>
      <c r="P463" t="n">
        <v>0</v>
      </c>
      <c r="Q463" t="n">
        <v>0</v>
      </c>
      <c r="R463" s="2" t="inlineStr"/>
    </row>
    <row r="464" ht="15" customHeight="1">
      <c r="A464" t="inlineStr">
        <is>
          <t>A 35121-2025</t>
        </is>
      </c>
      <c r="B464" s="1" t="n">
        <v>45852.60936342592</v>
      </c>
      <c r="C464" s="1" t="n">
        <v>45891</v>
      </c>
      <c r="D464" t="inlineStr">
        <is>
          <t>DALARNAS LÄN</t>
        </is>
      </c>
      <c r="E464" t="inlineStr">
        <is>
          <t>MORA</t>
        </is>
      </c>
      <c r="F464" t="inlineStr">
        <is>
          <t>Bergvik skog öst AB</t>
        </is>
      </c>
      <c r="G464" t="n">
        <v>15.9</v>
      </c>
      <c r="H464" t="n">
        <v>0</v>
      </c>
      <c r="I464" t="n">
        <v>0</v>
      </c>
      <c r="J464" t="n">
        <v>0</v>
      </c>
      <c r="K464" t="n">
        <v>0</v>
      </c>
      <c r="L464" t="n">
        <v>0</v>
      </c>
      <c r="M464" t="n">
        <v>0</v>
      </c>
      <c r="N464" t="n">
        <v>0</v>
      </c>
      <c r="O464" t="n">
        <v>0</v>
      </c>
      <c r="P464" t="n">
        <v>0</v>
      </c>
      <c r="Q464" t="n">
        <v>0</v>
      </c>
      <c r="R464" s="2" t="inlineStr"/>
    </row>
    <row r="465" ht="15" customHeight="1">
      <c r="A465" t="inlineStr">
        <is>
          <t>A 34933-2025</t>
        </is>
      </c>
      <c r="B465" s="1" t="n">
        <v>45849.57297453703</v>
      </c>
      <c r="C465" s="1" t="n">
        <v>45891</v>
      </c>
      <c r="D465" t="inlineStr">
        <is>
          <t>DALARNAS LÄN</t>
        </is>
      </c>
      <c r="E465" t="inlineStr">
        <is>
          <t>MORA</t>
        </is>
      </c>
      <c r="F465" t="inlineStr">
        <is>
          <t>Bergvik skog väst AB</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26577-2025</t>
        </is>
      </c>
      <c r="B466" s="1" t="n">
        <v>45807</v>
      </c>
      <c r="C466" s="1" t="n">
        <v>45891</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15416-2023</t>
        </is>
      </c>
      <c r="B467" s="1" t="n">
        <v>45019.71342592593</v>
      </c>
      <c r="C467" s="1" t="n">
        <v>45891</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26854-2025</t>
        </is>
      </c>
      <c r="B468" s="1" t="n">
        <v>45810.67462962963</v>
      </c>
      <c r="C468" s="1" t="n">
        <v>45891</v>
      </c>
      <c r="D468" t="inlineStr">
        <is>
          <t>DALARNAS LÄN</t>
        </is>
      </c>
      <c r="E468" t="inlineStr">
        <is>
          <t>MORA</t>
        </is>
      </c>
      <c r="G468" t="n">
        <v>4.4</v>
      </c>
      <c r="H468" t="n">
        <v>0</v>
      </c>
      <c r="I468" t="n">
        <v>0</v>
      </c>
      <c r="J468" t="n">
        <v>0</v>
      </c>
      <c r="K468" t="n">
        <v>0</v>
      </c>
      <c r="L468" t="n">
        <v>0</v>
      </c>
      <c r="M468" t="n">
        <v>0</v>
      </c>
      <c r="N468" t="n">
        <v>0</v>
      </c>
      <c r="O468" t="n">
        <v>0</v>
      </c>
      <c r="P468" t="n">
        <v>0</v>
      </c>
      <c r="Q468" t="n">
        <v>0</v>
      </c>
      <c r="R468" s="2" t="inlineStr"/>
    </row>
    <row r="469" ht="15" customHeight="1">
      <c r="A469" t="inlineStr">
        <is>
          <t>A 32261-2022</t>
        </is>
      </c>
      <c r="B469" s="1" t="n">
        <v>44781.5350925926</v>
      </c>
      <c r="C469" s="1" t="n">
        <v>45891</v>
      </c>
      <c r="D469" t="inlineStr">
        <is>
          <t>DALARNAS LÄN</t>
        </is>
      </c>
      <c r="E469" t="inlineStr">
        <is>
          <t>MORA</t>
        </is>
      </c>
      <c r="G469" t="n">
        <v>2.7</v>
      </c>
      <c r="H469" t="n">
        <v>0</v>
      </c>
      <c r="I469" t="n">
        <v>0</v>
      </c>
      <c r="J469" t="n">
        <v>0</v>
      </c>
      <c r="K469" t="n">
        <v>0</v>
      </c>
      <c r="L469" t="n">
        <v>0</v>
      </c>
      <c r="M469" t="n">
        <v>0</v>
      </c>
      <c r="N469" t="n">
        <v>0</v>
      </c>
      <c r="O469" t="n">
        <v>0</v>
      </c>
      <c r="P469" t="n">
        <v>0</v>
      </c>
      <c r="Q469" t="n">
        <v>0</v>
      </c>
      <c r="R469" s="2" t="inlineStr"/>
    </row>
    <row r="470" ht="15" customHeight="1">
      <c r="A470" t="inlineStr">
        <is>
          <t>A 52288-2024</t>
        </is>
      </c>
      <c r="B470" s="1" t="n">
        <v>45608.69395833334</v>
      </c>
      <c r="C470" s="1" t="n">
        <v>45891</v>
      </c>
      <c r="D470" t="inlineStr">
        <is>
          <t>DALARNAS LÄN</t>
        </is>
      </c>
      <c r="E470" t="inlineStr">
        <is>
          <t>MORA</t>
        </is>
      </c>
      <c r="G470" t="n">
        <v>2</v>
      </c>
      <c r="H470" t="n">
        <v>0</v>
      </c>
      <c r="I470" t="n">
        <v>0</v>
      </c>
      <c r="J470" t="n">
        <v>0</v>
      </c>
      <c r="K470" t="n">
        <v>0</v>
      </c>
      <c r="L470" t="n">
        <v>0</v>
      </c>
      <c r="M470" t="n">
        <v>0</v>
      </c>
      <c r="N470" t="n">
        <v>0</v>
      </c>
      <c r="O470" t="n">
        <v>0</v>
      </c>
      <c r="P470" t="n">
        <v>0</v>
      </c>
      <c r="Q470" t="n">
        <v>0</v>
      </c>
      <c r="R470" s="2" t="inlineStr"/>
    </row>
    <row r="471" ht="15" customHeight="1">
      <c r="A471" t="inlineStr">
        <is>
          <t>A 25935-2023</t>
        </is>
      </c>
      <c r="B471" s="1" t="n">
        <v>45090.68675925926</v>
      </c>
      <c r="C471" s="1" t="n">
        <v>45891</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26731-2025</t>
        </is>
      </c>
      <c r="B472" s="1" t="n">
        <v>45810.50702546296</v>
      </c>
      <c r="C472" s="1" t="n">
        <v>45891</v>
      </c>
      <c r="D472" t="inlineStr">
        <is>
          <t>DALARNAS LÄN</t>
        </is>
      </c>
      <c r="E472" t="inlineStr">
        <is>
          <t>MORA</t>
        </is>
      </c>
      <c r="G472" t="n">
        <v>0.6</v>
      </c>
      <c r="H472" t="n">
        <v>0</v>
      </c>
      <c r="I472" t="n">
        <v>0</v>
      </c>
      <c r="J472" t="n">
        <v>0</v>
      </c>
      <c r="K472" t="n">
        <v>0</v>
      </c>
      <c r="L472" t="n">
        <v>0</v>
      </c>
      <c r="M472" t="n">
        <v>0</v>
      </c>
      <c r="N472" t="n">
        <v>0</v>
      </c>
      <c r="O472" t="n">
        <v>0</v>
      </c>
      <c r="P472" t="n">
        <v>0</v>
      </c>
      <c r="Q472" t="n">
        <v>0</v>
      </c>
      <c r="R472" s="2" t="inlineStr"/>
    </row>
    <row r="473" ht="15" customHeight="1">
      <c r="A473" t="inlineStr">
        <is>
          <t>A 48825-2023</t>
        </is>
      </c>
      <c r="B473" s="1" t="n">
        <v>45203</v>
      </c>
      <c r="C473" s="1" t="n">
        <v>45891</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24768-2024</t>
        </is>
      </c>
      <c r="B474" s="1" t="n">
        <v>45460.69545138889</v>
      </c>
      <c r="C474" s="1" t="n">
        <v>45891</v>
      </c>
      <c r="D474" t="inlineStr">
        <is>
          <t>DALARNAS LÄN</t>
        </is>
      </c>
      <c r="E474" t="inlineStr">
        <is>
          <t>MORA</t>
        </is>
      </c>
      <c r="G474" t="n">
        <v>2.4</v>
      </c>
      <c r="H474" t="n">
        <v>0</v>
      </c>
      <c r="I474" t="n">
        <v>0</v>
      </c>
      <c r="J474" t="n">
        <v>0</v>
      </c>
      <c r="K474" t="n">
        <v>0</v>
      </c>
      <c r="L474" t="n">
        <v>0</v>
      </c>
      <c r="M474" t="n">
        <v>0</v>
      </c>
      <c r="N474" t="n">
        <v>0</v>
      </c>
      <c r="O474" t="n">
        <v>0</v>
      </c>
      <c r="P474" t="n">
        <v>0</v>
      </c>
      <c r="Q474" t="n">
        <v>0</v>
      </c>
      <c r="R474" s="2" t="inlineStr"/>
    </row>
    <row r="475" ht="15" customHeight="1">
      <c r="A475" t="inlineStr">
        <is>
          <t>A 26711-2025</t>
        </is>
      </c>
      <c r="B475" s="1" t="n">
        <v>45810.46144675926</v>
      </c>
      <c r="C475" s="1" t="n">
        <v>45891</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16174-2025</t>
        </is>
      </c>
      <c r="B476" s="1" t="n">
        <v>45750</v>
      </c>
      <c r="C476" s="1" t="n">
        <v>45891</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18806-2025</t>
        </is>
      </c>
      <c r="B477" s="1" t="n">
        <v>45764.35269675926</v>
      </c>
      <c r="C477" s="1" t="n">
        <v>45891</v>
      </c>
      <c r="D477" t="inlineStr">
        <is>
          <t>DALARNAS LÄN</t>
        </is>
      </c>
      <c r="E477" t="inlineStr">
        <is>
          <t>MORA</t>
        </is>
      </c>
      <c r="G477" t="n">
        <v>1.7</v>
      </c>
      <c r="H477" t="n">
        <v>0</v>
      </c>
      <c r="I477" t="n">
        <v>0</v>
      </c>
      <c r="J477" t="n">
        <v>0</v>
      </c>
      <c r="K477" t="n">
        <v>0</v>
      </c>
      <c r="L477" t="n">
        <v>0</v>
      </c>
      <c r="M477" t="n">
        <v>0</v>
      </c>
      <c r="N477" t="n">
        <v>0</v>
      </c>
      <c r="O477" t="n">
        <v>0</v>
      </c>
      <c r="P477" t="n">
        <v>0</v>
      </c>
      <c r="Q477" t="n">
        <v>0</v>
      </c>
      <c r="R477" s="2" t="inlineStr"/>
    </row>
    <row r="478" ht="15" customHeight="1">
      <c r="A478" t="inlineStr">
        <is>
          <t>A 17163-2025</t>
        </is>
      </c>
      <c r="B478" s="1" t="n">
        <v>45756.35998842592</v>
      </c>
      <c r="C478" s="1" t="n">
        <v>45891</v>
      </c>
      <c r="D478" t="inlineStr">
        <is>
          <t>DALARNAS LÄN</t>
        </is>
      </c>
      <c r="E478" t="inlineStr">
        <is>
          <t>MORA</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10777-2025</t>
        </is>
      </c>
      <c r="B479" s="1" t="n">
        <v>45722.47743055555</v>
      </c>
      <c r="C479" s="1" t="n">
        <v>45891</v>
      </c>
      <c r="D479" t="inlineStr">
        <is>
          <t>DALARNAS LÄN</t>
        </is>
      </c>
      <c r="E479" t="inlineStr">
        <is>
          <t>MORA</t>
        </is>
      </c>
      <c r="G479" t="n">
        <v>9.9</v>
      </c>
      <c r="H479" t="n">
        <v>0</v>
      </c>
      <c r="I479" t="n">
        <v>0</v>
      </c>
      <c r="J479" t="n">
        <v>0</v>
      </c>
      <c r="K479" t="n">
        <v>0</v>
      </c>
      <c r="L479" t="n">
        <v>0</v>
      </c>
      <c r="M479" t="n">
        <v>0</v>
      </c>
      <c r="N479" t="n">
        <v>0</v>
      </c>
      <c r="O479" t="n">
        <v>0</v>
      </c>
      <c r="P479" t="n">
        <v>0</v>
      </c>
      <c r="Q479" t="n">
        <v>0</v>
      </c>
      <c r="R479" s="2" t="inlineStr"/>
    </row>
    <row r="480" ht="15" customHeight="1">
      <c r="A480" t="inlineStr">
        <is>
          <t>A 50911-2024</t>
        </is>
      </c>
      <c r="B480" s="1" t="n">
        <v>45602.7022337963</v>
      </c>
      <c r="C480" s="1" t="n">
        <v>45891</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27177-2025</t>
        </is>
      </c>
      <c r="B481" s="1" t="n">
        <v>45812.3533912037</v>
      </c>
      <c r="C481" s="1" t="n">
        <v>45891</v>
      </c>
      <c r="D481" t="inlineStr">
        <is>
          <t>DALARNAS LÄN</t>
        </is>
      </c>
      <c r="E481" t="inlineStr">
        <is>
          <t>MORA</t>
        </is>
      </c>
      <c r="F481" t="inlineStr">
        <is>
          <t>Bergvik skog öst AB</t>
        </is>
      </c>
      <c r="G481" t="n">
        <v>2.5</v>
      </c>
      <c r="H481" t="n">
        <v>0</v>
      </c>
      <c r="I481" t="n">
        <v>0</v>
      </c>
      <c r="J481" t="n">
        <v>0</v>
      </c>
      <c r="K481" t="n">
        <v>0</v>
      </c>
      <c r="L481" t="n">
        <v>0</v>
      </c>
      <c r="M481" t="n">
        <v>0</v>
      </c>
      <c r="N481" t="n">
        <v>0</v>
      </c>
      <c r="O481" t="n">
        <v>0</v>
      </c>
      <c r="P481" t="n">
        <v>0</v>
      </c>
      <c r="Q481" t="n">
        <v>0</v>
      </c>
      <c r="R481" s="2" t="inlineStr"/>
    </row>
    <row r="482" ht="15" customHeight="1">
      <c r="A482" t="inlineStr">
        <is>
          <t>A 27194-2025</t>
        </is>
      </c>
      <c r="B482" s="1" t="n">
        <v>45812.37965277778</v>
      </c>
      <c r="C482" s="1" t="n">
        <v>45891</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35040-2023</t>
        </is>
      </c>
      <c r="B483" s="1" t="n">
        <v>45145.36853009259</v>
      </c>
      <c r="C483" s="1" t="n">
        <v>45891</v>
      </c>
      <c r="D483" t="inlineStr">
        <is>
          <t>DALARNAS LÄN</t>
        </is>
      </c>
      <c r="E483" t="inlineStr">
        <is>
          <t>MORA</t>
        </is>
      </c>
      <c r="G483" t="n">
        <v>2.1</v>
      </c>
      <c r="H483" t="n">
        <v>0</v>
      </c>
      <c r="I483" t="n">
        <v>0</v>
      </c>
      <c r="J483" t="n">
        <v>0</v>
      </c>
      <c r="K483" t="n">
        <v>0</v>
      </c>
      <c r="L483" t="n">
        <v>0</v>
      </c>
      <c r="M483" t="n">
        <v>0</v>
      </c>
      <c r="N483" t="n">
        <v>0</v>
      </c>
      <c r="O483" t="n">
        <v>0</v>
      </c>
      <c r="P483" t="n">
        <v>0</v>
      </c>
      <c r="Q483" t="n">
        <v>0</v>
      </c>
      <c r="R483" s="2" t="inlineStr"/>
    </row>
    <row r="484" ht="15" customHeight="1">
      <c r="A484" t="inlineStr">
        <is>
          <t>A 14611-2025</t>
        </is>
      </c>
      <c r="B484" s="1" t="n">
        <v>45742.38511574074</v>
      </c>
      <c r="C484" s="1" t="n">
        <v>45891</v>
      </c>
      <c r="D484" t="inlineStr">
        <is>
          <t>DALARNAS LÄN</t>
        </is>
      </c>
      <c r="E484" t="inlineStr">
        <is>
          <t>MORA</t>
        </is>
      </c>
      <c r="F484" t="inlineStr">
        <is>
          <t>Bergvik skog väst AB</t>
        </is>
      </c>
      <c r="G484" t="n">
        <v>2.9</v>
      </c>
      <c r="H484" t="n">
        <v>0</v>
      </c>
      <c r="I484" t="n">
        <v>0</v>
      </c>
      <c r="J484" t="n">
        <v>0</v>
      </c>
      <c r="K484" t="n">
        <v>0</v>
      </c>
      <c r="L484" t="n">
        <v>0</v>
      </c>
      <c r="M484" t="n">
        <v>0</v>
      </c>
      <c r="N484" t="n">
        <v>0</v>
      </c>
      <c r="O484" t="n">
        <v>0</v>
      </c>
      <c r="P484" t="n">
        <v>0</v>
      </c>
      <c r="Q484" t="n">
        <v>0</v>
      </c>
      <c r="R484" s="2" t="inlineStr"/>
    </row>
    <row r="485" ht="15" customHeight="1">
      <c r="A485" t="inlineStr">
        <is>
          <t>A 27175-2025</t>
        </is>
      </c>
      <c r="B485" s="1" t="n">
        <v>45812.35072916667</v>
      </c>
      <c r="C485" s="1" t="n">
        <v>45891</v>
      </c>
      <c r="D485" t="inlineStr">
        <is>
          <t>DALARNAS LÄN</t>
        </is>
      </c>
      <c r="E485" t="inlineStr">
        <is>
          <t>MORA</t>
        </is>
      </c>
      <c r="F485" t="inlineStr">
        <is>
          <t>Bergvik skog öst AB</t>
        </is>
      </c>
      <c r="G485" t="n">
        <v>4</v>
      </c>
      <c r="H485" t="n">
        <v>0</v>
      </c>
      <c r="I485" t="n">
        <v>0</v>
      </c>
      <c r="J485" t="n">
        <v>0</v>
      </c>
      <c r="K485" t="n">
        <v>0</v>
      </c>
      <c r="L485" t="n">
        <v>0</v>
      </c>
      <c r="M485" t="n">
        <v>0</v>
      </c>
      <c r="N485" t="n">
        <v>0</v>
      </c>
      <c r="O485" t="n">
        <v>0</v>
      </c>
      <c r="P485" t="n">
        <v>0</v>
      </c>
      <c r="Q485" t="n">
        <v>0</v>
      </c>
      <c r="R485" s="2" t="inlineStr"/>
    </row>
    <row r="486" ht="15" customHeight="1">
      <c r="A486" t="inlineStr">
        <is>
          <t>A 58036-2024</t>
        </is>
      </c>
      <c r="B486" s="1" t="n">
        <v>45631.71893518518</v>
      </c>
      <c r="C486" s="1" t="n">
        <v>45891</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54253-2023</t>
        </is>
      </c>
      <c r="B487" s="1" t="n">
        <v>45232.63217592592</v>
      </c>
      <c r="C487" s="1" t="n">
        <v>45891</v>
      </c>
      <c r="D487" t="inlineStr">
        <is>
          <t>DALARNAS LÄN</t>
        </is>
      </c>
      <c r="E487" t="inlineStr">
        <is>
          <t>MORA</t>
        </is>
      </c>
      <c r="G487" t="n">
        <v>4.5</v>
      </c>
      <c r="H487" t="n">
        <v>0</v>
      </c>
      <c r="I487" t="n">
        <v>0</v>
      </c>
      <c r="J487" t="n">
        <v>0</v>
      </c>
      <c r="K487" t="n">
        <v>0</v>
      </c>
      <c r="L487" t="n">
        <v>0</v>
      </c>
      <c r="M487" t="n">
        <v>0</v>
      </c>
      <c r="N487" t="n">
        <v>0</v>
      </c>
      <c r="O487" t="n">
        <v>0</v>
      </c>
      <c r="P487" t="n">
        <v>0</v>
      </c>
      <c r="Q487" t="n">
        <v>0</v>
      </c>
      <c r="R487" s="2" t="inlineStr"/>
    </row>
    <row r="488" ht="15" customHeight="1">
      <c r="A488" t="inlineStr">
        <is>
          <t>A 7565-2025</t>
        </is>
      </c>
      <c r="B488" s="1" t="n">
        <v>45705.59269675926</v>
      </c>
      <c r="C488" s="1" t="n">
        <v>45891</v>
      </c>
      <c r="D488" t="inlineStr">
        <is>
          <t>DALARNAS LÄN</t>
        </is>
      </c>
      <c r="E488" t="inlineStr">
        <is>
          <t>MORA</t>
        </is>
      </c>
      <c r="G488" t="n">
        <v>3</v>
      </c>
      <c r="H488" t="n">
        <v>0</v>
      </c>
      <c r="I488" t="n">
        <v>0</v>
      </c>
      <c r="J488" t="n">
        <v>0</v>
      </c>
      <c r="K488" t="n">
        <v>0</v>
      </c>
      <c r="L488" t="n">
        <v>0</v>
      </c>
      <c r="M488" t="n">
        <v>0</v>
      </c>
      <c r="N488" t="n">
        <v>0</v>
      </c>
      <c r="O488" t="n">
        <v>0</v>
      </c>
      <c r="P488" t="n">
        <v>0</v>
      </c>
      <c r="Q488" t="n">
        <v>0</v>
      </c>
      <c r="R488" s="2" t="inlineStr"/>
    </row>
    <row r="489" ht="15" customHeight="1">
      <c r="A489" t="inlineStr">
        <is>
          <t>A 27184-2025</t>
        </is>
      </c>
      <c r="B489" s="1" t="n">
        <v>45812.36133101852</v>
      </c>
      <c r="C489" s="1" t="n">
        <v>45891</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28964-2024</t>
        </is>
      </c>
      <c r="B490" s="1" t="n">
        <v>45481.42923611111</v>
      </c>
      <c r="C490" s="1" t="n">
        <v>45891</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27420-2024</t>
        </is>
      </c>
      <c r="B491" s="1" t="n">
        <v>45474.37850694444</v>
      </c>
      <c r="C491" s="1" t="n">
        <v>45891</v>
      </c>
      <c r="D491" t="inlineStr">
        <is>
          <t>DALARNAS LÄN</t>
        </is>
      </c>
      <c r="E491" t="inlineStr">
        <is>
          <t>MORA</t>
        </is>
      </c>
      <c r="G491" t="n">
        <v>7.3</v>
      </c>
      <c r="H491" t="n">
        <v>0</v>
      </c>
      <c r="I491" t="n">
        <v>0</v>
      </c>
      <c r="J491" t="n">
        <v>0</v>
      </c>
      <c r="K491" t="n">
        <v>0</v>
      </c>
      <c r="L491" t="n">
        <v>0</v>
      </c>
      <c r="M491" t="n">
        <v>0</v>
      </c>
      <c r="N491" t="n">
        <v>0</v>
      </c>
      <c r="O491" t="n">
        <v>0</v>
      </c>
      <c r="P491" t="n">
        <v>0</v>
      </c>
      <c r="Q491" t="n">
        <v>0</v>
      </c>
      <c r="R491" s="2" t="inlineStr"/>
    </row>
    <row r="492" ht="15" customHeight="1">
      <c r="A492" t="inlineStr">
        <is>
          <t>A 17268-2025</t>
        </is>
      </c>
      <c r="B492" s="1" t="n">
        <v>45756</v>
      </c>
      <c r="C492" s="1" t="n">
        <v>45891</v>
      </c>
      <c r="D492" t="inlineStr">
        <is>
          <t>DALARNAS LÄN</t>
        </is>
      </c>
      <c r="E492" t="inlineStr">
        <is>
          <t>MORA</t>
        </is>
      </c>
      <c r="G492" t="n">
        <v>6.8</v>
      </c>
      <c r="H492" t="n">
        <v>0</v>
      </c>
      <c r="I492" t="n">
        <v>0</v>
      </c>
      <c r="J492" t="n">
        <v>0</v>
      </c>
      <c r="K492" t="n">
        <v>0</v>
      </c>
      <c r="L492" t="n">
        <v>0</v>
      </c>
      <c r="M492" t="n">
        <v>0</v>
      </c>
      <c r="N492" t="n">
        <v>0</v>
      </c>
      <c r="O492" t="n">
        <v>0</v>
      </c>
      <c r="P492" t="n">
        <v>0</v>
      </c>
      <c r="Q492" t="n">
        <v>0</v>
      </c>
      <c r="R492" s="2" t="inlineStr"/>
    </row>
    <row r="493" ht="15" customHeight="1">
      <c r="A493" t="inlineStr">
        <is>
          <t>A 44817-2023</t>
        </is>
      </c>
      <c r="B493" s="1" t="n">
        <v>45190.51887731482</v>
      </c>
      <c r="C493" s="1" t="n">
        <v>45891</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17865-2025</t>
        </is>
      </c>
      <c r="B494" s="1" t="n">
        <v>45758.62951388889</v>
      </c>
      <c r="C494" s="1" t="n">
        <v>45891</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17167-2025</t>
        </is>
      </c>
      <c r="B495" s="1" t="n">
        <v>45756.36844907407</v>
      </c>
      <c r="C495" s="1" t="n">
        <v>45891</v>
      </c>
      <c r="D495" t="inlineStr">
        <is>
          <t>DALARNAS LÄN</t>
        </is>
      </c>
      <c r="E495" t="inlineStr">
        <is>
          <t>MORA</t>
        </is>
      </c>
      <c r="F495" t="inlineStr">
        <is>
          <t>Bergvik skog öst AB</t>
        </is>
      </c>
      <c r="G495" t="n">
        <v>1.7</v>
      </c>
      <c r="H495" t="n">
        <v>0</v>
      </c>
      <c r="I495" t="n">
        <v>0</v>
      </c>
      <c r="J495" t="n">
        <v>0</v>
      </c>
      <c r="K495" t="n">
        <v>0</v>
      </c>
      <c r="L495" t="n">
        <v>0</v>
      </c>
      <c r="M495" t="n">
        <v>0</v>
      </c>
      <c r="N495" t="n">
        <v>0</v>
      </c>
      <c r="O495" t="n">
        <v>0</v>
      </c>
      <c r="P495" t="n">
        <v>0</v>
      </c>
      <c r="Q495" t="n">
        <v>0</v>
      </c>
      <c r="R495" s="2" t="inlineStr"/>
    </row>
    <row r="496" ht="15" customHeight="1">
      <c r="A496" t="inlineStr">
        <is>
          <t>A 17176-2025</t>
        </is>
      </c>
      <c r="B496" s="1" t="n">
        <v>45756.37520833333</v>
      </c>
      <c r="C496" s="1" t="n">
        <v>45891</v>
      </c>
      <c r="D496" t="inlineStr">
        <is>
          <t>DALARNAS LÄN</t>
        </is>
      </c>
      <c r="E496" t="inlineStr">
        <is>
          <t>MORA</t>
        </is>
      </c>
      <c r="F496" t="inlineStr">
        <is>
          <t>Bergvik skog öst AB</t>
        </is>
      </c>
      <c r="G496" t="n">
        <v>1.7</v>
      </c>
      <c r="H496" t="n">
        <v>0</v>
      </c>
      <c r="I496" t="n">
        <v>0</v>
      </c>
      <c r="J496" t="n">
        <v>0</v>
      </c>
      <c r="K496" t="n">
        <v>0</v>
      </c>
      <c r="L496" t="n">
        <v>0</v>
      </c>
      <c r="M496" t="n">
        <v>0</v>
      </c>
      <c r="N496" t="n">
        <v>0</v>
      </c>
      <c r="O496" t="n">
        <v>0</v>
      </c>
      <c r="P496" t="n">
        <v>0</v>
      </c>
      <c r="Q496" t="n">
        <v>0</v>
      </c>
      <c r="R496" s="2" t="inlineStr"/>
    </row>
    <row r="497" ht="15" customHeight="1">
      <c r="A497" t="inlineStr">
        <is>
          <t>A 35407-2025</t>
        </is>
      </c>
      <c r="B497" s="1" t="n">
        <v>45855.35989583333</v>
      </c>
      <c r="C497" s="1" t="n">
        <v>45891</v>
      </c>
      <c r="D497" t="inlineStr">
        <is>
          <t>DALARNAS LÄN</t>
        </is>
      </c>
      <c r="E497" t="inlineStr">
        <is>
          <t>MORA</t>
        </is>
      </c>
      <c r="G497" t="n">
        <v>1.4</v>
      </c>
      <c r="H497" t="n">
        <v>0</v>
      </c>
      <c r="I497" t="n">
        <v>0</v>
      </c>
      <c r="J497" t="n">
        <v>0</v>
      </c>
      <c r="K497" t="n">
        <v>0</v>
      </c>
      <c r="L497" t="n">
        <v>0</v>
      </c>
      <c r="M497" t="n">
        <v>0</v>
      </c>
      <c r="N497" t="n">
        <v>0</v>
      </c>
      <c r="O497" t="n">
        <v>0</v>
      </c>
      <c r="P497" t="n">
        <v>0</v>
      </c>
      <c r="Q497" t="n">
        <v>0</v>
      </c>
      <c r="R497" s="2" t="inlineStr"/>
    </row>
    <row r="498" ht="15" customHeight="1">
      <c r="A498" t="inlineStr">
        <is>
          <t>A 57999-2023</t>
        </is>
      </c>
      <c r="B498" s="1" t="n">
        <v>45247</v>
      </c>
      <c r="C498" s="1" t="n">
        <v>45891</v>
      </c>
      <c r="D498" t="inlineStr">
        <is>
          <t>DALARNAS LÄN</t>
        </is>
      </c>
      <c r="E498" t="inlineStr">
        <is>
          <t>MORA</t>
        </is>
      </c>
      <c r="G498" t="n">
        <v>0.4</v>
      </c>
      <c r="H498" t="n">
        <v>0</v>
      </c>
      <c r="I498" t="n">
        <v>0</v>
      </c>
      <c r="J498" t="n">
        <v>0</v>
      </c>
      <c r="K498" t="n">
        <v>0</v>
      </c>
      <c r="L498" t="n">
        <v>0</v>
      </c>
      <c r="M498" t="n">
        <v>0</v>
      </c>
      <c r="N498" t="n">
        <v>0</v>
      </c>
      <c r="O498" t="n">
        <v>0</v>
      </c>
      <c r="P498" t="n">
        <v>0</v>
      </c>
      <c r="Q498" t="n">
        <v>0</v>
      </c>
      <c r="R498" s="2" t="inlineStr"/>
    </row>
    <row r="499" ht="15" customHeight="1">
      <c r="A499" t="inlineStr">
        <is>
          <t>A 57319-2023</t>
        </is>
      </c>
      <c r="B499" s="1" t="n">
        <v>45245.64877314815</v>
      </c>
      <c r="C499" s="1" t="n">
        <v>45891</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62853-2023</t>
        </is>
      </c>
      <c r="B500" s="1" t="n">
        <v>45272</v>
      </c>
      <c r="C500" s="1" t="n">
        <v>45891</v>
      </c>
      <c r="D500" t="inlineStr">
        <is>
          <t>DALARNAS LÄN</t>
        </is>
      </c>
      <c r="E500" t="inlineStr">
        <is>
          <t>MORA</t>
        </is>
      </c>
      <c r="G500" t="n">
        <v>13.6</v>
      </c>
      <c r="H500" t="n">
        <v>0</v>
      </c>
      <c r="I500" t="n">
        <v>0</v>
      </c>
      <c r="J500" t="n">
        <v>0</v>
      </c>
      <c r="K500" t="n">
        <v>0</v>
      </c>
      <c r="L500" t="n">
        <v>0</v>
      </c>
      <c r="M500" t="n">
        <v>0</v>
      </c>
      <c r="N500" t="n">
        <v>0</v>
      </c>
      <c r="O500" t="n">
        <v>0</v>
      </c>
      <c r="P500" t="n">
        <v>0</v>
      </c>
      <c r="Q500" t="n">
        <v>0</v>
      </c>
      <c r="R500" s="2" t="inlineStr"/>
    </row>
    <row r="501" ht="15" customHeight="1">
      <c r="A501" t="inlineStr">
        <is>
          <t>A 43826-2022</t>
        </is>
      </c>
      <c r="B501" s="1" t="n">
        <v>44838</v>
      </c>
      <c r="C501" s="1" t="n">
        <v>45891</v>
      </c>
      <c r="D501" t="inlineStr">
        <is>
          <t>DALARNAS LÄN</t>
        </is>
      </c>
      <c r="E501" t="inlineStr">
        <is>
          <t>MORA</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29754-2022</t>
        </is>
      </c>
      <c r="B502" s="1" t="n">
        <v>44755.59188657408</v>
      </c>
      <c r="C502" s="1" t="n">
        <v>45891</v>
      </c>
      <c r="D502" t="inlineStr">
        <is>
          <t>DALARNAS LÄN</t>
        </is>
      </c>
      <c r="E502" t="inlineStr">
        <is>
          <t>MORA</t>
        </is>
      </c>
      <c r="G502" t="n">
        <v>1.6</v>
      </c>
      <c r="H502" t="n">
        <v>0</v>
      </c>
      <c r="I502" t="n">
        <v>0</v>
      </c>
      <c r="J502" t="n">
        <v>0</v>
      </c>
      <c r="K502" t="n">
        <v>0</v>
      </c>
      <c r="L502" t="n">
        <v>0</v>
      </c>
      <c r="M502" t="n">
        <v>0</v>
      </c>
      <c r="N502" t="n">
        <v>0</v>
      </c>
      <c r="O502" t="n">
        <v>0</v>
      </c>
      <c r="P502" t="n">
        <v>0</v>
      </c>
      <c r="Q502" t="n">
        <v>0</v>
      </c>
      <c r="R502" s="2" t="inlineStr"/>
    </row>
    <row r="503" ht="15" customHeight="1">
      <c r="A503" t="inlineStr">
        <is>
          <t>A 27642-2025</t>
        </is>
      </c>
      <c r="B503" s="1" t="n">
        <v>45813.59405092592</v>
      </c>
      <c r="C503" s="1" t="n">
        <v>45891</v>
      </c>
      <c r="D503" t="inlineStr">
        <is>
          <t>DALARNAS LÄN</t>
        </is>
      </c>
      <c r="E503" t="inlineStr">
        <is>
          <t>MORA</t>
        </is>
      </c>
      <c r="G503" t="n">
        <v>2.5</v>
      </c>
      <c r="H503" t="n">
        <v>0</v>
      </c>
      <c r="I503" t="n">
        <v>0</v>
      </c>
      <c r="J503" t="n">
        <v>0</v>
      </c>
      <c r="K503" t="n">
        <v>0</v>
      </c>
      <c r="L503" t="n">
        <v>0</v>
      </c>
      <c r="M503" t="n">
        <v>0</v>
      </c>
      <c r="N503" t="n">
        <v>0</v>
      </c>
      <c r="O503" t="n">
        <v>0</v>
      </c>
      <c r="P503" t="n">
        <v>0</v>
      </c>
      <c r="Q503" t="n">
        <v>0</v>
      </c>
      <c r="R503" s="2" t="inlineStr"/>
    </row>
    <row r="504" ht="15" customHeight="1">
      <c r="A504" t="inlineStr">
        <is>
          <t>A 35624-2025</t>
        </is>
      </c>
      <c r="B504" s="1" t="n">
        <v>45859.42928240741</v>
      </c>
      <c r="C504" s="1" t="n">
        <v>45891</v>
      </c>
      <c r="D504" t="inlineStr">
        <is>
          <t>DALARNAS LÄN</t>
        </is>
      </c>
      <c r="E504" t="inlineStr">
        <is>
          <t>MORA</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12920-2022</t>
        </is>
      </c>
      <c r="B505" s="1" t="n">
        <v>44642.65418981481</v>
      </c>
      <c r="C505" s="1" t="n">
        <v>45891</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61188-2024</t>
        </is>
      </c>
      <c r="B506" s="1" t="n">
        <v>45645.62282407407</v>
      </c>
      <c r="C506" s="1" t="n">
        <v>45891</v>
      </c>
      <c r="D506" t="inlineStr">
        <is>
          <t>DALARNAS LÄN</t>
        </is>
      </c>
      <c r="E506" t="inlineStr">
        <is>
          <t>MORA</t>
        </is>
      </c>
      <c r="G506" t="n">
        <v>1.6</v>
      </c>
      <c r="H506" t="n">
        <v>0</v>
      </c>
      <c r="I506" t="n">
        <v>0</v>
      </c>
      <c r="J506" t="n">
        <v>0</v>
      </c>
      <c r="K506" t="n">
        <v>0</v>
      </c>
      <c r="L506" t="n">
        <v>0</v>
      </c>
      <c r="M506" t="n">
        <v>0</v>
      </c>
      <c r="N506" t="n">
        <v>0</v>
      </c>
      <c r="O506" t="n">
        <v>0</v>
      </c>
      <c r="P506" t="n">
        <v>0</v>
      </c>
      <c r="Q506" t="n">
        <v>0</v>
      </c>
      <c r="R506" s="2" t="inlineStr"/>
    </row>
    <row r="507" ht="15" customHeight="1">
      <c r="A507" t="inlineStr">
        <is>
          <t>A 28033-2025</t>
        </is>
      </c>
      <c r="B507" s="1" t="n">
        <v>45817.6325462963</v>
      </c>
      <c r="C507" s="1" t="n">
        <v>45891</v>
      </c>
      <c r="D507" t="inlineStr">
        <is>
          <t>DALARNAS LÄN</t>
        </is>
      </c>
      <c r="E507" t="inlineStr">
        <is>
          <t>MORA</t>
        </is>
      </c>
      <c r="F507" t="inlineStr">
        <is>
          <t>Bergvik skog öst AB</t>
        </is>
      </c>
      <c r="G507" t="n">
        <v>12.8</v>
      </c>
      <c r="H507" t="n">
        <v>0</v>
      </c>
      <c r="I507" t="n">
        <v>0</v>
      </c>
      <c r="J507" t="n">
        <v>0</v>
      </c>
      <c r="K507" t="n">
        <v>0</v>
      </c>
      <c r="L507" t="n">
        <v>0</v>
      </c>
      <c r="M507" t="n">
        <v>0</v>
      </c>
      <c r="N507" t="n">
        <v>0</v>
      </c>
      <c r="O507" t="n">
        <v>0</v>
      </c>
      <c r="P507" t="n">
        <v>0</v>
      </c>
      <c r="Q507" t="n">
        <v>0</v>
      </c>
      <c r="R507" s="2" t="inlineStr"/>
    </row>
    <row r="508" ht="15" customHeight="1">
      <c r="A508" t="inlineStr">
        <is>
          <t>A 36579-2022</t>
        </is>
      </c>
      <c r="B508" s="1" t="n">
        <v>44804.61636574074</v>
      </c>
      <c r="C508" s="1" t="n">
        <v>45891</v>
      </c>
      <c r="D508" t="inlineStr">
        <is>
          <t>DALARNAS LÄN</t>
        </is>
      </c>
      <c r="E508" t="inlineStr">
        <is>
          <t>MORA</t>
        </is>
      </c>
      <c r="G508" t="n">
        <v>2.3</v>
      </c>
      <c r="H508" t="n">
        <v>0</v>
      </c>
      <c r="I508" t="n">
        <v>0</v>
      </c>
      <c r="J508" t="n">
        <v>0</v>
      </c>
      <c r="K508" t="n">
        <v>0</v>
      </c>
      <c r="L508" t="n">
        <v>0</v>
      </c>
      <c r="M508" t="n">
        <v>0</v>
      </c>
      <c r="N508" t="n">
        <v>0</v>
      </c>
      <c r="O508" t="n">
        <v>0</v>
      </c>
      <c r="P508" t="n">
        <v>0</v>
      </c>
      <c r="Q508" t="n">
        <v>0</v>
      </c>
      <c r="R508" s="2" t="inlineStr"/>
    </row>
    <row r="509" ht="15" customHeight="1">
      <c r="A509" t="inlineStr">
        <is>
          <t>A 3531-2024</t>
        </is>
      </c>
      <c r="B509" s="1" t="n">
        <v>45320</v>
      </c>
      <c r="C509" s="1" t="n">
        <v>45891</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c r="U509">
        <f>HYPERLINK("https://klasma.github.io/Logging_2062/knärot/A 3531-2024 karta knärot.png", "A 3531-2024")</f>
        <v/>
      </c>
      <c r="V509">
        <f>HYPERLINK("https://klasma.github.io/Logging_2062/klagomål/A 3531-2024 FSC-klagomål.docx", "A 3531-2024")</f>
        <v/>
      </c>
      <c r="W509">
        <f>HYPERLINK("https://klasma.github.io/Logging_2062/klagomålsmail/A 3531-2024 FSC-klagomål mail.docx", "A 3531-2024")</f>
        <v/>
      </c>
      <c r="X509">
        <f>HYPERLINK("https://klasma.github.io/Logging_2062/tillsyn/A 3531-2024 tillsynsbegäran.docx", "A 3531-2024")</f>
        <v/>
      </c>
      <c r="Y509">
        <f>HYPERLINK("https://klasma.github.io/Logging_2062/tillsynsmail/A 3531-2024 tillsynsbegäran mail.docx", "A 3531-2024")</f>
        <v/>
      </c>
    </row>
    <row r="510" ht="15" customHeight="1">
      <c r="A510" t="inlineStr">
        <is>
          <t>A 35734-2025</t>
        </is>
      </c>
      <c r="B510" s="1" t="n">
        <v>45860.471875</v>
      </c>
      <c r="C510" s="1" t="n">
        <v>45891</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58089-2024</t>
        </is>
      </c>
      <c r="B511" s="1" t="n">
        <v>45632.34984953704</v>
      </c>
      <c r="C511" s="1" t="n">
        <v>45891</v>
      </c>
      <c r="D511" t="inlineStr">
        <is>
          <t>DALARNAS LÄN</t>
        </is>
      </c>
      <c r="E511" t="inlineStr">
        <is>
          <t>MORA</t>
        </is>
      </c>
      <c r="G511" t="n">
        <v>1.4</v>
      </c>
      <c r="H511" t="n">
        <v>0</v>
      </c>
      <c r="I511" t="n">
        <v>0</v>
      </c>
      <c r="J511" t="n">
        <v>0</v>
      </c>
      <c r="K511" t="n">
        <v>0</v>
      </c>
      <c r="L511" t="n">
        <v>0</v>
      </c>
      <c r="M511" t="n">
        <v>0</v>
      </c>
      <c r="N511" t="n">
        <v>0</v>
      </c>
      <c r="O511" t="n">
        <v>0</v>
      </c>
      <c r="P511" t="n">
        <v>0</v>
      </c>
      <c r="Q511" t="n">
        <v>0</v>
      </c>
      <c r="R511" s="2" t="inlineStr"/>
    </row>
    <row r="512" ht="15" customHeight="1">
      <c r="A512" t="inlineStr">
        <is>
          <t>A 61350-2024</t>
        </is>
      </c>
      <c r="B512" s="1" t="n">
        <v>45646.37872685185</v>
      </c>
      <c r="C512" s="1" t="n">
        <v>45891</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62266-2020</t>
        </is>
      </c>
      <c r="B513" s="1" t="n">
        <v>44160.35008101852</v>
      </c>
      <c r="C513" s="1" t="n">
        <v>45891</v>
      </c>
      <c r="D513" t="inlineStr">
        <is>
          <t>DALARNAS LÄN</t>
        </is>
      </c>
      <c r="E513" t="inlineStr">
        <is>
          <t>MORA</t>
        </is>
      </c>
      <c r="F513" t="inlineStr">
        <is>
          <t>Bergvik skog väst AB</t>
        </is>
      </c>
      <c r="G513" t="n">
        <v>5.9</v>
      </c>
      <c r="H513" t="n">
        <v>0</v>
      </c>
      <c r="I513" t="n">
        <v>0</v>
      </c>
      <c r="J513" t="n">
        <v>0</v>
      </c>
      <c r="K513" t="n">
        <v>0</v>
      </c>
      <c r="L513" t="n">
        <v>0</v>
      </c>
      <c r="M513" t="n">
        <v>0</v>
      </c>
      <c r="N513" t="n">
        <v>0</v>
      </c>
      <c r="O513" t="n">
        <v>0</v>
      </c>
      <c r="P513" t="n">
        <v>0</v>
      </c>
      <c r="Q513" t="n">
        <v>0</v>
      </c>
      <c r="R513" s="2" t="inlineStr"/>
    </row>
    <row r="514" ht="15" customHeight="1">
      <c r="A514" t="inlineStr">
        <is>
          <t>A 35611-2025</t>
        </is>
      </c>
      <c r="B514" s="1" t="n">
        <v>45859.35384259259</v>
      </c>
      <c r="C514" s="1" t="n">
        <v>45891</v>
      </c>
      <c r="D514" t="inlineStr">
        <is>
          <t>DALARNAS LÄN</t>
        </is>
      </c>
      <c r="E514" t="inlineStr">
        <is>
          <t>MORA</t>
        </is>
      </c>
      <c r="G514" t="n">
        <v>2.5</v>
      </c>
      <c r="H514" t="n">
        <v>0</v>
      </c>
      <c r="I514" t="n">
        <v>0</v>
      </c>
      <c r="J514" t="n">
        <v>0</v>
      </c>
      <c r="K514" t="n">
        <v>0</v>
      </c>
      <c r="L514" t="n">
        <v>0</v>
      </c>
      <c r="M514" t="n">
        <v>0</v>
      </c>
      <c r="N514" t="n">
        <v>0</v>
      </c>
      <c r="O514" t="n">
        <v>0</v>
      </c>
      <c r="P514" t="n">
        <v>0</v>
      </c>
      <c r="Q514" t="n">
        <v>0</v>
      </c>
      <c r="R514" s="2" t="inlineStr"/>
    </row>
    <row r="515" ht="15" customHeight="1">
      <c r="A515" t="inlineStr">
        <is>
          <t>A 35623-2025</t>
        </is>
      </c>
      <c r="B515" s="1" t="n">
        <v>45859.42809027778</v>
      </c>
      <c r="C515" s="1" t="n">
        <v>45891</v>
      </c>
      <c r="D515" t="inlineStr">
        <is>
          <t>DALARNAS LÄN</t>
        </is>
      </c>
      <c r="E515" t="inlineStr">
        <is>
          <t>MORA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35622-2025</t>
        </is>
      </c>
      <c r="B516" s="1" t="n">
        <v>45859.42550925926</v>
      </c>
      <c r="C516" s="1" t="n">
        <v>45891</v>
      </c>
      <c r="D516" t="inlineStr">
        <is>
          <t>DALARNAS LÄN</t>
        </is>
      </c>
      <c r="E516" t="inlineStr">
        <is>
          <t>MORA</t>
        </is>
      </c>
      <c r="F516" t="inlineStr">
        <is>
          <t>Bergvik skog öst AB</t>
        </is>
      </c>
      <c r="G516" t="n">
        <v>5.8</v>
      </c>
      <c r="H516" t="n">
        <v>0</v>
      </c>
      <c r="I516" t="n">
        <v>0</v>
      </c>
      <c r="J516" t="n">
        <v>0</v>
      </c>
      <c r="K516" t="n">
        <v>0</v>
      </c>
      <c r="L516" t="n">
        <v>0</v>
      </c>
      <c r="M516" t="n">
        <v>0</v>
      </c>
      <c r="N516" t="n">
        <v>0</v>
      </c>
      <c r="O516" t="n">
        <v>0</v>
      </c>
      <c r="P516" t="n">
        <v>0</v>
      </c>
      <c r="Q516" t="n">
        <v>0</v>
      </c>
      <c r="R516" s="2" t="inlineStr"/>
    </row>
    <row r="517" ht="15" customHeight="1">
      <c r="A517" t="inlineStr">
        <is>
          <t>A 28751-2025</t>
        </is>
      </c>
      <c r="B517" s="1" t="n">
        <v>45820.40034722222</v>
      </c>
      <c r="C517" s="1" t="n">
        <v>45891</v>
      </c>
      <c r="D517" t="inlineStr">
        <is>
          <t>DALARNAS LÄN</t>
        </is>
      </c>
      <c r="E517" t="inlineStr">
        <is>
          <t>MORA</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43533-2023</t>
        </is>
      </c>
      <c r="B518" s="1" t="n">
        <v>45184.53412037037</v>
      </c>
      <c r="C518" s="1" t="n">
        <v>45891</v>
      </c>
      <c r="D518" t="inlineStr">
        <is>
          <t>DALARNAS LÄN</t>
        </is>
      </c>
      <c r="E518" t="inlineStr">
        <is>
          <t>MORA</t>
        </is>
      </c>
      <c r="F518" t="inlineStr">
        <is>
          <t>Bergvik skog väst AB</t>
        </is>
      </c>
      <c r="G518" t="n">
        <v>10.3</v>
      </c>
      <c r="H518" t="n">
        <v>0</v>
      </c>
      <c r="I518" t="n">
        <v>0</v>
      </c>
      <c r="J518" t="n">
        <v>0</v>
      </c>
      <c r="K518" t="n">
        <v>0</v>
      </c>
      <c r="L518" t="n">
        <v>0</v>
      </c>
      <c r="M518" t="n">
        <v>0</v>
      </c>
      <c r="N518" t="n">
        <v>0</v>
      </c>
      <c r="O518" t="n">
        <v>0</v>
      </c>
      <c r="P518" t="n">
        <v>0</v>
      </c>
      <c r="Q518" t="n">
        <v>0</v>
      </c>
      <c r="R518" s="2" t="inlineStr"/>
    </row>
    <row r="519" ht="15" customHeight="1">
      <c r="A519" t="inlineStr">
        <is>
          <t>A 30998-2022</t>
        </is>
      </c>
      <c r="B519" s="1" t="n">
        <v>44768</v>
      </c>
      <c r="C519" s="1" t="n">
        <v>45891</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28925-2025</t>
        </is>
      </c>
      <c r="B520" s="1" t="n">
        <v>45820.67107638889</v>
      </c>
      <c r="C520" s="1" t="n">
        <v>45891</v>
      </c>
      <c r="D520" t="inlineStr">
        <is>
          <t>DALARNAS LÄN</t>
        </is>
      </c>
      <c r="E520" t="inlineStr">
        <is>
          <t>MORA</t>
        </is>
      </c>
      <c r="G520" t="n">
        <v>3.7</v>
      </c>
      <c r="H520" t="n">
        <v>0</v>
      </c>
      <c r="I520" t="n">
        <v>0</v>
      </c>
      <c r="J520" t="n">
        <v>0</v>
      </c>
      <c r="K520" t="n">
        <v>0</v>
      </c>
      <c r="L520" t="n">
        <v>0</v>
      </c>
      <c r="M520" t="n">
        <v>0</v>
      </c>
      <c r="N520" t="n">
        <v>0</v>
      </c>
      <c r="O520" t="n">
        <v>0</v>
      </c>
      <c r="P520" t="n">
        <v>0</v>
      </c>
      <c r="Q520" t="n">
        <v>0</v>
      </c>
      <c r="R520" s="2" t="inlineStr"/>
    </row>
    <row r="521" ht="15" customHeight="1">
      <c r="A521" t="inlineStr">
        <is>
          <t>A 28927-2025</t>
        </is>
      </c>
      <c r="B521" s="1" t="n">
        <v>45820.67221064815</v>
      </c>
      <c r="C521" s="1" t="n">
        <v>45891</v>
      </c>
      <c r="D521" t="inlineStr">
        <is>
          <t>DALARNAS LÄN</t>
        </is>
      </c>
      <c r="E521" t="inlineStr">
        <is>
          <t>MORA</t>
        </is>
      </c>
      <c r="G521" t="n">
        <v>0.4</v>
      </c>
      <c r="H521" t="n">
        <v>0</v>
      </c>
      <c r="I521" t="n">
        <v>0</v>
      </c>
      <c r="J521" t="n">
        <v>0</v>
      </c>
      <c r="K521" t="n">
        <v>0</v>
      </c>
      <c r="L521" t="n">
        <v>0</v>
      </c>
      <c r="M521" t="n">
        <v>0</v>
      </c>
      <c r="N521" t="n">
        <v>0</v>
      </c>
      <c r="O521" t="n">
        <v>0</v>
      </c>
      <c r="P521" t="n">
        <v>0</v>
      </c>
      <c r="Q521" t="n">
        <v>0</v>
      </c>
      <c r="R521" s="2" t="inlineStr"/>
    </row>
    <row r="522" ht="15" customHeight="1">
      <c r="A522" t="inlineStr">
        <is>
          <t>A 28924-2025</t>
        </is>
      </c>
      <c r="B522" s="1" t="n">
        <v>45820.66846064815</v>
      </c>
      <c r="C522" s="1" t="n">
        <v>45891</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39009-2023</t>
        </is>
      </c>
      <c r="B523" s="1" t="n">
        <v>45162</v>
      </c>
      <c r="C523" s="1" t="n">
        <v>45891</v>
      </c>
      <c r="D523" t="inlineStr">
        <is>
          <t>DALARNAS LÄN</t>
        </is>
      </c>
      <c r="E523" t="inlineStr">
        <is>
          <t>MORA</t>
        </is>
      </c>
      <c r="G523" t="n">
        <v>1.9</v>
      </c>
      <c r="H523" t="n">
        <v>0</v>
      </c>
      <c r="I523" t="n">
        <v>0</v>
      </c>
      <c r="J523" t="n">
        <v>0</v>
      </c>
      <c r="K523" t="n">
        <v>0</v>
      </c>
      <c r="L523" t="n">
        <v>0</v>
      </c>
      <c r="M523" t="n">
        <v>0</v>
      </c>
      <c r="N523" t="n">
        <v>0</v>
      </c>
      <c r="O523" t="n">
        <v>0</v>
      </c>
      <c r="P523" t="n">
        <v>0</v>
      </c>
      <c r="Q523" t="n">
        <v>0</v>
      </c>
      <c r="R523" s="2" t="inlineStr"/>
    </row>
    <row r="524" ht="15" customHeight="1">
      <c r="A524" t="inlineStr">
        <is>
          <t>A 25345-2025</t>
        </is>
      </c>
      <c r="B524" s="1" t="n">
        <v>45799</v>
      </c>
      <c r="C524" s="1" t="n">
        <v>45891</v>
      </c>
      <c r="D524" t="inlineStr">
        <is>
          <t>DALARNAS LÄN</t>
        </is>
      </c>
      <c r="E524" t="inlineStr">
        <is>
          <t>MORA</t>
        </is>
      </c>
      <c r="G524" t="n">
        <v>3.1</v>
      </c>
      <c r="H524" t="n">
        <v>0</v>
      </c>
      <c r="I524" t="n">
        <v>0</v>
      </c>
      <c r="J524" t="n">
        <v>0</v>
      </c>
      <c r="K524" t="n">
        <v>0</v>
      </c>
      <c r="L524" t="n">
        <v>0</v>
      </c>
      <c r="M524" t="n">
        <v>0</v>
      </c>
      <c r="N524" t="n">
        <v>0</v>
      </c>
      <c r="O524" t="n">
        <v>0</v>
      </c>
      <c r="P524" t="n">
        <v>0</v>
      </c>
      <c r="Q524" t="n">
        <v>0</v>
      </c>
      <c r="R524" s="2" t="inlineStr"/>
    </row>
    <row r="525" ht="15" customHeight="1">
      <c r="A525" t="inlineStr">
        <is>
          <t>A 8343-2025</t>
        </is>
      </c>
      <c r="B525" s="1" t="n">
        <v>45708.67253472222</v>
      </c>
      <c r="C525" s="1" t="n">
        <v>45891</v>
      </c>
      <c r="D525" t="inlineStr">
        <is>
          <t>DALARNAS LÄN</t>
        </is>
      </c>
      <c r="E525" t="inlineStr">
        <is>
          <t>MORA</t>
        </is>
      </c>
      <c r="G525" t="n">
        <v>3.4</v>
      </c>
      <c r="H525" t="n">
        <v>0</v>
      </c>
      <c r="I525" t="n">
        <v>0</v>
      </c>
      <c r="J525" t="n">
        <v>0</v>
      </c>
      <c r="K525" t="n">
        <v>0</v>
      </c>
      <c r="L525" t="n">
        <v>0</v>
      </c>
      <c r="M525" t="n">
        <v>0</v>
      </c>
      <c r="N525" t="n">
        <v>0</v>
      </c>
      <c r="O525" t="n">
        <v>0</v>
      </c>
      <c r="P525" t="n">
        <v>0</v>
      </c>
      <c r="Q525" t="n">
        <v>0</v>
      </c>
      <c r="R525" s="2" t="inlineStr"/>
    </row>
    <row r="526" ht="15" customHeight="1">
      <c r="A526" t="inlineStr">
        <is>
          <t>A 29425-2025</t>
        </is>
      </c>
      <c r="B526" s="1" t="n">
        <v>45824.64524305556</v>
      </c>
      <c r="C526" s="1" t="n">
        <v>45891</v>
      </c>
      <c r="D526" t="inlineStr">
        <is>
          <t>DALARNAS LÄN</t>
        </is>
      </c>
      <c r="E526" t="inlineStr">
        <is>
          <t>MORA</t>
        </is>
      </c>
      <c r="G526" t="n">
        <v>4.4</v>
      </c>
      <c r="H526" t="n">
        <v>0</v>
      </c>
      <c r="I526" t="n">
        <v>0</v>
      </c>
      <c r="J526" t="n">
        <v>0</v>
      </c>
      <c r="K526" t="n">
        <v>0</v>
      </c>
      <c r="L526" t="n">
        <v>0</v>
      </c>
      <c r="M526" t="n">
        <v>0</v>
      </c>
      <c r="N526" t="n">
        <v>0</v>
      </c>
      <c r="O526" t="n">
        <v>0</v>
      </c>
      <c r="P526" t="n">
        <v>0</v>
      </c>
      <c r="Q526" t="n">
        <v>0</v>
      </c>
      <c r="R526" s="2" t="inlineStr"/>
    </row>
    <row r="527" ht="15" customHeight="1">
      <c r="A527" t="inlineStr">
        <is>
          <t>A 28976-2025</t>
        </is>
      </c>
      <c r="B527" s="1" t="n">
        <v>45821.34855324074</v>
      </c>
      <c r="C527" s="1" t="n">
        <v>45891</v>
      </c>
      <c r="D527" t="inlineStr">
        <is>
          <t>DALARNAS LÄN</t>
        </is>
      </c>
      <c r="E527" t="inlineStr">
        <is>
          <t>MORA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44769-2021</t>
        </is>
      </c>
      <c r="B528" s="1" t="n">
        <v>44438</v>
      </c>
      <c r="C528" s="1" t="n">
        <v>45891</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28487-2024</t>
        </is>
      </c>
      <c r="B529" s="1" t="n">
        <v>45477.75744212963</v>
      </c>
      <c r="C529" s="1" t="n">
        <v>45891</v>
      </c>
      <c r="D529" t="inlineStr">
        <is>
          <t>DALARNAS LÄN</t>
        </is>
      </c>
      <c r="E529" t="inlineStr">
        <is>
          <t>MORA</t>
        </is>
      </c>
      <c r="G529" t="n">
        <v>3.1</v>
      </c>
      <c r="H529" t="n">
        <v>0</v>
      </c>
      <c r="I529" t="n">
        <v>0</v>
      </c>
      <c r="J529" t="n">
        <v>0</v>
      </c>
      <c r="K529" t="n">
        <v>0</v>
      </c>
      <c r="L529" t="n">
        <v>0</v>
      </c>
      <c r="M529" t="n">
        <v>0</v>
      </c>
      <c r="N529" t="n">
        <v>0</v>
      </c>
      <c r="O529" t="n">
        <v>0</v>
      </c>
      <c r="P529" t="n">
        <v>0</v>
      </c>
      <c r="Q529" t="n">
        <v>0</v>
      </c>
      <c r="R529" s="2" t="inlineStr"/>
    </row>
    <row r="530" ht="15" customHeight="1">
      <c r="A530" t="inlineStr">
        <is>
          <t>A 29440-2025</t>
        </is>
      </c>
      <c r="B530" s="1" t="n">
        <v>45824.65862268519</v>
      </c>
      <c r="C530" s="1" t="n">
        <v>45891</v>
      </c>
      <c r="D530" t="inlineStr">
        <is>
          <t>DALARNAS LÄN</t>
        </is>
      </c>
      <c r="E530" t="inlineStr">
        <is>
          <t>MORA</t>
        </is>
      </c>
      <c r="G530" t="n">
        <v>1.7</v>
      </c>
      <c r="H530" t="n">
        <v>0</v>
      </c>
      <c r="I530" t="n">
        <v>0</v>
      </c>
      <c r="J530" t="n">
        <v>0</v>
      </c>
      <c r="K530" t="n">
        <v>0</v>
      </c>
      <c r="L530" t="n">
        <v>0</v>
      </c>
      <c r="M530" t="n">
        <v>0</v>
      </c>
      <c r="N530" t="n">
        <v>0</v>
      </c>
      <c r="O530" t="n">
        <v>0</v>
      </c>
      <c r="P530" t="n">
        <v>0</v>
      </c>
      <c r="Q530" t="n">
        <v>0</v>
      </c>
      <c r="R530" s="2" t="inlineStr"/>
    </row>
    <row r="531" ht="15" customHeight="1">
      <c r="A531" t="inlineStr">
        <is>
          <t>A 29068-2025</t>
        </is>
      </c>
      <c r="B531" s="1" t="n">
        <v>45821.50900462963</v>
      </c>
      <c r="C531" s="1" t="n">
        <v>45891</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48728-2022</t>
        </is>
      </c>
      <c r="B532" s="1" t="n">
        <v>44859.52145833334</v>
      </c>
      <c r="C532" s="1" t="n">
        <v>45891</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36041-2025</t>
        </is>
      </c>
      <c r="B533" s="1" t="n">
        <v>45866.34385416667</v>
      </c>
      <c r="C533" s="1" t="n">
        <v>45891</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17164-2025</t>
        </is>
      </c>
      <c r="B534" s="1" t="n">
        <v>45756.36403935185</v>
      </c>
      <c r="C534" s="1" t="n">
        <v>45891</v>
      </c>
      <c r="D534" t="inlineStr">
        <is>
          <t>DALARNAS LÄN</t>
        </is>
      </c>
      <c r="E534" t="inlineStr">
        <is>
          <t>MORA</t>
        </is>
      </c>
      <c r="F534" t="inlineStr">
        <is>
          <t>Bergvik skog öst AB</t>
        </is>
      </c>
      <c r="G534" t="n">
        <v>0.3</v>
      </c>
      <c r="H534" t="n">
        <v>0</v>
      </c>
      <c r="I534" t="n">
        <v>0</v>
      </c>
      <c r="J534" t="n">
        <v>0</v>
      </c>
      <c r="K534" t="n">
        <v>0</v>
      </c>
      <c r="L534" t="n">
        <v>0</v>
      </c>
      <c r="M534" t="n">
        <v>0</v>
      </c>
      <c r="N534" t="n">
        <v>0</v>
      </c>
      <c r="O534" t="n">
        <v>0</v>
      </c>
      <c r="P534" t="n">
        <v>0</v>
      </c>
      <c r="Q534" t="n">
        <v>0</v>
      </c>
      <c r="R534" s="2" t="inlineStr"/>
    </row>
    <row r="535" ht="15" customHeight="1">
      <c r="A535" t="inlineStr">
        <is>
          <t>A 61222-2023</t>
        </is>
      </c>
      <c r="B535" s="1" t="n">
        <v>45264</v>
      </c>
      <c r="C535" s="1" t="n">
        <v>45891</v>
      </c>
      <c r="D535" t="inlineStr">
        <is>
          <t>DALARNAS LÄN</t>
        </is>
      </c>
      <c r="E535" t="inlineStr">
        <is>
          <t>MORA</t>
        </is>
      </c>
      <c r="F535" t="inlineStr">
        <is>
          <t>Allmännings- och besparingsskogar</t>
        </is>
      </c>
      <c r="G535" t="n">
        <v>1.1</v>
      </c>
      <c r="H535" t="n">
        <v>0</v>
      </c>
      <c r="I535" t="n">
        <v>0</v>
      </c>
      <c r="J535" t="n">
        <v>0</v>
      </c>
      <c r="K535" t="n">
        <v>0</v>
      </c>
      <c r="L535" t="n">
        <v>0</v>
      </c>
      <c r="M535" t="n">
        <v>0</v>
      </c>
      <c r="N535" t="n">
        <v>0</v>
      </c>
      <c r="O535" t="n">
        <v>0</v>
      </c>
      <c r="P535" t="n">
        <v>0</v>
      </c>
      <c r="Q535" t="n">
        <v>0</v>
      </c>
      <c r="R535" s="2" t="inlineStr"/>
    </row>
    <row r="536" ht="15" customHeight="1">
      <c r="A536" t="inlineStr">
        <is>
          <t>A 29870-2025</t>
        </is>
      </c>
      <c r="B536" s="1" t="n">
        <v>45826.35716435185</v>
      </c>
      <c r="C536" s="1" t="n">
        <v>45891</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29873-2025</t>
        </is>
      </c>
      <c r="B537" s="1" t="n">
        <v>45826</v>
      </c>
      <c r="C537" s="1" t="n">
        <v>45891</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36179-2025</t>
        </is>
      </c>
      <c r="B538" s="1" t="n">
        <v>45867</v>
      </c>
      <c r="C538" s="1" t="n">
        <v>45891</v>
      </c>
      <c r="D538" t="inlineStr">
        <is>
          <t>DALARNAS LÄN</t>
        </is>
      </c>
      <c r="E538" t="inlineStr">
        <is>
          <t>MORA</t>
        </is>
      </c>
      <c r="G538" t="n">
        <v>2.5</v>
      </c>
      <c r="H538" t="n">
        <v>0</v>
      </c>
      <c r="I538" t="n">
        <v>0</v>
      </c>
      <c r="J538" t="n">
        <v>0</v>
      </c>
      <c r="K538" t="n">
        <v>0</v>
      </c>
      <c r="L538" t="n">
        <v>0</v>
      </c>
      <c r="M538" t="n">
        <v>0</v>
      </c>
      <c r="N538" t="n">
        <v>0</v>
      </c>
      <c r="O538" t="n">
        <v>0</v>
      </c>
      <c r="P538" t="n">
        <v>0</v>
      </c>
      <c r="Q538" t="n">
        <v>0</v>
      </c>
      <c r="R538" s="2" t="inlineStr"/>
    </row>
    <row r="539" ht="15" customHeight="1">
      <c r="A539" t="inlineStr">
        <is>
          <t>A 37774-2022</t>
        </is>
      </c>
      <c r="B539" s="1" t="n">
        <v>44810.64164351852</v>
      </c>
      <c r="C539" s="1" t="n">
        <v>45891</v>
      </c>
      <c r="D539" t="inlineStr">
        <is>
          <t>DALARNAS LÄN</t>
        </is>
      </c>
      <c r="E539" t="inlineStr">
        <is>
          <t>MORA</t>
        </is>
      </c>
      <c r="F539" t="inlineStr">
        <is>
          <t>Bergvik skog väst AB</t>
        </is>
      </c>
      <c r="G539" t="n">
        <v>8.5</v>
      </c>
      <c r="H539" t="n">
        <v>0</v>
      </c>
      <c r="I539" t="n">
        <v>0</v>
      </c>
      <c r="J539" t="n">
        <v>0</v>
      </c>
      <c r="K539" t="n">
        <v>0</v>
      </c>
      <c r="L539" t="n">
        <v>0</v>
      </c>
      <c r="M539" t="n">
        <v>0</v>
      </c>
      <c r="N539" t="n">
        <v>0</v>
      </c>
      <c r="O539" t="n">
        <v>0</v>
      </c>
      <c r="P539" t="n">
        <v>0</v>
      </c>
      <c r="Q539" t="n">
        <v>0</v>
      </c>
      <c r="R539" s="2" t="inlineStr"/>
    </row>
    <row r="540" ht="15" customHeight="1">
      <c r="A540" t="inlineStr">
        <is>
          <t>A 16967-2025</t>
        </is>
      </c>
      <c r="B540" s="1" t="n">
        <v>45755.46106481482</v>
      </c>
      <c r="C540" s="1" t="n">
        <v>45891</v>
      </c>
      <c r="D540" t="inlineStr">
        <is>
          <t>DALARNAS LÄN</t>
        </is>
      </c>
      <c r="E540" t="inlineStr">
        <is>
          <t>MORA</t>
        </is>
      </c>
      <c r="F540" t="inlineStr">
        <is>
          <t>Bergvik skog öst AB</t>
        </is>
      </c>
      <c r="G540" t="n">
        <v>2.9</v>
      </c>
      <c r="H540" t="n">
        <v>0</v>
      </c>
      <c r="I540" t="n">
        <v>0</v>
      </c>
      <c r="J540" t="n">
        <v>0</v>
      </c>
      <c r="K540" t="n">
        <v>0</v>
      </c>
      <c r="L540" t="n">
        <v>0</v>
      </c>
      <c r="M540" t="n">
        <v>0</v>
      </c>
      <c r="N540" t="n">
        <v>0</v>
      </c>
      <c r="O540" t="n">
        <v>0</v>
      </c>
      <c r="P540" t="n">
        <v>0</v>
      </c>
      <c r="Q540" t="n">
        <v>0</v>
      </c>
      <c r="R540" s="2" t="inlineStr"/>
    </row>
    <row r="541" ht="15" customHeight="1">
      <c r="A541" t="inlineStr">
        <is>
          <t>A 22854-2023</t>
        </is>
      </c>
      <c r="B541" s="1" t="n">
        <v>45072</v>
      </c>
      <c r="C541" s="1" t="n">
        <v>45891</v>
      </c>
      <c r="D541" t="inlineStr">
        <is>
          <t>DALARNAS LÄN</t>
        </is>
      </c>
      <c r="E541" t="inlineStr">
        <is>
          <t>MORA</t>
        </is>
      </c>
      <c r="G541" t="n">
        <v>3.3</v>
      </c>
      <c r="H541" t="n">
        <v>0</v>
      </c>
      <c r="I541" t="n">
        <v>0</v>
      </c>
      <c r="J541" t="n">
        <v>0</v>
      </c>
      <c r="K541" t="n">
        <v>0</v>
      </c>
      <c r="L541" t="n">
        <v>0</v>
      </c>
      <c r="M541" t="n">
        <v>0</v>
      </c>
      <c r="N541" t="n">
        <v>0</v>
      </c>
      <c r="O541" t="n">
        <v>0</v>
      </c>
      <c r="P541" t="n">
        <v>0</v>
      </c>
      <c r="Q541" t="n">
        <v>0</v>
      </c>
      <c r="R541" s="2" t="inlineStr"/>
    </row>
    <row r="542" ht="15" customHeight="1">
      <c r="A542" t="inlineStr">
        <is>
          <t>A 29528-2025</t>
        </is>
      </c>
      <c r="B542" s="1" t="n">
        <v>45825.34322916667</v>
      </c>
      <c r="C542" s="1" t="n">
        <v>45891</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30087-2025</t>
        </is>
      </c>
      <c r="B543" s="1" t="n">
        <v>45826.6575</v>
      </c>
      <c r="C543" s="1" t="n">
        <v>45891</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60526-2023</t>
        </is>
      </c>
      <c r="B544" s="1" t="n">
        <v>45259</v>
      </c>
      <c r="C544" s="1" t="n">
        <v>45891</v>
      </c>
      <c r="D544" t="inlineStr">
        <is>
          <t>DALARNAS LÄN</t>
        </is>
      </c>
      <c r="E544" t="inlineStr">
        <is>
          <t>MORA</t>
        </is>
      </c>
      <c r="G544" t="n">
        <v>6.7</v>
      </c>
      <c r="H544" t="n">
        <v>0</v>
      </c>
      <c r="I544" t="n">
        <v>0</v>
      </c>
      <c r="J544" t="n">
        <v>0</v>
      </c>
      <c r="K544" t="n">
        <v>0</v>
      </c>
      <c r="L544" t="n">
        <v>0</v>
      </c>
      <c r="M544" t="n">
        <v>0</v>
      </c>
      <c r="N544" t="n">
        <v>0</v>
      </c>
      <c r="O544" t="n">
        <v>0</v>
      </c>
      <c r="P544" t="n">
        <v>0</v>
      </c>
      <c r="Q544" t="n">
        <v>0</v>
      </c>
      <c r="R544" s="2" t="inlineStr"/>
    </row>
    <row r="545" ht="15" customHeight="1">
      <c r="A545" t="inlineStr">
        <is>
          <t>A 30166-2025</t>
        </is>
      </c>
      <c r="B545" s="1" t="n">
        <v>45827.33116898148</v>
      </c>
      <c r="C545" s="1" t="n">
        <v>45891</v>
      </c>
      <c r="D545" t="inlineStr">
        <is>
          <t>DALARNAS LÄN</t>
        </is>
      </c>
      <c r="E545" t="inlineStr">
        <is>
          <t>MORA</t>
        </is>
      </c>
      <c r="G545" t="n">
        <v>1.3</v>
      </c>
      <c r="H545" t="n">
        <v>0</v>
      </c>
      <c r="I545" t="n">
        <v>0</v>
      </c>
      <c r="J545" t="n">
        <v>0</v>
      </c>
      <c r="K545" t="n">
        <v>0</v>
      </c>
      <c r="L545" t="n">
        <v>0</v>
      </c>
      <c r="M545" t="n">
        <v>0</v>
      </c>
      <c r="N545" t="n">
        <v>0</v>
      </c>
      <c r="O545" t="n">
        <v>0</v>
      </c>
      <c r="P545" t="n">
        <v>0</v>
      </c>
      <c r="Q545" t="n">
        <v>0</v>
      </c>
      <c r="R545" s="2" t="inlineStr"/>
    </row>
    <row r="546" ht="15" customHeight="1">
      <c r="A546" t="inlineStr">
        <is>
          <t>A 36586-2025</t>
        </is>
      </c>
      <c r="B546" s="1" t="n">
        <v>45869</v>
      </c>
      <c r="C546" s="1" t="n">
        <v>45891</v>
      </c>
      <c r="D546" t="inlineStr">
        <is>
          <t>DALARNAS LÄN</t>
        </is>
      </c>
      <c r="E546" t="inlineStr">
        <is>
          <t>MORA</t>
        </is>
      </c>
      <c r="G546" t="n">
        <v>1.8</v>
      </c>
      <c r="H546" t="n">
        <v>0</v>
      </c>
      <c r="I546" t="n">
        <v>0</v>
      </c>
      <c r="J546" t="n">
        <v>0</v>
      </c>
      <c r="K546" t="n">
        <v>0</v>
      </c>
      <c r="L546" t="n">
        <v>0</v>
      </c>
      <c r="M546" t="n">
        <v>0</v>
      </c>
      <c r="N546" t="n">
        <v>0</v>
      </c>
      <c r="O546" t="n">
        <v>0</v>
      </c>
      <c r="P546" t="n">
        <v>0</v>
      </c>
      <c r="Q546" t="n">
        <v>0</v>
      </c>
      <c r="R546" s="2" t="inlineStr"/>
    </row>
    <row r="547" ht="15" customHeight="1">
      <c r="A547" t="inlineStr">
        <is>
          <t>A 56532-2024</t>
        </is>
      </c>
      <c r="B547" s="1" t="n">
        <v>45625.55440972222</v>
      </c>
      <c r="C547" s="1" t="n">
        <v>45891</v>
      </c>
      <c r="D547" t="inlineStr">
        <is>
          <t>DALARNAS LÄN</t>
        </is>
      </c>
      <c r="E547" t="inlineStr">
        <is>
          <t>MORA</t>
        </is>
      </c>
      <c r="G547" t="n">
        <v>6.9</v>
      </c>
      <c r="H547" t="n">
        <v>0</v>
      </c>
      <c r="I547" t="n">
        <v>0</v>
      </c>
      <c r="J547" t="n">
        <v>0</v>
      </c>
      <c r="K547" t="n">
        <v>0</v>
      </c>
      <c r="L547" t="n">
        <v>0</v>
      </c>
      <c r="M547" t="n">
        <v>0</v>
      </c>
      <c r="N547" t="n">
        <v>0</v>
      </c>
      <c r="O547" t="n">
        <v>0</v>
      </c>
      <c r="P547" t="n">
        <v>0</v>
      </c>
      <c r="Q547" t="n">
        <v>0</v>
      </c>
      <c r="R547" s="2" t="inlineStr"/>
    </row>
    <row r="548" ht="15" customHeight="1">
      <c r="A548" t="inlineStr">
        <is>
          <t>A 63958-2023</t>
        </is>
      </c>
      <c r="B548" s="1" t="n">
        <v>45278</v>
      </c>
      <c r="C548" s="1" t="n">
        <v>45891</v>
      </c>
      <c r="D548" t="inlineStr">
        <is>
          <t>DALARNAS LÄN</t>
        </is>
      </c>
      <c r="E548" t="inlineStr">
        <is>
          <t>MORA</t>
        </is>
      </c>
      <c r="G548" t="n">
        <v>1.9</v>
      </c>
      <c r="H548" t="n">
        <v>0</v>
      </c>
      <c r="I548" t="n">
        <v>0</v>
      </c>
      <c r="J548" t="n">
        <v>0</v>
      </c>
      <c r="K548" t="n">
        <v>0</v>
      </c>
      <c r="L548" t="n">
        <v>0</v>
      </c>
      <c r="M548" t="n">
        <v>0</v>
      </c>
      <c r="N548" t="n">
        <v>0</v>
      </c>
      <c r="O548" t="n">
        <v>0</v>
      </c>
      <c r="P548" t="n">
        <v>0</v>
      </c>
      <c r="Q548" t="n">
        <v>0</v>
      </c>
      <c r="R548" s="2" t="inlineStr"/>
    </row>
    <row r="549" ht="15" customHeight="1">
      <c r="A549" t="inlineStr">
        <is>
          <t>A 24465-2021</t>
        </is>
      </c>
      <c r="B549" s="1" t="n">
        <v>44337</v>
      </c>
      <c r="C549" s="1" t="n">
        <v>45891</v>
      </c>
      <c r="D549" t="inlineStr">
        <is>
          <t>DALARNAS LÄN</t>
        </is>
      </c>
      <c r="E549" t="inlineStr">
        <is>
          <t>MORA</t>
        </is>
      </c>
      <c r="G549" t="n">
        <v>2.6</v>
      </c>
      <c r="H549" t="n">
        <v>0</v>
      </c>
      <c r="I549" t="n">
        <v>0</v>
      </c>
      <c r="J549" t="n">
        <v>0</v>
      </c>
      <c r="K549" t="n">
        <v>0</v>
      </c>
      <c r="L549" t="n">
        <v>0</v>
      </c>
      <c r="M549" t="n">
        <v>0</v>
      </c>
      <c r="N549" t="n">
        <v>0</v>
      </c>
      <c r="O549" t="n">
        <v>0</v>
      </c>
      <c r="P549" t="n">
        <v>0</v>
      </c>
      <c r="Q549" t="n">
        <v>0</v>
      </c>
      <c r="R549" s="2" t="inlineStr"/>
    </row>
    <row r="550" ht="15" customHeight="1">
      <c r="A550" t="inlineStr">
        <is>
          <t>A 52908-2023</t>
        </is>
      </c>
      <c r="B550" s="1" t="n">
        <v>45226.49950231481</v>
      </c>
      <c r="C550" s="1" t="n">
        <v>45891</v>
      </c>
      <c r="D550" t="inlineStr">
        <is>
          <t>DALARNAS LÄN</t>
        </is>
      </c>
      <c r="E550" t="inlineStr">
        <is>
          <t>MORA</t>
        </is>
      </c>
      <c r="G550" t="n">
        <v>3.3</v>
      </c>
      <c r="H550" t="n">
        <v>0</v>
      </c>
      <c r="I550" t="n">
        <v>0</v>
      </c>
      <c r="J550" t="n">
        <v>0</v>
      </c>
      <c r="K550" t="n">
        <v>0</v>
      </c>
      <c r="L550" t="n">
        <v>0</v>
      </c>
      <c r="M550" t="n">
        <v>0</v>
      </c>
      <c r="N550" t="n">
        <v>0</v>
      </c>
      <c r="O550" t="n">
        <v>0</v>
      </c>
      <c r="P550" t="n">
        <v>0</v>
      </c>
      <c r="Q550" t="n">
        <v>0</v>
      </c>
      <c r="R550" s="2" t="inlineStr"/>
    </row>
    <row r="551" ht="15" customHeight="1">
      <c r="A551" t="inlineStr">
        <is>
          <t>A 19896-2021</t>
        </is>
      </c>
      <c r="B551" s="1" t="n">
        <v>44313.54942129629</v>
      </c>
      <c r="C551" s="1" t="n">
        <v>45891</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5298-2023</t>
        </is>
      </c>
      <c r="B552" s="1" t="n">
        <v>44959.54355324074</v>
      </c>
      <c r="C552" s="1" t="n">
        <v>45891</v>
      </c>
      <c r="D552" t="inlineStr">
        <is>
          <t>DALARNAS LÄN</t>
        </is>
      </c>
      <c r="E552" t="inlineStr">
        <is>
          <t>MORA</t>
        </is>
      </c>
      <c r="F552" t="inlineStr">
        <is>
          <t>Bergvik skog väst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36760-2025</t>
        </is>
      </c>
      <c r="B553" s="1" t="n">
        <v>45873.57319444444</v>
      </c>
      <c r="C553" s="1" t="n">
        <v>45891</v>
      </c>
      <c r="D553" t="inlineStr">
        <is>
          <t>DALARNAS LÄN</t>
        </is>
      </c>
      <c r="E553" t="inlineStr">
        <is>
          <t>MORA</t>
        </is>
      </c>
      <c r="G553" t="n">
        <v>4.6</v>
      </c>
      <c r="H553" t="n">
        <v>0</v>
      </c>
      <c r="I553" t="n">
        <v>0</v>
      </c>
      <c r="J553" t="n">
        <v>0</v>
      </c>
      <c r="K553" t="n">
        <v>0</v>
      </c>
      <c r="L553" t="n">
        <v>0</v>
      </c>
      <c r="M553" t="n">
        <v>0</v>
      </c>
      <c r="N553" t="n">
        <v>0</v>
      </c>
      <c r="O553" t="n">
        <v>0</v>
      </c>
      <c r="P553" t="n">
        <v>0</v>
      </c>
      <c r="Q553" t="n">
        <v>0</v>
      </c>
      <c r="R553" s="2" t="inlineStr"/>
    </row>
    <row r="554" ht="15" customHeight="1">
      <c r="A554" t="inlineStr">
        <is>
          <t>A 59002-2024</t>
        </is>
      </c>
      <c r="B554" s="1" t="n">
        <v>45636</v>
      </c>
      <c r="C554" s="1" t="n">
        <v>45891</v>
      </c>
      <c r="D554" t="inlineStr">
        <is>
          <t>DALARNAS LÄN</t>
        </is>
      </c>
      <c r="E554" t="inlineStr">
        <is>
          <t>MORA</t>
        </is>
      </c>
      <c r="F554" t="inlineStr">
        <is>
          <t>Bergvik skog väst AB</t>
        </is>
      </c>
      <c r="G554" t="n">
        <v>24.8</v>
      </c>
      <c r="H554" t="n">
        <v>0</v>
      </c>
      <c r="I554" t="n">
        <v>0</v>
      </c>
      <c r="J554" t="n">
        <v>0</v>
      </c>
      <c r="K554" t="n">
        <v>0</v>
      </c>
      <c r="L554" t="n">
        <v>0</v>
      </c>
      <c r="M554" t="n">
        <v>0</v>
      </c>
      <c r="N554" t="n">
        <v>0</v>
      </c>
      <c r="O554" t="n">
        <v>0</v>
      </c>
      <c r="P554" t="n">
        <v>0</v>
      </c>
      <c r="Q554" t="n">
        <v>0</v>
      </c>
      <c r="R554" s="2" t="inlineStr"/>
    </row>
    <row r="555" ht="15" customHeight="1">
      <c r="A555" t="inlineStr">
        <is>
          <t>A 51253-2023</t>
        </is>
      </c>
      <c r="B555" s="1" t="n">
        <v>45219</v>
      </c>
      <c r="C555" s="1" t="n">
        <v>45891</v>
      </c>
      <c r="D555" t="inlineStr">
        <is>
          <t>DALARNAS LÄN</t>
        </is>
      </c>
      <c r="E555" t="inlineStr">
        <is>
          <t>MORA</t>
        </is>
      </c>
      <c r="G555" t="n">
        <v>5</v>
      </c>
      <c r="H555" t="n">
        <v>0</v>
      </c>
      <c r="I555" t="n">
        <v>0</v>
      </c>
      <c r="J555" t="n">
        <v>0</v>
      </c>
      <c r="K555" t="n">
        <v>0</v>
      </c>
      <c r="L555" t="n">
        <v>0</v>
      </c>
      <c r="M555" t="n">
        <v>0</v>
      </c>
      <c r="N555" t="n">
        <v>0</v>
      </c>
      <c r="O555" t="n">
        <v>0</v>
      </c>
      <c r="P555" t="n">
        <v>0</v>
      </c>
      <c r="Q555" t="n">
        <v>0</v>
      </c>
      <c r="R555" s="2" t="inlineStr"/>
    </row>
    <row r="556" ht="15" customHeight="1">
      <c r="A556" t="inlineStr">
        <is>
          <t>A 58116-2022</t>
        </is>
      </c>
      <c r="B556" s="1" t="n">
        <v>44900.65716435185</v>
      </c>
      <c r="C556" s="1" t="n">
        <v>45891</v>
      </c>
      <c r="D556" t="inlineStr">
        <is>
          <t>DALARNAS LÄN</t>
        </is>
      </c>
      <c r="E556" t="inlineStr">
        <is>
          <t>MORA</t>
        </is>
      </c>
      <c r="G556" t="n">
        <v>2.9</v>
      </c>
      <c r="H556" t="n">
        <v>0</v>
      </c>
      <c r="I556" t="n">
        <v>0</v>
      </c>
      <c r="J556" t="n">
        <v>0</v>
      </c>
      <c r="K556" t="n">
        <v>0</v>
      </c>
      <c r="L556" t="n">
        <v>0</v>
      </c>
      <c r="M556" t="n">
        <v>0</v>
      </c>
      <c r="N556" t="n">
        <v>0</v>
      </c>
      <c r="O556" t="n">
        <v>0</v>
      </c>
      <c r="P556" t="n">
        <v>0</v>
      </c>
      <c r="Q556" t="n">
        <v>0</v>
      </c>
      <c r="R556" s="2" t="inlineStr"/>
    </row>
    <row r="557" ht="15" customHeight="1">
      <c r="A557" t="inlineStr">
        <is>
          <t>A 30507-2025</t>
        </is>
      </c>
      <c r="B557" s="1" t="n">
        <v>45831.24760416667</v>
      </c>
      <c r="C557" s="1" t="n">
        <v>45891</v>
      </c>
      <c r="D557" t="inlineStr">
        <is>
          <t>DALARNAS LÄN</t>
        </is>
      </c>
      <c r="E557" t="inlineStr">
        <is>
          <t>MORA</t>
        </is>
      </c>
      <c r="G557" t="n">
        <v>1.6</v>
      </c>
      <c r="H557" t="n">
        <v>0</v>
      </c>
      <c r="I557" t="n">
        <v>0</v>
      </c>
      <c r="J557" t="n">
        <v>0</v>
      </c>
      <c r="K557" t="n">
        <v>0</v>
      </c>
      <c r="L557" t="n">
        <v>0</v>
      </c>
      <c r="M557" t="n">
        <v>0</v>
      </c>
      <c r="N557" t="n">
        <v>0</v>
      </c>
      <c r="O557" t="n">
        <v>0</v>
      </c>
      <c r="P557" t="n">
        <v>0</v>
      </c>
      <c r="Q557" t="n">
        <v>0</v>
      </c>
      <c r="R557" s="2" t="inlineStr"/>
    </row>
    <row r="558" ht="15" customHeight="1">
      <c r="A558" t="inlineStr">
        <is>
          <t>A 44106-2023</t>
        </is>
      </c>
      <c r="B558" s="1" t="n">
        <v>45188</v>
      </c>
      <c r="C558" s="1" t="n">
        <v>45891</v>
      </c>
      <c r="D558" t="inlineStr">
        <is>
          <t>DALARNAS LÄN</t>
        </is>
      </c>
      <c r="E558" t="inlineStr">
        <is>
          <t>MORA</t>
        </is>
      </c>
      <c r="G558" t="n">
        <v>10.1</v>
      </c>
      <c r="H558" t="n">
        <v>0</v>
      </c>
      <c r="I558" t="n">
        <v>0</v>
      </c>
      <c r="J558" t="n">
        <v>0</v>
      </c>
      <c r="K558" t="n">
        <v>0</v>
      </c>
      <c r="L558" t="n">
        <v>0</v>
      </c>
      <c r="M558" t="n">
        <v>0</v>
      </c>
      <c r="N558" t="n">
        <v>0</v>
      </c>
      <c r="O558" t="n">
        <v>0</v>
      </c>
      <c r="P558" t="n">
        <v>0</v>
      </c>
      <c r="Q558" t="n">
        <v>0</v>
      </c>
      <c r="R558" s="2" t="inlineStr"/>
    </row>
    <row r="559" ht="15" customHeight="1">
      <c r="A559" t="inlineStr">
        <is>
          <t>A 57091-2021</t>
        </is>
      </c>
      <c r="B559" s="1" t="n">
        <v>44482</v>
      </c>
      <c r="C559" s="1" t="n">
        <v>45891</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4994-2025</t>
        </is>
      </c>
      <c r="B560" s="1" t="n">
        <v>45691.35427083333</v>
      </c>
      <c r="C560" s="1" t="n">
        <v>45891</v>
      </c>
      <c r="D560" t="inlineStr">
        <is>
          <t>DALARNAS LÄN</t>
        </is>
      </c>
      <c r="E560" t="inlineStr">
        <is>
          <t>MORA</t>
        </is>
      </c>
      <c r="G560" t="n">
        <v>4.6</v>
      </c>
      <c r="H560" t="n">
        <v>0</v>
      </c>
      <c r="I560" t="n">
        <v>0</v>
      </c>
      <c r="J560" t="n">
        <v>0</v>
      </c>
      <c r="K560" t="n">
        <v>0</v>
      </c>
      <c r="L560" t="n">
        <v>0</v>
      </c>
      <c r="M560" t="n">
        <v>0</v>
      </c>
      <c r="N560" t="n">
        <v>0</v>
      </c>
      <c r="O560" t="n">
        <v>0</v>
      </c>
      <c r="P560" t="n">
        <v>0</v>
      </c>
      <c r="Q560" t="n">
        <v>0</v>
      </c>
      <c r="R560" s="2" t="inlineStr"/>
    </row>
    <row r="561" ht="15" customHeight="1">
      <c r="A561" t="inlineStr">
        <is>
          <t>A 33666-2024</t>
        </is>
      </c>
      <c r="B561" s="1" t="n">
        <v>45520.48304398148</v>
      </c>
      <c r="C561" s="1" t="n">
        <v>45891</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30858-2025</t>
        </is>
      </c>
      <c r="B562" s="1" t="n">
        <v>45831.92416666666</v>
      </c>
      <c r="C562" s="1" t="n">
        <v>45891</v>
      </c>
      <c r="D562" t="inlineStr">
        <is>
          <t>DALARNAS LÄN</t>
        </is>
      </c>
      <c r="E562" t="inlineStr">
        <is>
          <t>MORA</t>
        </is>
      </c>
      <c r="G562" t="n">
        <v>2.9</v>
      </c>
      <c r="H562" t="n">
        <v>0</v>
      </c>
      <c r="I562" t="n">
        <v>0</v>
      </c>
      <c r="J562" t="n">
        <v>0</v>
      </c>
      <c r="K562" t="n">
        <v>0</v>
      </c>
      <c r="L562" t="n">
        <v>0</v>
      </c>
      <c r="M562" t="n">
        <v>0</v>
      </c>
      <c r="N562" t="n">
        <v>0</v>
      </c>
      <c r="O562" t="n">
        <v>0</v>
      </c>
      <c r="P562" t="n">
        <v>0</v>
      </c>
      <c r="Q562" t="n">
        <v>0</v>
      </c>
      <c r="R562" s="2" t="inlineStr"/>
    </row>
    <row r="563" ht="15" customHeight="1">
      <c r="A563" t="inlineStr">
        <is>
          <t>A 30859-2025</t>
        </is>
      </c>
      <c r="B563" s="1" t="n">
        <v>45831.93105324074</v>
      </c>
      <c r="C563" s="1" t="n">
        <v>45891</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30989-2025</t>
        </is>
      </c>
      <c r="B564" s="1" t="n">
        <v>45832.48185185185</v>
      </c>
      <c r="C564" s="1" t="n">
        <v>45891</v>
      </c>
      <c r="D564" t="inlineStr">
        <is>
          <t>DALARNAS LÄN</t>
        </is>
      </c>
      <c r="E564" t="inlineStr">
        <is>
          <t>MORA</t>
        </is>
      </c>
      <c r="F564" t="inlineStr">
        <is>
          <t>Bergvik skog öst AB</t>
        </is>
      </c>
      <c r="G564" t="n">
        <v>4.1</v>
      </c>
      <c r="H564" t="n">
        <v>0</v>
      </c>
      <c r="I564" t="n">
        <v>0</v>
      </c>
      <c r="J564" t="n">
        <v>0</v>
      </c>
      <c r="K564" t="n">
        <v>0</v>
      </c>
      <c r="L564" t="n">
        <v>0</v>
      </c>
      <c r="M564" t="n">
        <v>0</v>
      </c>
      <c r="N564" t="n">
        <v>0</v>
      </c>
      <c r="O564" t="n">
        <v>0</v>
      </c>
      <c r="P564" t="n">
        <v>0</v>
      </c>
      <c r="Q564" t="n">
        <v>0</v>
      </c>
      <c r="R564" s="2" t="inlineStr"/>
    </row>
    <row r="565" ht="15" customHeight="1">
      <c r="A565" t="inlineStr">
        <is>
          <t>A 35287-2024</t>
        </is>
      </c>
      <c r="B565" s="1" t="n">
        <v>45530</v>
      </c>
      <c r="C565" s="1" t="n">
        <v>45891</v>
      </c>
      <c r="D565" t="inlineStr">
        <is>
          <t>DALARNAS LÄN</t>
        </is>
      </c>
      <c r="E565" t="inlineStr">
        <is>
          <t>MORA</t>
        </is>
      </c>
      <c r="G565" t="n">
        <v>1</v>
      </c>
      <c r="H565" t="n">
        <v>0</v>
      </c>
      <c r="I565" t="n">
        <v>0</v>
      </c>
      <c r="J565" t="n">
        <v>0</v>
      </c>
      <c r="K565" t="n">
        <v>0</v>
      </c>
      <c r="L565" t="n">
        <v>0</v>
      </c>
      <c r="M565" t="n">
        <v>0</v>
      </c>
      <c r="N565" t="n">
        <v>0</v>
      </c>
      <c r="O565" t="n">
        <v>0</v>
      </c>
      <c r="P565" t="n">
        <v>0</v>
      </c>
      <c r="Q565" t="n">
        <v>0</v>
      </c>
      <c r="R565" s="2" t="inlineStr"/>
    </row>
    <row r="566" ht="15" customHeight="1">
      <c r="A566" t="inlineStr">
        <is>
          <t>A 36846-2025</t>
        </is>
      </c>
      <c r="B566" s="1" t="n">
        <v>45874.38655092593</v>
      </c>
      <c r="C566" s="1" t="n">
        <v>45891</v>
      </c>
      <c r="D566" t="inlineStr">
        <is>
          <t>DALARNAS LÄN</t>
        </is>
      </c>
      <c r="E566" t="inlineStr">
        <is>
          <t>MORA</t>
        </is>
      </c>
      <c r="G566" t="n">
        <v>10.7</v>
      </c>
      <c r="H566" t="n">
        <v>0</v>
      </c>
      <c r="I566" t="n">
        <v>0</v>
      </c>
      <c r="J566" t="n">
        <v>0</v>
      </c>
      <c r="K566" t="n">
        <v>0</v>
      </c>
      <c r="L566" t="n">
        <v>0</v>
      </c>
      <c r="M566" t="n">
        <v>0</v>
      </c>
      <c r="N566" t="n">
        <v>0</v>
      </c>
      <c r="O566" t="n">
        <v>0</v>
      </c>
      <c r="P566" t="n">
        <v>0</v>
      </c>
      <c r="Q566" t="n">
        <v>0</v>
      </c>
      <c r="R566" s="2" t="inlineStr"/>
    </row>
    <row r="567" ht="15" customHeight="1">
      <c r="A567" t="inlineStr">
        <is>
          <t>A 18702-2025</t>
        </is>
      </c>
      <c r="B567" s="1" t="n">
        <v>45763.63166666667</v>
      </c>
      <c r="C567" s="1" t="n">
        <v>45891</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7766-2025</t>
        </is>
      </c>
      <c r="B568" s="1" t="n">
        <v>45706.5562037037</v>
      </c>
      <c r="C568" s="1" t="n">
        <v>45891</v>
      </c>
      <c r="D568" t="inlineStr">
        <is>
          <t>DALARNAS LÄN</t>
        </is>
      </c>
      <c r="E568" t="inlineStr">
        <is>
          <t>MORA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30509-2025</t>
        </is>
      </c>
      <c r="B569" s="1" t="n">
        <v>45831.25519675926</v>
      </c>
      <c r="C569" s="1" t="n">
        <v>45891</v>
      </c>
      <c r="D569" t="inlineStr">
        <is>
          <t>DALARNAS LÄN</t>
        </is>
      </c>
      <c r="E569" t="inlineStr">
        <is>
          <t>MORA</t>
        </is>
      </c>
      <c r="G569" t="n">
        <v>1.7</v>
      </c>
      <c r="H569" t="n">
        <v>0</v>
      </c>
      <c r="I569" t="n">
        <v>0</v>
      </c>
      <c r="J569" t="n">
        <v>0</v>
      </c>
      <c r="K569" t="n">
        <v>0</v>
      </c>
      <c r="L569" t="n">
        <v>0</v>
      </c>
      <c r="M569" t="n">
        <v>0</v>
      </c>
      <c r="N569" t="n">
        <v>0</v>
      </c>
      <c r="O569" t="n">
        <v>0</v>
      </c>
      <c r="P569" t="n">
        <v>0</v>
      </c>
      <c r="Q569" t="n">
        <v>0</v>
      </c>
      <c r="R569" s="2" t="inlineStr"/>
    </row>
    <row r="570" ht="15" customHeight="1">
      <c r="A570" t="inlineStr">
        <is>
          <t>A 31074-2025</t>
        </is>
      </c>
      <c r="B570" s="1" t="n">
        <v>45832.58114583333</v>
      </c>
      <c r="C570" s="1" t="n">
        <v>45891</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42941-2024</t>
        </is>
      </c>
      <c r="B571" s="1" t="n">
        <v>45567.3515162037</v>
      </c>
      <c r="C571" s="1" t="n">
        <v>45891</v>
      </c>
      <c r="D571" t="inlineStr">
        <is>
          <t>DALARNAS LÄN</t>
        </is>
      </c>
      <c r="E571" t="inlineStr">
        <is>
          <t>MORA</t>
        </is>
      </c>
      <c r="G571" t="n">
        <v>1.6</v>
      </c>
      <c r="H571" t="n">
        <v>0</v>
      </c>
      <c r="I571" t="n">
        <v>0</v>
      </c>
      <c r="J571" t="n">
        <v>0</v>
      </c>
      <c r="K571" t="n">
        <v>0</v>
      </c>
      <c r="L571" t="n">
        <v>0</v>
      </c>
      <c r="M571" t="n">
        <v>0</v>
      </c>
      <c r="N571" t="n">
        <v>0</v>
      </c>
      <c r="O571" t="n">
        <v>0</v>
      </c>
      <c r="P571" t="n">
        <v>0</v>
      </c>
      <c r="Q571" t="n">
        <v>0</v>
      </c>
      <c r="R571" s="2" t="inlineStr"/>
    </row>
    <row r="572" ht="15" customHeight="1">
      <c r="A572" t="inlineStr">
        <is>
          <t>A 31849-2025</t>
        </is>
      </c>
      <c r="B572" s="1" t="n">
        <v>45834.60525462963</v>
      </c>
      <c r="C572" s="1" t="n">
        <v>45891</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37070-2025</t>
        </is>
      </c>
      <c r="B573" s="1" t="n">
        <v>45875.39822916667</v>
      </c>
      <c r="C573" s="1" t="n">
        <v>45891</v>
      </c>
      <c r="D573" t="inlineStr">
        <is>
          <t>DALARNAS LÄN</t>
        </is>
      </c>
      <c r="E573" t="inlineStr">
        <is>
          <t>MORA</t>
        </is>
      </c>
      <c r="G573" t="n">
        <v>2.7</v>
      </c>
      <c r="H573" t="n">
        <v>0</v>
      </c>
      <c r="I573" t="n">
        <v>0</v>
      </c>
      <c r="J573" t="n">
        <v>0</v>
      </c>
      <c r="K573" t="n">
        <v>0</v>
      </c>
      <c r="L573" t="n">
        <v>0</v>
      </c>
      <c r="M573" t="n">
        <v>0</v>
      </c>
      <c r="N573" t="n">
        <v>0</v>
      </c>
      <c r="O573" t="n">
        <v>0</v>
      </c>
      <c r="P573" t="n">
        <v>0</v>
      </c>
      <c r="Q573" t="n">
        <v>0</v>
      </c>
      <c r="R573" s="2" t="inlineStr"/>
    </row>
    <row r="574" ht="15" customHeight="1">
      <c r="A574" t="inlineStr">
        <is>
          <t>A 39674-2023</t>
        </is>
      </c>
      <c r="B574" s="1" t="n">
        <v>45167</v>
      </c>
      <c r="C574" s="1" t="n">
        <v>45891</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12478-2025</t>
        </is>
      </c>
      <c r="B575" s="1" t="n">
        <v>45730.57429398148</v>
      </c>
      <c r="C575" s="1" t="n">
        <v>45891</v>
      </c>
      <c r="D575" t="inlineStr">
        <is>
          <t>DALARNAS LÄN</t>
        </is>
      </c>
      <c r="E575" t="inlineStr">
        <is>
          <t>MORA</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53341-2023</t>
        </is>
      </c>
      <c r="B576" s="1" t="n">
        <v>45229</v>
      </c>
      <c r="C576" s="1" t="n">
        <v>45891</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31846-2025</t>
        </is>
      </c>
      <c r="B577" s="1" t="n">
        <v>45834.60209490741</v>
      </c>
      <c r="C577" s="1" t="n">
        <v>45891</v>
      </c>
      <c r="D577" t="inlineStr">
        <is>
          <t>DALARNAS LÄN</t>
        </is>
      </c>
      <c r="E577" t="inlineStr">
        <is>
          <t>MORA</t>
        </is>
      </c>
      <c r="G577" t="n">
        <v>3.6</v>
      </c>
      <c r="H577" t="n">
        <v>0</v>
      </c>
      <c r="I577" t="n">
        <v>0</v>
      </c>
      <c r="J577" t="n">
        <v>0</v>
      </c>
      <c r="K577" t="n">
        <v>0</v>
      </c>
      <c r="L577" t="n">
        <v>0</v>
      </c>
      <c r="M577" t="n">
        <v>0</v>
      </c>
      <c r="N577" t="n">
        <v>0</v>
      </c>
      <c r="O577" t="n">
        <v>0</v>
      </c>
      <c r="P577" t="n">
        <v>0</v>
      </c>
      <c r="Q577" t="n">
        <v>0</v>
      </c>
      <c r="R577" s="2" t="inlineStr"/>
    </row>
    <row r="578" ht="15" customHeight="1">
      <c r="A578" t="inlineStr">
        <is>
          <t>A 37268-2025</t>
        </is>
      </c>
      <c r="B578" s="1" t="n">
        <v>45876.46681712963</v>
      </c>
      <c r="C578" s="1" t="n">
        <v>45891</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31842-2025</t>
        </is>
      </c>
      <c r="B579" s="1" t="n">
        <v>45834.59822916667</v>
      </c>
      <c r="C579" s="1" t="n">
        <v>45891</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5001-2025</t>
        </is>
      </c>
      <c r="B580" s="1" t="n">
        <v>45691.36403935185</v>
      </c>
      <c r="C580" s="1" t="n">
        <v>45891</v>
      </c>
      <c r="D580" t="inlineStr">
        <is>
          <t>DALARNAS LÄN</t>
        </is>
      </c>
      <c r="E580" t="inlineStr">
        <is>
          <t>MORA</t>
        </is>
      </c>
      <c r="G580" t="n">
        <v>1.3</v>
      </c>
      <c r="H580" t="n">
        <v>0</v>
      </c>
      <c r="I580" t="n">
        <v>0</v>
      </c>
      <c r="J580" t="n">
        <v>0</v>
      </c>
      <c r="K580" t="n">
        <v>0</v>
      </c>
      <c r="L580" t="n">
        <v>0</v>
      </c>
      <c r="M580" t="n">
        <v>0</v>
      </c>
      <c r="N580" t="n">
        <v>0</v>
      </c>
      <c r="O580" t="n">
        <v>0</v>
      </c>
      <c r="P580" t="n">
        <v>0</v>
      </c>
      <c r="Q580" t="n">
        <v>0</v>
      </c>
      <c r="R580" s="2" t="inlineStr"/>
    </row>
    <row r="581" ht="15" customHeight="1">
      <c r="A581" t="inlineStr">
        <is>
          <t>A 54903-2024</t>
        </is>
      </c>
      <c r="B581" s="1" t="n">
        <v>45618</v>
      </c>
      <c r="C581" s="1" t="n">
        <v>45891</v>
      </c>
      <c r="D581" t="inlineStr">
        <is>
          <t>DALARNAS LÄN</t>
        </is>
      </c>
      <c r="E581" t="inlineStr">
        <is>
          <t>MORA</t>
        </is>
      </c>
      <c r="G581" t="n">
        <v>28.2</v>
      </c>
      <c r="H581" t="n">
        <v>0</v>
      </c>
      <c r="I581" t="n">
        <v>0</v>
      </c>
      <c r="J581" t="n">
        <v>0</v>
      </c>
      <c r="K581" t="n">
        <v>0</v>
      </c>
      <c r="L581" t="n">
        <v>0</v>
      </c>
      <c r="M581" t="n">
        <v>0</v>
      </c>
      <c r="N581" t="n">
        <v>0</v>
      </c>
      <c r="O581" t="n">
        <v>0</v>
      </c>
      <c r="P581" t="n">
        <v>0</v>
      </c>
      <c r="Q581" t="n">
        <v>0</v>
      </c>
      <c r="R581" s="2" t="inlineStr"/>
    </row>
    <row r="582" ht="15" customHeight="1">
      <c r="A582" t="inlineStr">
        <is>
          <t>A 30030-2021</t>
        </is>
      </c>
      <c r="B582" s="1" t="n">
        <v>44363</v>
      </c>
      <c r="C582" s="1" t="n">
        <v>45891</v>
      </c>
      <c r="D582" t="inlineStr">
        <is>
          <t>DALARNAS LÄN</t>
        </is>
      </c>
      <c r="E582" t="inlineStr">
        <is>
          <t>MORA</t>
        </is>
      </c>
      <c r="G582" t="n">
        <v>7.1</v>
      </c>
      <c r="H582" t="n">
        <v>0</v>
      </c>
      <c r="I582" t="n">
        <v>0</v>
      </c>
      <c r="J582" t="n">
        <v>0</v>
      </c>
      <c r="K582" t="n">
        <v>0</v>
      </c>
      <c r="L582" t="n">
        <v>0</v>
      </c>
      <c r="M582" t="n">
        <v>0</v>
      </c>
      <c r="N582" t="n">
        <v>0</v>
      </c>
      <c r="O582" t="n">
        <v>0</v>
      </c>
      <c r="P582" t="n">
        <v>0</v>
      </c>
      <c r="Q582" t="n">
        <v>0</v>
      </c>
      <c r="R582" s="2" t="inlineStr"/>
    </row>
    <row r="583" ht="15" customHeight="1">
      <c r="A583" t="inlineStr">
        <is>
          <t>A 31085-2024</t>
        </is>
      </c>
      <c r="B583" s="1" t="n">
        <v>45502.48047453703</v>
      </c>
      <c r="C583" s="1" t="n">
        <v>45891</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44071-2024</t>
        </is>
      </c>
      <c r="B584" s="1" t="n">
        <v>45572.60915509259</v>
      </c>
      <c r="C584" s="1" t="n">
        <v>45891</v>
      </c>
      <c r="D584" t="inlineStr">
        <is>
          <t>DALARNAS LÄN</t>
        </is>
      </c>
      <c r="E584" t="inlineStr">
        <is>
          <t>MORA</t>
        </is>
      </c>
      <c r="G584" t="n">
        <v>4.5</v>
      </c>
      <c r="H584" t="n">
        <v>0</v>
      </c>
      <c r="I584" t="n">
        <v>0</v>
      </c>
      <c r="J584" t="n">
        <v>0</v>
      </c>
      <c r="K584" t="n">
        <v>0</v>
      </c>
      <c r="L584" t="n">
        <v>0</v>
      </c>
      <c r="M584" t="n">
        <v>0</v>
      </c>
      <c r="N584" t="n">
        <v>0</v>
      </c>
      <c r="O584" t="n">
        <v>0</v>
      </c>
      <c r="P584" t="n">
        <v>0</v>
      </c>
      <c r="Q584" t="n">
        <v>0</v>
      </c>
      <c r="R584" s="2" t="inlineStr"/>
    </row>
    <row r="585" ht="15" customHeight="1">
      <c r="A585" t="inlineStr">
        <is>
          <t>A 12490-2025</t>
        </is>
      </c>
      <c r="B585" s="1" t="n">
        <v>45730.59239583334</v>
      </c>
      <c r="C585" s="1" t="n">
        <v>45891</v>
      </c>
      <c r="D585" t="inlineStr">
        <is>
          <t>DALARNAS LÄN</t>
        </is>
      </c>
      <c r="E585" t="inlineStr">
        <is>
          <t>MORA</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37879-2025</t>
        </is>
      </c>
      <c r="B586" s="1" t="n">
        <v>45881.48791666667</v>
      </c>
      <c r="C586" s="1" t="n">
        <v>45891</v>
      </c>
      <c r="D586" t="inlineStr">
        <is>
          <t>DALARNAS LÄN</t>
        </is>
      </c>
      <c r="E586" t="inlineStr">
        <is>
          <t>MORA</t>
        </is>
      </c>
      <c r="G586" t="n">
        <v>1.4</v>
      </c>
      <c r="H586" t="n">
        <v>0</v>
      </c>
      <c r="I586" t="n">
        <v>0</v>
      </c>
      <c r="J586" t="n">
        <v>0</v>
      </c>
      <c r="K586" t="n">
        <v>0</v>
      </c>
      <c r="L586" t="n">
        <v>0</v>
      </c>
      <c r="M586" t="n">
        <v>0</v>
      </c>
      <c r="N586" t="n">
        <v>0</v>
      </c>
      <c r="O586" t="n">
        <v>0</v>
      </c>
      <c r="P586" t="n">
        <v>0</v>
      </c>
      <c r="Q586" t="n">
        <v>0</v>
      </c>
      <c r="R586" s="2" t="inlineStr"/>
    </row>
    <row r="587" ht="15" customHeight="1">
      <c r="A587" t="inlineStr">
        <is>
          <t>A 14040-2023</t>
        </is>
      </c>
      <c r="B587" s="1" t="n">
        <v>45008.64575231481</v>
      </c>
      <c r="C587" s="1" t="n">
        <v>45891</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38086-2025</t>
        </is>
      </c>
      <c r="B588" s="1" t="n">
        <v>45882.47625</v>
      </c>
      <c r="C588" s="1" t="n">
        <v>45891</v>
      </c>
      <c r="D588" t="inlineStr">
        <is>
          <t>DALARNAS LÄN</t>
        </is>
      </c>
      <c r="E588" t="inlineStr">
        <is>
          <t>MORA</t>
        </is>
      </c>
      <c r="G588" t="n">
        <v>2.4</v>
      </c>
      <c r="H588" t="n">
        <v>0</v>
      </c>
      <c r="I588" t="n">
        <v>0</v>
      </c>
      <c r="J588" t="n">
        <v>0</v>
      </c>
      <c r="K588" t="n">
        <v>0</v>
      </c>
      <c r="L588" t="n">
        <v>0</v>
      </c>
      <c r="M588" t="n">
        <v>0</v>
      </c>
      <c r="N588" t="n">
        <v>0</v>
      </c>
      <c r="O588" t="n">
        <v>0</v>
      </c>
      <c r="P588" t="n">
        <v>0</v>
      </c>
      <c r="Q588" t="n">
        <v>0</v>
      </c>
      <c r="R588" s="2" t="inlineStr"/>
    </row>
    <row r="589" ht="15" customHeight="1">
      <c r="A589" t="inlineStr">
        <is>
          <t>A 32852-2025</t>
        </is>
      </c>
      <c r="B589" s="1" t="n">
        <v>45839.57559027777</v>
      </c>
      <c r="C589" s="1" t="n">
        <v>45891</v>
      </c>
      <c r="D589" t="inlineStr">
        <is>
          <t>DALARNAS LÄN</t>
        </is>
      </c>
      <c r="E589" t="inlineStr">
        <is>
          <t>MORA</t>
        </is>
      </c>
      <c r="G589" t="n">
        <v>1.7</v>
      </c>
      <c r="H589" t="n">
        <v>0</v>
      </c>
      <c r="I589" t="n">
        <v>0</v>
      </c>
      <c r="J589" t="n">
        <v>0</v>
      </c>
      <c r="K589" t="n">
        <v>0</v>
      </c>
      <c r="L589" t="n">
        <v>0</v>
      </c>
      <c r="M589" t="n">
        <v>0</v>
      </c>
      <c r="N589" t="n">
        <v>0</v>
      </c>
      <c r="O589" t="n">
        <v>0</v>
      </c>
      <c r="P589" t="n">
        <v>0</v>
      </c>
      <c r="Q589" t="n">
        <v>0</v>
      </c>
      <c r="R589" s="2" t="inlineStr"/>
    </row>
    <row r="590" ht="15" customHeight="1">
      <c r="A590" t="inlineStr">
        <is>
          <t>A 55331-2022</t>
        </is>
      </c>
      <c r="B590" s="1" t="n">
        <v>44887.43714120371</v>
      </c>
      <c r="C590" s="1" t="n">
        <v>45891</v>
      </c>
      <c r="D590" t="inlineStr">
        <is>
          <t>DALARNAS LÄN</t>
        </is>
      </c>
      <c r="E590" t="inlineStr">
        <is>
          <t>MORA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45475-2023</t>
        </is>
      </c>
      <c r="B591" s="1" t="n">
        <v>45188</v>
      </c>
      <c r="C591" s="1" t="n">
        <v>45891</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11919-2024</t>
        </is>
      </c>
      <c r="B592" s="1" t="n">
        <v>45376.61019675926</v>
      </c>
      <c r="C592" s="1" t="n">
        <v>45891</v>
      </c>
      <c r="D592" t="inlineStr">
        <is>
          <t>DALARNAS LÄN</t>
        </is>
      </c>
      <c r="E592" t="inlineStr">
        <is>
          <t>MORA</t>
        </is>
      </c>
      <c r="G592" t="n">
        <v>3.5</v>
      </c>
      <c r="H592" t="n">
        <v>0</v>
      </c>
      <c r="I592" t="n">
        <v>0</v>
      </c>
      <c r="J592" t="n">
        <v>0</v>
      </c>
      <c r="K592" t="n">
        <v>0</v>
      </c>
      <c r="L592" t="n">
        <v>0</v>
      </c>
      <c r="M592" t="n">
        <v>0</v>
      </c>
      <c r="N592" t="n">
        <v>0</v>
      </c>
      <c r="O592" t="n">
        <v>0</v>
      </c>
      <c r="P592" t="n">
        <v>0</v>
      </c>
      <c r="Q592" t="n">
        <v>0</v>
      </c>
      <c r="R592" s="2" t="inlineStr"/>
    </row>
    <row r="593" ht="15" customHeight="1">
      <c r="A593" t="inlineStr">
        <is>
          <t>A 45315-2024</t>
        </is>
      </c>
      <c r="B593" s="1" t="n">
        <v>45576.43782407408</v>
      </c>
      <c r="C593" s="1" t="n">
        <v>45891</v>
      </c>
      <c r="D593" t="inlineStr">
        <is>
          <t>DALARNAS LÄN</t>
        </is>
      </c>
      <c r="E593" t="inlineStr">
        <is>
          <t>MORA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33443-2025</t>
        </is>
      </c>
      <c r="B594" s="1" t="n">
        <v>45841</v>
      </c>
      <c r="C594" s="1" t="n">
        <v>45891</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38073-2025</t>
        </is>
      </c>
      <c r="B595" s="1" t="n">
        <v>45882</v>
      </c>
      <c r="C595" s="1" t="n">
        <v>45891</v>
      </c>
      <c r="D595" t="inlineStr">
        <is>
          <t>DALARNAS LÄN</t>
        </is>
      </c>
      <c r="E595" t="inlineStr">
        <is>
          <t>MORA</t>
        </is>
      </c>
      <c r="G595" t="n">
        <v>2.5</v>
      </c>
      <c r="H595" t="n">
        <v>0</v>
      </c>
      <c r="I595" t="n">
        <v>0</v>
      </c>
      <c r="J595" t="n">
        <v>0</v>
      </c>
      <c r="K595" t="n">
        <v>0</v>
      </c>
      <c r="L595" t="n">
        <v>0</v>
      </c>
      <c r="M595" t="n">
        <v>0</v>
      </c>
      <c r="N595" t="n">
        <v>0</v>
      </c>
      <c r="O595" t="n">
        <v>0</v>
      </c>
      <c r="P595" t="n">
        <v>0</v>
      </c>
      <c r="Q595" t="n">
        <v>0</v>
      </c>
      <c r="R595" s="2" t="inlineStr"/>
    </row>
    <row r="596" ht="15" customHeight="1">
      <c r="A596" t="inlineStr">
        <is>
          <t>A 33380-2025</t>
        </is>
      </c>
      <c r="B596" s="1" t="n">
        <v>45841.40309027778</v>
      </c>
      <c r="C596" s="1" t="n">
        <v>45891</v>
      </c>
      <c r="D596" t="inlineStr">
        <is>
          <t>DALARNAS LÄN</t>
        </is>
      </c>
      <c r="E596" t="inlineStr">
        <is>
          <t>MORA</t>
        </is>
      </c>
      <c r="G596" t="n">
        <v>6.6</v>
      </c>
      <c r="H596" t="n">
        <v>0</v>
      </c>
      <c r="I596" t="n">
        <v>0</v>
      </c>
      <c r="J596" t="n">
        <v>0</v>
      </c>
      <c r="K596" t="n">
        <v>0</v>
      </c>
      <c r="L596" t="n">
        <v>0</v>
      </c>
      <c r="M596" t="n">
        <v>0</v>
      </c>
      <c r="N596" t="n">
        <v>0</v>
      </c>
      <c r="O596" t="n">
        <v>0</v>
      </c>
      <c r="P596" t="n">
        <v>0</v>
      </c>
      <c r="Q596" t="n">
        <v>0</v>
      </c>
      <c r="R596" s="2" t="inlineStr"/>
    </row>
    <row r="597" ht="15" customHeight="1">
      <c r="A597" t="inlineStr">
        <is>
          <t>A 17529-2023</t>
        </is>
      </c>
      <c r="B597" s="1" t="n">
        <v>45036.46804398148</v>
      </c>
      <c r="C597" s="1" t="n">
        <v>45891</v>
      </c>
      <c r="D597" t="inlineStr">
        <is>
          <t>DALARNAS LÄN</t>
        </is>
      </c>
      <c r="E597" t="inlineStr">
        <is>
          <t>MORA</t>
        </is>
      </c>
      <c r="G597" t="n">
        <v>6</v>
      </c>
      <c r="H597" t="n">
        <v>0</v>
      </c>
      <c r="I597" t="n">
        <v>0</v>
      </c>
      <c r="J597" t="n">
        <v>0</v>
      </c>
      <c r="K597" t="n">
        <v>0</v>
      </c>
      <c r="L597" t="n">
        <v>0</v>
      </c>
      <c r="M597" t="n">
        <v>0</v>
      </c>
      <c r="N597" t="n">
        <v>0</v>
      </c>
      <c r="O597" t="n">
        <v>0</v>
      </c>
      <c r="P597" t="n">
        <v>0</v>
      </c>
      <c r="Q597" t="n">
        <v>0</v>
      </c>
      <c r="R597" s="2" t="inlineStr"/>
    </row>
    <row r="598" ht="15" customHeight="1">
      <c r="A598" t="inlineStr">
        <is>
          <t>A 4209-2023</t>
        </is>
      </c>
      <c r="B598" s="1" t="n">
        <v>44953</v>
      </c>
      <c r="C598" s="1" t="n">
        <v>45891</v>
      </c>
      <c r="D598" t="inlineStr">
        <is>
          <t>DALARNAS LÄN</t>
        </is>
      </c>
      <c r="E598" t="inlineStr">
        <is>
          <t>MORA</t>
        </is>
      </c>
      <c r="G598" t="n">
        <v>1</v>
      </c>
      <c r="H598" t="n">
        <v>0</v>
      </c>
      <c r="I598" t="n">
        <v>0</v>
      </c>
      <c r="J598" t="n">
        <v>0</v>
      </c>
      <c r="K598" t="n">
        <v>0</v>
      </c>
      <c r="L598" t="n">
        <v>0</v>
      </c>
      <c r="M598" t="n">
        <v>0</v>
      </c>
      <c r="N598" t="n">
        <v>0</v>
      </c>
      <c r="O598" t="n">
        <v>0</v>
      </c>
      <c r="P598" t="n">
        <v>0</v>
      </c>
      <c r="Q598" t="n">
        <v>0</v>
      </c>
      <c r="R598" s="2" t="inlineStr"/>
    </row>
    <row r="599" ht="15" customHeight="1">
      <c r="A599" t="inlineStr">
        <is>
          <t>A 8146-2021</t>
        </is>
      </c>
      <c r="B599" s="1" t="n">
        <v>44244</v>
      </c>
      <c r="C599" s="1" t="n">
        <v>45891</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34005-2025</t>
        </is>
      </c>
      <c r="B600" s="1" t="n">
        <v>45844.58890046296</v>
      </c>
      <c r="C600" s="1" t="n">
        <v>45891</v>
      </c>
      <c r="D600" t="inlineStr">
        <is>
          <t>DALARNAS LÄN</t>
        </is>
      </c>
      <c r="E600" t="inlineStr">
        <is>
          <t>MORA</t>
        </is>
      </c>
      <c r="G600" t="n">
        <v>7.2</v>
      </c>
      <c r="H600" t="n">
        <v>0</v>
      </c>
      <c r="I600" t="n">
        <v>0</v>
      </c>
      <c r="J600" t="n">
        <v>0</v>
      </c>
      <c r="K600" t="n">
        <v>0</v>
      </c>
      <c r="L600" t="n">
        <v>0</v>
      </c>
      <c r="M600" t="n">
        <v>0</v>
      </c>
      <c r="N600" t="n">
        <v>0</v>
      </c>
      <c r="O600" t="n">
        <v>0</v>
      </c>
      <c r="P600" t="n">
        <v>0</v>
      </c>
      <c r="Q600" t="n">
        <v>0</v>
      </c>
      <c r="R600" s="2" t="inlineStr"/>
    </row>
    <row r="601" ht="15" customHeight="1">
      <c r="A601" t="inlineStr">
        <is>
          <t>A 39344-2024</t>
        </is>
      </c>
      <c r="B601" s="1" t="n">
        <v>45551.44503472222</v>
      </c>
      <c r="C601" s="1" t="n">
        <v>45891</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26314-2021</t>
        </is>
      </c>
      <c r="B602" s="1" t="n">
        <v>44347</v>
      </c>
      <c r="C602" s="1" t="n">
        <v>45891</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34382-2025</t>
        </is>
      </c>
      <c r="B603" s="1" t="n">
        <v>45846</v>
      </c>
      <c r="C603" s="1" t="n">
        <v>45891</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34182-2025</t>
        </is>
      </c>
      <c r="B604" s="1" t="n">
        <v>45845.60520833333</v>
      </c>
      <c r="C604" s="1" t="n">
        <v>45891</v>
      </c>
      <c r="D604" t="inlineStr">
        <is>
          <t>DALARNAS LÄN</t>
        </is>
      </c>
      <c r="E604" t="inlineStr">
        <is>
          <t>MORA</t>
        </is>
      </c>
      <c r="G604" t="n">
        <v>3.4</v>
      </c>
      <c r="H604" t="n">
        <v>0</v>
      </c>
      <c r="I604" t="n">
        <v>0</v>
      </c>
      <c r="J604" t="n">
        <v>0</v>
      </c>
      <c r="K604" t="n">
        <v>0</v>
      </c>
      <c r="L604" t="n">
        <v>0</v>
      </c>
      <c r="M604" t="n">
        <v>0</v>
      </c>
      <c r="N604" t="n">
        <v>0</v>
      </c>
      <c r="O604" t="n">
        <v>0</v>
      </c>
      <c r="P604" t="n">
        <v>0</v>
      </c>
      <c r="Q604" t="n">
        <v>0</v>
      </c>
      <c r="R604" s="2" t="inlineStr"/>
    </row>
    <row r="605" ht="15" customHeight="1">
      <c r="A605" t="inlineStr">
        <is>
          <t>A 34715-2025</t>
        </is>
      </c>
      <c r="B605" s="1" t="n">
        <v>45848.52225694444</v>
      </c>
      <c r="C605" s="1" t="n">
        <v>45891</v>
      </c>
      <c r="D605" t="inlineStr">
        <is>
          <t>DALARNAS LÄN</t>
        </is>
      </c>
      <c r="E605" t="inlineStr">
        <is>
          <t>MORA</t>
        </is>
      </c>
      <c r="G605" t="n">
        <v>8.5</v>
      </c>
      <c r="H605" t="n">
        <v>0</v>
      </c>
      <c r="I605" t="n">
        <v>0</v>
      </c>
      <c r="J605" t="n">
        <v>0</v>
      </c>
      <c r="K605" t="n">
        <v>0</v>
      </c>
      <c r="L605" t="n">
        <v>0</v>
      </c>
      <c r="M605" t="n">
        <v>0</v>
      </c>
      <c r="N605" t="n">
        <v>0</v>
      </c>
      <c r="O605" t="n">
        <v>0</v>
      </c>
      <c r="P605" t="n">
        <v>0</v>
      </c>
      <c r="Q605" t="n">
        <v>0</v>
      </c>
      <c r="R605" s="2" t="inlineStr"/>
    </row>
    <row r="606" ht="15" customHeight="1">
      <c r="A606" t="inlineStr">
        <is>
          <t>A 39483-2025</t>
        </is>
      </c>
      <c r="B606" s="1" t="n">
        <v>45890.35881944445</v>
      </c>
      <c r="C606" s="1" t="n">
        <v>45891</v>
      </c>
      <c r="D606" t="inlineStr">
        <is>
          <t>DALARNAS LÄN</t>
        </is>
      </c>
      <c r="E606" t="inlineStr">
        <is>
          <t>MORA</t>
        </is>
      </c>
      <c r="G606" t="n">
        <v>0.4</v>
      </c>
      <c r="H606" t="n">
        <v>0</v>
      </c>
      <c r="I606" t="n">
        <v>0</v>
      </c>
      <c r="J606" t="n">
        <v>0</v>
      </c>
      <c r="K606" t="n">
        <v>0</v>
      </c>
      <c r="L606" t="n">
        <v>0</v>
      </c>
      <c r="M606" t="n">
        <v>0</v>
      </c>
      <c r="N606" t="n">
        <v>0</v>
      </c>
      <c r="O606" t="n">
        <v>0</v>
      </c>
      <c r="P606" t="n">
        <v>0</v>
      </c>
      <c r="Q606" t="n">
        <v>0</v>
      </c>
      <c r="R606" s="2" t="inlineStr"/>
    </row>
    <row r="607" ht="15" customHeight="1">
      <c r="A607" t="inlineStr">
        <is>
          <t>A 39481-2025</t>
        </is>
      </c>
      <c r="B607" s="1" t="n">
        <v>45890.35545138889</v>
      </c>
      <c r="C607" s="1" t="n">
        <v>45891</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34482-2025</t>
        </is>
      </c>
      <c r="B608" s="1" t="n">
        <v>45847.38469907407</v>
      </c>
      <c r="C608" s="1" t="n">
        <v>45891</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39456-2025</t>
        </is>
      </c>
      <c r="B609" s="1" t="n">
        <v>45889.76200231481</v>
      </c>
      <c r="C609" s="1" t="n">
        <v>45891</v>
      </c>
      <c r="D609" t="inlineStr">
        <is>
          <t>DALARNAS LÄN</t>
        </is>
      </c>
      <c r="E609" t="inlineStr">
        <is>
          <t>MORA</t>
        </is>
      </c>
      <c r="F609" t="inlineStr">
        <is>
          <t>Bergvik skog öst AB</t>
        </is>
      </c>
      <c r="G609" t="n">
        <v>16.7</v>
      </c>
      <c r="H609" t="n">
        <v>0</v>
      </c>
      <c r="I609" t="n">
        <v>0</v>
      </c>
      <c r="J609" t="n">
        <v>0</v>
      </c>
      <c r="K609" t="n">
        <v>0</v>
      </c>
      <c r="L609" t="n">
        <v>0</v>
      </c>
      <c r="M609" t="n">
        <v>0</v>
      </c>
      <c r="N609" t="n">
        <v>0</v>
      </c>
      <c r="O609" t="n">
        <v>0</v>
      </c>
      <c r="P609" t="n">
        <v>0</v>
      </c>
      <c r="Q609" t="n">
        <v>0</v>
      </c>
      <c r="R609" s="2" t="inlineStr"/>
    </row>
    <row r="610" ht="15" customHeight="1">
      <c r="A610" t="inlineStr">
        <is>
          <t>A 18559-2024</t>
        </is>
      </c>
      <c r="B610" s="1" t="n">
        <v>45425.66265046296</v>
      </c>
      <c r="C610" s="1" t="n">
        <v>45891</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39478-2025</t>
        </is>
      </c>
      <c r="B611" s="1" t="n">
        <v>45890.3469212963</v>
      </c>
      <c r="C611" s="1" t="n">
        <v>45891</v>
      </c>
      <c r="D611" t="inlineStr">
        <is>
          <t>DALARNAS LÄN</t>
        </is>
      </c>
      <c r="E611" t="inlineStr">
        <is>
          <t>MORA</t>
        </is>
      </c>
      <c r="G611" t="n">
        <v>1.8</v>
      </c>
      <c r="H611" t="n">
        <v>0</v>
      </c>
      <c r="I611" t="n">
        <v>0</v>
      </c>
      <c r="J611" t="n">
        <v>0</v>
      </c>
      <c r="K611" t="n">
        <v>0</v>
      </c>
      <c r="L611" t="n">
        <v>0</v>
      </c>
      <c r="M611" t="n">
        <v>0</v>
      </c>
      <c r="N611" t="n">
        <v>0</v>
      </c>
      <c r="O611" t="n">
        <v>0</v>
      </c>
      <c r="P611" t="n">
        <v>0</v>
      </c>
      <c r="Q611" t="n">
        <v>0</v>
      </c>
      <c r="R611" s="2" t="inlineStr"/>
    </row>
    <row r="612" ht="15" customHeight="1">
      <c r="A612" t="inlineStr">
        <is>
          <t>A 39480-2025</t>
        </is>
      </c>
      <c r="B612" s="1" t="n">
        <v>45890.35232638889</v>
      </c>
      <c r="C612" s="1" t="n">
        <v>45891</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60051-2022</t>
        </is>
      </c>
      <c r="B613" s="1" t="n">
        <v>44909.52385416667</v>
      </c>
      <c r="C613" s="1" t="n">
        <v>45891</v>
      </c>
      <c r="D613" t="inlineStr">
        <is>
          <t>DALARNAS LÄN</t>
        </is>
      </c>
      <c r="E613" t="inlineStr">
        <is>
          <t>MORA</t>
        </is>
      </c>
      <c r="G613" t="n">
        <v>0.9</v>
      </c>
      <c r="H613" t="n">
        <v>0</v>
      </c>
      <c r="I613" t="n">
        <v>0</v>
      </c>
      <c r="J613" t="n">
        <v>0</v>
      </c>
      <c r="K613" t="n">
        <v>0</v>
      </c>
      <c r="L613" t="n">
        <v>0</v>
      </c>
      <c r="M613" t="n">
        <v>0</v>
      </c>
      <c r="N613" t="n">
        <v>0</v>
      </c>
      <c r="O613" t="n">
        <v>0</v>
      </c>
      <c r="P613" t="n">
        <v>0</v>
      </c>
      <c r="Q613" t="n">
        <v>0</v>
      </c>
      <c r="R613" s="2" t="inlineStr"/>
    </row>
    <row r="614" ht="15" customHeight="1">
      <c r="A614" t="inlineStr">
        <is>
          <t>A 48390-2024</t>
        </is>
      </c>
      <c r="B614" s="1" t="n">
        <v>45590.60216435185</v>
      </c>
      <c r="C614" s="1" t="n">
        <v>45891</v>
      </c>
      <c r="D614" t="inlineStr">
        <is>
          <t>DALARNAS LÄN</t>
        </is>
      </c>
      <c r="E614" t="inlineStr">
        <is>
          <t>MORA</t>
        </is>
      </c>
      <c r="G614" t="n">
        <v>5</v>
      </c>
      <c r="H614" t="n">
        <v>0</v>
      </c>
      <c r="I614" t="n">
        <v>0</v>
      </c>
      <c r="J614" t="n">
        <v>0</v>
      </c>
      <c r="K614" t="n">
        <v>0</v>
      </c>
      <c r="L614" t="n">
        <v>0</v>
      </c>
      <c r="M614" t="n">
        <v>0</v>
      </c>
      <c r="N614" t="n">
        <v>0</v>
      </c>
      <c r="O614" t="n">
        <v>0</v>
      </c>
      <c r="P614" t="n">
        <v>0</v>
      </c>
      <c r="Q614" t="n">
        <v>0</v>
      </c>
      <c r="R614" s="2" t="inlineStr"/>
    </row>
    <row r="615" ht="15" customHeight="1">
      <c r="A615" t="inlineStr">
        <is>
          <t>A 55671-2024</t>
        </is>
      </c>
      <c r="B615" s="1" t="n">
        <v>45622.65269675926</v>
      </c>
      <c r="C615" s="1" t="n">
        <v>45891</v>
      </c>
      <c r="D615" t="inlineStr">
        <is>
          <t>DALARNAS LÄN</t>
        </is>
      </c>
      <c r="E615" t="inlineStr">
        <is>
          <t>MORA</t>
        </is>
      </c>
      <c r="G615" t="n">
        <v>1.2</v>
      </c>
      <c r="H615" t="n">
        <v>0</v>
      </c>
      <c r="I615" t="n">
        <v>0</v>
      </c>
      <c r="J615" t="n">
        <v>0</v>
      </c>
      <c r="K615" t="n">
        <v>0</v>
      </c>
      <c r="L615" t="n">
        <v>0</v>
      </c>
      <c r="M615" t="n">
        <v>0</v>
      </c>
      <c r="N615" t="n">
        <v>0</v>
      </c>
      <c r="O615" t="n">
        <v>0</v>
      </c>
      <c r="P615" t="n">
        <v>0</v>
      </c>
      <c r="Q615" t="n">
        <v>0</v>
      </c>
      <c r="R615" s="2" t="inlineStr"/>
    </row>
    <row r="616" ht="15" customHeight="1">
      <c r="A616" t="inlineStr">
        <is>
          <t>A 53546-2024</t>
        </is>
      </c>
      <c r="B616" s="1" t="n">
        <v>45614.63725694444</v>
      </c>
      <c r="C616" s="1" t="n">
        <v>45891</v>
      </c>
      <c r="D616" t="inlineStr">
        <is>
          <t>DALARNAS LÄN</t>
        </is>
      </c>
      <c r="E616" t="inlineStr">
        <is>
          <t>MORA</t>
        </is>
      </c>
      <c r="G616" t="n">
        <v>2.6</v>
      </c>
      <c r="H616" t="n">
        <v>0</v>
      </c>
      <c r="I616" t="n">
        <v>0</v>
      </c>
      <c r="J616" t="n">
        <v>0</v>
      </c>
      <c r="K616" t="n">
        <v>0</v>
      </c>
      <c r="L616" t="n">
        <v>0</v>
      </c>
      <c r="M616" t="n">
        <v>0</v>
      </c>
      <c r="N616" t="n">
        <v>0</v>
      </c>
      <c r="O616" t="n">
        <v>0</v>
      </c>
      <c r="P616" t="n">
        <v>0</v>
      </c>
      <c r="Q616" t="n">
        <v>0</v>
      </c>
      <c r="R616" s="2" t="inlineStr"/>
    </row>
    <row r="617" ht="15" customHeight="1">
      <c r="A617" t="inlineStr">
        <is>
          <t>A 4208-2023</t>
        </is>
      </c>
      <c r="B617" s="1" t="n">
        <v>44953</v>
      </c>
      <c r="C617" s="1" t="n">
        <v>45891</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4210-2023</t>
        </is>
      </c>
      <c r="B618" s="1" t="n">
        <v>44953.44965277778</v>
      </c>
      <c r="C618" s="1" t="n">
        <v>45891</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5491-2023</t>
        </is>
      </c>
      <c r="B619" s="1" t="n">
        <v>44957</v>
      </c>
      <c r="C619" s="1" t="n">
        <v>45891</v>
      </c>
      <c r="D619" t="inlineStr">
        <is>
          <t>DALARNAS LÄN</t>
        </is>
      </c>
      <c r="E619" t="inlineStr">
        <is>
          <t>MORA</t>
        </is>
      </c>
      <c r="G619" t="n">
        <v>3.5</v>
      </c>
      <c r="H619" t="n">
        <v>0</v>
      </c>
      <c r="I619" t="n">
        <v>0</v>
      </c>
      <c r="J619" t="n">
        <v>0</v>
      </c>
      <c r="K619" t="n">
        <v>0</v>
      </c>
      <c r="L619" t="n">
        <v>0</v>
      </c>
      <c r="M619" t="n">
        <v>0</v>
      </c>
      <c r="N619" t="n">
        <v>0</v>
      </c>
      <c r="O619" t="n">
        <v>0</v>
      </c>
      <c r="P619" t="n">
        <v>0</v>
      </c>
      <c r="Q619" t="n">
        <v>0</v>
      </c>
      <c r="R619" s="2" t="inlineStr"/>
    </row>
    <row r="620" ht="15" customHeight="1">
      <c r="A620" t="inlineStr">
        <is>
          <t>A 5493-2023</t>
        </is>
      </c>
      <c r="B620" s="1" t="n">
        <v>44957</v>
      </c>
      <c r="C620" s="1" t="n">
        <v>45891</v>
      </c>
      <c r="D620" t="inlineStr">
        <is>
          <t>DALARNAS LÄN</t>
        </is>
      </c>
      <c r="E620" t="inlineStr">
        <is>
          <t>MORA</t>
        </is>
      </c>
      <c r="F620" t="inlineStr">
        <is>
          <t>Allmännings- och besparingsskogar</t>
        </is>
      </c>
      <c r="G620" t="n">
        <v>14.9</v>
      </c>
      <c r="H620" t="n">
        <v>0</v>
      </c>
      <c r="I620" t="n">
        <v>0</v>
      </c>
      <c r="J620" t="n">
        <v>0</v>
      </c>
      <c r="K620" t="n">
        <v>0</v>
      </c>
      <c r="L620" t="n">
        <v>0</v>
      </c>
      <c r="M620" t="n">
        <v>0</v>
      </c>
      <c r="N620" t="n">
        <v>0</v>
      </c>
      <c r="O620" t="n">
        <v>0</v>
      </c>
      <c r="P620" t="n">
        <v>0</v>
      </c>
      <c r="Q620" t="n">
        <v>0</v>
      </c>
      <c r="R620" s="2" t="inlineStr"/>
    </row>
    <row r="621" ht="15" customHeight="1">
      <c r="A621" t="inlineStr">
        <is>
          <t>A 9554-2025</t>
        </is>
      </c>
      <c r="B621" s="1" t="n">
        <v>45715.59936342593</v>
      </c>
      <c r="C621" s="1" t="n">
        <v>45891</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11463-2024</t>
        </is>
      </c>
      <c r="B622" s="1" t="n">
        <v>45372.58969907407</v>
      </c>
      <c r="C622" s="1" t="n">
        <v>45891</v>
      </c>
      <c r="D622" t="inlineStr">
        <is>
          <t>DALARNAS LÄN</t>
        </is>
      </c>
      <c r="E622" t="inlineStr">
        <is>
          <t>MORA</t>
        </is>
      </c>
      <c r="F622" t="inlineStr">
        <is>
          <t>Bergvik skog väst AB</t>
        </is>
      </c>
      <c r="G622" t="n">
        <v>1.8</v>
      </c>
      <c r="H622" t="n">
        <v>0</v>
      </c>
      <c r="I622" t="n">
        <v>0</v>
      </c>
      <c r="J622" t="n">
        <v>0</v>
      </c>
      <c r="K622" t="n">
        <v>0</v>
      </c>
      <c r="L622" t="n">
        <v>0</v>
      </c>
      <c r="M622" t="n">
        <v>0</v>
      </c>
      <c r="N622" t="n">
        <v>0</v>
      </c>
      <c r="O622" t="n">
        <v>0</v>
      </c>
      <c r="P622" t="n">
        <v>0</v>
      </c>
      <c r="Q622" t="n">
        <v>0</v>
      </c>
      <c r="R622" s="2" t="inlineStr"/>
    </row>
    <row r="623" ht="15" customHeight="1">
      <c r="A623" t="inlineStr">
        <is>
          <t>A 27975-2023</t>
        </is>
      </c>
      <c r="B623" s="1" t="n">
        <v>45098</v>
      </c>
      <c r="C623" s="1" t="n">
        <v>45891</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5769-2025</t>
        </is>
      </c>
      <c r="B624" s="1" t="n">
        <v>45694.59288194445</v>
      </c>
      <c r="C624" s="1" t="n">
        <v>45891</v>
      </c>
      <c r="D624" t="inlineStr">
        <is>
          <t>DALARNAS LÄN</t>
        </is>
      </c>
      <c r="E624" t="inlineStr">
        <is>
          <t>MORA</t>
        </is>
      </c>
      <c r="G624" t="n">
        <v>15.7</v>
      </c>
      <c r="H624" t="n">
        <v>0</v>
      </c>
      <c r="I624" t="n">
        <v>0</v>
      </c>
      <c r="J624" t="n">
        <v>0</v>
      </c>
      <c r="K624" t="n">
        <v>0</v>
      </c>
      <c r="L624" t="n">
        <v>0</v>
      </c>
      <c r="M624" t="n">
        <v>0</v>
      </c>
      <c r="N624" t="n">
        <v>0</v>
      </c>
      <c r="O624" t="n">
        <v>0</v>
      </c>
      <c r="P624" t="n">
        <v>0</v>
      </c>
      <c r="Q624" t="n">
        <v>0</v>
      </c>
      <c r="R624" s="2" t="inlineStr"/>
    </row>
    <row r="625" ht="15" customHeight="1">
      <c r="A625" t="inlineStr">
        <is>
          <t>A 59101-2024</t>
        </is>
      </c>
      <c r="B625" s="1" t="n">
        <v>45637.34074074074</v>
      </c>
      <c r="C625" s="1" t="n">
        <v>45891</v>
      </c>
      <c r="D625" t="inlineStr">
        <is>
          <t>DALARNAS LÄN</t>
        </is>
      </c>
      <c r="E625" t="inlineStr">
        <is>
          <t>MORA</t>
        </is>
      </c>
      <c r="F625" t="inlineStr">
        <is>
          <t>Allmännings- och besparingsskogar</t>
        </is>
      </c>
      <c r="G625" t="n">
        <v>1.2</v>
      </c>
      <c r="H625" t="n">
        <v>0</v>
      </c>
      <c r="I625" t="n">
        <v>0</v>
      </c>
      <c r="J625" t="n">
        <v>0</v>
      </c>
      <c r="K625" t="n">
        <v>0</v>
      </c>
      <c r="L625" t="n">
        <v>0</v>
      </c>
      <c r="M625" t="n">
        <v>0</v>
      </c>
      <c r="N625" t="n">
        <v>0</v>
      </c>
      <c r="O625" t="n">
        <v>0</v>
      </c>
      <c r="P625" t="n">
        <v>0</v>
      </c>
      <c r="Q625" t="n">
        <v>0</v>
      </c>
      <c r="R625" s="2" t="inlineStr"/>
    </row>
    <row r="626" ht="15" customHeight="1">
      <c r="A626" t="inlineStr">
        <is>
          <t>A 43874-2024</t>
        </is>
      </c>
      <c r="B626" s="1" t="n">
        <v>45572.38476851852</v>
      </c>
      <c r="C626" s="1" t="n">
        <v>45891</v>
      </c>
      <c r="D626" t="inlineStr">
        <is>
          <t>DALARNAS LÄN</t>
        </is>
      </c>
      <c r="E626" t="inlineStr">
        <is>
          <t>MORA</t>
        </is>
      </c>
      <c r="G626" t="n">
        <v>3.6</v>
      </c>
      <c r="H626" t="n">
        <v>0</v>
      </c>
      <c r="I626" t="n">
        <v>0</v>
      </c>
      <c r="J626" t="n">
        <v>0</v>
      </c>
      <c r="K626" t="n">
        <v>0</v>
      </c>
      <c r="L626" t="n">
        <v>0</v>
      </c>
      <c r="M626" t="n">
        <v>0</v>
      </c>
      <c r="N626" t="n">
        <v>0</v>
      </c>
      <c r="O626" t="n">
        <v>0</v>
      </c>
      <c r="P626" t="n">
        <v>0</v>
      </c>
      <c r="Q626" t="n">
        <v>0</v>
      </c>
      <c r="R626" s="2" t="inlineStr"/>
    </row>
    <row r="627" ht="15" customHeight="1">
      <c r="A627" t="inlineStr">
        <is>
          <t>A 57903-2022</t>
        </is>
      </c>
      <c r="B627" s="1" t="n">
        <v>44900.3521412037</v>
      </c>
      <c r="C627" s="1" t="n">
        <v>45891</v>
      </c>
      <c r="D627" t="inlineStr">
        <is>
          <t>DALARNAS LÄN</t>
        </is>
      </c>
      <c r="E627" t="inlineStr">
        <is>
          <t>MORA</t>
        </is>
      </c>
      <c r="G627" t="n">
        <v>4.3</v>
      </c>
      <c r="H627" t="n">
        <v>0</v>
      </c>
      <c r="I627" t="n">
        <v>0</v>
      </c>
      <c r="J627" t="n">
        <v>0</v>
      </c>
      <c r="K627" t="n">
        <v>0</v>
      </c>
      <c r="L627" t="n">
        <v>0</v>
      </c>
      <c r="M627" t="n">
        <v>0</v>
      </c>
      <c r="N627" t="n">
        <v>0</v>
      </c>
      <c r="O627" t="n">
        <v>0</v>
      </c>
      <c r="P627" t="n">
        <v>0</v>
      </c>
      <c r="Q627" t="n">
        <v>0</v>
      </c>
      <c r="R627" s="2" t="inlineStr"/>
    </row>
    <row r="628" ht="15" customHeight="1">
      <c r="A628" t="inlineStr">
        <is>
          <t>A 24169-2022</t>
        </is>
      </c>
      <c r="B628" s="1" t="n">
        <v>44725.50280092593</v>
      </c>
      <c r="C628" s="1" t="n">
        <v>45891</v>
      </c>
      <c r="D628" t="inlineStr">
        <is>
          <t>DALARNAS LÄN</t>
        </is>
      </c>
      <c r="E628" t="inlineStr">
        <is>
          <t>MORA</t>
        </is>
      </c>
      <c r="F628" t="inlineStr">
        <is>
          <t>Bergvik skog väst AB</t>
        </is>
      </c>
      <c r="G628" t="n">
        <v>1.4</v>
      </c>
      <c r="H628" t="n">
        <v>0</v>
      </c>
      <c r="I628" t="n">
        <v>0</v>
      </c>
      <c r="J628" t="n">
        <v>0</v>
      </c>
      <c r="K628" t="n">
        <v>0</v>
      </c>
      <c r="L628" t="n">
        <v>0</v>
      </c>
      <c r="M628" t="n">
        <v>0</v>
      </c>
      <c r="N628" t="n">
        <v>0</v>
      </c>
      <c r="O628" t="n">
        <v>0</v>
      </c>
      <c r="P628" t="n">
        <v>0</v>
      </c>
      <c r="Q628" t="n">
        <v>0</v>
      </c>
      <c r="R628" s="2" t="inlineStr"/>
    </row>
    <row r="629" ht="15" customHeight="1">
      <c r="A629" t="inlineStr">
        <is>
          <t>A 65186-2021</t>
        </is>
      </c>
      <c r="B629" s="1" t="n">
        <v>44515</v>
      </c>
      <c r="C629" s="1" t="n">
        <v>45891</v>
      </c>
      <c r="D629" t="inlineStr">
        <is>
          <t>DALARNAS LÄN</t>
        </is>
      </c>
      <c r="E629" t="inlineStr">
        <is>
          <t>MORA</t>
        </is>
      </c>
      <c r="G629" t="n">
        <v>1.4</v>
      </c>
      <c r="H629" t="n">
        <v>0</v>
      </c>
      <c r="I629" t="n">
        <v>0</v>
      </c>
      <c r="J629" t="n">
        <v>0</v>
      </c>
      <c r="K629" t="n">
        <v>0</v>
      </c>
      <c r="L629" t="n">
        <v>0</v>
      </c>
      <c r="M629" t="n">
        <v>0</v>
      </c>
      <c r="N629" t="n">
        <v>0</v>
      </c>
      <c r="O629" t="n">
        <v>0</v>
      </c>
      <c r="P629" t="n">
        <v>0</v>
      </c>
      <c r="Q629" t="n">
        <v>0</v>
      </c>
      <c r="R629" s="2" t="inlineStr"/>
    </row>
    <row r="630" ht="15" customHeight="1">
      <c r="A630" t="inlineStr">
        <is>
          <t>A 58892-2023</t>
        </is>
      </c>
      <c r="B630" s="1" t="n">
        <v>45252.48592592592</v>
      </c>
      <c r="C630" s="1" t="n">
        <v>45891</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11442-2022</t>
        </is>
      </c>
      <c r="B631" s="1" t="n">
        <v>44630.62788194444</v>
      </c>
      <c r="C631" s="1" t="n">
        <v>45891</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6183-2024</t>
        </is>
      </c>
      <c r="B632" s="1" t="n">
        <v>45337.54135416666</v>
      </c>
      <c r="C632" s="1" t="n">
        <v>45891</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45194.59378472222</v>
      </c>
      <c r="C633" s="1" t="n">
        <v>45891</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35551-2023</t>
        </is>
      </c>
      <c r="B634" s="1" t="n">
        <v>45147.3934837963</v>
      </c>
      <c r="C634" s="1" t="n">
        <v>45891</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23300-2024</t>
        </is>
      </c>
      <c r="B635" s="1" t="n">
        <v>45453.43695601852</v>
      </c>
      <c r="C635" s="1" t="n">
        <v>45891</v>
      </c>
      <c r="D635" t="inlineStr">
        <is>
          <t>DALARNAS LÄN</t>
        </is>
      </c>
      <c r="E635" t="inlineStr">
        <is>
          <t>MORA</t>
        </is>
      </c>
      <c r="G635" t="n">
        <v>0.5</v>
      </c>
      <c r="H635" t="n">
        <v>0</v>
      </c>
      <c r="I635" t="n">
        <v>0</v>
      </c>
      <c r="J635" t="n">
        <v>0</v>
      </c>
      <c r="K635" t="n">
        <v>0</v>
      </c>
      <c r="L635" t="n">
        <v>0</v>
      </c>
      <c r="M635" t="n">
        <v>0</v>
      </c>
      <c r="N635" t="n">
        <v>0</v>
      </c>
      <c r="O635" t="n">
        <v>0</v>
      </c>
      <c r="P635" t="n">
        <v>0</v>
      </c>
      <c r="Q635" t="n">
        <v>0</v>
      </c>
      <c r="R635" s="2" t="inlineStr"/>
    </row>
    <row r="636" ht="15" customHeight="1">
      <c r="A636" t="inlineStr">
        <is>
          <t>A 56268-2024</t>
        </is>
      </c>
      <c r="B636" s="1" t="n">
        <v>45624.65785879629</v>
      </c>
      <c r="C636" s="1" t="n">
        <v>45891</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571-2024</t>
        </is>
      </c>
      <c r="B637" s="1" t="n">
        <v>45299</v>
      </c>
      <c r="C637" s="1" t="n">
        <v>45891</v>
      </c>
      <c r="D637" t="inlineStr">
        <is>
          <t>DALARNAS LÄN</t>
        </is>
      </c>
      <c r="E637" t="inlineStr">
        <is>
          <t>MORA</t>
        </is>
      </c>
      <c r="G637" t="n">
        <v>3.3</v>
      </c>
      <c r="H637" t="n">
        <v>0</v>
      </c>
      <c r="I637" t="n">
        <v>0</v>
      </c>
      <c r="J637" t="n">
        <v>0</v>
      </c>
      <c r="K637" t="n">
        <v>0</v>
      </c>
      <c r="L637" t="n">
        <v>0</v>
      </c>
      <c r="M637" t="n">
        <v>0</v>
      </c>
      <c r="N637" t="n">
        <v>0</v>
      </c>
      <c r="O637" t="n">
        <v>0</v>
      </c>
      <c r="P637" t="n">
        <v>0</v>
      </c>
      <c r="Q637" t="n">
        <v>0</v>
      </c>
      <c r="R637" s="2" t="inlineStr"/>
    </row>
    <row r="638">
      <c r="A638" t="inlineStr">
        <is>
          <t>A 50056-2022</t>
        </is>
      </c>
      <c r="B638" s="1" t="n">
        <v>44865</v>
      </c>
      <c r="C638" s="1" t="n">
        <v>45891</v>
      </c>
      <c r="D638" t="inlineStr">
        <is>
          <t>DALARNAS LÄN</t>
        </is>
      </c>
      <c r="E638" t="inlineStr">
        <is>
          <t>MORA</t>
        </is>
      </c>
      <c r="G638" t="n">
        <v>1.2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2025-08-22T08:27:17Z</dcterms:created>
  <dcterms:modified xmlns:dcterms="http://purl.org/dc/terms/" xmlns:xsi="http://www.w3.org/2001/XMLSchema-instance" xsi:type="dcterms:W3CDTF">2025-08-22T08:27:17Z</dcterms:modified>
</cp:coreProperties>
</file>