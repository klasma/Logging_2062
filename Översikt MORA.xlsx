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46134</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46134</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46134</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46134</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46134</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46134</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46134</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35200-2025</t>
        </is>
      </c>
      <c r="B12" s="1" t="n">
        <v>45853</v>
      </c>
      <c r="C12" s="1" t="n">
        <v>46134</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46134</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46134</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43504-2025</t>
        </is>
      </c>
      <c r="B15" s="1" t="n">
        <v>45911</v>
      </c>
      <c r="C15" s="1" t="n">
        <v>46134</v>
      </c>
      <c r="D15" t="inlineStr">
        <is>
          <t>DALARNAS LÄN</t>
        </is>
      </c>
      <c r="E15" t="inlineStr">
        <is>
          <t>MORA</t>
        </is>
      </c>
      <c r="F15" t="inlineStr">
        <is>
          <t>Allmännings- och besparingsskogar</t>
        </is>
      </c>
      <c r="G15" t="n">
        <v>32</v>
      </c>
      <c r="H15" t="n">
        <v>4</v>
      </c>
      <c r="I15" t="n">
        <v>2</v>
      </c>
      <c r="J15" t="n">
        <v>14</v>
      </c>
      <c r="K15" t="n">
        <v>0</v>
      </c>
      <c r="L15" t="n">
        <v>0</v>
      </c>
      <c r="M15" t="n">
        <v>0</v>
      </c>
      <c r="N15" t="n">
        <v>0</v>
      </c>
      <c r="O15" t="n">
        <v>14</v>
      </c>
      <c r="P15" t="n">
        <v>0</v>
      </c>
      <c r="Q15" t="n">
        <v>17</v>
      </c>
      <c r="R15" s="2" t="inlineStr">
        <is>
          <t>Blanksvart spiklav
Blågrå svartspik
Dvärgbägarlav
Garnlav
Kolflarnlav
Kortskaftad ärgspik
Mörk kolflarnlav
Spillkråka
Tallticka
Talltita
Varglav
Vedflamlav
Vedskivlav
Vitgrynig nållav
Mindre märgborre
Vedticka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15853-2025</t>
        </is>
      </c>
      <c r="B16" s="1" t="n">
        <v>45749</v>
      </c>
      <c r="C16" s="1" t="n">
        <v>46134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46134</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46134</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46134</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56438-2024</t>
        </is>
      </c>
      <c r="B20" s="1" t="n">
        <v>45625</v>
      </c>
      <c r="C20" s="1" t="n">
        <v>46134</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48348-2024</t>
        </is>
      </c>
      <c r="B21" s="1" t="n">
        <v>45590</v>
      </c>
      <c r="C21" s="1" t="n">
        <v>46134</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23535-2025</t>
        </is>
      </c>
      <c r="B22" s="1" t="n">
        <v>45792</v>
      </c>
      <c r="C22" s="1" t="n">
        <v>46134</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46134</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46134</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46134</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46134</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46134</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46134</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34714-2025</t>
        </is>
      </c>
      <c r="B29" s="1" t="n">
        <v>45848</v>
      </c>
      <c r="C29" s="1" t="n">
        <v>46134</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29934-2025</t>
        </is>
      </c>
      <c r="B30" s="1" t="n">
        <v>45826</v>
      </c>
      <c r="C30" s="1" t="n">
        <v>46134</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5064-2023</t>
        </is>
      </c>
      <c r="B31" s="1" t="n">
        <v>44958.60337962963</v>
      </c>
      <c r="C31" s="1" t="n">
        <v>46134</v>
      </c>
      <c r="D31" t="inlineStr">
        <is>
          <t>DALARNAS LÄN</t>
        </is>
      </c>
      <c r="E31" t="inlineStr">
        <is>
          <t>MORA</t>
        </is>
      </c>
      <c r="G31" t="n">
        <v>3.9</v>
      </c>
      <c r="H31" t="n">
        <v>2</v>
      </c>
      <c r="I31" t="n">
        <v>1</v>
      </c>
      <c r="J31" t="n">
        <v>9</v>
      </c>
      <c r="K31" t="n">
        <v>0</v>
      </c>
      <c r="L31" t="n">
        <v>0</v>
      </c>
      <c r="M31" t="n">
        <v>0</v>
      </c>
      <c r="N31" t="n">
        <v>0</v>
      </c>
      <c r="O31" t="n">
        <v>9</v>
      </c>
      <c r="P31" t="n">
        <v>0</v>
      </c>
      <c r="Q31" t="n">
        <v>10</v>
      </c>
      <c r="R31" s="2" t="inlineStr">
        <is>
          <t>Garnlav
Granticka
Rosenticka
Spillkråka
Tallticka
Tretåig hackspett
Ullticka
Vedskivlav
Vitgrynig nållav
Bronshjon</t>
        </is>
      </c>
      <c r="S31">
        <f>HYPERLINK("https://klasma.github.io/Logging_2062/artfynd/A 5064-2023 artfynd.xlsx", "A 5064-2023")</f>
        <v/>
      </c>
      <c r="T31">
        <f>HYPERLINK("https://klasma.github.io/Logging_2062/kartor/A 5064-2023 karta.png", "A 5064-2023")</f>
        <v/>
      </c>
      <c r="V31">
        <f>HYPERLINK("https://klasma.github.io/Logging_2062/klagomål/A 5064-2023 FSC-klagomål.docx", "A 5064-2023")</f>
        <v/>
      </c>
      <c r="W31">
        <f>HYPERLINK("https://klasma.github.io/Logging_2062/klagomålsmail/A 5064-2023 FSC-klagomål mail.docx", "A 5064-2023")</f>
        <v/>
      </c>
      <c r="X31">
        <f>HYPERLINK("https://klasma.github.io/Logging_2062/tillsyn/A 5064-2023 tillsynsbegäran.docx", "A 5064-2023")</f>
        <v/>
      </c>
      <c r="Y31">
        <f>HYPERLINK("https://klasma.github.io/Logging_2062/tillsynsmail/A 5064-2023 tillsynsbegäran mail.docx", "A 5064-2023")</f>
        <v/>
      </c>
      <c r="Z31">
        <f>HYPERLINK("https://klasma.github.io/Logging_2062/fåglar/A 5064-2023 prioriterade fågelarter.docx", "A 5064-2023")</f>
        <v/>
      </c>
    </row>
    <row r="32" ht="15" customHeight="1">
      <c r="A32" t="inlineStr">
        <is>
          <t>A 35486-2025</t>
        </is>
      </c>
      <c r="B32" s="1" t="n">
        <v>45855</v>
      </c>
      <c r="C32" s="1" t="n">
        <v>46134</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40313-2025</t>
        </is>
      </c>
      <c r="B33" s="1" t="n">
        <v>45895.42209490741</v>
      </c>
      <c r="C33" s="1" t="n">
        <v>46134</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46134</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41794-2025</t>
        </is>
      </c>
      <c r="B35" s="1" t="n">
        <v>45902</v>
      </c>
      <c r="C35" s="1" t="n">
        <v>46134</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21041-2023</t>
        </is>
      </c>
      <c r="B36" s="1" t="n">
        <v>45061.58952546296</v>
      </c>
      <c r="C36" s="1" t="n">
        <v>46134</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61943-2024</t>
        </is>
      </c>
      <c r="B37" s="1" t="n">
        <v>45653.49774305556</v>
      </c>
      <c r="C37" s="1" t="n">
        <v>46134</v>
      </c>
      <c r="D37" t="inlineStr">
        <is>
          <t>DALARNAS LÄN</t>
        </is>
      </c>
      <c r="E37" t="inlineStr">
        <is>
          <t>MORA</t>
        </is>
      </c>
      <c r="G37" t="n">
        <v>4.3</v>
      </c>
      <c r="H37" t="n">
        <v>2</v>
      </c>
      <c r="I37" t="n">
        <v>1</v>
      </c>
      <c r="J37" t="n">
        <v>7</v>
      </c>
      <c r="K37" t="n">
        <v>0</v>
      </c>
      <c r="L37" t="n">
        <v>0</v>
      </c>
      <c r="M37" t="n">
        <v>0</v>
      </c>
      <c r="N37" t="n">
        <v>0</v>
      </c>
      <c r="O37" t="n">
        <v>7</v>
      </c>
      <c r="P37" t="n">
        <v>0</v>
      </c>
      <c r="Q37" t="n">
        <v>9</v>
      </c>
      <c r="R37" s="2" t="inlineStr">
        <is>
          <t>Dvärgbägarlav
Garnlav
Mörk kolflarnlav
Spillkråka
Vedskivlav
Violettgrå tagellav
Vitgrynig nållav
Mindre märgborre
Tjäder</t>
        </is>
      </c>
      <c r="S37">
        <f>HYPERLINK("https://klasma.github.io/Logging_2062/artfynd/A 61943-2024 artfynd.xlsx", "A 61943-2024")</f>
        <v/>
      </c>
      <c r="T37">
        <f>HYPERLINK("https://klasma.github.io/Logging_2062/kartor/A 61943-2024 karta.png", "A 61943-2024")</f>
        <v/>
      </c>
      <c r="V37">
        <f>HYPERLINK("https://klasma.github.io/Logging_2062/klagomål/A 61943-2024 FSC-klagomål.docx", "A 61943-2024")</f>
        <v/>
      </c>
      <c r="W37">
        <f>HYPERLINK("https://klasma.github.io/Logging_2062/klagomålsmail/A 61943-2024 FSC-klagomål mail.docx", "A 61943-2024")</f>
        <v/>
      </c>
      <c r="X37">
        <f>HYPERLINK("https://klasma.github.io/Logging_2062/tillsyn/A 61943-2024 tillsynsbegäran.docx", "A 61943-2024")</f>
        <v/>
      </c>
      <c r="Y37">
        <f>HYPERLINK("https://klasma.github.io/Logging_2062/tillsynsmail/A 61943-2024 tillsynsbegäran mail.docx", "A 61943-2024")</f>
        <v/>
      </c>
      <c r="Z37">
        <f>HYPERLINK("https://klasma.github.io/Logging_2062/fåglar/A 61943-2024 prioriterade fågelarter.docx", "A 61943-2024")</f>
        <v/>
      </c>
    </row>
    <row r="38" ht="15" customHeight="1">
      <c r="A38" t="inlineStr">
        <is>
          <t>A 59983-2024</t>
        </is>
      </c>
      <c r="B38" s="1" t="n">
        <v>45642</v>
      </c>
      <c r="C38" s="1" t="n">
        <v>46134</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46134</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2762-2026</t>
        </is>
      </c>
      <c r="B40" s="1" t="n">
        <v>46036</v>
      </c>
      <c r="C40" s="1" t="n">
        <v>46134</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46450-2025</t>
        </is>
      </c>
      <c r="B41" s="1" t="n">
        <v>45925.6530324074</v>
      </c>
      <c r="C41" s="1" t="n">
        <v>46134</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46134</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7951-2026</t>
        </is>
      </c>
      <c r="B43" s="1" t="n">
        <v>46063.42481481482</v>
      </c>
      <c r="C43" s="1" t="n">
        <v>46134</v>
      </c>
      <c r="D43" t="inlineStr">
        <is>
          <t>DALARNAS LÄN</t>
        </is>
      </c>
      <c r="E43" t="inlineStr">
        <is>
          <t>MORA</t>
        </is>
      </c>
      <c r="G43" t="n">
        <v>2.9</v>
      </c>
      <c r="H43" t="n">
        <v>3</v>
      </c>
      <c r="I43" t="n">
        <v>1</v>
      </c>
      <c r="J43" t="n">
        <v>6</v>
      </c>
      <c r="K43" t="n">
        <v>0</v>
      </c>
      <c r="L43" t="n">
        <v>0</v>
      </c>
      <c r="M43" t="n">
        <v>0</v>
      </c>
      <c r="N43" t="n">
        <v>0</v>
      </c>
      <c r="O43" t="n">
        <v>6</v>
      </c>
      <c r="P43" t="n">
        <v>0</v>
      </c>
      <c r="Q43" t="n">
        <v>8</v>
      </c>
      <c r="R43" s="2" t="inlineStr">
        <is>
          <t>Garnlav
Mörk kolflarnlav
Spillkråka
Tretåig hackspett
Vedflamlav
Vedskivlav
Mindre märgborre
Tjäder</t>
        </is>
      </c>
      <c r="S43">
        <f>HYPERLINK("https://klasma.github.io/Logging_2062/artfynd/A 7951-2026 artfynd.xlsx", "A 7951-2026")</f>
        <v/>
      </c>
      <c r="T43">
        <f>HYPERLINK("https://klasma.github.io/Logging_2062/kartor/A 7951-2026 karta.png", "A 7951-2026")</f>
        <v/>
      </c>
      <c r="V43">
        <f>HYPERLINK("https://klasma.github.io/Logging_2062/klagomål/A 7951-2026 FSC-klagomål.docx", "A 7951-2026")</f>
        <v/>
      </c>
      <c r="W43">
        <f>HYPERLINK("https://klasma.github.io/Logging_2062/klagomålsmail/A 7951-2026 FSC-klagomål mail.docx", "A 7951-2026")</f>
        <v/>
      </c>
      <c r="X43">
        <f>HYPERLINK("https://klasma.github.io/Logging_2062/tillsyn/A 7951-2026 tillsynsbegäran.docx", "A 7951-2026")</f>
        <v/>
      </c>
      <c r="Y43">
        <f>HYPERLINK("https://klasma.github.io/Logging_2062/tillsynsmail/A 7951-2026 tillsynsbegäran mail.docx", "A 7951-2026")</f>
        <v/>
      </c>
      <c r="Z43">
        <f>HYPERLINK("https://klasma.github.io/Logging_2062/fåglar/A 7951-2026 prioriterade fågelarter.docx", "A 7951-2026")</f>
        <v/>
      </c>
    </row>
    <row r="44" ht="15" customHeight="1">
      <c r="A44" t="inlineStr">
        <is>
          <t>A 33380-2025</t>
        </is>
      </c>
      <c r="B44" s="1" t="n">
        <v>45841.40309027778</v>
      </c>
      <c r="C44" s="1" t="n">
        <v>46134</v>
      </c>
      <c r="D44" t="inlineStr">
        <is>
          <t>DALARNAS LÄN</t>
        </is>
      </c>
      <c r="E44" t="inlineStr">
        <is>
          <t>MORA</t>
        </is>
      </c>
      <c r="G44" t="n">
        <v>6.6</v>
      </c>
      <c r="H44" t="n">
        <v>5</v>
      </c>
      <c r="I44" t="n">
        <v>1</v>
      </c>
      <c r="J44" t="n">
        <v>6</v>
      </c>
      <c r="K44" t="n">
        <v>0</v>
      </c>
      <c r="L44" t="n">
        <v>0</v>
      </c>
      <c r="M44" t="n">
        <v>0</v>
      </c>
      <c r="N44" t="n">
        <v>0</v>
      </c>
      <c r="O44" t="n">
        <v>6</v>
      </c>
      <c r="P44" t="n">
        <v>0</v>
      </c>
      <c r="Q44" t="n">
        <v>8</v>
      </c>
      <c r="R44" s="2" t="inlineStr">
        <is>
          <t>Garnlav
Rödvingetrast
Spillkråka
Talltita
Tretåig hackspett
Ullticka
Mindre märgborre
Revlummer</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29380-2025</t>
        </is>
      </c>
      <c r="B45" s="1" t="n">
        <v>45824.59025462963</v>
      </c>
      <c r="C45" s="1" t="n">
        <v>46134</v>
      </c>
      <c r="D45" t="inlineStr">
        <is>
          <t>DALARNAS LÄN</t>
        </is>
      </c>
      <c r="E45" t="inlineStr">
        <is>
          <t>MORA</t>
        </is>
      </c>
      <c r="G45" t="n">
        <v>8</v>
      </c>
      <c r="H45" t="n">
        <v>2</v>
      </c>
      <c r="I45" t="n">
        <v>1</v>
      </c>
      <c r="J45" t="n">
        <v>5</v>
      </c>
      <c r="K45" t="n">
        <v>0</v>
      </c>
      <c r="L45" t="n">
        <v>0</v>
      </c>
      <c r="M45" t="n">
        <v>0</v>
      </c>
      <c r="N45" t="n">
        <v>0</v>
      </c>
      <c r="O45" t="n">
        <v>5</v>
      </c>
      <c r="P45" t="n">
        <v>0</v>
      </c>
      <c r="Q45" t="n">
        <v>7</v>
      </c>
      <c r="R45" s="2" t="inlineStr">
        <is>
          <t>Garnlav
Kolflarnlav
Mörk kolflarnlav
Tallticka
Talltita
Mindre märgborre
Tjäder</t>
        </is>
      </c>
      <c r="S45">
        <f>HYPERLINK("https://klasma.github.io/Logging_2062/artfynd/A 29380-2025 artfynd.xlsx", "A 29380-2025")</f>
        <v/>
      </c>
      <c r="T45">
        <f>HYPERLINK("https://klasma.github.io/Logging_2062/kartor/A 29380-2025 karta.png", "A 29380-2025")</f>
        <v/>
      </c>
      <c r="V45">
        <f>HYPERLINK("https://klasma.github.io/Logging_2062/klagomål/A 29380-2025 FSC-klagomål.docx", "A 29380-2025")</f>
        <v/>
      </c>
      <c r="W45">
        <f>HYPERLINK("https://klasma.github.io/Logging_2062/klagomålsmail/A 29380-2025 FSC-klagomål mail.docx", "A 29380-2025")</f>
        <v/>
      </c>
      <c r="X45">
        <f>HYPERLINK("https://klasma.github.io/Logging_2062/tillsyn/A 29380-2025 tillsynsbegäran.docx", "A 29380-2025")</f>
        <v/>
      </c>
      <c r="Y45">
        <f>HYPERLINK("https://klasma.github.io/Logging_2062/tillsynsmail/A 29380-2025 tillsynsbegäran mail.docx", "A 29380-2025")</f>
        <v/>
      </c>
      <c r="Z45">
        <f>HYPERLINK("https://klasma.github.io/Logging_2062/fåglar/A 29380-2025 prioriterade fågelarter.docx", "A 29380-2025")</f>
        <v/>
      </c>
    </row>
    <row r="46" ht="15" customHeight="1">
      <c r="A46" t="inlineStr">
        <is>
          <t>A 61259-2023</t>
        </is>
      </c>
      <c r="B46" s="1" t="n">
        <v>45264</v>
      </c>
      <c r="C46" s="1" t="n">
        <v>46134</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29520-2025</t>
        </is>
      </c>
      <c r="B47" s="1" t="n">
        <v>45825.3303125</v>
      </c>
      <c r="C47" s="1" t="n">
        <v>46134</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58839-2025</t>
        </is>
      </c>
      <c r="B48" s="1" t="n">
        <v>45987.36070601852</v>
      </c>
      <c r="C48" s="1" t="n">
        <v>46134</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34447-2024</t>
        </is>
      </c>
      <c r="B49" s="1" t="n">
        <v>45525</v>
      </c>
      <c r="C49" s="1" t="n">
        <v>46134</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34719-2025</t>
        </is>
      </c>
      <c r="B50" s="1" t="n">
        <v>45848</v>
      </c>
      <c r="C50" s="1" t="n">
        <v>46134</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46134</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46134</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10693-2026</t>
        </is>
      </c>
      <c r="B53" s="1" t="n">
        <v>46078.43366898148</v>
      </c>
      <c r="C53" s="1" t="n">
        <v>46134</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35487-2025</t>
        </is>
      </c>
      <c r="B54" s="1" t="n">
        <v>45855</v>
      </c>
      <c r="C54" s="1" t="n">
        <v>46134</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46134</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46134</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46134</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15758-2026</t>
        </is>
      </c>
      <c r="B58" s="1" t="n">
        <v>46107.43391203704</v>
      </c>
      <c r="C58" s="1" t="n">
        <v>46134</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46134</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46134</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46134</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46134</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14829-2025</t>
        </is>
      </c>
      <c r="B63" s="1" t="n">
        <v>45743.36951388889</v>
      </c>
      <c r="C63" s="1" t="n">
        <v>46134</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39478-2025</t>
        </is>
      </c>
      <c r="B64" s="1" t="n">
        <v>45890.3469212963</v>
      </c>
      <c r="C64" s="1" t="n">
        <v>46134</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46134</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32222-2025</t>
        </is>
      </c>
      <c r="B66" s="1" t="n">
        <v>45835.59140046296</v>
      </c>
      <c r="C66" s="1" t="n">
        <v>46134</v>
      </c>
      <c r="D66" t="inlineStr">
        <is>
          <t>DALARNAS LÄN</t>
        </is>
      </c>
      <c r="E66" t="inlineStr">
        <is>
          <t>MORA</t>
        </is>
      </c>
      <c r="G66" t="n">
        <v>11.5</v>
      </c>
      <c r="H66" t="n">
        <v>1</v>
      </c>
      <c r="I66" t="n">
        <v>0</v>
      </c>
      <c r="J66" t="n">
        <v>4</v>
      </c>
      <c r="K66" t="n">
        <v>0</v>
      </c>
      <c r="L66" t="n">
        <v>0</v>
      </c>
      <c r="M66" t="n">
        <v>0</v>
      </c>
      <c r="N66" t="n">
        <v>0</v>
      </c>
      <c r="O66" t="n">
        <v>4</v>
      </c>
      <c r="P66" t="n">
        <v>0</v>
      </c>
      <c r="Q66" t="n">
        <v>4</v>
      </c>
      <c r="R66" s="2" t="inlineStr">
        <is>
          <t>Garnlav
Reliktbock
Tallticka
Tretåig hackspett</t>
        </is>
      </c>
      <c r="S66">
        <f>HYPERLINK("https://klasma.github.io/Logging_2062/artfynd/A 32222-2025 artfynd.xlsx", "A 32222-2025")</f>
        <v/>
      </c>
      <c r="T66">
        <f>HYPERLINK("https://klasma.github.io/Logging_2062/kartor/A 32222-2025 karta.png", "A 32222-2025")</f>
        <v/>
      </c>
      <c r="V66">
        <f>HYPERLINK("https://klasma.github.io/Logging_2062/klagomål/A 32222-2025 FSC-klagomål.docx", "A 32222-2025")</f>
        <v/>
      </c>
      <c r="W66">
        <f>HYPERLINK("https://klasma.github.io/Logging_2062/klagomålsmail/A 32222-2025 FSC-klagomål mail.docx", "A 32222-2025")</f>
        <v/>
      </c>
      <c r="X66">
        <f>HYPERLINK("https://klasma.github.io/Logging_2062/tillsyn/A 32222-2025 tillsynsbegäran.docx", "A 32222-2025")</f>
        <v/>
      </c>
      <c r="Y66">
        <f>HYPERLINK("https://klasma.github.io/Logging_2062/tillsynsmail/A 32222-2025 tillsynsbegäran mail.docx", "A 32222-2025")</f>
        <v/>
      </c>
      <c r="Z66">
        <f>HYPERLINK("https://klasma.github.io/Logging_2062/fåglar/A 32222-2025 prioriterade fågelarter.docx", "A 32222-2025")</f>
        <v/>
      </c>
    </row>
    <row r="67" ht="15" customHeight="1">
      <c r="A67" t="inlineStr">
        <is>
          <t>A 61770-2025</t>
        </is>
      </c>
      <c r="B67" s="1" t="n">
        <v>46002.64605324074</v>
      </c>
      <c r="C67" s="1" t="n">
        <v>46134</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34715-2025</t>
        </is>
      </c>
      <c r="B68" s="1" t="n">
        <v>45848</v>
      </c>
      <c r="C68" s="1" t="n">
        <v>46134</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11973-2026</t>
        </is>
      </c>
      <c r="B69" s="1" t="n">
        <v>46085.62635416666</v>
      </c>
      <c r="C69" s="1" t="n">
        <v>46134</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39481-2025</t>
        </is>
      </c>
      <c r="B70" s="1" t="n">
        <v>45890.35545138889</v>
      </c>
      <c r="C70" s="1" t="n">
        <v>46134</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29392-2025</t>
        </is>
      </c>
      <c r="B71" s="1" t="n">
        <v>45824.60537037037</v>
      </c>
      <c r="C71" s="1" t="n">
        <v>46134</v>
      </c>
      <c r="D71" t="inlineStr">
        <is>
          <t>DALARNAS LÄN</t>
        </is>
      </c>
      <c r="E71" t="inlineStr">
        <is>
          <t>MORA</t>
        </is>
      </c>
      <c r="G71" t="n">
        <v>1</v>
      </c>
      <c r="H71" t="n">
        <v>1</v>
      </c>
      <c r="I71" t="n">
        <v>2</v>
      </c>
      <c r="J71" t="n">
        <v>1</v>
      </c>
      <c r="K71" t="n">
        <v>0</v>
      </c>
      <c r="L71" t="n">
        <v>0</v>
      </c>
      <c r="M71" t="n">
        <v>0</v>
      </c>
      <c r="N71" t="n">
        <v>0</v>
      </c>
      <c r="O71" t="n">
        <v>1</v>
      </c>
      <c r="P71" t="n">
        <v>0</v>
      </c>
      <c r="Q71" t="n">
        <v>3</v>
      </c>
      <c r="R71" s="2" t="inlineStr">
        <is>
          <t>Garnlav
Mindre märgborre
Plattlummer</t>
        </is>
      </c>
      <c r="S71">
        <f>HYPERLINK("https://klasma.github.io/Logging_2062/artfynd/A 29392-2025 artfynd.xlsx", "A 29392-2025")</f>
        <v/>
      </c>
      <c r="T71">
        <f>HYPERLINK("https://klasma.github.io/Logging_2062/kartor/A 29392-2025 karta.png", "A 29392-2025")</f>
        <v/>
      </c>
      <c r="V71">
        <f>HYPERLINK("https://klasma.github.io/Logging_2062/klagomål/A 29392-2025 FSC-klagomål.docx", "A 29392-2025")</f>
        <v/>
      </c>
      <c r="W71">
        <f>HYPERLINK("https://klasma.github.io/Logging_2062/klagomålsmail/A 29392-2025 FSC-klagomål mail.docx", "A 29392-2025")</f>
        <v/>
      </c>
      <c r="X71">
        <f>HYPERLINK("https://klasma.github.io/Logging_2062/tillsyn/A 29392-2025 tillsynsbegäran.docx", "A 29392-2025")</f>
        <v/>
      </c>
      <c r="Y71">
        <f>HYPERLINK("https://klasma.github.io/Logging_2062/tillsynsmail/A 29392-2025 tillsynsbegäran mail.docx", "A 29392-2025")</f>
        <v/>
      </c>
    </row>
    <row r="72" ht="15" customHeight="1">
      <c r="A72" t="inlineStr">
        <is>
          <t>A 49695-2025</t>
        </is>
      </c>
      <c r="B72" s="1" t="n">
        <v>45939.67418981482</v>
      </c>
      <c r="C72" s="1" t="n">
        <v>46134</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62620-2025</t>
        </is>
      </c>
      <c r="B73" s="1" t="n">
        <v>46008.34148148148</v>
      </c>
      <c r="C73" s="1" t="n">
        <v>46134</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46134</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23163-2025</t>
        </is>
      </c>
      <c r="B75" s="1" t="n">
        <v>45791.41832175926</v>
      </c>
      <c r="C75" s="1" t="n">
        <v>46134</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35068-2025</t>
        </is>
      </c>
      <c r="B76" s="1" t="n">
        <v>45852.45686342593</v>
      </c>
      <c r="C76" s="1" t="n">
        <v>46134</v>
      </c>
      <c r="D76" t="inlineStr">
        <is>
          <t>DALARNAS LÄN</t>
        </is>
      </c>
      <c r="E76" t="inlineStr">
        <is>
          <t>MORA</t>
        </is>
      </c>
      <c r="G76" t="n">
        <v>0.7</v>
      </c>
      <c r="H76" t="n">
        <v>0</v>
      </c>
      <c r="I76" t="n">
        <v>1</v>
      </c>
      <c r="J76" t="n">
        <v>1</v>
      </c>
      <c r="K76" t="n">
        <v>0</v>
      </c>
      <c r="L76" t="n">
        <v>0</v>
      </c>
      <c r="M76" t="n">
        <v>0</v>
      </c>
      <c r="N76" t="n">
        <v>0</v>
      </c>
      <c r="O76" t="n">
        <v>1</v>
      </c>
      <c r="P76" t="n">
        <v>0</v>
      </c>
      <c r="Q76" t="n">
        <v>2</v>
      </c>
      <c r="R76" s="2" t="inlineStr">
        <is>
          <t>Garnlav
Mindre märgborre</t>
        </is>
      </c>
      <c r="S76">
        <f>HYPERLINK("https://klasma.github.io/Logging_2062/artfynd/A 35068-2025 artfynd.xlsx", "A 35068-2025")</f>
        <v/>
      </c>
      <c r="T76">
        <f>HYPERLINK("https://klasma.github.io/Logging_2062/kartor/A 35068-2025 karta.png", "A 35068-2025")</f>
        <v/>
      </c>
      <c r="V76">
        <f>HYPERLINK("https://klasma.github.io/Logging_2062/klagomål/A 35068-2025 FSC-klagomål.docx", "A 35068-2025")</f>
        <v/>
      </c>
      <c r="W76">
        <f>HYPERLINK("https://klasma.github.io/Logging_2062/klagomålsmail/A 35068-2025 FSC-klagomål mail.docx", "A 35068-2025")</f>
        <v/>
      </c>
      <c r="X76">
        <f>HYPERLINK("https://klasma.github.io/Logging_2062/tillsyn/A 35068-2025 tillsynsbegäran.docx", "A 35068-2025")</f>
        <v/>
      </c>
      <c r="Y76">
        <f>HYPERLINK("https://klasma.github.io/Logging_2062/tillsynsmail/A 35068-2025 tillsynsbegäran mail.docx", "A 35068-2025")</f>
        <v/>
      </c>
    </row>
    <row r="77" ht="15" customHeight="1">
      <c r="A77" t="inlineStr">
        <is>
          <t>A 37552-2023</t>
        </is>
      </c>
      <c r="B77" s="1" t="n">
        <v>45159.32799768518</v>
      </c>
      <c r="C77" s="1" t="n">
        <v>46134</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46134</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46134</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30328-2021</t>
        </is>
      </c>
      <c r="B80" s="1" t="n">
        <v>44364</v>
      </c>
      <c r="C80" s="1" t="n">
        <v>46134</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5304-2023</t>
        </is>
      </c>
      <c r="B81" s="1" t="n">
        <v>44959.55116898148</v>
      </c>
      <c r="C81" s="1" t="n">
        <v>46134</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27113-2024</t>
        </is>
      </c>
      <c r="B82" s="1" t="n">
        <v>45471</v>
      </c>
      <c r="C82" s="1" t="n">
        <v>46134</v>
      </c>
      <c r="D82" t="inlineStr">
        <is>
          <t>DALARNAS LÄN</t>
        </is>
      </c>
      <c r="E82" t="inlineStr">
        <is>
          <t>MORA</t>
        </is>
      </c>
      <c r="G82" t="n">
        <v>10.3</v>
      </c>
      <c r="H82" t="n">
        <v>0</v>
      </c>
      <c r="I82" t="n">
        <v>1</v>
      </c>
      <c r="J82" t="n">
        <v>0</v>
      </c>
      <c r="K82" t="n">
        <v>0</v>
      </c>
      <c r="L82" t="n">
        <v>0</v>
      </c>
      <c r="M82" t="n">
        <v>0</v>
      </c>
      <c r="N82" t="n">
        <v>0</v>
      </c>
      <c r="O82" t="n">
        <v>0</v>
      </c>
      <c r="P82" t="n">
        <v>0</v>
      </c>
      <c r="Q82" t="n">
        <v>1</v>
      </c>
      <c r="R82" s="2" t="inlineStr">
        <is>
          <t>Stor aspticka</t>
        </is>
      </c>
      <c r="S82">
        <f>HYPERLINK("https://klasma.github.io/Logging_2062/artfynd/A 27113-2024 artfynd.xlsx", "A 27113-2024")</f>
        <v/>
      </c>
      <c r="T82">
        <f>HYPERLINK("https://klasma.github.io/Logging_2062/kartor/A 27113-2024 karta.png", "A 27113-2024")</f>
        <v/>
      </c>
      <c r="V82">
        <f>HYPERLINK("https://klasma.github.io/Logging_2062/klagomål/A 27113-2024 FSC-klagomål.docx", "A 27113-2024")</f>
        <v/>
      </c>
      <c r="W82">
        <f>HYPERLINK("https://klasma.github.io/Logging_2062/klagomålsmail/A 27113-2024 FSC-klagomål mail.docx", "A 27113-2024")</f>
        <v/>
      </c>
      <c r="X82">
        <f>HYPERLINK("https://klasma.github.io/Logging_2062/tillsyn/A 27113-2024 tillsynsbegäran.docx", "A 27113-2024")</f>
        <v/>
      </c>
      <c r="Y82">
        <f>HYPERLINK("https://klasma.github.io/Logging_2062/tillsynsmail/A 27113-2024 tillsynsbegäran mail.docx", "A 27113-2024")</f>
        <v/>
      </c>
    </row>
    <row r="83" ht="15" customHeight="1">
      <c r="A83" t="inlineStr">
        <is>
          <t>A 16094-2024</t>
        </is>
      </c>
      <c r="B83" s="1" t="n">
        <v>45406.41648148148</v>
      </c>
      <c r="C83" s="1" t="n">
        <v>46134</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57669-2022</t>
        </is>
      </c>
      <c r="B84" s="1" t="n">
        <v>44897</v>
      </c>
      <c r="C84" s="1" t="n">
        <v>46134</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Igelkott</t>
        </is>
      </c>
      <c r="S84">
        <f>HYPERLINK("https://klasma.github.io/Logging_2062/artfynd/A 57669-2022 artfynd.xlsx", "A 57669-2022")</f>
        <v/>
      </c>
      <c r="T84">
        <f>HYPERLINK("https://klasma.github.io/Logging_2062/kartor/A 57669-2022 karta.png", "A 57669-2022")</f>
        <v/>
      </c>
      <c r="V84">
        <f>HYPERLINK("https://klasma.github.io/Logging_2062/klagomål/A 57669-2022 FSC-klagomål.docx", "A 57669-2022")</f>
        <v/>
      </c>
      <c r="W84">
        <f>HYPERLINK("https://klasma.github.io/Logging_2062/klagomålsmail/A 57669-2022 FSC-klagomål mail.docx", "A 57669-2022")</f>
        <v/>
      </c>
      <c r="X84">
        <f>HYPERLINK("https://klasma.github.io/Logging_2062/tillsyn/A 57669-2022 tillsynsbegäran.docx", "A 57669-2022")</f>
        <v/>
      </c>
      <c r="Y84">
        <f>HYPERLINK("https://klasma.github.io/Logging_2062/tillsynsmail/A 57669-2022 tillsynsbegäran mail.docx", "A 57669-2022")</f>
        <v/>
      </c>
    </row>
    <row r="85" ht="15" customHeight="1">
      <c r="A85" t="inlineStr">
        <is>
          <t>A 20538-2025</t>
        </is>
      </c>
      <c r="B85" s="1" t="n">
        <v>45775.62283564815</v>
      </c>
      <c r="C85" s="1" t="n">
        <v>46134</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20538-2025 artfynd.xlsx", "A 20538-2025")</f>
        <v/>
      </c>
      <c r="T85">
        <f>HYPERLINK("https://klasma.github.io/Logging_2062/kartor/A 20538-2025 karta.png", "A 20538-2025")</f>
        <v/>
      </c>
      <c r="V85">
        <f>HYPERLINK("https://klasma.github.io/Logging_2062/klagomål/A 20538-2025 FSC-klagomål.docx", "A 20538-2025")</f>
        <v/>
      </c>
      <c r="W85">
        <f>HYPERLINK("https://klasma.github.io/Logging_2062/klagomålsmail/A 20538-2025 FSC-klagomål mail.docx", "A 20538-2025")</f>
        <v/>
      </c>
      <c r="X85">
        <f>HYPERLINK("https://klasma.github.io/Logging_2062/tillsyn/A 20538-2025 tillsynsbegäran.docx", "A 20538-2025")</f>
        <v/>
      </c>
      <c r="Y85">
        <f>HYPERLINK("https://klasma.github.io/Logging_2062/tillsynsmail/A 20538-2025 tillsynsbegäran mail.docx", "A 20538-2025")</f>
        <v/>
      </c>
    </row>
    <row r="86" ht="15" customHeight="1">
      <c r="A86" t="inlineStr">
        <is>
          <t>A 13717-2023</t>
        </is>
      </c>
      <c r="B86" s="1" t="n">
        <v>45007</v>
      </c>
      <c r="C86" s="1" t="n">
        <v>46134</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62096-2025</t>
        </is>
      </c>
      <c r="B87" s="1" t="n">
        <v>46006.38961805555</v>
      </c>
      <c r="C87" s="1" t="n">
        <v>46134</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68415-2021</t>
        </is>
      </c>
      <c r="B88" s="1" t="n">
        <v>44529</v>
      </c>
      <c r="C88" s="1" t="n">
        <v>46134</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18984-2026</t>
        </is>
      </c>
      <c r="B89" s="1" t="n">
        <v>46129.63193287037</v>
      </c>
      <c r="C89" s="1" t="n">
        <v>46134</v>
      </c>
      <c r="D89" t="inlineStr">
        <is>
          <t>DALARNAS LÄN</t>
        </is>
      </c>
      <c r="E89" t="inlineStr">
        <is>
          <t>MORA</t>
        </is>
      </c>
      <c r="F89" t="inlineStr">
        <is>
          <t>Bergvik skog öst AB</t>
        </is>
      </c>
      <c r="G89" t="n">
        <v>9.5</v>
      </c>
      <c r="H89" t="n">
        <v>1</v>
      </c>
      <c r="I89" t="n">
        <v>0</v>
      </c>
      <c r="J89" t="n">
        <v>0</v>
      </c>
      <c r="K89" t="n">
        <v>0</v>
      </c>
      <c r="L89" t="n">
        <v>0</v>
      </c>
      <c r="M89" t="n">
        <v>0</v>
      </c>
      <c r="N89" t="n">
        <v>0</v>
      </c>
      <c r="O89" t="n">
        <v>0</v>
      </c>
      <c r="P89" t="n">
        <v>0</v>
      </c>
      <c r="Q89" t="n">
        <v>1</v>
      </c>
      <c r="R89" s="2" t="inlineStr">
        <is>
          <t>Tjäder</t>
        </is>
      </c>
      <c r="S89">
        <f>HYPERLINK("https://klasma.github.io/Logging_2062/artfynd/A 18984-2026 artfynd.xlsx", "A 18984-2026")</f>
        <v/>
      </c>
      <c r="T89">
        <f>HYPERLINK("https://klasma.github.io/Logging_2062/kartor/A 18984-2026 karta.png", "A 18984-2026")</f>
        <v/>
      </c>
      <c r="V89">
        <f>HYPERLINK("https://klasma.github.io/Logging_2062/klagomål/A 18984-2026 FSC-klagomål.docx", "A 18984-2026")</f>
        <v/>
      </c>
      <c r="W89">
        <f>HYPERLINK("https://klasma.github.io/Logging_2062/klagomålsmail/A 18984-2026 FSC-klagomål mail.docx", "A 18984-2026")</f>
        <v/>
      </c>
      <c r="X89">
        <f>HYPERLINK("https://klasma.github.io/Logging_2062/tillsyn/A 18984-2026 tillsynsbegäran.docx", "A 18984-2026")</f>
        <v/>
      </c>
      <c r="Y89">
        <f>HYPERLINK("https://klasma.github.io/Logging_2062/tillsynsmail/A 18984-2026 tillsynsbegäran mail.docx", "A 18984-2026")</f>
        <v/>
      </c>
      <c r="Z89">
        <f>HYPERLINK("https://klasma.github.io/Logging_2062/fåglar/A 18984-2026 prioriterade fågelarter.docx", "A 18984-2026")</f>
        <v/>
      </c>
    </row>
    <row r="90" ht="15" customHeight="1">
      <c r="A90" t="inlineStr">
        <is>
          <t>A 831-2025</t>
        </is>
      </c>
      <c r="B90" s="1" t="n">
        <v>45665.58001157407</v>
      </c>
      <c r="C90" s="1" t="n">
        <v>46134</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46134</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46134</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46134</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46134</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46134</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46134</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72648-2021</t>
        </is>
      </c>
      <c r="B97" s="1" t="n">
        <v>44546.5862037037</v>
      </c>
      <c r="C97" s="1" t="n">
        <v>46134</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46134</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46134</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66158-2021</t>
        </is>
      </c>
      <c r="B100" s="1" t="n">
        <v>44517.934375</v>
      </c>
      <c r="C100" s="1" t="n">
        <v>46134</v>
      </c>
      <c r="D100" t="inlineStr">
        <is>
          <t>DALARNAS LÄN</t>
        </is>
      </c>
      <c r="E100" t="inlineStr">
        <is>
          <t>MORA</t>
        </is>
      </c>
      <c r="G100" t="n">
        <v>3.3</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46134</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46134</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46134</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46134</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46134</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46134</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46134</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46134</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46134</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46134</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46134</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46134</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46134</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46134</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43458-2021</t>
        </is>
      </c>
      <c r="B115" s="1" t="n">
        <v>44432</v>
      </c>
      <c r="C115" s="1" t="n">
        <v>46134</v>
      </c>
      <c r="D115" t="inlineStr">
        <is>
          <t>DALARNAS LÄN</t>
        </is>
      </c>
      <c r="E115" t="inlineStr">
        <is>
          <t>MORA</t>
        </is>
      </c>
      <c r="G115" t="n">
        <v>2.4</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46134</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46134</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46134</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46134</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46134</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46134</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46134</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46134</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46134</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46134</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46134</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46134</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46134</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46134</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46134</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46134</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46134</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46134</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46134</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46134</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46134</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46134</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46134</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46134</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46134</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46134</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46134</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32474-2022</t>
        </is>
      </c>
      <c r="B144" s="1" t="n">
        <v>44782</v>
      </c>
      <c r="C144" s="1" t="n">
        <v>46134</v>
      </c>
      <c r="D144" t="inlineStr">
        <is>
          <t>DALARNAS LÄN</t>
        </is>
      </c>
      <c r="E144" t="inlineStr">
        <is>
          <t>MORA</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4488-2022</t>
        </is>
      </c>
      <c r="B145" s="1" t="n">
        <v>44589.65528935185</v>
      </c>
      <c r="C145" s="1" t="n">
        <v>46134</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46134</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46134</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46134</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46134</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46134</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46134</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67045-2021</t>
        </is>
      </c>
      <c r="B152" s="1" t="n">
        <v>44522</v>
      </c>
      <c r="C152" s="1" t="n">
        <v>46134</v>
      </c>
      <c r="D152" t="inlineStr">
        <is>
          <t>DALARNAS LÄN</t>
        </is>
      </c>
      <c r="E152" t="inlineStr">
        <is>
          <t>MORA</t>
        </is>
      </c>
      <c r="G152" t="n">
        <v>0.2</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46134</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14744-2022</t>
        </is>
      </c>
      <c r="B154" s="1" t="n">
        <v>44656.37616898148</v>
      </c>
      <c r="C154" s="1" t="n">
        <v>46134</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46134</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46134</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46134</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43498-2023</t>
        </is>
      </c>
      <c r="B158" s="1" t="n">
        <v>45184</v>
      </c>
      <c r="C158" s="1" t="n">
        <v>46134</v>
      </c>
      <c r="D158" t="inlineStr">
        <is>
          <t>DALARNAS LÄN</t>
        </is>
      </c>
      <c r="E158" t="inlineStr">
        <is>
          <t>MORA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5527-2024</t>
        </is>
      </c>
      <c r="B159" s="1" t="n">
        <v>45334.38981481481</v>
      </c>
      <c r="C159" s="1" t="n">
        <v>46134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20299-2023</t>
        </is>
      </c>
      <c r="B160" s="1" t="n">
        <v>45056</v>
      </c>
      <c r="C160" s="1" t="n">
        <v>46134</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46134</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51780-2023</t>
        </is>
      </c>
      <c r="B162" s="1" t="n">
        <v>45222</v>
      </c>
      <c r="C162" s="1" t="n">
        <v>46134</v>
      </c>
      <c r="D162" t="inlineStr">
        <is>
          <t>DALARNAS LÄN</t>
        </is>
      </c>
      <c r="E162" t="inlineStr">
        <is>
          <t>MORA</t>
        </is>
      </c>
      <c r="G162" t="n">
        <v>9.9</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46134</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17516-2024</t>
        </is>
      </c>
      <c r="B164" s="1" t="n">
        <v>45415.58502314815</v>
      </c>
      <c r="C164" s="1" t="n">
        <v>46134</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24772-2024</t>
        </is>
      </c>
      <c r="B165" s="1" t="n">
        <v>45460.70204861111</v>
      </c>
      <c r="C165" s="1" t="n">
        <v>46134</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18202-2024</t>
        </is>
      </c>
      <c r="B166" s="1" t="n">
        <v>45420.68172453704</v>
      </c>
      <c r="C166" s="1" t="n">
        <v>46134</v>
      </c>
      <c r="D166" t="inlineStr">
        <is>
          <t>DALARNAS LÄN</t>
        </is>
      </c>
      <c r="E166" t="inlineStr">
        <is>
          <t>MORA</t>
        </is>
      </c>
      <c r="G166" t="n">
        <v>2</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46134</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59174-2023</t>
        </is>
      </c>
      <c r="B168" s="1" t="n">
        <v>45253.43202546296</v>
      </c>
      <c r="C168" s="1" t="n">
        <v>46134</v>
      </c>
      <c r="D168" t="inlineStr">
        <is>
          <t>DALARNAS LÄN</t>
        </is>
      </c>
      <c r="E168" t="inlineStr">
        <is>
          <t>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23057-2024</t>
        </is>
      </c>
      <c r="B169" s="1" t="n">
        <v>45450</v>
      </c>
      <c r="C169" s="1" t="n">
        <v>46134</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36184-2021</t>
        </is>
      </c>
      <c r="B170" s="1" t="n">
        <v>44389</v>
      </c>
      <c r="C170" s="1" t="n">
        <v>46134</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60673-2023</t>
        </is>
      </c>
      <c r="B171" s="1" t="n">
        <v>45260.46438657407</v>
      </c>
      <c r="C171" s="1" t="n">
        <v>46134</v>
      </c>
      <c r="D171" t="inlineStr">
        <is>
          <t>DALARNAS LÄN</t>
        </is>
      </c>
      <c r="E171" t="inlineStr">
        <is>
          <t>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18992-2024</t>
        </is>
      </c>
      <c r="B172" s="1" t="n">
        <v>45427.61516203704</v>
      </c>
      <c r="C172" s="1" t="n">
        <v>46134</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18444-2024</t>
        </is>
      </c>
      <c r="B173" s="1" t="n">
        <v>45425.45568287037</v>
      </c>
      <c r="C173" s="1" t="n">
        <v>46134</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60847-2021</t>
        </is>
      </c>
      <c r="B174" s="1" t="n">
        <v>44497</v>
      </c>
      <c r="C174" s="1" t="n">
        <v>46134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32721-2024</t>
        </is>
      </c>
      <c r="B175" s="1" t="n">
        <v>45516.40261574074</v>
      </c>
      <c r="C175" s="1" t="n">
        <v>46134</v>
      </c>
      <c r="D175" t="inlineStr">
        <is>
          <t>DALARNAS LÄN</t>
        </is>
      </c>
      <c r="E175" t="inlineStr">
        <is>
          <t>MORA</t>
        </is>
      </c>
      <c r="G175" t="n">
        <v>4.2</v>
      </c>
      <c r="H175" t="n">
        <v>0</v>
      </c>
      <c r="I175" t="n">
        <v>0</v>
      </c>
      <c r="J175" t="n">
        <v>0</v>
      </c>
      <c r="K175" t="n">
        <v>0</v>
      </c>
      <c r="L175" t="n">
        <v>0</v>
      </c>
      <c r="M175" t="n">
        <v>0</v>
      </c>
      <c r="N175" t="n">
        <v>0</v>
      </c>
      <c r="O175" t="n">
        <v>0</v>
      </c>
      <c r="P175" t="n">
        <v>0</v>
      </c>
      <c r="Q175" t="n">
        <v>0</v>
      </c>
      <c r="R175" s="2" t="inlineStr"/>
    </row>
    <row r="176" ht="15" customHeight="1">
      <c r="A176" t="inlineStr">
        <is>
          <t>A 36038-2024</t>
        </is>
      </c>
      <c r="B176" s="1" t="n">
        <v>45533</v>
      </c>
      <c r="C176" s="1" t="n">
        <v>46134</v>
      </c>
      <c r="D176" t="inlineStr">
        <is>
          <t>DALARNAS LÄN</t>
        </is>
      </c>
      <c r="E176" t="inlineStr">
        <is>
          <t>MORA</t>
        </is>
      </c>
      <c r="G176" t="n">
        <v>5.1</v>
      </c>
      <c r="H176" t="n">
        <v>0</v>
      </c>
      <c r="I176" t="n">
        <v>0</v>
      </c>
      <c r="J176" t="n">
        <v>0</v>
      </c>
      <c r="K176" t="n">
        <v>0</v>
      </c>
      <c r="L176" t="n">
        <v>0</v>
      </c>
      <c r="M176" t="n">
        <v>0</v>
      </c>
      <c r="N176" t="n">
        <v>0</v>
      </c>
      <c r="O176" t="n">
        <v>0</v>
      </c>
      <c r="P176" t="n">
        <v>0</v>
      </c>
      <c r="Q176" t="n">
        <v>0</v>
      </c>
      <c r="R176" s="2" t="inlineStr"/>
    </row>
    <row r="177" ht="15" customHeight="1">
      <c r="A177" t="inlineStr">
        <is>
          <t>A 32410-2024</t>
        </is>
      </c>
      <c r="B177" s="1" t="n">
        <v>45512.70077546296</v>
      </c>
      <c r="C177" s="1" t="n">
        <v>46134</v>
      </c>
      <c r="D177" t="inlineStr">
        <is>
          <t>DALARNAS LÄN</t>
        </is>
      </c>
      <c r="E177" t="inlineStr">
        <is>
          <t>MORA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49159-2023</t>
        </is>
      </c>
      <c r="B178" s="1" t="n">
        <v>45210</v>
      </c>
      <c r="C178" s="1" t="n">
        <v>46134</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30194-2024</t>
        </is>
      </c>
      <c r="B179" s="1" t="n">
        <v>45490.33387731481</v>
      </c>
      <c r="C179" s="1" t="n">
        <v>46134</v>
      </c>
      <c r="D179" t="inlineStr">
        <is>
          <t>DALARNAS LÄN</t>
        </is>
      </c>
      <c r="E179" t="inlineStr">
        <is>
          <t>MORA</t>
        </is>
      </c>
      <c r="G179" t="n">
        <v>3.1</v>
      </c>
      <c r="H179" t="n">
        <v>0</v>
      </c>
      <c r="I179" t="n">
        <v>0</v>
      </c>
      <c r="J179" t="n">
        <v>0</v>
      </c>
      <c r="K179" t="n">
        <v>0</v>
      </c>
      <c r="L179" t="n">
        <v>0</v>
      </c>
      <c r="M179" t="n">
        <v>0</v>
      </c>
      <c r="N179" t="n">
        <v>0</v>
      </c>
      <c r="O179" t="n">
        <v>0</v>
      </c>
      <c r="P179" t="n">
        <v>0</v>
      </c>
      <c r="Q179" t="n">
        <v>0</v>
      </c>
      <c r="R179" s="2" t="inlineStr"/>
    </row>
    <row r="180" ht="15" customHeight="1">
      <c r="A180" t="inlineStr">
        <is>
          <t>A 9461-2025</t>
        </is>
      </c>
      <c r="B180" s="1" t="n">
        <v>45715.45341435185</v>
      </c>
      <c r="C180" s="1" t="n">
        <v>46134</v>
      </c>
      <c r="D180" t="inlineStr">
        <is>
          <t>DALARNAS LÄN</t>
        </is>
      </c>
      <c r="E180" t="inlineStr">
        <is>
          <t>MORA</t>
        </is>
      </c>
      <c r="G180" t="n">
        <v>1.8</v>
      </c>
      <c r="H180" t="n">
        <v>0</v>
      </c>
      <c r="I180" t="n">
        <v>0</v>
      </c>
      <c r="J180" t="n">
        <v>0</v>
      </c>
      <c r="K180" t="n">
        <v>0</v>
      </c>
      <c r="L180" t="n">
        <v>0</v>
      </c>
      <c r="M180" t="n">
        <v>0</v>
      </c>
      <c r="N180" t="n">
        <v>0</v>
      </c>
      <c r="O180" t="n">
        <v>0</v>
      </c>
      <c r="P180" t="n">
        <v>0</v>
      </c>
      <c r="Q180" t="n">
        <v>0</v>
      </c>
      <c r="R180" s="2" t="inlineStr"/>
    </row>
    <row r="181" ht="15" customHeight="1">
      <c r="A181" t="inlineStr">
        <is>
          <t>A 47143-2022</t>
        </is>
      </c>
      <c r="B181" s="1" t="n">
        <v>44852</v>
      </c>
      <c r="C181" s="1" t="n">
        <v>46134</v>
      </c>
      <c r="D181" t="inlineStr">
        <is>
          <t>DALARNAS LÄN</t>
        </is>
      </c>
      <c r="E181" t="inlineStr">
        <is>
          <t>MORA</t>
        </is>
      </c>
      <c r="G181" t="n">
        <v>3.9</v>
      </c>
      <c r="H181" t="n">
        <v>0</v>
      </c>
      <c r="I181" t="n">
        <v>0</v>
      </c>
      <c r="J181" t="n">
        <v>0</v>
      </c>
      <c r="K181" t="n">
        <v>0</v>
      </c>
      <c r="L181" t="n">
        <v>0</v>
      </c>
      <c r="M181" t="n">
        <v>0</v>
      </c>
      <c r="N181" t="n">
        <v>0</v>
      </c>
      <c r="O181" t="n">
        <v>0</v>
      </c>
      <c r="P181" t="n">
        <v>0</v>
      </c>
      <c r="Q181" t="n">
        <v>0</v>
      </c>
      <c r="R181" s="2" t="inlineStr"/>
    </row>
    <row r="182" ht="15" customHeight="1">
      <c r="A182" t="inlineStr">
        <is>
          <t>A 24127-2025</t>
        </is>
      </c>
      <c r="B182" s="1" t="n">
        <v>45796.63137731481</v>
      </c>
      <c r="C182" s="1" t="n">
        <v>46134</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3430-2023</t>
        </is>
      </c>
      <c r="B183" s="1" t="n">
        <v>44949.57856481482</v>
      </c>
      <c r="C183" s="1" t="n">
        <v>46134</v>
      </c>
      <c r="D183" t="inlineStr">
        <is>
          <t>DALARNAS LÄN</t>
        </is>
      </c>
      <c r="E183" t="inlineStr">
        <is>
          <t>MORA</t>
        </is>
      </c>
      <c r="G183" t="n">
        <v>2.6</v>
      </c>
      <c r="H183" t="n">
        <v>0</v>
      </c>
      <c r="I183" t="n">
        <v>0</v>
      </c>
      <c r="J183" t="n">
        <v>0</v>
      </c>
      <c r="K183" t="n">
        <v>0</v>
      </c>
      <c r="L183" t="n">
        <v>0</v>
      </c>
      <c r="M183" t="n">
        <v>0</v>
      </c>
      <c r="N183" t="n">
        <v>0</v>
      </c>
      <c r="O183" t="n">
        <v>0</v>
      </c>
      <c r="P183" t="n">
        <v>0</v>
      </c>
      <c r="Q183" t="n">
        <v>0</v>
      </c>
      <c r="R183" s="2" t="inlineStr"/>
    </row>
    <row r="184" ht="15" customHeight="1">
      <c r="A184" t="inlineStr">
        <is>
          <t>A 63689-2025</t>
        </is>
      </c>
      <c r="B184" s="1" t="n">
        <v>46014.539375</v>
      </c>
      <c r="C184" s="1" t="n">
        <v>46134</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62854-2023</t>
        </is>
      </c>
      <c r="B185" s="1" t="n">
        <v>45272</v>
      </c>
      <c r="C185" s="1" t="n">
        <v>46134</v>
      </c>
      <c r="D185" t="inlineStr">
        <is>
          <t>DALARNAS LÄN</t>
        </is>
      </c>
      <c r="E185" t="inlineStr">
        <is>
          <t>MORA</t>
        </is>
      </c>
      <c r="G185" t="n">
        <v>11.3</v>
      </c>
      <c r="H185" t="n">
        <v>0</v>
      </c>
      <c r="I185" t="n">
        <v>0</v>
      </c>
      <c r="J185" t="n">
        <v>0</v>
      </c>
      <c r="K185" t="n">
        <v>0</v>
      </c>
      <c r="L185" t="n">
        <v>0</v>
      </c>
      <c r="M185" t="n">
        <v>0</v>
      </c>
      <c r="N185" t="n">
        <v>0</v>
      </c>
      <c r="O185" t="n">
        <v>0</v>
      </c>
      <c r="P185" t="n">
        <v>0</v>
      </c>
      <c r="Q185" t="n">
        <v>0</v>
      </c>
      <c r="R185" s="2" t="inlineStr"/>
    </row>
    <row r="186" ht="15" customHeight="1">
      <c r="A186" t="inlineStr">
        <is>
          <t>A 63434-2025</t>
        </is>
      </c>
      <c r="B186" s="1" t="n">
        <v>46013.36556712963</v>
      </c>
      <c r="C186" s="1" t="n">
        <v>46134</v>
      </c>
      <c r="D186" t="inlineStr">
        <is>
          <t>DALARNAS LÄN</t>
        </is>
      </c>
      <c r="E186" t="inlineStr">
        <is>
          <t>MORA</t>
        </is>
      </c>
      <c r="F186" t="inlineStr">
        <is>
          <t>Allmännings- och besparingsskogar</t>
        </is>
      </c>
      <c r="G186" t="n">
        <v>3.6</v>
      </c>
      <c r="H186" t="n">
        <v>0</v>
      </c>
      <c r="I186" t="n">
        <v>0</v>
      </c>
      <c r="J186" t="n">
        <v>0</v>
      </c>
      <c r="K186" t="n">
        <v>0</v>
      </c>
      <c r="L186" t="n">
        <v>0</v>
      </c>
      <c r="M186" t="n">
        <v>0</v>
      </c>
      <c r="N186" t="n">
        <v>0</v>
      </c>
      <c r="O186" t="n">
        <v>0</v>
      </c>
      <c r="P186" t="n">
        <v>0</v>
      </c>
      <c r="Q186" t="n">
        <v>0</v>
      </c>
      <c r="R186" s="2" t="inlineStr"/>
    </row>
    <row r="187" ht="15" customHeight="1">
      <c r="A187" t="inlineStr">
        <is>
          <t>A 34282-2024</t>
        </is>
      </c>
      <c r="B187" s="1" t="n">
        <v>45524.62600694445</v>
      </c>
      <c r="C187" s="1" t="n">
        <v>46134</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52599-2025</t>
        </is>
      </c>
      <c r="B188" s="1" t="n">
        <v>45954.65564814815</v>
      </c>
      <c r="C188" s="1" t="n">
        <v>46134</v>
      </c>
      <c r="D188" t="inlineStr">
        <is>
          <t>DALARNAS LÄN</t>
        </is>
      </c>
      <c r="E188" t="inlineStr">
        <is>
          <t>MORA</t>
        </is>
      </c>
      <c r="G188" t="n">
        <v>10.8</v>
      </c>
      <c r="H188" t="n">
        <v>0</v>
      </c>
      <c r="I188" t="n">
        <v>0</v>
      </c>
      <c r="J188" t="n">
        <v>0</v>
      </c>
      <c r="K188" t="n">
        <v>0</v>
      </c>
      <c r="L188" t="n">
        <v>0</v>
      </c>
      <c r="M188" t="n">
        <v>0</v>
      </c>
      <c r="N188" t="n">
        <v>0</v>
      </c>
      <c r="O188" t="n">
        <v>0</v>
      </c>
      <c r="P188" t="n">
        <v>0</v>
      </c>
      <c r="Q188" t="n">
        <v>0</v>
      </c>
      <c r="R188" s="2" t="inlineStr"/>
    </row>
    <row r="189" ht="15" customHeight="1">
      <c r="A189" t="inlineStr">
        <is>
          <t>A 19286-2023</t>
        </is>
      </c>
      <c r="B189" s="1" t="n">
        <v>45049</v>
      </c>
      <c r="C189" s="1" t="n">
        <v>46134</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23229-2025</t>
        </is>
      </c>
      <c r="B190" s="1" t="n">
        <v>45791</v>
      </c>
      <c r="C190" s="1" t="n">
        <v>46134</v>
      </c>
      <c r="D190" t="inlineStr">
        <is>
          <t>DALARNAS LÄN</t>
        </is>
      </c>
      <c r="E190" t="inlineStr">
        <is>
          <t>MORA</t>
        </is>
      </c>
      <c r="G190" t="n">
        <v>2.2</v>
      </c>
      <c r="H190" t="n">
        <v>0</v>
      </c>
      <c r="I190" t="n">
        <v>0</v>
      </c>
      <c r="J190" t="n">
        <v>0</v>
      </c>
      <c r="K190" t="n">
        <v>0</v>
      </c>
      <c r="L190" t="n">
        <v>0</v>
      </c>
      <c r="M190" t="n">
        <v>0</v>
      </c>
      <c r="N190" t="n">
        <v>0</v>
      </c>
      <c r="O190" t="n">
        <v>0</v>
      </c>
      <c r="P190" t="n">
        <v>0</v>
      </c>
      <c r="Q190" t="n">
        <v>0</v>
      </c>
      <c r="R190" s="2" t="inlineStr"/>
    </row>
    <row r="191" ht="15" customHeight="1">
      <c r="A191" t="inlineStr">
        <is>
          <t>A 63431-2025</t>
        </is>
      </c>
      <c r="B191" s="1" t="n">
        <v>46013.36268518519</v>
      </c>
      <c r="C191" s="1" t="n">
        <v>46134</v>
      </c>
      <c r="D191" t="inlineStr">
        <is>
          <t>DALARNAS LÄN</t>
        </is>
      </c>
      <c r="E191" t="inlineStr">
        <is>
          <t>MORA</t>
        </is>
      </c>
      <c r="F191" t="inlineStr">
        <is>
          <t>Allmännings- och besparingsskogar</t>
        </is>
      </c>
      <c r="G191" t="n">
        <v>5.7</v>
      </c>
      <c r="H191" t="n">
        <v>0</v>
      </c>
      <c r="I191" t="n">
        <v>0</v>
      </c>
      <c r="J191" t="n">
        <v>0</v>
      </c>
      <c r="K191" t="n">
        <v>0</v>
      </c>
      <c r="L191" t="n">
        <v>0</v>
      </c>
      <c r="M191" t="n">
        <v>0</v>
      </c>
      <c r="N191" t="n">
        <v>0</v>
      </c>
      <c r="O191" t="n">
        <v>0</v>
      </c>
      <c r="P191" t="n">
        <v>0</v>
      </c>
      <c r="Q191" t="n">
        <v>0</v>
      </c>
      <c r="R191" s="2" t="inlineStr"/>
    </row>
    <row r="192" ht="15" customHeight="1">
      <c r="A192" t="inlineStr">
        <is>
          <t>A 24280-2025</t>
        </is>
      </c>
      <c r="B192" s="1" t="n">
        <v>45797.45581018519</v>
      </c>
      <c r="C192" s="1" t="n">
        <v>46134</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24630-2025</t>
        </is>
      </c>
      <c r="B193" s="1" t="n">
        <v>45798.6003587963</v>
      </c>
      <c r="C193" s="1" t="n">
        <v>46134</v>
      </c>
      <c r="D193" t="inlineStr">
        <is>
          <t>DALARNAS LÄN</t>
        </is>
      </c>
      <c r="E193" t="inlineStr">
        <is>
          <t>MORA</t>
        </is>
      </c>
      <c r="F193" t="inlineStr">
        <is>
          <t>Bergvik skog väst AB</t>
        </is>
      </c>
      <c r="G193" t="n">
        <v>10.4</v>
      </c>
      <c r="H193" t="n">
        <v>0</v>
      </c>
      <c r="I193" t="n">
        <v>0</v>
      </c>
      <c r="J193" t="n">
        <v>0</v>
      </c>
      <c r="K193" t="n">
        <v>0</v>
      </c>
      <c r="L193" t="n">
        <v>0</v>
      </c>
      <c r="M193" t="n">
        <v>0</v>
      </c>
      <c r="N193" t="n">
        <v>0</v>
      </c>
      <c r="O193" t="n">
        <v>0</v>
      </c>
      <c r="P193" t="n">
        <v>0</v>
      </c>
      <c r="Q193" t="n">
        <v>0</v>
      </c>
      <c r="R193" s="2" t="inlineStr"/>
    </row>
    <row r="194" ht="15" customHeight="1">
      <c r="A194" t="inlineStr">
        <is>
          <t>A 63596-2025</t>
        </is>
      </c>
      <c r="B194" s="1" t="n">
        <v>46013.96362268519</v>
      </c>
      <c r="C194" s="1" t="n">
        <v>46134</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52525-2022</t>
        </is>
      </c>
      <c r="B195" s="1" t="n">
        <v>44874</v>
      </c>
      <c r="C195" s="1" t="n">
        <v>46134</v>
      </c>
      <c r="D195" t="inlineStr">
        <is>
          <t>DALARNAS LÄN</t>
        </is>
      </c>
      <c r="E195" t="inlineStr">
        <is>
          <t>MORA</t>
        </is>
      </c>
      <c r="F195" t="inlineStr">
        <is>
          <t>Bergvik skog öst AB</t>
        </is>
      </c>
      <c r="G195" t="n">
        <v>0.9</v>
      </c>
      <c r="H195" t="n">
        <v>0</v>
      </c>
      <c r="I195" t="n">
        <v>0</v>
      </c>
      <c r="J195" t="n">
        <v>0</v>
      </c>
      <c r="K195" t="n">
        <v>0</v>
      </c>
      <c r="L195" t="n">
        <v>0</v>
      </c>
      <c r="M195" t="n">
        <v>0</v>
      </c>
      <c r="N195" t="n">
        <v>0</v>
      </c>
      <c r="O195" t="n">
        <v>0</v>
      </c>
      <c r="P195" t="n">
        <v>0</v>
      </c>
      <c r="Q195" t="n">
        <v>0</v>
      </c>
      <c r="R195" s="2" t="inlineStr"/>
    </row>
    <row r="196" ht="15" customHeight="1">
      <c r="A196" t="inlineStr">
        <is>
          <t>A 19183-2025</t>
        </is>
      </c>
      <c r="B196" s="1" t="n">
        <v>45769</v>
      </c>
      <c r="C196" s="1" t="n">
        <v>46134</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24642-2025</t>
        </is>
      </c>
      <c r="B197" s="1" t="n">
        <v>45798.62894675926</v>
      </c>
      <c r="C197" s="1" t="n">
        <v>46134</v>
      </c>
      <c r="D197" t="inlineStr">
        <is>
          <t>DALARNAS LÄN</t>
        </is>
      </c>
      <c r="E197" t="inlineStr">
        <is>
          <t>MORA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41169-2023</t>
        </is>
      </c>
      <c r="B198" s="1" t="n">
        <v>45174.34662037037</v>
      </c>
      <c r="C198" s="1" t="n">
        <v>46134</v>
      </c>
      <c r="D198" t="inlineStr">
        <is>
          <t>DALARNAS LÄN</t>
        </is>
      </c>
      <c r="E198" t="inlineStr">
        <is>
          <t>MORA</t>
        </is>
      </c>
      <c r="G198" t="n">
        <v>3</v>
      </c>
      <c r="H198" t="n">
        <v>0</v>
      </c>
      <c r="I198" t="n">
        <v>0</v>
      </c>
      <c r="J198" t="n">
        <v>0</v>
      </c>
      <c r="K198" t="n">
        <v>0</v>
      </c>
      <c r="L198" t="n">
        <v>0</v>
      </c>
      <c r="M198" t="n">
        <v>0</v>
      </c>
      <c r="N198" t="n">
        <v>0</v>
      </c>
      <c r="O198" t="n">
        <v>0</v>
      </c>
      <c r="P198" t="n">
        <v>0</v>
      </c>
      <c r="Q198" t="n">
        <v>0</v>
      </c>
      <c r="R198" s="2" t="inlineStr"/>
    </row>
    <row r="199" ht="15" customHeight="1">
      <c r="A199" t="inlineStr">
        <is>
          <t>A 24249-2025</t>
        </is>
      </c>
      <c r="B199" s="1" t="n">
        <v>45797.40260416667</v>
      </c>
      <c r="C199" s="1" t="n">
        <v>46134</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24640-2025</t>
        </is>
      </c>
      <c r="B200" s="1" t="n">
        <v>45798.62243055556</v>
      </c>
      <c r="C200" s="1" t="n">
        <v>46134</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63964-2025</t>
        </is>
      </c>
      <c r="B201" s="1" t="n">
        <v>46020</v>
      </c>
      <c r="C201" s="1" t="n">
        <v>46134</v>
      </c>
      <c r="D201" t="inlineStr">
        <is>
          <t>DALARNAS LÄN</t>
        </is>
      </c>
      <c r="E201" t="inlineStr">
        <is>
          <t>MORA</t>
        </is>
      </c>
      <c r="G201" t="n">
        <v>6.1</v>
      </c>
      <c r="H201" t="n">
        <v>0</v>
      </c>
      <c r="I201" t="n">
        <v>0</v>
      </c>
      <c r="J201" t="n">
        <v>0</v>
      </c>
      <c r="K201" t="n">
        <v>0</v>
      </c>
      <c r="L201" t="n">
        <v>0</v>
      </c>
      <c r="M201" t="n">
        <v>0</v>
      </c>
      <c r="N201" t="n">
        <v>0</v>
      </c>
      <c r="O201" t="n">
        <v>0</v>
      </c>
      <c r="P201" t="n">
        <v>0</v>
      </c>
      <c r="Q201" t="n">
        <v>0</v>
      </c>
      <c r="R201" s="2" t="inlineStr"/>
    </row>
    <row r="202" ht="15" customHeight="1">
      <c r="A202" t="inlineStr">
        <is>
          <t>A 24230-2025</t>
        </is>
      </c>
      <c r="B202" s="1" t="n">
        <v>45797.37607638889</v>
      </c>
      <c r="C202" s="1" t="n">
        <v>46134</v>
      </c>
      <c r="D202" t="inlineStr">
        <is>
          <t>DALARNAS LÄN</t>
        </is>
      </c>
      <c r="E202" t="inlineStr">
        <is>
          <t>MORA</t>
        </is>
      </c>
      <c r="G202" t="n">
        <v>6.8</v>
      </c>
      <c r="H202" t="n">
        <v>0</v>
      </c>
      <c r="I202" t="n">
        <v>0</v>
      </c>
      <c r="J202" t="n">
        <v>0</v>
      </c>
      <c r="K202" t="n">
        <v>0</v>
      </c>
      <c r="L202" t="n">
        <v>0</v>
      </c>
      <c r="M202" t="n">
        <v>0</v>
      </c>
      <c r="N202" t="n">
        <v>0</v>
      </c>
      <c r="O202" t="n">
        <v>0</v>
      </c>
      <c r="P202" t="n">
        <v>0</v>
      </c>
      <c r="Q202" t="n">
        <v>0</v>
      </c>
      <c r="R202" s="2" t="inlineStr"/>
    </row>
    <row r="203" ht="15" customHeight="1">
      <c r="A203" t="inlineStr">
        <is>
          <t>A 54398-2021</t>
        </is>
      </c>
      <c r="B203" s="1" t="n">
        <v>44473.39252314815</v>
      </c>
      <c r="C203" s="1" t="n">
        <v>46134</v>
      </c>
      <c r="D203" t="inlineStr">
        <is>
          <t>DALARNAS LÄN</t>
        </is>
      </c>
      <c r="E203" t="inlineStr">
        <is>
          <t>MORA</t>
        </is>
      </c>
      <c r="G203" t="n">
        <v>0.9</v>
      </c>
      <c r="H203" t="n">
        <v>0</v>
      </c>
      <c r="I203" t="n">
        <v>0</v>
      </c>
      <c r="J203" t="n">
        <v>0</v>
      </c>
      <c r="K203" t="n">
        <v>0</v>
      </c>
      <c r="L203" t="n">
        <v>0</v>
      </c>
      <c r="M203" t="n">
        <v>0</v>
      </c>
      <c r="N203" t="n">
        <v>0</v>
      </c>
      <c r="O203" t="n">
        <v>0</v>
      </c>
      <c r="P203" t="n">
        <v>0</v>
      </c>
      <c r="Q203" t="n">
        <v>0</v>
      </c>
      <c r="R203" s="2" t="inlineStr"/>
    </row>
    <row r="204" ht="15" customHeight="1">
      <c r="A204" t="inlineStr">
        <is>
          <t>A 16967-2025</t>
        </is>
      </c>
      <c r="B204" s="1" t="n">
        <v>45755.46106481482</v>
      </c>
      <c r="C204" s="1" t="n">
        <v>46134</v>
      </c>
      <c r="D204" t="inlineStr">
        <is>
          <t>DALARNAS LÄN</t>
        </is>
      </c>
      <c r="E204" t="inlineStr">
        <is>
          <t>MORA</t>
        </is>
      </c>
      <c r="F204" t="inlineStr">
        <is>
          <t>Bergvik skog öst AB</t>
        </is>
      </c>
      <c r="G204" t="n">
        <v>2.9</v>
      </c>
      <c r="H204" t="n">
        <v>0</v>
      </c>
      <c r="I204" t="n">
        <v>0</v>
      </c>
      <c r="J204" t="n">
        <v>0</v>
      </c>
      <c r="K204" t="n">
        <v>0</v>
      </c>
      <c r="L204" t="n">
        <v>0</v>
      </c>
      <c r="M204" t="n">
        <v>0</v>
      </c>
      <c r="N204" t="n">
        <v>0</v>
      </c>
      <c r="O204" t="n">
        <v>0</v>
      </c>
      <c r="P204" t="n">
        <v>0</v>
      </c>
      <c r="Q204" t="n">
        <v>0</v>
      </c>
      <c r="R204" s="2" t="inlineStr"/>
    </row>
    <row r="205" ht="15" customHeight="1">
      <c r="A205" t="inlineStr">
        <is>
          <t>A 141-2026</t>
        </is>
      </c>
      <c r="B205" s="1" t="n">
        <v>46024.62364583334</v>
      </c>
      <c r="C205" s="1" t="n">
        <v>46134</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69483-2021</t>
        </is>
      </c>
      <c r="B206" s="1" t="n">
        <v>44531</v>
      </c>
      <c r="C206" s="1" t="n">
        <v>46134</v>
      </c>
      <c r="D206" t="inlineStr">
        <is>
          <t>DALARNAS LÄN</t>
        </is>
      </c>
      <c r="E206" t="inlineStr">
        <is>
          <t>MORA</t>
        </is>
      </c>
      <c r="G206" t="n">
        <v>1.5</v>
      </c>
      <c r="H206" t="n">
        <v>0</v>
      </c>
      <c r="I206" t="n">
        <v>0</v>
      </c>
      <c r="J206" t="n">
        <v>0</v>
      </c>
      <c r="K206" t="n">
        <v>0</v>
      </c>
      <c r="L206" t="n">
        <v>0</v>
      </c>
      <c r="M206" t="n">
        <v>0</v>
      </c>
      <c r="N206" t="n">
        <v>0</v>
      </c>
      <c r="O206" t="n">
        <v>0</v>
      </c>
      <c r="P206" t="n">
        <v>0</v>
      </c>
      <c r="Q206" t="n">
        <v>0</v>
      </c>
      <c r="R206" s="2" t="inlineStr"/>
    </row>
    <row r="207" ht="15" customHeight="1">
      <c r="A207" t="inlineStr">
        <is>
          <t>A 56460-2022</t>
        </is>
      </c>
      <c r="B207" s="1" t="n">
        <v>44893</v>
      </c>
      <c r="C207" s="1" t="n">
        <v>46134</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57110-2021</t>
        </is>
      </c>
      <c r="B208" s="1" t="n">
        <v>44482</v>
      </c>
      <c r="C208" s="1" t="n">
        <v>46134</v>
      </c>
      <c r="D208" t="inlineStr">
        <is>
          <t>DALARNAS LÄN</t>
        </is>
      </c>
      <c r="E208" t="inlineStr">
        <is>
          <t>MORA</t>
        </is>
      </c>
      <c r="G208" t="n">
        <v>5.4</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46134</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39882-2024</t>
        </is>
      </c>
      <c r="B210" s="1" t="n">
        <v>45553</v>
      </c>
      <c r="C210" s="1" t="n">
        <v>46134</v>
      </c>
      <c r="D210" t="inlineStr">
        <is>
          <t>DALARNAS LÄN</t>
        </is>
      </c>
      <c r="E210" t="inlineStr">
        <is>
          <t>MORA</t>
        </is>
      </c>
      <c r="G210" t="n">
        <v>14.6</v>
      </c>
      <c r="H210" t="n">
        <v>0</v>
      </c>
      <c r="I210" t="n">
        <v>0</v>
      </c>
      <c r="J210" t="n">
        <v>0</v>
      </c>
      <c r="K210" t="n">
        <v>0</v>
      </c>
      <c r="L210" t="n">
        <v>0</v>
      </c>
      <c r="M210" t="n">
        <v>0</v>
      </c>
      <c r="N210" t="n">
        <v>0</v>
      </c>
      <c r="O210" t="n">
        <v>0</v>
      </c>
      <c r="P210" t="n">
        <v>0</v>
      </c>
      <c r="Q210" t="n">
        <v>0</v>
      </c>
      <c r="R210" s="2" t="inlineStr"/>
    </row>
    <row r="211" ht="15" customHeight="1">
      <c r="A211" t="inlineStr">
        <is>
          <t>A 56767-2024</t>
        </is>
      </c>
      <c r="B211" s="1" t="n">
        <v>45628.41274305555</v>
      </c>
      <c r="C211" s="1" t="n">
        <v>46134</v>
      </c>
      <c r="D211" t="inlineStr">
        <is>
          <t>DALARNAS LÄN</t>
        </is>
      </c>
      <c r="E211" t="inlineStr">
        <is>
          <t>MORA</t>
        </is>
      </c>
      <c r="G211" t="n">
        <v>5</v>
      </c>
      <c r="H211" t="n">
        <v>0</v>
      </c>
      <c r="I211" t="n">
        <v>0</v>
      </c>
      <c r="J211" t="n">
        <v>0</v>
      </c>
      <c r="K211" t="n">
        <v>0</v>
      </c>
      <c r="L211" t="n">
        <v>0</v>
      </c>
      <c r="M211" t="n">
        <v>0</v>
      </c>
      <c r="N211" t="n">
        <v>0</v>
      </c>
      <c r="O211" t="n">
        <v>0</v>
      </c>
      <c r="P211" t="n">
        <v>0</v>
      </c>
      <c r="Q211" t="n">
        <v>0</v>
      </c>
      <c r="R211" s="2" t="inlineStr"/>
    </row>
    <row r="212" ht="15" customHeight="1">
      <c r="A212" t="inlineStr">
        <is>
          <t>A 24947-2025</t>
        </is>
      </c>
      <c r="B212" s="1" t="n">
        <v>45799.56524305556</v>
      </c>
      <c r="C212" s="1" t="n">
        <v>46134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239-2026</t>
        </is>
      </c>
      <c r="B213" s="1" t="n">
        <v>46027</v>
      </c>
      <c r="C213" s="1" t="n">
        <v>46134</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60962-2025</t>
        </is>
      </c>
      <c r="B214" s="1" t="n">
        <v>45999.66488425926</v>
      </c>
      <c r="C214" s="1" t="n">
        <v>46134</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1068-2026</t>
        </is>
      </c>
      <c r="B215" s="1" t="n">
        <v>46030</v>
      </c>
      <c r="C215" s="1" t="n">
        <v>46134</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665-2026</t>
        </is>
      </c>
      <c r="B216" s="1" t="n">
        <v>46029</v>
      </c>
      <c r="C216" s="1" t="n">
        <v>46134</v>
      </c>
      <c r="D216" t="inlineStr">
        <is>
          <t>DALARNAS LÄN</t>
        </is>
      </c>
      <c r="E216" t="inlineStr">
        <is>
          <t>MORA</t>
        </is>
      </c>
      <c r="F216" t="inlineStr">
        <is>
          <t>Kommuner</t>
        </is>
      </c>
      <c r="G216" t="n">
        <v>20.9</v>
      </c>
      <c r="H216" t="n">
        <v>0</v>
      </c>
      <c r="I216" t="n">
        <v>0</v>
      </c>
      <c r="J216" t="n">
        <v>0</v>
      </c>
      <c r="K216" t="n">
        <v>0</v>
      </c>
      <c r="L216" t="n">
        <v>0</v>
      </c>
      <c r="M216" t="n">
        <v>0</v>
      </c>
      <c r="N216" t="n">
        <v>0</v>
      </c>
      <c r="O216" t="n">
        <v>0</v>
      </c>
      <c r="P216" t="n">
        <v>0</v>
      </c>
      <c r="Q216" t="n">
        <v>0</v>
      </c>
      <c r="R216" s="2" t="inlineStr"/>
    </row>
    <row r="217" ht="15" customHeight="1">
      <c r="A217" t="inlineStr">
        <is>
          <t>A 39897-2022</t>
        </is>
      </c>
      <c r="B217" s="1" t="n">
        <v>44819.66083333334</v>
      </c>
      <c r="C217" s="1" t="n">
        <v>46134</v>
      </c>
      <c r="D217" t="inlineStr">
        <is>
          <t>DALARNAS LÄN</t>
        </is>
      </c>
      <c r="E217" t="inlineStr">
        <is>
          <t>MORA</t>
        </is>
      </c>
      <c r="G217" t="n">
        <v>15.8</v>
      </c>
      <c r="H217" t="n">
        <v>0</v>
      </c>
      <c r="I217" t="n">
        <v>0</v>
      </c>
      <c r="J217" t="n">
        <v>0</v>
      </c>
      <c r="K217" t="n">
        <v>0</v>
      </c>
      <c r="L217" t="n">
        <v>0</v>
      </c>
      <c r="M217" t="n">
        <v>0</v>
      </c>
      <c r="N217" t="n">
        <v>0</v>
      </c>
      <c r="O217" t="n">
        <v>0</v>
      </c>
      <c r="P217" t="n">
        <v>0</v>
      </c>
      <c r="Q217" t="n">
        <v>0</v>
      </c>
      <c r="R217" s="2" t="inlineStr"/>
    </row>
    <row r="218" ht="15" customHeight="1">
      <c r="A218" t="inlineStr">
        <is>
          <t>A 902-2026</t>
        </is>
      </c>
      <c r="B218" s="1" t="n">
        <v>46030.46954861111</v>
      </c>
      <c r="C218" s="1" t="n">
        <v>46134</v>
      </c>
      <c r="D218" t="inlineStr">
        <is>
          <t>DALARNAS LÄN</t>
        </is>
      </c>
      <c r="E218" t="inlineStr">
        <is>
          <t>MORA</t>
        </is>
      </c>
      <c r="G218" t="n">
        <v>4.2</v>
      </c>
      <c r="H218" t="n">
        <v>0</v>
      </c>
      <c r="I218" t="n">
        <v>0</v>
      </c>
      <c r="J218" t="n">
        <v>0</v>
      </c>
      <c r="K218" t="n">
        <v>0</v>
      </c>
      <c r="L218" t="n">
        <v>0</v>
      </c>
      <c r="M218" t="n">
        <v>0</v>
      </c>
      <c r="N218" t="n">
        <v>0</v>
      </c>
      <c r="O218" t="n">
        <v>0</v>
      </c>
      <c r="P218" t="n">
        <v>0</v>
      </c>
      <c r="Q218" t="n">
        <v>0</v>
      </c>
      <c r="R218" s="2" t="inlineStr"/>
    </row>
    <row r="219" ht="15" customHeight="1">
      <c r="A219" t="inlineStr">
        <is>
          <t>A 1102-2026</t>
        </is>
      </c>
      <c r="B219" s="1" t="n">
        <v>46030.66743055556</v>
      </c>
      <c r="C219" s="1" t="n">
        <v>46134</v>
      </c>
      <c r="D219" t="inlineStr">
        <is>
          <t>DALARNAS LÄN</t>
        </is>
      </c>
      <c r="E219" t="inlineStr">
        <is>
          <t>MORA</t>
        </is>
      </c>
      <c r="G219" t="n">
        <v>1.5</v>
      </c>
      <c r="H219" t="n">
        <v>0</v>
      </c>
      <c r="I219" t="n">
        <v>0</v>
      </c>
      <c r="J219" t="n">
        <v>0</v>
      </c>
      <c r="K219" t="n">
        <v>0</v>
      </c>
      <c r="L219" t="n">
        <v>0</v>
      </c>
      <c r="M219" t="n">
        <v>0</v>
      </c>
      <c r="N219" t="n">
        <v>0</v>
      </c>
      <c r="O219" t="n">
        <v>0</v>
      </c>
      <c r="P219" t="n">
        <v>0</v>
      </c>
      <c r="Q219" t="n">
        <v>0</v>
      </c>
      <c r="R219" s="2" t="inlineStr"/>
    </row>
    <row r="220" ht="15" customHeight="1">
      <c r="A220" t="inlineStr">
        <is>
          <t>A 39456-2025</t>
        </is>
      </c>
      <c r="B220" s="1" t="n">
        <v>45889.76200231481</v>
      </c>
      <c r="C220" s="1" t="n">
        <v>46134</v>
      </c>
      <c r="D220" t="inlineStr">
        <is>
          <t>DALARNAS LÄN</t>
        </is>
      </c>
      <c r="E220" t="inlineStr">
        <is>
          <t>MORA</t>
        </is>
      </c>
      <c r="F220" t="inlineStr">
        <is>
          <t>Bergvik skog öst AB</t>
        </is>
      </c>
      <c r="G220" t="n">
        <v>16.7</v>
      </c>
      <c r="H220" t="n">
        <v>0</v>
      </c>
      <c r="I220" t="n">
        <v>0</v>
      </c>
      <c r="J220" t="n">
        <v>0</v>
      </c>
      <c r="K220" t="n">
        <v>0</v>
      </c>
      <c r="L220" t="n">
        <v>0</v>
      </c>
      <c r="M220" t="n">
        <v>0</v>
      </c>
      <c r="N220" t="n">
        <v>0</v>
      </c>
      <c r="O220" t="n">
        <v>0</v>
      </c>
      <c r="P220" t="n">
        <v>0</v>
      </c>
      <c r="Q220" t="n">
        <v>0</v>
      </c>
      <c r="R220" s="2" t="inlineStr"/>
    </row>
    <row r="221" ht="15" customHeight="1">
      <c r="A221" t="inlineStr">
        <is>
          <t>A 23302-2024</t>
        </is>
      </c>
      <c r="B221" s="1" t="n">
        <v>45453.44091435185</v>
      </c>
      <c r="C221" s="1" t="n">
        <v>46134</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30985-2024</t>
        </is>
      </c>
      <c r="B222" s="1" t="n">
        <v>45499.51721064815</v>
      </c>
      <c r="C222" s="1" t="n">
        <v>46134</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57859-2022</t>
        </is>
      </c>
      <c r="B223" s="1" t="n">
        <v>44898</v>
      </c>
      <c r="C223" s="1" t="n">
        <v>46134</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60647-2022</t>
        </is>
      </c>
      <c r="B224" s="1" t="n">
        <v>44911</v>
      </c>
      <c r="C224" s="1" t="n">
        <v>46134</v>
      </c>
      <c r="D224" t="inlineStr">
        <is>
          <t>DALARNAS LÄN</t>
        </is>
      </c>
      <c r="E224" t="inlineStr">
        <is>
          <t>MORA</t>
        </is>
      </c>
      <c r="G224" t="n">
        <v>4.8</v>
      </c>
      <c r="H224" t="n">
        <v>0</v>
      </c>
      <c r="I224" t="n">
        <v>0</v>
      </c>
      <c r="J224" t="n">
        <v>0</v>
      </c>
      <c r="K224" t="n">
        <v>0</v>
      </c>
      <c r="L224" t="n">
        <v>0</v>
      </c>
      <c r="M224" t="n">
        <v>0</v>
      </c>
      <c r="N224" t="n">
        <v>0</v>
      </c>
      <c r="O224" t="n">
        <v>0</v>
      </c>
      <c r="P224" t="n">
        <v>0</v>
      </c>
      <c r="Q224" t="n">
        <v>0</v>
      </c>
      <c r="R224" s="2" t="inlineStr"/>
    </row>
    <row r="225" ht="15" customHeight="1">
      <c r="A225" t="inlineStr">
        <is>
          <t>A 26647-2025</t>
        </is>
      </c>
      <c r="B225" s="1" t="n">
        <v>45810.38439814815</v>
      </c>
      <c r="C225" s="1" t="n">
        <v>46134</v>
      </c>
      <c r="D225" t="inlineStr">
        <is>
          <t>DALARNAS LÄN</t>
        </is>
      </c>
      <c r="E225" t="inlineStr">
        <is>
          <t>MORA</t>
        </is>
      </c>
      <c r="G225" t="n">
        <v>7.9</v>
      </c>
      <c r="H225" t="n">
        <v>0</v>
      </c>
      <c r="I225" t="n">
        <v>0</v>
      </c>
      <c r="J225" t="n">
        <v>0</v>
      </c>
      <c r="K225" t="n">
        <v>0</v>
      </c>
      <c r="L225" t="n">
        <v>0</v>
      </c>
      <c r="M225" t="n">
        <v>0</v>
      </c>
      <c r="N225" t="n">
        <v>0</v>
      </c>
      <c r="O225" t="n">
        <v>0</v>
      </c>
      <c r="P225" t="n">
        <v>0</v>
      </c>
      <c r="Q225" t="n">
        <v>0</v>
      </c>
      <c r="R225" s="2" t="inlineStr"/>
    </row>
    <row r="226" ht="15" customHeight="1">
      <c r="A226" t="inlineStr">
        <is>
          <t>A 40147-2025</t>
        </is>
      </c>
      <c r="B226" s="1" t="n">
        <v>45894.57918981482</v>
      </c>
      <c r="C226" s="1" t="n">
        <v>46134</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56425-2024</t>
        </is>
      </c>
      <c r="B227" s="1" t="n">
        <v>45625.38677083333</v>
      </c>
      <c r="C227" s="1" t="n">
        <v>46134</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39824-2025</t>
        </is>
      </c>
      <c r="B228" s="1" t="n">
        <v>45891</v>
      </c>
      <c r="C228" s="1" t="n">
        <v>46134</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30819-2024</t>
        </is>
      </c>
      <c r="B229" s="1" t="n">
        <v>45497</v>
      </c>
      <c r="C229" s="1" t="n">
        <v>46134</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24590-2024</t>
        </is>
      </c>
      <c r="B230" s="1" t="n">
        <v>45460</v>
      </c>
      <c r="C230" s="1" t="n">
        <v>46134</v>
      </c>
      <c r="D230" t="inlineStr">
        <is>
          <t>DALARNAS LÄN</t>
        </is>
      </c>
      <c r="E230" t="inlineStr">
        <is>
          <t>MORA</t>
        </is>
      </c>
      <c r="G230" t="n">
        <v>0.6</v>
      </c>
      <c r="H230" t="n">
        <v>0</v>
      </c>
      <c r="I230" t="n">
        <v>0</v>
      </c>
      <c r="J230" t="n">
        <v>0</v>
      </c>
      <c r="K230" t="n">
        <v>0</v>
      </c>
      <c r="L230" t="n">
        <v>0</v>
      </c>
      <c r="M230" t="n">
        <v>0</v>
      </c>
      <c r="N230" t="n">
        <v>0</v>
      </c>
      <c r="O230" t="n">
        <v>0</v>
      </c>
      <c r="P230" t="n">
        <v>0</v>
      </c>
      <c r="Q230" t="n">
        <v>0</v>
      </c>
      <c r="R230" s="2" t="inlineStr"/>
    </row>
    <row r="231" ht="15" customHeight="1">
      <c r="A231" t="inlineStr">
        <is>
          <t>A 26532-2025</t>
        </is>
      </c>
      <c r="B231" s="1" t="n">
        <v>45807</v>
      </c>
      <c r="C231" s="1" t="n">
        <v>46134</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20885-2024</t>
        </is>
      </c>
      <c r="B232" s="1" t="n">
        <v>45439.45527777778</v>
      </c>
      <c r="C232" s="1" t="n">
        <v>46134</v>
      </c>
      <c r="D232" t="inlineStr">
        <is>
          <t>DALARNAS LÄN</t>
        </is>
      </c>
      <c r="E232" t="inlineStr">
        <is>
          <t>MORA</t>
        </is>
      </c>
      <c r="G232" t="n">
        <v>5</v>
      </c>
      <c r="H232" t="n">
        <v>0</v>
      </c>
      <c r="I232" t="n">
        <v>0</v>
      </c>
      <c r="J232" t="n">
        <v>0</v>
      </c>
      <c r="K232" t="n">
        <v>0</v>
      </c>
      <c r="L232" t="n">
        <v>0</v>
      </c>
      <c r="M232" t="n">
        <v>0</v>
      </c>
      <c r="N232" t="n">
        <v>0</v>
      </c>
      <c r="O232" t="n">
        <v>0</v>
      </c>
      <c r="P232" t="n">
        <v>0</v>
      </c>
      <c r="Q232" t="n">
        <v>0</v>
      </c>
      <c r="R232" s="2" t="inlineStr"/>
    </row>
    <row r="233" ht="15" customHeight="1">
      <c r="A233" t="inlineStr">
        <is>
          <t>A 26630-2025</t>
        </is>
      </c>
      <c r="B233" s="1" t="n">
        <v>45809</v>
      </c>
      <c r="C233" s="1" t="n">
        <v>46134</v>
      </c>
      <c r="D233" t="inlineStr">
        <is>
          <t>DALARNAS LÄN</t>
        </is>
      </c>
      <c r="E233" t="inlineStr">
        <is>
          <t>MORA</t>
        </is>
      </c>
      <c r="G233" t="n">
        <v>32.1</v>
      </c>
      <c r="H233" t="n">
        <v>0</v>
      </c>
      <c r="I233" t="n">
        <v>0</v>
      </c>
      <c r="J233" t="n">
        <v>0</v>
      </c>
      <c r="K233" t="n">
        <v>0</v>
      </c>
      <c r="L233" t="n">
        <v>0</v>
      </c>
      <c r="M233" t="n">
        <v>0</v>
      </c>
      <c r="N233" t="n">
        <v>0</v>
      </c>
      <c r="O233" t="n">
        <v>0</v>
      </c>
      <c r="P233" t="n">
        <v>0</v>
      </c>
      <c r="Q233" t="n">
        <v>0</v>
      </c>
      <c r="R233" s="2" t="inlineStr"/>
    </row>
    <row r="234" ht="15" customHeight="1">
      <c r="A234" t="inlineStr">
        <is>
          <t>A 25737-2025</t>
        </is>
      </c>
      <c r="B234" s="1" t="n">
        <v>45800</v>
      </c>
      <c r="C234" s="1" t="n">
        <v>46134</v>
      </c>
      <c r="D234" t="inlineStr">
        <is>
          <t>DALARNAS LÄN</t>
        </is>
      </c>
      <c r="E234" t="inlineStr">
        <is>
          <t>MORA</t>
        </is>
      </c>
      <c r="G234" t="n">
        <v>9.6</v>
      </c>
      <c r="H234" t="n">
        <v>0</v>
      </c>
      <c r="I234" t="n">
        <v>0</v>
      </c>
      <c r="J234" t="n">
        <v>0</v>
      </c>
      <c r="K234" t="n">
        <v>0</v>
      </c>
      <c r="L234" t="n">
        <v>0</v>
      </c>
      <c r="M234" t="n">
        <v>0</v>
      </c>
      <c r="N234" t="n">
        <v>0</v>
      </c>
      <c r="O234" t="n">
        <v>0</v>
      </c>
      <c r="P234" t="n">
        <v>0</v>
      </c>
      <c r="Q234" t="n">
        <v>0</v>
      </c>
      <c r="R234" s="2" t="inlineStr"/>
    </row>
    <row r="235" ht="15" customHeight="1">
      <c r="A235" t="inlineStr">
        <is>
          <t>A 26854-2025</t>
        </is>
      </c>
      <c r="B235" s="1" t="n">
        <v>45810.67462962963</v>
      </c>
      <c r="C235" s="1" t="n">
        <v>46134</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39787-2025</t>
        </is>
      </c>
      <c r="B236" s="1" t="n">
        <v>45891</v>
      </c>
      <c r="C236" s="1" t="n">
        <v>46134</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40140-2025</t>
        </is>
      </c>
      <c r="B237" s="1" t="n">
        <v>45894.57016203704</v>
      </c>
      <c r="C237" s="1" t="n">
        <v>46134</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40142-2025</t>
        </is>
      </c>
      <c r="B238" s="1" t="n">
        <v>45894.57202546296</v>
      </c>
      <c r="C238" s="1" t="n">
        <v>46134</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26731-2025</t>
        </is>
      </c>
      <c r="B239" s="1" t="n">
        <v>45810.50702546296</v>
      </c>
      <c r="C239" s="1" t="n">
        <v>46134</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42934-2024</t>
        </is>
      </c>
      <c r="B240" s="1" t="n">
        <v>45567.33655092592</v>
      </c>
      <c r="C240" s="1" t="n">
        <v>46134</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40471-2025</t>
        </is>
      </c>
      <c r="B241" s="1" t="n">
        <v>45895.67356481482</v>
      </c>
      <c r="C241" s="1" t="n">
        <v>46134</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26711-2025</t>
        </is>
      </c>
      <c r="B242" s="1" t="n">
        <v>45810.46144675926</v>
      </c>
      <c r="C242" s="1" t="n">
        <v>46134</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40661-2025</t>
        </is>
      </c>
      <c r="B243" s="1" t="n">
        <v>45896.64715277778</v>
      </c>
      <c r="C243" s="1" t="n">
        <v>46134</v>
      </c>
      <c r="D243" t="inlineStr">
        <is>
          <t>DALARNAS LÄN</t>
        </is>
      </c>
      <c r="E243" t="inlineStr">
        <is>
          <t>MORA</t>
        </is>
      </c>
      <c r="G243" t="n">
        <v>2.8</v>
      </c>
      <c r="H243" t="n">
        <v>0</v>
      </c>
      <c r="I243" t="n">
        <v>0</v>
      </c>
      <c r="J243" t="n">
        <v>0</v>
      </c>
      <c r="K243" t="n">
        <v>0</v>
      </c>
      <c r="L243" t="n">
        <v>0</v>
      </c>
      <c r="M243" t="n">
        <v>0</v>
      </c>
      <c r="N243" t="n">
        <v>0</v>
      </c>
      <c r="O243" t="n">
        <v>0</v>
      </c>
      <c r="P243" t="n">
        <v>0</v>
      </c>
      <c r="Q243" t="n">
        <v>0</v>
      </c>
      <c r="R243" s="2" t="inlineStr"/>
    </row>
    <row r="244" ht="15" customHeight="1">
      <c r="A244" t="inlineStr">
        <is>
          <t>A 40660-2025</t>
        </is>
      </c>
      <c r="B244" s="1" t="n">
        <v>45896.64631944444</v>
      </c>
      <c r="C244" s="1" t="n">
        <v>46134</v>
      </c>
      <c r="D244" t="inlineStr">
        <is>
          <t>DALARNAS LÄN</t>
        </is>
      </c>
      <c r="E244" t="inlineStr">
        <is>
          <t>MORA</t>
        </is>
      </c>
      <c r="F244" t="inlineStr">
        <is>
          <t>Bergvik skog väst AB</t>
        </is>
      </c>
      <c r="G244" t="n">
        <v>5.4</v>
      </c>
      <c r="H244" t="n">
        <v>0</v>
      </c>
      <c r="I244" t="n">
        <v>0</v>
      </c>
      <c r="J244" t="n">
        <v>0</v>
      </c>
      <c r="K244" t="n">
        <v>0</v>
      </c>
      <c r="L244" t="n">
        <v>0</v>
      </c>
      <c r="M244" t="n">
        <v>0</v>
      </c>
      <c r="N244" t="n">
        <v>0</v>
      </c>
      <c r="O244" t="n">
        <v>0</v>
      </c>
      <c r="P244" t="n">
        <v>0</v>
      </c>
      <c r="Q244" t="n">
        <v>0</v>
      </c>
      <c r="R244" s="2" t="inlineStr"/>
    </row>
    <row r="245" ht="15" customHeight="1">
      <c r="A245" t="inlineStr">
        <is>
          <t>A 61654-2024</t>
        </is>
      </c>
      <c r="B245" s="1" t="n">
        <v>45646.74988425926</v>
      </c>
      <c r="C245" s="1" t="n">
        <v>46134</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25345-2025</t>
        </is>
      </c>
      <c r="B246" s="1" t="n">
        <v>45799</v>
      </c>
      <c r="C246" s="1" t="n">
        <v>46134</v>
      </c>
      <c r="D246" t="inlineStr">
        <is>
          <t>DALARNAS LÄN</t>
        </is>
      </c>
      <c r="E246" t="inlineStr">
        <is>
          <t>MORA</t>
        </is>
      </c>
      <c r="G246" t="n">
        <v>3.1</v>
      </c>
      <c r="H246" t="n">
        <v>0</v>
      </c>
      <c r="I246" t="n">
        <v>0</v>
      </c>
      <c r="J246" t="n">
        <v>0</v>
      </c>
      <c r="K246" t="n">
        <v>0</v>
      </c>
      <c r="L246" t="n">
        <v>0</v>
      </c>
      <c r="M246" t="n">
        <v>0</v>
      </c>
      <c r="N246" t="n">
        <v>0</v>
      </c>
      <c r="O246" t="n">
        <v>0</v>
      </c>
      <c r="P246" t="n">
        <v>0</v>
      </c>
      <c r="Q246" t="n">
        <v>0</v>
      </c>
      <c r="R246" s="2" t="inlineStr"/>
    </row>
    <row r="247" ht="15" customHeight="1">
      <c r="A247" t="inlineStr">
        <is>
          <t>A 27177-2025</t>
        </is>
      </c>
      <c r="B247" s="1" t="n">
        <v>45812.3533912037</v>
      </c>
      <c r="C247" s="1" t="n">
        <v>46134</v>
      </c>
      <c r="D247" t="inlineStr">
        <is>
          <t>DALARNAS LÄN</t>
        </is>
      </c>
      <c r="E247" t="inlineStr">
        <is>
          <t>MORA</t>
        </is>
      </c>
      <c r="F247" t="inlineStr">
        <is>
          <t>Bergvik skog öst AB</t>
        </is>
      </c>
      <c r="G247" t="n">
        <v>2.5</v>
      </c>
      <c r="H247" t="n">
        <v>0</v>
      </c>
      <c r="I247" t="n">
        <v>0</v>
      </c>
      <c r="J247" t="n">
        <v>0</v>
      </c>
      <c r="K247" t="n">
        <v>0</v>
      </c>
      <c r="L247" t="n">
        <v>0</v>
      </c>
      <c r="M247" t="n">
        <v>0</v>
      </c>
      <c r="N247" t="n">
        <v>0</v>
      </c>
      <c r="O247" t="n">
        <v>0</v>
      </c>
      <c r="P247" t="n">
        <v>0</v>
      </c>
      <c r="Q247" t="n">
        <v>0</v>
      </c>
      <c r="R247" s="2" t="inlineStr"/>
    </row>
    <row r="248" ht="15" customHeight="1">
      <c r="A248" t="inlineStr">
        <is>
          <t>A 27194-2025</t>
        </is>
      </c>
      <c r="B248" s="1" t="n">
        <v>45812.37965277778</v>
      </c>
      <c r="C248" s="1" t="n">
        <v>46134</v>
      </c>
      <c r="D248" t="inlineStr">
        <is>
          <t>DALARNAS LÄN</t>
        </is>
      </c>
      <c r="E248" t="inlineStr">
        <is>
          <t>MORA</t>
        </is>
      </c>
      <c r="G248" t="n">
        <v>2.4</v>
      </c>
      <c r="H248" t="n">
        <v>0</v>
      </c>
      <c r="I248" t="n">
        <v>0</v>
      </c>
      <c r="J248" t="n">
        <v>0</v>
      </c>
      <c r="K248" t="n">
        <v>0</v>
      </c>
      <c r="L248" t="n">
        <v>0</v>
      </c>
      <c r="M248" t="n">
        <v>0</v>
      </c>
      <c r="N248" t="n">
        <v>0</v>
      </c>
      <c r="O248" t="n">
        <v>0</v>
      </c>
      <c r="P248" t="n">
        <v>0</v>
      </c>
      <c r="Q248" t="n">
        <v>0</v>
      </c>
      <c r="R248" s="2" t="inlineStr"/>
    </row>
    <row r="249" ht="15" customHeight="1">
      <c r="A249" t="inlineStr">
        <is>
          <t>A 14611-2025</t>
        </is>
      </c>
      <c r="B249" s="1" t="n">
        <v>45742.38511574074</v>
      </c>
      <c r="C249" s="1" t="n">
        <v>46134</v>
      </c>
      <c r="D249" t="inlineStr">
        <is>
          <t>DALARNAS LÄN</t>
        </is>
      </c>
      <c r="E249" t="inlineStr">
        <is>
          <t>MORA</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27175-2025</t>
        </is>
      </c>
      <c r="B250" s="1" t="n">
        <v>45812.35072916667</v>
      </c>
      <c r="C250" s="1" t="n">
        <v>46134</v>
      </c>
      <c r="D250" t="inlineStr">
        <is>
          <t>DALARNAS LÄN</t>
        </is>
      </c>
      <c r="E250" t="inlineStr">
        <is>
          <t>MORA</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40805-2025</t>
        </is>
      </c>
      <c r="B251" s="1" t="n">
        <v>45897.46659722222</v>
      </c>
      <c r="C251" s="1" t="n">
        <v>46134</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7565-2025</t>
        </is>
      </c>
      <c r="B252" s="1" t="n">
        <v>45705.59269675926</v>
      </c>
      <c r="C252" s="1" t="n">
        <v>46134</v>
      </c>
      <c r="D252" t="inlineStr">
        <is>
          <t>DALARNAS LÄN</t>
        </is>
      </c>
      <c r="E252" t="inlineStr">
        <is>
          <t>MORA</t>
        </is>
      </c>
      <c r="G252" t="n">
        <v>3</v>
      </c>
      <c r="H252" t="n">
        <v>0</v>
      </c>
      <c r="I252" t="n">
        <v>0</v>
      </c>
      <c r="J252" t="n">
        <v>0</v>
      </c>
      <c r="K252" t="n">
        <v>0</v>
      </c>
      <c r="L252" t="n">
        <v>0</v>
      </c>
      <c r="M252" t="n">
        <v>0</v>
      </c>
      <c r="N252" t="n">
        <v>0</v>
      </c>
      <c r="O252" t="n">
        <v>0</v>
      </c>
      <c r="P252" t="n">
        <v>0</v>
      </c>
      <c r="Q252" t="n">
        <v>0</v>
      </c>
      <c r="R252" s="2" t="inlineStr"/>
    </row>
    <row r="253" ht="15" customHeight="1">
      <c r="A253" t="inlineStr">
        <is>
          <t>A 41175-2025</t>
        </is>
      </c>
      <c r="B253" s="1" t="n">
        <v>45898.55165509259</v>
      </c>
      <c r="C253" s="1" t="n">
        <v>46134</v>
      </c>
      <c r="D253" t="inlineStr">
        <is>
          <t>DALARNAS LÄN</t>
        </is>
      </c>
      <c r="E253" t="inlineStr">
        <is>
          <t>MORA</t>
        </is>
      </c>
      <c r="G253" t="n">
        <v>4.5</v>
      </c>
      <c r="H253" t="n">
        <v>0</v>
      </c>
      <c r="I253" t="n">
        <v>0</v>
      </c>
      <c r="J253" t="n">
        <v>0</v>
      </c>
      <c r="K253" t="n">
        <v>0</v>
      </c>
      <c r="L253" t="n">
        <v>0</v>
      </c>
      <c r="M253" t="n">
        <v>0</v>
      </c>
      <c r="N253" t="n">
        <v>0</v>
      </c>
      <c r="O253" t="n">
        <v>0</v>
      </c>
      <c r="P253" t="n">
        <v>0</v>
      </c>
      <c r="Q253" t="n">
        <v>0</v>
      </c>
      <c r="R253" s="2" t="inlineStr"/>
    </row>
    <row r="254" ht="15" customHeight="1">
      <c r="A254" t="inlineStr">
        <is>
          <t>A 27184-2025</t>
        </is>
      </c>
      <c r="B254" s="1" t="n">
        <v>45812.36133101852</v>
      </c>
      <c r="C254" s="1" t="n">
        <v>46134</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24620-2025</t>
        </is>
      </c>
      <c r="B255" s="1" t="n">
        <v>45798.59290509259</v>
      </c>
      <c r="C255" s="1" t="n">
        <v>46134</v>
      </c>
      <c r="D255" t="inlineStr">
        <is>
          <t>DALARNAS LÄN</t>
        </is>
      </c>
      <c r="E255" t="inlineStr">
        <is>
          <t>MORA</t>
        </is>
      </c>
      <c r="F255" t="inlineStr">
        <is>
          <t>Bergvik skog väst AB</t>
        </is>
      </c>
      <c r="G255" t="n">
        <v>4.9</v>
      </c>
      <c r="H255" t="n">
        <v>0</v>
      </c>
      <c r="I255" t="n">
        <v>0</v>
      </c>
      <c r="J255" t="n">
        <v>0</v>
      </c>
      <c r="K255" t="n">
        <v>0</v>
      </c>
      <c r="L255" t="n">
        <v>0</v>
      </c>
      <c r="M255" t="n">
        <v>0</v>
      </c>
      <c r="N255" t="n">
        <v>0</v>
      </c>
      <c r="O255" t="n">
        <v>0</v>
      </c>
      <c r="P255" t="n">
        <v>0</v>
      </c>
      <c r="Q255" t="n">
        <v>0</v>
      </c>
      <c r="R255" s="2" t="inlineStr"/>
    </row>
    <row r="256" ht="15" customHeight="1">
      <c r="A256" t="inlineStr">
        <is>
          <t>A 17268-2025</t>
        </is>
      </c>
      <c r="B256" s="1" t="n">
        <v>45756</v>
      </c>
      <c r="C256" s="1" t="n">
        <v>46134</v>
      </c>
      <c r="D256" t="inlineStr">
        <is>
          <t>DALARNAS LÄN</t>
        </is>
      </c>
      <c r="E256" t="inlineStr">
        <is>
          <t>MORA</t>
        </is>
      </c>
      <c r="G256" t="n">
        <v>6.8</v>
      </c>
      <c r="H256" t="n">
        <v>0</v>
      </c>
      <c r="I256" t="n">
        <v>0</v>
      </c>
      <c r="J256" t="n">
        <v>0</v>
      </c>
      <c r="K256" t="n">
        <v>0</v>
      </c>
      <c r="L256" t="n">
        <v>0</v>
      </c>
      <c r="M256" t="n">
        <v>0</v>
      </c>
      <c r="N256" t="n">
        <v>0</v>
      </c>
      <c r="O256" t="n">
        <v>0</v>
      </c>
      <c r="P256" t="n">
        <v>0</v>
      </c>
      <c r="Q256" t="n">
        <v>0</v>
      </c>
      <c r="R256" s="2" t="inlineStr"/>
    </row>
    <row r="257" ht="15" customHeight="1">
      <c r="A257" t="inlineStr">
        <is>
          <t>A 24653-2025</t>
        </is>
      </c>
      <c r="B257" s="1" t="n">
        <v>45798.63875</v>
      </c>
      <c r="C257" s="1" t="n">
        <v>46134</v>
      </c>
      <c r="D257" t="inlineStr">
        <is>
          <t>DALARNAS LÄN</t>
        </is>
      </c>
      <c r="E257" t="inlineStr">
        <is>
          <t>MORA</t>
        </is>
      </c>
      <c r="F257" t="inlineStr">
        <is>
          <t>Bergvik skog väst AB</t>
        </is>
      </c>
      <c r="G257" t="n">
        <v>4.9</v>
      </c>
      <c r="H257" t="n">
        <v>0</v>
      </c>
      <c r="I257" t="n">
        <v>0</v>
      </c>
      <c r="J257" t="n">
        <v>0</v>
      </c>
      <c r="K257" t="n">
        <v>0</v>
      </c>
      <c r="L257" t="n">
        <v>0</v>
      </c>
      <c r="M257" t="n">
        <v>0</v>
      </c>
      <c r="N257" t="n">
        <v>0</v>
      </c>
      <c r="O257" t="n">
        <v>0</v>
      </c>
      <c r="P257" t="n">
        <v>0</v>
      </c>
      <c r="Q257" t="n">
        <v>0</v>
      </c>
      <c r="R257" s="2" t="inlineStr"/>
    </row>
    <row r="258" ht="15" customHeight="1">
      <c r="A258" t="inlineStr">
        <is>
          <t>A 2879-2022</t>
        </is>
      </c>
      <c r="B258" s="1" t="n">
        <v>44581</v>
      </c>
      <c r="C258" s="1" t="n">
        <v>46134</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27642-2025</t>
        </is>
      </c>
      <c r="B259" s="1" t="n">
        <v>45813.59405092592</v>
      </c>
      <c r="C259" s="1" t="n">
        <v>46134</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41200-2025</t>
        </is>
      </c>
      <c r="B260" s="1" t="n">
        <v>45898.5738425926</v>
      </c>
      <c r="C260" s="1" t="n">
        <v>46134</v>
      </c>
      <c r="D260" t="inlineStr">
        <is>
          <t>DALARNAS LÄN</t>
        </is>
      </c>
      <c r="E260" t="inlineStr">
        <is>
          <t>MORA</t>
        </is>
      </c>
      <c r="G260" t="n">
        <v>8.9</v>
      </c>
      <c r="H260" t="n">
        <v>0</v>
      </c>
      <c r="I260" t="n">
        <v>0</v>
      </c>
      <c r="J260" t="n">
        <v>0</v>
      </c>
      <c r="K260" t="n">
        <v>0</v>
      </c>
      <c r="L260" t="n">
        <v>0</v>
      </c>
      <c r="M260" t="n">
        <v>0</v>
      </c>
      <c r="N260" t="n">
        <v>0</v>
      </c>
      <c r="O260" t="n">
        <v>0</v>
      </c>
      <c r="P260" t="n">
        <v>0</v>
      </c>
      <c r="Q260" t="n">
        <v>0</v>
      </c>
      <c r="R260" s="2" t="inlineStr"/>
    </row>
    <row r="261" ht="15" customHeight="1">
      <c r="A261" t="inlineStr">
        <is>
          <t>A 28033-2025</t>
        </is>
      </c>
      <c r="B261" s="1" t="n">
        <v>45817.6325462963</v>
      </c>
      <c r="C261" s="1" t="n">
        <v>46134</v>
      </c>
      <c r="D261" t="inlineStr">
        <is>
          <t>DALARNAS LÄN</t>
        </is>
      </c>
      <c r="E261" t="inlineStr">
        <is>
          <t>MORA</t>
        </is>
      </c>
      <c r="F261" t="inlineStr">
        <is>
          <t>Bergvik skog öst AB</t>
        </is>
      </c>
      <c r="G261" t="n">
        <v>12.8</v>
      </c>
      <c r="H261" t="n">
        <v>0</v>
      </c>
      <c r="I261" t="n">
        <v>0</v>
      </c>
      <c r="J261" t="n">
        <v>0</v>
      </c>
      <c r="K261" t="n">
        <v>0</v>
      </c>
      <c r="L261" t="n">
        <v>0</v>
      </c>
      <c r="M261" t="n">
        <v>0</v>
      </c>
      <c r="N261" t="n">
        <v>0</v>
      </c>
      <c r="O261" t="n">
        <v>0</v>
      </c>
      <c r="P261" t="n">
        <v>0</v>
      </c>
      <c r="Q261" t="n">
        <v>0</v>
      </c>
      <c r="R261" s="2" t="inlineStr"/>
    </row>
    <row r="262" ht="15" customHeight="1">
      <c r="A262" t="inlineStr">
        <is>
          <t>A 54628-2024</t>
        </is>
      </c>
      <c r="B262" s="1" t="n">
        <v>45617.83969907407</v>
      </c>
      <c r="C262" s="1" t="n">
        <v>46134</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1252-2025</t>
        </is>
      </c>
      <c r="B263" s="1" t="n">
        <v>45667.46648148148</v>
      </c>
      <c r="C263" s="1" t="n">
        <v>46134</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39348-2024</t>
        </is>
      </c>
      <c r="B264" s="1" t="n">
        <v>45551.45322916667</v>
      </c>
      <c r="C264" s="1" t="n">
        <v>46134</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41783-2025</t>
        </is>
      </c>
      <c r="B265" s="1" t="n">
        <v>45902.58721064815</v>
      </c>
      <c r="C265" s="1" t="n">
        <v>46134</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41614-2025</t>
        </is>
      </c>
      <c r="B266" s="1" t="n">
        <v>45901.68267361111</v>
      </c>
      <c r="C266" s="1" t="n">
        <v>46134</v>
      </c>
      <c r="D266" t="inlineStr">
        <is>
          <t>DALARNAS LÄN</t>
        </is>
      </c>
      <c r="E266" t="inlineStr">
        <is>
          <t>MORA</t>
        </is>
      </c>
      <c r="F266" t="inlineStr">
        <is>
          <t>Bergvik skog väst AB</t>
        </is>
      </c>
      <c r="G266" t="n">
        <v>13.8</v>
      </c>
      <c r="H266" t="n">
        <v>0</v>
      </c>
      <c r="I266" t="n">
        <v>0</v>
      </c>
      <c r="J266" t="n">
        <v>0</v>
      </c>
      <c r="K266" t="n">
        <v>0</v>
      </c>
      <c r="L266" t="n">
        <v>0</v>
      </c>
      <c r="M266" t="n">
        <v>0</v>
      </c>
      <c r="N266" t="n">
        <v>0</v>
      </c>
      <c r="O266" t="n">
        <v>0</v>
      </c>
      <c r="P266" t="n">
        <v>0</v>
      </c>
      <c r="Q266" t="n">
        <v>0</v>
      </c>
      <c r="R266" s="2" t="inlineStr"/>
    </row>
    <row r="267" ht="15" customHeight="1">
      <c r="A267" t="inlineStr">
        <is>
          <t>A 2830-2023</t>
        </is>
      </c>
      <c r="B267" s="1" t="n">
        <v>44945.32997685186</v>
      </c>
      <c r="C267" s="1" t="n">
        <v>46134</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5309-2023</t>
        </is>
      </c>
      <c r="B268" s="1" t="n">
        <v>44956</v>
      </c>
      <c r="C268" s="1" t="n">
        <v>46134</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28751-2025</t>
        </is>
      </c>
      <c r="B269" s="1" t="n">
        <v>45820.40034722222</v>
      </c>
      <c r="C269" s="1" t="n">
        <v>46134</v>
      </c>
      <c r="D269" t="inlineStr">
        <is>
          <t>DALARNAS LÄN</t>
        </is>
      </c>
      <c r="E269" t="inlineStr">
        <is>
          <t>MORA</t>
        </is>
      </c>
      <c r="F269" t="inlineStr">
        <is>
          <t>Bergvik skog öst AB</t>
        </is>
      </c>
      <c r="G269" t="n">
        <v>1</v>
      </c>
      <c r="H269" t="n">
        <v>0</v>
      </c>
      <c r="I269" t="n">
        <v>0</v>
      </c>
      <c r="J269" t="n">
        <v>0</v>
      </c>
      <c r="K269" t="n">
        <v>0</v>
      </c>
      <c r="L269" t="n">
        <v>0</v>
      </c>
      <c r="M269" t="n">
        <v>0</v>
      </c>
      <c r="N269" t="n">
        <v>0</v>
      </c>
      <c r="O269" t="n">
        <v>0</v>
      </c>
      <c r="P269" t="n">
        <v>0</v>
      </c>
      <c r="Q269" t="n">
        <v>0</v>
      </c>
      <c r="R269" s="2" t="inlineStr"/>
    </row>
    <row r="270" ht="15" customHeight="1">
      <c r="A270" t="inlineStr">
        <is>
          <t>A 28925-2025</t>
        </is>
      </c>
      <c r="B270" s="1" t="n">
        <v>45820.67107638889</v>
      </c>
      <c r="C270" s="1" t="n">
        <v>46134</v>
      </c>
      <c r="D270" t="inlineStr">
        <is>
          <t>DALARNAS LÄN</t>
        </is>
      </c>
      <c r="E270" t="inlineStr">
        <is>
          <t>MORA</t>
        </is>
      </c>
      <c r="G270" t="n">
        <v>3.7</v>
      </c>
      <c r="H270" t="n">
        <v>0</v>
      </c>
      <c r="I270" t="n">
        <v>0</v>
      </c>
      <c r="J270" t="n">
        <v>0</v>
      </c>
      <c r="K270" t="n">
        <v>0</v>
      </c>
      <c r="L270" t="n">
        <v>0</v>
      </c>
      <c r="M270" t="n">
        <v>0</v>
      </c>
      <c r="N270" t="n">
        <v>0</v>
      </c>
      <c r="O270" t="n">
        <v>0</v>
      </c>
      <c r="P270" t="n">
        <v>0</v>
      </c>
      <c r="Q270" t="n">
        <v>0</v>
      </c>
      <c r="R270" s="2" t="inlineStr"/>
    </row>
    <row r="271" ht="15" customHeight="1">
      <c r="A271" t="inlineStr">
        <is>
          <t>A 28927-2025</t>
        </is>
      </c>
      <c r="B271" s="1" t="n">
        <v>45820.67221064815</v>
      </c>
      <c r="C271" s="1" t="n">
        <v>46134</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28924-2025</t>
        </is>
      </c>
      <c r="B272" s="1" t="n">
        <v>45820.66846064815</v>
      </c>
      <c r="C272" s="1" t="n">
        <v>46134</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46134</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41855-2025</t>
        </is>
      </c>
      <c r="B274" s="1" t="n">
        <v>45902.93693287037</v>
      </c>
      <c r="C274" s="1" t="n">
        <v>46134</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29425-2025</t>
        </is>
      </c>
      <c r="B275" s="1" t="n">
        <v>45824.64524305556</v>
      </c>
      <c r="C275" s="1" t="n">
        <v>46134</v>
      </c>
      <c r="D275" t="inlineStr">
        <is>
          <t>DALARNAS LÄN</t>
        </is>
      </c>
      <c r="E275" t="inlineStr">
        <is>
          <t>MORA</t>
        </is>
      </c>
      <c r="G275" t="n">
        <v>4.4</v>
      </c>
      <c r="H275" t="n">
        <v>0</v>
      </c>
      <c r="I275" t="n">
        <v>0</v>
      </c>
      <c r="J275" t="n">
        <v>0</v>
      </c>
      <c r="K275" t="n">
        <v>0</v>
      </c>
      <c r="L275" t="n">
        <v>0</v>
      </c>
      <c r="M275" t="n">
        <v>0</v>
      </c>
      <c r="N275" t="n">
        <v>0</v>
      </c>
      <c r="O275" t="n">
        <v>0</v>
      </c>
      <c r="P275" t="n">
        <v>0</v>
      </c>
      <c r="Q275" t="n">
        <v>0</v>
      </c>
      <c r="R275" s="2" t="inlineStr"/>
    </row>
    <row r="276" ht="15" customHeight="1">
      <c r="A276" t="inlineStr">
        <is>
          <t>A 42112-2025</t>
        </is>
      </c>
      <c r="B276" s="1" t="n">
        <v>45904.32134259259</v>
      </c>
      <c r="C276" s="1" t="n">
        <v>46134</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28976-2025</t>
        </is>
      </c>
      <c r="B277" s="1" t="n">
        <v>45821.34855324074</v>
      </c>
      <c r="C277" s="1" t="n">
        <v>46134</v>
      </c>
      <c r="D277" t="inlineStr">
        <is>
          <t>DALARNAS LÄN</t>
        </is>
      </c>
      <c r="E277" t="inlineStr">
        <is>
          <t>MORA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29440-2025</t>
        </is>
      </c>
      <c r="B278" s="1" t="n">
        <v>45824.65862268519</v>
      </c>
      <c r="C278" s="1" t="n">
        <v>46134</v>
      </c>
      <c r="D278" t="inlineStr">
        <is>
          <t>DALARNAS LÄN</t>
        </is>
      </c>
      <c r="E278" t="inlineStr">
        <is>
          <t>MORA</t>
        </is>
      </c>
      <c r="G278" t="n">
        <v>1.7</v>
      </c>
      <c r="H278" t="n">
        <v>0</v>
      </c>
      <c r="I278" t="n">
        <v>0</v>
      </c>
      <c r="J278" t="n">
        <v>0</v>
      </c>
      <c r="K278" t="n">
        <v>0</v>
      </c>
      <c r="L278" t="n">
        <v>0</v>
      </c>
      <c r="M278" t="n">
        <v>0</v>
      </c>
      <c r="N278" t="n">
        <v>0</v>
      </c>
      <c r="O278" t="n">
        <v>0</v>
      </c>
      <c r="P278" t="n">
        <v>0</v>
      </c>
      <c r="Q278" t="n">
        <v>0</v>
      </c>
      <c r="R278" s="2" t="inlineStr"/>
    </row>
    <row r="279" ht="15" customHeight="1">
      <c r="A279" t="inlineStr">
        <is>
          <t>A 2110-2026</t>
        </is>
      </c>
      <c r="B279" s="1" t="n">
        <v>46036</v>
      </c>
      <c r="C279" s="1" t="n">
        <v>46134</v>
      </c>
      <c r="D279" t="inlineStr">
        <is>
          <t>DALARNAS LÄN</t>
        </is>
      </c>
      <c r="E279" t="inlineStr">
        <is>
          <t>MORA</t>
        </is>
      </c>
      <c r="G279" t="n">
        <v>7.2</v>
      </c>
      <c r="H279" t="n">
        <v>0</v>
      </c>
      <c r="I279" t="n">
        <v>0</v>
      </c>
      <c r="J279" t="n">
        <v>0</v>
      </c>
      <c r="K279" t="n">
        <v>0</v>
      </c>
      <c r="L279" t="n">
        <v>0</v>
      </c>
      <c r="M279" t="n">
        <v>0</v>
      </c>
      <c r="N279" t="n">
        <v>0</v>
      </c>
      <c r="O279" t="n">
        <v>0</v>
      </c>
      <c r="P279" t="n">
        <v>0</v>
      </c>
      <c r="Q279" t="n">
        <v>0</v>
      </c>
      <c r="R279" s="2" t="inlineStr"/>
    </row>
    <row r="280" ht="15" customHeight="1">
      <c r="A280" t="inlineStr">
        <is>
          <t>A 29068-2025</t>
        </is>
      </c>
      <c r="B280" s="1" t="n">
        <v>45821.50900462963</v>
      </c>
      <c r="C280" s="1" t="n">
        <v>46134</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42813-2025</t>
        </is>
      </c>
      <c r="B281" s="1" t="n">
        <v>45908.56168981481</v>
      </c>
      <c r="C281" s="1" t="n">
        <v>46134</v>
      </c>
      <c r="D281" t="inlineStr">
        <is>
          <t>DALARNAS LÄN</t>
        </is>
      </c>
      <c r="E281" t="inlineStr">
        <is>
          <t>MORA</t>
        </is>
      </c>
      <c r="G281" t="n">
        <v>4.3</v>
      </c>
      <c r="H281" t="n">
        <v>0</v>
      </c>
      <c r="I281" t="n">
        <v>0</v>
      </c>
      <c r="J281" t="n">
        <v>0</v>
      </c>
      <c r="K281" t="n">
        <v>0</v>
      </c>
      <c r="L281" t="n">
        <v>0</v>
      </c>
      <c r="M281" t="n">
        <v>0</v>
      </c>
      <c r="N281" t="n">
        <v>0</v>
      </c>
      <c r="O281" t="n">
        <v>0</v>
      </c>
      <c r="P281" t="n">
        <v>0</v>
      </c>
      <c r="Q281" t="n">
        <v>0</v>
      </c>
      <c r="R281" s="2" t="inlineStr"/>
    </row>
    <row r="282" ht="15" customHeight="1">
      <c r="A282" t="inlineStr">
        <is>
          <t>A 29870-2025</t>
        </is>
      </c>
      <c r="B282" s="1" t="n">
        <v>45826.35716435185</v>
      </c>
      <c r="C282" s="1" t="n">
        <v>46134</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29873-2025</t>
        </is>
      </c>
      <c r="B283" s="1" t="n">
        <v>45826</v>
      </c>
      <c r="C283" s="1" t="n">
        <v>46134</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34660-2021</t>
        </is>
      </c>
      <c r="B284" s="1" t="n">
        <v>44382.57981481482</v>
      </c>
      <c r="C284" s="1" t="n">
        <v>46134</v>
      </c>
      <c r="D284" t="inlineStr">
        <is>
          <t>DALARNAS LÄN</t>
        </is>
      </c>
      <c r="E284" t="inlineStr">
        <is>
          <t>MORA</t>
        </is>
      </c>
      <c r="G284" t="n">
        <v>7.5</v>
      </c>
      <c r="H284" t="n">
        <v>0</v>
      </c>
      <c r="I284" t="n">
        <v>0</v>
      </c>
      <c r="J284" t="n">
        <v>0</v>
      </c>
      <c r="K284" t="n">
        <v>0</v>
      </c>
      <c r="L284" t="n">
        <v>0</v>
      </c>
      <c r="M284" t="n">
        <v>0</v>
      </c>
      <c r="N284" t="n">
        <v>0</v>
      </c>
      <c r="O284" t="n">
        <v>0</v>
      </c>
      <c r="P284" t="n">
        <v>0</v>
      </c>
      <c r="Q284" t="n">
        <v>0</v>
      </c>
      <c r="R284" s="2" t="inlineStr"/>
    </row>
    <row r="285" ht="15" customHeight="1">
      <c r="A285" t="inlineStr">
        <is>
          <t>A 2308-2023</t>
        </is>
      </c>
      <c r="B285" s="1" t="n">
        <v>44942.57987268519</v>
      </c>
      <c r="C285" s="1" t="n">
        <v>46134</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29528-2025</t>
        </is>
      </c>
      <c r="B286" s="1" t="n">
        <v>45825.34322916667</v>
      </c>
      <c r="C286" s="1" t="n">
        <v>46134</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56012-2023</t>
        </is>
      </c>
      <c r="B287" s="1" t="n">
        <v>45240</v>
      </c>
      <c r="C287" s="1" t="n">
        <v>46134</v>
      </c>
      <c r="D287" t="inlineStr">
        <is>
          <t>DALARNAS LÄN</t>
        </is>
      </c>
      <c r="E287" t="inlineStr">
        <is>
          <t>MORA</t>
        </is>
      </c>
      <c r="G287" t="n">
        <v>0.3</v>
      </c>
      <c r="H287" t="n">
        <v>0</v>
      </c>
      <c r="I287" t="n">
        <v>0</v>
      </c>
      <c r="J287" t="n">
        <v>0</v>
      </c>
      <c r="K287" t="n">
        <v>0</v>
      </c>
      <c r="L287" t="n">
        <v>0</v>
      </c>
      <c r="M287" t="n">
        <v>0</v>
      </c>
      <c r="N287" t="n">
        <v>0</v>
      </c>
      <c r="O287" t="n">
        <v>0</v>
      </c>
      <c r="P287" t="n">
        <v>0</v>
      </c>
      <c r="Q287" t="n">
        <v>0</v>
      </c>
      <c r="R287" s="2" t="inlineStr"/>
    </row>
    <row r="288" ht="15" customHeight="1">
      <c r="A288" t="inlineStr">
        <is>
          <t>A 42830-2025</t>
        </is>
      </c>
      <c r="B288" s="1" t="n">
        <v>45908.57753472222</v>
      </c>
      <c r="C288" s="1" t="n">
        <v>46134</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46134</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42954-2025</t>
        </is>
      </c>
      <c r="B290" s="1" t="n">
        <v>45909.3578125</v>
      </c>
      <c r="C290" s="1" t="n">
        <v>46134</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46134</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30087-2025</t>
        </is>
      </c>
      <c r="B292" s="1" t="n">
        <v>45826.6575</v>
      </c>
      <c r="C292" s="1" t="n">
        <v>46134</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43153-2025</t>
        </is>
      </c>
      <c r="B293" s="1" t="n">
        <v>45910.34449074074</v>
      </c>
      <c r="C293" s="1" t="n">
        <v>46134</v>
      </c>
      <c r="D293" t="inlineStr">
        <is>
          <t>DALARNAS LÄN</t>
        </is>
      </c>
      <c r="E293" t="inlineStr">
        <is>
          <t>MORA</t>
        </is>
      </c>
      <c r="G293" t="n">
        <v>3.9</v>
      </c>
      <c r="H293" t="n">
        <v>0</v>
      </c>
      <c r="I293" t="n">
        <v>0</v>
      </c>
      <c r="J293" t="n">
        <v>0</v>
      </c>
      <c r="K293" t="n">
        <v>0</v>
      </c>
      <c r="L293" t="n">
        <v>0</v>
      </c>
      <c r="M293" t="n">
        <v>0</v>
      </c>
      <c r="N293" t="n">
        <v>0</v>
      </c>
      <c r="O293" t="n">
        <v>0</v>
      </c>
      <c r="P293" t="n">
        <v>0</v>
      </c>
      <c r="Q293" t="n">
        <v>0</v>
      </c>
      <c r="R293" s="2" t="inlineStr"/>
    </row>
    <row r="294" ht="15" customHeight="1">
      <c r="A294" t="inlineStr">
        <is>
          <t>A 43157-2025</t>
        </is>
      </c>
      <c r="B294" s="1" t="n">
        <v>45910.34953703704</v>
      </c>
      <c r="C294" s="1" t="n">
        <v>46134</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30166-2025</t>
        </is>
      </c>
      <c r="B295" s="1" t="n">
        <v>45827.33116898148</v>
      </c>
      <c r="C295" s="1" t="n">
        <v>46134</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40325-2024</t>
        </is>
      </c>
      <c r="B296" s="1" t="n">
        <v>45554.88538194444</v>
      </c>
      <c r="C296" s="1" t="n">
        <v>46134</v>
      </c>
      <c r="D296" t="inlineStr">
        <is>
          <t>DALARNAS LÄN</t>
        </is>
      </c>
      <c r="E296" t="inlineStr">
        <is>
          <t>MORA</t>
        </is>
      </c>
      <c r="G296" t="n">
        <v>2.8</v>
      </c>
      <c r="H296" t="n">
        <v>0</v>
      </c>
      <c r="I296" t="n">
        <v>0</v>
      </c>
      <c r="J296" t="n">
        <v>0</v>
      </c>
      <c r="K296" t="n">
        <v>0</v>
      </c>
      <c r="L296" t="n">
        <v>0</v>
      </c>
      <c r="M296" t="n">
        <v>0</v>
      </c>
      <c r="N296" t="n">
        <v>0</v>
      </c>
      <c r="O296" t="n">
        <v>0</v>
      </c>
      <c r="P296" t="n">
        <v>0</v>
      </c>
      <c r="Q296" t="n">
        <v>0</v>
      </c>
      <c r="R296" s="2" t="inlineStr"/>
    </row>
    <row r="297" ht="15" customHeight="1">
      <c r="A297" t="inlineStr">
        <is>
          <t>A 43474-2025</t>
        </is>
      </c>
      <c r="B297" s="1" t="n">
        <v>45911.48967592593</v>
      </c>
      <c r="C297" s="1" t="n">
        <v>46134</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24335-2022</t>
        </is>
      </c>
      <c r="B298" s="1" t="n">
        <v>44725</v>
      </c>
      <c r="C298" s="1" t="n">
        <v>46134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30507-2025</t>
        </is>
      </c>
      <c r="B299" s="1" t="n">
        <v>45831.24760416667</v>
      </c>
      <c r="C299" s="1" t="n">
        <v>46134</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43811-2025</t>
        </is>
      </c>
      <c r="B300" s="1" t="n">
        <v>45912.58710648148</v>
      </c>
      <c r="C300" s="1" t="n">
        <v>46134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30858-2025</t>
        </is>
      </c>
      <c r="B301" s="1" t="n">
        <v>45831.92416666666</v>
      </c>
      <c r="C301" s="1" t="n">
        <v>46134</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30859-2025</t>
        </is>
      </c>
      <c r="B302" s="1" t="n">
        <v>45831.93105324074</v>
      </c>
      <c r="C302" s="1" t="n">
        <v>46134</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15440-2024</t>
        </is>
      </c>
      <c r="B303" s="1" t="n">
        <v>45401.4194212963</v>
      </c>
      <c r="C303" s="1" t="n">
        <v>46134</v>
      </c>
      <c r="D303" t="inlineStr">
        <is>
          <t>DALARNAS LÄN</t>
        </is>
      </c>
      <c r="E303" t="inlineStr">
        <is>
          <t>MORA</t>
        </is>
      </c>
      <c r="G303" t="n">
        <v>1.1</v>
      </c>
      <c r="H303" t="n">
        <v>0</v>
      </c>
      <c r="I303" t="n">
        <v>0</v>
      </c>
      <c r="J303" t="n">
        <v>0</v>
      </c>
      <c r="K303" t="n">
        <v>0</v>
      </c>
      <c r="L303" t="n">
        <v>0</v>
      </c>
      <c r="M303" t="n">
        <v>0</v>
      </c>
      <c r="N303" t="n">
        <v>0</v>
      </c>
      <c r="O303" t="n">
        <v>0</v>
      </c>
      <c r="P303" t="n">
        <v>0</v>
      </c>
      <c r="Q303" t="n">
        <v>0</v>
      </c>
      <c r="R303" s="2" t="inlineStr"/>
    </row>
    <row r="304" ht="15" customHeight="1">
      <c r="A304" t="inlineStr">
        <is>
          <t>A 30989-2025</t>
        </is>
      </c>
      <c r="B304" s="1" t="n">
        <v>45832.48185185185</v>
      </c>
      <c r="C304" s="1" t="n">
        <v>46134</v>
      </c>
      <c r="D304" t="inlineStr">
        <is>
          <t>DALARNAS LÄN</t>
        </is>
      </c>
      <c r="E304" t="inlineStr">
        <is>
          <t>MORA</t>
        </is>
      </c>
      <c r="F304" t="inlineStr">
        <is>
          <t>Bergvik skog öst AB</t>
        </is>
      </c>
      <c r="G304" t="n">
        <v>4.1</v>
      </c>
      <c r="H304" t="n">
        <v>0</v>
      </c>
      <c r="I304" t="n">
        <v>0</v>
      </c>
      <c r="J304" t="n">
        <v>0</v>
      </c>
      <c r="K304" t="n">
        <v>0</v>
      </c>
      <c r="L304" t="n">
        <v>0</v>
      </c>
      <c r="M304" t="n">
        <v>0</v>
      </c>
      <c r="N304" t="n">
        <v>0</v>
      </c>
      <c r="O304" t="n">
        <v>0</v>
      </c>
      <c r="P304" t="n">
        <v>0</v>
      </c>
      <c r="Q304" t="n">
        <v>0</v>
      </c>
      <c r="R304" s="2" t="inlineStr"/>
    </row>
    <row r="305" ht="15" customHeight="1">
      <c r="A305" t="inlineStr">
        <is>
          <t>A 11857-2023</t>
        </is>
      </c>
      <c r="B305" s="1" t="n">
        <v>44995</v>
      </c>
      <c r="C305" s="1" t="n">
        <v>46134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30509-2025</t>
        </is>
      </c>
      <c r="B306" s="1" t="n">
        <v>45831.25519675926</v>
      </c>
      <c r="C306" s="1" t="n">
        <v>46134</v>
      </c>
      <c r="D306" t="inlineStr">
        <is>
          <t>DALARNAS LÄN</t>
        </is>
      </c>
      <c r="E306" t="inlineStr">
        <is>
          <t>MORA</t>
        </is>
      </c>
      <c r="G306" t="n">
        <v>1.7</v>
      </c>
      <c r="H306" t="n">
        <v>0</v>
      </c>
      <c r="I306" t="n">
        <v>0</v>
      </c>
      <c r="J306" t="n">
        <v>0</v>
      </c>
      <c r="K306" t="n">
        <v>0</v>
      </c>
      <c r="L306" t="n">
        <v>0</v>
      </c>
      <c r="M306" t="n">
        <v>0</v>
      </c>
      <c r="N306" t="n">
        <v>0</v>
      </c>
      <c r="O306" t="n">
        <v>0</v>
      </c>
      <c r="P306" t="n">
        <v>0</v>
      </c>
      <c r="Q306" t="n">
        <v>0</v>
      </c>
      <c r="R306" s="2" t="inlineStr"/>
    </row>
    <row r="307" ht="15" customHeight="1">
      <c r="A307" t="inlineStr">
        <is>
          <t>A 15818-2024</t>
        </is>
      </c>
      <c r="B307" s="1" t="n">
        <v>45404.67442129629</v>
      </c>
      <c r="C307" s="1" t="n">
        <v>46134</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45674-2024</t>
        </is>
      </c>
      <c r="B308" s="1" t="n">
        <v>45573</v>
      </c>
      <c r="C308" s="1" t="n">
        <v>46134</v>
      </c>
      <c r="D308" t="inlineStr">
        <is>
          <t>DALARNAS LÄN</t>
        </is>
      </c>
      <c r="E308" t="inlineStr">
        <is>
          <t>MORA</t>
        </is>
      </c>
      <c r="G308" t="n">
        <v>3.2</v>
      </c>
      <c r="H308" t="n">
        <v>0</v>
      </c>
      <c r="I308" t="n">
        <v>0</v>
      </c>
      <c r="J308" t="n">
        <v>0</v>
      </c>
      <c r="K308" t="n">
        <v>0</v>
      </c>
      <c r="L308" t="n">
        <v>0</v>
      </c>
      <c r="M308" t="n">
        <v>0</v>
      </c>
      <c r="N308" t="n">
        <v>0</v>
      </c>
      <c r="O308" t="n">
        <v>0</v>
      </c>
      <c r="P308" t="n">
        <v>0</v>
      </c>
      <c r="Q308" t="n">
        <v>0</v>
      </c>
      <c r="R308" s="2" t="inlineStr"/>
    </row>
    <row r="309" ht="15" customHeight="1">
      <c r="A309" t="inlineStr">
        <is>
          <t>A 31849-2025</t>
        </is>
      </c>
      <c r="B309" s="1" t="n">
        <v>45834.60525462963</v>
      </c>
      <c r="C309" s="1" t="n">
        <v>46134</v>
      </c>
      <c r="D309" t="inlineStr">
        <is>
          <t>DALARNAS LÄN</t>
        </is>
      </c>
      <c r="E309" t="inlineStr">
        <is>
          <t>MORA</t>
        </is>
      </c>
      <c r="G309" t="n">
        <v>3.9</v>
      </c>
      <c r="H309" t="n">
        <v>0</v>
      </c>
      <c r="I309" t="n">
        <v>0</v>
      </c>
      <c r="J309" t="n">
        <v>0</v>
      </c>
      <c r="K309" t="n">
        <v>0</v>
      </c>
      <c r="L309" t="n">
        <v>0</v>
      </c>
      <c r="M309" t="n">
        <v>0</v>
      </c>
      <c r="N309" t="n">
        <v>0</v>
      </c>
      <c r="O309" t="n">
        <v>0</v>
      </c>
      <c r="P309" t="n">
        <v>0</v>
      </c>
      <c r="Q309" t="n">
        <v>0</v>
      </c>
      <c r="R309" s="2" t="inlineStr"/>
    </row>
    <row r="310" ht="15" customHeight="1">
      <c r="A310" t="inlineStr">
        <is>
          <t>A 45390-2024</t>
        </is>
      </c>
      <c r="B310" s="1" t="n">
        <v>45576.54820601852</v>
      </c>
      <c r="C310" s="1" t="n">
        <v>46134</v>
      </c>
      <c r="D310" t="inlineStr">
        <is>
          <t>DALARNAS LÄN</t>
        </is>
      </c>
      <c r="E310" t="inlineStr">
        <is>
          <t>MORA</t>
        </is>
      </c>
      <c r="F310" t="inlineStr">
        <is>
          <t>Bergvik skog väst AB</t>
        </is>
      </c>
      <c r="G310" t="n">
        <v>5.6</v>
      </c>
      <c r="H310" t="n">
        <v>0</v>
      </c>
      <c r="I310" t="n">
        <v>0</v>
      </c>
      <c r="J310" t="n">
        <v>0</v>
      </c>
      <c r="K310" t="n">
        <v>0</v>
      </c>
      <c r="L310" t="n">
        <v>0</v>
      </c>
      <c r="M310" t="n">
        <v>0</v>
      </c>
      <c r="N310" t="n">
        <v>0</v>
      </c>
      <c r="O310" t="n">
        <v>0</v>
      </c>
      <c r="P310" t="n">
        <v>0</v>
      </c>
      <c r="Q310" t="n">
        <v>0</v>
      </c>
      <c r="R310" s="2" t="inlineStr"/>
    </row>
    <row r="311" ht="15" customHeight="1">
      <c r="A311" t="inlineStr">
        <is>
          <t>A 44384-2025</t>
        </is>
      </c>
      <c r="B311" s="1" t="n">
        <v>45916.48513888889</v>
      </c>
      <c r="C311" s="1" t="n">
        <v>46134</v>
      </c>
      <c r="D311" t="inlineStr">
        <is>
          <t>DALARNAS LÄN</t>
        </is>
      </c>
      <c r="E311" t="inlineStr">
        <is>
          <t>MORA</t>
        </is>
      </c>
      <c r="F311" t="inlineStr">
        <is>
          <t>Kyrkan</t>
        </is>
      </c>
      <c r="G311" t="n">
        <v>5.1</v>
      </c>
      <c r="H311" t="n">
        <v>0</v>
      </c>
      <c r="I311" t="n">
        <v>0</v>
      </c>
      <c r="J311" t="n">
        <v>0</v>
      </c>
      <c r="K311" t="n">
        <v>0</v>
      </c>
      <c r="L311" t="n">
        <v>0</v>
      </c>
      <c r="M311" t="n">
        <v>0</v>
      </c>
      <c r="N311" t="n">
        <v>0</v>
      </c>
      <c r="O311" t="n">
        <v>0</v>
      </c>
      <c r="P311" t="n">
        <v>0</v>
      </c>
      <c r="Q311" t="n">
        <v>0</v>
      </c>
      <c r="R311" s="2" t="inlineStr"/>
    </row>
    <row r="312" ht="15" customHeight="1">
      <c r="A312" t="inlineStr">
        <is>
          <t>A 19756-2022</t>
        </is>
      </c>
      <c r="B312" s="1" t="n">
        <v>44694.62913194444</v>
      </c>
      <c r="C312" s="1" t="n">
        <v>46134</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31846-2025</t>
        </is>
      </c>
      <c r="B313" s="1" t="n">
        <v>45834.60209490741</v>
      </c>
      <c r="C313" s="1" t="n">
        <v>46134</v>
      </c>
      <c r="D313" t="inlineStr">
        <is>
          <t>DALARNAS LÄN</t>
        </is>
      </c>
      <c r="E313" t="inlineStr">
        <is>
          <t>MORA</t>
        </is>
      </c>
      <c r="G313" t="n">
        <v>3.6</v>
      </c>
      <c r="H313" t="n">
        <v>0</v>
      </c>
      <c r="I313" t="n">
        <v>0</v>
      </c>
      <c r="J313" t="n">
        <v>0</v>
      </c>
      <c r="K313" t="n">
        <v>0</v>
      </c>
      <c r="L313" t="n">
        <v>0</v>
      </c>
      <c r="M313" t="n">
        <v>0</v>
      </c>
      <c r="N313" t="n">
        <v>0</v>
      </c>
      <c r="O313" t="n">
        <v>0</v>
      </c>
      <c r="P313" t="n">
        <v>0</v>
      </c>
      <c r="Q313" t="n">
        <v>0</v>
      </c>
      <c r="R313" s="2" t="inlineStr"/>
    </row>
    <row r="314" ht="15" customHeight="1">
      <c r="A314" t="inlineStr">
        <is>
          <t>A 5216-2025</t>
        </is>
      </c>
      <c r="B314" s="1" t="n">
        <v>45691.69671296296</v>
      </c>
      <c r="C314" s="1" t="n">
        <v>46134</v>
      </c>
      <c r="D314" t="inlineStr">
        <is>
          <t>DALARNAS LÄN</t>
        </is>
      </c>
      <c r="E314" t="inlineStr">
        <is>
          <t>MORA</t>
        </is>
      </c>
      <c r="G314" t="n">
        <v>2.5</v>
      </c>
      <c r="H314" t="n">
        <v>0</v>
      </c>
      <c r="I314" t="n">
        <v>0</v>
      </c>
      <c r="J314" t="n">
        <v>0</v>
      </c>
      <c r="K314" t="n">
        <v>0</v>
      </c>
      <c r="L314" t="n">
        <v>0</v>
      </c>
      <c r="M314" t="n">
        <v>0</v>
      </c>
      <c r="N314" t="n">
        <v>0</v>
      </c>
      <c r="O314" t="n">
        <v>0</v>
      </c>
      <c r="P314" t="n">
        <v>0</v>
      </c>
      <c r="Q314" t="n">
        <v>0</v>
      </c>
      <c r="R314" s="2" t="inlineStr"/>
    </row>
    <row r="315" ht="15" customHeight="1">
      <c r="A315" t="inlineStr">
        <is>
          <t>A 53344-2023</t>
        </is>
      </c>
      <c r="B315" s="1" t="n">
        <v>45229</v>
      </c>
      <c r="C315" s="1" t="n">
        <v>46134</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31842-2025</t>
        </is>
      </c>
      <c r="B316" s="1" t="n">
        <v>45834.59822916667</v>
      </c>
      <c r="C316" s="1" t="n">
        <v>46134</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59448-2022</t>
        </is>
      </c>
      <c r="B317" s="1" t="n">
        <v>44907</v>
      </c>
      <c r="C317" s="1" t="n">
        <v>46134</v>
      </c>
      <c r="D317" t="inlineStr">
        <is>
          <t>DALARNAS LÄN</t>
        </is>
      </c>
      <c r="E317" t="inlineStr">
        <is>
          <t>MORA</t>
        </is>
      </c>
      <c r="G317" t="n">
        <v>35.7</v>
      </c>
      <c r="H317" t="n">
        <v>0</v>
      </c>
      <c r="I317" t="n">
        <v>0</v>
      </c>
      <c r="J317" t="n">
        <v>0</v>
      </c>
      <c r="K317" t="n">
        <v>0</v>
      </c>
      <c r="L317" t="n">
        <v>0</v>
      </c>
      <c r="M317" t="n">
        <v>0</v>
      </c>
      <c r="N317" t="n">
        <v>0</v>
      </c>
      <c r="O317" t="n">
        <v>0</v>
      </c>
      <c r="P317" t="n">
        <v>0</v>
      </c>
      <c r="Q317" t="n">
        <v>0</v>
      </c>
      <c r="R317" s="2" t="inlineStr"/>
    </row>
    <row r="318" ht="15" customHeight="1">
      <c r="A318" t="inlineStr">
        <is>
          <t>A 57797-2022</t>
        </is>
      </c>
      <c r="B318" s="1" t="n">
        <v>44897</v>
      </c>
      <c r="C318" s="1" t="n">
        <v>46134</v>
      </c>
      <c r="D318" t="inlineStr">
        <is>
          <t>DALARNAS LÄN</t>
        </is>
      </c>
      <c r="E318" t="inlineStr">
        <is>
          <t>MORA</t>
        </is>
      </c>
      <c r="G318" t="n">
        <v>3.1</v>
      </c>
      <c r="H318" t="n">
        <v>0</v>
      </c>
      <c r="I318" t="n">
        <v>0</v>
      </c>
      <c r="J318" t="n">
        <v>0</v>
      </c>
      <c r="K318" t="n">
        <v>0</v>
      </c>
      <c r="L318" t="n">
        <v>0</v>
      </c>
      <c r="M318" t="n">
        <v>0</v>
      </c>
      <c r="N318" t="n">
        <v>0</v>
      </c>
      <c r="O318" t="n">
        <v>0</v>
      </c>
      <c r="P318" t="n">
        <v>0</v>
      </c>
      <c r="Q318" t="n">
        <v>0</v>
      </c>
      <c r="R318" s="2" t="inlineStr"/>
    </row>
    <row r="319" ht="15" customHeight="1">
      <c r="A319" t="inlineStr">
        <is>
          <t>A 40286-2024</t>
        </is>
      </c>
      <c r="B319" s="1" t="n">
        <v>45554.6687037037</v>
      </c>
      <c r="C319" s="1" t="n">
        <v>46134</v>
      </c>
      <c r="D319" t="inlineStr">
        <is>
          <t>DALARNAS LÄN</t>
        </is>
      </c>
      <c r="E319" t="inlineStr">
        <is>
          <t>MORA</t>
        </is>
      </c>
      <c r="G319" t="n">
        <v>0.4</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46134</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48824-2023</t>
        </is>
      </c>
      <c r="B321" s="1" t="n">
        <v>45203</v>
      </c>
      <c r="C321" s="1" t="n">
        <v>46134</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45355-2024</t>
        </is>
      </c>
      <c r="B322" s="1" t="n">
        <v>45576</v>
      </c>
      <c r="C322" s="1" t="n">
        <v>46134</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20504-2023</t>
        </is>
      </c>
      <c r="B323" s="1" t="n">
        <v>45057</v>
      </c>
      <c r="C323" s="1" t="n">
        <v>46134</v>
      </c>
      <c r="D323" t="inlineStr">
        <is>
          <t>DALARNAS LÄN</t>
        </is>
      </c>
      <c r="E323" t="inlineStr">
        <is>
          <t>MORA</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44595-2024</t>
        </is>
      </c>
      <c r="B324" s="1" t="n">
        <v>45574.51053240741</v>
      </c>
      <c r="C324" s="1" t="n">
        <v>46134</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45191-2025</t>
        </is>
      </c>
      <c r="B325" s="1" t="n">
        <v>45919.54811342592</v>
      </c>
      <c r="C325" s="1" t="n">
        <v>46134</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43566-2023</t>
        </is>
      </c>
      <c r="B326" s="1" t="n">
        <v>45184.58199074074</v>
      </c>
      <c r="C326" s="1" t="n">
        <v>46134</v>
      </c>
      <c r="D326" t="inlineStr">
        <is>
          <t>DALARNAS LÄN</t>
        </is>
      </c>
      <c r="E326" t="inlineStr">
        <is>
          <t>MORA</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1881-2026</t>
        </is>
      </c>
      <c r="B327" s="1" t="n">
        <v>46035.4731712963</v>
      </c>
      <c r="C327" s="1" t="n">
        <v>46134</v>
      </c>
      <c r="D327" t="inlineStr">
        <is>
          <t>DALARNAS LÄN</t>
        </is>
      </c>
      <c r="E327" t="inlineStr">
        <is>
          <t>MORA</t>
        </is>
      </c>
      <c r="G327" t="n">
        <v>5.2</v>
      </c>
      <c r="H327" t="n">
        <v>0</v>
      </c>
      <c r="I327" t="n">
        <v>0</v>
      </c>
      <c r="J327" t="n">
        <v>0</v>
      </c>
      <c r="K327" t="n">
        <v>0</v>
      </c>
      <c r="L327" t="n">
        <v>0</v>
      </c>
      <c r="M327" t="n">
        <v>0</v>
      </c>
      <c r="N327" t="n">
        <v>0</v>
      </c>
      <c r="O327" t="n">
        <v>0</v>
      </c>
      <c r="P327" t="n">
        <v>0</v>
      </c>
      <c r="Q327" t="n">
        <v>0</v>
      </c>
      <c r="R327" s="2" t="inlineStr"/>
    </row>
    <row r="328" ht="15" customHeight="1">
      <c r="A328" t="inlineStr">
        <is>
          <t>A 45181-2025</t>
        </is>
      </c>
      <c r="B328" s="1" t="n">
        <v>45919.53329861111</v>
      </c>
      <c r="C328" s="1" t="n">
        <v>46134</v>
      </c>
      <c r="D328" t="inlineStr">
        <is>
          <t>DALARNAS LÄN</t>
        </is>
      </c>
      <c r="E328" t="inlineStr">
        <is>
          <t>MORA</t>
        </is>
      </c>
      <c r="G328" t="n">
        <v>4.5</v>
      </c>
      <c r="H328" t="n">
        <v>0</v>
      </c>
      <c r="I328" t="n">
        <v>0</v>
      </c>
      <c r="J328" t="n">
        <v>0</v>
      </c>
      <c r="K328" t="n">
        <v>0</v>
      </c>
      <c r="L328" t="n">
        <v>0</v>
      </c>
      <c r="M328" t="n">
        <v>0</v>
      </c>
      <c r="N328" t="n">
        <v>0</v>
      </c>
      <c r="O328" t="n">
        <v>0</v>
      </c>
      <c r="P328" t="n">
        <v>0</v>
      </c>
      <c r="Q328" t="n">
        <v>0</v>
      </c>
      <c r="R328" s="2" t="inlineStr"/>
    </row>
    <row r="329" ht="15" customHeight="1">
      <c r="A329" t="inlineStr">
        <is>
          <t>A 46090-2025</t>
        </is>
      </c>
      <c r="B329" s="1" t="n">
        <v>45924.5253125</v>
      </c>
      <c r="C329" s="1" t="n">
        <v>46134</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53743-2024</t>
        </is>
      </c>
      <c r="B330" s="1" t="n">
        <v>45615.47137731482</v>
      </c>
      <c r="C330" s="1" t="n">
        <v>46134</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32852-2025</t>
        </is>
      </c>
      <c r="B331" s="1" t="n">
        <v>45839.57559027777</v>
      </c>
      <c r="C331" s="1" t="n">
        <v>46134</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48170-2024</t>
        </is>
      </c>
      <c r="B332" s="1" t="n">
        <v>45589.76975694444</v>
      </c>
      <c r="C332" s="1" t="n">
        <v>46134</v>
      </c>
      <c r="D332" t="inlineStr">
        <is>
          <t>DALARNAS LÄN</t>
        </is>
      </c>
      <c r="E332" t="inlineStr">
        <is>
          <t>MORA</t>
        </is>
      </c>
      <c r="G332" t="n">
        <v>2.4</v>
      </c>
      <c r="H332" t="n">
        <v>0</v>
      </c>
      <c r="I332" t="n">
        <v>0</v>
      </c>
      <c r="J332" t="n">
        <v>0</v>
      </c>
      <c r="K332" t="n">
        <v>0</v>
      </c>
      <c r="L332" t="n">
        <v>0</v>
      </c>
      <c r="M332" t="n">
        <v>0</v>
      </c>
      <c r="N332" t="n">
        <v>0</v>
      </c>
      <c r="O332" t="n">
        <v>0</v>
      </c>
      <c r="P332" t="n">
        <v>0</v>
      </c>
      <c r="Q332" t="n">
        <v>0</v>
      </c>
      <c r="R332" s="2" t="inlineStr"/>
    </row>
    <row r="333" ht="15" customHeight="1">
      <c r="A333" t="inlineStr">
        <is>
          <t>A 46091-2025</t>
        </is>
      </c>
      <c r="B333" s="1" t="n">
        <v>45924.52871527777</v>
      </c>
      <c r="C333" s="1" t="n">
        <v>46134</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33443-2025</t>
        </is>
      </c>
      <c r="B334" s="1" t="n">
        <v>45841</v>
      </c>
      <c r="C334" s="1" t="n">
        <v>46134</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20594-2025</t>
        </is>
      </c>
      <c r="B335" s="1" t="n">
        <v>45775.74009259259</v>
      </c>
      <c r="C335" s="1" t="n">
        <v>46134</v>
      </c>
      <c r="D335" t="inlineStr">
        <is>
          <t>DALARNAS LÄN</t>
        </is>
      </c>
      <c r="E335" t="inlineStr">
        <is>
          <t>MORA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46525-2025</t>
        </is>
      </c>
      <c r="B336" s="1" t="n">
        <v>45926.3312962963</v>
      </c>
      <c r="C336" s="1" t="n">
        <v>46134</v>
      </c>
      <c r="D336" t="inlineStr">
        <is>
          <t>DALARNAS LÄN</t>
        </is>
      </c>
      <c r="E336" t="inlineStr">
        <is>
          <t>MORA</t>
        </is>
      </c>
      <c r="G336" t="n">
        <v>6.3</v>
      </c>
      <c r="H336" t="n">
        <v>0</v>
      </c>
      <c r="I336" t="n">
        <v>0</v>
      </c>
      <c r="J336" t="n">
        <v>0</v>
      </c>
      <c r="K336" t="n">
        <v>0</v>
      </c>
      <c r="L336" t="n">
        <v>0</v>
      </c>
      <c r="M336" t="n">
        <v>0</v>
      </c>
      <c r="N336" t="n">
        <v>0</v>
      </c>
      <c r="O336" t="n">
        <v>0</v>
      </c>
      <c r="P336" t="n">
        <v>0</v>
      </c>
      <c r="Q336" t="n">
        <v>0</v>
      </c>
      <c r="R336" s="2" t="inlineStr"/>
    </row>
    <row r="337" ht="15" customHeight="1">
      <c r="A337" t="inlineStr">
        <is>
          <t>A 46283-2025</t>
        </is>
      </c>
      <c r="B337" s="1" t="n">
        <v>45925</v>
      </c>
      <c r="C337" s="1" t="n">
        <v>46134</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64088-2023</t>
        </is>
      </c>
      <c r="B338" s="1" t="n">
        <v>45279.43570601852</v>
      </c>
      <c r="C338" s="1" t="n">
        <v>46134</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46537-2025</t>
        </is>
      </c>
      <c r="B339" s="1" t="n">
        <v>45926.34195601852</v>
      </c>
      <c r="C339" s="1" t="n">
        <v>46134</v>
      </c>
      <c r="D339" t="inlineStr">
        <is>
          <t>DALARNAS LÄN</t>
        </is>
      </c>
      <c r="E339" t="inlineStr">
        <is>
          <t>MORA</t>
        </is>
      </c>
      <c r="G339" t="n">
        <v>10.6</v>
      </c>
      <c r="H339" t="n">
        <v>0</v>
      </c>
      <c r="I339" t="n">
        <v>0</v>
      </c>
      <c r="J339" t="n">
        <v>0</v>
      </c>
      <c r="K339" t="n">
        <v>0</v>
      </c>
      <c r="L339" t="n">
        <v>0</v>
      </c>
      <c r="M339" t="n">
        <v>0</v>
      </c>
      <c r="N339" t="n">
        <v>0</v>
      </c>
      <c r="O339" t="n">
        <v>0</v>
      </c>
      <c r="P339" t="n">
        <v>0</v>
      </c>
      <c r="Q339" t="n">
        <v>0</v>
      </c>
      <c r="R339" s="2" t="inlineStr"/>
    </row>
    <row r="340" ht="15" customHeight="1">
      <c r="A340" t="inlineStr">
        <is>
          <t>A 34005-2025</t>
        </is>
      </c>
      <c r="B340" s="1" t="n">
        <v>45844.58890046296</v>
      </c>
      <c r="C340" s="1" t="n">
        <v>46134</v>
      </c>
      <c r="D340" t="inlineStr">
        <is>
          <t>DALARNAS LÄN</t>
        </is>
      </c>
      <c r="E340" t="inlineStr">
        <is>
          <t>MORA</t>
        </is>
      </c>
      <c r="G340" t="n">
        <v>7.2</v>
      </c>
      <c r="H340" t="n">
        <v>0</v>
      </c>
      <c r="I340" t="n">
        <v>0</v>
      </c>
      <c r="J340" t="n">
        <v>0</v>
      </c>
      <c r="K340" t="n">
        <v>0</v>
      </c>
      <c r="L340" t="n">
        <v>0</v>
      </c>
      <c r="M340" t="n">
        <v>0</v>
      </c>
      <c r="N340" t="n">
        <v>0</v>
      </c>
      <c r="O340" t="n">
        <v>0</v>
      </c>
      <c r="P340" t="n">
        <v>0</v>
      </c>
      <c r="Q340" t="n">
        <v>0</v>
      </c>
      <c r="R340" s="2" t="inlineStr"/>
    </row>
    <row r="341" ht="15" customHeight="1">
      <c r="A341" t="inlineStr">
        <is>
          <t>A 47055-2025</t>
        </is>
      </c>
      <c r="B341" s="1" t="n">
        <v>45929.61931712963</v>
      </c>
      <c r="C341" s="1" t="n">
        <v>46134</v>
      </c>
      <c r="D341" t="inlineStr">
        <is>
          <t>DALARNAS LÄN</t>
        </is>
      </c>
      <c r="E341" t="inlineStr">
        <is>
          <t>MORA</t>
        </is>
      </c>
      <c r="G341" t="n">
        <v>28.1</v>
      </c>
      <c r="H341" t="n">
        <v>0</v>
      </c>
      <c r="I341" t="n">
        <v>0</v>
      </c>
      <c r="J341" t="n">
        <v>0</v>
      </c>
      <c r="K341" t="n">
        <v>0</v>
      </c>
      <c r="L341" t="n">
        <v>0</v>
      </c>
      <c r="M341" t="n">
        <v>0</v>
      </c>
      <c r="N341" t="n">
        <v>0</v>
      </c>
      <c r="O341" t="n">
        <v>0</v>
      </c>
      <c r="P341" t="n">
        <v>0</v>
      </c>
      <c r="Q341" t="n">
        <v>0</v>
      </c>
      <c r="R341" s="2" t="inlineStr"/>
    </row>
    <row r="342" ht="15" customHeight="1">
      <c r="A342" t="inlineStr">
        <is>
          <t>A 47414-2025</t>
        </is>
      </c>
      <c r="B342" s="1" t="n">
        <v>45930.61896990741</v>
      </c>
      <c r="C342" s="1" t="n">
        <v>46134</v>
      </c>
      <c r="D342" t="inlineStr">
        <is>
          <t>DALARNAS LÄN</t>
        </is>
      </c>
      <c r="E342" t="inlineStr">
        <is>
          <t>MORA</t>
        </is>
      </c>
      <c r="G342" t="n">
        <v>6.1</v>
      </c>
      <c r="H342" t="n">
        <v>0</v>
      </c>
      <c r="I342" t="n">
        <v>0</v>
      </c>
      <c r="J342" t="n">
        <v>0</v>
      </c>
      <c r="K342" t="n">
        <v>0</v>
      </c>
      <c r="L342" t="n">
        <v>0</v>
      </c>
      <c r="M342" t="n">
        <v>0</v>
      </c>
      <c r="N342" t="n">
        <v>0</v>
      </c>
      <c r="O342" t="n">
        <v>0</v>
      </c>
      <c r="P342" t="n">
        <v>0</v>
      </c>
      <c r="Q342" t="n">
        <v>0</v>
      </c>
      <c r="R342" s="2" t="inlineStr"/>
    </row>
    <row r="343" ht="15" customHeight="1">
      <c r="A343" t="inlineStr">
        <is>
          <t>A 34382-2025</t>
        </is>
      </c>
      <c r="B343" s="1" t="n">
        <v>45846</v>
      </c>
      <c r="C343" s="1" t="n">
        <v>46134</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34182-2025</t>
        </is>
      </c>
      <c r="B344" s="1" t="n">
        <v>45845.60520833333</v>
      </c>
      <c r="C344" s="1" t="n">
        <v>46134</v>
      </c>
      <c r="D344" t="inlineStr">
        <is>
          <t>DALARNAS LÄN</t>
        </is>
      </c>
      <c r="E344" t="inlineStr">
        <is>
          <t>MORA</t>
        </is>
      </c>
      <c r="G344" t="n">
        <v>3.4</v>
      </c>
      <c r="H344" t="n">
        <v>0</v>
      </c>
      <c r="I344" t="n">
        <v>0</v>
      </c>
      <c r="J344" t="n">
        <v>0</v>
      </c>
      <c r="K344" t="n">
        <v>0</v>
      </c>
      <c r="L344" t="n">
        <v>0</v>
      </c>
      <c r="M344" t="n">
        <v>0</v>
      </c>
      <c r="N344" t="n">
        <v>0</v>
      </c>
      <c r="O344" t="n">
        <v>0</v>
      </c>
      <c r="P344" t="n">
        <v>0</v>
      </c>
      <c r="Q344" t="n">
        <v>0</v>
      </c>
      <c r="R344" s="2" t="inlineStr"/>
    </row>
    <row r="345" ht="15" customHeight="1">
      <c r="A345" t="inlineStr">
        <is>
          <t>A 60718-2023</t>
        </is>
      </c>
      <c r="B345" s="1" t="n">
        <v>45260.5284375</v>
      </c>
      <c r="C345" s="1" t="n">
        <v>46134</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2995-2026</t>
        </is>
      </c>
      <c r="B346" s="1" t="n">
        <v>46038</v>
      </c>
      <c r="C346" s="1" t="n">
        <v>46134</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14641-2023</t>
        </is>
      </c>
      <c r="B347" s="1" t="n">
        <v>45013</v>
      </c>
      <c r="C347" s="1" t="n">
        <v>46134</v>
      </c>
      <c r="D347" t="inlineStr">
        <is>
          <t>DALARNAS LÄN</t>
        </is>
      </c>
      <c r="E347" t="inlineStr">
        <is>
          <t>MORA</t>
        </is>
      </c>
      <c r="G347" t="n">
        <v>1.5</v>
      </c>
      <c r="H347" t="n">
        <v>0</v>
      </c>
      <c r="I347" t="n">
        <v>0</v>
      </c>
      <c r="J347" t="n">
        <v>0</v>
      </c>
      <c r="K347" t="n">
        <v>0</v>
      </c>
      <c r="L347" t="n">
        <v>0</v>
      </c>
      <c r="M347" t="n">
        <v>0</v>
      </c>
      <c r="N347" t="n">
        <v>0</v>
      </c>
      <c r="O347" t="n">
        <v>0</v>
      </c>
      <c r="P347" t="n">
        <v>0</v>
      </c>
      <c r="Q347" t="n">
        <v>0</v>
      </c>
      <c r="R347" s="2" t="inlineStr"/>
    </row>
    <row r="348" ht="15" customHeight="1">
      <c r="A348" t="inlineStr">
        <is>
          <t>A 47072-2025</t>
        </is>
      </c>
      <c r="B348" s="1" t="n">
        <v>45929.6365162037</v>
      </c>
      <c r="C348" s="1" t="n">
        <v>46134</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47140-2025</t>
        </is>
      </c>
      <c r="B349" s="1" t="n">
        <v>45929</v>
      </c>
      <c r="C349" s="1" t="n">
        <v>46134</v>
      </c>
      <c r="D349" t="inlineStr">
        <is>
          <t>DALARNAS LÄN</t>
        </is>
      </c>
      <c r="E349" t="inlineStr">
        <is>
          <t>MORA</t>
        </is>
      </c>
      <c r="G349" t="n">
        <v>6.7</v>
      </c>
      <c r="H349" t="n">
        <v>0</v>
      </c>
      <c r="I349" t="n">
        <v>0</v>
      </c>
      <c r="J349" t="n">
        <v>0</v>
      </c>
      <c r="K349" t="n">
        <v>0</v>
      </c>
      <c r="L349" t="n">
        <v>0</v>
      </c>
      <c r="M349" t="n">
        <v>0</v>
      </c>
      <c r="N349" t="n">
        <v>0</v>
      </c>
      <c r="O349" t="n">
        <v>0</v>
      </c>
      <c r="P349" t="n">
        <v>0</v>
      </c>
      <c r="Q349" t="n">
        <v>0</v>
      </c>
      <c r="R349" s="2" t="inlineStr"/>
    </row>
    <row r="350" ht="15" customHeight="1">
      <c r="A350" t="inlineStr">
        <is>
          <t>A 34482-2025</t>
        </is>
      </c>
      <c r="B350" s="1" t="n">
        <v>45847.38469907407</v>
      </c>
      <c r="C350" s="1" t="n">
        <v>46134</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47769-2025</t>
        </is>
      </c>
      <c r="B351" s="1" t="n">
        <v>45931.70715277778</v>
      </c>
      <c r="C351" s="1" t="n">
        <v>46134</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673-2026</t>
        </is>
      </c>
      <c r="B352" s="1" t="n">
        <v>46029</v>
      </c>
      <c r="C352" s="1" t="n">
        <v>46134</v>
      </c>
      <c r="D352" t="inlineStr">
        <is>
          <t>DALARNAS LÄN</t>
        </is>
      </c>
      <c r="E352" t="inlineStr">
        <is>
          <t>MORA</t>
        </is>
      </c>
      <c r="F352" t="inlineStr">
        <is>
          <t>Kommuner</t>
        </is>
      </c>
      <c r="G352" t="n">
        <v>25.8</v>
      </c>
      <c r="H352" t="n">
        <v>0</v>
      </c>
      <c r="I352" t="n">
        <v>0</v>
      </c>
      <c r="J352" t="n">
        <v>0</v>
      </c>
      <c r="K352" t="n">
        <v>0</v>
      </c>
      <c r="L352" t="n">
        <v>0</v>
      </c>
      <c r="M352" t="n">
        <v>0</v>
      </c>
      <c r="N352" t="n">
        <v>0</v>
      </c>
      <c r="O352" t="n">
        <v>0</v>
      </c>
      <c r="P352" t="n">
        <v>0</v>
      </c>
      <c r="Q352" t="n">
        <v>0</v>
      </c>
      <c r="R352" s="2" t="inlineStr"/>
    </row>
    <row r="353" ht="15" customHeight="1">
      <c r="A353" t="inlineStr">
        <is>
          <t>A 2521-2026</t>
        </is>
      </c>
      <c r="B353" s="1" t="n">
        <v>46037.42600694444</v>
      </c>
      <c r="C353" s="1" t="n">
        <v>46134</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2786-2026</t>
        </is>
      </c>
      <c r="B354" s="1" t="n">
        <v>46038.39023148148</v>
      </c>
      <c r="C354" s="1" t="n">
        <v>46134</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34933-2025</t>
        </is>
      </c>
      <c r="B355" s="1" t="n">
        <v>45849.57297453703</v>
      </c>
      <c r="C355" s="1" t="n">
        <v>46134</v>
      </c>
      <c r="D355" t="inlineStr">
        <is>
          <t>DALARNAS LÄN</t>
        </is>
      </c>
      <c r="E355" t="inlineStr">
        <is>
          <t>MORA</t>
        </is>
      </c>
      <c r="F355" t="inlineStr">
        <is>
          <t>Bergvik skog väst AB</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2637-2026</t>
        </is>
      </c>
      <c r="B356" s="1" t="n">
        <v>46037.61490740741</v>
      </c>
      <c r="C356" s="1" t="n">
        <v>46134</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42611-2022</t>
        </is>
      </c>
      <c r="B357" s="1" t="n">
        <v>44831.81482638889</v>
      </c>
      <c r="C357" s="1" t="n">
        <v>46134</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3260-2026</t>
        </is>
      </c>
      <c r="B358" s="1" t="n">
        <v>46041</v>
      </c>
      <c r="C358" s="1" t="n">
        <v>46134</v>
      </c>
      <c r="D358" t="inlineStr">
        <is>
          <t>DALARNAS LÄN</t>
        </is>
      </c>
      <c r="E358" t="inlineStr">
        <is>
          <t>MORA</t>
        </is>
      </c>
      <c r="G358" t="n">
        <v>27.1</v>
      </c>
      <c r="H358" t="n">
        <v>0</v>
      </c>
      <c r="I358" t="n">
        <v>0</v>
      </c>
      <c r="J358" t="n">
        <v>0</v>
      </c>
      <c r="K358" t="n">
        <v>0</v>
      </c>
      <c r="L358" t="n">
        <v>0</v>
      </c>
      <c r="M358" t="n">
        <v>0</v>
      </c>
      <c r="N358" t="n">
        <v>0</v>
      </c>
      <c r="O358" t="n">
        <v>0</v>
      </c>
      <c r="P358" t="n">
        <v>0</v>
      </c>
      <c r="Q358" t="n">
        <v>0</v>
      </c>
      <c r="R358" s="2" t="inlineStr"/>
    </row>
    <row r="359" ht="15" customHeight="1">
      <c r="A359" t="inlineStr">
        <is>
          <t>A 3145-2026</t>
        </is>
      </c>
      <c r="B359" s="1" t="n">
        <v>46041.41971064815</v>
      </c>
      <c r="C359" s="1" t="n">
        <v>46134</v>
      </c>
      <c r="D359" t="inlineStr">
        <is>
          <t>DALARNAS LÄN</t>
        </is>
      </c>
      <c r="E359" t="inlineStr">
        <is>
          <t>MORA</t>
        </is>
      </c>
      <c r="G359" t="n">
        <v>4.3</v>
      </c>
      <c r="H359" t="n">
        <v>0</v>
      </c>
      <c r="I359" t="n">
        <v>0</v>
      </c>
      <c r="J359" t="n">
        <v>0</v>
      </c>
      <c r="K359" t="n">
        <v>0</v>
      </c>
      <c r="L359" t="n">
        <v>0</v>
      </c>
      <c r="M359" t="n">
        <v>0</v>
      </c>
      <c r="N359" t="n">
        <v>0</v>
      </c>
      <c r="O359" t="n">
        <v>0</v>
      </c>
      <c r="P359" t="n">
        <v>0</v>
      </c>
      <c r="Q359" t="n">
        <v>0</v>
      </c>
      <c r="R359" s="2" t="inlineStr"/>
    </row>
    <row r="360" ht="15" customHeight="1">
      <c r="A360" t="inlineStr">
        <is>
          <t>A 35121-2025</t>
        </is>
      </c>
      <c r="B360" s="1" t="n">
        <v>45852.60936342592</v>
      </c>
      <c r="C360" s="1" t="n">
        <v>46134</v>
      </c>
      <c r="D360" t="inlineStr">
        <is>
          <t>DALARNAS LÄN</t>
        </is>
      </c>
      <c r="E360" t="inlineStr">
        <is>
          <t>MORA</t>
        </is>
      </c>
      <c r="F360" t="inlineStr">
        <is>
          <t>Bergvik skog öst AB</t>
        </is>
      </c>
      <c r="G360" t="n">
        <v>15.9</v>
      </c>
      <c r="H360" t="n">
        <v>0</v>
      </c>
      <c r="I360" t="n">
        <v>0</v>
      </c>
      <c r="J360" t="n">
        <v>0</v>
      </c>
      <c r="K360" t="n">
        <v>0</v>
      </c>
      <c r="L360" t="n">
        <v>0</v>
      </c>
      <c r="M360" t="n">
        <v>0</v>
      </c>
      <c r="N360" t="n">
        <v>0</v>
      </c>
      <c r="O360" t="n">
        <v>0</v>
      </c>
      <c r="P360" t="n">
        <v>0</v>
      </c>
      <c r="Q360" t="n">
        <v>0</v>
      </c>
      <c r="R360" s="2" t="inlineStr"/>
    </row>
    <row r="361" ht="15" customHeight="1">
      <c r="A361" t="inlineStr">
        <is>
          <t>A 3247-2026</t>
        </is>
      </c>
      <c r="B361" s="1" t="n">
        <v>46041</v>
      </c>
      <c r="C361" s="1" t="n">
        <v>46134</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3149-2026</t>
        </is>
      </c>
      <c r="B362" s="1" t="n">
        <v>46041.42416666666</v>
      </c>
      <c r="C362" s="1" t="n">
        <v>46134</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3440-2026</t>
        </is>
      </c>
      <c r="B363" s="1" t="n">
        <v>46042.475625</v>
      </c>
      <c r="C363" s="1" t="n">
        <v>46134</v>
      </c>
      <c r="D363" t="inlineStr">
        <is>
          <t>DALARNAS LÄN</t>
        </is>
      </c>
      <c r="E363" t="inlineStr">
        <is>
          <t>MORA</t>
        </is>
      </c>
      <c r="G363" t="n">
        <v>6.7</v>
      </c>
      <c r="H363" t="n">
        <v>0</v>
      </c>
      <c r="I363" t="n">
        <v>0</v>
      </c>
      <c r="J363" t="n">
        <v>0</v>
      </c>
      <c r="K363" t="n">
        <v>0</v>
      </c>
      <c r="L363" t="n">
        <v>0</v>
      </c>
      <c r="M363" t="n">
        <v>0</v>
      </c>
      <c r="N363" t="n">
        <v>0</v>
      </c>
      <c r="O363" t="n">
        <v>0</v>
      </c>
      <c r="P363" t="n">
        <v>0</v>
      </c>
      <c r="Q363" t="n">
        <v>0</v>
      </c>
      <c r="R363" s="2" t="inlineStr"/>
    </row>
    <row r="364" ht="15" customHeight="1">
      <c r="A364" t="inlineStr">
        <is>
          <t>A 47765-2025</t>
        </is>
      </c>
      <c r="B364" s="1" t="n">
        <v>45931.69100694444</v>
      </c>
      <c r="C364" s="1" t="n">
        <v>46134</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4155-2026</t>
        </is>
      </c>
      <c r="B365" s="1" t="n">
        <v>46044.6533449074</v>
      </c>
      <c r="C365" s="1" t="n">
        <v>46134</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4213-2026</t>
        </is>
      </c>
      <c r="B366" s="1" t="n">
        <v>46044.741875</v>
      </c>
      <c r="C366" s="1" t="n">
        <v>46134</v>
      </c>
      <c r="D366" t="inlineStr">
        <is>
          <t>DALARNAS LÄN</t>
        </is>
      </c>
      <c r="E366" t="inlineStr">
        <is>
          <t>MORA</t>
        </is>
      </c>
      <c r="G366" t="n">
        <v>1.5</v>
      </c>
      <c r="H366" t="n">
        <v>0</v>
      </c>
      <c r="I366" t="n">
        <v>0</v>
      </c>
      <c r="J366" t="n">
        <v>0</v>
      </c>
      <c r="K366" t="n">
        <v>0</v>
      </c>
      <c r="L366" t="n">
        <v>0</v>
      </c>
      <c r="M366" t="n">
        <v>0</v>
      </c>
      <c r="N366" t="n">
        <v>0</v>
      </c>
      <c r="O366" t="n">
        <v>0</v>
      </c>
      <c r="P366" t="n">
        <v>0</v>
      </c>
      <c r="Q366" t="n">
        <v>0</v>
      </c>
      <c r="R366" s="2" t="inlineStr"/>
    </row>
    <row r="367" ht="15" customHeight="1">
      <c r="A367" t="inlineStr">
        <is>
          <t>A 47860-2025</t>
        </is>
      </c>
      <c r="B367" s="1" t="n">
        <v>45932.42298611111</v>
      </c>
      <c r="C367" s="1" t="n">
        <v>46134</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3854-2026</t>
        </is>
      </c>
      <c r="B368" s="1" t="n">
        <v>46043</v>
      </c>
      <c r="C368" s="1" t="n">
        <v>46134</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3876-2026</t>
        </is>
      </c>
      <c r="B369" s="1" t="n">
        <v>46043.64811342592</v>
      </c>
      <c r="C369" s="1" t="n">
        <v>46134</v>
      </c>
      <c r="D369" t="inlineStr">
        <is>
          <t>DALARNAS LÄN</t>
        </is>
      </c>
      <c r="E369" t="inlineStr">
        <is>
          <t>MORA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48376-2025</t>
        </is>
      </c>
      <c r="B370" s="1" t="n">
        <v>45933.71648148148</v>
      </c>
      <c r="C370" s="1" t="n">
        <v>46134</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48377-2025</t>
        </is>
      </c>
      <c r="B371" s="1" t="n">
        <v>45933.71896990741</v>
      </c>
      <c r="C371" s="1" t="n">
        <v>46134</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15416-2023</t>
        </is>
      </c>
      <c r="B372" s="1" t="n">
        <v>45019.71342592593</v>
      </c>
      <c r="C372" s="1" t="n">
        <v>46134</v>
      </c>
      <c r="D372" t="inlineStr">
        <is>
          <t>DALARNAS LÄN</t>
        </is>
      </c>
      <c r="E372" t="inlineStr">
        <is>
          <t>MORA</t>
        </is>
      </c>
      <c r="G372" t="n">
        <v>2</v>
      </c>
      <c r="H372" t="n">
        <v>0</v>
      </c>
      <c r="I372" t="n">
        <v>0</v>
      </c>
      <c r="J372" t="n">
        <v>0</v>
      </c>
      <c r="K372" t="n">
        <v>0</v>
      </c>
      <c r="L372" t="n">
        <v>0</v>
      </c>
      <c r="M372" t="n">
        <v>0</v>
      </c>
      <c r="N372" t="n">
        <v>0</v>
      </c>
      <c r="O372" t="n">
        <v>0</v>
      </c>
      <c r="P372" t="n">
        <v>0</v>
      </c>
      <c r="Q372" t="n">
        <v>0</v>
      </c>
      <c r="R372" s="2" t="inlineStr"/>
    </row>
    <row r="373" ht="15" customHeight="1">
      <c r="A373" t="inlineStr">
        <is>
          <t>A 35407-2025</t>
        </is>
      </c>
      <c r="B373" s="1" t="n">
        <v>45855.35989583333</v>
      </c>
      <c r="C373" s="1" t="n">
        <v>46134</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3669-2026</t>
        </is>
      </c>
      <c r="B374" s="1" t="n">
        <v>46043.41603009259</v>
      </c>
      <c r="C374" s="1" t="n">
        <v>46134</v>
      </c>
      <c r="D374" t="inlineStr">
        <is>
          <t>DALARNAS LÄN</t>
        </is>
      </c>
      <c r="E374" t="inlineStr">
        <is>
          <t>MORA</t>
        </is>
      </c>
      <c r="G374" t="n">
        <v>4.6</v>
      </c>
      <c r="H374" t="n">
        <v>0</v>
      </c>
      <c r="I374" t="n">
        <v>0</v>
      </c>
      <c r="J374" t="n">
        <v>0</v>
      </c>
      <c r="K374" t="n">
        <v>0</v>
      </c>
      <c r="L374" t="n">
        <v>0</v>
      </c>
      <c r="M374" t="n">
        <v>0</v>
      </c>
      <c r="N374" t="n">
        <v>0</v>
      </c>
      <c r="O374" t="n">
        <v>0</v>
      </c>
      <c r="P374" t="n">
        <v>0</v>
      </c>
      <c r="Q374" t="n">
        <v>0</v>
      </c>
      <c r="R374" s="2" t="inlineStr"/>
    </row>
    <row r="375" ht="15" customHeight="1">
      <c r="A375" t="inlineStr">
        <is>
          <t>A 3742-2026</t>
        </is>
      </c>
      <c r="B375" s="1" t="n">
        <v>46043</v>
      </c>
      <c r="C375" s="1" t="n">
        <v>46134</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4744-2026</t>
        </is>
      </c>
      <c r="B376" s="1" t="n">
        <v>46048</v>
      </c>
      <c r="C376" s="1" t="n">
        <v>46134</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4752-2026</t>
        </is>
      </c>
      <c r="B377" s="1" t="n">
        <v>46048</v>
      </c>
      <c r="C377" s="1" t="n">
        <v>46134</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47716-2025</t>
        </is>
      </c>
      <c r="B378" s="1" t="n">
        <v>45931</v>
      </c>
      <c r="C378" s="1" t="n">
        <v>46134</v>
      </c>
      <c r="D378" t="inlineStr">
        <is>
          <t>DALARNAS LÄN</t>
        </is>
      </c>
      <c r="E378" t="inlineStr">
        <is>
          <t>MORA</t>
        </is>
      </c>
      <c r="G378" t="n">
        <v>8.9</v>
      </c>
      <c r="H378" t="n">
        <v>0</v>
      </c>
      <c r="I378" t="n">
        <v>0</v>
      </c>
      <c r="J378" t="n">
        <v>0</v>
      </c>
      <c r="K378" t="n">
        <v>0</v>
      </c>
      <c r="L378" t="n">
        <v>0</v>
      </c>
      <c r="M378" t="n">
        <v>0</v>
      </c>
      <c r="N378" t="n">
        <v>0</v>
      </c>
      <c r="O378" t="n">
        <v>0</v>
      </c>
      <c r="P378" t="n">
        <v>0</v>
      </c>
      <c r="Q378" t="n">
        <v>0</v>
      </c>
      <c r="R378" s="2" t="inlineStr"/>
    </row>
    <row r="379" ht="15" customHeight="1">
      <c r="A379" t="inlineStr">
        <is>
          <t>A 4906-2026</t>
        </is>
      </c>
      <c r="B379" s="1" t="n">
        <v>46048.70013888889</v>
      </c>
      <c r="C379" s="1" t="n">
        <v>46134</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35611-2025</t>
        </is>
      </c>
      <c r="B380" s="1" t="n">
        <v>45859.35384259259</v>
      </c>
      <c r="C380" s="1" t="n">
        <v>46134</v>
      </c>
      <c r="D380" t="inlineStr">
        <is>
          <t>DALARNAS LÄN</t>
        </is>
      </c>
      <c r="E380" t="inlineStr">
        <is>
          <t>MORA</t>
        </is>
      </c>
      <c r="G380" t="n">
        <v>2.5</v>
      </c>
      <c r="H380" t="n">
        <v>0</v>
      </c>
      <c r="I380" t="n">
        <v>0</v>
      </c>
      <c r="J380" t="n">
        <v>0</v>
      </c>
      <c r="K380" t="n">
        <v>0</v>
      </c>
      <c r="L380" t="n">
        <v>0</v>
      </c>
      <c r="M380" t="n">
        <v>0</v>
      </c>
      <c r="N380" t="n">
        <v>0</v>
      </c>
      <c r="O380" t="n">
        <v>0</v>
      </c>
      <c r="P380" t="n">
        <v>0</v>
      </c>
      <c r="Q380" t="n">
        <v>0</v>
      </c>
      <c r="R380" s="2" t="inlineStr"/>
    </row>
    <row r="381" ht="15" customHeight="1">
      <c r="A381" t="inlineStr">
        <is>
          <t>A 52288-2024</t>
        </is>
      </c>
      <c r="B381" s="1" t="n">
        <v>45608.69395833334</v>
      </c>
      <c r="C381" s="1" t="n">
        <v>46134</v>
      </c>
      <c r="D381" t="inlineStr">
        <is>
          <t>DALARNAS LÄN</t>
        </is>
      </c>
      <c r="E381" t="inlineStr">
        <is>
          <t>MORA</t>
        </is>
      </c>
      <c r="G381" t="n">
        <v>2</v>
      </c>
      <c r="H381" t="n">
        <v>0</v>
      </c>
      <c r="I381" t="n">
        <v>0</v>
      </c>
      <c r="J381" t="n">
        <v>0</v>
      </c>
      <c r="K381" t="n">
        <v>0</v>
      </c>
      <c r="L381" t="n">
        <v>0</v>
      </c>
      <c r="M381" t="n">
        <v>0</v>
      </c>
      <c r="N381" t="n">
        <v>0</v>
      </c>
      <c r="O381" t="n">
        <v>0</v>
      </c>
      <c r="P381" t="n">
        <v>0</v>
      </c>
      <c r="Q381" t="n">
        <v>0</v>
      </c>
      <c r="R381" s="2" t="inlineStr"/>
    </row>
    <row r="382" ht="15" customHeight="1">
      <c r="A382" t="inlineStr">
        <is>
          <t>A 35622-2025</t>
        </is>
      </c>
      <c r="B382" s="1" t="n">
        <v>45859</v>
      </c>
      <c r="C382" s="1" t="n">
        <v>46134</v>
      </c>
      <c r="D382" t="inlineStr">
        <is>
          <t>DALARNAS LÄN</t>
        </is>
      </c>
      <c r="E382" t="inlineStr">
        <is>
          <t>MORA</t>
        </is>
      </c>
      <c r="F382" t="inlineStr">
        <is>
          <t>Bergvik skog öst AB</t>
        </is>
      </c>
      <c r="G382" t="n">
        <v>5.8</v>
      </c>
      <c r="H382" t="n">
        <v>0</v>
      </c>
      <c r="I382" t="n">
        <v>0</v>
      </c>
      <c r="J382" t="n">
        <v>0</v>
      </c>
      <c r="K382" t="n">
        <v>0</v>
      </c>
      <c r="L382" t="n">
        <v>0</v>
      </c>
      <c r="M382" t="n">
        <v>0</v>
      </c>
      <c r="N382" t="n">
        <v>0</v>
      </c>
      <c r="O382" t="n">
        <v>0</v>
      </c>
      <c r="P382" t="n">
        <v>0</v>
      </c>
      <c r="Q382" t="n">
        <v>0</v>
      </c>
      <c r="R382" s="2" t="inlineStr"/>
    </row>
    <row r="383" ht="15" customHeight="1">
      <c r="A383" t="inlineStr">
        <is>
          <t>A 25935-2023</t>
        </is>
      </c>
      <c r="B383" s="1" t="n">
        <v>45090.68675925926</v>
      </c>
      <c r="C383" s="1" t="n">
        <v>46134</v>
      </c>
      <c r="D383" t="inlineStr">
        <is>
          <t>DALARNAS LÄN</t>
        </is>
      </c>
      <c r="E383" t="inlineStr">
        <is>
          <t>MORA</t>
        </is>
      </c>
      <c r="G383" t="n">
        <v>1.4</v>
      </c>
      <c r="H383" t="n">
        <v>0</v>
      </c>
      <c r="I383" t="n">
        <v>0</v>
      </c>
      <c r="J383" t="n">
        <v>0</v>
      </c>
      <c r="K383" t="n">
        <v>0</v>
      </c>
      <c r="L383" t="n">
        <v>0</v>
      </c>
      <c r="M383" t="n">
        <v>0</v>
      </c>
      <c r="N383" t="n">
        <v>0</v>
      </c>
      <c r="O383" t="n">
        <v>0</v>
      </c>
      <c r="P383" t="n">
        <v>0</v>
      </c>
      <c r="Q383" t="n">
        <v>0</v>
      </c>
      <c r="R383" s="2" t="inlineStr"/>
    </row>
    <row r="384" ht="15" customHeight="1">
      <c r="A384" t="inlineStr">
        <is>
          <t>A 35734-2025</t>
        </is>
      </c>
      <c r="B384" s="1" t="n">
        <v>45860.471875</v>
      </c>
      <c r="C384" s="1" t="n">
        <v>46134</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9277-2024</t>
        </is>
      </c>
      <c r="B385" s="1" t="n">
        <v>45358.63265046296</v>
      </c>
      <c r="C385" s="1" t="n">
        <v>46134</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35623-2025</t>
        </is>
      </c>
      <c r="B386" s="1" t="n">
        <v>45859</v>
      </c>
      <c r="C386" s="1" t="n">
        <v>46134</v>
      </c>
      <c r="D386" t="inlineStr">
        <is>
          <t>DALARNAS LÄN</t>
        </is>
      </c>
      <c r="E386" t="inlineStr">
        <is>
          <t>MORA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35624-2025</t>
        </is>
      </c>
      <c r="B387" s="1" t="n">
        <v>45859</v>
      </c>
      <c r="C387" s="1" t="n">
        <v>46134</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24768-2024</t>
        </is>
      </c>
      <c r="B388" s="1" t="n">
        <v>45460.69545138889</v>
      </c>
      <c r="C388" s="1" t="n">
        <v>46134</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48927-2025</t>
        </is>
      </c>
      <c r="B389" s="1" t="n">
        <v>45931</v>
      </c>
      <c r="C389" s="1" t="n">
        <v>46134</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49404-2025</t>
        </is>
      </c>
      <c r="B390" s="1" t="n">
        <v>45938.67662037037</v>
      </c>
      <c r="C390" s="1" t="n">
        <v>46134</v>
      </c>
      <c r="D390" t="inlineStr">
        <is>
          <t>DALARNAS LÄN</t>
        </is>
      </c>
      <c r="E390" t="inlineStr">
        <is>
          <t>MORA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48929-2025</t>
        </is>
      </c>
      <c r="B391" s="1" t="n">
        <v>45937.51315972222</v>
      </c>
      <c r="C391" s="1" t="n">
        <v>46134</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50911-2024</t>
        </is>
      </c>
      <c r="B392" s="1" t="n">
        <v>45602.7022337963</v>
      </c>
      <c r="C392" s="1" t="n">
        <v>46134</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36041-2025</t>
        </is>
      </c>
      <c r="B393" s="1" t="n">
        <v>45866.34385416667</v>
      </c>
      <c r="C393" s="1" t="n">
        <v>46134</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35040-2023</t>
        </is>
      </c>
      <c r="B394" s="1" t="n">
        <v>45145.36853009259</v>
      </c>
      <c r="C394" s="1" t="n">
        <v>46134</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58036-2024</t>
        </is>
      </c>
      <c r="B395" s="1" t="n">
        <v>45631.71893518518</v>
      </c>
      <c r="C395" s="1" t="n">
        <v>46134</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16174-2025</t>
        </is>
      </c>
      <c r="B396" s="1" t="n">
        <v>45750</v>
      </c>
      <c r="C396" s="1" t="n">
        <v>46134</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49401-2025</t>
        </is>
      </c>
      <c r="B397" s="1" t="n">
        <v>45938.66932870371</v>
      </c>
      <c r="C397" s="1" t="n">
        <v>46134</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28964-2024</t>
        </is>
      </c>
      <c r="B398" s="1" t="n">
        <v>45481.42923611111</v>
      </c>
      <c r="C398" s="1" t="n">
        <v>46134</v>
      </c>
      <c r="D398" t="inlineStr">
        <is>
          <t>DALARNAS LÄN</t>
        </is>
      </c>
      <c r="E398" t="inlineStr">
        <is>
          <t>MORA</t>
        </is>
      </c>
      <c r="G398" t="n">
        <v>1.3</v>
      </c>
      <c r="H398" t="n">
        <v>0</v>
      </c>
      <c r="I398" t="n">
        <v>0</v>
      </c>
      <c r="J398" t="n">
        <v>0</v>
      </c>
      <c r="K398" t="n">
        <v>0</v>
      </c>
      <c r="L398" t="n">
        <v>0</v>
      </c>
      <c r="M398" t="n">
        <v>0</v>
      </c>
      <c r="N398" t="n">
        <v>0</v>
      </c>
      <c r="O398" t="n">
        <v>0</v>
      </c>
      <c r="P398" t="n">
        <v>0</v>
      </c>
      <c r="Q398" t="n">
        <v>0</v>
      </c>
      <c r="R398" s="2" t="inlineStr"/>
    </row>
    <row r="399" ht="15" customHeight="1">
      <c r="A399" t="inlineStr">
        <is>
          <t>A 27420-2024</t>
        </is>
      </c>
      <c r="B399" s="1" t="n">
        <v>45474.37850694444</v>
      </c>
      <c r="C399" s="1" t="n">
        <v>46134</v>
      </c>
      <c r="D399" t="inlineStr">
        <is>
          <t>DALARNAS LÄN</t>
        </is>
      </c>
      <c r="E399" t="inlineStr">
        <is>
          <t>MORA</t>
        </is>
      </c>
      <c r="G399" t="n">
        <v>7.3</v>
      </c>
      <c r="H399" t="n">
        <v>0</v>
      </c>
      <c r="I399" t="n">
        <v>0</v>
      </c>
      <c r="J399" t="n">
        <v>0</v>
      </c>
      <c r="K399" t="n">
        <v>0</v>
      </c>
      <c r="L399" t="n">
        <v>0</v>
      </c>
      <c r="M399" t="n">
        <v>0</v>
      </c>
      <c r="N399" t="n">
        <v>0</v>
      </c>
      <c r="O399" t="n">
        <v>0</v>
      </c>
      <c r="P399" t="n">
        <v>0</v>
      </c>
      <c r="Q399" t="n">
        <v>0</v>
      </c>
      <c r="R399" s="2" t="inlineStr"/>
    </row>
    <row r="400" ht="15" customHeight="1">
      <c r="A400" t="inlineStr">
        <is>
          <t>A 48926-2025</t>
        </is>
      </c>
      <c r="B400" s="1" t="n">
        <v>45937.50666666667</v>
      </c>
      <c r="C400" s="1" t="n">
        <v>46134</v>
      </c>
      <c r="D400" t="inlineStr">
        <is>
          <t>DALARNAS LÄN</t>
        </is>
      </c>
      <c r="E400" t="inlineStr">
        <is>
          <t>MORA</t>
        </is>
      </c>
      <c r="G400" t="n">
        <v>0.6</v>
      </c>
      <c r="H400" t="n">
        <v>0</v>
      </c>
      <c r="I400" t="n">
        <v>0</v>
      </c>
      <c r="J400" t="n">
        <v>0</v>
      </c>
      <c r="K400" t="n">
        <v>0</v>
      </c>
      <c r="L400" t="n">
        <v>0</v>
      </c>
      <c r="M400" t="n">
        <v>0</v>
      </c>
      <c r="N400" t="n">
        <v>0</v>
      </c>
      <c r="O400" t="n">
        <v>0</v>
      </c>
      <c r="P400" t="n">
        <v>0</v>
      </c>
      <c r="Q400" t="n">
        <v>0</v>
      </c>
      <c r="R400" s="2" t="inlineStr"/>
    </row>
    <row r="401" ht="15" customHeight="1">
      <c r="A401" t="inlineStr">
        <is>
          <t>A 5116-2026</t>
        </is>
      </c>
      <c r="B401" s="1" t="n">
        <v>46049.57591435185</v>
      </c>
      <c r="C401" s="1" t="n">
        <v>46134</v>
      </c>
      <c r="D401" t="inlineStr">
        <is>
          <t>DALARNAS LÄN</t>
        </is>
      </c>
      <c r="E401" t="inlineStr">
        <is>
          <t>MORA</t>
        </is>
      </c>
      <c r="F401" t="inlineStr">
        <is>
          <t>Bergvik skog öst AB</t>
        </is>
      </c>
      <c r="G401" t="n">
        <v>2.9</v>
      </c>
      <c r="H401" t="n">
        <v>0</v>
      </c>
      <c r="I401" t="n">
        <v>0</v>
      </c>
      <c r="J401" t="n">
        <v>0</v>
      </c>
      <c r="K401" t="n">
        <v>0</v>
      </c>
      <c r="L401" t="n">
        <v>0</v>
      </c>
      <c r="M401" t="n">
        <v>0</v>
      </c>
      <c r="N401" t="n">
        <v>0</v>
      </c>
      <c r="O401" t="n">
        <v>0</v>
      </c>
      <c r="P401" t="n">
        <v>0</v>
      </c>
      <c r="Q401" t="n">
        <v>0</v>
      </c>
      <c r="R401" s="2" t="inlineStr"/>
    </row>
    <row r="402" ht="15" customHeight="1">
      <c r="A402" t="inlineStr">
        <is>
          <t>A 36586-2025</t>
        </is>
      </c>
      <c r="B402" s="1" t="n">
        <v>45869</v>
      </c>
      <c r="C402" s="1" t="n">
        <v>46134</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49574-2025</t>
        </is>
      </c>
      <c r="B403" s="1" t="n">
        <v>45939.49045138889</v>
      </c>
      <c r="C403" s="1" t="n">
        <v>46134</v>
      </c>
      <c r="D403" t="inlineStr">
        <is>
          <t>DALARNAS LÄN</t>
        </is>
      </c>
      <c r="E403" t="inlineStr">
        <is>
          <t>MORA</t>
        </is>
      </c>
      <c r="G403" t="n">
        <v>6.3</v>
      </c>
      <c r="H403" t="n">
        <v>0</v>
      </c>
      <c r="I403" t="n">
        <v>0</v>
      </c>
      <c r="J403" t="n">
        <v>0</v>
      </c>
      <c r="K403" t="n">
        <v>0</v>
      </c>
      <c r="L403" t="n">
        <v>0</v>
      </c>
      <c r="M403" t="n">
        <v>0</v>
      </c>
      <c r="N403" t="n">
        <v>0</v>
      </c>
      <c r="O403" t="n">
        <v>0</v>
      </c>
      <c r="P403" t="n">
        <v>0</v>
      </c>
      <c r="Q403" t="n">
        <v>0</v>
      </c>
      <c r="R403" s="2" t="inlineStr"/>
    </row>
    <row r="404" ht="15" customHeight="1">
      <c r="A404" t="inlineStr">
        <is>
          <t>A 49828-2025</t>
        </is>
      </c>
      <c r="B404" s="1" t="n">
        <v>45940.44993055556</v>
      </c>
      <c r="C404" s="1" t="n">
        <v>46134</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36760-2025</t>
        </is>
      </c>
      <c r="B405" s="1" t="n">
        <v>45873.57319444444</v>
      </c>
      <c r="C405" s="1" t="n">
        <v>46134</v>
      </c>
      <c r="D405" t="inlineStr">
        <is>
          <t>DALARNAS LÄN</t>
        </is>
      </c>
      <c r="E405" t="inlineStr">
        <is>
          <t>MORA</t>
        </is>
      </c>
      <c r="G405" t="n">
        <v>4.6</v>
      </c>
      <c r="H405" t="n">
        <v>0</v>
      </c>
      <c r="I405" t="n">
        <v>0</v>
      </c>
      <c r="J405" t="n">
        <v>0</v>
      </c>
      <c r="K405" t="n">
        <v>0</v>
      </c>
      <c r="L405" t="n">
        <v>0</v>
      </c>
      <c r="M405" t="n">
        <v>0</v>
      </c>
      <c r="N405" t="n">
        <v>0</v>
      </c>
      <c r="O405" t="n">
        <v>0</v>
      </c>
      <c r="P405" t="n">
        <v>0</v>
      </c>
      <c r="Q405" t="n">
        <v>0</v>
      </c>
      <c r="R405" s="2" t="inlineStr"/>
    </row>
    <row r="406" ht="15" customHeight="1">
      <c r="A406" t="inlineStr">
        <is>
          <t>A 47686-2025</t>
        </is>
      </c>
      <c r="B406" s="1" t="n">
        <v>45931</v>
      </c>
      <c r="C406" s="1" t="n">
        <v>46134</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22854-2023</t>
        </is>
      </c>
      <c r="B407" s="1" t="n">
        <v>45072</v>
      </c>
      <c r="C407" s="1" t="n">
        <v>46134</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36846-2025</t>
        </is>
      </c>
      <c r="B408" s="1" t="n">
        <v>45874.38655092593</v>
      </c>
      <c r="C408" s="1" t="n">
        <v>46134</v>
      </c>
      <c r="D408" t="inlineStr">
        <is>
          <t>DALARNAS LÄN</t>
        </is>
      </c>
      <c r="E408" t="inlineStr">
        <is>
          <t>MORA</t>
        </is>
      </c>
      <c r="G408" t="n">
        <v>10.7</v>
      </c>
      <c r="H408" t="n">
        <v>0</v>
      </c>
      <c r="I408" t="n">
        <v>0</v>
      </c>
      <c r="J408" t="n">
        <v>0</v>
      </c>
      <c r="K408" t="n">
        <v>0</v>
      </c>
      <c r="L408" t="n">
        <v>0</v>
      </c>
      <c r="M408" t="n">
        <v>0</v>
      </c>
      <c r="N408" t="n">
        <v>0</v>
      </c>
      <c r="O408" t="n">
        <v>0</v>
      </c>
      <c r="P408" t="n">
        <v>0</v>
      </c>
      <c r="Q408" t="n">
        <v>0</v>
      </c>
      <c r="R408" s="2" t="inlineStr"/>
    </row>
    <row r="409" ht="15" customHeight="1">
      <c r="A409" t="inlineStr">
        <is>
          <t>A 12920-2022</t>
        </is>
      </c>
      <c r="B409" s="1" t="n">
        <v>44642.65418981481</v>
      </c>
      <c r="C409" s="1" t="n">
        <v>46134</v>
      </c>
      <c r="D409" t="inlineStr">
        <is>
          <t>DALARNAS LÄN</t>
        </is>
      </c>
      <c r="E409" t="inlineStr">
        <is>
          <t>MORA</t>
        </is>
      </c>
      <c r="G409" t="n">
        <v>0.8</v>
      </c>
      <c r="H409" t="n">
        <v>0</v>
      </c>
      <c r="I409" t="n">
        <v>0</v>
      </c>
      <c r="J409" t="n">
        <v>0</v>
      </c>
      <c r="K409" t="n">
        <v>0</v>
      </c>
      <c r="L409" t="n">
        <v>0</v>
      </c>
      <c r="M409" t="n">
        <v>0</v>
      </c>
      <c r="N409" t="n">
        <v>0</v>
      </c>
      <c r="O409" t="n">
        <v>0</v>
      </c>
      <c r="P409" t="n">
        <v>0</v>
      </c>
      <c r="Q409" t="n">
        <v>0</v>
      </c>
      <c r="R409" s="2" t="inlineStr"/>
    </row>
    <row r="410" ht="15" customHeight="1">
      <c r="A410" t="inlineStr">
        <is>
          <t>A 61188-2024</t>
        </is>
      </c>
      <c r="B410" s="1" t="n">
        <v>45645.62282407407</v>
      </c>
      <c r="C410" s="1" t="n">
        <v>46134</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58089-2024</t>
        </is>
      </c>
      <c r="B411" s="1" t="n">
        <v>45632.34984953704</v>
      </c>
      <c r="C411" s="1" t="n">
        <v>46134</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61350-2024</t>
        </is>
      </c>
      <c r="B412" s="1" t="n">
        <v>45646.37872685185</v>
      </c>
      <c r="C412" s="1" t="n">
        <v>46134</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row>
    <row r="413" ht="15" customHeight="1">
      <c r="A413" t="inlineStr">
        <is>
          <t>A 37268-2025</t>
        </is>
      </c>
      <c r="B413" s="1" t="n">
        <v>45876.46681712963</v>
      </c>
      <c r="C413" s="1" t="n">
        <v>46134</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46134</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43533-2023</t>
        </is>
      </c>
      <c r="B415" s="1" t="n">
        <v>45184.53412037037</v>
      </c>
      <c r="C415" s="1" t="n">
        <v>46134</v>
      </c>
      <c r="D415" t="inlineStr">
        <is>
          <t>DALARNAS LÄN</t>
        </is>
      </c>
      <c r="E415" t="inlineStr">
        <is>
          <t>MORA</t>
        </is>
      </c>
      <c r="F415" t="inlineStr">
        <is>
          <t>Bergvik skog väst AB</t>
        </is>
      </c>
      <c r="G415" t="n">
        <v>10.3</v>
      </c>
      <c r="H415" t="n">
        <v>0</v>
      </c>
      <c r="I415" t="n">
        <v>0</v>
      </c>
      <c r="J415" t="n">
        <v>0</v>
      </c>
      <c r="K415" t="n">
        <v>0</v>
      </c>
      <c r="L415" t="n">
        <v>0</v>
      </c>
      <c r="M415" t="n">
        <v>0</v>
      </c>
      <c r="N415" t="n">
        <v>0</v>
      </c>
      <c r="O415" t="n">
        <v>0</v>
      </c>
      <c r="P415" t="n">
        <v>0</v>
      </c>
      <c r="Q415" t="n">
        <v>0</v>
      </c>
      <c r="R415" s="2" t="inlineStr"/>
    </row>
    <row r="416" ht="15" customHeight="1">
      <c r="A416" t="inlineStr">
        <is>
          <t>A 30998-2022</t>
        </is>
      </c>
      <c r="B416" s="1" t="n">
        <v>44768</v>
      </c>
      <c r="C416" s="1" t="n">
        <v>46134</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8343-2025</t>
        </is>
      </c>
      <c r="B417" s="1" t="n">
        <v>45708.67253472222</v>
      </c>
      <c r="C417" s="1" t="n">
        <v>46134</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5473-2026</t>
        </is>
      </c>
      <c r="B418" s="1" t="n">
        <v>46050</v>
      </c>
      <c r="C418" s="1" t="n">
        <v>46134</v>
      </c>
      <c r="D418" t="inlineStr">
        <is>
          <t>DALARNAS LÄN</t>
        </is>
      </c>
      <c r="E418" t="inlineStr">
        <is>
          <t>MORA</t>
        </is>
      </c>
      <c r="G418" t="n">
        <v>10.2</v>
      </c>
      <c r="H418" t="n">
        <v>0</v>
      </c>
      <c r="I418" t="n">
        <v>0</v>
      </c>
      <c r="J418" t="n">
        <v>0</v>
      </c>
      <c r="K418" t="n">
        <v>0</v>
      </c>
      <c r="L418" t="n">
        <v>0</v>
      </c>
      <c r="M418" t="n">
        <v>0</v>
      </c>
      <c r="N418" t="n">
        <v>0</v>
      </c>
      <c r="O418" t="n">
        <v>0</v>
      </c>
      <c r="P418" t="n">
        <v>0</v>
      </c>
      <c r="Q418" t="n">
        <v>0</v>
      </c>
      <c r="R418" s="2" t="inlineStr"/>
    </row>
    <row r="419" ht="15" customHeight="1">
      <c r="A419" t="inlineStr">
        <is>
          <t>A 38073-2025</t>
        </is>
      </c>
      <c r="B419" s="1" t="n">
        <v>45882</v>
      </c>
      <c r="C419" s="1" t="n">
        <v>46134</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38086-2025</t>
        </is>
      </c>
      <c r="B420" s="1" t="n">
        <v>45882.47625</v>
      </c>
      <c r="C420" s="1" t="n">
        <v>46134</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17164-2025</t>
        </is>
      </c>
      <c r="B421" s="1" t="n">
        <v>45756.36403935185</v>
      </c>
      <c r="C421" s="1" t="n">
        <v>46134</v>
      </c>
      <c r="D421" t="inlineStr">
        <is>
          <t>DALARNAS LÄN</t>
        </is>
      </c>
      <c r="E421" t="inlineStr">
        <is>
          <t>MORA</t>
        </is>
      </c>
      <c r="F421" t="inlineStr">
        <is>
          <t>Bergvik skog öst AB</t>
        </is>
      </c>
      <c r="G421" t="n">
        <v>0.3</v>
      </c>
      <c r="H421" t="n">
        <v>0</v>
      </c>
      <c r="I421" t="n">
        <v>0</v>
      </c>
      <c r="J421" t="n">
        <v>0</v>
      </c>
      <c r="K421" t="n">
        <v>0</v>
      </c>
      <c r="L421" t="n">
        <v>0</v>
      </c>
      <c r="M421" t="n">
        <v>0</v>
      </c>
      <c r="N421" t="n">
        <v>0</v>
      </c>
      <c r="O421" t="n">
        <v>0</v>
      </c>
      <c r="P421" t="n">
        <v>0</v>
      </c>
      <c r="Q421" t="n">
        <v>0</v>
      </c>
      <c r="R421" s="2" t="inlineStr"/>
    </row>
    <row r="422" ht="15" customHeight="1">
      <c r="A422" t="inlineStr">
        <is>
          <t>A 52110-2025</t>
        </is>
      </c>
      <c r="B422" s="1" t="n">
        <v>45952.69306712963</v>
      </c>
      <c r="C422" s="1" t="n">
        <v>46134</v>
      </c>
      <c r="D422" t="inlineStr">
        <is>
          <t>DALARNAS LÄN</t>
        </is>
      </c>
      <c r="E422" t="inlineStr">
        <is>
          <t>MORA</t>
        </is>
      </c>
      <c r="G422" t="n">
        <v>2.2</v>
      </c>
      <c r="H422" t="n">
        <v>0</v>
      </c>
      <c r="I422" t="n">
        <v>0</v>
      </c>
      <c r="J422" t="n">
        <v>0</v>
      </c>
      <c r="K422" t="n">
        <v>0</v>
      </c>
      <c r="L422" t="n">
        <v>0</v>
      </c>
      <c r="M422" t="n">
        <v>0</v>
      </c>
      <c r="N422" t="n">
        <v>0</v>
      </c>
      <c r="O422" t="n">
        <v>0</v>
      </c>
      <c r="P422" t="n">
        <v>0</v>
      </c>
      <c r="Q422" t="n">
        <v>0</v>
      </c>
      <c r="R422" s="2" t="inlineStr"/>
    </row>
    <row r="423" ht="15" customHeight="1">
      <c r="A423" t="inlineStr">
        <is>
          <t>A 37879-2025</t>
        </is>
      </c>
      <c r="B423" s="1" t="n">
        <v>45881.48791666667</v>
      </c>
      <c r="C423" s="1" t="n">
        <v>46134</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53527-2024</t>
        </is>
      </c>
      <c r="B424" s="1" t="n">
        <v>45614.61569444444</v>
      </c>
      <c r="C424" s="1" t="n">
        <v>46134</v>
      </c>
      <c r="D424" t="inlineStr">
        <is>
          <t>DALARNAS LÄN</t>
        </is>
      </c>
      <c r="E424" t="inlineStr">
        <is>
          <t>MORA</t>
        </is>
      </c>
      <c r="G424" t="n">
        <v>3.3</v>
      </c>
      <c r="H424" t="n">
        <v>0</v>
      </c>
      <c r="I424" t="n">
        <v>0</v>
      </c>
      <c r="J424" t="n">
        <v>0</v>
      </c>
      <c r="K424" t="n">
        <v>0</v>
      </c>
      <c r="L424" t="n">
        <v>0</v>
      </c>
      <c r="M424" t="n">
        <v>0</v>
      </c>
      <c r="N424" t="n">
        <v>0</v>
      </c>
      <c r="O424" t="n">
        <v>0</v>
      </c>
      <c r="P424" t="n">
        <v>0</v>
      </c>
      <c r="Q424" t="n">
        <v>0</v>
      </c>
      <c r="R424" s="2" t="inlineStr"/>
    </row>
    <row r="425" ht="15" customHeight="1">
      <c r="A425" t="inlineStr">
        <is>
          <t>A 51771-2025</t>
        </is>
      </c>
      <c r="B425" s="1" t="n">
        <v>45951.64653935185</v>
      </c>
      <c r="C425" s="1" t="n">
        <v>46134</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37774-2022</t>
        </is>
      </c>
      <c r="B426" s="1" t="n">
        <v>44810.64164351852</v>
      </c>
      <c r="C426" s="1" t="n">
        <v>46134</v>
      </c>
      <c r="D426" t="inlineStr">
        <is>
          <t>DALARNAS LÄN</t>
        </is>
      </c>
      <c r="E426" t="inlineStr">
        <is>
          <t>MORA</t>
        </is>
      </c>
      <c r="F426" t="inlineStr">
        <is>
          <t>Bergvik skog väst AB</t>
        </is>
      </c>
      <c r="G426" t="n">
        <v>8.5</v>
      </c>
      <c r="H426" t="n">
        <v>0</v>
      </c>
      <c r="I426" t="n">
        <v>0</v>
      </c>
      <c r="J426" t="n">
        <v>0</v>
      </c>
      <c r="K426" t="n">
        <v>0</v>
      </c>
      <c r="L426" t="n">
        <v>0</v>
      </c>
      <c r="M426" t="n">
        <v>0</v>
      </c>
      <c r="N426" t="n">
        <v>0</v>
      </c>
      <c r="O426" t="n">
        <v>0</v>
      </c>
      <c r="P426" t="n">
        <v>0</v>
      </c>
      <c r="Q426" t="n">
        <v>0</v>
      </c>
      <c r="R426" s="2" t="inlineStr"/>
    </row>
    <row r="427" ht="15" customHeight="1">
      <c r="A427" t="inlineStr">
        <is>
          <t>A 61278-2024</t>
        </is>
      </c>
      <c r="B427" s="1" t="n">
        <v>45645.76561342592</v>
      </c>
      <c r="C427" s="1" t="n">
        <v>46134</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5709-2026</t>
        </is>
      </c>
      <c r="B428" s="1" t="n">
        <v>46051</v>
      </c>
      <c r="C428" s="1" t="n">
        <v>46134</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13483-2026</t>
        </is>
      </c>
      <c r="B429" s="1" t="n">
        <v>46094</v>
      </c>
      <c r="C429" s="1" t="n">
        <v>46134</v>
      </c>
      <c r="D429" t="inlineStr">
        <is>
          <t>DALARNAS LÄN</t>
        </is>
      </c>
      <c r="E429" t="inlineStr">
        <is>
          <t>MORA</t>
        </is>
      </c>
      <c r="G429" t="n">
        <v>4</v>
      </c>
      <c r="H429" t="n">
        <v>0</v>
      </c>
      <c r="I429" t="n">
        <v>0</v>
      </c>
      <c r="J429" t="n">
        <v>0</v>
      </c>
      <c r="K429" t="n">
        <v>0</v>
      </c>
      <c r="L429" t="n">
        <v>0</v>
      </c>
      <c r="M429" t="n">
        <v>0</v>
      </c>
      <c r="N429" t="n">
        <v>0</v>
      </c>
      <c r="O429" t="n">
        <v>0</v>
      </c>
      <c r="P429" t="n">
        <v>0</v>
      </c>
      <c r="Q429" t="n">
        <v>0</v>
      </c>
      <c r="R429" s="2" t="inlineStr"/>
    </row>
    <row r="430" ht="15" customHeight="1">
      <c r="A430" t="inlineStr">
        <is>
          <t>A 56532-2024</t>
        </is>
      </c>
      <c r="B430" s="1" t="n">
        <v>45625.55440972222</v>
      </c>
      <c r="C430" s="1" t="n">
        <v>46134</v>
      </c>
      <c r="D430" t="inlineStr">
        <is>
          <t>DALARNAS LÄN</t>
        </is>
      </c>
      <c r="E430" t="inlineStr">
        <is>
          <t>MORA</t>
        </is>
      </c>
      <c r="G430" t="n">
        <v>6.9</v>
      </c>
      <c r="H430" t="n">
        <v>0</v>
      </c>
      <c r="I430" t="n">
        <v>0</v>
      </c>
      <c r="J430" t="n">
        <v>0</v>
      </c>
      <c r="K430" t="n">
        <v>0</v>
      </c>
      <c r="L430" t="n">
        <v>0</v>
      </c>
      <c r="M430" t="n">
        <v>0</v>
      </c>
      <c r="N430" t="n">
        <v>0</v>
      </c>
      <c r="O430" t="n">
        <v>0</v>
      </c>
      <c r="P430" t="n">
        <v>0</v>
      </c>
      <c r="Q430" t="n">
        <v>0</v>
      </c>
      <c r="R430" s="2" t="inlineStr"/>
    </row>
    <row r="431" ht="15" customHeight="1">
      <c r="A431" t="inlineStr">
        <is>
          <t>A 5836-2026</t>
        </is>
      </c>
      <c r="B431" s="1" t="n">
        <v>46052.33809027778</v>
      </c>
      <c r="C431" s="1" t="n">
        <v>46134</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52804-2025</t>
        </is>
      </c>
      <c r="B432" s="1" t="n">
        <v>45957.44552083333</v>
      </c>
      <c r="C432" s="1" t="n">
        <v>46134</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13515-2026</t>
        </is>
      </c>
      <c r="B433" s="1" t="n">
        <v>46094.61391203704</v>
      </c>
      <c r="C433" s="1" t="n">
        <v>46134</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24465-2021</t>
        </is>
      </c>
      <c r="B434" s="1" t="n">
        <v>44337</v>
      </c>
      <c r="C434" s="1" t="n">
        <v>46134</v>
      </c>
      <c r="D434" t="inlineStr">
        <is>
          <t>DALARNAS LÄN</t>
        </is>
      </c>
      <c r="E434" t="inlineStr">
        <is>
          <t>MORA</t>
        </is>
      </c>
      <c r="G434" t="n">
        <v>2.6</v>
      </c>
      <c r="H434" t="n">
        <v>0</v>
      </c>
      <c r="I434" t="n">
        <v>0</v>
      </c>
      <c r="J434" t="n">
        <v>0</v>
      </c>
      <c r="K434" t="n">
        <v>0</v>
      </c>
      <c r="L434" t="n">
        <v>0</v>
      </c>
      <c r="M434" t="n">
        <v>0</v>
      </c>
      <c r="N434" t="n">
        <v>0</v>
      </c>
      <c r="O434" t="n">
        <v>0</v>
      </c>
      <c r="P434" t="n">
        <v>0</v>
      </c>
      <c r="Q434" t="n">
        <v>0</v>
      </c>
      <c r="R434" s="2" t="inlineStr"/>
    </row>
    <row r="435" ht="15" customHeight="1">
      <c r="A435" t="inlineStr">
        <is>
          <t>A 5298-2023</t>
        </is>
      </c>
      <c r="B435" s="1" t="n">
        <v>44959.54355324074</v>
      </c>
      <c r="C435" s="1" t="n">
        <v>46134</v>
      </c>
      <c r="D435" t="inlineStr">
        <is>
          <t>DALARNAS LÄN</t>
        </is>
      </c>
      <c r="E435" t="inlineStr">
        <is>
          <t>MORA</t>
        </is>
      </c>
      <c r="F435" t="inlineStr">
        <is>
          <t>Bergvik skog väst AB</t>
        </is>
      </c>
      <c r="G435" t="n">
        <v>6.2</v>
      </c>
      <c r="H435" t="n">
        <v>0</v>
      </c>
      <c r="I435" t="n">
        <v>0</v>
      </c>
      <c r="J435" t="n">
        <v>0</v>
      </c>
      <c r="K435" t="n">
        <v>0</v>
      </c>
      <c r="L435" t="n">
        <v>0</v>
      </c>
      <c r="M435" t="n">
        <v>0</v>
      </c>
      <c r="N435" t="n">
        <v>0</v>
      </c>
      <c r="O435" t="n">
        <v>0</v>
      </c>
      <c r="P435" t="n">
        <v>0</v>
      </c>
      <c r="Q435" t="n">
        <v>0</v>
      </c>
      <c r="R435" s="2" t="inlineStr"/>
    </row>
    <row r="436" ht="15" customHeight="1">
      <c r="A436" t="inlineStr">
        <is>
          <t>A 59002-2024</t>
        </is>
      </c>
      <c r="B436" s="1" t="n">
        <v>45636</v>
      </c>
      <c r="C436" s="1" t="n">
        <v>46134</v>
      </c>
      <c r="D436" t="inlineStr">
        <is>
          <t>DALARNAS LÄN</t>
        </is>
      </c>
      <c r="E436" t="inlineStr">
        <is>
          <t>MORA</t>
        </is>
      </c>
      <c r="F436" t="inlineStr">
        <is>
          <t>Bergvik skog väst AB</t>
        </is>
      </c>
      <c r="G436" t="n">
        <v>24.8</v>
      </c>
      <c r="H436" t="n">
        <v>0</v>
      </c>
      <c r="I436" t="n">
        <v>0</v>
      </c>
      <c r="J436" t="n">
        <v>0</v>
      </c>
      <c r="K436" t="n">
        <v>0</v>
      </c>
      <c r="L436" t="n">
        <v>0</v>
      </c>
      <c r="M436" t="n">
        <v>0</v>
      </c>
      <c r="N436" t="n">
        <v>0</v>
      </c>
      <c r="O436" t="n">
        <v>0</v>
      </c>
      <c r="P436" t="n">
        <v>0</v>
      </c>
      <c r="Q436" t="n">
        <v>0</v>
      </c>
      <c r="R436" s="2" t="inlineStr"/>
    </row>
    <row r="437" ht="15" customHeight="1">
      <c r="A437" t="inlineStr">
        <is>
          <t>A 53150-2025</t>
        </is>
      </c>
      <c r="B437" s="1" t="n">
        <v>45958.48280092593</v>
      </c>
      <c r="C437" s="1" t="n">
        <v>46134</v>
      </c>
      <c r="D437" t="inlineStr">
        <is>
          <t>DALARNAS LÄN</t>
        </is>
      </c>
      <c r="E437" t="inlineStr">
        <is>
          <t>MORA</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53151-2025</t>
        </is>
      </c>
      <c r="B438" s="1" t="n">
        <v>45958.48611111111</v>
      </c>
      <c r="C438" s="1" t="n">
        <v>46134</v>
      </c>
      <c r="D438" t="inlineStr">
        <is>
          <t>DALARNAS LÄN</t>
        </is>
      </c>
      <c r="E438" t="inlineStr">
        <is>
          <t>MORA</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53418-2025</t>
        </is>
      </c>
      <c r="B439" s="1" t="n">
        <v>45959</v>
      </c>
      <c r="C439" s="1" t="n">
        <v>46134</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44106-2023</t>
        </is>
      </c>
      <c r="B440" s="1" t="n">
        <v>45188</v>
      </c>
      <c r="C440" s="1" t="n">
        <v>46134</v>
      </c>
      <c r="D440" t="inlineStr">
        <is>
          <t>DALARNAS LÄN</t>
        </is>
      </c>
      <c r="E440" t="inlineStr">
        <is>
          <t>MORA</t>
        </is>
      </c>
      <c r="G440" t="n">
        <v>10.1</v>
      </c>
      <c r="H440" t="n">
        <v>0</v>
      </c>
      <c r="I440" t="n">
        <v>0</v>
      </c>
      <c r="J440" t="n">
        <v>0</v>
      </c>
      <c r="K440" t="n">
        <v>0</v>
      </c>
      <c r="L440" t="n">
        <v>0</v>
      </c>
      <c r="M440" t="n">
        <v>0</v>
      </c>
      <c r="N440" t="n">
        <v>0</v>
      </c>
      <c r="O440" t="n">
        <v>0</v>
      </c>
      <c r="P440" t="n">
        <v>0</v>
      </c>
      <c r="Q440" t="n">
        <v>0</v>
      </c>
      <c r="R440" s="2" t="inlineStr"/>
    </row>
    <row r="441" ht="15" customHeight="1">
      <c r="A441" t="inlineStr">
        <is>
          <t>A 53591-2025</t>
        </is>
      </c>
      <c r="B441" s="1" t="n">
        <v>45960.43893518519</v>
      </c>
      <c r="C441" s="1" t="n">
        <v>46134</v>
      </c>
      <c r="D441" t="inlineStr">
        <is>
          <t>DALARNAS LÄN</t>
        </is>
      </c>
      <c r="E441" t="inlineStr">
        <is>
          <t>MORA</t>
        </is>
      </c>
      <c r="G441" t="n">
        <v>3.8</v>
      </c>
      <c r="H441" t="n">
        <v>0</v>
      </c>
      <c r="I441" t="n">
        <v>0</v>
      </c>
      <c r="J441" t="n">
        <v>0</v>
      </c>
      <c r="K441" t="n">
        <v>0</v>
      </c>
      <c r="L441" t="n">
        <v>0</v>
      </c>
      <c r="M441" t="n">
        <v>0</v>
      </c>
      <c r="N441" t="n">
        <v>0</v>
      </c>
      <c r="O441" t="n">
        <v>0</v>
      </c>
      <c r="P441" t="n">
        <v>0</v>
      </c>
      <c r="Q441" t="n">
        <v>0</v>
      </c>
      <c r="R441" s="2" t="inlineStr"/>
    </row>
    <row r="442" ht="15" customHeight="1">
      <c r="A442" t="inlineStr">
        <is>
          <t>A 13543-2026</t>
        </is>
      </c>
      <c r="B442" s="1" t="n">
        <v>46094.6853125</v>
      </c>
      <c r="C442" s="1" t="n">
        <v>46134</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53632-2025</t>
        </is>
      </c>
      <c r="B443" s="1" t="n">
        <v>45960.49972222222</v>
      </c>
      <c r="C443" s="1" t="n">
        <v>46134</v>
      </c>
      <c r="D443" t="inlineStr">
        <is>
          <t>DALARNAS LÄN</t>
        </is>
      </c>
      <c r="E443" t="inlineStr">
        <is>
          <t>MORA</t>
        </is>
      </c>
      <c r="G443" t="n">
        <v>3.1</v>
      </c>
      <c r="H443" t="n">
        <v>0</v>
      </c>
      <c r="I443" t="n">
        <v>0</v>
      </c>
      <c r="J443" t="n">
        <v>0</v>
      </c>
      <c r="K443" t="n">
        <v>0</v>
      </c>
      <c r="L443" t="n">
        <v>0</v>
      </c>
      <c r="M443" t="n">
        <v>0</v>
      </c>
      <c r="N443" t="n">
        <v>0</v>
      </c>
      <c r="O443" t="n">
        <v>0</v>
      </c>
      <c r="P443" t="n">
        <v>0</v>
      </c>
      <c r="Q443" t="n">
        <v>0</v>
      </c>
      <c r="R443" s="2" t="inlineStr"/>
    </row>
    <row r="444" ht="15" customHeight="1">
      <c r="A444" t="inlineStr">
        <is>
          <t>A 57091-2021</t>
        </is>
      </c>
      <c r="B444" s="1" t="n">
        <v>44482</v>
      </c>
      <c r="C444" s="1" t="n">
        <v>46134</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53565-2025</t>
        </is>
      </c>
      <c r="B445" s="1" t="n">
        <v>45960.40711805555</v>
      </c>
      <c r="C445" s="1" t="n">
        <v>46134</v>
      </c>
      <c r="D445" t="inlineStr">
        <is>
          <t>DALARNAS LÄN</t>
        </is>
      </c>
      <c r="E445" t="inlineStr">
        <is>
          <t>MORA</t>
        </is>
      </c>
      <c r="G445" t="n">
        <v>5.1</v>
      </c>
      <c r="H445" t="n">
        <v>0</v>
      </c>
      <c r="I445" t="n">
        <v>0</v>
      </c>
      <c r="J445" t="n">
        <v>0</v>
      </c>
      <c r="K445" t="n">
        <v>0</v>
      </c>
      <c r="L445" t="n">
        <v>0</v>
      </c>
      <c r="M445" t="n">
        <v>0</v>
      </c>
      <c r="N445" t="n">
        <v>0</v>
      </c>
      <c r="O445" t="n">
        <v>0</v>
      </c>
      <c r="P445" t="n">
        <v>0</v>
      </c>
      <c r="Q445" t="n">
        <v>0</v>
      </c>
      <c r="R445" s="2" t="inlineStr"/>
    </row>
    <row r="446" ht="15" customHeight="1">
      <c r="A446" t="inlineStr">
        <is>
          <t>A 13476-2026</t>
        </is>
      </c>
      <c r="B446" s="1" t="n">
        <v>46094.57229166666</v>
      </c>
      <c r="C446" s="1" t="n">
        <v>46134</v>
      </c>
      <c r="D446" t="inlineStr">
        <is>
          <t>DALARNAS LÄN</t>
        </is>
      </c>
      <c r="E446" t="inlineStr">
        <is>
          <t>MORA</t>
        </is>
      </c>
      <c r="F446" t="inlineStr">
        <is>
          <t>Bergvik skog öst AB</t>
        </is>
      </c>
      <c r="G446" t="n">
        <v>11.5</v>
      </c>
      <c r="H446" t="n">
        <v>0</v>
      </c>
      <c r="I446" t="n">
        <v>0</v>
      </c>
      <c r="J446" t="n">
        <v>0</v>
      </c>
      <c r="K446" t="n">
        <v>0</v>
      </c>
      <c r="L446" t="n">
        <v>0</v>
      </c>
      <c r="M446" t="n">
        <v>0</v>
      </c>
      <c r="N446" t="n">
        <v>0</v>
      </c>
      <c r="O446" t="n">
        <v>0</v>
      </c>
      <c r="P446" t="n">
        <v>0</v>
      </c>
      <c r="Q446" t="n">
        <v>0</v>
      </c>
      <c r="R446" s="2" t="inlineStr"/>
    </row>
    <row r="447" ht="15" customHeight="1">
      <c r="A447" t="inlineStr">
        <is>
          <t>A 53556-2025</t>
        </is>
      </c>
      <c r="B447" s="1" t="n">
        <v>45960.3921875</v>
      </c>
      <c r="C447" s="1" t="n">
        <v>46134</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4994-2025</t>
        </is>
      </c>
      <c r="B448" s="1" t="n">
        <v>45691.35427083333</v>
      </c>
      <c r="C448" s="1" t="n">
        <v>46134</v>
      </c>
      <c r="D448" t="inlineStr">
        <is>
          <t>DALARNAS LÄN</t>
        </is>
      </c>
      <c r="E448" t="inlineStr">
        <is>
          <t>MORA</t>
        </is>
      </c>
      <c r="G448" t="n">
        <v>4.6</v>
      </c>
      <c r="H448" t="n">
        <v>0</v>
      </c>
      <c r="I448" t="n">
        <v>0</v>
      </c>
      <c r="J448" t="n">
        <v>0</v>
      </c>
      <c r="K448" t="n">
        <v>0</v>
      </c>
      <c r="L448" t="n">
        <v>0</v>
      </c>
      <c r="M448" t="n">
        <v>0</v>
      </c>
      <c r="N448" t="n">
        <v>0</v>
      </c>
      <c r="O448" t="n">
        <v>0</v>
      </c>
      <c r="P448" t="n">
        <v>0</v>
      </c>
      <c r="Q448" t="n">
        <v>0</v>
      </c>
      <c r="R448" s="2" t="inlineStr"/>
    </row>
    <row r="449" ht="15" customHeight="1">
      <c r="A449" t="inlineStr">
        <is>
          <t>A 53560-2025</t>
        </is>
      </c>
      <c r="B449" s="1" t="n">
        <v>45960.39960648148</v>
      </c>
      <c r="C449" s="1" t="n">
        <v>46134</v>
      </c>
      <c r="D449" t="inlineStr">
        <is>
          <t>DALARNAS LÄN</t>
        </is>
      </c>
      <c r="E449" t="inlineStr">
        <is>
          <t>MORA</t>
        </is>
      </c>
      <c r="G449" t="n">
        <v>5.2</v>
      </c>
      <c r="H449" t="n">
        <v>0</v>
      </c>
      <c r="I449" t="n">
        <v>0</v>
      </c>
      <c r="J449" t="n">
        <v>0</v>
      </c>
      <c r="K449" t="n">
        <v>0</v>
      </c>
      <c r="L449" t="n">
        <v>0</v>
      </c>
      <c r="M449" t="n">
        <v>0</v>
      </c>
      <c r="N449" t="n">
        <v>0</v>
      </c>
      <c r="O449" t="n">
        <v>0</v>
      </c>
      <c r="P449" t="n">
        <v>0</v>
      </c>
      <c r="Q449" t="n">
        <v>0</v>
      </c>
      <c r="R449" s="2" t="inlineStr"/>
    </row>
    <row r="450" ht="15" customHeight="1">
      <c r="A450" t="inlineStr">
        <is>
          <t>A 53562-2025</t>
        </is>
      </c>
      <c r="B450" s="1" t="n">
        <v>45960.40662037037</v>
      </c>
      <c r="C450" s="1" t="n">
        <v>46134</v>
      </c>
      <c r="D450" t="inlineStr">
        <is>
          <t>DALARNAS LÄN</t>
        </is>
      </c>
      <c r="E450" t="inlineStr">
        <is>
          <t>MORA</t>
        </is>
      </c>
      <c r="G450" t="n">
        <v>5.1</v>
      </c>
      <c r="H450" t="n">
        <v>0</v>
      </c>
      <c r="I450" t="n">
        <v>0</v>
      </c>
      <c r="J450" t="n">
        <v>0</v>
      </c>
      <c r="K450" t="n">
        <v>0</v>
      </c>
      <c r="L450" t="n">
        <v>0</v>
      </c>
      <c r="M450" t="n">
        <v>0</v>
      </c>
      <c r="N450" t="n">
        <v>0</v>
      </c>
      <c r="O450" t="n">
        <v>0</v>
      </c>
      <c r="P450" t="n">
        <v>0</v>
      </c>
      <c r="Q450" t="n">
        <v>0</v>
      </c>
      <c r="R450" s="2" t="inlineStr"/>
    </row>
    <row r="451" ht="15" customHeight="1">
      <c r="A451" t="inlineStr">
        <is>
          <t>A 5959-2026</t>
        </is>
      </c>
      <c r="B451" s="1" t="n">
        <v>46052.50533564815</v>
      </c>
      <c r="C451" s="1" t="n">
        <v>46134</v>
      </c>
      <c r="D451" t="inlineStr">
        <is>
          <t>DALARNAS LÄN</t>
        </is>
      </c>
      <c r="E451" t="inlineStr">
        <is>
          <t>MORA</t>
        </is>
      </c>
      <c r="G451" t="n">
        <v>9.5</v>
      </c>
      <c r="H451" t="n">
        <v>0</v>
      </c>
      <c r="I451" t="n">
        <v>0</v>
      </c>
      <c r="J451" t="n">
        <v>0</v>
      </c>
      <c r="K451" t="n">
        <v>0</v>
      </c>
      <c r="L451" t="n">
        <v>0</v>
      </c>
      <c r="M451" t="n">
        <v>0</v>
      </c>
      <c r="N451" t="n">
        <v>0</v>
      </c>
      <c r="O451" t="n">
        <v>0</v>
      </c>
      <c r="P451" t="n">
        <v>0</v>
      </c>
      <c r="Q451" t="n">
        <v>0</v>
      </c>
      <c r="R451" s="2" t="inlineStr"/>
    </row>
    <row r="452" ht="15" customHeight="1">
      <c r="A452" t="inlineStr">
        <is>
          <t>A 35287-2024</t>
        </is>
      </c>
      <c r="B452" s="1" t="n">
        <v>45530</v>
      </c>
      <c r="C452" s="1" t="n">
        <v>46134</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18702-2025</t>
        </is>
      </c>
      <c r="B453" s="1" t="n">
        <v>45763.63166666667</v>
      </c>
      <c r="C453" s="1" t="n">
        <v>46134</v>
      </c>
      <c r="D453" t="inlineStr">
        <is>
          <t>DALARNAS LÄN</t>
        </is>
      </c>
      <c r="E453" t="inlineStr">
        <is>
          <t>MORA</t>
        </is>
      </c>
      <c r="G453" t="n">
        <v>3.6</v>
      </c>
      <c r="H453" t="n">
        <v>0</v>
      </c>
      <c r="I453" t="n">
        <v>0</v>
      </c>
      <c r="J453" t="n">
        <v>0</v>
      </c>
      <c r="K453" t="n">
        <v>0</v>
      </c>
      <c r="L453" t="n">
        <v>0</v>
      </c>
      <c r="M453" t="n">
        <v>0</v>
      </c>
      <c r="N453" t="n">
        <v>0</v>
      </c>
      <c r="O453" t="n">
        <v>0</v>
      </c>
      <c r="P453" t="n">
        <v>0</v>
      </c>
      <c r="Q453" t="n">
        <v>0</v>
      </c>
      <c r="R453" s="2" t="inlineStr"/>
    </row>
    <row r="454" ht="15" customHeight="1">
      <c r="A454" t="inlineStr">
        <is>
          <t>A 5803-2026</t>
        </is>
      </c>
      <c r="B454" s="1" t="n">
        <v>46051</v>
      </c>
      <c r="C454" s="1" t="n">
        <v>46134</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12478-2025</t>
        </is>
      </c>
      <c r="B455" s="1" t="n">
        <v>45730.57429398148</v>
      </c>
      <c r="C455" s="1" t="n">
        <v>46134</v>
      </c>
      <c r="D455" t="inlineStr">
        <is>
          <t>DALARNAS LÄN</t>
        </is>
      </c>
      <c r="E455" t="inlineStr">
        <is>
          <t>MORA</t>
        </is>
      </c>
      <c r="F455" t="inlineStr">
        <is>
          <t>Bergvik skog öst AB</t>
        </is>
      </c>
      <c r="G455" t="n">
        <v>1.6</v>
      </c>
      <c r="H455" t="n">
        <v>0</v>
      </c>
      <c r="I455" t="n">
        <v>0</v>
      </c>
      <c r="J455" t="n">
        <v>0</v>
      </c>
      <c r="K455" t="n">
        <v>0</v>
      </c>
      <c r="L455" t="n">
        <v>0</v>
      </c>
      <c r="M455" t="n">
        <v>0</v>
      </c>
      <c r="N455" t="n">
        <v>0</v>
      </c>
      <c r="O455" t="n">
        <v>0</v>
      </c>
      <c r="P455" t="n">
        <v>0</v>
      </c>
      <c r="Q455" t="n">
        <v>0</v>
      </c>
      <c r="R455" s="2" t="inlineStr"/>
    </row>
    <row r="456" ht="15" customHeight="1">
      <c r="A456" t="inlineStr">
        <is>
          <t>A 316-2026</t>
        </is>
      </c>
      <c r="B456" s="1" t="n">
        <v>46027</v>
      </c>
      <c r="C456" s="1" t="n">
        <v>46134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54099-2025</t>
        </is>
      </c>
      <c r="B457" s="1" t="n">
        <v>45964.41665509259</v>
      </c>
      <c r="C457" s="1" t="n">
        <v>46134</v>
      </c>
      <c r="D457" t="inlineStr">
        <is>
          <t>DALARNAS LÄN</t>
        </is>
      </c>
      <c r="E457" t="inlineStr">
        <is>
          <t>MORA</t>
        </is>
      </c>
      <c r="G457" t="n">
        <v>5.3</v>
      </c>
      <c r="H457" t="n">
        <v>0</v>
      </c>
      <c r="I457" t="n">
        <v>0</v>
      </c>
      <c r="J457" t="n">
        <v>0</v>
      </c>
      <c r="K457" t="n">
        <v>0</v>
      </c>
      <c r="L457" t="n">
        <v>0</v>
      </c>
      <c r="M457" t="n">
        <v>0</v>
      </c>
      <c r="N457" t="n">
        <v>0</v>
      </c>
      <c r="O457" t="n">
        <v>0</v>
      </c>
      <c r="P457" t="n">
        <v>0</v>
      </c>
      <c r="Q457" t="n">
        <v>0</v>
      </c>
      <c r="R457" s="2" t="inlineStr"/>
    </row>
    <row r="458" ht="15" customHeight="1">
      <c r="A458" t="inlineStr">
        <is>
          <t>A 53982-2025</t>
        </is>
      </c>
      <c r="B458" s="1" t="n">
        <v>45961.57019675926</v>
      </c>
      <c r="C458" s="1" t="n">
        <v>46134</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54504-2025</t>
        </is>
      </c>
      <c r="B459" s="1" t="n">
        <v>45965.61686342592</v>
      </c>
      <c r="C459" s="1" t="n">
        <v>46134</v>
      </c>
      <c r="D459" t="inlineStr">
        <is>
          <t>DALARNAS LÄN</t>
        </is>
      </c>
      <c r="E459" t="inlineStr">
        <is>
          <t>MORA</t>
        </is>
      </c>
      <c r="G459" t="n">
        <v>0.9</v>
      </c>
      <c r="H459" t="n">
        <v>0</v>
      </c>
      <c r="I459" t="n">
        <v>0</v>
      </c>
      <c r="J459" t="n">
        <v>0</v>
      </c>
      <c r="K459" t="n">
        <v>0</v>
      </c>
      <c r="L459" t="n">
        <v>0</v>
      </c>
      <c r="M459" t="n">
        <v>0</v>
      </c>
      <c r="N459" t="n">
        <v>0</v>
      </c>
      <c r="O459" t="n">
        <v>0</v>
      </c>
      <c r="P459" t="n">
        <v>0</v>
      </c>
      <c r="Q459" t="n">
        <v>0</v>
      </c>
      <c r="R459" s="2" t="inlineStr"/>
    </row>
    <row r="460" ht="15" customHeight="1">
      <c r="A460" t="inlineStr">
        <is>
          <t>A 30030-2021</t>
        </is>
      </c>
      <c r="B460" s="1" t="n">
        <v>44363</v>
      </c>
      <c r="C460" s="1" t="n">
        <v>46134</v>
      </c>
      <c r="D460" t="inlineStr">
        <is>
          <t>DALARNAS LÄN</t>
        </is>
      </c>
      <c r="E460" t="inlineStr">
        <is>
          <t>MORA</t>
        </is>
      </c>
      <c r="G460" t="n">
        <v>7.1</v>
      </c>
      <c r="H460" t="n">
        <v>0</v>
      </c>
      <c r="I460" t="n">
        <v>0</v>
      </c>
      <c r="J460" t="n">
        <v>0</v>
      </c>
      <c r="K460" t="n">
        <v>0</v>
      </c>
      <c r="L460" t="n">
        <v>0</v>
      </c>
      <c r="M460" t="n">
        <v>0</v>
      </c>
      <c r="N460" t="n">
        <v>0</v>
      </c>
      <c r="O460" t="n">
        <v>0</v>
      </c>
      <c r="P460" t="n">
        <v>0</v>
      </c>
      <c r="Q460" t="n">
        <v>0</v>
      </c>
      <c r="R460" s="2" t="inlineStr"/>
    </row>
    <row r="461" ht="15" customHeight="1">
      <c r="A461" t="inlineStr">
        <is>
          <t>A 31085-2024</t>
        </is>
      </c>
      <c r="B461" s="1" t="n">
        <v>45502.48047453703</v>
      </c>
      <c r="C461" s="1" t="n">
        <v>46134</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54367-2025</t>
        </is>
      </c>
      <c r="B462" s="1" t="n">
        <v>45965.4031712963</v>
      </c>
      <c r="C462" s="1" t="n">
        <v>46134</v>
      </c>
      <c r="D462" t="inlineStr">
        <is>
          <t>DALARNAS LÄN</t>
        </is>
      </c>
      <c r="E462" t="inlineStr">
        <is>
          <t>MORA</t>
        </is>
      </c>
      <c r="G462" t="n">
        <v>7</v>
      </c>
      <c r="H462" t="n">
        <v>0</v>
      </c>
      <c r="I462" t="n">
        <v>0</v>
      </c>
      <c r="J462" t="n">
        <v>0</v>
      </c>
      <c r="K462" t="n">
        <v>0</v>
      </c>
      <c r="L462" t="n">
        <v>0</v>
      </c>
      <c r="M462" t="n">
        <v>0</v>
      </c>
      <c r="N462" t="n">
        <v>0</v>
      </c>
      <c r="O462" t="n">
        <v>0</v>
      </c>
      <c r="P462" t="n">
        <v>0</v>
      </c>
      <c r="Q462" t="n">
        <v>0</v>
      </c>
      <c r="R462" s="2" t="inlineStr"/>
    </row>
    <row r="463" ht="15" customHeight="1">
      <c r="A463" t="inlineStr">
        <is>
          <t>A 6182-2026</t>
        </is>
      </c>
      <c r="B463" s="1" t="n">
        <v>46055.36231481482</v>
      </c>
      <c r="C463" s="1" t="n">
        <v>46134</v>
      </c>
      <c r="D463" t="inlineStr">
        <is>
          <t>DALARNAS LÄN</t>
        </is>
      </c>
      <c r="E463" t="inlineStr">
        <is>
          <t>MORA</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6719-2026</t>
        </is>
      </c>
      <c r="B464" s="1" t="n">
        <v>46056.66945601852</v>
      </c>
      <c r="C464" s="1" t="n">
        <v>46134</v>
      </c>
      <c r="D464" t="inlineStr">
        <is>
          <t>DALARNAS LÄN</t>
        </is>
      </c>
      <c r="E464" t="inlineStr">
        <is>
          <t>MORA</t>
        </is>
      </c>
      <c r="G464" t="n">
        <v>0.7</v>
      </c>
      <c r="H464" t="n">
        <v>0</v>
      </c>
      <c r="I464" t="n">
        <v>0</v>
      </c>
      <c r="J464" t="n">
        <v>0</v>
      </c>
      <c r="K464" t="n">
        <v>0</v>
      </c>
      <c r="L464" t="n">
        <v>0</v>
      </c>
      <c r="M464" t="n">
        <v>0</v>
      </c>
      <c r="N464" t="n">
        <v>0</v>
      </c>
      <c r="O464" t="n">
        <v>0</v>
      </c>
      <c r="P464" t="n">
        <v>0</v>
      </c>
      <c r="Q464" t="n">
        <v>0</v>
      </c>
      <c r="R464" s="2" t="inlineStr"/>
    </row>
    <row r="465" ht="15" customHeight="1">
      <c r="A465" t="inlineStr">
        <is>
          <t>A 44071-2024</t>
        </is>
      </c>
      <c r="B465" s="1" t="n">
        <v>45572.60915509259</v>
      </c>
      <c r="C465" s="1" t="n">
        <v>46134</v>
      </c>
      <c r="D465" t="inlineStr">
        <is>
          <t>DALARNAS LÄN</t>
        </is>
      </c>
      <c r="E465" t="inlineStr">
        <is>
          <t>MORA</t>
        </is>
      </c>
      <c r="G465" t="n">
        <v>4.5</v>
      </c>
      <c r="H465" t="n">
        <v>0</v>
      </c>
      <c r="I465" t="n">
        <v>0</v>
      </c>
      <c r="J465" t="n">
        <v>0</v>
      </c>
      <c r="K465" t="n">
        <v>0</v>
      </c>
      <c r="L465" t="n">
        <v>0</v>
      </c>
      <c r="M465" t="n">
        <v>0</v>
      </c>
      <c r="N465" t="n">
        <v>0</v>
      </c>
      <c r="O465" t="n">
        <v>0</v>
      </c>
      <c r="P465" t="n">
        <v>0</v>
      </c>
      <c r="Q465" t="n">
        <v>0</v>
      </c>
      <c r="R465" s="2" t="inlineStr"/>
    </row>
    <row r="466" ht="15" customHeight="1">
      <c r="A466" t="inlineStr">
        <is>
          <t>A 54508-2025</t>
        </is>
      </c>
      <c r="B466" s="1" t="n">
        <v>45965.61844907407</v>
      </c>
      <c r="C466" s="1" t="n">
        <v>46134</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12490-2025</t>
        </is>
      </c>
      <c r="B467" s="1" t="n">
        <v>45730.59239583334</v>
      </c>
      <c r="C467" s="1" t="n">
        <v>46134</v>
      </c>
      <c r="D467" t="inlineStr">
        <is>
          <t>DALARNAS LÄN</t>
        </is>
      </c>
      <c r="E467" t="inlineStr">
        <is>
          <t>MORA</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54518-2025</t>
        </is>
      </c>
      <c r="B468" s="1" t="n">
        <v>45965.62608796296</v>
      </c>
      <c r="C468" s="1" t="n">
        <v>46134</v>
      </c>
      <c r="D468" t="inlineStr">
        <is>
          <t>DALARNAS LÄN</t>
        </is>
      </c>
      <c r="E468" t="inlineStr">
        <is>
          <t>MORA</t>
        </is>
      </c>
      <c r="G468" t="n">
        <v>7.1</v>
      </c>
      <c r="H468" t="n">
        <v>0</v>
      </c>
      <c r="I468" t="n">
        <v>0</v>
      </c>
      <c r="J468" t="n">
        <v>0</v>
      </c>
      <c r="K468" t="n">
        <v>0</v>
      </c>
      <c r="L468" t="n">
        <v>0</v>
      </c>
      <c r="M468" t="n">
        <v>0</v>
      </c>
      <c r="N468" t="n">
        <v>0</v>
      </c>
      <c r="O468" t="n">
        <v>0</v>
      </c>
      <c r="P468" t="n">
        <v>0</v>
      </c>
      <c r="Q468" t="n">
        <v>0</v>
      </c>
      <c r="R468" s="2" t="inlineStr"/>
    </row>
    <row r="469" ht="15" customHeight="1">
      <c r="A469" t="inlineStr">
        <is>
          <t>A 55262-2025</t>
        </is>
      </c>
      <c r="B469" s="1" t="n">
        <v>45968.64847222222</v>
      </c>
      <c r="C469" s="1" t="n">
        <v>46134</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54919-2025</t>
        </is>
      </c>
      <c r="B470" s="1" t="n">
        <v>45967.38884259259</v>
      </c>
      <c r="C470" s="1" t="n">
        <v>46134</v>
      </c>
      <c r="D470" t="inlineStr">
        <is>
          <t>DALARNAS LÄN</t>
        </is>
      </c>
      <c r="E470" t="inlineStr">
        <is>
          <t>MORA</t>
        </is>
      </c>
      <c r="F470" t="inlineStr">
        <is>
          <t>Bergvik skog väst AB</t>
        </is>
      </c>
      <c r="G470" t="n">
        <v>5.6</v>
      </c>
      <c r="H470" t="n">
        <v>0</v>
      </c>
      <c r="I470" t="n">
        <v>0</v>
      </c>
      <c r="J470" t="n">
        <v>0</v>
      </c>
      <c r="K470" t="n">
        <v>0</v>
      </c>
      <c r="L470" t="n">
        <v>0</v>
      </c>
      <c r="M470" t="n">
        <v>0</v>
      </c>
      <c r="N470" t="n">
        <v>0</v>
      </c>
      <c r="O470" t="n">
        <v>0</v>
      </c>
      <c r="P470" t="n">
        <v>0</v>
      </c>
      <c r="Q470" t="n">
        <v>0</v>
      </c>
      <c r="R470" s="2" t="inlineStr"/>
    </row>
    <row r="471" ht="15" customHeight="1">
      <c r="A471" t="inlineStr">
        <is>
          <t>A 55124-2025</t>
        </is>
      </c>
      <c r="B471" s="1" t="n">
        <v>45968.40621527778</v>
      </c>
      <c r="C471" s="1" t="n">
        <v>46134</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55123-2025</t>
        </is>
      </c>
      <c r="B472" s="1" t="n">
        <v>45968.40056712963</v>
      </c>
      <c r="C472" s="1" t="n">
        <v>46134</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54868-2025</t>
        </is>
      </c>
      <c r="B473" s="1" t="n">
        <v>45966.85649305556</v>
      </c>
      <c r="C473" s="1" t="n">
        <v>46134</v>
      </c>
      <c r="D473" t="inlineStr">
        <is>
          <t>DALARNAS LÄN</t>
        </is>
      </c>
      <c r="E473" t="inlineStr">
        <is>
          <t>MORA</t>
        </is>
      </c>
      <c r="F473" t="inlineStr">
        <is>
          <t>Bergvik skog väst AB</t>
        </is>
      </c>
      <c r="G473" t="n">
        <v>5.6</v>
      </c>
      <c r="H473" t="n">
        <v>0</v>
      </c>
      <c r="I473" t="n">
        <v>0</v>
      </c>
      <c r="J473" t="n">
        <v>0</v>
      </c>
      <c r="K473" t="n">
        <v>0</v>
      </c>
      <c r="L473" t="n">
        <v>0</v>
      </c>
      <c r="M473" t="n">
        <v>0</v>
      </c>
      <c r="N473" t="n">
        <v>0</v>
      </c>
      <c r="O473" t="n">
        <v>0</v>
      </c>
      <c r="P473" t="n">
        <v>0</v>
      </c>
      <c r="Q473" t="n">
        <v>0</v>
      </c>
      <c r="R473" s="2" t="inlineStr"/>
    </row>
    <row r="474" ht="15" customHeight="1">
      <c r="A474" t="inlineStr">
        <is>
          <t>A 6619-2026</t>
        </is>
      </c>
      <c r="B474" s="1" t="n">
        <v>46056.49622685185</v>
      </c>
      <c r="C474" s="1" t="n">
        <v>46134</v>
      </c>
      <c r="D474" t="inlineStr">
        <is>
          <t>DALARNAS LÄN</t>
        </is>
      </c>
      <c r="E474" t="inlineStr">
        <is>
          <t>MORA</t>
        </is>
      </c>
      <c r="G474" t="n">
        <v>0.9</v>
      </c>
      <c r="H474" t="n">
        <v>0</v>
      </c>
      <c r="I474" t="n">
        <v>0</v>
      </c>
      <c r="J474" t="n">
        <v>0</v>
      </c>
      <c r="K474" t="n">
        <v>0</v>
      </c>
      <c r="L474" t="n">
        <v>0</v>
      </c>
      <c r="M474" t="n">
        <v>0</v>
      </c>
      <c r="N474" t="n">
        <v>0</v>
      </c>
      <c r="O474" t="n">
        <v>0</v>
      </c>
      <c r="P474" t="n">
        <v>0</v>
      </c>
      <c r="Q474" t="n">
        <v>0</v>
      </c>
      <c r="R474" s="2" t="inlineStr"/>
    </row>
    <row r="475" ht="15" customHeight="1">
      <c r="A475" t="inlineStr">
        <is>
          <t>A 54909-2025</t>
        </is>
      </c>
      <c r="B475" s="1" t="n">
        <v>45967.374375</v>
      </c>
      <c r="C475" s="1" t="n">
        <v>46134</v>
      </c>
      <c r="D475" t="inlineStr">
        <is>
          <t>DALARNAS LÄN</t>
        </is>
      </c>
      <c r="E475" t="inlineStr">
        <is>
          <t>MORA</t>
        </is>
      </c>
      <c r="G475" t="n">
        <v>1.7</v>
      </c>
      <c r="H475" t="n">
        <v>0</v>
      </c>
      <c r="I475" t="n">
        <v>0</v>
      </c>
      <c r="J475" t="n">
        <v>0</v>
      </c>
      <c r="K475" t="n">
        <v>0</v>
      </c>
      <c r="L475" t="n">
        <v>0</v>
      </c>
      <c r="M475" t="n">
        <v>0</v>
      </c>
      <c r="N475" t="n">
        <v>0</v>
      </c>
      <c r="O475" t="n">
        <v>0</v>
      </c>
      <c r="P475" t="n">
        <v>0</v>
      </c>
      <c r="Q475" t="n">
        <v>0</v>
      </c>
      <c r="R475" s="2" t="inlineStr"/>
    </row>
    <row r="476" ht="15" customHeight="1">
      <c r="A476" t="inlineStr">
        <is>
          <t>A 54905-2025</t>
        </is>
      </c>
      <c r="B476" s="1" t="n">
        <v>45967.3700462963</v>
      </c>
      <c r="C476" s="1" t="n">
        <v>46134</v>
      </c>
      <c r="D476" t="inlineStr">
        <is>
          <t>DALARNAS LÄN</t>
        </is>
      </c>
      <c r="E476" t="inlineStr">
        <is>
          <t>MORA</t>
        </is>
      </c>
      <c r="G476" t="n">
        <v>0.4</v>
      </c>
      <c r="H476" t="n">
        <v>0</v>
      </c>
      <c r="I476" t="n">
        <v>0</v>
      </c>
      <c r="J476" t="n">
        <v>0</v>
      </c>
      <c r="K476" t="n">
        <v>0</v>
      </c>
      <c r="L476" t="n">
        <v>0</v>
      </c>
      <c r="M476" t="n">
        <v>0</v>
      </c>
      <c r="N476" t="n">
        <v>0</v>
      </c>
      <c r="O476" t="n">
        <v>0</v>
      </c>
      <c r="P476" t="n">
        <v>0</v>
      </c>
      <c r="Q476" t="n">
        <v>0</v>
      </c>
      <c r="R476" s="2" t="inlineStr"/>
    </row>
    <row r="477" ht="15" customHeight="1">
      <c r="A477" t="inlineStr">
        <is>
          <t>A 54910-2025</t>
        </is>
      </c>
      <c r="B477" s="1" t="n">
        <v>45967.37679398148</v>
      </c>
      <c r="C477" s="1" t="n">
        <v>46134</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54862-2025</t>
        </is>
      </c>
      <c r="B478" s="1" t="n">
        <v>45966.76542824074</v>
      </c>
      <c r="C478" s="1" t="n">
        <v>46134</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6595-2026</t>
        </is>
      </c>
      <c r="B479" s="1" t="n">
        <v>46056</v>
      </c>
      <c r="C479" s="1" t="n">
        <v>46134</v>
      </c>
      <c r="D479" t="inlineStr">
        <is>
          <t>DALARNAS LÄN</t>
        </is>
      </c>
      <c r="E479" t="inlineStr">
        <is>
          <t>MORA</t>
        </is>
      </c>
      <c r="G479" t="n">
        <v>0.7</v>
      </c>
      <c r="H479" t="n">
        <v>0</v>
      </c>
      <c r="I479" t="n">
        <v>0</v>
      </c>
      <c r="J479" t="n">
        <v>0</v>
      </c>
      <c r="K479" t="n">
        <v>0</v>
      </c>
      <c r="L479" t="n">
        <v>0</v>
      </c>
      <c r="M479" t="n">
        <v>0</v>
      </c>
      <c r="N479" t="n">
        <v>0</v>
      </c>
      <c r="O479" t="n">
        <v>0</v>
      </c>
      <c r="P479" t="n">
        <v>0</v>
      </c>
      <c r="Q479" t="n">
        <v>0</v>
      </c>
      <c r="R479" s="2" t="inlineStr"/>
    </row>
    <row r="480" ht="15" customHeight="1">
      <c r="A480" t="inlineStr">
        <is>
          <t>A 21410-2023</t>
        </is>
      </c>
      <c r="B480" s="1" t="n">
        <v>45063</v>
      </c>
      <c r="C480" s="1" t="n">
        <v>46134</v>
      </c>
      <c r="D480" t="inlineStr">
        <is>
          <t>DALARNAS LÄN</t>
        </is>
      </c>
      <c r="E480" t="inlineStr">
        <is>
          <t>MORA</t>
        </is>
      </c>
      <c r="G480" t="n">
        <v>7</v>
      </c>
      <c r="H480" t="n">
        <v>0</v>
      </c>
      <c r="I480" t="n">
        <v>0</v>
      </c>
      <c r="J480" t="n">
        <v>0</v>
      </c>
      <c r="K480" t="n">
        <v>0</v>
      </c>
      <c r="L480" t="n">
        <v>0</v>
      </c>
      <c r="M480" t="n">
        <v>0</v>
      </c>
      <c r="N480" t="n">
        <v>0</v>
      </c>
      <c r="O480" t="n">
        <v>0</v>
      </c>
      <c r="P480" t="n">
        <v>0</v>
      </c>
      <c r="Q480" t="n">
        <v>0</v>
      </c>
      <c r="R480" s="2" t="inlineStr"/>
    </row>
    <row r="481" ht="15" customHeight="1">
      <c r="A481" t="inlineStr">
        <is>
          <t>A 46801-2022</t>
        </is>
      </c>
      <c r="B481" s="1" t="n">
        <v>44851</v>
      </c>
      <c r="C481" s="1" t="n">
        <v>46134</v>
      </c>
      <c r="D481" t="inlineStr">
        <is>
          <t>DALARNAS LÄN</t>
        </is>
      </c>
      <c r="E481" t="inlineStr">
        <is>
          <t>MORA</t>
        </is>
      </c>
      <c r="G481" t="n">
        <v>1.5</v>
      </c>
      <c r="H481" t="n">
        <v>0</v>
      </c>
      <c r="I481" t="n">
        <v>0</v>
      </c>
      <c r="J481" t="n">
        <v>0</v>
      </c>
      <c r="K481" t="n">
        <v>0</v>
      </c>
      <c r="L481" t="n">
        <v>0</v>
      </c>
      <c r="M481" t="n">
        <v>0</v>
      </c>
      <c r="N481" t="n">
        <v>0</v>
      </c>
      <c r="O481" t="n">
        <v>0</v>
      </c>
      <c r="P481" t="n">
        <v>0</v>
      </c>
      <c r="Q481" t="n">
        <v>0</v>
      </c>
      <c r="R481" s="2" t="inlineStr"/>
    </row>
    <row r="482" ht="15" customHeight="1">
      <c r="A482" t="inlineStr">
        <is>
          <t>A 70141-2021</t>
        </is>
      </c>
      <c r="B482" s="1" t="n">
        <v>44533</v>
      </c>
      <c r="C482" s="1" t="n">
        <v>46134</v>
      </c>
      <c r="D482" t="inlineStr">
        <is>
          <t>DALARNAS LÄN</t>
        </is>
      </c>
      <c r="E482" t="inlineStr">
        <is>
          <t>MORA</t>
        </is>
      </c>
      <c r="G482" t="n">
        <v>4.1</v>
      </c>
      <c r="H482" t="n">
        <v>0</v>
      </c>
      <c r="I482" t="n">
        <v>0</v>
      </c>
      <c r="J482" t="n">
        <v>0</v>
      </c>
      <c r="K482" t="n">
        <v>0</v>
      </c>
      <c r="L482" t="n">
        <v>0</v>
      </c>
      <c r="M482" t="n">
        <v>0</v>
      </c>
      <c r="N482" t="n">
        <v>0</v>
      </c>
      <c r="O482" t="n">
        <v>0</v>
      </c>
      <c r="P482" t="n">
        <v>0</v>
      </c>
      <c r="Q482" t="n">
        <v>0</v>
      </c>
      <c r="R482" s="2" t="inlineStr"/>
    </row>
    <row r="483" ht="15" customHeight="1">
      <c r="A483" t="inlineStr">
        <is>
          <t>A 6674-2026</t>
        </is>
      </c>
      <c r="B483" s="1" t="n">
        <v>46056.60297453704</v>
      </c>
      <c r="C483" s="1" t="n">
        <v>46134</v>
      </c>
      <c r="D483" t="inlineStr">
        <is>
          <t>DALARNAS LÄN</t>
        </is>
      </c>
      <c r="E483" t="inlineStr">
        <is>
          <t>MORA</t>
        </is>
      </c>
      <c r="G483" t="n">
        <v>0.7</v>
      </c>
      <c r="H483" t="n">
        <v>0</v>
      </c>
      <c r="I483" t="n">
        <v>0</v>
      </c>
      <c r="J483" t="n">
        <v>0</v>
      </c>
      <c r="K483" t="n">
        <v>0</v>
      </c>
      <c r="L483" t="n">
        <v>0</v>
      </c>
      <c r="M483" t="n">
        <v>0</v>
      </c>
      <c r="N483" t="n">
        <v>0</v>
      </c>
      <c r="O483" t="n">
        <v>0</v>
      </c>
      <c r="P483" t="n">
        <v>0</v>
      </c>
      <c r="Q483" t="n">
        <v>0</v>
      </c>
      <c r="R483" s="2" t="inlineStr"/>
    </row>
    <row r="484" ht="15" customHeight="1">
      <c r="A484" t="inlineStr">
        <is>
          <t>A 6690-2026</t>
        </is>
      </c>
      <c r="B484" s="1" t="n">
        <v>46056.6352662037</v>
      </c>
      <c r="C484" s="1" t="n">
        <v>46134</v>
      </c>
      <c r="D484" t="inlineStr">
        <is>
          <t>DALARNAS LÄN</t>
        </is>
      </c>
      <c r="E484" t="inlineStr">
        <is>
          <t>MORA</t>
        </is>
      </c>
      <c r="G484" t="n">
        <v>1.9</v>
      </c>
      <c r="H484" t="n">
        <v>0</v>
      </c>
      <c r="I484" t="n">
        <v>0</v>
      </c>
      <c r="J484" t="n">
        <v>0</v>
      </c>
      <c r="K484" t="n">
        <v>0</v>
      </c>
      <c r="L484" t="n">
        <v>0</v>
      </c>
      <c r="M484" t="n">
        <v>0</v>
      </c>
      <c r="N484" t="n">
        <v>0</v>
      </c>
      <c r="O484" t="n">
        <v>0</v>
      </c>
      <c r="P484" t="n">
        <v>0</v>
      </c>
      <c r="Q484" t="n">
        <v>0</v>
      </c>
      <c r="R484" s="2" t="inlineStr"/>
    </row>
    <row r="485" ht="15" customHeight="1">
      <c r="A485" t="inlineStr">
        <is>
          <t>A 56767-2023</t>
        </is>
      </c>
      <c r="B485" s="1" t="n">
        <v>45244</v>
      </c>
      <c r="C485" s="1" t="n">
        <v>46134</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40949-2023</t>
        </is>
      </c>
      <c r="B486" s="1" t="n">
        <v>45173</v>
      </c>
      <c r="C486" s="1" t="n">
        <v>46134</v>
      </c>
      <c r="D486" t="inlineStr">
        <is>
          <t>DALARNAS LÄN</t>
        </is>
      </c>
      <c r="E486" t="inlineStr">
        <is>
          <t>MORA</t>
        </is>
      </c>
      <c r="F486" t="inlineStr">
        <is>
          <t>Kyrkan</t>
        </is>
      </c>
      <c r="G486" t="n">
        <v>0.5</v>
      </c>
      <c r="H486" t="n">
        <v>0</v>
      </c>
      <c r="I486" t="n">
        <v>0</v>
      </c>
      <c r="J486" t="n">
        <v>0</v>
      </c>
      <c r="K486" t="n">
        <v>0</v>
      </c>
      <c r="L486" t="n">
        <v>0</v>
      </c>
      <c r="M486" t="n">
        <v>0</v>
      </c>
      <c r="N486" t="n">
        <v>0</v>
      </c>
      <c r="O486" t="n">
        <v>0</v>
      </c>
      <c r="P486" t="n">
        <v>0</v>
      </c>
      <c r="Q486" t="n">
        <v>0</v>
      </c>
      <c r="R486" s="2" t="inlineStr"/>
    </row>
    <row r="487" ht="15" customHeight="1">
      <c r="A487" t="inlineStr">
        <is>
          <t>A 66232-2021</t>
        </is>
      </c>
      <c r="B487" s="1" t="n">
        <v>44518.39234953704</v>
      </c>
      <c r="C487" s="1" t="n">
        <v>46134</v>
      </c>
      <c r="D487" t="inlineStr">
        <is>
          <t>DALARNAS LÄN</t>
        </is>
      </c>
      <c r="E487" t="inlineStr">
        <is>
          <t>MORA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55284-2025</t>
        </is>
      </c>
      <c r="B488" s="1" t="n">
        <v>45968.8227662037</v>
      </c>
      <c r="C488" s="1" t="n">
        <v>46134</v>
      </c>
      <c r="D488" t="inlineStr">
        <is>
          <t>DALARNAS LÄN</t>
        </is>
      </c>
      <c r="E488" t="inlineStr">
        <is>
          <t>MORA</t>
        </is>
      </c>
      <c r="G488" t="n">
        <v>2</v>
      </c>
      <c r="H488" t="n">
        <v>0</v>
      </c>
      <c r="I488" t="n">
        <v>0</v>
      </c>
      <c r="J488" t="n">
        <v>0</v>
      </c>
      <c r="K488" t="n">
        <v>0</v>
      </c>
      <c r="L488" t="n">
        <v>0</v>
      </c>
      <c r="M488" t="n">
        <v>0</v>
      </c>
      <c r="N488" t="n">
        <v>0</v>
      </c>
      <c r="O488" t="n">
        <v>0</v>
      </c>
      <c r="P488" t="n">
        <v>0</v>
      </c>
      <c r="Q488" t="n">
        <v>0</v>
      </c>
      <c r="R488" s="2" t="inlineStr"/>
    </row>
    <row r="489" ht="15" customHeight="1">
      <c r="A489" t="inlineStr">
        <is>
          <t>A 1174-2026</t>
        </is>
      </c>
      <c r="B489" s="1" t="n">
        <v>46031</v>
      </c>
      <c r="C489" s="1" t="n">
        <v>46134</v>
      </c>
      <c r="D489" t="inlineStr">
        <is>
          <t>DALARNAS LÄN</t>
        </is>
      </c>
      <c r="E489" t="inlineStr">
        <is>
          <t>MORA</t>
        </is>
      </c>
      <c r="G489" t="n">
        <v>2.8</v>
      </c>
      <c r="H489" t="n">
        <v>0</v>
      </c>
      <c r="I489" t="n">
        <v>0</v>
      </c>
      <c r="J489" t="n">
        <v>0</v>
      </c>
      <c r="K489" t="n">
        <v>0</v>
      </c>
      <c r="L489" t="n">
        <v>0</v>
      </c>
      <c r="M489" t="n">
        <v>0</v>
      </c>
      <c r="N489" t="n">
        <v>0</v>
      </c>
      <c r="O489" t="n">
        <v>0</v>
      </c>
      <c r="P489" t="n">
        <v>0</v>
      </c>
      <c r="Q489" t="n">
        <v>0</v>
      </c>
      <c r="R489" s="2" t="inlineStr"/>
    </row>
    <row r="490" ht="15" customHeight="1">
      <c r="A490" t="inlineStr">
        <is>
          <t>A 13853-2026</t>
        </is>
      </c>
      <c r="B490" s="1" t="n">
        <v>46098.39268518519</v>
      </c>
      <c r="C490" s="1" t="n">
        <v>46134</v>
      </c>
      <c r="D490" t="inlineStr">
        <is>
          <t>DALARNAS LÄN</t>
        </is>
      </c>
      <c r="E490" t="inlineStr">
        <is>
          <t>MORA</t>
        </is>
      </c>
      <c r="G490" t="n">
        <v>1.4</v>
      </c>
      <c r="H490" t="n">
        <v>0</v>
      </c>
      <c r="I490" t="n">
        <v>0</v>
      </c>
      <c r="J490" t="n">
        <v>0</v>
      </c>
      <c r="K490" t="n">
        <v>0</v>
      </c>
      <c r="L490" t="n">
        <v>0</v>
      </c>
      <c r="M490" t="n">
        <v>0</v>
      </c>
      <c r="N490" t="n">
        <v>0</v>
      </c>
      <c r="O490" t="n">
        <v>0</v>
      </c>
      <c r="P490" t="n">
        <v>0</v>
      </c>
      <c r="Q490" t="n">
        <v>0</v>
      </c>
      <c r="R490" s="2" t="inlineStr"/>
    </row>
    <row r="491" ht="15" customHeight="1">
      <c r="A491" t="inlineStr">
        <is>
          <t>A 13902-2026</t>
        </is>
      </c>
      <c r="B491" s="1" t="n">
        <v>46098.46834490741</v>
      </c>
      <c r="C491" s="1" t="n">
        <v>46134</v>
      </c>
      <c r="D491" t="inlineStr">
        <is>
          <t>DALARNAS LÄN</t>
        </is>
      </c>
      <c r="E491" t="inlineStr">
        <is>
          <t>MORA</t>
        </is>
      </c>
      <c r="G491" t="n">
        <v>5.3</v>
      </c>
      <c r="H491" t="n">
        <v>0</v>
      </c>
      <c r="I491" t="n">
        <v>0</v>
      </c>
      <c r="J491" t="n">
        <v>0</v>
      </c>
      <c r="K491" t="n">
        <v>0</v>
      </c>
      <c r="L491" t="n">
        <v>0</v>
      </c>
      <c r="M491" t="n">
        <v>0</v>
      </c>
      <c r="N491" t="n">
        <v>0</v>
      </c>
      <c r="O491" t="n">
        <v>0</v>
      </c>
      <c r="P491" t="n">
        <v>0</v>
      </c>
      <c r="Q491" t="n">
        <v>0</v>
      </c>
      <c r="R491" s="2" t="inlineStr"/>
    </row>
    <row r="492" ht="15" customHeight="1">
      <c r="A492" t="inlineStr">
        <is>
          <t>A 6967-2026</t>
        </is>
      </c>
      <c r="B492" s="1" t="n">
        <v>46057.58777777778</v>
      </c>
      <c r="C492" s="1" t="n">
        <v>46134</v>
      </c>
      <c r="D492" t="inlineStr">
        <is>
          <t>DALARNAS LÄN</t>
        </is>
      </c>
      <c r="E492" t="inlineStr">
        <is>
          <t>MORA</t>
        </is>
      </c>
      <c r="G492" t="n">
        <v>5</v>
      </c>
      <c r="H492" t="n">
        <v>0</v>
      </c>
      <c r="I492" t="n">
        <v>0</v>
      </c>
      <c r="J492" t="n">
        <v>0</v>
      </c>
      <c r="K492" t="n">
        <v>0</v>
      </c>
      <c r="L492" t="n">
        <v>0</v>
      </c>
      <c r="M492" t="n">
        <v>0</v>
      </c>
      <c r="N492" t="n">
        <v>0</v>
      </c>
      <c r="O492" t="n">
        <v>0</v>
      </c>
      <c r="P492" t="n">
        <v>0</v>
      </c>
      <c r="Q492" t="n">
        <v>0</v>
      </c>
      <c r="R492" s="2" t="inlineStr"/>
    </row>
    <row r="493" ht="15" customHeight="1">
      <c r="A493" t="inlineStr">
        <is>
          <t>A 44307-2021</t>
        </is>
      </c>
      <c r="B493" s="1" t="n">
        <v>44435</v>
      </c>
      <c r="C493" s="1" t="n">
        <v>46134</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34272-2024</t>
        </is>
      </c>
      <c r="B494" s="1" t="n">
        <v>45524.61752314815</v>
      </c>
      <c r="C494" s="1" t="n">
        <v>46134</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28131-2024</t>
        </is>
      </c>
      <c r="B495" s="1" t="n">
        <v>45476.68435185185</v>
      </c>
      <c r="C495" s="1" t="n">
        <v>46134</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28132-2024</t>
        </is>
      </c>
      <c r="B496" s="1" t="n">
        <v>45476.68616898148</v>
      </c>
      <c r="C496" s="1" t="n">
        <v>46134</v>
      </c>
      <c r="D496" t="inlineStr">
        <is>
          <t>DALARNAS LÄN</t>
        </is>
      </c>
      <c r="E496" t="inlineStr">
        <is>
          <t>MORA</t>
        </is>
      </c>
      <c r="G496" t="n">
        <v>0.2</v>
      </c>
      <c r="H496" t="n">
        <v>0</v>
      </c>
      <c r="I496" t="n">
        <v>0</v>
      </c>
      <c r="J496" t="n">
        <v>0</v>
      </c>
      <c r="K496" t="n">
        <v>0</v>
      </c>
      <c r="L496" t="n">
        <v>0</v>
      </c>
      <c r="M496" t="n">
        <v>0</v>
      </c>
      <c r="N496" t="n">
        <v>0</v>
      </c>
      <c r="O496" t="n">
        <v>0</v>
      </c>
      <c r="P496" t="n">
        <v>0</v>
      </c>
      <c r="Q496" t="n">
        <v>0</v>
      </c>
      <c r="R496" s="2" t="inlineStr"/>
    </row>
    <row r="497" ht="15" customHeight="1">
      <c r="A497" t="inlineStr">
        <is>
          <t>A 57608-2021</t>
        </is>
      </c>
      <c r="B497" s="1" t="n">
        <v>44484</v>
      </c>
      <c r="C497" s="1" t="n">
        <v>46134</v>
      </c>
      <c r="D497" t="inlineStr">
        <is>
          <t>DALARNAS LÄN</t>
        </is>
      </c>
      <c r="E497" t="inlineStr">
        <is>
          <t>MORA</t>
        </is>
      </c>
      <c r="G497" t="n">
        <v>6.3</v>
      </c>
      <c r="H497" t="n">
        <v>0</v>
      </c>
      <c r="I497" t="n">
        <v>0</v>
      </c>
      <c r="J497" t="n">
        <v>0</v>
      </c>
      <c r="K497" t="n">
        <v>0</v>
      </c>
      <c r="L497" t="n">
        <v>0</v>
      </c>
      <c r="M497" t="n">
        <v>0</v>
      </c>
      <c r="N497" t="n">
        <v>0</v>
      </c>
      <c r="O497" t="n">
        <v>0</v>
      </c>
      <c r="P497" t="n">
        <v>0</v>
      </c>
      <c r="Q497" t="n">
        <v>0</v>
      </c>
      <c r="R497" s="2" t="inlineStr"/>
    </row>
    <row r="498" ht="15" customHeight="1">
      <c r="A498" t="inlineStr">
        <is>
          <t>A 56702-2025</t>
        </is>
      </c>
      <c r="B498" s="1" t="n">
        <v>45977.45586805556</v>
      </c>
      <c r="C498" s="1" t="n">
        <v>46134</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23586-2023</t>
        </is>
      </c>
      <c r="B499" s="1" t="n">
        <v>45077</v>
      </c>
      <c r="C499" s="1" t="n">
        <v>46134</v>
      </c>
      <c r="D499" t="inlineStr">
        <is>
          <t>DALARNAS LÄN</t>
        </is>
      </c>
      <c r="E499" t="inlineStr">
        <is>
          <t>MORA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57101-2025</t>
        </is>
      </c>
      <c r="B500" s="1" t="n">
        <v>45979.44006944444</v>
      </c>
      <c r="C500" s="1" t="n">
        <v>46134</v>
      </c>
      <c r="D500" t="inlineStr">
        <is>
          <t>DALARNAS LÄN</t>
        </is>
      </c>
      <c r="E500" t="inlineStr">
        <is>
          <t>MORA</t>
        </is>
      </c>
      <c r="G500" t="n">
        <v>7.5</v>
      </c>
      <c r="H500" t="n">
        <v>0</v>
      </c>
      <c r="I500" t="n">
        <v>0</v>
      </c>
      <c r="J500" t="n">
        <v>0</v>
      </c>
      <c r="K500" t="n">
        <v>0</v>
      </c>
      <c r="L500" t="n">
        <v>0</v>
      </c>
      <c r="M500" t="n">
        <v>0</v>
      </c>
      <c r="N500" t="n">
        <v>0</v>
      </c>
      <c r="O500" t="n">
        <v>0</v>
      </c>
      <c r="P500" t="n">
        <v>0</v>
      </c>
      <c r="Q500" t="n">
        <v>0</v>
      </c>
      <c r="R500" s="2" t="inlineStr"/>
    </row>
    <row r="501" ht="15" customHeight="1">
      <c r="A501" t="inlineStr">
        <is>
          <t>A 57453-2025</t>
        </is>
      </c>
      <c r="B501" s="1" t="n">
        <v>45980.5122337963</v>
      </c>
      <c r="C501" s="1" t="n">
        <v>46134</v>
      </c>
      <c r="D501" t="inlineStr">
        <is>
          <t>DALARNAS LÄN</t>
        </is>
      </c>
      <c r="E501" t="inlineStr">
        <is>
          <t>MORA</t>
        </is>
      </c>
      <c r="F501" t="inlineStr">
        <is>
          <t>Allmännings- och besparingsskogar</t>
        </is>
      </c>
      <c r="G501" t="n">
        <v>2.9</v>
      </c>
      <c r="H501" t="n">
        <v>0</v>
      </c>
      <c r="I501" t="n">
        <v>0</v>
      </c>
      <c r="J501" t="n">
        <v>0</v>
      </c>
      <c r="K501" t="n">
        <v>0</v>
      </c>
      <c r="L501" t="n">
        <v>0</v>
      </c>
      <c r="M501" t="n">
        <v>0</v>
      </c>
      <c r="N501" t="n">
        <v>0</v>
      </c>
      <c r="O501" t="n">
        <v>0</v>
      </c>
      <c r="P501" t="n">
        <v>0</v>
      </c>
      <c r="Q501" t="n">
        <v>0</v>
      </c>
      <c r="R501" s="2" t="inlineStr"/>
    </row>
    <row r="502" ht="15" customHeight="1">
      <c r="A502" t="inlineStr">
        <is>
          <t>A 6892-2026</t>
        </is>
      </c>
      <c r="B502" s="1" t="n">
        <v>46057.47490740741</v>
      </c>
      <c r="C502" s="1" t="n">
        <v>46134</v>
      </c>
      <c r="D502" t="inlineStr">
        <is>
          <t>DALARNAS LÄN</t>
        </is>
      </c>
      <c r="E502" t="inlineStr">
        <is>
          <t>MORA</t>
        </is>
      </c>
      <c r="G502" t="n">
        <v>9</v>
      </c>
      <c r="H502" t="n">
        <v>0</v>
      </c>
      <c r="I502" t="n">
        <v>0</v>
      </c>
      <c r="J502" t="n">
        <v>0</v>
      </c>
      <c r="K502" t="n">
        <v>0</v>
      </c>
      <c r="L502" t="n">
        <v>0</v>
      </c>
      <c r="M502" t="n">
        <v>0</v>
      </c>
      <c r="N502" t="n">
        <v>0</v>
      </c>
      <c r="O502" t="n">
        <v>0</v>
      </c>
      <c r="P502" t="n">
        <v>0</v>
      </c>
      <c r="Q502" t="n">
        <v>0</v>
      </c>
      <c r="R502" s="2" t="inlineStr"/>
    </row>
    <row r="503" ht="15" customHeight="1">
      <c r="A503" t="inlineStr">
        <is>
          <t>A 6947-2026</t>
        </is>
      </c>
      <c r="B503" s="1" t="n">
        <v>46057.56855324074</v>
      </c>
      <c r="C503" s="1" t="n">
        <v>46134</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5644-2024</t>
        </is>
      </c>
      <c r="B504" s="1" t="n">
        <v>45334</v>
      </c>
      <c r="C504" s="1" t="n">
        <v>46134</v>
      </c>
      <c r="D504" t="inlineStr">
        <is>
          <t>DALARNAS LÄN</t>
        </is>
      </c>
      <c r="E504" t="inlineStr">
        <is>
          <t>MORA</t>
        </is>
      </c>
      <c r="F504" t="inlineStr">
        <is>
          <t>Bergvik skog väst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57097-2025</t>
        </is>
      </c>
      <c r="B505" s="1" t="n">
        <v>45979.43388888889</v>
      </c>
      <c r="C505" s="1" t="n">
        <v>46134</v>
      </c>
      <c r="D505" t="inlineStr">
        <is>
          <t>DALARNAS LÄN</t>
        </is>
      </c>
      <c r="E505" t="inlineStr">
        <is>
          <t>MORA</t>
        </is>
      </c>
      <c r="G505" t="n">
        <v>7.5</v>
      </c>
      <c r="H505" t="n">
        <v>0</v>
      </c>
      <c r="I505" t="n">
        <v>0</v>
      </c>
      <c r="J505" t="n">
        <v>0</v>
      </c>
      <c r="K505" t="n">
        <v>0</v>
      </c>
      <c r="L505" t="n">
        <v>0</v>
      </c>
      <c r="M505" t="n">
        <v>0</v>
      </c>
      <c r="N505" t="n">
        <v>0</v>
      </c>
      <c r="O505" t="n">
        <v>0</v>
      </c>
      <c r="P505" t="n">
        <v>0</v>
      </c>
      <c r="Q505" t="n">
        <v>0</v>
      </c>
      <c r="R505" s="2" t="inlineStr"/>
    </row>
    <row r="506" ht="15" customHeight="1">
      <c r="A506" t="inlineStr">
        <is>
          <t>A 6971-2026</t>
        </is>
      </c>
      <c r="B506" s="1" t="n">
        <v>46057</v>
      </c>
      <c r="C506" s="1" t="n">
        <v>46134</v>
      </c>
      <c r="D506" t="inlineStr">
        <is>
          <t>DALARNAS LÄN</t>
        </is>
      </c>
      <c r="E506" t="inlineStr">
        <is>
          <t>MORA</t>
        </is>
      </c>
      <c r="G506" t="n">
        <v>1.9</v>
      </c>
      <c r="H506" t="n">
        <v>0</v>
      </c>
      <c r="I506" t="n">
        <v>0</v>
      </c>
      <c r="J506" t="n">
        <v>0</v>
      </c>
      <c r="K506" t="n">
        <v>0</v>
      </c>
      <c r="L506" t="n">
        <v>0</v>
      </c>
      <c r="M506" t="n">
        <v>0</v>
      </c>
      <c r="N506" t="n">
        <v>0</v>
      </c>
      <c r="O506" t="n">
        <v>0</v>
      </c>
      <c r="P506" t="n">
        <v>0</v>
      </c>
      <c r="Q506" t="n">
        <v>0</v>
      </c>
      <c r="R506" s="2" t="inlineStr"/>
    </row>
    <row r="507" ht="15" customHeight="1">
      <c r="A507" t="inlineStr">
        <is>
          <t>A 6923-2026</t>
        </is>
      </c>
      <c r="B507" s="1" t="n">
        <v>46057.53868055555</v>
      </c>
      <c r="C507" s="1" t="n">
        <v>46134</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57976-2025</t>
        </is>
      </c>
      <c r="B508" s="1" t="n">
        <v>45982.39435185185</v>
      </c>
      <c r="C508" s="1" t="n">
        <v>46134</v>
      </c>
      <c r="D508" t="inlineStr">
        <is>
          <t>DALARNAS LÄN</t>
        </is>
      </c>
      <c r="E508" t="inlineStr">
        <is>
          <t>MORA</t>
        </is>
      </c>
      <c r="G508" t="n">
        <v>7.4</v>
      </c>
      <c r="H508" t="n">
        <v>0</v>
      </c>
      <c r="I508" t="n">
        <v>0</v>
      </c>
      <c r="J508" t="n">
        <v>0</v>
      </c>
      <c r="K508" t="n">
        <v>0</v>
      </c>
      <c r="L508" t="n">
        <v>0</v>
      </c>
      <c r="M508" t="n">
        <v>0</v>
      </c>
      <c r="N508" t="n">
        <v>0</v>
      </c>
      <c r="O508" t="n">
        <v>0</v>
      </c>
      <c r="P508" t="n">
        <v>0</v>
      </c>
      <c r="Q508" t="n">
        <v>0</v>
      </c>
      <c r="R508" s="2" t="inlineStr"/>
    </row>
    <row r="509" ht="15" customHeight="1">
      <c r="A509" t="inlineStr">
        <is>
          <t>A 57647-2025</t>
        </is>
      </c>
      <c r="B509" s="1" t="n">
        <v>45981.37621527778</v>
      </c>
      <c r="C509" s="1" t="n">
        <v>46134</v>
      </c>
      <c r="D509" t="inlineStr">
        <is>
          <t>DALARNAS LÄN</t>
        </is>
      </c>
      <c r="E509" t="inlineStr">
        <is>
          <t>MORA</t>
        </is>
      </c>
      <c r="G509" t="n">
        <v>3.9</v>
      </c>
      <c r="H509" t="n">
        <v>0</v>
      </c>
      <c r="I509" t="n">
        <v>0</v>
      </c>
      <c r="J509" t="n">
        <v>0</v>
      </c>
      <c r="K509" t="n">
        <v>0</v>
      </c>
      <c r="L509" t="n">
        <v>0</v>
      </c>
      <c r="M509" t="n">
        <v>0</v>
      </c>
      <c r="N509" t="n">
        <v>0</v>
      </c>
      <c r="O509" t="n">
        <v>0</v>
      </c>
      <c r="P509" t="n">
        <v>0</v>
      </c>
      <c r="Q509" t="n">
        <v>0</v>
      </c>
      <c r="R509" s="2" t="inlineStr"/>
    </row>
    <row r="510" ht="15" customHeight="1">
      <c r="A510" t="inlineStr">
        <is>
          <t>A 57843-2025</t>
        </is>
      </c>
      <c r="B510" s="1" t="n">
        <v>45981.62792824074</v>
      </c>
      <c r="C510" s="1" t="n">
        <v>46134</v>
      </c>
      <c r="D510" t="inlineStr">
        <is>
          <t>DALARNAS LÄN</t>
        </is>
      </c>
      <c r="E510" t="inlineStr">
        <is>
          <t>MORA</t>
        </is>
      </c>
      <c r="G510" t="n">
        <v>4.5</v>
      </c>
      <c r="H510" t="n">
        <v>0</v>
      </c>
      <c r="I510" t="n">
        <v>0</v>
      </c>
      <c r="J510" t="n">
        <v>0</v>
      </c>
      <c r="K510" t="n">
        <v>0</v>
      </c>
      <c r="L510" t="n">
        <v>0</v>
      </c>
      <c r="M510" t="n">
        <v>0</v>
      </c>
      <c r="N510" t="n">
        <v>0</v>
      </c>
      <c r="O510" t="n">
        <v>0</v>
      </c>
      <c r="P510" t="n">
        <v>0</v>
      </c>
      <c r="Q510" t="n">
        <v>0</v>
      </c>
      <c r="R510" s="2" t="inlineStr"/>
    </row>
    <row r="511" ht="15" customHeight="1">
      <c r="A511" t="inlineStr">
        <is>
          <t>A 57659-2025</t>
        </is>
      </c>
      <c r="B511" s="1" t="n">
        <v>45981.41228009259</v>
      </c>
      <c r="C511" s="1" t="n">
        <v>46134</v>
      </c>
      <c r="D511" t="inlineStr">
        <is>
          <t>DALARNAS LÄN</t>
        </is>
      </c>
      <c r="E511" t="inlineStr">
        <is>
          <t>MORA</t>
        </is>
      </c>
      <c r="G511" t="n">
        <v>1.8</v>
      </c>
      <c r="H511" t="n">
        <v>0</v>
      </c>
      <c r="I511" t="n">
        <v>0</v>
      </c>
      <c r="J511" t="n">
        <v>0</v>
      </c>
      <c r="K511" t="n">
        <v>0</v>
      </c>
      <c r="L511" t="n">
        <v>0</v>
      </c>
      <c r="M511" t="n">
        <v>0</v>
      </c>
      <c r="N511" t="n">
        <v>0</v>
      </c>
      <c r="O511" t="n">
        <v>0</v>
      </c>
      <c r="P511" t="n">
        <v>0</v>
      </c>
      <c r="Q511" t="n">
        <v>0</v>
      </c>
      <c r="R511" s="2" t="inlineStr"/>
    </row>
    <row r="512" ht="15" customHeight="1">
      <c r="A512" t="inlineStr">
        <is>
          <t>A 54257-2023</t>
        </is>
      </c>
      <c r="B512" s="1" t="n">
        <v>45232.64195601852</v>
      </c>
      <c r="C512" s="1" t="n">
        <v>46134</v>
      </c>
      <c r="D512" t="inlineStr">
        <is>
          <t>DALARNAS LÄN</t>
        </is>
      </c>
      <c r="E512" t="inlineStr">
        <is>
          <t>MORA</t>
        </is>
      </c>
      <c r="G512" t="n">
        <v>4</v>
      </c>
      <c r="H512" t="n">
        <v>0</v>
      </c>
      <c r="I512" t="n">
        <v>0</v>
      </c>
      <c r="J512" t="n">
        <v>0</v>
      </c>
      <c r="K512" t="n">
        <v>0</v>
      </c>
      <c r="L512" t="n">
        <v>0</v>
      </c>
      <c r="M512" t="n">
        <v>0</v>
      </c>
      <c r="N512" t="n">
        <v>0</v>
      </c>
      <c r="O512" t="n">
        <v>0</v>
      </c>
      <c r="P512" t="n">
        <v>0</v>
      </c>
      <c r="Q512" t="n">
        <v>0</v>
      </c>
      <c r="R512" s="2" t="inlineStr"/>
    </row>
    <row r="513" ht="15" customHeight="1">
      <c r="A513" t="inlineStr">
        <is>
          <t>A 6802-2026</t>
        </is>
      </c>
      <c r="B513" s="1" t="n">
        <v>46057.35288194445</v>
      </c>
      <c r="C513" s="1" t="n">
        <v>46134</v>
      </c>
      <c r="D513" t="inlineStr">
        <is>
          <t>DALARNAS LÄN</t>
        </is>
      </c>
      <c r="E513" t="inlineStr">
        <is>
          <t>MORA</t>
        </is>
      </c>
      <c r="G513" t="n">
        <v>5.8</v>
      </c>
      <c r="H513" t="n">
        <v>0</v>
      </c>
      <c r="I513" t="n">
        <v>0</v>
      </c>
      <c r="J513" t="n">
        <v>0</v>
      </c>
      <c r="K513" t="n">
        <v>0</v>
      </c>
      <c r="L513" t="n">
        <v>0</v>
      </c>
      <c r="M513" t="n">
        <v>0</v>
      </c>
      <c r="N513" t="n">
        <v>0</v>
      </c>
      <c r="O513" t="n">
        <v>0</v>
      </c>
      <c r="P513" t="n">
        <v>0</v>
      </c>
      <c r="Q513" t="n">
        <v>0</v>
      </c>
      <c r="R513" s="2" t="inlineStr"/>
    </row>
    <row r="514" ht="15" customHeight="1">
      <c r="A514" t="inlineStr">
        <is>
          <t>A 58001-2025</t>
        </is>
      </c>
      <c r="B514" s="1" t="n">
        <v>45982.43615740741</v>
      </c>
      <c r="C514" s="1" t="n">
        <v>46134</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37385-2022</t>
        </is>
      </c>
      <c r="B515" s="1" t="n">
        <v>44806</v>
      </c>
      <c r="C515" s="1" t="n">
        <v>46134</v>
      </c>
      <c r="D515" t="inlineStr">
        <is>
          <t>DALARNAS LÄN</t>
        </is>
      </c>
      <c r="E515" t="inlineStr">
        <is>
          <t>MORA</t>
        </is>
      </c>
      <c r="G515" t="n">
        <v>2.2</v>
      </c>
      <c r="H515" t="n">
        <v>0</v>
      </c>
      <c r="I515" t="n">
        <v>0</v>
      </c>
      <c r="J515" t="n">
        <v>0</v>
      </c>
      <c r="K515" t="n">
        <v>0</v>
      </c>
      <c r="L515" t="n">
        <v>0</v>
      </c>
      <c r="M515" t="n">
        <v>0</v>
      </c>
      <c r="N515" t="n">
        <v>0</v>
      </c>
      <c r="O515" t="n">
        <v>0</v>
      </c>
      <c r="P515" t="n">
        <v>0</v>
      </c>
      <c r="Q515" t="n">
        <v>0</v>
      </c>
      <c r="R515" s="2" t="inlineStr"/>
    </row>
    <row r="516" ht="15" customHeight="1">
      <c r="A516" t="inlineStr">
        <is>
          <t>A 57855-2025</t>
        </is>
      </c>
      <c r="B516" s="1" t="n">
        <v>45981.63909722222</v>
      </c>
      <c r="C516" s="1" t="n">
        <v>46134</v>
      </c>
      <c r="D516" t="inlineStr">
        <is>
          <t>DALARNAS LÄN</t>
        </is>
      </c>
      <c r="E516" t="inlineStr">
        <is>
          <t>MORA</t>
        </is>
      </c>
      <c r="G516" t="n">
        <v>9.9</v>
      </c>
      <c r="H516" t="n">
        <v>0</v>
      </c>
      <c r="I516" t="n">
        <v>0</v>
      </c>
      <c r="J516" t="n">
        <v>0</v>
      </c>
      <c r="K516" t="n">
        <v>0</v>
      </c>
      <c r="L516" t="n">
        <v>0</v>
      </c>
      <c r="M516" t="n">
        <v>0</v>
      </c>
      <c r="N516" t="n">
        <v>0</v>
      </c>
      <c r="O516" t="n">
        <v>0</v>
      </c>
      <c r="P516" t="n">
        <v>0</v>
      </c>
      <c r="Q516" t="n">
        <v>0</v>
      </c>
      <c r="R516" s="2" t="inlineStr"/>
    </row>
    <row r="517" ht="15" customHeight="1">
      <c r="A517" t="inlineStr">
        <is>
          <t>A 61217-2023</t>
        </is>
      </c>
      <c r="B517" s="1" t="n">
        <v>45264.43802083333</v>
      </c>
      <c r="C517" s="1" t="n">
        <v>46134</v>
      </c>
      <c r="D517" t="inlineStr">
        <is>
          <t>DALARNAS LÄN</t>
        </is>
      </c>
      <c r="E517" t="inlineStr">
        <is>
          <t>MORA</t>
        </is>
      </c>
      <c r="F517" t="inlineStr">
        <is>
          <t>Allmännings- och besparingsskogar</t>
        </is>
      </c>
      <c r="G517" t="n">
        <v>2</v>
      </c>
      <c r="H517" t="n">
        <v>0</v>
      </c>
      <c r="I517" t="n">
        <v>0</v>
      </c>
      <c r="J517" t="n">
        <v>0</v>
      </c>
      <c r="K517" t="n">
        <v>0</v>
      </c>
      <c r="L517" t="n">
        <v>0</v>
      </c>
      <c r="M517" t="n">
        <v>0</v>
      </c>
      <c r="N517" t="n">
        <v>0</v>
      </c>
      <c r="O517" t="n">
        <v>0</v>
      </c>
      <c r="P517" t="n">
        <v>0</v>
      </c>
      <c r="Q517" t="n">
        <v>0</v>
      </c>
      <c r="R517" s="2" t="inlineStr"/>
    </row>
    <row r="518" ht="15" customHeight="1">
      <c r="A518" t="inlineStr">
        <is>
          <t>A 61218-2023</t>
        </is>
      </c>
      <c r="B518" s="1" t="n">
        <v>45264</v>
      </c>
      <c r="C518" s="1" t="n">
        <v>46134</v>
      </c>
      <c r="D518" t="inlineStr">
        <is>
          <t>DALARNAS LÄN</t>
        </is>
      </c>
      <c r="E518" t="inlineStr">
        <is>
          <t>MORA</t>
        </is>
      </c>
      <c r="F518" t="inlineStr">
        <is>
          <t>Allmännings- och besparingsskogar</t>
        </is>
      </c>
      <c r="G518" t="n">
        <v>2.6</v>
      </c>
      <c r="H518" t="n">
        <v>0</v>
      </c>
      <c r="I518" t="n">
        <v>0</v>
      </c>
      <c r="J518" t="n">
        <v>0</v>
      </c>
      <c r="K518" t="n">
        <v>0</v>
      </c>
      <c r="L518" t="n">
        <v>0</v>
      </c>
      <c r="M518" t="n">
        <v>0</v>
      </c>
      <c r="N518" t="n">
        <v>0</v>
      </c>
      <c r="O518" t="n">
        <v>0</v>
      </c>
      <c r="P518" t="n">
        <v>0</v>
      </c>
      <c r="Q518" t="n">
        <v>0</v>
      </c>
      <c r="R518" s="2" t="inlineStr"/>
    </row>
    <row r="519" ht="15" customHeight="1">
      <c r="A519" t="inlineStr">
        <is>
          <t>A 43641-2022</t>
        </is>
      </c>
      <c r="B519" s="1" t="n">
        <v>44837</v>
      </c>
      <c r="C519" s="1" t="n">
        <v>46134</v>
      </c>
      <c r="D519" t="inlineStr">
        <is>
          <t>DALARNAS LÄN</t>
        </is>
      </c>
      <c r="E519" t="inlineStr">
        <is>
          <t>MORA</t>
        </is>
      </c>
      <c r="G519" t="n">
        <v>1.8</v>
      </c>
      <c r="H519" t="n">
        <v>0</v>
      </c>
      <c r="I519" t="n">
        <v>0</v>
      </c>
      <c r="J519" t="n">
        <v>0</v>
      </c>
      <c r="K519" t="n">
        <v>0</v>
      </c>
      <c r="L519" t="n">
        <v>0</v>
      </c>
      <c r="M519" t="n">
        <v>0</v>
      </c>
      <c r="N519" t="n">
        <v>0</v>
      </c>
      <c r="O519" t="n">
        <v>0</v>
      </c>
      <c r="P519" t="n">
        <v>0</v>
      </c>
      <c r="Q519" t="n">
        <v>0</v>
      </c>
      <c r="R519" s="2" t="inlineStr"/>
    </row>
    <row r="520" ht="15" customHeight="1">
      <c r="A520" t="inlineStr">
        <is>
          <t>A 25749-2023</t>
        </is>
      </c>
      <c r="B520" s="1" t="n">
        <v>45090</v>
      </c>
      <c r="C520" s="1" t="n">
        <v>46134</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35363-2024</t>
        </is>
      </c>
      <c r="B521" s="1" t="n">
        <v>45531.34050925926</v>
      </c>
      <c r="C521" s="1" t="n">
        <v>46134</v>
      </c>
      <c r="D521" t="inlineStr">
        <is>
          <t>DALARNAS LÄN</t>
        </is>
      </c>
      <c r="E521" t="inlineStr">
        <is>
          <t>MORA</t>
        </is>
      </c>
      <c r="G521" t="n">
        <v>2.5</v>
      </c>
      <c r="H521" t="n">
        <v>0</v>
      </c>
      <c r="I521" t="n">
        <v>0</v>
      </c>
      <c r="J521" t="n">
        <v>0</v>
      </c>
      <c r="K521" t="n">
        <v>0</v>
      </c>
      <c r="L521" t="n">
        <v>0</v>
      </c>
      <c r="M521" t="n">
        <v>0</v>
      </c>
      <c r="N521" t="n">
        <v>0</v>
      </c>
      <c r="O521" t="n">
        <v>0</v>
      </c>
      <c r="P521" t="n">
        <v>0</v>
      </c>
      <c r="Q521" t="n">
        <v>0</v>
      </c>
      <c r="R521" s="2" t="inlineStr"/>
    </row>
    <row r="522" ht="15" customHeight="1">
      <c r="A522" t="inlineStr">
        <is>
          <t>A 58473-2025</t>
        </is>
      </c>
      <c r="B522" s="1" t="n">
        <v>45985.63859953704</v>
      </c>
      <c r="C522" s="1" t="n">
        <v>46134</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58972-2023</t>
        </is>
      </c>
      <c r="B523" s="1" t="n">
        <v>45252</v>
      </c>
      <c r="C523" s="1" t="n">
        <v>46134</v>
      </c>
      <c r="D523" t="inlineStr">
        <is>
          <t>DALARNAS LÄN</t>
        </is>
      </c>
      <c r="E523" t="inlineStr">
        <is>
          <t>MORA</t>
        </is>
      </c>
      <c r="G523" t="n">
        <v>0.5</v>
      </c>
      <c r="H523" t="n">
        <v>0</v>
      </c>
      <c r="I523" t="n">
        <v>0</v>
      </c>
      <c r="J523" t="n">
        <v>0</v>
      </c>
      <c r="K523" t="n">
        <v>0</v>
      </c>
      <c r="L523" t="n">
        <v>0</v>
      </c>
      <c r="M523" t="n">
        <v>0</v>
      </c>
      <c r="N523" t="n">
        <v>0</v>
      </c>
      <c r="O523" t="n">
        <v>0</v>
      </c>
      <c r="P523" t="n">
        <v>0</v>
      </c>
      <c r="Q523" t="n">
        <v>0</v>
      </c>
      <c r="R523" s="2" t="inlineStr"/>
    </row>
    <row r="524" ht="15" customHeight="1">
      <c r="A524" t="inlineStr">
        <is>
          <t>A 58171-2024</t>
        </is>
      </c>
      <c r="B524" s="1" t="n">
        <v>45632.46545138889</v>
      </c>
      <c r="C524" s="1" t="n">
        <v>46134</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33513-2024</t>
        </is>
      </c>
      <c r="B525" s="1" t="n">
        <v>45519.644375</v>
      </c>
      <c r="C525" s="1" t="n">
        <v>46134</v>
      </c>
      <c r="D525" t="inlineStr">
        <is>
          <t>DALARNAS LÄN</t>
        </is>
      </c>
      <c r="E525" t="inlineStr">
        <is>
          <t>MORA</t>
        </is>
      </c>
      <c r="G525" t="n">
        <v>5.9</v>
      </c>
      <c r="H525" t="n">
        <v>0</v>
      </c>
      <c r="I525" t="n">
        <v>0</v>
      </c>
      <c r="J525" t="n">
        <v>0</v>
      </c>
      <c r="K525" t="n">
        <v>0</v>
      </c>
      <c r="L525" t="n">
        <v>0</v>
      </c>
      <c r="M525" t="n">
        <v>0</v>
      </c>
      <c r="N525" t="n">
        <v>0</v>
      </c>
      <c r="O525" t="n">
        <v>0</v>
      </c>
      <c r="P525" t="n">
        <v>0</v>
      </c>
      <c r="Q525" t="n">
        <v>0</v>
      </c>
      <c r="R525" s="2" t="inlineStr"/>
    </row>
    <row r="526" ht="15" customHeight="1">
      <c r="A526" t="inlineStr">
        <is>
          <t>A 39856-2024</t>
        </is>
      </c>
      <c r="B526" s="1" t="n">
        <v>45553.44084490741</v>
      </c>
      <c r="C526" s="1" t="n">
        <v>46134</v>
      </c>
      <c r="D526" t="inlineStr">
        <is>
          <t>DALARNAS LÄN</t>
        </is>
      </c>
      <c r="E526" t="inlineStr">
        <is>
          <t>MORA</t>
        </is>
      </c>
      <c r="G526" t="n">
        <v>4.8</v>
      </c>
      <c r="H526" t="n">
        <v>0</v>
      </c>
      <c r="I526" t="n">
        <v>0</v>
      </c>
      <c r="J526" t="n">
        <v>0</v>
      </c>
      <c r="K526" t="n">
        <v>0</v>
      </c>
      <c r="L526" t="n">
        <v>0</v>
      </c>
      <c r="M526" t="n">
        <v>0</v>
      </c>
      <c r="N526" t="n">
        <v>0</v>
      </c>
      <c r="O526" t="n">
        <v>0</v>
      </c>
      <c r="P526" t="n">
        <v>0</v>
      </c>
      <c r="Q526" t="n">
        <v>0</v>
      </c>
      <c r="R526" s="2" t="inlineStr"/>
    </row>
    <row r="527" ht="15" customHeight="1">
      <c r="A527" t="inlineStr">
        <is>
          <t>A 43569-2025</t>
        </is>
      </c>
      <c r="B527" s="1" t="n">
        <v>45911.63363425926</v>
      </c>
      <c r="C527" s="1" t="n">
        <v>46134</v>
      </c>
      <c r="D527" t="inlineStr">
        <is>
          <t>DALARNAS LÄN</t>
        </is>
      </c>
      <c r="E527" t="inlineStr">
        <is>
          <t>MORA</t>
        </is>
      </c>
      <c r="G527" t="n">
        <v>4.7</v>
      </c>
      <c r="H527" t="n">
        <v>0</v>
      </c>
      <c r="I527" t="n">
        <v>0</v>
      </c>
      <c r="J527" t="n">
        <v>0</v>
      </c>
      <c r="K527" t="n">
        <v>0</v>
      </c>
      <c r="L527" t="n">
        <v>0</v>
      </c>
      <c r="M527" t="n">
        <v>0</v>
      </c>
      <c r="N527" t="n">
        <v>0</v>
      </c>
      <c r="O527" t="n">
        <v>0</v>
      </c>
      <c r="P527" t="n">
        <v>0</v>
      </c>
      <c r="Q527" t="n">
        <v>0</v>
      </c>
      <c r="R527" s="2" t="inlineStr"/>
    </row>
    <row r="528" ht="15" customHeight="1">
      <c r="A528" t="inlineStr">
        <is>
          <t>A 7446-2026</t>
        </is>
      </c>
      <c r="B528" s="1" t="n">
        <v>46059</v>
      </c>
      <c r="C528" s="1" t="n">
        <v>46134</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59182-2023</t>
        </is>
      </c>
      <c r="B529" s="1" t="n">
        <v>45253</v>
      </c>
      <c r="C529" s="1" t="n">
        <v>46134</v>
      </c>
      <c r="D529" t="inlineStr">
        <is>
          <t>DALARNAS LÄN</t>
        </is>
      </c>
      <c r="E529" t="inlineStr">
        <is>
          <t>MORA</t>
        </is>
      </c>
      <c r="G529" t="n">
        <v>3.3</v>
      </c>
      <c r="H529" t="n">
        <v>0</v>
      </c>
      <c r="I529" t="n">
        <v>0</v>
      </c>
      <c r="J529" t="n">
        <v>0</v>
      </c>
      <c r="K529" t="n">
        <v>0</v>
      </c>
      <c r="L529" t="n">
        <v>0</v>
      </c>
      <c r="M529" t="n">
        <v>0</v>
      </c>
      <c r="N529" t="n">
        <v>0</v>
      </c>
      <c r="O529" t="n">
        <v>0</v>
      </c>
      <c r="P529" t="n">
        <v>0</v>
      </c>
      <c r="Q529" t="n">
        <v>0</v>
      </c>
      <c r="R529" s="2" t="inlineStr"/>
    </row>
    <row r="530" ht="15" customHeight="1">
      <c r="A530" t="inlineStr">
        <is>
          <t>A 501-2024</t>
        </is>
      </c>
      <c r="B530" s="1" t="n">
        <v>45299</v>
      </c>
      <c r="C530" s="1" t="n">
        <v>46134</v>
      </c>
      <c r="D530" t="inlineStr">
        <is>
          <t>DALARNAS LÄN</t>
        </is>
      </c>
      <c r="E530" t="inlineStr">
        <is>
          <t>MORA</t>
        </is>
      </c>
      <c r="G530" t="n">
        <v>2.5</v>
      </c>
      <c r="H530" t="n">
        <v>0</v>
      </c>
      <c r="I530" t="n">
        <v>0</v>
      </c>
      <c r="J530" t="n">
        <v>0</v>
      </c>
      <c r="K530" t="n">
        <v>0</v>
      </c>
      <c r="L530" t="n">
        <v>0</v>
      </c>
      <c r="M530" t="n">
        <v>0</v>
      </c>
      <c r="N530" t="n">
        <v>0</v>
      </c>
      <c r="O530" t="n">
        <v>0</v>
      </c>
      <c r="P530" t="n">
        <v>0</v>
      </c>
      <c r="Q530" t="n">
        <v>0</v>
      </c>
      <c r="R530" s="2" t="inlineStr"/>
    </row>
    <row r="531" ht="15" customHeight="1">
      <c r="A531" t="inlineStr">
        <is>
          <t>A 7418-2026</t>
        </is>
      </c>
      <c r="B531" s="1" t="n">
        <v>46059.42018518518</v>
      </c>
      <c r="C531" s="1" t="n">
        <v>46134</v>
      </c>
      <c r="D531" t="inlineStr">
        <is>
          <t>DALARNAS LÄN</t>
        </is>
      </c>
      <c r="E531" t="inlineStr">
        <is>
          <t>MORA</t>
        </is>
      </c>
      <c r="G531" t="n">
        <v>4</v>
      </c>
      <c r="H531" t="n">
        <v>0</v>
      </c>
      <c r="I531" t="n">
        <v>0</v>
      </c>
      <c r="J531" t="n">
        <v>0</v>
      </c>
      <c r="K531" t="n">
        <v>0</v>
      </c>
      <c r="L531" t="n">
        <v>0</v>
      </c>
      <c r="M531" t="n">
        <v>0</v>
      </c>
      <c r="N531" t="n">
        <v>0</v>
      </c>
      <c r="O531" t="n">
        <v>0</v>
      </c>
      <c r="P531" t="n">
        <v>0</v>
      </c>
      <c r="Q531" t="n">
        <v>0</v>
      </c>
      <c r="R531" s="2" t="inlineStr"/>
    </row>
    <row r="532" ht="15" customHeight="1">
      <c r="A532" t="inlineStr">
        <is>
          <t>A 14745-2026</t>
        </is>
      </c>
      <c r="B532" s="1" t="n">
        <v>46101.60760416667</v>
      </c>
      <c r="C532" s="1" t="n">
        <v>46134</v>
      </c>
      <c r="D532" t="inlineStr">
        <is>
          <t>DALARNAS LÄN</t>
        </is>
      </c>
      <c r="E532" t="inlineStr">
        <is>
          <t>MORA</t>
        </is>
      </c>
      <c r="F532" t="inlineStr">
        <is>
          <t>Bergvik skog öst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59094-2025</t>
        </is>
      </c>
      <c r="B533" s="1" t="n">
        <v>45988.45105324074</v>
      </c>
      <c r="C533" s="1" t="n">
        <v>46134</v>
      </c>
      <c r="D533" t="inlineStr">
        <is>
          <t>DALARNAS LÄN</t>
        </is>
      </c>
      <c r="E533" t="inlineStr">
        <is>
          <t>MORA</t>
        </is>
      </c>
      <c r="G533" t="n">
        <v>10</v>
      </c>
      <c r="H533" t="n">
        <v>0</v>
      </c>
      <c r="I533" t="n">
        <v>0</v>
      </c>
      <c r="J533" t="n">
        <v>0</v>
      </c>
      <c r="K533" t="n">
        <v>0</v>
      </c>
      <c r="L533" t="n">
        <v>0</v>
      </c>
      <c r="M533" t="n">
        <v>0</v>
      </c>
      <c r="N533" t="n">
        <v>0</v>
      </c>
      <c r="O533" t="n">
        <v>0</v>
      </c>
      <c r="P533" t="n">
        <v>0</v>
      </c>
      <c r="Q533" t="n">
        <v>0</v>
      </c>
      <c r="R533" s="2" t="inlineStr"/>
    </row>
    <row r="534" ht="15" customHeight="1">
      <c r="A534" t="inlineStr">
        <is>
          <t>A 64327-2023</t>
        </is>
      </c>
      <c r="B534" s="1" t="n">
        <v>45280</v>
      </c>
      <c r="C534" s="1" t="n">
        <v>46134</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17494-2025</t>
        </is>
      </c>
      <c r="B535" s="1" t="n">
        <v>45757.52033564815</v>
      </c>
      <c r="C535" s="1" t="n">
        <v>46134</v>
      </c>
      <c r="D535" t="inlineStr">
        <is>
          <t>DALARNAS LÄN</t>
        </is>
      </c>
      <c r="E535" t="inlineStr">
        <is>
          <t>MORA</t>
        </is>
      </c>
      <c r="G535" t="n">
        <v>5.3</v>
      </c>
      <c r="H535" t="n">
        <v>0</v>
      </c>
      <c r="I535" t="n">
        <v>0</v>
      </c>
      <c r="J535" t="n">
        <v>0</v>
      </c>
      <c r="K535" t="n">
        <v>0</v>
      </c>
      <c r="L535" t="n">
        <v>0</v>
      </c>
      <c r="M535" t="n">
        <v>0</v>
      </c>
      <c r="N535" t="n">
        <v>0</v>
      </c>
      <c r="O535" t="n">
        <v>0</v>
      </c>
      <c r="P535" t="n">
        <v>0</v>
      </c>
      <c r="Q535" t="n">
        <v>0</v>
      </c>
      <c r="R535" s="2" t="inlineStr"/>
    </row>
    <row r="536" ht="15" customHeight="1">
      <c r="A536" t="inlineStr">
        <is>
          <t>A 59805-2025</t>
        </is>
      </c>
      <c r="B536" s="1" t="n">
        <v>45992.62635416666</v>
      </c>
      <c r="C536" s="1" t="n">
        <v>46134</v>
      </c>
      <c r="D536" t="inlineStr">
        <is>
          <t>DALARNAS LÄN</t>
        </is>
      </c>
      <c r="E536" t="inlineStr">
        <is>
          <t>MORA</t>
        </is>
      </c>
      <c r="G536" t="n">
        <v>4.2</v>
      </c>
      <c r="H536" t="n">
        <v>0</v>
      </c>
      <c r="I536" t="n">
        <v>0</v>
      </c>
      <c r="J536" t="n">
        <v>0</v>
      </c>
      <c r="K536" t="n">
        <v>0</v>
      </c>
      <c r="L536" t="n">
        <v>0</v>
      </c>
      <c r="M536" t="n">
        <v>0</v>
      </c>
      <c r="N536" t="n">
        <v>0</v>
      </c>
      <c r="O536" t="n">
        <v>0</v>
      </c>
      <c r="P536" t="n">
        <v>0</v>
      </c>
      <c r="Q536" t="n">
        <v>0</v>
      </c>
      <c r="R536" s="2" t="inlineStr"/>
    </row>
    <row r="537" ht="15" customHeight="1">
      <c r="A537" t="inlineStr">
        <is>
          <t>A 59768-2025</t>
        </is>
      </c>
      <c r="B537" s="1" t="n">
        <v>45992</v>
      </c>
      <c r="C537" s="1" t="n">
        <v>46134</v>
      </c>
      <c r="D537" t="inlineStr">
        <is>
          <t>DALARNAS LÄN</t>
        </is>
      </c>
      <c r="E537" t="inlineStr">
        <is>
          <t>MORA</t>
        </is>
      </c>
      <c r="G537" t="n">
        <v>4</v>
      </c>
      <c r="H537" t="n">
        <v>0</v>
      </c>
      <c r="I537" t="n">
        <v>0</v>
      </c>
      <c r="J537" t="n">
        <v>0</v>
      </c>
      <c r="K537" t="n">
        <v>0</v>
      </c>
      <c r="L537" t="n">
        <v>0</v>
      </c>
      <c r="M537" t="n">
        <v>0</v>
      </c>
      <c r="N537" t="n">
        <v>0</v>
      </c>
      <c r="O537" t="n">
        <v>0</v>
      </c>
      <c r="P537" t="n">
        <v>0</v>
      </c>
      <c r="Q537" t="n">
        <v>0</v>
      </c>
      <c r="R537" s="2" t="inlineStr"/>
    </row>
    <row r="538" ht="15" customHeight="1">
      <c r="A538" t="inlineStr">
        <is>
          <t>A 55135-2025</t>
        </is>
      </c>
      <c r="B538" s="1" t="n">
        <v>45968.42591435185</v>
      </c>
      <c r="C538" s="1" t="n">
        <v>46134</v>
      </c>
      <c r="D538" t="inlineStr">
        <is>
          <t>DALARNAS LÄN</t>
        </is>
      </c>
      <c r="E538" t="inlineStr">
        <is>
          <t>MORA</t>
        </is>
      </c>
      <c r="G538" t="n">
        <v>5.1</v>
      </c>
      <c r="H538" t="n">
        <v>0</v>
      </c>
      <c r="I538" t="n">
        <v>0</v>
      </c>
      <c r="J538" t="n">
        <v>0</v>
      </c>
      <c r="K538" t="n">
        <v>0</v>
      </c>
      <c r="L538" t="n">
        <v>0</v>
      </c>
      <c r="M538" t="n">
        <v>0</v>
      </c>
      <c r="N538" t="n">
        <v>0</v>
      </c>
      <c r="O538" t="n">
        <v>0</v>
      </c>
      <c r="P538" t="n">
        <v>0</v>
      </c>
      <c r="Q538" t="n">
        <v>0</v>
      </c>
      <c r="R538" s="2" t="inlineStr"/>
    </row>
    <row r="539" ht="15" customHeight="1">
      <c r="A539" t="inlineStr">
        <is>
          <t>A 59669-2025</t>
        </is>
      </c>
      <c r="B539" s="1" t="n">
        <v>45992.45640046296</v>
      </c>
      <c r="C539" s="1" t="n">
        <v>46134</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54548-2025</t>
        </is>
      </c>
      <c r="B540" s="1" t="n">
        <v>45965.6534837963</v>
      </c>
      <c r="C540" s="1" t="n">
        <v>46134</v>
      </c>
      <c r="D540" t="inlineStr">
        <is>
          <t>DALARNAS LÄN</t>
        </is>
      </c>
      <c r="E540" t="inlineStr">
        <is>
          <t>MORA</t>
        </is>
      </c>
      <c r="G540" t="n">
        <v>2.3</v>
      </c>
      <c r="H540" t="n">
        <v>0</v>
      </c>
      <c r="I540" t="n">
        <v>0</v>
      </c>
      <c r="J540" t="n">
        <v>0</v>
      </c>
      <c r="K540" t="n">
        <v>0</v>
      </c>
      <c r="L540" t="n">
        <v>0</v>
      </c>
      <c r="M540" t="n">
        <v>0</v>
      </c>
      <c r="N540" t="n">
        <v>0</v>
      </c>
      <c r="O540" t="n">
        <v>0</v>
      </c>
      <c r="P540" t="n">
        <v>0</v>
      </c>
      <c r="Q540" t="n">
        <v>0</v>
      </c>
      <c r="R540" s="2" t="inlineStr"/>
    </row>
    <row r="541" ht="15" customHeight="1">
      <c r="A541" t="inlineStr">
        <is>
          <t>A 7849-2026</t>
        </is>
      </c>
      <c r="B541" s="1" t="n">
        <v>46062</v>
      </c>
      <c r="C541" s="1" t="n">
        <v>46134</v>
      </c>
      <c r="D541" t="inlineStr">
        <is>
          <t>DALARNAS LÄN</t>
        </is>
      </c>
      <c r="E541" t="inlineStr">
        <is>
          <t>MORA</t>
        </is>
      </c>
      <c r="G541" t="n">
        <v>1.7</v>
      </c>
      <c r="H541" t="n">
        <v>0</v>
      </c>
      <c r="I541" t="n">
        <v>0</v>
      </c>
      <c r="J541" t="n">
        <v>0</v>
      </c>
      <c r="K541" t="n">
        <v>0</v>
      </c>
      <c r="L541" t="n">
        <v>0</v>
      </c>
      <c r="M541" t="n">
        <v>0</v>
      </c>
      <c r="N541" t="n">
        <v>0</v>
      </c>
      <c r="O541" t="n">
        <v>0</v>
      </c>
      <c r="P541" t="n">
        <v>0</v>
      </c>
      <c r="Q541" t="n">
        <v>0</v>
      </c>
      <c r="R541" s="2" t="inlineStr"/>
    </row>
    <row r="542" ht="15" customHeight="1">
      <c r="A542" t="inlineStr">
        <is>
          <t>A 58958-2022</t>
        </is>
      </c>
      <c r="B542" s="1" t="n">
        <v>44903.6605324074</v>
      </c>
      <c r="C542" s="1" t="n">
        <v>46134</v>
      </c>
      <c r="D542" t="inlineStr">
        <is>
          <t>DALARNAS LÄN</t>
        </is>
      </c>
      <c r="E542" t="inlineStr">
        <is>
          <t>MORA</t>
        </is>
      </c>
      <c r="G542" t="n">
        <v>1.1</v>
      </c>
      <c r="H542" t="n">
        <v>0</v>
      </c>
      <c r="I542" t="n">
        <v>0</v>
      </c>
      <c r="J542" t="n">
        <v>0</v>
      </c>
      <c r="K542" t="n">
        <v>0</v>
      </c>
      <c r="L542" t="n">
        <v>0</v>
      </c>
      <c r="M542" t="n">
        <v>0</v>
      </c>
      <c r="N542" t="n">
        <v>0</v>
      </c>
      <c r="O542" t="n">
        <v>0</v>
      </c>
      <c r="P542" t="n">
        <v>0</v>
      </c>
      <c r="Q542" t="n">
        <v>0</v>
      </c>
      <c r="R542" s="2" t="inlineStr"/>
    </row>
    <row r="543" ht="15" customHeight="1">
      <c r="A543" t="inlineStr">
        <is>
          <t>A 12987-2024</t>
        </is>
      </c>
      <c r="B543" s="1" t="n">
        <v>45385.55375</v>
      </c>
      <c r="C543" s="1" t="n">
        <v>46134</v>
      </c>
      <c r="D543" t="inlineStr">
        <is>
          <t>DALARNAS LÄN</t>
        </is>
      </c>
      <c r="E543" t="inlineStr">
        <is>
          <t>MORA</t>
        </is>
      </c>
      <c r="G543" t="n">
        <v>1.3</v>
      </c>
      <c r="H543" t="n">
        <v>0</v>
      </c>
      <c r="I543" t="n">
        <v>0</v>
      </c>
      <c r="J543" t="n">
        <v>0</v>
      </c>
      <c r="K543" t="n">
        <v>0</v>
      </c>
      <c r="L543" t="n">
        <v>0</v>
      </c>
      <c r="M543" t="n">
        <v>0</v>
      </c>
      <c r="N543" t="n">
        <v>0</v>
      </c>
      <c r="O543" t="n">
        <v>0</v>
      </c>
      <c r="P543" t="n">
        <v>0</v>
      </c>
      <c r="Q543" t="n">
        <v>0</v>
      </c>
      <c r="R543" s="2" t="inlineStr"/>
    </row>
    <row r="544" ht="15" customHeight="1">
      <c r="A544" t="inlineStr">
        <is>
          <t>A 29188-2023</t>
        </is>
      </c>
      <c r="B544" s="1" t="n">
        <v>45105.54270833333</v>
      </c>
      <c r="C544" s="1" t="n">
        <v>46134</v>
      </c>
      <c r="D544" t="inlineStr">
        <is>
          <t>DALARNAS LÄN</t>
        </is>
      </c>
      <c r="E544" t="inlineStr">
        <is>
          <t>MORA</t>
        </is>
      </c>
      <c r="G544" t="n">
        <v>0.8</v>
      </c>
      <c r="H544" t="n">
        <v>0</v>
      </c>
      <c r="I544" t="n">
        <v>0</v>
      </c>
      <c r="J544" t="n">
        <v>0</v>
      </c>
      <c r="K544" t="n">
        <v>0</v>
      </c>
      <c r="L544" t="n">
        <v>0</v>
      </c>
      <c r="M544" t="n">
        <v>0</v>
      </c>
      <c r="N544" t="n">
        <v>0</v>
      </c>
      <c r="O544" t="n">
        <v>0</v>
      </c>
      <c r="P544" t="n">
        <v>0</v>
      </c>
      <c r="Q544" t="n">
        <v>0</v>
      </c>
      <c r="R544" s="2" t="inlineStr"/>
    </row>
    <row r="545" ht="15" customHeight="1">
      <c r="A545" t="inlineStr">
        <is>
          <t>A 15311-2026</t>
        </is>
      </c>
      <c r="B545" s="1" t="n">
        <v>46105.6447800926</v>
      </c>
      <c r="C545" s="1" t="n">
        <v>46134</v>
      </c>
      <c r="D545" t="inlineStr">
        <is>
          <t>DALARNAS LÄN</t>
        </is>
      </c>
      <c r="E545" t="inlineStr">
        <is>
          <t>MORA</t>
        </is>
      </c>
      <c r="F545" t="inlineStr">
        <is>
          <t>Bergvik skog öst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442-2024</t>
        </is>
      </c>
      <c r="B546" s="1" t="n">
        <v>45296.60353009259</v>
      </c>
      <c r="C546" s="1" t="n">
        <v>46134</v>
      </c>
      <c r="D546" t="inlineStr">
        <is>
          <t>DALARNAS LÄN</t>
        </is>
      </c>
      <c r="E546" t="inlineStr">
        <is>
          <t>MORA</t>
        </is>
      </c>
      <c r="G546" t="n">
        <v>0.5</v>
      </c>
      <c r="H546" t="n">
        <v>0</v>
      </c>
      <c r="I546" t="n">
        <v>0</v>
      </c>
      <c r="J546" t="n">
        <v>0</v>
      </c>
      <c r="K546" t="n">
        <v>0</v>
      </c>
      <c r="L546" t="n">
        <v>0</v>
      </c>
      <c r="M546" t="n">
        <v>0</v>
      </c>
      <c r="N546" t="n">
        <v>0</v>
      </c>
      <c r="O546" t="n">
        <v>0</v>
      </c>
      <c r="P546" t="n">
        <v>0</v>
      </c>
      <c r="Q546" t="n">
        <v>0</v>
      </c>
      <c r="R546" s="2" t="inlineStr"/>
    </row>
    <row r="547" ht="15" customHeight="1">
      <c r="A547" t="inlineStr">
        <is>
          <t>A 15172-2025</t>
        </is>
      </c>
      <c r="B547" s="1" t="n">
        <v>45744.50722222222</v>
      </c>
      <c r="C547" s="1" t="n">
        <v>46134</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17278-2025</t>
        </is>
      </c>
      <c r="B548" s="1" t="n">
        <v>45756.56131944444</v>
      </c>
      <c r="C548" s="1" t="n">
        <v>46134</v>
      </c>
      <c r="D548" t="inlineStr">
        <is>
          <t>DALARNAS LÄN</t>
        </is>
      </c>
      <c r="E548" t="inlineStr">
        <is>
          <t>MORA</t>
        </is>
      </c>
      <c r="G548" t="n">
        <v>3</v>
      </c>
      <c r="H548" t="n">
        <v>0</v>
      </c>
      <c r="I548" t="n">
        <v>0</v>
      </c>
      <c r="J548" t="n">
        <v>0</v>
      </c>
      <c r="K548" t="n">
        <v>0</v>
      </c>
      <c r="L548" t="n">
        <v>0</v>
      </c>
      <c r="M548" t="n">
        <v>0</v>
      </c>
      <c r="N548" t="n">
        <v>0</v>
      </c>
      <c r="O548" t="n">
        <v>0</v>
      </c>
      <c r="P548" t="n">
        <v>0</v>
      </c>
      <c r="Q548" t="n">
        <v>0</v>
      </c>
      <c r="R548" s="2" t="inlineStr"/>
    </row>
    <row r="549" ht="15" customHeight="1">
      <c r="A549" t="inlineStr">
        <is>
          <t>A 33627-2024</t>
        </is>
      </c>
      <c r="B549" s="1" t="n">
        <v>45520</v>
      </c>
      <c r="C549" s="1" t="n">
        <v>46134</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60674-2023</t>
        </is>
      </c>
      <c r="B550" s="1" t="n">
        <v>45260.46609953704</v>
      </c>
      <c r="C550" s="1" t="n">
        <v>46134</v>
      </c>
      <c r="D550" t="inlineStr">
        <is>
          <t>DALARNAS LÄN</t>
        </is>
      </c>
      <c r="E550" t="inlineStr">
        <is>
          <t>MORA</t>
        </is>
      </c>
      <c r="G550" t="n">
        <v>2.9</v>
      </c>
      <c r="H550" t="n">
        <v>0</v>
      </c>
      <c r="I550" t="n">
        <v>0</v>
      </c>
      <c r="J550" t="n">
        <v>0</v>
      </c>
      <c r="K550" t="n">
        <v>0</v>
      </c>
      <c r="L550" t="n">
        <v>0</v>
      </c>
      <c r="M550" t="n">
        <v>0</v>
      </c>
      <c r="N550" t="n">
        <v>0</v>
      </c>
      <c r="O550" t="n">
        <v>0</v>
      </c>
      <c r="P550" t="n">
        <v>0</v>
      </c>
      <c r="Q550" t="n">
        <v>0</v>
      </c>
      <c r="R550" s="2" t="inlineStr"/>
    </row>
    <row r="551" ht="15" customHeight="1">
      <c r="A551" t="inlineStr">
        <is>
          <t>A 61293-2022</t>
        </is>
      </c>
      <c r="B551" s="1" t="n">
        <v>44915.62751157407</v>
      </c>
      <c r="C551" s="1" t="n">
        <v>46134</v>
      </c>
      <c r="D551" t="inlineStr">
        <is>
          <t>DALARNAS LÄN</t>
        </is>
      </c>
      <c r="E551" t="inlineStr">
        <is>
          <t>MORA</t>
        </is>
      </c>
      <c r="G551" t="n">
        <v>0.3</v>
      </c>
      <c r="H551" t="n">
        <v>0</v>
      </c>
      <c r="I551" t="n">
        <v>0</v>
      </c>
      <c r="J551" t="n">
        <v>0</v>
      </c>
      <c r="K551" t="n">
        <v>0</v>
      </c>
      <c r="L551" t="n">
        <v>0</v>
      </c>
      <c r="M551" t="n">
        <v>0</v>
      </c>
      <c r="N551" t="n">
        <v>0</v>
      </c>
      <c r="O551" t="n">
        <v>0</v>
      </c>
      <c r="P551" t="n">
        <v>0</v>
      </c>
      <c r="Q551" t="n">
        <v>0</v>
      </c>
      <c r="R551" s="2" t="inlineStr"/>
    </row>
    <row r="552" ht="15" customHeight="1">
      <c r="A552" t="inlineStr">
        <is>
          <t>A 60360-2023</t>
        </is>
      </c>
      <c r="B552" s="1" t="n">
        <v>45259</v>
      </c>
      <c r="C552" s="1" t="n">
        <v>46134</v>
      </c>
      <c r="D552" t="inlineStr">
        <is>
          <t>DALARNAS LÄN</t>
        </is>
      </c>
      <c r="E552" t="inlineStr">
        <is>
          <t>MORA</t>
        </is>
      </c>
      <c r="G552" t="n">
        <v>2.9</v>
      </c>
      <c r="H552" t="n">
        <v>0</v>
      </c>
      <c r="I552" t="n">
        <v>0</v>
      </c>
      <c r="J552" t="n">
        <v>0</v>
      </c>
      <c r="K552" t="n">
        <v>0</v>
      </c>
      <c r="L552" t="n">
        <v>0</v>
      </c>
      <c r="M552" t="n">
        <v>0</v>
      </c>
      <c r="N552" t="n">
        <v>0</v>
      </c>
      <c r="O552" t="n">
        <v>0</v>
      </c>
      <c r="P552" t="n">
        <v>0</v>
      </c>
      <c r="Q552" t="n">
        <v>0</v>
      </c>
      <c r="R552" s="2" t="inlineStr"/>
    </row>
    <row r="553" ht="15" customHeight="1">
      <c r="A553" t="inlineStr">
        <is>
          <t>A 60957-2025</t>
        </is>
      </c>
      <c r="B553" s="1" t="n">
        <v>45999.65799768519</v>
      </c>
      <c r="C553" s="1" t="n">
        <v>46134</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18139-2025</t>
        </is>
      </c>
      <c r="B554" s="1" t="n">
        <v>45761.60459490741</v>
      </c>
      <c r="C554" s="1" t="n">
        <v>46134</v>
      </c>
      <c r="D554" t="inlineStr">
        <is>
          <t>DALARNAS LÄN</t>
        </is>
      </c>
      <c r="E554" t="inlineStr">
        <is>
          <t>MORA</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15397-2026</t>
        </is>
      </c>
      <c r="B555" s="1" t="n">
        <v>46106.35565972222</v>
      </c>
      <c r="C555" s="1" t="n">
        <v>46134</v>
      </c>
      <c r="D555" t="inlineStr">
        <is>
          <t>DALARNAS LÄN</t>
        </is>
      </c>
      <c r="E555" t="inlineStr">
        <is>
          <t>MORA</t>
        </is>
      </c>
      <c r="F555" t="inlineStr">
        <is>
          <t>Bergvik skog öst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25499-2024</t>
        </is>
      </c>
      <c r="B556" s="1" t="n">
        <v>45463</v>
      </c>
      <c r="C556" s="1" t="n">
        <v>46134</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15294-2026</t>
        </is>
      </c>
      <c r="B557" s="1" t="n">
        <v>46105.6279050926</v>
      </c>
      <c r="C557" s="1" t="n">
        <v>46134</v>
      </c>
      <c r="D557" t="inlineStr">
        <is>
          <t>DALARNAS LÄN</t>
        </is>
      </c>
      <c r="E557" t="inlineStr">
        <is>
          <t>MORA</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8007-2026</t>
        </is>
      </c>
      <c r="B558" s="1" t="n">
        <v>46063.52565972223</v>
      </c>
      <c r="C558" s="1" t="n">
        <v>46134</v>
      </c>
      <c r="D558" t="inlineStr">
        <is>
          <t>DALARNAS LÄN</t>
        </is>
      </c>
      <c r="E558" t="inlineStr">
        <is>
          <t>MORA</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61405-2023</t>
        </is>
      </c>
      <c r="B559" s="1" t="n">
        <v>45264.65987268519</v>
      </c>
      <c r="C559" s="1" t="n">
        <v>46134</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55691-2023</t>
        </is>
      </c>
      <c r="B560" s="1" t="n">
        <v>45239.36509259259</v>
      </c>
      <c r="C560" s="1" t="n">
        <v>46134</v>
      </c>
      <c r="D560" t="inlineStr">
        <is>
          <t>DALARNAS LÄN</t>
        </is>
      </c>
      <c r="E560" t="inlineStr">
        <is>
          <t>MORA</t>
        </is>
      </c>
      <c r="G560" t="n">
        <v>2.2</v>
      </c>
      <c r="H560" t="n">
        <v>0</v>
      </c>
      <c r="I560" t="n">
        <v>0</v>
      </c>
      <c r="J560" t="n">
        <v>0</v>
      </c>
      <c r="K560" t="n">
        <v>0</v>
      </c>
      <c r="L560" t="n">
        <v>0</v>
      </c>
      <c r="M560" t="n">
        <v>0</v>
      </c>
      <c r="N560" t="n">
        <v>0</v>
      </c>
      <c r="O560" t="n">
        <v>0</v>
      </c>
      <c r="P560" t="n">
        <v>0</v>
      </c>
      <c r="Q560" t="n">
        <v>0</v>
      </c>
      <c r="R560" s="2" t="inlineStr"/>
    </row>
    <row r="561" ht="15" customHeight="1">
      <c r="A561" t="inlineStr">
        <is>
          <t>A 63958-2023</t>
        </is>
      </c>
      <c r="B561" s="1" t="n">
        <v>45278</v>
      </c>
      <c r="C561" s="1" t="n">
        <v>46134</v>
      </c>
      <c r="D561" t="inlineStr">
        <is>
          <t>DALARNAS LÄN</t>
        </is>
      </c>
      <c r="E561" t="inlineStr">
        <is>
          <t>MORA</t>
        </is>
      </c>
      <c r="G561" t="n">
        <v>1.9</v>
      </c>
      <c r="H561" t="n">
        <v>0</v>
      </c>
      <c r="I561" t="n">
        <v>0</v>
      </c>
      <c r="J561" t="n">
        <v>0</v>
      </c>
      <c r="K561" t="n">
        <v>0</v>
      </c>
      <c r="L561" t="n">
        <v>0</v>
      </c>
      <c r="M561" t="n">
        <v>0</v>
      </c>
      <c r="N561" t="n">
        <v>0</v>
      </c>
      <c r="O561" t="n">
        <v>0</v>
      </c>
      <c r="P561" t="n">
        <v>0</v>
      </c>
      <c r="Q561" t="n">
        <v>0</v>
      </c>
      <c r="R561" s="2" t="inlineStr"/>
    </row>
    <row r="562" ht="15" customHeight="1">
      <c r="A562" t="inlineStr">
        <is>
          <t>A 57475-2022</t>
        </is>
      </c>
      <c r="B562" s="1" t="n">
        <v>44896</v>
      </c>
      <c r="C562" s="1" t="n">
        <v>46134</v>
      </c>
      <c r="D562" t="inlineStr">
        <is>
          <t>DALARNAS LÄN</t>
        </is>
      </c>
      <c r="E562" t="inlineStr">
        <is>
          <t>MORA</t>
        </is>
      </c>
      <c r="G562" t="n">
        <v>5.7</v>
      </c>
      <c r="H562" t="n">
        <v>0</v>
      </c>
      <c r="I562" t="n">
        <v>0</v>
      </c>
      <c r="J562" t="n">
        <v>0</v>
      </c>
      <c r="K562" t="n">
        <v>0</v>
      </c>
      <c r="L562" t="n">
        <v>0</v>
      </c>
      <c r="M562" t="n">
        <v>0</v>
      </c>
      <c r="N562" t="n">
        <v>0</v>
      </c>
      <c r="O562" t="n">
        <v>0</v>
      </c>
      <c r="P562" t="n">
        <v>0</v>
      </c>
      <c r="Q562" t="n">
        <v>0</v>
      </c>
      <c r="R562" s="2" t="inlineStr"/>
    </row>
    <row r="563" ht="15" customHeight="1">
      <c r="A563" t="inlineStr">
        <is>
          <t>A 48522-2024</t>
        </is>
      </c>
      <c r="B563" s="1" t="n">
        <v>45593.32924768519</v>
      </c>
      <c r="C563" s="1" t="n">
        <v>46134</v>
      </c>
      <c r="D563" t="inlineStr">
        <is>
          <t>DALARNAS LÄN</t>
        </is>
      </c>
      <c r="E563" t="inlineStr">
        <is>
          <t>MORA</t>
        </is>
      </c>
      <c r="G563" t="n">
        <v>1.2</v>
      </c>
      <c r="H563" t="n">
        <v>0</v>
      </c>
      <c r="I563" t="n">
        <v>0</v>
      </c>
      <c r="J563" t="n">
        <v>0</v>
      </c>
      <c r="K563" t="n">
        <v>0</v>
      </c>
      <c r="L563" t="n">
        <v>0</v>
      </c>
      <c r="M563" t="n">
        <v>0</v>
      </c>
      <c r="N563" t="n">
        <v>0</v>
      </c>
      <c r="O563" t="n">
        <v>0</v>
      </c>
      <c r="P563" t="n">
        <v>0</v>
      </c>
      <c r="Q563" t="n">
        <v>0</v>
      </c>
      <c r="R563" s="2" t="inlineStr"/>
    </row>
    <row r="564" ht="15" customHeight="1">
      <c r="A564" t="inlineStr">
        <is>
          <t>A 25494-2024</t>
        </is>
      </c>
      <c r="B564" s="1" t="n">
        <v>45463</v>
      </c>
      <c r="C564" s="1" t="n">
        <v>46134</v>
      </c>
      <c r="D564" t="inlineStr">
        <is>
          <t>DALARNAS LÄN</t>
        </is>
      </c>
      <c r="E564" t="inlineStr">
        <is>
          <t>MORA</t>
        </is>
      </c>
      <c r="G564" t="n">
        <v>4.9</v>
      </c>
      <c r="H564" t="n">
        <v>0</v>
      </c>
      <c r="I564" t="n">
        <v>0</v>
      </c>
      <c r="J564" t="n">
        <v>0</v>
      </c>
      <c r="K564" t="n">
        <v>0</v>
      </c>
      <c r="L564" t="n">
        <v>0</v>
      </c>
      <c r="M564" t="n">
        <v>0</v>
      </c>
      <c r="N564" t="n">
        <v>0</v>
      </c>
      <c r="O564" t="n">
        <v>0</v>
      </c>
      <c r="P564" t="n">
        <v>0</v>
      </c>
      <c r="Q564" t="n">
        <v>0</v>
      </c>
      <c r="R564" s="2" t="inlineStr"/>
    </row>
    <row r="565" ht="15" customHeight="1">
      <c r="A565" t="inlineStr">
        <is>
          <t>A 48342-2023</t>
        </is>
      </c>
      <c r="B565" s="1" t="n">
        <v>45205</v>
      </c>
      <c r="C565" s="1" t="n">
        <v>46134</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61455-2025</t>
        </is>
      </c>
      <c r="B566" s="1" t="n">
        <v>46001.58590277778</v>
      </c>
      <c r="C566" s="1" t="n">
        <v>46134</v>
      </c>
      <c r="D566" t="inlineStr">
        <is>
          <t>DALARNAS LÄN</t>
        </is>
      </c>
      <c r="E566" t="inlineStr">
        <is>
          <t>MORA</t>
        </is>
      </c>
      <c r="G566" t="n">
        <v>3.4</v>
      </c>
      <c r="H566" t="n">
        <v>0</v>
      </c>
      <c r="I566" t="n">
        <v>0</v>
      </c>
      <c r="J566" t="n">
        <v>0</v>
      </c>
      <c r="K566" t="n">
        <v>0</v>
      </c>
      <c r="L566" t="n">
        <v>0</v>
      </c>
      <c r="M566" t="n">
        <v>0</v>
      </c>
      <c r="N566" t="n">
        <v>0</v>
      </c>
      <c r="O566" t="n">
        <v>0</v>
      </c>
      <c r="P566" t="n">
        <v>0</v>
      </c>
      <c r="Q566" t="n">
        <v>0</v>
      </c>
      <c r="R566" s="2" t="inlineStr"/>
    </row>
    <row r="567" ht="15" customHeight="1">
      <c r="A567" t="inlineStr">
        <is>
          <t>A 5936-2026</t>
        </is>
      </c>
      <c r="B567" s="1" t="n">
        <v>46052.47197916666</v>
      </c>
      <c r="C567" s="1" t="n">
        <v>46134</v>
      </c>
      <c r="D567" t="inlineStr">
        <is>
          <t>DALARNAS LÄN</t>
        </is>
      </c>
      <c r="E567" t="inlineStr">
        <is>
          <t>MORA</t>
        </is>
      </c>
      <c r="G567" t="n">
        <v>11.1</v>
      </c>
      <c r="H567" t="n">
        <v>0</v>
      </c>
      <c r="I567" t="n">
        <v>0</v>
      </c>
      <c r="J567" t="n">
        <v>0</v>
      </c>
      <c r="K567" t="n">
        <v>0</v>
      </c>
      <c r="L567" t="n">
        <v>0</v>
      </c>
      <c r="M567" t="n">
        <v>0</v>
      </c>
      <c r="N567" t="n">
        <v>0</v>
      </c>
      <c r="O567" t="n">
        <v>0</v>
      </c>
      <c r="P567" t="n">
        <v>0</v>
      </c>
      <c r="Q567" t="n">
        <v>0</v>
      </c>
      <c r="R567" s="2" t="inlineStr"/>
    </row>
    <row r="568" ht="15" customHeight="1">
      <c r="A568" t="inlineStr">
        <is>
          <t>A 61412-2025</t>
        </is>
      </c>
      <c r="B568" s="1" t="n">
        <v>46001.5266087963</v>
      </c>
      <c r="C568" s="1" t="n">
        <v>46134</v>
      </c>
      <c r="D568" t="inlineStr">
        <is>
          <t>DALARNAS LÄN</t>
        </is>
      </c>
      <c r="E568" t="inlineStr">
        <is>
          <t>MORA</t>
        </is>
      </c>
      <c r="G568" t="n">
        <v>2.9</v>
      </c>
      <c r="H568" t="n">
        <v>0</v>
      </c>
      <c r="I568" t="n">
        <v>0</v>
      </c>
      <c r="J568" t="n">
        <v>0</v>
      </c>
      <c r="K568" t="n">
        <v>0</v>
      </c>
      <c r="L568" t="n">
        <v>0</v>
      </c>
      <c r="M568" t="n">
        <v>0</v>
      </c>
      <c r="N568" t="n">
        <v>0</v>
      </c>
      <c r="O568" t="n">
        <v>0</v>
      </c>
      <c r="P568" t="n">
        <v>0</v>
      </c>
      <c r="Q568" t="n">
        <v>0</v>
      </c>
      <c r="R568" s="2" t="inlineStr"/>
    </row>
    <row r="569" ht="15" customHeight="1">
      <c r="A569" t="inlineStr">
        <is>
          <t>A 46414-2024</t>
        </is>
      </c>
      <c r="B569" s="1" t="n">
        <v>45582.45226851852</v>
      </c>
      <c r="C569" s="1" t="n">
        <v>46134</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46417-2024</t>
        </is>
      </c>
      <c r="B570" s="1" t="n">
        <v>45582.45449074074</v>
      </c>
      <c r="C570" s="1" t="n">
        <v>46134</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61620-2025</t>
        </is>
      </c>
      <c r="B571" s="1" t="n">
        <v>46002.39347222223</v>
      </c>
      <c r="C571" s="1" t="n">
        <v>46134</v>
      </c>
      <c r="D571" t="inlineStr">
        <is>
          <t>DALARNAS LÄN</t>
        </is>
      </c>
      <c r="E571" t="inlineStr">
        <is>
          <t>MORA</t>
        </is>
      </c>
      <c r="G571" t="n">
        <v>3</v>
      </c>
      <c r="H571" t="n">
        <v>0</v>
      </c>
      <c r="I571" t="n">
        <v>0</v>
      </c>
      <c r="J571" t="n">
        <v>0</v>
      </c>
      <c r="K571" t="n">
        <v>0</v>
      </c>
      <c r="L571" t="n">
        <v>0</v>
      </c>
      <c r="M571" t="n">
        <v>0</v>
      </c>
      <c r="N571" t="n">
        <v>0</v>
      </c>
      <c r="O571" t="n">
        <v>0</v>
      </c>
      <c r="P571" t="n">
        <v>0</v>
      </c>
      <c r="Q571" t="n">
        <v>0</v>
      </c>
      <c r="R571" s="2" t="inlineStr"/>
    </row>
    <row r="572" ht="15" customHeight="1">
      <c r="A572" t="inlineStr">
        <is>
          <t>A 17280-2025</t>
        </is>
      </c>
      <c r="B572" s="1" t="n">
        <v>45756</v>
      </c>
      <c r="C572" s="1" t="n">
        <v>46134</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61270-2024</t>
        </is>
      </c>
      <c r="B573" s="1" t="n">
        <v>45645.74694444444</v>
      </c>
      <c r="C573" s="1" t="n">
        <v>46134</v>
      </c>
      <c r="D573" t="inlineStr">
        <is>
          <t>DALARNAS LÄN</t>
        </is>
      </c>
      <c r="E573" t="inlineStr">
        <is>
          <t>MORA</t>
        </is>
      </c>
      <c r="G573" t="n">
        <v>5.1</v>
      </c>
      <c r="H573" t="n">
        <v>0</v>
      </c>
      <c r="I573" t="n">
        <v>0</v>
      </c>
      <c r="J573" t="n">
        <v>0</v>
      </c>
      <c r="K573" t="n">
        <v>0</v>
      </c>
      <c r="L573" t="n">
        <v>0</v>
      </c>
      <c r="M573" t="n">
        <v>0</v>
      </c>
      <c r="N573" t="n">
        <v>0</v>
      </c>
      <c r="O573" t="n">
        <v>0</v>
      </c>
      <c r="P573" t="n">
        <v>0</v>
      </c>
      <c r="Q573" t="n">
        <v>0</v>
      </c>
      <c r="R573" s="2" t="inlineStr"/>
    </row>
    <row r="574" ht="15" customHeight="1">
      <c r="A574" t="inlineStr">
        <is>
          <t>A 61606-2025</t>
        </is>
      </c>
      <c r="B574" s="1" t="n">
        <v>46002.37662037037</v>
      </c>
      <c r="C574" s="1" t="n">
        <v>46134</v>
      </c>
      <c r="D574" t="inlineStr">
        <is>
          <t>DALARNAS LÄN</t>
        </is>
      </c>
      <c r="E574" t="inlineStr">
        <is>
          <t>MORA</t>
        </is>
      </c>
      <c r="G574" t="n">
        <v>6.1</v>
      </c>
      <c r="H574" t="n">
        <v>0</v>
      </c>
      <c r="I574" t="n">
        <v>0</v>
      </c>
      <c r="J574" t="n">
        <v>0</v>
      </c>
      <c r="K574" t="n">
        <v>0</v>
      </c>
      <c r="L574" t="n">
        <v>0</v>
      </c>
      <c r="M574" t="n">
        <v>0</v>
      </c>
      <c r="N574" t="n">
        <v>0</v>
      </c>
      <c r="O574" t="n">
        <v>0</v>
      </c>
      <c r="P574" t="n">
        <v>0</v>
      </c>
      <c r="Q574" t="n">
        <v>0</v>
      </c>
      <c r="R574" s="2" t="inlineStr"/>
    </row>
    <row r="575" ht="15" customHeight="1">
      <c r="A575" t="inlineStr">
        <is>
          <t>A 61624-2025</t>
        </is>
      </c>
      <c r="B575" s="1" t="n">
        <v>46002.39755787037</v>
      </c>
      <c r="C575" s="1" t="n">
        <v>46134</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8075-2026</t>
        </is>
      </c>
      <c r="B576" s="1" t="n">
        <v>46063</v>
      </c>
      <c r="C576" s="1" t="n">
        <v>46134</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62055-2025</t>
        </is>
      </c>
      <c r="B577" s="1" t="n">
        <v>46006.3365625</v>
      </c>
      <c r="C577" s="1" t="n">
        <v>46134</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61995-2025</t>
        </is>
      </c>
      <c r="B578" s="1" t="n">
        <v>46003.63954861111</v>
      </c>
      <c r="C578" s="1" t="n">
        <v>46134</v>
      </c>
      <c r="D578" t="inlineStr">
        <is>
          <t>DALARNAS LÄN</t>
        </is>
      </c>
      <c r="E578" t="inlineStr">
        <is>
          <t>MORA</t>
        </is>
      </c>
      <c r="G578" t="n">
        <v>1.3</v>
      </c>
      <c r="H578" t="n">
        <v>0</v>
      </c>
      <c r="I578" t="n">
        <v>0</v>
      </c>
      <c r="J578" t="n">
        <v>0</v>
      </c>
      <c r="K578" t="n">
        <v>0</v>
      </c>
      <c r="L578" t="n">
        <v>0</v>
      </c>
      <c r="M578" t="n">
        <v>0</v>
      </c>
      <c r="N578" t="n">
        <v>0</v>
      </c>
      <c r="O578" t="n">
        <v>0</v>
      </c>
      <c r="P578" t="n">
        <v>0</v>
      </c>
      <c r="Q578" t="n">
        <v>0</v>
      </c>
      <c r="R578" s="2" t="inlineStr"/>
    </row>
    <row r="579" ht="15" customHeight="1">
      <c r="A579" t="inlineStr">
        <is>
          <t>A 62054-2025</t>
        </is>
      </c>
      <c r="B579" s="1" t="n">
        <v>46006.33462962963</v>
      </c>
      <c r="C579" s="1" t="n">
        <v>46134</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7116-2024</t>
        </is>
      </c>
      <c r="B580" s="1" t="n">
        <v>45343.95445601852</v>
      </c>
      <c r="C580" s="1" t="n">
        <v>46134</v>
      </c>
      <c r="D580" t="inlineStr">
        <is>
          <t>DALARNAS LÄN</t>
        </is>
      </c>
      <c r="E580" t="inlineStr">
        <is>
          <t>MORA</t>
        </is>
      </c>
      <c r="G580" t="n">
        <v>0.3</v>
      </c>
      <c r="H580" t="n">
        <v>0</v>
      </c>
      <c r="I580" t="n">
        <v>0</v>
      </c>
      <c r="J580" t="n">
        <v>0</v>
      </c>
      <c r="K580" t="n">
        <v>0</v>
      </c>
      <c r="L580" t="n">
        <v>0</v>
      </c>
      <c r="M580" t="n">
        <v>0</v>
      </c>
      <c r="N580" t="n">
        <v>0</v>
      </c>
      <c r="O580" t="n">
        <v>0</v>
      </c>
      <c r="P580" t="n">
        <v>0</v>
      </c>
      <c r="Q580" t="n">
        <v>0</v>
      </c>
      <c r="R580" s="2" t="inlineStr"/>
    </row>
    <row r="581" ht="15" customHeight="1">
      <c r="A581" t="inlineStr">
        <is>
          <t>A 59995-2023</t>
        </is>
      </c>
      <c r="B581" s="1" t="n">
        <v>45254</v>
      </c>
      <c r="C581" s="1" t="n">
        <v>46134</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13479-2024</t>
        </is>
      </c>
      <c r="B582" s="1" t="n">
        <v>45387.5900925926</v>
      </c>
      <c r="C582" s="1" t="n">
        <v>46134</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62619-2025</t>
        </is>
      </c>
      <c r="B583" s="1" t="n">
        <v>46008.33967592593</v>
      </c>
      <c r="C583" s="1" t="n">
        <v>46134</v>
      </c>
      <c r="D583" t="inlineStr">
        <is>
          <t>DALARNAS LÄN</t>
        </is>
      </c>
      <c r="E583" t="inlineStr">
        <is>
          <t>MORA</t>
        </is>
      </c>
      <c r="G583" t="n">
        <v>3.3</v>
      </c>
      <c r="H583" t="n">
        <v>0</v>
      </c>
      <c r="I583" t="n">
        <v>0</v>
      </c>
      <c r="J583" t="n">
        <v>0</v>
      </c>
      <c r="K583" t="n">
        <v>0</v>
      </c>
      <c r="L583" t="n">
        <v>0</v>
      </c>
      <c r="M583" t="n">
        <v>0</v>
      </c>
      <c r="N583" t="n">
        <v>0</v>
      </c>
      <c r="O583" t="n">
        <v>0</v>
      </c>
      <c r="P583" t="n">
        <v>0</v>
      </c>
      <c r="Q583" t="n">
        <v>0</v>
      </c>
      <c r="R583" s="2" t="inlineStr"/>
    </row>
    <row r="584" ht="15" customHeight="1">
      <c r="A584" t="inlineStr">
        <is>
          <t>A 41812-2024</t>
        </is>
      </c>
      <c r="B584" s="1" t="n">
        <v>45561.3771412037</v>
      </c>
      <c r="C584" s="1" t="n">
        <v>46134</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15372-2026</t>
        </is>
      </c>
      <c r="B585" s="1" t="n">
        <v>46105.92204861111</v>
      </c>
      <c r="C585" s="1" t="n">
        <v>46134</v>
      </c>
      <c r="D585" t="inlineStr">
        <is>
          <t>DALARNAS LÄN</t>
        </is>
      </c>
      <c r="E585" t="inlineStr">
        <is>
          <t>MORA</t>
        </is>
      </c>
      <c r="F585" t="inlineStr">
        <is>
          <t>Bergvik skog öst AB</t>
        </is>
      </c>
      <c r="G585" t="n">
        <v>5.7</v>
      </c>
      <c r="H585" t="n">
        <v>0</v>
      </c>
      <c r="I585" t="n">
        <v>0</v>
      </c>
      <c r="J585" t="n">
        <v>0</v>
      </c>
      <c r="K585" t="n">
        <v>0</v>
      </c>
      <c r="L585" t="n">
        <v>0</v>
      </c>
      <c r="M585" t="n">
        <v>0</v>
      </c>
      <c r="N585" t="n">
        <v>0</v>
      </c>
      <c r="O585" t="n">
        <v>0</v>
      </c>
      <c r="P585" t="n">
        <v>0</v>
      </c>
      <c r="Q585" t="n">
        <v>0</v>
      </c>
      <c r="R585" s="2" t="inlineStr"/>
    </row>
    <row r="586" ht="15" customHeight="1">
      <c r="A586" t="inlineStr">
        <is>
          <t>A 15552-2026</t>
        </is>
      </c>
      <c r="B586" s="1" t="n">
        <v>46106.53862268518</v>
      </c>
      <c r="C586" s="1" t="n">
        <v>46134</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62626-2025</t>
        </is>
      </c>
      <c r="B587" s="1" t="n">
        <v>46008.34541666666</v>
      </c>
      <c r="C587" s="1" t="n">
        <v>46134</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42085-2024</t>
        </is>
      </c>
      <c r="B588" s="1" t="n">
        <v>45562.33179398148</v>
      </c>
      <c r="C588" s="1" t="n">
        <v>46134</v>
      </c>
      <c r="D588" t="inlineStr">
        <is>
          <t>DALARNAS LÄN</t>
        </is>
      </c>
      <c r="E588" t="inlineStr">
        <is>
          <t>MORA</t>
        </is>
      </c>
      <c r="G588" t="n">
        <v>4.9</v>
      </c>
      <c r="H588" t="n">
        <v>0</v>
      </c>
      <c r="I588" t="n">
        <v>0</v>
      </c>
      <c r="J588" t="n">
        <v>0</v>
      </c>
      <c r="K588" t="n">
        <v>0</v>
      </c>
      <c r="L588" t="n">
        <v>0</v>
      </c>
      <c r="M588" t="n">
        <v>0</v>
      </c>
      <c r="N588" t="n">
        <v>0</v>
      </c>
      <c r="O588" t="n">
        <v>0</v>
      </c>
      <c r="P588" t="n">
        <v>0</v>
      </c>
      <c r="Q588" t="n">
        <v>0</v>
      </c>
      <c r="R588" s="2" t="inlineStr"/>
    </row>
    <row r="589" ht="15" customHeight="1">
      <c r="A589" t="inlineStr">
        <is>
          <t>A 62548-2025</t>
        </is>
      </c>
      <c r="B589" s="1" t="n">
        <v>46007.66275462963</v>
      </c>
      <c r="C589" s="1" t="n">
        <v>46134</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62628-2025</t>
        </is>
      </c>
      <c r="B590" s="1" t="n">
        <v>46008.35011574074</v>
      </c>
      <c r="C590" s="1" t="n">
        <v>46134</v>
      </c>
      <c r="D590" t="inlineStr">
        <is>
          <t>DALARNAS LÄN</t>
        </is>
      </c>
      <c r="E590" t="inlineStr">
        <is>
          <t>MORA</t>
        </is>
      </c>
      <c r="G590" t="n">
        <v>5.7</v>
      </c>
      <c r="H590" t="n">
        <v>0</v>
      </c>
      <c r="I590" t="n">
        <v>0</v>
      </c>
      <c r="J590" t="n">
        <v>0</v>
      </c>
      <c r="K590" t="n">
        <v>0</v>
      </c>
      <c r="L590" t="n">
        <v>0</v>
      </c>
      <c r="M590" t="n">
        <v>0</v>
      </c>
      <c r="N590" t="n">
        <v>0</v>
      </c>
      <c r="O590" t="n">
        <v>0</v>
      </c>
      <c r="P590" t="n">
        <v>0</v>
      </c>
      <c r="Q590" t="n">
        <v>0</v>
      </c>
      <c r="R590" s="2" t="inlineStr"/>
    </row>
    <row r="591" ht="15" customHeight="1">
      <c r="A591" t="inlineStr">
        <is>
          <t>A 60465-2023</t>
        </is>
      </c>
      <c r="B591" s="1" t="n">
        <v>45259.57872685185</v>
      </c>
      <c r="C591" s="1" t="n">
        <v>46134</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62853-2025</t>
        </is>
      </c>
      <c r="B592" s="1" t="n">
        <v>46008.72493055555</v>
      </c>
      <c r="C592" s="1" t="n">
        <v>46134</v>
      </c>
      <c r="D592" t="inlineStr">
        <is>
          <t>DALARNAS LÄN</t>
        </is>
      </c>
      <c r="E592" t="inlineStr">
        <is>
          <t>MORA</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33676-2023</t>
        </is>
      </c>
      <c r="B593" s="1" t="n">
        <v>45132.6291550926</v>
      </c>
      <c r="C593" s="1" t="n">
        <v>46134</v>
      </c>
      <c r="D593" t="inlineStr">
        <is>
          <t>DALARNAS LÄN</t>
        </is>
      </c>
      <c r="E593" t="inlineStr">
        <is>
          <t>MORA</t>
        </is>
      </c>
      <c r="F593" t="inlineStr">
        <is>
          <t>Bergvik skog öst AB</t>
        </is>
      </c>
      <c r="G593" t="n">
        <v>2.7</v>
      </c>
      <c r="H593" t="n">
        <v>0</v>
      </c>
      <c r="I593" t="n">
        <v>0</v>
      </c>
      <c r="J593" t="n">
        <v>0</v>
      </c>
      <c r="K593" t="n">
        <v>0</v>
      </c>
      <c r="L593" t="n">
        <v>0</v>
      </c>
      <c r="M593" t="n">
        <v>0</v>
      </c>
      <c r="N593" t="n">
        <v>0</v>
      </c>
      <c r="O593" t="n">
        <v>0</v>
      </c>
      <c r="P593" t="n">
        <v>0</v>
      </c>
      <c r="Q593" t="n">
        <v>0</v>
      </c>
      <c r="R593" s="2" t="inlineStr"/>
    </row>
    <row r="594" ht="15" customHeight="1">
      <c r="A594" t="inlineStr">
        <is>
          <t>A 8361-2026</t>
        </is>
      </c>
      <c r="B594" s="1" t="n">
        <v>46064.6643287037</v>
      </c>
      <c r="C594" s="1" t="n">
        <v>46134</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29193-2023</t>
        </is>
      </c>
      <c r="B595" s="1" t="n">
        <v>45105.54791666667</v>
      </c>
      <c r="C595" s="1" t="n">
        <v>46134</v>
      </c>
      <c r="D595" t="inlineStr">
        <is>
          <t>DALARNAS LÄN</t>
        </is>
      </c>
      <c r="E595" t="inlineStr">
        <is>
          <t>MORA</t>
        </is>
      </c>
      <c r="G595" t="n">
        <v>0.4</v>
      </c>
      <c r="H595" t="n">
        <v>0</v>
      </c>
      <c r="I595" t="n">
        <v>0</v>
      </c>
      <c r="J595" t="n">
        <v>0</v>
      </c>
      <c r="K595" t="n">
        <v>0</v>
      </c>
      <c r="L595" t="n">
        <v>0</v>
      </c>
      <c r="M595" t="n">
        <v>0</v>
      </c>
      <c r="N595" t="n">
        <v>0</v>
      </c>
      <c r="O595" t="n">
        <v>0</v>
      </c>
      <c r="P595" t="n">
        <v>0</v>
      </c>
      <c r="Q595" t="n">
        <v>0</v>
      </c>
      <c r="R595" s="2" t="inlineStr"/>
    </row>
    <row r="596" ht="15" customHeight="1">
      <c r="A596" t="inlineStr">
        <is>
          <t>A 62965-2025</t>
        </is>
      </c>
      <c r="B596" s="1" t="n">
        <v>46009.46129629629</v>
      </c>
      <c r="C596" s="1" t="n">
        <v>46134</v>
      </c>
      <c r="D596" t="inlineStr">
        <is>
          <t>DALARNAS LÄN</t>
        </is>
      </c>
      <c r="E596" t="inlineStr">
        <is>
          <t>MORA</t>
        </is>
      </c>
      <c r="G596" t="n">
        <v>9.1</v>
      </c>
      <c r="H596" t="n">
        <v>0</v>
      </c>
      <c r="I596" t="n">
        <v>0</v>
      </c>
      <c r="J596" t="n">
        <v>0</v>
      </c>
      <c r="K596" t="n">
        <v>0</v>
      </c>
      <c r="L596" t="n">
        <v>0</v>
      </c>
      <c r="M596" t="n">
        <v>0</v>
      </c>
      <c r="N596" t="n">
        <v>0</v>
      </c>
      <c r="O596" t="n">
        <v>0</v>
      </c>
      <c r="P596" t="n">
        <v>0</v>
      </c>
      <c r="Q596" t="n">
        <v>0</v>
      </c>
      <c r="R596" s="2" t="inlineStr"/>
    </row>
    <row r="597" ht="15" customHeight="1">
      <c r="A597" t="inlineStr">
        <is>
          <t>A 26545-2025</t>
        </is>
      </c>
      <c r="B597" s="1" t="n">
        <v>45807</v>
      </c>
      <c r="C597" s="1" t="n">
        <v>46134</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26546-2025</t>
        </is>
      </c>
      <c r="B598" s="1" t="n">
        <v>45807</v>
      </c>
      <c r="C598" s="1" t="n">
        <v>46134</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26573-2025</t>
        </is>
      </c>
      <c r="B599" s="1" t="n">
        <v>45807</v>
      </c>
      <c r="C599" s="1" t="n">
        <v>46134</v>
      </c>
      <c r="D599" t="inlineStr">
        <is>
          <t>DALARNAS LÄN</t>
        </is>
      </c>
      <c r="E599" t="inlineStr">
        <is>
          <t>MORA</t>
        </is>
      </c>
      <c r="G599" t="n">
        <v>4.3</v>
      </c>
      <c r="H599" t="n">
        <v>0</v>
      </c>
      <c r="I599" t="n">
        <v>0</v>
      </c>
      <c r="J599" t="n">
        <v>0</v>
      </c>
      <c r="K599" t="n">
        <v>0</v>
      </c>
      <c r="L599" t="n">
        <v>0</v>
      </c>
      <c r="M599" t="n">
        <v>0</v>
      </c>
      <c r="N599" t="n">
        <v>0</v>
      </c>
      <c r="O599" t="n">
        <v>0</v>
      </c>
      <c r="P599" t="n">
        <v>0</v>
      </c>
      <c r="Q599" t="n">
        <v>0</v>
      </c>
      <c r="R599" s="2" t="inlineStr"/>
    </row>
    <row r="600" ht="15" customHeight="1">
      <c r="A600" t="inlineStr">
        <is>
          <t>A 35325-2024</t>
        </is>
      </c>
      <c r="B600" s="1" t="n">
        <v>45530.71158564815</v>
      </c>
      <c r="C600" s="1" t="n">
        <v>46134</v>
      </c>
      <c r="D600" t="inlineStr">
        <is>
          <t>DALARNAS LÄN</t>
        </is>
      </c>
      <c r="E600" t="inlineStr">
        <is>
          <t>MORA</t>
        </is>
      </c>
      <c r="G600" t="n">
        <v>5</v>
      </c>
      <c r="H600" t="n">
        <v>0</v>
      </c>
      <c r="I600" t="n">
        <v>0</v>
      </c>
      <c r="J600" t="n">
        <v>0</v>
      </c>
      <c r="K600" t="n">
        <v>0</v>
      </c>
      <c r="L600" t="n">
        <v>0</v>
      </c>
      <c r="M600" t="n">
        <v>0</v>
      </c>
      <c r="N600" t="n">
        <v>0</v>
      </c>
      <c r="O600" t="n">
        <v>0</v>
      </c>
      <c r="P600" t="n">
        <v>0</v>
      </c>
      <c r="Q600" t="n">
        <v>0</v>
      </c>
      <c r="R600" s="2" t="inlineStr"/>
    </row>
    <row r="601" ht="15" customHeight="1">
      <c r="A601" t="inlineStr">
        <is>
          <t>A 6371-2022</t>
        </is>
      </c>
      <c r="B601" s="1" t="n">
        <v>44600</v>
      </c>
      <c r="C601" s="1" t="n">
        <v>46134</v>
      </c>
      <c r="D601" t="inlineStr">
        <is>
          <t>DALARNAS LÄN</t>
        </is>
      </c>
      <c r="E601" t="inlineStr">
        <is>
          <t>MORA</t>
        </is>
      </c>
      <c r="G601" t="n">
        <v>4.6</v>
      </c>
      <c r="H601" t="n">
        <v>0</v>
      </c>
      <c r="I601" t="n">
        <v>0</v>
      </c>
      <c r="J601" t="n">
        <v>0</v>
      </c>
      <c r="K601" t="n">
        <v>0</v>
      </c>
      <c r="L601" t="n">
        <v>0</v>
      </c>
      <c r="M601" t="n">
        <v>0</v>
      </c>
      <c r="N601" t="n">
        <v>0</v>
      </c>
      <c r="O601" t="n">
        <v>0</v>
      </c>
      <c r="P601" t="n">
        <v>0</v>
      </c>
      <c r="Q601" t="n">
        <v>0</v>
      </c>
      <c r="R601" s="2" t="inlineStr"/>
    </row>
    <row r="602" ht="15" customHeight="1">
      <c r="A602" t="inlineStr">
        <is>
          <t>A 26577-2025</t>
        </is>
      </c>
      <c r="B602" s="1" t="n">
        <v>45807</v>
      </c>
      <c r="C602" s="1" t="n">
        <v>46134</v>
      </c>
      <c r="D602" t="inlineStr">
        <is>
          <t>DALARNAS LÄN</t>
        </is>
      </c>
      <c r="E602" t="inlineStr">
        <is>
          <t>MORA</t>
        </is>
      </c>
      <c r="G602" t="n">
        <v>2.8</v>
      </c>
      <c r="H602" t="n">
        <v>0</v>
      </c>
      <c r="I602" t="n">
        <v>0</v>
      </c>
      <c r="J602" t="n">
        <v>0</v>
      </c>
      <c r="K602" t="n">
        <v>0</v>
      </c>
      <c r="L602" t="n">
        <v>0</v>
      </c>
      <c r="M602" t="n">
        <v>0</v>
      </c>
      <c r="N602" t="n">
        <v>0</v>
      </c>
      <c r="O602" t="n">
        <v>0</v>
      </c>
      <c r="P602" t="n">
        <v>0</v>
      </c>
      <c r="Q602" t="n">
        <v>0</v>
      </c>
      <c r="R602" s="2" t="inlineStr"/>
    </row>
    <row r="603" ht="15" customHeight="1">
      <c r="A603" t="inlineStr">
        <is>
          <t>A 64093-2023</t>
        </is>
      </c>
      <c r="B603" s="1" t="n">
        <v>45279</v>
      </c>
      <c r="C603" s="1" t="n">
        <v>46134</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28832-2023</t>
        </is>
      </c>
      <c r="B604" s="1" t="n">
        <v>45104.40493055555</v>
      </c>
      <c r="C604" s="1" t="n">
        <v>46134</v>
      </c>
      <c r="D604" t="inlineStr">
        <is>
          <t>DALARNAS LÄN</t>
        </is>
      </c>
      <c r="E604" t="inlineStr">
        <is>
          <t>MORA</t>
        </is>
      </c>
      <c r="F604" t="inlineStr">
        <is>
          <t>Bergvik skog öst AB</t>
        </is>
      </c>
      <c r="G604" t="n">
        <v>2</v>
      </c>
      <c r="H604" t="n">
        <v>0</v>
      </c>
      <c r="I604" t="n">
        <v>0</v>
      </c>
      <c r="J604" t="n">
        <v>0</v>
      </c>
      <c r="K604" t="n">
        <v>0</v>
      </c>
      <c r="L604" t="n">
        <v>0</v>
      </c>
      <c r="M604" t="n">
        <v>0</v>
      </c>
      <c r="N604" t="n">
        <v>0</v>
      </c>
      <c r="O604" t="n">
        <v>0</v>
      </c>
      <c r="P604" t="n">
        <v>0</v>
      </c>
      <c r="Q604" t="n">
        <v>0</v>
      </c>
      <c r="R604" s="2" t="inlineStr"/>
    </row>
    <row r="605" ht="15" customHeight="1">
      <c r="A605" t="inlineStr">
        <is>
          <t>A 62959-2025</t>
        </is>
      </c>
      <c r="B605" s="1" t="n">
        <v>46009.45792824074</v>
      </c>
      <c r="C605" s="1" t="n">
        <v>46134</v>
      </c>
      <c r="D605" t="inlineStr">
        <is>
          <t>DALARNAS LÄN</t>
        </is>
      </c>
      <c r="E605" t="inlineStr">
        <is>
          <t>MORA</t>
        </is>
      </c>
      <c r="G605" t="n">
        <v>2.6</v>
      </c>
      <c r="H605" t="n">
        <v>0</v>
      </c>
      <c r="I605" t="n">
        <v>0</v>
      </c>
      <c r="J605" t="n">
        <v>0</v>
      </c>
      <c r="K605" t="n">
        <v>0</v>
      </c>
      <c r="L605" t="n">
        <v>0</v>
      </c>
      <c r="M605" t="n">
        <v>0</v>
      </c>
      <c r="N605" t="n">
        <v>0</v>
      </c>
      <c r="O605" t="n">
        <v>0</v>
      </c>
      <c r="P605" t="n">
        <v>0</v>
      </c>
      <c r="Q605" t="n">
        <v>0</v>
      </c>
      <c r="R605" s="2" t="inlineStr"/>
    </row>
    <row r="606" ht="15" customHeight="1">
      <c r="A606" t="inlineStr">
        <is>
          <t>A 63030-2025</t>
        </is>
      </c>
      <c r="B606" s="1" t="n">
        <v>46009.60133101852</v>
      </c>
      <c r="C606" s="1" t="n">
        <v>46134</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37710-2023</t>
        </is>
      </c>
      <c r="B607" s="1" t="n">
        <v>45159.59186342593</v>
      </c>
      <c r="C607" s="1" t="n">
        <v>46134</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63692-2025</t>
        </is>
      </c>
      <c r="B608" s="1" t="n">
        <v>46014.54496527778</v>
      </c>
      <c r="C608" s="1" t="n">
        <v>46134</v>
      </c>
      <c r="D608" t="inlineStr">
        <is>
          <t>DALARNAS LÄN</t>
        </is>
      </c>
      <c r="E608" t="inlineStr">
        <is>
          <t>MORA</t>
        </is>
      </c>
      <c r="G608" t="n">
        <v>1.4</v>
      </c>
      <c r="H608" t="n">
        <v>0</v>
      </c>
      <c r="I608" t="n">
        <v>0</v>
      </c>
      <c r="J608" t="n">
        <v>0</v>
      </c>
      <c r="K608" t="n">
        <v>0</v>
      </c>
      <c r="L608" t="n">
        <v>0</v>
      </c>
      <c r="M608" t="n">
        <v>0</v>
      </c>
      <c r="N608" t="n">
        <v>0</v>
      </c>
      <c r="O608" t="n">
        <v>0</v>
      </c>
      <c r="P608" t="n">
        <v>0</v>
      </c>
      <c r="Q608" t="n">
        <v>0</v>
      </c>
      <c r="R608" s="2" t="inlineStr"/>
    </row>
    <row r="609" ht="15" customHeight="1">
      <c r="A609" t="inlineStr">
        <is>
          <t>A 63457-2025</t>
        </is>
      </c>
      <c r="B609" s="1" t="n">
        <v>46013.42269675926</v>
      </c>
      <c r="C609" s="1" t="n">
        <v>46134</v>
      </c>
      <c r="D609" t="inlineStr">
        <is>
          <t>DALARNAS LÄN</t>
        </is>
      </c>
      <c r="E609" t="inlineStr">
        <is>
          <t>MORA</t>
        </is>
      </c>
      <c r="F609" t="inlineStr">
        <is>
          <t>Allmännings- och besparingsskogar</t>
        </is>
      </c>
      <c r="G609" t="n">
        <v>34.4</v>
      </c>
      <c r="H609" t="n">
        <v>0</v>
      </c>
      <c r="I609" t="n">
        <v>0</v>
      </c>
      <c r="J609" t="n">
        <v>0</v>
      </c>
      <c r="K609" t="n">
        <v>0</v>
      </c>
      <c r="L609" t="n">
        <v>0</v>
      </c>
      <c r="M609" t="n">
        <v>0</v>
      </c>
      <c r="N609" t="n">
        <v>0</v>
      </c>
      <c r="O609" t="n">
        <v>0</v>
      </c>
      <c r="P609" t="n">
        <v>0</v>
      </c>
      <c r="Q609" t="n">
        <v>0</v>
      </c>
      <c r="R609" s="2" t="inlineStr"/>
    </row>
    <row r="610" ht="15" customHeight="1">
      <c r="A610" t="inlineStr">
        <is>
          <t>A 27188-2023</t>
        </is>
      </c>
      <c r="B610" s="1" t="n">
        <v>45096</v>
      </c>
      <c r="C610" s="1" t="n">
        <v>46134</v>
      </c>
      <c r="D610" t="inlineStr">
        <is>
          <t>DALARNAS LÄN</t>
        </is>
      </c>
      <c r="E610" t="inlineStr">
        <is>
          <t>MORA</t>
        </is>
      </c>
      <c r="G610" t="n">
        <v>4.8</v>
      </c>
      <c r="H610" t="n">
        <v>0</v>
      </c>
      <c r="I610" t="n">
        <v>0</v>
      </c>
      <c r="J610" t="n">
        <v>0</v>
      </c>
      <c r="K610" t="n">
        <v>0</v>
      </c>
      <c r="L610" t="n">
        <v>0</v>
      </c>
      <c r="M610" t="n">
        <v>0</v>
      </c>
      <c r="N610" t="n">
        <v>0</v>
      </c>
      <c r="O610" t="n">
        <v>0</v>
      </c>
      <c r="P610" t="n">
        <v>0</v>
      </c>
      <c r="Q610" t="n">
        <v>0</v>
      </c>
      <c r="R610" s="2" t="inlineStr"/>
    </row>
    <row r="611" ht="15" customHeight="1">
      <c r="A611" t="inlineStr">
        <is>
          <t>A 31395-2024</t>
        </is>
      </c>
      <c r="B611" s="1" t="n">
        <v>45505.47716435185</v>
      </c>
      <c r="C611" s="1" t="n">
        <v>46134</v>
      </c>
      <c r="D611" t="inlineStr">
        <is>
          <t>DALARNAS LÄN</t>
        </is>
      </c>
      <c r="E611" t="inlineStr">
        <is>
          <t>MORA</t>
        </is>
      </c>
      <c r="F611" t="inlineStr">
        <is>
          <t>Bergvik skog öst AB</t>
        </is>
      </c>
      <c r="G611" t="n">
        <v>1.1</v>
      </c>
      <c r="H611" t="n">
        <v>0</v>
      </c>
      <c r="I611" t="n">
        <v>0</v>
      </c>
      <c r="J611" t="n">
        <v>0</v>
      </c>
      <c r="K611" t="n">
        <v>0</v>
      </c>
      <c r="L611" t="n">
        <v>0</v>
      </c>
      <c r="M611" t="n">
        <v>0</v>
      </c>
      <c r="N611" t="n">
        <v>0</v>
      </c>
      <c r="O611" t="n">
        <v>0</v>
      </c>
      <c r="P611" t="n">
        <v>0</v>
      </c>
      <c r="Q611" t="n">
        <v>0</v>
      </c>
      <c r="R611" s="2" t="inlineStr"/>
    </row>
    <row r="612" ht="15" customHeight="1">
      <c r="A612" t="inlineStr">
        <is>
          <t>A 8470-2026</t>
        </is>
      </c>
      <c r="B612" s="1" t="n">
        <v>46065.4490162037</v>
      </c>
      <c r="C612" s="1" t="n">
        <v>46134</v>
      </c>
      <c r="D612" t="inlineStr">
        <is>
          <t>DALARNAS LÄN</t>
        </is>
      </c>
      <c r="E612" t="inlineStr">
        <is>
          <t>MORA</t>
        </is>
      </c>
      <c r="G612" t="n">
        <v>3.1</v>
      </c>
      <c r="H612" t="n">
        <v>0</v>
      </c>
      <c r="I612" t="n">
        <v>0</v>
      </c>
      <c r="J612" t="n">
        <v>0</v>
      </c>
      <c r="K612" t="n">
        <v>0</v>
      </c>
      <c r="L612" t="n">
        <v>0</v>
      </c>
      <c r="M612" t="n">
        <v>0</v>
      </c>
      <c r="N612" t="n">
        <v>0</v>
      </c>
      <c r="O612" t="n">
        <v>0</v>
      </c>
      <c r="P612" t="n">
        <v>0</v>
      </c>
      <c r="Q612" t="n">
        <v>0</v>
      </c>
      <c r="R612" s="2" t="inlineStr"/>
    </row>
    <row r="613" ht="15" customHeight="1">
      <c r="A613" t="inlineStr">
        <is>
          <t>A 16114-2026</t>
        </is>
      </c>
      <c r="B613" s="1" t="n">
        <v>46108.61211805556</v>
      </c>
      <c r="C613" s="1" t="n">
        <v>46134</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38055-2024</t>
        </is>
      </c>
      <c r="B614" s="1" t="n">
        <v>45544</v>
      </c>
      <c r="C614" s="1" t="n">
        <v>46134</v>
      </c>
      <c r="D614" t="inlineStr">
        <is>
          <t>DALARNAS LÄN</t>
        </is>
      </c>
      <c r="E614" t="inlineStr">
        <is>
          <t>MORA</t>
        </is>
      </c>
      <c r="G614" t="n">
        <v>0.7</v>
      </c>
      <c r="H614" t="n">
        <v>0</v>
      </c>
      <c r="I614" t="n">
        <v>0</v>
      </c>
      <c r="J614" t="n">
        <v>0</v>
      </c>
      <c r="K614" t="n">
        <v>0</v>
      </c>
      <c r="L614" t="n">
        <v>0</v>
      </c>
      <c r="M614" t="n">
        <v>0</v>
      </c>
      <c r="N614" t="n">
        <v>0</v>
      </c>
      <c r="O614" t="n">
        <v>0</v>
      </c>
      <c r="P614" t="n">
        <v>0</v>
      </c>
      <c r="Q614" t="n">
        <v>0</v>
      </c>
      <c r="R614" s="2" t="inlineStr"/>
    </row>
    <row r="615" ht="15" customHeight="1">
      <c r="A615" t="inlineStr">
        <is>
          <t>A 35327-2024</t>
        </is>
      </c>
      <c r="B615" s="1" t="n">
        <v>45530.71334490741</v>
      </c>
      <c r="C615" s="1" t="n">
        <v>46134</v>
      </c>
      <c r="D615" t="inlineStr">
        <is>
          <t>DALARNAS LÄN</t>
        </is>
      </c>
      <c r="E615" t="inlineStr">
        <is>
          <t>MORA</t>
        </is>
      </c>
      <c r="G615" t="n">
        <v>5</v>
      </c>
      <c r="H615" t="n">
        <v>0</v>
      </c>
      <c r="I615" t="n">
        <v>0</v>
      </c>
      <c r="J615" t="n">
        <v>0</v>
      </c>
      <c r="K615" t="n">
        <v>0</v>
      </c>
      <c r="L615" t="n">
        <v>0</v>
      </c>
      <c r="M615" t="n">
        <v>0</v>
      </c>
      <c r="N615" t="n">
        <v>0</v>
      </c>
      <c r="O615" t="n">
        <v>0</v>
      </c>
      <c r="P615" t="n">
        <v>0</v>
      </c>
      <c r="Q615" t="n">
        <v>0</v>
      </c>
      <c r="R615" s="2" t="inlineStr"/>
    </row>
    <row r="616" ht="15" customHeight="1">
      <c r="A616" t="inlineStr">
        <is>
          <t>A 5486-2023</t>
        </is>
      </c>
      <c r="B616" s="1" t="n">
        <v>44957</v>
      </c>
      <c r="C616" s="1" t="n">
        <v>46134</v>
      </c>
      <c r="D616" t="inlineStr">
        <is>
          <t>DALARNAS LÄN</t>
        </is>
      </c>
      <c r="E616" t="inlineStr">
        <is>
          <t>MORA</t>
        </is>
      </c>
      <c r="G616" t="n">
        <v>3.2</v>
      </c>
      <c r="H616" t="n">
        <v>0</v>
      </c>
      <c r="I616" t="n">
        <v>0</v>
      </c>
      <c r="J616" t="n">
        <v>0</v>
      </c>
      <c r="K616" t="n">
        <v>0</v>
      </c>
      <c r="L616" t="n">
        <v>0</v>
      </c>
      <c r="M616" t="n">
        <v>0</v>
      </c>
      <c r="N616" t="n">
        <v>0</v>
      </c>
      <c r="O616" t="n">
        <v>0</v>
      </c>
      <c r="P616" t="n">
        <v>0</v>
      </c>
      <c r="Q616" t="n">
        <v>0</v>
      </c>
      <c r="R616" s="2" t="inlineStr"/>
    </row>
    <row r="617" ht="15" customHeight="1">
      <c r="A617" t="inlineStr">
        <is>
          <t>A 8474-2026</t>
        </is>
      </c>
      <c r="B617" s="1" t="n">
        <v>46065</v>
      </c>
      <c r="C617" s="1" t="n">
        <v>46134</v>
      </c>
      <c r="D617" t="inlineStr">
        <is>
          <t>DALARNAS LÄN</t>
        </is>
      </c>
      <c r="E617" t="inlineStr">
        <is>
          <t>MORA</t>
        </is>
      </c>
      <c r="G617" t="n">
        <v>4.7</v>
      </c>
      <c r="H617" t="n">
        <v>0</v>
      </c>
      <c r="I617" t="n">
        <v>0</v>
      </c>
      <c r="J617" t="n">
        <v>0</v>
      </c>
      <c r="K617" t="n">
        <v>0</v>
      </c>
      <c r="L617" t="n">
        <v>0</v>
      </c>
      <c r="M617" t="n">
        <v>0</v>
      </c>
      <c r="N617" t="n">
        <v>0</v>
      </c>
      <c r="O617" t="n">
        <v>0</v>
      </c>
      <c r="P617" t="n">
        <v>0</v>
      </c>
      <c r="Q617" t="n">
        <v>0</v>
      </c>
      <c r="R617" s="2" t="inlineStr"/>
    </row>
    <row r="618" ht="15" customHeight="1">
      <c r="A618" t="inlineStr">
        <is>
          <t>A 8549-2026</t>
        </is>
      </c>
      <c r="B618" s="1" t="n">
        <v>46065.61790509259</v>
      </c>
      <c r="C618" s="1" t="n">
        <v>46134</v>
      </c>
      <c r="D618" t="inlineStr">
        <is>
          <t>DALARNAS LÄN</t>
        </is>
      </c>
      <c r="E618" t="inlineStr">
        <is>
          <t>MORA</t>
        </is>
      </c>
      <c r="G618" t="n">
        <v>1.4</v>
      </c>
      <c r="H618" t="n">
        <v>0</v>
      </c>
      <c r="I618" t="n">
        <v>0</v>
      </c>
      <c r="J618" t="n">
        <v>0</v>
      </c>
      <c r="K618" t="n">
        <v>0</v>
      </c>
      <c r="L618" t="n">
        <v>0</v>
      </c>
      <c r="M618" t="n">
        <v>0</v>
      </c>
      <c r="N618" t="n">
        <v>0</v>
      </c>
      <c r="O618" t="n">
        <v>0</v>
      </c>
      <c r="P618" t="n">
        <v>0</v>
      </c>
      <c r="Q618" t="n">
        <v>0</v>
      </c>
      <c r="R618" s="2" t="inlineStr"/>
    </row>
    <row r="619" ht="15" customHeight="1">
      <c r="A619" t="inlineStr">
        <is>
          <t>A 46129-2024</t>
        </is>
      </c>
      <c r="B619" s="1" t="n">
        <v>45581.43337962963</v>
      </c>
      <c r="C619" s="1" t="n">
        <v>46134</v>
      </c>
      <c r="D619" t="inlineStr">
        <is>
          <t>DALARNAS LÄN</t>
        </is>
      </c>
      <c r="E619" t="inlineStr">
        <is>
          <t>MORA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28934-2023</t>
        </is>
      </c>
      <c r="B620" s="1" t="n">
        <v>45104</v>
      </c>
      <c r="C620" s="1" t="n">
        <v>46134</v>
      </c>
      <c r="D620" t="inlineStr">
        <is>
          <t>DALARNAS LÄN</t>
        </is>
      </c>
      <c r="E620" t="inlineStr">
        <is>
          <t>MORA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31929-2024</t>
        </is>
      </c>
      <c r="B621" s="1" t="n">
        <v>45510.40587962963</v>
      </c>
      <c r="C621" s="1" t="n">
        <v>46134</v>
      </c>
      <c r="D621" t="inlineStr">
        <is>
          <t>DALARNAS LÄN</t>
        </is>
      </c>
      <c r="E621" t="inlineStr">
        <is>
          <t>MORA</t>
        </is>
      </c>
      <c r="G621" t="n">
        <v>10.8</v>
      </c>
      <c r="H621" t="n">
        <v>0</v>
      </c>
      <c r="I621" t="n">
        <v>0</v>
      </c>
      <c r="J621" t="n">
        <v>0</v>
      </c>
      <c r="K621" t="n">
        <v>0</v>
      </c>
      <c r="L621" t="n">
        <v>0</v>
      </c>
      <c r="M621" t="n">
        <v>0</v>
      </c>
      <c r="N621" t="n">
        <v>0</v>
      </c>
      <c r="O621" t="n">
        <v>0</v>
      </c>
      <c r="P621" t="n">
        <v>0</v>
      </c>
      <c r="Q621" t="n">
        <v>0</v>
      </c>
      <c r="R621" s="2" t="inlineStr"/>
    </row>
    <row r="622" ht="15" customHeight="1">
      <c r="A622" t="inlineStr">
        <is>
          <t>A 8762-2026</t>
        </is>
      </c>
      <c r="B622" s="1" t="n">
        <v>46066.55876157407</v>
      </c>
      <c r="C622" s="1" t="n">
        <v>46134</v>
      </c>
      <c r="D622" t="inlineStr">
        <is>
          <t>DALARNAS LÄN</t>
        </is>
      </c>
      <c r="E622" t="inlineStr">
        <is>
          <t>MORA</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36600-2023</t>
        </is>
      </c>
      <c r="B623" s="1" t="n">
        <v>45153</v>
      </c>
      <c r="C623" s="1" t="n">
        <v>46134</v>
      </c>
      <c r="D623" t="inlineStr">
        <is>
          <t>DALARNAS LÄN</t>
        </is>
      </c>
      <c r="E623" t="inlineStr">
        <is>
          <t>MORA</t>
        </is>
      </c>
      <c r="G623" t="n">
        <v>7.3</v>
      </c>
      <c r="H623" t="n">
        <v>0</v>
      </c>
      <c r="I623" t="n">
        <v>0</v>
      </c>
      <c r="J623" t="n">
        <v>0</v>
      </c>
      <c r="K623" t="n">
        <v>0</v>
      </c>
      <c r="L623" t="n">
        <v>0</v>
      </c>
      <c r="M623" t="n">
        <v>0</v>
      </c>
      <c r="N623" t="n">
        <v>0</v>
      </c>
      <c r="O623" t="n">
        <v>0</v>
      </c>
      <c r="P623" t="n">
        <v>0</v>
      </c>
      <c r="Q623" t="n">
        <v>0</v>
      </c>
      <c r="R623" s="2" t="inlineStr"/>
    </row>
    <row r="624" ht="15" customHeight="1">
      <c r="A624" t="inlineStr">
        <is>
          <t>A 42943-2024</t>
        </is>
      </c>
      <c r="B624" s="1" t="n">
        <v>45567.35359953704</v>
      </c>
      <c r="C624" s="1" t="n">
        <v>46134</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16218-2026</t>
        </is>
      </c>
      <c r="B625" s="1" t="n">
        <v>46111.43640046296</v>
      </c>
      <c r="C625" s="1" t="n">
        <v>46134</v>
      </c>
      <c r="D625" t="inlineStr">
        <is>
          <t>DALARNAS LÄN</t>
        </is>
      </c>
      <c r="E625" t="inlineStr">
        <is>
          <t>MORA</t>
        </is>
      </c>
      <c r="F625" t="inlineStr">
        <is>
          <t>Bergvik skog öst AB</t>
        </is>
      </c>
      <c r="G625" t="n">
        <v>2.3</v>
      </c>
      <c r="H625" t="n">
        <v>0</v>
      </c>
      <c r="I625" t="n">
        <v>0</v>
      </c>
      <c r="J625" t="n">
        <v>0</v>
      </c>
      <c r="K625" t="n">
        <v>0</v>
      </c>
      <c r="L625" t="n">
        <v>0</v>
      </c>
      <c r="M625" t="n">
        <v>0</v>
      </c>
      <c r="N625" t="n">
        <v>0</v>
      </c>
      <c r="O625" t="n">
        <v>0</v>
      </c>
      <c r="P625" t="n">
        <v>0</v>
      </c>
      <c r="Q625" t="n">
        <v>0</v>
      </c>
      <c r="R625" s="2" t="inlineStr"/>
    </row>
    <row r="626" ht="15" customHeight="1">
      <c r="A626" t="inlineStr">
        <is>
          <t>A 15860-2026</t>
        </is>
      </c>
      <c r="B626" s="1" t="n">
        <v>46107</v>
      </c>
      <c r="C626" s="1" t="n">
        <v>46134</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4489-2022</t>
        </is>
      </c>
      <c r="B627" s="1" t="n">
        <v>44589</v>
      </c>
      <c r="C627" s="1" t="n">
        <v>46134</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5418-2025</t>
        </is>
      </c>
      <c r="B628" s="1" t="n">
        <v>45692.68561342593</v>
      </c>
      <c r="C628" s="1" t="n">
        <v>46134</v>
      </c>
      <c r="D628" t="inlineStr">
        <is>
          <t>DALARNAS LÄN</t>
        </is>
      </c>
      <c r="E628" t="inlineStr">
        <is>
          <t>MORA</t>
        </is>
      </c>
      <c r="G628" t="n">
        <v>0.9</v>
      </c>
      <c r="H628" t="n">
        <v>0</v>
      </c>
      <c r="I628" t="n">
        <v>0</v>
      </c>
      <c r="J628" t="n">
        <v>0</v>
      </c>
      <c r="K628" t="n">
        <v>0</v>
      </c>
      <c r="L628" t="n">
        <v>0</v>
      </c>
      <c r="M628" t="n">
        <v>0</v>
      </c>
      <c r="N628" t="n">
        <v>0</v>
      </c>
      <c r="O628" t="n">
        <v>0</v>
      </c>
      <c r="P628" t="n">
        <v>0</v>
      </c>
      <c r="Q628" t="n">
        <v>0</v>
      </c>
      <c r="R628" s="2" t="inlineStr"/>
    </row>
    <row r="629" ht="15" customHeight="1">
      <c r="A629" t="inlineStr">
        <is>
          <t>A 19842-2025</t>
        </is>
      </c>
      <c r="B629" s="1" t="n">
        <v>45771.47938657407</v>
      </c>
      <c r="C629" s="1" t="n">
        <v>46134</v>
      </c>
      <c r="D629" t="inlineStr">
        <is>
          <t>DALARNAS LÄN</t>
        </is>
      </c>
      <c r="E629" t="inlineStr">
        <is>
          <t>MORA</t>
        </is>
      </c>
      <c r="G629" t="n">
        <v>1.9</v>
      </c>
      <c r="H629" t="n">
        <v>0</v>
      </c>
      <c r="I629" t="n">
        <v>0</v>
      </c>
      <c r="J629" t="n">
        <v>0</v>
      </c>
      <c r="K629" t="n">
        <v>0</v>
      </c>
      <c r="L629" t="n">
        <v>0</v>
      </c>
      <c r="M629" t="n">
        <v>0</v>
      </c>
      <c r="N629" t="n">
        <v>0</v>
      </c>
      <c r="O629" t="n">
        <v>0</v>
      </c>
      <c r="P629" t="n">
        <v>0</v>
      </c>
      <c r="Q629" t="n">
        <v>0</v>
      </c>
      <c r="R629" s="2" t="inlineStr"/>
    </row>
    <row r="630" ht="15" customHeight="1">
      <c r="A630" t="inlineStr">
        <is>
          <t>A 18134-2025</t>
        </is>
      </c>
      <c r="B630" s="1" t="n">
        <v>45761.60189814815</v>
      </c>
      <c r="C630" s="1" t="n">
        <v>46134</v>
      </c>
      <c r="D630" t="inlineStr">
        <is>
          <t>DALARNAS LÄN</t>
        </is>
      </c>
      <c r="E630" t="inlineStr">
        <is>
          <t>MORA</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16386-2026</t>
        </is>
      </c>
      <c r="B631" s="1" t="n">
        <v>46111</v>
      </c>
      <c r="C631" s="1" t="n">
        <v>46134</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row>
    <row r="632" ht="15" customHeight="1">
      <c r="A632" t="inlineStr">
        <is>
          <t>A 61249-2023</t>
        </is>
      </c>
      <c r="B632" s="1" t="n">
        <v>45264</v>
      </c>
      <c r="C632" s="1" t="n">
        <v>46134</v>
      </c>
      <c r="D632" t="inlineStr">
        <is>
          <t>DALARNAS LÄN</t>
        </is>
      </c>
      <c r="E632" t="inlineStr">
        <is>
          <t>MORA</t>
        </is>
      </c>
      <c r="F632" t="inlineStr">
        <is>
          <t>Allmännings- och besparingsskogar</t>
        </is>
      </c>
      <c r="G632" t="n">
        <v>1.7</v>
      </c>
      <c r="H632" t="n">
        <v>0</v>
      </c>
      <c r="I632" t="n">
        <v>0</v>
      </c>
      <c r="J632" t="n">
        <v>0</v>
      </c>
      <c r="K632" t="n">
        <v>0</v>
      </c>
      <c r="L632" t="n">
        <v>0</v>
      </c>
      <c r="M632" t="n">
        <v>0</v>
      </c>
      <c r="N632" t="n">
        <v>0</v>
      </c>
      <c r="O632" t="n">
        <v>0</v>
      </c>
      <c r="P632" t="n">
        <v>0</v>
      </c>
      <c r="Q632" t="n">
        <v>0</v>
      </c>
      <c r="R632" s="2" t="inlineStr"/>
    </row>
    <row r="633" ht="15" customHeight="1">
      <c r="A633" t="inlineStr">
        <is>
          <t>A 9350-2026</t>
        </is>
      </c>
      <c r="B633" s="1" t="n">
        <v>46070</v>
      </c>
      <c r="C633" s="1" t="n">
        <v>46134</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16733-2024</t>
        </is>
      </c>
      <c r="B634" s="1" t="n">
        <v>45410.78502314815</v>
      </c>
      <c r="C634" s="1" t="n">
        <v>46134</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53159-2024</t>
        </is>
      </c>
      <c r="B635" s="1" t="n">
        <v>45611.63849537037</v>
      </c>
      <c r="C635" s="1" t="n">
        <v>46134</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8983-2026</t>
        </is>
      </c>
      <c r="B636" s="1" t="n">
        <v>46069</v>
      </c>
      <c r="C636" s="1" t="n">
        <v>46134</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16547-2026</t>
        </is>
      </c>
      <c r="B637" s="1" t="n">
        <v>46112.5105787037</v>
      </c>
      <c r="C637" s="1" t="n">
        <v>46134</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60187-2024</t>
        </is>
      </c>
      <c r="B638" s="1" t="n">
        <v>45642.64803240741</v>
      </c>
      <c r="C638" s="1" t="n">
        <v>46134</v>
      </c>
      <c r="D638" t="inlineStr">
        <is>
          <t>DALARNAS LÄN</t>
        </is>
      </c>
      <c r="E638" t="inlineStr">
        <is>
          <t>MORA</t>
        </is>
      </c>
      <c r="F638" t="inlineStr">
        <is>
          <t>Allmännings- och besparingsskogar</t>
        </is>
      </c>
      <c r="G638" t="n">
        <v>24.6</v>
      </c>
      <c r="H638" t="n">
        <v>0</v>
      </c>
      <c r="I638" t="n">
        <v>0</v>
      </c>
      <c r="J638" t="n">
        <v>0</v>
      </c>
      <c r="K638" t="n">
        <v>0</v>
      </c>
      <c r="L638" t="n">
        <v>0</v>
      </c>
      <c r="M638" t="n">
        <v>0</v>
      </c>
      <c r="N638" t="n">
        <v>0</v>
      </c>
      <c r="O638" t="n">
        <v>0</v>
      </c>
      <c r="P638" t="n">
        <v>0</v>
      </c>
      <c r="Q638" t="n">
        <v>0</v>
      </c>
      <c r="R638" s="2" t="inlineStr"/>
    </row>
    <row r="639" ht="15" customHeight="1">
      <c r="A639" t="inlineStr">
        <is>
          <t>A 15435-2024</t>
        </is>
      </c>
      <c r="B639" s="1" t="n">
        <v>45401.40806712963</v>
      </c>
      <c r="C639" s="1" t="n">
        <v>46134</v>
      </c>
      <c r="D639" t="inlineStr">
        <is>
          <t>DALARNAS LÄN</t>
        </is>
      </c>
      <c r="E639" t="inlineStr">
        <is>
          <t>MORA</t>
        </is>
      </c>
      <c r="G639" t="n">
        <v>2.1</v>
      </c>
      <c r="H639" t="n">
        <v>0</v>
      </c>
      <c r="I639" t="n">
        <v>0</v>
      </c>
      <c r="J639" t="n">
        <v>0</v>
      </c>
      <c r="K639" t="n">
        <v>0</v>
      </c>
      <c r="L639" t="n">
        <v>0</v>
      </c>
      <c r="M639" t="n">
        <v>0</v>
      </c>
      <c r="N639" t="n">
        <v>0</v>
      </c>
      <c r="O639" t="n">
        <v>0</v>
      </c>
      <c r="P639" t="n">
        <v>0</v>
      </c>
      <c r="Q639" t="n">
        <v>0</v>
      </c>
      <c r="R639" s="2" t="inlineStr"/>
    </row>
    <row r="640" ht="15" customHeight="1">
      <c r="A640" t="inlineStr">
        <is>
          <t>A 51965-2024</t>
        </is>
      </c>
      <c r="B640" s="1" t="n">
        <v>45607.65123842593</v>
      </c>
      <c r="C640" s="1" t="n">
        <v>46134</v>
      </c>
      <c r="D640" t="inlineStr">
        <is>
          <t>DALARNAS LÄN</t>
        </is>
      </c>
      <c r="E640" t="inlineStr">
        <is>
          <t>MORA</t>
        </is>
      </c>
      <c r="G640" t="n">
        <v>1.3</v>
      </c>
      <c r="H640" t="n">
        <v>0</v>
      </c>
      <c r="I640" t="n">
        <v>0</v>
      </c>
      <c r="J640" t="n">
        <v>0</v>
      </c>
      <c r="K640" t="n">
        <v>0</v>
      </c>
      <c r="L640" t="n">
        <v>0</v>
      </c>
      <c r="M640" t="n">
        <v>0</v>
      </c>
      <c r="N640" t="n">
        <v>0</v>
      </c>
      <c r="O640" t="n">
        <v>0</v>
      </c>
      <c r="P640" t="n">
        <v>0</v>
      </c>
      <c r="Q640" t="n">
        <v>0</v>
      </c>
      <c r="R640" s="2" t="inlineStr"/>
    </row>
    <row r="641" ht="15" customHeight="1">
      <c r="A641" t="inlineStr">
        <is>
          <t>A 9421-2026</t>
        </is>
      </c>
      <c r="B641" s="1" t="n">
        <v>46071</v>
      </c>
      <c r="C641" s="1" t="n">
        <v>46134</v>
      </c>
      <c r="D641" t="inlineStr">
        <is>
          <t>DALARNAS LÄN</t>
        </is>
      </c>
      <c r="E641" t="inlineStr">
        <is>
          <t>MORA</t>
        </is>
      </c>
      <c r="G641" t="n">
        <v>8.1</v>
      </c>
      <c r="H641" t="n">
        <v>0</v>
      </c>
      <c r="I641" t="n">
        <v>0</v>
      </c>
      <c r="J641" t="n">
        <v>0</v>
      </c>
      <c r="K641" t="n">
        <v>0</v>
      </c>
      <c r="L641" t="n">
        <v>0</v>
      </c>
      <c r="M641" t="n">
        <v>0</v>
      </c>
      <c r="N641" t="n">
        <v>0</v>
      </c>
      <c r="O641" t="n">
        <v>0</v>
      </c>
      <c r="P641" t="n">
        <v>0</v>
      </c>
      <c r="Q641" t="n">
        <v>0</v>
      </c>
      <c r="R641" s="2" t="inlineStr"/>
    </row>
    <row r="642" ht="15" customHeight="1">
      <c r="A642" t="inlineStr">
        <is>
          <t>A 9733-2026</t>
        </is>
      </c>
      <c r="B642" s="1" t="n">
        <v>46072</v>
      </c>
      <c r="C642" s="1" t="n">
        <v>46134</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9788-2026</t>
        </is>
      </c>
      <c r="B643" s="1" t="n">
        <v>46072</v>
      </c>
      <c r="C643" s="1" t="n">
        <v>46134</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9740-2026</t>
        </is>
      </c>
      <c r="B644" s="1" t="n">
        <v>46072</v>
      </c>
      <c r="C644" s="1" t="n">
        <v>46134</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9536-2026</t>
        </is>
      </c>
      <c r="B645" s="1" t="n">
        <v>46071</v>
      </c>
      <c r="C645" s="1" t="n">
        <v>46134</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14397-2026</t>
        </is>
      </c>
      <c r="B646" s="1" t="n">
        <v>46100</v>
      </c>
      <c r="C646" s="1" t="n">
        <v>46134</v>
      </c>
      <c r="D646" t="inlineStr">
        <is>
          <t>DALARNAS LÄN</t>
        </is>
      </c>
      <c r="E646" t="inlineStr">
        <is>
          <t>MORA</t>
        </is>
      </c>
      <c r="F646" t="inlineStr">
        <is>
          <t>Bergvik skog väst AB</t>
        </is>
      </c>
      <c r="G646" t="n">
        <v>1.2</v>
      </c>
      <c r="H646" t="n">
        <v>0</v>
      </c>
      <c r="I646" t="n">
        <v>0</v>
      </c>
      <c r="J646" t="n">
        <v>0</v>
      </c>
      <c r="K646" t="n">
        <v>0</v>
      </c>
      <c r="L646" t="n">
        <v>0</v>
      </c>
      <c r="M646" t="n">
        <v>0</v>
      </c>
      <c r="N646" t="n">
        <v>0</v>
      </c>
      <c r="O646" t="n">
        <v>0</v>
      </c>
      <c r="P646" t="n">
        <v>0</v>
      </c>
      <c r="Q646" t="n">
        <v>0</v>
      </c>
      <c r="R646" s="2" t="inlineStr"/>
    </row>
    <row r="647" ht="15" customHeight="1">
      <c r="A647" t="inlineStr">
        <is>
          <t>A 42391-2023</t>
        </is>
      </c>
      <c r="B647" s="1" t="n">
        <v>45180</v>
      </c>
      <c r="C647" s="1" t="n">
        <v>46134</v>
      </c>
      <c r="D647" t="inlineStr">
        <is>
          <t>DALARNAS LÄN</t>
        </is>
      </c>
      <c r="E647" t="inlineStr">
        <is>
          <t>MORA</t>
        </is>
      </c>
      <c r="F647" t="inlineStr">
        <is>
          <t>Kommuner</t>
        </is>
      </c>
      <c r="G647" t="n">
        <v>0.3</v>
      </c>
      <c r="H647" t="n">
        <v>0</v>
      </c>
      <c r="I647" t="n">
        <v>0</v>
      </c>
      <c r="J647" t="n">
        <v>0</v>
      </c>
      <c r="K647" t="n">
        <v>0</v>
      </c>
      <c r="L647" t="n">
        <v>0</v>
      </c>
      <c r="M647" t="n">
        <v>0</v>
      </c>
      <c r="N647" t="n">
        <v>0</v>
      </c>
      <c r="O647" t="n">
        <v>0</v>
      </c>
      <c r="P647" t="n">
        <v>0</v>
      </c>
      <c r="Q647" t="n">
        <v>0</v>
      </c>
      <c r="R647" s="2" t="inlineStr"/>
    </row>
    <row r="648" ht="15" customHeight="1">
      <c r="A648" t="inlineStr">
        <is>
          <t>A 2865-2022</t>
        </is>
      </c>
      <c r="B648" s="1" t="n">
        <v>44581</v>
      </c>
      <c r="C648" s="1" t="n">
        <v>46134</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17394-2026</t>
        </is>
      </c>
      <c r="B649" s="1" t="n">
        <v>46119.84560185186</v>
      </c>
      <c r="C649" s="1" t="n">
        <v>46134</v>
      </c>
      <c r="D649" t="inlineStr">
        <is>
          <t>DALARNAS LÄN</t>
        </is>
      </c>
      <c r="E649" t="inlineStr">
        <is>
          <t>MORA</t>
        </is>
      </c>
      <c r="F649" t="inlineStr">
        <is>
          <t>Bergvik skog öst AB</t>
        </is>
      </c>
      <c r="G649" t="n">
        <v>2.3</v>
      </c>
      <c r="H649" t="n">
        <v>0</v>
      </c>
      <c r="I649" t="n">
        <v>0</v>
      </c>
      <c r="J649" t="n">
        <v>0</v>
      </c>
      <c r="K649" t="n">
        <v>0</v>
      </c>
      <c r="L649" t="n">
        <v>0</v>
      </c>
      <c r="M649" t="n">
        <v>0</v>
      </c>
      <c r="N649" t="n">
        <v>0</v>
      </c>
      <c r="O649" t="n">
        <v>0</v>
      </c>
      <c r="P649" t="n">
        <v>0</v>
      </c>
      <c r="Q649" t="n">
        <v>0</v>
      </c>
      <c r="R649" s="2" t="inlineStr"/>
    </row>
    <row r="650" ht="15" customHeight="1">
      <c r="A650" t="inlineStr">
        <is>
          <t>A 15343-2026</t>
        </is>
      </c>
      <c r="B650" s="1" t="n">
        <v>46105</v>
      </c>
      <c r="C650" s="1" t="n">
        <v>46134</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45349-2024</t>
        </is>
      </c>
      <c r="B651" s="1" t="n">
        <v>45576</v>
      </c>
      <c r="C651" s="1" t="n">
        <v>46134</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17237-2026</t>
        </is>
      </c>
      <c r="B652" s="1" t="n">
        <v>46119.40912037037</v>
      </c>
      <c r="C652" s="1" t="n">
        <v>46134</v>
      </c>
      <c r="D652" t="inlineStr">
        <is>
          <t>DALARNAS LÄN</t>
        </is>
      </c>
      <c r="E652" t="inlineStr">
        <is>
          <t>MORA</t>
        </is>
      </c>
      <c r="F652" t="inlineStr">
        <is>
          <t>Bergvik skog öst AB</t>
        </is>
      </c>
      <c r="G652" t="n">
        <v>10</v>
      </c>
      <c r="H652" t="n">
        <v>0</v>
      </c>
      <c r="I652" t="n">
        <v>0</v>
      </c>
      <c r="J652" t="n">
        <v>0</v>
      </c>
      <c r="K652" t="n">
        <v>0</v>
      </c>
      <c r="L652" t="n">
        <v>0</v>
      </c>
      <c r="M652" t="n">
        <v>0</v>
      </c>
      <c r="N652" t="n">
        <v>0</v>
      </c>
      <c r="O652" t="n">
        <v>0</v>
      </c>
      <c r="P652" t="n">
        <v>0</v>
      </c>
      <c r="Q652" t="n">
        <v>0</v>
      </c>
      <c r="R652" s="2" t="inlineStr"/>
    </row>
    <row r="653" ht="15" customHeight="1">
      <c r="A653" t="inlineStr">
        <is>
          <t>A 57408-2024</t>
        </is>
      </c>
      <c r="B653" s="1" t="n">
        <v>45629</v>
      </c>
      <c r="C653" s="1" t="n">
        <v>46134</v>
      </c>
      <c r="D653" t="inlineStr">
        <is>
          <t>DALARNAS LÄN</t>
        </is>
      </c>
      <c r="E653" t="inlineStr">
        <is>
          <t>MORA</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10181-2026</t>
        </is>
      </c>
      <c r="B654" s="1" t="n">
        <v>46076</v>
      </c>
      <c r="C654" s="1" t="n">
        <v>46134</v>
      </c>
      <c r="D654" t="inlineStr">
        <is>
          <t>DALARNAS LÄN</t>
        </is>
      </c>
      <c r="E654" t="inlineStr">
        <is>
          <t>MORA</t>
        </is>
      </c>
      <c r="G654" t="n">
        <v>0.6</v>
      </c>
      <c r="H654" t="n">
        <v>0</v>
      </c>
      <c r="I654" t="n">
        <v>0</v>
      </c>
      <c r="J654" t="n">
        <v>0</v>
      </c>
      <c r="K654" t="n">
        <v>0</v>
      </c>
      <c r="L654" t="n">
        <v>0</v>
      </c>
      <c r="M654" t="n">
        <v>0</v>
      </c>
      <c r="N654" t="n">
        <v>0</v>
      </c>
      <c r="O654" t="n">
        <v>0</v>
      </c>
      <c r="P654" t="n">
        <v>0</v>
      </c>
      <c r="Q654" t="n">
        <v>0</v>
      </c>
      <c r="R654" s="2" t="inlineStr"/>
    </row>
    <row r="655" ht="15" customHeight="1">
      <c r="A655" t="inlineStr">
        <is>
          <t>A 15012-2026</t>
        </is>
      </c>
      <c r="B655" s="1" t="n">
        <v>46104</v>
      </c>
      <c r="C655" s="1" t="n">
        <v>46134</v>
      </c>
      <c r="D655" t="inlineStr">
        <is>
          <t>DALARNAS LÄN</t>
        </is>
      </c>
      <c r="E655" t="inlineStr">
        <is>
          <t>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46412-2024</t>
        </is>
      </c>
      <c r="B656" s="1" t="n">
        <v>45582.44894675926</v>
      </c>
      <c r="C656" s="1" t="n">
        <v>46134</v>
      </c>
      <c r="D656" t="inlineStr">
        <is>
          <t>DALARNAS LÄN</t>
        </is>
      </c>
      <c r="E656" t="inlineStr">
        <is>
          <t>MORA</t>
        </is>
      </c>
      <c r="G656" t="n">
        <v>4.1</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46134</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17392-2026</t>
        </is>
      </c>
      <c r="B658" s="1" t="n">
        <v>46119.83803240741</v>
      </c>
      <c r="C658" s="1" t="n">
        <v>46134</v>
      </c>
      <c r="D658" t="inlineStr">
        <is>
          <t>DALARNAS LÄN</t>
        </is>
      </c>
      <c r="E658" t="inlineStr">
        <is>
          <t>MORA</t>
        </is>
      </c>
      <c r="F658" t="inlineStr">
        <is>
          <t>Bergvik skog öst AB</t>
        </is>
      </c>
      <c r="G658" t="n">
        <v>4</v>
      </c>
      <c r="H658" t="n">
        <v>0</v>
      </c>
      <c r="I658" t="n">
        <v>0</v>
      </c>
      <c r="J658" t="n">
        <v>0</v>
      </c>
      <c r="K658" t="n">
        <v>0</v>
      </c>
      <c r="L658" t="n">
        <v>0</v>
      </c>
      <c r="M658" t="n">
        <v>0</v>
      </c>
      <c r="N658" t="n">
        <v>0</v>
      </c>
      <c r="O658" t="n">
        <v>0</v>
      </c>
      <c r="P658" t="n">
        <v>0</v>
      </c>
      <c r="Q658" t="n">
        <v>0</v>
      </c>
      <c r="R658" s="2" t="inlineStr"/>
    </row>
    <row r="659" ht="15" customHeight="1">
      <c r="A659" t="inlineStr">
        <is>
          <t>A 17393-2026</t>
        </is>
      </c>
      <c r="B659" s="1" t="n">
        <v>46119.84144675926</v>
      </c>
      <c r="C659" s="1" t="n">
        <v>46134</v>
      </c>
      <c r="D659" t="inlineStr">
        <is>
          <t>DALARNAS LÄN</t>
        </is>
      </c>
      <c r="E659" t="inlineStr">
        <is>
          <t>MORA</t>
        </is>
      </c>
      <c r="F659" t="inlineStr">
        <is>
          <t>Bergvik skog öst AB</t>
        </is>
      </c>
      <c r="G659" t="n">
        <v>2.8</v>
      </c>
      <c r="H659" t="n">
        <v>0</v>
      </c>
      <c r="I659" t="n">
        <v>0</v>
      </c>
      <c r="J659" t="n">
        <v>0</v>
      </c>
      <c r="K659" t="n">
        <v>0</v>
      </c>
      <c r="L659" t="n">
        <v>0</v>
      </c>
      <c r="M659" t="n">
        <v>0</v>
      </c>
      <c r="N659" t="n">
        <v>0</v>
      </c>
      <c r="O659" t="n">
        <v>0</v>
      </c>
      <c r="P659" t="n">
        <v>0</v>
      </c>
      <c r="Q659" t="n">
        <v>0</v>
      </c>
      <c r="R659" s="2" t="inlineStr"/>
    </row>
    <row r="660" ht="15" customHeight="1">
      <c r="A660" t="inlineStr">
        <is>
          <t>A 43964-2024</t>
        </is>
      </c>
      <c r="B660" s="1" t="n">
        <v>45572.48407407408</v>
      </c>
      <c r="C660" s="1" t="n">
        <v>46134</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17287-2026</t>
        </is>
      </c>
      <c r="B661" s="1" t="n">
        <v>46119</v>
      </c>
      <c r="C661" s="1" t="n">
        <v>46134</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39511-2024</t>
        </is>
      </c>
      <c r="B662" s="1" t="n">
        <v>45551.68347222222</v>
      </c>
      <c r="C662" s="1" t="n">
        <v>46134</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37695-2024</t>
        </is>
      </c>
      <c r="B663" s="1" t="n">
        <v>45541.61094907407</v>
      </c>
      <c r="C663" s="1" t="n">
        <v>46134</v>
      </c>
      <c r="D663" t="inlineStr">
        <is>
          <t>DALARNAS LÄN</t>
        </is>
      </c>
      <c r="E663" t="inlineStr">
        <is>
          <t>MORA</t>
        </is>
      </c>
      <c r="G663" t="n">
        <v>19.7</v>
      </c>
      <c r="H663" t="n">
        <v>0</v>
      </c>
      <c r="I663" t="n">
        <v>0</v>
      </c>
      <c r="J663" t="n">
        <v>0</v>
      </c>
      <c r="K663" t="n">
        <v>0</v>
      </c>
      <c r="L663" t="n">
        <v>0</v>
      </c>
      <c r="M663" t="n">
        <v>0</v>
      </c>
      <c r="N663" t="n">
        <v>0</v>
      </c>
      <c r="O663" t="n">
        <v>0</v>
      </c>
      <c r="P663" t="n">
        <v>0</v>
      </c>
      <c r="Q663" t="n">
        <v>0</v>
      </c>
      <c r="R663" s="2" t="inlineStr"/>
    </row>
    <row r="664" ht="15" customHeight="1">
      <c r="A664" t="inlineStr">
        <is>
          <t>A 56834-2024</t>
        </is>
      </c>
      <c r="B664" s="1" t="n">
        <v>45628.49931712963</v>
      </c>
      <c r="C664" s="1" t="n">
        <v>46134</v>
      </c>
      <c r="D664" t="inlineStr">
        <is>
          <t>DALARNAS LÄN</t>
        </is>
      </c>
      <c r="E664" t="inlineStr">
        <is>
          <t>MORA</t>
        </is>
      </c>
      <c r="G664" t="n">
        <v>0.4</v>
      </c>
      <c r="H664" t="n">
        <v>0</v>
      </c>
      <c r="I664" t="n">
        <v>0</v>
      </c>
      <c r="J664" t="n">
        <v>0</v>
      </c>
      <c r="K664" t="n">
        <v>0</v>
      </c>
      <c r="L664" t="n">
        <v>0</v>
      </c>
      <c r="M664" t="n">
        <v>0</v>
      </c>
      <c r="N664" t="n">
        <v>0</v>
      </c>
      <c r="O664" t="n">
        <v>0</v>
      </c>
      <c r="P664" t="n">
        <v>0</v>
      </c>
      <c r="Q664" t="n">
        <v>0</v>
      </c>
      <c r="R664" s="2" t="inlineStr"/>
    </row>
    <row r="665" ht="15" customHeight="1">
      <c r="A665" t="inlineStr">
        <is>
          <t>A 5763-2026</t>
        </is>
      </c>
      <c r="B665" s="1" t="n">
        <v>46051</v>
      </c>
      <c r="C665" s="1" t="n">
        <v>46134</v>
      </c>
      <c r="D665" t="inlineStr">
        <is>
          <t>DALARNAS LÄN</t>
        </is>
      </c>
      <c r="E665" t="inlineStr">
        <is>
          <t>MORA</t>
        </is>
      </c>
      <c r="G665" t="n">
        <v>0.3</v>
      </c>
      <c r="H665" t="n">
        <v>0</v>
      </c>
      <c r="I665" t="n">
        <v>0</v>
      </c>
      <c r="J665" t="n">
        <v>0</v>
      </c>
      <c r="K665" t="n">
        <v>0</v>
      </c>
      <c r="L665" t="n">
        <v>0</v>
      </c>
      <c r="M665" t="n">
        <v>0</v>
      </c>
      <c r="N665" t="n">
        <v>0</v>
      </c>
      <c r="O665" t="n">
        <v>0</v>
      </c>
      <c r="P665" t="n">
        <v>0</v>
      </c>
      <c r="Q665" t="n">
        <v>0</v>
      </c>
      <c r="R665" s="2" t="inlineStr"/>
    </row>
    <row r="666" ht="15" customHeight="1">
      <c r="A666" t="inlineStr">
        <is>
          <t>A 8068-2024</t>
        </is>
      </c>
      <c r="B666" s="1" t="n">
        <v>45351.41524305556</v>
      </c>
      <c r="C666" s="1" t="n">
        <v>46134</v>
      </c>
      <c r="D666" t="inlineStr">
        <is>
          <t>DALARNAS LÄN</t>
        </is>
      </c>
      <c r="E666" t="inlineStr">
        <is>
          <t>MORA</t>
        </is>
      </c>
      <c r="G666" t="n">
        <v>6.4</v>
      </c>
      <c r="H666" t="n">
        <v>0</v>
      </c>
      <c r="I666" t="n">
        <v>0</v>
      </c>
      <c r="J666" t="n">
        <v>0</v>
      </c>
      <c r="K666" t="n">
        <v>0</v>
      </c>
      <c r="L666" t="n">
        <v>0</v>
      </c>
      <c r="M666" t="n">
        <v>0</v>
      </c>
      <c r="N666" t="n">
        <v>0</v>
      </c>
      <c r="O666" t="n">
        <v>0</v>
      </c>
      <c r="P666" t="n">
        <v>0</v>
      </c>
      <c r="Q666" t="n">
        <v>0</v>
      </c>
      <c r="R666" s="2" t="inlineStr"/>
    </row>
    <row r="667" ht="15" customHeight="1">
      <c r="A667" t="inlineStr">
        <is>
          <t>A 43863-2023</t>
        </is>
      </c>
      <c r="B667" s="1" t="n">
        <v>45187.62532407408</v>
      </c>
      <c r="C667" s="1" t="n">
        <v>46134</v>
      </c>
      <c r="D667" t="inlineStr">
        <is>
          <t>DALARNAS LÄN</t>
        </is>
      </c>
      <c r="E667" t="inlineStr">
        <is>
          <t>MORA</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17762-2026</t>
        </is>
      </c>
      <c r="B668" s="1" t="n">
        <v>46122.35721064815</v>
      </c>
      <c r="C668" s="1" t="n">
        <v>46134</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35521-2023</t>
        </is>
      </c>
      <c r="B669" s="1" t="n">
        <v>45147.33251157407</v>
      </c>
      <c r="C669" s="1" t="n">
        <v>46134</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17756-2026</t>
        </is>
      </c>
      <c r="B670" s="1" t="n">
        <v>46122.34643518519</v>
      </c>
      <c r="C670" s="1" t="n">
        <v>46134</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31112-2024</t>
        </is>
      </c>
      <c r="B671" s="1" t="n">
        <v>45502.55185185185</v>
      </c>
      <c r="C671" s="1" t="n">
        <v>46134</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44205-2023</t>
        </is>
      </c>
      <c r="B672" s="1" t="n">
        <v>45188</v>
      </c>
      <c r="C672" s="1" t="n">
        <v>46134</v>
      </c>
      <c r="D672" t="inlineStr">
        <is>
          <t>DALARNAS LÄN</t>
        </is>
      </c>
      <c r="E672" t="inlineStr">
        <is>
          <t>MORA</t>
        </is>
      </c>
      <c r="G672" t="n">
        <v>0.7</v>
      </c>
      <c r="H672" t="n">
        <v>0</v>
      </c>
      <c r="I672" t="n">
        <v>0</v>
      </c>
      <c r="J672" t="n">
        <v>0</v>
      </c>
      <c r="K672" t="n">
        <v>0</v>
      </c>
      <c r="L672" t="n">
        <v>0</v>
      </c>
      <c r="M672" t="n">
        <v>0</v>
      </c>
      <c r="N672" t="n">
        <v>0</v>
      </c>
      <c r="O672" t="n">
        <v>0</v>
      </c>
      <c r="P672" t="n">
        <v>0</v>
      </c>
      <c r="Q672" t="n">
        <v>0</v>
      </c>
      <c r="R672" s="2" t="inlineStr"/>
    </row>
    <row r="673" ht="15" customHeight="1">
      <c r="A673" t="inlineStr">
        <is>
          <t>A 11176-2026</t>
        </is>
      </c>
      <c r="B673" s="1" t="n">
        <v>46080</v>
      </c>
      <c r="C673" s="1" t="n">
        <v>46134</v>
      </c>
      <c r="D673" t="inlineStr">
        <is>
          <t>DALARNAS LÄN</t>
        </is>
      </c>
      <c r="E673" t="inlineStr">
        <is>
          <t>MORA</t>
        </is>
      </c>
      <c r="G673" t="n">
        <v>1.3</v>
      </c>
      <c r="H673" t="n">
        <v>0</v>
      </c>
      <c r="I673" t="n">
        <v>0</v>
      </c>
      <c r="J673" t="n">
        <v>0</v>
      </c>
      <c r="K673" t="n">
        <v>0</v>
      </c>
      <c r="L673" t="n">
        <v>0</v>
      </c>
      <c r="M673" t="n">
        <v>0</v>
      </c>
      <c r="N673" t="n">
        <v>0</v>
      </c>
      <c r="O673" t="n">
        <v>0</v>
      </c>
      <c r="P673" t="n">
        <v>0</v>
      </c>
      <c r="Q673" t="n">
        <v>0</v>
      </c>
      <c r="R673" s="2" t="inlineStr"/>
    </row>
    <row r="674" ht="15" customHeight="1">
      <c r="A674" t="inlineStr">
        <is>
          <t>A 11452-2026</t>
        </is>
      </c>
      <c r="B674" s="1" t="n">
        <v>46083</v>
      </c>
      <c r="C674" s="1" t="n">
        <v>46134</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51168-2024</t>
        </is>
      </c>
      <c r="B675" s="1" t="n">
        <v>45603.58619212963</v>
      </c>
      <c r="C675" s="1" t="n">
        <v>46134</v>
      </c>
      <c r="D675" t="inlineStr">
        <is>
          <t>DALARNAS LÄN</t>
        </is>
      </c>
      <c r="E675" t="inlineStr">
        <is>
          <t>MORA</t>
        </is>
      </c>
      <c r="G675" t="n">
        <v>3</v>
      </c>
      <c r="H675" t="n">
        <v>0</v>
      </c>
      <c r="I675" t="n">
        <v>0</v>
      </c>
      <c r="J675" t="n">
        <v>0</v>
      </c>
      <c r="K675" t="n">
        <v>0</v>
      </c>
      <c r="L675" t="n">
        <v>0</v>
      </c>
      <c r="M675" t="n">
        <v>0</v>
      </c>
      <c r="N675" t="n">
        <v>0</v>
      </c>
      <c r="O675" t="n">
        <v>0</v>
      </c>
      <c r="P675" t="n">
        <v>0</v>
      </c>
      <c r="Q675" t="n">
        <v>0</v>
      </c>
      <c r="R675" s="2" t="inlineStr"/>
    </row>
    <row r="676" ht="15" customHeight="1">
      <c r="A676" t="inlineStr">
        <is>
          <t>A 18214-2024</t>
        </is>
      </c>
      <c r="B676" s="1" t="n">
        <v>45420</v>
      </c>
      <c r="C676" s="1" t="n">
        <v>46134</v>
      </c>
      <c r="D676" t="inlineStr">
        <is>
          <t>DALARNAS LÄN</t>
        </is>
      </c>
      <c r="E676" t="inlineStr">
        <is>
          <t>MORA</t>
        </is>
      </c>
      <c r="G676" t="n">
        <v>1</v>
      </c>
      <c r="H676" t="n">
        <v>0</v>
      </c>
      <c r="I676" t="n">
        <v>0</v>
      </c>
      <c r="J676" t="n">
        <v>0</v>
      </c>
      <c r="K676" t="n">
        <v>0</v>
      </c>
      <c r="L676" t="n">
        <v>0</v>
      </c>
      <c r="M676" t="n">
        <v>0</v>
      </c>
      <c r="N676" t="n">
        <v>0</v>
      </c>
      <c r="O676" t="n">
        <v>0</v>
      </c>
      <c r="P676" t="n">
        <v>0</v>
      </c>
      <c r="Q676" t="n">
        <v>0</v>
      </c>
      <c r="R676" s="2" t="inlineStr"/>
    </row>
    <row r="677" ht="15" customHeight="1">
      <c r="A677" t="inlineStr">
        <is>
          <t>A 11716-2026</t>
        </is>
      </c>
      <c r="B677" s="1" t="n">
        <v>46084.62465277778</v>
      </c>
      <c r="C677" s="1" t="n">
        <v>46134</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16522-2024</t>
        </is>
      </c>
      <c r="B678" s="1" t="n">
        <v>45408.41166666667</v>
      </c>
      <c r="C678" s="1" t="n">
        <v>46134</v>
      </c>
      <c r="D678" t="inlineStr">
        <is>
          <t>DALARNAS LÄN</t>
        </is>
      </c>
      <c r="E678" t="inlineStr">
        <is>
          <t>MORA</t>
        </is>
      </c>
      <c r="G678" t="n">
        <v>11.2</v>
      </c>
      <c r="H678" t="n">
        <v>0</v>
      </c>
      <c r="I678" t="n">
        <v>0</v>
      </c>
      <c r="J678" t="n">
        <v>0</v>
      </c>
      <c r="K678" t="n">
        <v>0</v>
      </c>
      <c r="L678" t="n">
        <v>0</v>
      </c>
      <c r="M678" t="n">
        <v>0</v>
      </c>
      <c r="N678" t="n">
        <v>0</v>
      </c>
      <c r="O678" t="n">
        <v>0</v>
      </c>
      <c r="P678" t="n">
        <v>0</v>
      </c>
      <c r="Q678" t="n">
        <v>0</v>
      </c>
      <c r="R678" s="2" t="inlineStr"/>
    </row>
    <row r="679" ht="15" customHeight="1">
      <c r="A679" t="inlineStr">
        <is>
          <t>A 18514-2026</t>
        </is>
      </c>
      <c r="B679" s="1" t="n">
        <v>46127.50141203704</v>
      </c>
      <c r="C679" s="1" t="n">
        <v>46134</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11705-2026</t>
        </is>
      </c>
      <c r="B680" s="1" t="n">
        <v>46084.61635416667</v>
      </c>
      <c r="C680" s="1" t="n">
        <v>46134</v>
      </c>
      <c r="D680" t="inlineStr">
        <is>
          <t>DALARNAS LÄN</t>
        </is>
      </c>
      <c r="E680" t="inlineStr">
        <is>
          <t>MORA</t>
        </is>
      </c>
      <c r="G680" t="n">
        <v>4.2</v>
      </c>
      <c r="H680" t="n">
        <v>0</v>
      </c>
      <c r="I680" t="n">
        <v>0</v>
      </c>
      <c r="J680" t="n">
        <v>0</v>
      </c>
      <c r="K680" t="n">
        <v>0</v>
      </c>
      <c r="L680" t="n">
        <v>0</v>
      </c>
      <c r="M680" t="n">
        <v>0</v>
      </c>
      <c r="N680" t="n">
        <v>0</v>
      </c>
      <c r="O680" t="n">
        <v>0</v>
      </c>
      <c r="P680" t="n">
        <v>0</v>
      </c>
      <c r="Q680" t="n">
        <v>0</v>
      </c>
      <c r="R680" s="2" t="inlineStr"/>
    </row>
    <row r="681" ht="15" customHeight="1">
      <c r="A681" t="inlineStr">
        <is>
          <t>A 11875-2026</t>
        </is>
      </c>
      <c r="B681" s="1" t="n">
        <v>46085</v>
      </c>
      <c r="C681" s="1" t="n">
        <v>46134</v>
      </c>
      <c r="D681" t="inlineStr">
        <is>
          <t>DALARNAS LÄN</t>
        </is>
      </c>
      <c r="E681" t="inlineStr">
        <is>
          <t>MORA</t>
        </is>
      </c>
      <c r="G681" t="n">
        <v>3.7</v>
      </c>
      <c r="H681" t="n">
        <v>0</v>
      </c>
      <c r="I681" t="n">
        <v>0</v>
      </c>
      <c r="J681" t="n">
        <v>0</v>
      </c>
      <c r="K681" t="n">
        <v>0</v>
      </c>
      <c r="L681" t="n">
        <v>0</v>
      </c>
      <c r="M681" t="n">
        <v>0</v>
      </c>
      <c r="N681" t="n">
        <v>0</v>
      </c>
      <c r="O681" t="n">
        <v>0</v>
      </c>
      <c r="P681" t="n">
        <v>0</v>
      </c>
      <c r="Q681" t="n">
        <v>0</v>
      </c>
      <c r="R681" s="2" t="inlineStr"/>
    </row>
    <row r="682" ht="15" customHeight="1">
      <c r="A682" t="inlineStr">
        <is>
          <t>A 18626-2026</t>
        </is>
      </c>
      <c r="B682" s="1" t="n">
        <v>46127.78611111111</v>
      </c>
      <c r="C682" s="1" t="n">
        <v>46134</v>
      </c>
      <c r="D682" t="inlineStr">
        <is>
          <t>DALARNAS LÄN</t>
        </is>
      </c>
      <c r="E682" t="inlineStr">
        <is>
          <t>MORA</t>
        </is>
      </c>
      <c r="G682" t="n">
        <v>3.1</v>
      </c>
      <c r="H682" t="n">
        <v>0</v>
      </c>
      <c r="I682" t="n">
        <v>0</v>
      </c>
      <c r="J682" t="n">
        <v>0</v>
      </c>
      <c r="K682" t="n">
        <v>0</v>
      </c>
      <c r="L682" t="n">
        <v>0</v>
      </c>
      <c r="M682" t="n">
        <v>0</v>
      </c>
      <c r="N682" t="n">
        <v>0</v>
      </c>
      <c r="O682" t="n">
        <v>0</v>
      </c>
      <c r="P682" t="n">
        <v>0</v>
      </c>
      <c r="Q682" t="n">
        <v>0</v>
      </c>
      <c r="R682" s="2" t="inlineStr"/>
    </row>
    <row r="683" ht="15" customHeight="1">
      <c r="A683" t="inlineStr">
        <is>
          <t>A 11819-2026</t>
        </is>
      </c>
      <c r="B683" s="1" t="n">
        <v>46085.38835648148</v>
      </c>
      <c r="C683" s="1" t="n">
        <v>46134</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17805-2026</t>
        </is>
      </c>
      <c r="B684" s="1" t="n">
        <v>46121</v>
      </c>
      <c r="C684" s="1" t="n">
        <v>46134</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55120-2024</t>
        </is>
      </c>
      <c r="B685" s="1" t="n">
        <v>45621.45765046297</v>
      </c>
      <c r="C685" s="1" t="n">
        <v>46134</v>
      </c>
      <c r="D685" t="inlineStr">
        <is>
          <t>DALARNAS LÄN</t>
        </is>
      </c>
      <c r="E685" t="inlineStr">
        <is>
          <t>MORA</t>
        </is>
      </c>
      <c r="G685" t="n">
        <v>1.9</v>
      </c>
      <c r="H685" t="n">
        <v>0</v>
      </c>
      <c r="I685" t="n">
        <v>0</v>
      </c>
      <c r="J685" t="n">
        <v>0</v>
      </c>
      <c r="K685" t="n">
        <v>0</v>
      </c>
      <c r="L685" t="n">
        <v>0</v>
      </c>
      <c r="M685" t="n">
        <v>0</v>
      </c>
      <c r="N685" t="n">
        <v>0</v>
      </c>
      <c r="O685" t="n">
        <v>0</v>
      </c>
      <c r="P685" t="n">
        <v>0</v>
      </c>
      <c r="Q685" t="n">
        <v>0</v>
      </c>
      <c r="R685" s="2" t="inlineStr"/>
    </row>
    <row r="686" ht="15" customHeight="1">
      <c r="A686" t="inlineStr">
        <is>
          <t>A 18674-2026</t>
        </is>
      </c>
      <c r="B686" s="1" t="n">
        <v>46128.36966435185</v>
      </c>
      <c r="C686" s="1" t="n">
        <v>46134</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43873-2024</t>
        </is>
      </c>
      <c r="B687" s="1" t="n">
        <v>45572.38429398148</v>
      </c>
      <c r="C687" s="1" t="n">
        <v>46134</v>
      </c>
      <c r="D687" t="inlineStr">
        <is>
          <t>DALARNAS LÄN</t>
        </is>
      </c>
      <c r="E687" t="inlineStr">
        <is>
          <t>MORA</t>
        </is>
      </c>
      <c r="G687" t="n">
        <v>4.1</v>
      </c>
      <c r="H687" t="n">
        <v>0</v>
      </c>
      <c r="I687" t="n">
        <v>0</v>
      </c>
      <c r="J687" t="n">
        <v>0</v>
      </c>
      <c r="K687" t="n">
        <v>0</v>
      </c>
      <c r="L687" t="n">
        <v>0</v>
      </c>
      <c r="M687" t="n">
        <v>0</v>
      </c>
      <c r="N687" t="n">
        <v>0</v>
      </c>
      <c r="O687" t="n">
        <v>0</v>
      </c>
      <c r="P687" t="n">
        <v>0</v>
      </c>
      <c r="Q687" t="n">
        <v>0</v>
      </c>
      <c r="R687" s="2" t="inlineStr"/>
    </row>
    <row r="688" ht="15" customHeight="1">
      <c r="A688" t="inlineStr">
        <is>
          <t>A 19462-2026</t>
        </is>
      </c>
      <c r="B688" s="1" t="n">
        <v>46133.68479166667</v>
      </c>
      <c r="C688" s="1" t="n">
        <v>46134</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46152-2023</t>
        </is>
      </c>
      <c r="B689" s="1" t="n">
        <v>45196.58278935185</v>
      </c>
      <c r="C689" s="1" t="n">
        <v>46134</v>
      </c>
      <c r="D689" t="inlineStr">
        <is>
          <t>DALARNAS LÄN</t>
        </is>
      </c>
      <c r="E689" t="inlineStr">
        <is>
          <t>MORA</t>
        </is>
      </c>
      <c r="G689" t="n">
        <v>2</v>
      </c>
      <c r="H689" t="n">
        <v>0</v>
      </c>
      <c r="I689" t="n">
        <v>0</v>
      </c>
      <c r="J689" t="n">
        <v>0</v>
      </c>
      <c r="K689" t="n">
        <v>0</v>
      </c>
      <c r="L689" t="n">
        <v>0</v>
      </c>
      <c r="M689" t="n">
        <v>0</v>
      </c>
      <c r="N689" t="n">
        <v>0</v>
      </c>
      <c r="O689" t="n">
        <v>0</v>
      </c>
      <c r="P689" t="n">
        <v>0</v>
      </c>
      <c r="Q689" t="n">
        <v>0</v>
      </c>
      <c r="R689" s="2" t="inlineStr"/>
    </row>
    <row r="690" ht="15" customHeight="1">
      <c r="A690" t="inlineStr">
        <is>
          <t>A 42035-2022</t>
        </is>
      </c>
      <c r="B690" s="1" t="n">
        <v>44830</v>
      </c>
      <c r="C690" s="1" t="n">
        <v>46134</v>
      </c>
      <c r="D690" t="inlineStr">
        <is>
          <t>DALARNAS LÄN</t>
        </is>
      </c>
      <c r="E690" t="inlineStr">
        <is>
          <t>MORA</t>
        </is>
      </c>
      <c r="G690" t="n">
        <v>2.7</v>
      </c>
      <c r="H690" t="n">
        <v>0</v>
      </c>
      <c r="I690" t="n">
        <v>0</v>
      </c>
      <c r="J690" t="n">
        <v>0</v>
      </c>
      <c r="K690" t="n">
        <v>0</v>
      </c>
      <c r="L690" t="n">
        <v>0</v>
      </c>
      <c r="M690" t="n">
        <v>0</v>
      </c>
      <c r="N690" t="n">
        <v>0</v>
      </c>
      <c r="O690" t="n">
        <v>0</v>
      </c>
      <c r="P690" t="n">
        <v>0</v>
      </c>
      <c r="Q690" t="n">
        <v>0</v>
      </c>
      <c r="R690" s="2" t="inlineStr"/>
    </row>
    <row r="691" ht="15" customHeight="1">
      <c r="A691" t="inlineStr">
        <is>
          <t>A 18871-2026</t>
        </is>
      </c>
      <c r="B691" s="1" t="n">
        <v>46129</v>
      </c>
      <c r="C691" s="1" t="n">
        <v>46134</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5980-2025</t>
        </is>
      </c>
      <c r="B692" s="1" t="n">
        <v>45695.54651620371</v>
      </c>
      <c r="C692" s="1" t="n">
        <v>46134</v>
      </c>
      <c r="D692" t="inlineStr">
        <is>
          <t>DALARNAS LÄN</t>
        </is>
      </c>
      <c r="E692" t="inlineStr">
        <is>
          <t>MORA</t>
        </is>
      </c>
      <c r="G692" t="n">
        <v>2.7</v>
      </c>
      <c r="H692" t="n">
        <v>0</v>
      </c>
      <c r="I692" t="n">
        <v>0</v>
      </c>
      <c r="J692" t="n">
        <v>0</v>
      </c>
      <c r="K692" t="n">
        <v>0</v>
      </c>
      <c r="L692" t="n">
        <v>0</v>
      </c>
      <c r="M692" t="n">
        <v>0</v>
      </c>
      <c r="N692" t="n">
        <v>0</v>
      </c>
      <c r="O692" t="n">
        <v>0</v>
      </c>
      <c r="P692" t="n">
        <v>0</v>
      </c>
      <c r="Q692" t="n">
        <v>0</v>
      </c>
      <c r="R692" s="2" t="inlineStr"/>
    </row>
    <row r="693" ht="15" customHeight="1">
      <c r="A693" t="inlineStr">
        <is>
          <t>A 15203-2026</t>
        </is>
      </c>
      <c r="B693" s="1" t="n">
        <v>46105</v>
      </c>
      <c r="C693" s="1" t="n">
        <v>46134</v>
      </c>
      <c r="D693" t="inlineStr">
        <is>
          <t>DALARNAS LÄN</t>
        </is>
      </c>
      <c r="E693" t="inlineStr">
        <is>
          <t>MORA</t>
        </is>
      </c>
      <c r="G693" t="n">
        <v>2.5</v>
      </c>
      <c r="H693" t="n">
        <v>0</v>
      </c>
      <c r="I693" t="n">
        <v>0</v>
      </c>
      <c r="J693" t="n">
        <v>0</v>
      </c>
      <c r="K693" t="n">
        <v>0</v>
      </c>
      <c r="L693" t="n">
        <v>0</v>
      </c>
      <c r="M693" t="n">
        <v>0</v>
      </c>
      <c r="N693" t="n">
        <v>0</v>
      </c>
      <c r="O693" t="n">
        <v>0</v>
      </c>
      <c r="P693" t="n">
        <v>0</v>
      </c>
      <c r="Q693" t="n">
        <v>0</v>
      </c>
      <c r="R693" s="2" t="inlineStr"/>
    </row>
    <row r="694" ht="15" customHeight="1">
      <c r="A694" t="inlineStr">
        <is>
          <t>A 12664-2026</t>
        </is>
      </c>
      <c r="B694" s="1" t="n">
        <v>46091</v>
      </c>
      <c r="C694" s="1" t="n">
        <v>46134</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9599-2022</t>
        </is>
      </c>
      <c r="B695" s="1" t="n">
        <v>44617.48909722222</v>
      </c>
      <c r="C695" s="1" t="n">
        <v>46134</v>
      </c>
      <c r="D695" t="inlineStr">
        <is>
          <t>DALARNAS LÄN</t>
        </is>
      </c>
      <c r="E695" t="inlineStr">
        <is>
          <t>MORA</t>
        </is>
      </c>
      <c r="G695" t="n">
        <v>2.1</v>
      </c>
      <c r="H695" t="n">
        <v>0</v>
      </c>
      <c r="I695" t="n">
        <v>0</v>
      </c>
      <c r="J695" t="n">
        <v>0</v>
      </c>
      <c r="K695" t="n">
        <v>0</v>
      </c>
      <c r="L695" t="n">
        <v>0</v>
      </c>
      <c r="M695" t="n">
        <v>0</v>
      </c>
      <c r="N695" t="n">
        <v>0</v>
      </c>
      <c r="O695" t="n">
        <v>0</v>
      </c>
      <c r="P695" t="n">
        <v>0</v>
      </c>
      <c r="Q695" t="n">
        <v>0</v>
      </c>
      <c r="R695" s="2" t="inlineStr"/>
    </row>
    <row r="696" ht="15" customHeight="1">
      <c r="A696" t="inlineStr">
        <is>
          <t>A 51883-2024</t>
        </is>
      </c>
      <c r="B696" s="1" t="n">
        <v>45607</v>
      </c>
      <c r="C696" s="1" t="n">
        <v>46134</v>
      </c>
      <c r="D696" t="inlineStr">
        <is>
          <t>DALARNAS LÄN</t>
        </is>
      </c>
      <c r="E696" t="inlineStr">
        <is>
          <t>MORA</t>
        </is>
      </c>
      <c r="G696" t="n">
        <v>0.2</v>
      </c>
      <c r="H696" t="n">
        <v>0</v>
      </c>
      <c r="I696" t="n">
        <v>0</v>
      </c>
      <c r="J696" t="n">
        <v>0</v>
      </c>
      <c r="K696" t="n">
        <v>0</v>
      </c>
      <c r="L696" t="n">
        <v>0</v>
      </c>
      <c r="M696" t="n">
        <v>0</v>
      </c>
      <c r="N696" t="n">
        <v>0</v>
      </c>
      <c r="O696" t="n">
        <v>0</v>
      </c>
      <c r="P696" t="n">
        <v>0</v>
      </c>
      <c r="Q696" t="n">
        <v>0</v>
      </c>
      <c r="R696" s="2" t="inlineStr"/>
    </row>
    <row r="697" ht="15" customHeight="1">
      <c r="A697" t="inlineStr">
        <is>
          <t>A 51888-2024</t>
        </is>
      </c>
      <c r="B697" s="1" t="n">
        <v>45607.57142361111</v>
      </c>
      <c r="C697" s="1" t="n">
        <v>46134</v>
      </c>
      <c r="D697" t="inlineStr">
        <is>
          <t>DALARNAS LÄN</t>
        </is>
      </c>
      <c r="E697" t="inlineStr">
        <is>
          <t>MORA</t>
        </is>
      </c>
      <c r="G697" t="n">
        <v>0.9</v>
      </c>
      <c r="H697" t="n">
        <v>0</v>
      </c>
      <c r="I697" t="n">
        <v>0</v>
      </c>
      <c r="J697" t="n">
        <v>0</v>
      </c>
      <c r="K697" t="n">
        <v>0</v>
      </c>
      <c r="L697" t="n">
        <v>0</v>
      </c>
      <c r="M697" t="n">
        <v>0</v>
      </c>
      <c r="N697" t="n">
        <v>0</v>
      </c>
      <c r="O697" t="n">
        <v>0</v>
      </c>
      <c r="P697" t="n">
        <v>0</v>
      </c>
      <c r="Q697" t="n">
        <v>0</v>
      </c>
      <c r="R697" s="2" t="inlineStr"/>
    </row>
    <row r="698" ht="15" customHeight="1">
      <c r="A698" t="inlineStr">
        <is>
          <t>A 12527-2026</t>
        </is>
      </c>
      <c r="B698" s="1" t="n">
        <v>46090</v>
      </c>
      <c r="C698" s="1" t="n">
        <v>46134</v>
      </c>
      <c r="D698" t="inlineStr">
        <is>
          <t>DALARNAS LÄN</t>
        </is>
      </c>
      <c r="E698" t="inlineStr">
        <is>
          <t>MORA</t>
        </is>
      </c>
      <c r="G698" t="n">
        <v>17.5</v>
      </c>
      <c r="H698" t="n">
        <v>0</v>
      </c>
      <c r="I698" t="n">
        <v>0</v>
      </c>
      <c r="J698" t="n">
        <v>0</v>
      </c>
      <c r="K698" t="n">
        <v>0</v>
      </c>
      <c r="L698" t="n">
        <v>0</v>
      </c>
      <c r="M698" t="n">
        <v>0</v>
      </c>
      <c r="N698" t="n">
        <v>0</v>
      </c>
      <c r="O698" t="n">
        <v>0</v>
      </c>
      <c r="P698" t="n">
        <v>0</v>
      </c>
      <c r="Q698" t="n">
        <v>0</v>
      </c>
      <c r="R698" s="2" t="inlineStr"/>
    </row>
    <row r="699" ht="15" customHeight="1">
      <c r="A699" t="inlineStr">
        <is>
          <t>A 12610-2026</t>
        </is>
      </c>
      <c r="B699" s="1" t="n">
        <v>46091.38306712963</v>
      </c>
      <c r="C699" s="1" t="n">
        <v>46134</v>
      </c>
      <c r="D699" t="inlineStr">
        <is>
          <t>DALARNAS LÄN</t>
        </is>
      </c>
      <c r="E699" t="inlineStr">
        <is>
          <t>MORA</t>
        </is>
      </c>
      <c r="G699" t="n">
        <v>8.1</v>
      </c>
      <c r="H699" t="n">
        <v>0</v>
      </c>
      <c r="I699" t="n">
        <v>0</v>
      </c>
      <c r="J699" t="n">
        <v>0</v>
      </c>
      <c r="K699" t="n">
        <v>0</v>
      </c>
      <c r="L699" t="n">
        <v>0</v>
      </c>
      <c r="M699" t="n">
        <v>0</v>
      </c>
      <c r="N699" t="n">
        <v>0</v>
      </c>
      <c r="O699" t="n">
        <v>0</v>
      </c>
      <c r="P699" t="n">
        <v>0</v>
      </c>
      <c r="Q699" t="n">
        <v>0</v>
      </c>
      <c r="R699" s="2" t="inlineStr"/>
    </row>
    <row r="700" ht="15" customHeight="1">
      <c r="A700" t="inlineStr">
        <is>
          <t>A 38627-2023</t>
        </is>
      </c>
      <c r="B700" s="1" t="n">
        <v>45162.68787037037</v>
      </c>
      <c r="C700" s="1" t="n">
        <v>46134</v>
      </c>
      <c r="D700" t="inlineStr">
        <is>
          <t>DALARNAS LÄN</t>
        </is>
      </c>
      <c r="E700" t="inlineStr">
        <is>
          <t>MORA</t>
        </is>
      </c>
      <c r="G700" t="n">
        <v>6.5</v>
      </c>
      <c r="H700" t="n">
        <v>0</v>
      </c>
      <c r="I700" t="n">
        <v>0</v>
      </c>
      <c r="J700" t="n">
        <v>0</v>
      </c>
      <c r="K700" t="n">
        <v>0</v>
      </c>
      <c r="L700" t="n">
        <v>0</v>
      </c>
      <c r="M700" t="n">
        <v>0</v>
      </c>
      <c r="N700" t="n">
        <v>0</v>
      </c>
      <c r="O700" t="n">
        <v>0</v>
      </c>
      <c r="P700" t="n">
        <v>0</v>
      </c>
      <c r="Q700" t="n">
        <v>0</v>
      </c>
      <c r="R700" s="2" t="inlineStr"/>
    </row>
    <row r="701" ht="15" customHeight="1">
      <c r="A701" t="inlineStr">
        <is>
          <t>A 16637-2025</t>
        </is>
      </c>
      <c r="B701" s="1" t="n">
        <v>45754.36738425926</v>
      </c>
      <c r="C701" s="1" t="n">
        <v>46134</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48570-2022</t>
        </is>
      </c>
      <c r="B702" s="1" t="n">
        <v>44859</v>
      </c>
      <c r="C702" s="1" t="n">
        <v>46134</v>
      </c>
      <c r="D702" t="inlineStr">
        <is>
          <t>DALARNAS LÄN</t>
        </is>
      </c>
      <c r="E702" t="inlineStr">
        <is>
          <t>MORA</t>
        </is>
      </c>
      <c r="G702" t="n">
        <v>6.2</v>
      </c>
      <c r="H702" t="n">
        <v>0</v>
      </c>
      <c r="I702" t="n">
        <v>0</v>
      </c>
      <c r="J702" t="n">
        <v>0</v>
      </c>
      <c r="K702" t="n">
        <v>0</v>
      </c>
      <c r="L702" t="n">
        <v>0</v>
      </c>
      <c r="M702" t="n">
        <v>0</v>
      </c>
      <c r="N702" t="n">
        <v>0</v>
      </c>
      <c r="O702" t="n">
        <v>0</v>
      </c>
      <c r="P702" t="n">
        <v>0</v>
      </c>
      <c r="Q702" t="n">
        <v>0</v>
      </c>
      <c r="R702" s="2" t="inlineStr"/>
    </row>
    <row r="703" ht="15" customHeight="1">
      <c r="A703" t="inlineStr">
        <is>
          <t>A 49991-2023</t>
        </is>
      </c>
      <c r="B703" s="1" t="n">
        <v>45215.43879629629</v>
      </c>
      <c r="C703" s="1" t="n">
        <v>46134</v>
      </c>
      <c r="D703" t="inlineStr">
        <is>
          <t>DALARNAS LÄN</t>
        </is>
      </c>
      <c r="E703" t="inlineStr">
        <is>
          <t>MORA</t>
        </is>
      </c>
      <c r="G703" t="n">
        <v>1.8</v>
      </c>
      <c r="H703" t="n">
        <v>0</v>
      </c>
      <c r="I703" t="n">
        <v>0</v>
      </c>
      <c r="J703" t="n">
        <v>0</v>
      </c>
      <c r="K703" t="n">
        <v>0</v>
      </c>
      <c r="L703" t="n">
        <v>0</v>
      </c>
      <c r="M703" t="n">
        <v>0</v>
      </c>
      <c r="N703" t="n">
        <v>0</v>
      </c>
      <c r="O703" t="n">
        <v>0</v>
      </c>
      <c r="P703" t="n">
        <v>0</v>
      </c>
      <c r="Q703" t="n">
        <v>0</v>
      </c>
      <c r="R703" s="2" t="inlineStr"/>
    </row>
    <row r="704" ht="15" customHeight="1">
      <c r="A704" t="inlineStr">
        <is>
          <t>A 20401-2022</t>
        </is>
      </c>
      <c r="B704" s="1" t="n">
        <v>44699</v>
      </c>
      <c r="C704" s="1" t="n">
        <v>46134</v>
      </c>
      <c r="D704" t="inlineStr">
        <is>
          <t>DALARNAS LÄN</t>
        </is>
      </c>
      <c r="E704" t="inlineStr">
        <is>
          <t>MORA</t>
        </is>
      </c>
      <c r="G704" t="n">
        <v>3.2</v>
      </c>
      <c r="H704" t="n">
        <v>0</v>
      </c>
      <c r="I704" t="n">
        <v>0</v>
      </c>
      <c r="J704" t="n">
        <v>0</v>
      </c>
      <c r="K704" t="n">
        <v>0</v>
      </c>
      <c r="L704" t="n">
        <v>0</v>
      </c>
      <c r="M704" t="n">
        <v>0</v>
      </c>
      <c r="N704" t="n">
        <v>0</v>
      </c>
      <c r="O704" t="n">
        <v>0</v>
      </c>
      <c r="P704" t="n">
        <v>0</v>
      </c>
      <c r="Q704" t="n">
        <v>0</v>
      </c>
      <c r="R704" s="2" t="inlineStr"/>
    </row>
    <row r="705" ht="15" customHeight="1">
      <c r="A705" t="inlineStr">
        <is>
          <t>A 18120-2025</t>
        </is>
      </c>
      <c r="B705" s="1" t="n">
        <v>45761</v>
      </c>
      <c r="C705" s="1" t="n">
        <v>46134</v>
      </c>
      <c r="D705" t="inlineStr">
        <is>
          <t>DALARNAS LÄN</t>
        </is>
      </c>
      <c r="E705" t="inlineStr">
        <is>
          <t>MORA</t>
        </is>
      </c>
      <c r="F705" t="inlineStr">
        <is>
          <t>Bergvik skog väst AB</t>
        </is>
      </c>
      <c r="G705" t="n">
        <v>6.4</v>
      </c>
      <c r="H705" t="n">
        <v>0</v>
      </c>
      <c r="I705" t="n">
        <v>0</v>
      </c>
      <c r="J705" t="n">
        <v>0</v>
      </c>
      <c r="K705" t="n">
        <v>0</v>
      </c>
      <c r="L705" t="n">
        <v>0</v>
      </c>
      <c r="M705" t="n">
        <v>0</v>
      </c>
      <c r="N705" t="n">
        <v>0</v>
      </c>
      <c r="O705" t="n">
        <v>0</v>
      </c>
      <c r="P705" t="n">
        <v>0</v>
      </c>
      <c r="Q705" t="n">
        <v>0</v>
      </c>
      <c r="R705" s="2" t="inlineStr"/>
    </row>
    <row r="706" ht="15" customHeight="1">
      <c r="A706" t="inlineStr">
        <is>
          <t>A 18127-2025</t>
        </is>
      </c>
      <c r="B706" s="1" t="n">
        <v>45761.59523148148</v>
      </c>
      <c r="C706" s="1" t="n">
        <v>46134</v>
      </c>
      <c r="D706" t="inlineStr">
        <is>
          <t>DALARNAS LÄN</t>
        </is>
      </c>
      <c r="E706" t="inlineStr">
        <is>
          <t>MORA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25887-2023</t>
        </is>
      </c>
      <c r="B707" s="1" t="n">
        <v>45090.62493055555</v>
      </c>
      <c r="C707" s="1" t="n">
        <v>46134</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20544-2025</t>
        </is>
      </c>
      <c r="B708" s="1" t="n">
        <v>45775.63119212963</v>
      </c>
      <c r="C708" s="1" t="n">
        <v>46134</v>
      </c>
      <c r="D708" t="inlineStr">
        <is>
          <t>DALARNAS LÄN</t>
        </is>
      </c>
      <c r="E708" t="inlineStr">
        <is>
          <t>MORA</t>
        </is>
      </c>
      <c r="G708" t="n">
        <v>3.6</v>
      </c>
      <c r="H708" t="n">
        <v>0</v>
      </c>
      <c r="I708" t="n">
        <v>0</v>
      </c>
      <c r="J708" t="n">
        <v>0</v>
      </c>
      <c r="K708" t="n">
        <v>0</v>
      </c>
      <c r="L708" t="n">
        <v>0</v>
      </c>
      <c r="M708" t="n">
        <v>0</v>
      </c>
      <c r="N708" t="n">
        <v>0</v>
      </c>
      <c r="O708" t="n">
        <v>0</v>
      </c>
      <c r="P708" t="n">
        <v>0</v>
      </c>
      <c r="Q708" t="n">
        <v>0</v>
      </c>
      <c r="R708" s="2" t="inlineStr"/>
    </row>
    <row r="709" ht="15" customHeight="1">
      <c r="A709" t="inlineStr">
        <is>
          <t>A 36740-2023</t>
        </is>
      </c>
      <c r="B709" s="1" t="n">
        <v>45153</v>
      </c>
      <c r="C709" s="1" t="n">
        <v>46134</v>
      </c>
      <c r="D709" t="inlineStr">
        <is>
          <t>DALARNAS LÄN</t>
        </is>
      </c>
      <c r="E709" t="inlineStr">
        <is>
          <t>MORA</t>
        </is>
      </c>
      <c r="G709" t="n">
        <v>0.2</v>
      </c>
      <c r="H709" t="n">
        <v>0</v>
      </c>
      <c r="I709" t="n">
        <v>0</v>
      </c>
      <c r="J709" t="n">
        <v>0</v>
      </c>
      <c r="K709" t="n">
        <v>0</v>
      </c>
      <c r="L709" t="n">
        <v>0</v>
      </c>
      <c r="M709" t="n">
        <v>0</v>
      </c>
      <c r="N709" t="n">
        <v>0</v>
      </c>
      <c r="O709" t="n">
        <v>0</v>
      </c>
      <c r="P709" t="n">
        <v>0</v>
      </c>
      <c r="Q709" t="n">
        <v>0</v>
      </c>
      <c r="R709" s="2" t="inlineStr"/>
    </row>
    <row r="710" ht="15" customHeight="1">
      <c r="A710" t="inlineStr">
        <is>
          <t>A 17393-2025</t>
        </is>
      </c>
      <c r="B710" s="1" t="n">
        <v>45757.34350694445</v>
      </c>
      <c r="C710" s="1" t="n">
        <v>46134</v>
      </c>
      <c r="D710" t="inlineStr">
        <is>
          <t>DALARNAS LÄN</t>
        </is>
      </c>
      <c r="E710" t="inlineStr">
        <is>
          <t>MORA</t>
        </is>
      </c>
      <c r="G710" t="n">
        <v>10.1</v>
      </c>
      <c r="H710" t="n">
        <v>0</v>
      </c>
      <c r="I710" t="n">
        <v>0</v>
      </c>
      <c r="J710" t="n">
        <v>0</v>
      </c>
      <c r="K710" t="n">
        <v>0</v>
      </c>
      <c r="L710" t="n">
        <v>0</v>
      </c>
      <c r="M710" t="n">
        <v>0</v>
      </c>
      <c r="N710" t="n">
        <v>0</v>
      </c>
      <c r="O710" t="n">
        <v>0</v>
      </c>
      <c r="P710" t="n">
        <v>0</v>
      </c>
      <c r="Q710" t="n">
        <v>0</v>
      </c>
      <c r="R710" s="2" t="inlineStr"/>
    </row>
    <row r="711" ht="15" customHeight="1">
      <c r="A711" t="inlineStr">
        <is>
          <t>A 14936-2025</t>
        </is>
      </c>
      <c r="B711" s="1" t="n">
        <v>45743.55756944444</v>
      </c>
      <c r="C711" s="1" t="n">
        <v>46134</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35381-2024</t>
        </is>
      </c>
      <c r="B712" s="1" t="n">
        <v>45531.38372685185</v>
      </c>
      <c r="C712" s="1" t="n">
        <v>46134</v>
      </c>
      <c r="D712" t="inlineStr">
        <is>
          <t>DALARNAS LÄN</t>
        </is>
      </c>
      <c r="E712" t="inlineStr">
        <is>
          <t>MORA</t>
        </is>
      </c>
      <c r="G712" t="n">
        <v>3.7</v>
      </c>
      <c r="H712" t="n">
        <v>0</v>
      </c>
      <c r="I712" t="n">
        <v>0</v>
      </c>
      <c r="J712" t="n">
        <v>0</v>
      </c>
      <c r="K712" t="n">
        <v>0</v>
      </c>
      <c r="L712" t="n">
        <v>0</v>
      </c>
      <c r="M712" t="n">
        <v>0</v>
      </c>
      <c r="N712" t="n">
        <v>0</v>
      </c>
      <c r="O712" t="n">
        <v>0</v>
      </c>
      <c r="P712" t="n">
        <v>0</v>
      </c>
      <c r="Q712" t="n">
        <v>0</v>
      </c>
      <c r="R712" s="2" t="inlineStr"/>
    </row>
    <row r="713" ht="15" customHeight="1">
      <c r="A713" t="inlineStr">
        <is>
          <t>A 15817-2024</t>
        </is>
      </c>
      <c r="B713" s="1" t="n">
        <v>45404.67387731482</v>
      </c>
      <c r="C713" s="1" t="n">
        <v>46134</v>
      </c>
      <c r="D713" t="inlineStr">
        <is>
          <t>DALARNAS LÄN</t>
        </is>
      </c>
      <c r="E713" t="inlineStr">
        <is>
          <t>MORA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46755-2023</t>
        </is>
      </c>
      <c r="B714" s="1" t="n">
        <v>45198.61314814815</v>
      </c>
      <c r="C714" s="1" t="n">
        <v>46134</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14378-2025</t>
        </is>
      </c>
      <c r="B715" s="1" t="n">
        <v>45741</v>
      </c>
      <c r="C715" s="1" t="n">
        <v>46134</v>
      </c>
      <c r="D715" t="inlineStr">
        <is>
          <t>DALARNAS LÄN</t>
        </is>
      </c>
      <c r="E715" t="inlineStr">
        <is>
          <t>MORA</t>
        </is>
      </c>
      <c r="G715" t="n">
        <v>5.2</v>
      </c>
      <c r="H715" t="n">
        <v>0</v>
      </c>
      <c r="I715" t="n">
        <v>0</v>
      </c>
      <c r="J715" t="n">
        <v>0</v>
      </c>
      <c r="K715" t="n">
        <v>0</v>
      </c>
      <c r="L715" t="n">
        <v>0</v>
      </c>
      <c r="M715" t="n">
        <v>0</v>
      </c>
      <c r="N715" t="n">
        <v>0</v>
      </c>
      <c r="O715" t="n">
        <v>0</v>
      </c>
      <c r="P715" t="n">
        <v>0</v>
      </c>
      <c r="Q715" t="n">
        <v>0</v>
      </c>
      <c r="R715" s="2" t="inlineStr"/>
    </row>
    <row r="716" ht="15" customHeight="1">
      <c r="A716" t="inlineStr">
        <is>
          <t>A 44177-2023</t>
        </is>
      </c>
      <c r="B716" s="1" t="n">
        <v>45188.51439814815</v>
      </c>
      <c r="C716" s="1" t="n">
        <v>46134</v>
      </c>
      <c r="D716" t="inlineStr">
        <is>
          <t>DALARNAS LÄN</t>
        </is>
      </c>
      <c r="E716" t="inlineStr">
        <is>
          <t>MORA</t>
        </is>
      </c>
      <c r="G716" t="n">
        <v>2</v>
      </c>
      <c r="H716" t="n">
        <v>0</v>
      </c>
      <c r="I716" t="n">
        <v>0</v>
      </c>
      <c r="J716" t="n">
        <v>0</v>
      </c>
      <c r="K716" t="n">
        <v>0</v>
      </c>
      <c r="L716" t="n">
        <v>0</v>
      </c>
      <c r="M716" t="n">
        <v>0</v>
      </c>
      <c r="N716" t="n">
        <v>0</v>
      </c>
      <c r="O716" t="n">
        <v>0</v>
      </c>
      <c r="P716" t="n">
        <v>0</v>
      </c>
      <c r="Q716" t="n">
        <v>0</v>
      </c>
      <c r="R716" s="2" t="inlineStr"/>
    </row>
    <row r="717" ht="15" customHeight="1">
      <c r="A717" t="inlineStr">
        <is>
          <t>A 44201-2023</t>
        </is>
      </c>
      <c r="B717" s="1" t="n">
        <v>45188</v>
      </c>
      <c r="C717" s="1" t="n">
        <v>46134</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55222-2023</t>
        </is>
      </c>
      <c r="B718" s="1" t="n">
        <v>45237.60775462963</v>
      </c>
      <c r="C718" s="1" t="n">
        <v>46134</v>
      </c>
      <c r="D718" t="inlineStr">
        <is>
          <t>DALARNAS LÄN</t>
        </is>
      </c>
      <c r="E718" t="inlineStr">
        <is>
          <t>MORA</t>
        </is>
      </c>
      <c r="F718" t="inlineStr">
        <is>
          <t>Allmännings- och besparingsskogar</t>
        </is>
      </c>
      <c r="G718" t="n">
        <v>19.8</v>
      </c>
      <c r="H718" t="n">
        <v>0</v>
      </c>
      <c r="I718" t="n">
        <v>0</v>
      </c>
      <c r="J718" t="n">
        <v>0</v>
      </c>
      <c r="K718" t="n">
        <v>0</v>
      </c>
      <c r="L718" t="n">
        <v>0</v>
      </c>
      <c r="M718" t="n">
        <v>0</v>
      </c>
      <c r="N718" t="n">
        <v>0</v>
      </c>
      <c r="O718" t="n">
        <v>0</v>
      </c>
      <c r="P718" t="n">
        <v>0</v>
      </c>
      <c r="Q718" t="n">
        <v>0</v>
      </c>
      <c r="R718" s="2" t="inlineStr"/>
    </row>
    <row r="719" ht="15" customHeight="1">
      <c r="A719" t="inlineStr">
        <is>
          <t>A 31177-2021</t>
        </is>
      </c>
      <c r="B719" s="1" t="n">
        <v>44368</v>
      </c>
      <c r="C719" s="1" t="n">
        <v>46134</v>
      </c>
      <c r="D719" t="inlineStr">
        <is>
          <t>DALARNAS LÄN</t>
        </is>
      </c>
      <c r="E719" t="inlineStr">
        <is>
          <t>MORA</t>
        </is>
      </c>
      <c r="G719" t="n">
        <v>1.6</v>
      </c>
      <c r="H719" t="n">
        <v>0</v>
      </c>
      <c r="I719" t="n">
        <v>0</v>
      </c>
      <c r="J719" t="n">
        <v>0</v>
      </c>
      <c r="K719" t="n">
        <v>0</v>
      </c>
      <c r="L719" t="n">
        <v>0</v>
      </c>
      <c r="M719" t="n">
        <v>0</v>
      </c>
      <c r="N719" t="n">
        <v>0</v>
      </c>
      <c r="O719" t="n">
        <v>0</v>
      </c>
      <c r="P719" t="n">
        <v>0</v>
      </c>
      <c r="Q719" t="n">
        <v>0</v>
      </c>
      <c r="R719" s="2" t="inlineStr"/>
    </row>
    <row r="720" ht="15" customHeight="1">
      <c r="A720" t="inlineStr">
        <is>
          <t>A 51570-2023</t>
        </is>
      </c>
      <c r="B720" s="1" t="n">
        <v>45222</v>
      </c>
      <c r="C720" s="1" t="n">
        <v>46134</v>
      </c>
      <c r="D720" t="inlineStr">
        <is>
          <t>DALARNAS LÄN</t>
        </is>
      </c>
      <c r="E720" t="inlineStr">
        <is>
          <t>MORA</t>
        </is>
      </c>
      <c r="G720" t="n">
        <v>10.1</v>
      </c>
      <c r="H720" t="n">
        <v>0</v>
      </c>
      <c r="I720" t="n">
        <v>0</v>
      </c>
      <c r="J720" t="n">
        <v>0</v>
      </c>
      <c r="K720" t="n">
        <v>0</v>
      </c>
      <c r="L720" t="n">
        <v>0</v>
      </c>
      <c r="M720" t="n">
        <v>0</v>
      </c>
      <c r="N720" t="n">
        <v>0</v>
      </c>
      <c r="O720" t="n">
        <v>0</v>
      </c>
      <c r="P720" t="n">
        <v>0</v>
      </c>
      <c r="Q720" t="n">
        <v>0</v>
      </c>
      <c r="R720" s="2" t="inlineStr"/>
    </row>
    <row r="721" ht="15" customHeight="1">
      <c r="A721" t="inlineStr">
        <is>
          <t>A 32261-2022</t>
        </is>
      </c>
      <c r="B721" s="1" t="n">
        <v>44781.5350925926</v>
      </c>
      <c r="C721" s="1" t="n">
        <v>46134</v>
      </c>
      <c r="D721" t="inlineStr">
        <is>
          <t>DALARNAS LÄN</t>
        </is>
      </c>
      <c r="E721" t="inlineStr">
        <is>
          <t>MORA</t>
        </is>
      </c>
      <c r="G721" t="n">
        <v>2.7</v>
      </c>
      <c r="H721" t="n">
        <v>0</v>
      </c>
      <c r="I721" t="n">
        <v>0</v>
      </c>
      <c r="J721" t="n">
        <v>0</v>
      </c>
      <c r="K721" t="n">
        <v>0</v>
      </c>
      <c r="L721" t="n">
        <v>0</v>
      </c>
      <c r="M721" t="n">
        <v>0</v>
      </c>
      <c r="N721" t="n">
        <v>0</v>
      </c>
      <c r="O721" t="n">
        <v>0</v>
      </c>
      <c r="P721" t="n">
        <v>0</v>
      </c>
      <c r="Q721" t="n">
        <v>0</v>
      </c>
      <c r="R721" s="2" t="inlineStr"/>
    </row>
    <row r="722" ht="15" customHeight="1">
      <c r="A722" t="inlineStr">
        <is>
          <t>A 48825-2023</t>
        </is>
      </c>
      <c r="B722" s="1" t="n">
        <v>45203</v>
      </c>
      <c r="C722" s="1" t="n">
        <v>46134</v>
      </c>
      <c r="D722" t="inlineStr">
        <is>
          <t>DALARNAS LÄN</t>
        </is>
      </c>
      <c r="E722" t="inlineStr">
        <is>
          <t>MORA</t>
        </is>
      </c>
      <c r="G722" t="n">
        <v>7.9</v>
      </c>
      <c r="H722" t="n">
        <v>0</v>
      </c>
      <c r="I722" t="n">
        <v>0</v>
      </c>
      <c r="J722" t="n">
        <v>0</v>
      </c>
      <c r="K722" t="n">
        <v>0</v>
      </c>
      <c r="L722" t="n">
        <v>0</v>
      </c>
      <c r="M722" t="n">
        <v>0</v>
      </c>
      <c r="N722" t="n">
        <v>0</v>
      </c>
      <c r="O722" t="n">
        <v>0</v>
      </c>
      <c r="P722" t="n">
        <v>0</v>
      </c>
      <c r="Q722" t="n">
        <v>0</v>
      </c>
      <c r="R722" s="2" t="inlineStr"/>
    </row>
    <row r="723" ht="15" customHeight="1">
      <c r="A723" t="inlineStr">
        <is>
          <t>A 18806-2025</t>
        </is>
      </c>
      <c r="B723" s="1" t="n">
        <v>45764.35269675926</v>
      </c>
      <c r="C723" s="1" t="n">
        <v>46134</v>
      </c>
      <c r="D723" t="inlineStr">
        <is>
          <t>DALARNAS LÄN</t>
        </is>
      </c>
      <c r="E723" t="inlineStr">
        <is>
          <t>MORA</t>
        </is>
      </c>
      <c r="G723" t="n">
        <v>1.7</v>
      </c>
      <c r="H723" t="n">
        <v>0</v>
      </c>
      <c r="I723" t="n">
        <v>0</v>
      </c>
      <c r="J723" t="n">
        <v>0</v>
      </c>
      <c r="K723" t="n">
        <v>0</v>
      </c>
      <c r="L723" t="n">
        <v>0</v>
      </c>
      <c r="M723" t="n">
        <v>0</v>
      </c>
      <c r="N723" t="n">
        <v>0</v>
      </c>
      <c r="O723" t="n">
        <v>0</v>
      </c>
      <c r="P723" t="n">
        <v>0</v>
      </c>
      <c r="Q723" t="n">
        <v>0</v>
      </c>
      <c r="R723" s="2" t="inlineStr"/>
    </row>
    <row r="724" ht="15" customHeight="1">
      <c r="A724" t="inlineStr">
        <is>
          <t>A 17163-2025</t>
        </is>
      </c>
      <c r="B724" s="1" t="n">
        <v>45756.35998842592</v>
      </c>
      <c r="C724" s="1" t="n">
        <v>46134</v>
      </c>
      <c r="D724" t="inlineStr">
        <is>
          <t>DALARNAS LÄN</t>
        </is>
      </c>
      <c r="E724" t="inlineStr">
        <is>
          <t>MORA</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10777-2025</t>
        </is>
      </c>
      <c r="B725" s="1" t="n">
        <v>45722.47743055555</v>
      </c>
      <c r="C725" s="1" t="n">
        <v>46134</v>
      </c>
      <c r="D725" t="inlineStr">
        <is>
          <t>DALARNAS LÄN</t>
        </is>
      </c>
      <c r="E725" t="inlineStr">
        <is>
          <t>MORA</t>
        </is>
      </c>
      <c r="G725" t="n">
        <v>9.9</v>
      </c>
      <c r="H725" t="n">
        <v>0</v>
      </c>
      <c r="I725" t="n">
        <v>0</v>
      </c>
      <c r="J725" t="n">
        <v>0</v>
      </c>
      <c r="K725" t="n">
        <v>0</v>
      </c>
      <c r="L725" t="n">
        <v>0</v>
      </c>
      <c r="M725" t="n">
        <v>0</v>
      </c>
      <c r="N725" t="n">
        <v>0</v>
      </c>
      <c r="O725" t="n">
        <v>0</v>
      </c>
      <c r="P725" t="n">
        <v>0</v>
      </c>
      <c r="Q725" t="n">
        <v>0</v>
      </c>
      <c r="R725" s="2" t="inlineStr"/>
    </row>
    <row r="726" ht="15" customHeight="1">
      <c r="A726" t="inlineStr">
        <is>
          <t>A 54253-2023</t>
        </is>
      </c>
      <c r="B726" s="1" t="n">
        <v>45232.63217592592</v>
      </c>
      <c r="C726" s="1" t="n">
        <v>46134</v>
      </c>
      <c r="D726" t="inlineStr">
        <is>
          <t>DALARNAS LÄN</t>
        </is>
      </c>
      <c r="E726" t="inlineStr">
        <is>
          <t>MORA</t>
        </is>
      </c>
      <c r="G726" t="n">
        <v>4.5</v>
      </c>
      <c r="H726" t="n">
        <v>0</v>
      </c>
      <c r="I726" t="n">
        <v>0</v>
      </c>
      <c r="J726" t="n">
        <v>0</v>
      </c>
      <c r="K726" t="n">
        <v>0</v>
      </c>
      <c r="L726" t="n">
        <v>0</v>
      </c>
      <c r="M726" t="n">
        <v>0</v>
      </c>
      <c r="N726" t="n">
        <v>0</v>
      </c>
      <c r="O726" t="n">
        <v>0</v>
      </c>
      <c r="P726" t="n">
        <v>0</v>
      </c>
      <c r="Q726" t="n">
        <v>0</v>
      </c>
      <c r="R726" s="2" t="inlineStr"/>
    </row>
    <row r="727" ht="15" customHeight="1">
      <c r="A727" t="inlineStr">
        <is>
          <t>A 44817-2023</t>
        </is>
      </c>
      <c r="B727" s="1" t="n">
        <v>45190.51887731482</v>
      </c>
      <c r="C727" s="1" t="n">
        <v>46134</v>
      </c>
      <c r="D727" t="inlineStr">
        <is>
          <t>DALARNAS LÄN</t>
        </is>
      </c>
      <c r="E727" t="inlineStr">
        <is>
          <t>MORA</t>
        </is>
      </c>
      <c r="G727" t="n">
        <v>1.6</v>
      </c>
      <c r="H727" t="n">
        <v>0</v>
      </c>
      <c r="I727" t="n">
        <v>0</v>
      </c>
      <c r="J727" t="n">
        <v>0</v>
      </c>
      <c r="K727" t="n">
        <v>0</v>
      </c>
      <c r="L727" t="n">
        <v>0</v>
      </c>
      <c r="M727" t="n">
        <v>0</v>
      </c>
      <c r="N727" t="n">
        <v>0</v>
      </c>
      <c r="O727" t="n">
        <v>0</v>
      </c>
      <c r="P727" t="n">
        <v>0</v>
      </c>
      <c r="Q727" t="n">
        <v>0</v>
      </c>
      <c r="R727" s="2" t="inlineStr"/>
    </row>
    <row r="728" ht="15" customHeight="1">
      <c r="A728" t="inlineStr">
        <is>
          <t>A 17865-2025</t>
        </is>
      </c>
      <c r="B728" s="1" t="n">
        <v>45758.62951388889</v>
      </c>
      <c r="C728" s="1" t="n">
        <v>46134</v>
      </c>
      <c r="D728" t="inlineStr">
        <is>
          <t>DALARNAS LÄN</t>
        </is>
      </c>
      <c r="E728" t="inlineStr">
        <is>
          <t>MORA</t>
        </is>
      </c>
      <c r="G728" t="n">
        <v>1.6</v>
      </c>
      <c r="H728" t="n">
        <v>0</v>
      </c>
      <c r="I728" t="n">
        <v>0</v>
      </c>
      <c r="J728" t="n">
        <v>0</v>
      </c>
      <c r="K728" t="n">
        <v>0</v>
      </c>
      <c r="L728" t="n">
        <v>0</v>
      </c>
      <c r="M728" t="n">
        <v>0</v>
      </c>
      <c r="N728" t="n">
        <v>0</v>
      </c>
      <c r="O728" t="n">
        <v>0</v>
      </c>
      <c r="P728" t="n">
        <v>0</v>
      </c>
      <c r="Q728" t="n">
        <v>0</v>
      </c>
      <c r="R728" s="2" t="inlineStr"/>
    </row>
    <row r="729" ht="15" customHeight="1">
      <c r="A729" t="inlineStr">
        <is>
          <t>A 17167-2025</t>
        </is>
      </c>
      <c r="B729" s="1" t="n">
        <v>45756.36844907407</v>
      </c>
      <c r="C729" s="1" t="n">
        <v>46134</v>
      </c>
      <c r="D729" t="inlineStr">
        <is>
          <t>DALARNAS LÄN</t>
        </is>
      </c>
      <c r="E729" t="inlineStr">
        <is>
          <t>MORA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17176-2025</t>
        </is>
      </c>
      <c r="B730" s="1" t="n">
        <v>45756.37520833333</v>
      </c>
      <c r="C730" s="1" t="n">
        <v>46134</v>
      </c>
      <c r="D730" t="inlineStr">
        <is>
          <t>DALARNAS LÄN</t>
        </is>
      </c>
      <c r="E730" t="inlineStr">
        <is>
          <t>MORA</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46134</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45245.64877314815</v>
      </c>
      <c r="C732" s="1" t="n">
        <v>46134</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62853-2023</t>
        </is>
      </c>
      <c r="B733" s="1" t="n">
        <v>45272</v>
      </c>
      <c r="C733" s="1" t="n">
        <v>46134</v>
      </c>
      <c r="D733" t="inlineStr">
        <is>
          <t>DALARNAS LÄN</t>
        </is>
      </c>
      <c r="E733" t="inlineStr">
        <is>
          <t>MORA</t>
        </is>
      </c>
      <c r="G733" t="n">
        <v>13.6</v>
      </c>
      <c r="H733" t="n">
        <v>0</v>
      </c>
      <c r="I733" t="n">
        <v>0</v>
      </c>
      <c r="J733" t="n">
        <v>0</v>
      </c>
      <c r="K733" t="n">
        <v>0</v>
      </c>
      <c r="L733" t="n">
        <v>0</v>
      </c>
      <c r="M733" t="n">
        <v>0</v>
      </c>
      <c r="N733" t="n">
        <v>0</v>
      </c>
      <c r="O733" t="n">
        <v>0</v>
      </c>
      <c r="P733" t="n">
        <v>0</v>
      </c>
      <c r="Q733" t="n">
        <v>0</v>
      </c>
      <c r="R733" s="2" t="inlineStr"/>
    </row>
    <row r="734" ht="15" customHeight="1">
      <c r="A734" t="inlineStr">
        <is>
          <t>A 43826-2022</t>
        </is>
      </c>
      <c r="B734" s="1" t="n">
        <v>44838</v>
      </c>
      <c r="C734" s="1" t="n">
        <v>46134</v>
      </c>
      <c r="D734" t="inlineStr">
        <is>
          <t>DALARNAS LÄN</t>
        </is>
      </c>
      <c r="E734" t="inlineStr">
        <is>
          <t>MORA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29754-2022</t>
        </is>
      </c>
      <c r="B735" s="1" t="n">
        <v>44755.59188657408</v>
      </c>
      <c r="C735" s="1" t="n">
        <v>46134</v>
      </c>
      <c r="D735" t="inlineStr">
        <is>
          <t>DALARNAS LÄN</t>
        </is>
      </c>
      <c r="E735" t="inlineStr">
        <is>
          <t>MORA</t>
        </is>
      </c>
      <c r="G735" t="n">
        <v>1.6</v>
      </c>
      <c r="H735" t="n">
        <v>0</v>
      </c>
      <c r="I735" t="n">
        <v>0</v>
      </c>
      <c r="J735" t="n">
        <v>0</v>
      </c>
      <c r="K735" t="n">
        <v>0</v>
      </c>
      <c r="L735" t="n">
        <v>0</v>
      </c>
      <c r="M735" t="n">
        <v>0</v>
      </c>
      <c r="N735" t="n">
        <v>0</v>
      </c>
      <c r="O735" t="n">
        <v>0</v>
      </c>
      <c r="P735" t="n">
        <v>0</v>
      </c>
      <c r="Q735" t="n">
        <v>0</v>
      </c>
      <c r="R735" s="2" t="inlineStr"/>
    </row>
    <row r="736" ht="15" customHeight="1">
      <c r="A736" t="inlineStr">
        <is>
          <t>A 36579-2022</t>
        </is>
      </c>
      <c r="B736" s="1" t="n">
        <v>44804.61636574074</v>
      </c>
      <c r="C736" s="1" t="n">
        <v>46134</v>
      </c>
      <c r="D736" t="inlineStr">
        <is>
          <t>DALARNAS LÄN</t>
        </is>
      </c>
      <c r="E736" t="inlineStr">
        <is>
          <t>MORA</t>
        </is>
      </c>
      <c r="G736" t="n">
        <v>2.3</v>
      </c>
      <c r="H736" t="n">
        <v>0</v>
      </c>
      <c r="I736" t="n">
        <v>0</v>
      </c>
      <c r="J736" t="n">
        <v>0</v>
      </c>
      <c r="K736" t="n">
        <v>0</v>
      </c>
      <c r="L736" t="n">
        <v>0</v>
      </c>
      <c r="M736" t="n">
        <v>0</v>
      </c>
      <c r="N736" t="n">
        <v>0</v>
      </c>
      <c r="O736" t="n">
        <v>0</v>
      </c>
      <c r="P736" t="n">
        <v>0</v>
      </c>
      <c r="Q736" t="n">
        <v>0</v>
      </c>
      <c r="R736" s="2" t="inlineStr"/>
    </row>
    <row r="737" ht="15" customHeight="1">
      <c r="A737" t="inlineStr">
        <is>
          <t>A 3531-2024</t>
        </is>
      </c>
      <c r="B737" s="1" t="n">
        <v>45320</v>
      </c>
      <c r="C737" s="1" t="n">
        <v>46134</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c r="U737">
        <f>HYPERLINK("https://klasma.github.io/Logging_2062/knärot/A 3531-2024 karta knärot.png", "A 3531-2024")</f>
        <v/>
      </c>
      <c r="V737">
        <f>HYPERLINK("https://klasma.github.io/Logging_2062/klagomål/A 3531-2024 FSC-klagomål.docx", "A 3531-2024")</f>
        <v/>
      </c>
      <c r="W737">
        <f>HYPERLINK("https://klasma.github.io/Logging_2062/klagomålsmail/A 3531-2024 FSC-klagomål mail.docx", "A 3531-2024")</f>
        <v/>
      </c>
      <c r="X737">
        <f>HYPERLINK("https://klasma.github.io/Logging_2062/tillsyn/A 3531-2024 tillsynsbegäran.docx", "A 3531-2024")</f>
        <v/>
      </c>
      <c r="Y737">
        <f>HYPERLINK("https://klasma.github.io/Logging_2062/tillsynsmail/A 3531-2024 tillsynsbegäran mail.docx", "A 3531-2024")</f>
        <v/>
      </c>
    </row>
    <row r="738" ht="15" customHeight="1">
      <c r="A738" t="inlineStr">
        <is>
          <t>A 39009-2023</t>
        </is>
      </c>
      <c r="B738" s="1" t="n">
        <v>45162</v>
      </c>
      <c r="C738" s="1" t="n">
        <v>46134</v>
      </c>
      <c r="D738" t="inlineStr">
        <is>
          <t>DALARNAS LÄN</t>
        </is>
      </c>
      <c r="E738" t="inlineStr">
        <is>
          <t>MORA</t>
        </is>
      </c>
      <c r="G738" t="n">
        <v>1.9</v>
      </c>
      <c r="H738" t="n">
        <v>0</v>
      </c>
      <c r="I738" t="n">
        <v>0</v>
      </c>
      <c r="J738" t="n">
        <v>0</v>
      </c>
      <c r="K738" t="n">
        <v>0</v>
      </c>
      <c r="L738" t="n">
        <v>0</v>
      </c>
      <c r="M738" t="n">
        <v>0</v>
      </c>
      <c r="N738" t="n">
        <v>0</v>
      </c>
      <c r="O738" t="n">
        <v>0</v>
      </c>
      <c r="P738" t="n">
        <v>0</v>
      </c>
      <c r="Q738" t="n">
        <v>0</v>
      </c>
      <c r="R738" s="2" t="inlineStr"/>
    </row>
    <row r="739" ht="15" customHeight="1">
      <c r="A739" t="inlineStr">
        <is>
          <t>A 44769-2021</t>
        </is>
      </c>
      <c r="B739" s="1" t="n">
        <v>44438</v>
      </c>
      <c r="C739" s="1" t="n">
        <v>46134</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28487-2024</t>
        </is>
      </c>
      <c r="B740" s="1" t="n">
        <v>45477.75744212963</v>
      </c>
      <c r="C740" s="1" t="n">
        <v>46134</v>
      </c>
      <c r="D740" t="inlineStr">
        <is>
          <t>DALARNAS LÄN</t>
        </is>
      </c>
      <c r="E740" t="inlineStr">
        <is>
          <t>MORA</t>
        </is>
      </c>
      <c r="G740" t="n">
        <v>3.1</v>
      </c>
      <c r="H740" t="n">
        <v>0</v>
      </c>
      <c r="I740" t="n">
        <v>0</v>
      </c>
      <c r="J740" t="n">
        <v>0</v>
      </c>
      <c r="K740" t="n">
        <v>0</v>
      </c>
      <c r="L740" t="n">
        <v>0</v>
      </c>
      <c r="M740" t="n">
        <v>0</v>
      </c>
      <c r="N740" t="n">
        <v>0</v>
      </c>
      <c r="O740" t="n">
        <v>0</v>
      </c>
      <c r="P740" t="n">
        <v>0</v>
      </c>
      <c r="Q740" t="n">
        <v>0</v>
      </c>
      <c r="R740" s="2" t="inlineStr"/>
    </row>
    <row r="741" ht="15" customHeight="1">
      <c r="A741" t="inlineStr">
        <is>
          <t>A 48728-2022</t>
        </is>
      </c>
      <c r="B741" s="1" t="n">
        <v>44859.52145833334</v>
      </c>
      <c r="C741" s="1" t="n">
        <v>46134</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46134</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60526-2023</t>
        </is>
      </c>
      <c r="B743" s="1" t="n">
        <v>45259</v>
      </c>
      <c r="C743" s="1" t="n">
        <v>46134</v>
      </c>
      <c r="D743" t="inlineStr">
        <is>
          <t>DALARNAS LÄN</t>
        </is>
      </c>
      <c r="E743" t="inlineStr">
        <is>
          <t>MORA</t>
        </is>
      </c>
      <c r="G743" t="n">
        <v>6.7</v>
      </c>
      <c r="H743" t="n">
        <v>0</v>
      </c>
      <c r="I743" t="n">
        <v>0</v>
      </c>
      <c r="J743" t="n">
        <v>0</v>
      </c>
      <c r="K743" t="n">
        <v>0</v>
      </c>
      <c r="L743" t="n">
        <v>0</v>
      </c>
      <c r="M743" t="n">
        <v>0</v>
      </c>
      <c r="N743" t="n">
        <v>0</v>
      </c>
      <c r="O743" t="n">
        <v>0</v>
      </c>
      <c r="P743" t="n">
        <v>0</v>
      </c>
      <c r="Q743" t="n">
        <v>0</v>
      </c>
      <c r="R743" s="2" t="inlineStr"/>
    </row>
    <row r="744" ht="15" customHeight="1">
      <c r="A744" t="inlineStr">
        <is>
          <t>A 52908-2023</t>
        </is>
      </c>
      <c r="B744" s="1" t="n">
        <v>45226.49950231481</v>
      </c>
      <c r="C744" s="1" t="n">
        <v>46134</v>
      </c>
      <c r="D744" t="inlineStr">
        <is>
          <t>DALARNAS LÄN</t>
        </is>
      </c>
      <c r="E744" t="inlineStr">
        <is>
          <t>MORA</t>
        </is>
      </c>
      <c r="G744" t="n">
        <v>3.3</v>
      </c>
      <c r="H744" t="n">
        <v>0</v>
      </c>
      <c r="I744" t="n">
        <v>0</v>
      </c>
      <c r="J744" t="n">
        <v>0</v>
      </c>
      <c r="K744" t="n">
        <v>0</v>
      </c>
      <c r="L744" t="n">
        <v>0</v>
      </c>
      <c r="M744" t="n">
        <v>0</v>
      </c>
      <c r="N744" t="n">
        <v>0</v>
      </c>
      <c r="O744" t="n">
        <v>0</v>
      </c>
      <c r="P744" t="n">
        <v>0</v>
      </c>
      <c r="Q744" t="n">
        <v>0</v>
      </c>
      <c r="R744" s="2" t="inlineStr"/>
    </row>
    <row r="745" ht="15" customHeight="1">
      <c r="A745" t="inlineStr">
        <is>
          <t>A 19896-2021</t>
        </is>
      </c>
      <c r="B745" s="1" t="n">
        <v>44313.54942129629</v>
      </c>
      <c r="C745" s="1" t="n">
        <v>46134</v>
      </c>
      <c r="D745" t="inlineStr">
        <is>
          <t>DALARNAS LÄN</t>
        </is>
      </c>
      <c r="E745" t="inlineStr">
        <is>
          <t>MORA</t>
        </is>
      </c>
      <c r="G745" t="n">
        <v>1.8</v>
      </c>
      <c r="H745" t="n">
        <v>0</v>
      </c>
      <c r="I745" t="n">
        <v>0</v>
      </c>
      <c r="J745" t="n">
        <v>0</v>
      </c>
      <c r="K745" t="n">
        <v>0</v>
      </c>
      <c r="L745" t="n">
        <v>0</v>
      </c>
      <c r="M745" t="n">
        <v>0</v>
      </c>
      <c r="N745" t="n">
        <v>0</v>
      </c>
      <c r="O745" t="n">
        <v>0</v>
      </c>
      <c r="P745" t="n">
        <v>0</v>
      </c>
      <c r="Q745" t="n">
        <v>0</v>
      </c>
      <c r="R745" s="2" t="inlineStr"/>
    </row>
    <row r="746" ht="15" customHeight="1">
      <c r="A746" t="inlineStr">
        <is>
          <t>A 51253-2023</t>
        </is>
      </c>
      <c r="B746" s="1" t="n">
        <v>45219</v>
      </c>
      <c r="C746" s="1" t="n">
        <v>46134</v>
      </c>
      <c r="D746" t="inlineStr">
        <is>
          <t>DALARNAS LÄN</t>
        </is>
      </c>
      <c r="E746" t="inlineStr">
        <is>
          <t>MORA</t>
        </is>
      </c>
      <c r="G746" t="n">
        <v>5</v>
      </c>
      <c r="H746" t="n">
        <v>0</v>
      </c>
      <c r="I746" t="n">
        <v>0</v>
      </c>
      <c r="J746" t="n">
        <v>0</v>
      </c>
      <c r="K746" t="n">
        <v>0</v>
      </c>
      <c r="L746" t="n">
        <v>0</v>
      </c>
      <c r="M746" t="n">
        <v>0</v>
      </c>
      <c r="N746" t="n">
        <v>0</v>
      </c>
      <c r="O746" t="n">
        <v>0</v>
      </c>
      <c r="P746" t="n">
        <v>0</v>
      </c>
      <c r="Q746" t="n">
        <v>0</v>
      </c>
      <c r="R746" s="2" t="inlineStr"/>
    </row>
    <row r="747" ht="15" customHeight="1">
      <c r="A747" t="inlineStr">
        <is>
          <t>A 58116-2022</t>
        </is>
      </c>
      <c r="B747" s="1" t="n">
        <v>44900.65716435185</v>
      </c>
      <c r="C747" s="1" t="n">
        <v>46134</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33666-2024</t>
        </is>
      </c>
      <c r="B748" s="1" t="n">
        <v>45520.48304398148</v>
      </c>
      <c r="C748" s="1" t="n">
        <v>46134</v>
      </c>
      <c r="D748" t="inlineStr">
        <is>
          <t>DALARNAS LÄN</t>
        </is>
      </c>
      <c r="E748" t="inlineStr">
        <is>
          <t>MORA</t>
        </is>
      </c>
      <c r="G748" t="n">
        <v>0.7</v>
      </c>
      <c r="H748" t="n">
        <v>0</v>
      </c>
      <c r="I748" t="n">
        <v>0</v>
      </c>
      <c r="J748" t="n">
        <v>0</v>
      </c>
      <c r="K748" t="n">
        <v>0</v>
      </c>
      <c r="L748" t="n">
        <v>0</v>
      </c>
      <c r="M748" t="n">
        <v>0</v>
      </c>
      <c r="N748" t="n">
        <v>0</v>
      </c>
      <c r="O748" t="n">
        <v>0</v>
      </c>
      <c r="P748" t="n">
        <v>0</v>
      </c>
      <c r="Q748" t="n">
        <v>0</v>
      </c>
      <c r="R748" s="2" t="inlineStr"/>
    </row>
    <row r="749" ht="15" customHeight="1">
      <c r="A749" t="inlineStr">
        <is>
          <t>A 42941-2024</t>
        </is>
      </c>
      <c r="B749" s="1" t="n">
        <v>45567.3515162037</v>
      </c>
      <c r="C749" s="1" t="n">
        <v>46134</v>
      </c>
      <c r="D749" t="inlineStr">
        <is>
          <t>DALARNAS LÄN</t>
        </is>
      </c>
      <c r="E749" t="inlineStr">
        <is>
          <t>MORA</t>
        </is>
      </c>
      <c r="G749" t="n">
        <v>1.6</v>
      </c>
      <c r="H749" t="n">
        <v>0</v>
      </c>
      <c r="I749" t="n">
        <v>0</v>
      </c>
      <c r="J749" t="n">
        <v>0</v>
      </c>
      <c r="K749" t="n">
        <v>0</v>
      </c>
      <c r="L749" t="n">
        <v>0</v>
      </c>
      <c r="M749" t="n">
        <v>0</v>
      </c>
      <c r="N749" t="n">
        <v>0</v>
      </c>
      <c r="O749" t="n">
        <v>0</v>
      </c>
      <c r="P749" t="n">
        <v>0</v>
      </c>
      <c r="Q749" t="n">
        <v>0</v>
      </c>
      <c r="R749" s="2" t="inlineStr"/>
    </row>
    <row r="750" ht="15" customHeight="1">
      <c r="A750" t="inlineStr">
        <is>
          <t>A 39674-2023</t>
        </is>
      </c>
      <c r="B750" s="1" t="n">
        <v>45167</v>
      </c>
      <c r="C750" s="1" t="n">
        <v>46134</v>
      </c>
      <c r="D750" t="inlineStr">
        <is>
          <t>DALARNAS LÄN</t>
        </is>
      </c>
      <c r="E750" t="inlineStr">
        <is>
          <t>MORA</t>
        </is>
      </c>
      <c r="G750" t="n">
        <v>2.4</v>
      </c>
      <c r="H750" t="n">
        <v>0</v>
      </c>
      <c r="I750" t="n">
        <v>0</v>
      </c>
      <c r="J750" t="n">
        <v>0</v>
      </c>
      <c r="K750" t="n">
        <v>0</v>
      </c>
      <c r="L750" t="n">
        <v>0</v>
      </c>
      <c r="M750" t="n">
        <v>0</v>
      </c>
      <c r="N750" t="n">
        <v>0</v>
      </c>
      <c r="O750" t="n">
        <v>0</v>
      </c>
      <c r="P750" t="n">
        <v>0</v>
      </c>
      <c r="Q750" t="n">
        <v>0</v>
      </c>
      <c r="R750" s="2" t="inlineStr"/>
    </row>
    <row r="751" ht="15" customHeight="1">
      <c r="A751" t="inlineStr">
        <is>
          <t>A 53341-2023</t>
        </is>
      </c>
      <c r="B751" s="1" t="n">
        <v>45229</v>
      </c>
      <c r="C751" s="1" t="n">
        <v>46134</v>
      </c>
      <c r="D751" t="inlineStr">
        <is>
          <t>DALARNAS LÄN</t>
        </is>
      </c>
      <c r="E751" t="inlineStr">
        <is>
          <t>MORA</t>
        </is>
      </c>
      <c r="G751" t="n">
        <v>2.1</v>
      </c>
      <c r="H751" t="n">
        <v>0</v>
      </c>
      <c r="I751" t="n">
        <v>0</v>
      </c>
      <c r="J751" t="n">
        <v>0</v>
      </c>
      <c r="K751" t="n">
        <v>0</v>
      </c>
      <c r="L751" t="n">
        <v>0</v>
      </c>
      <c r="M751" t="n">
        <v>0</v>
      </c>
      <c r="N751" t="n">
        <v>0</v>
      </c>
      <c r="O751" t="n">
        <v>0</v>
      </c>
      <c r="P751" t="n">
        <v>0</v>
      </c>
      <c r="Q751" t="n">
        <v>0</v>
      </c>
      <c r="R751" s="2" t="inlineStr"/>
    </row>
    <row r="752" ht="15" customHeight="1">
      <c r="A752" t="inlineStr">
        <is>
          <t>A 5001-2025</t>
        </is>
      </c>
      <c r="B752" s="1" t="n">
        <v>45691.36403935185</v>
      </c>
      <c r="C752" s="1" t="n">
        <v>46134</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54903-2024</t>
        </is>
      </c>
      <c r="B753" s="1" t="n">
        <v>45618</v>
      </c>
      <c r="C753" s="1" t="n">
        <v>46134</v>
      </c>
      <c r="D753" t="inlineStr">
        <is>
          <t>DALARNAS LÄN</t>
        </is>
      </c>
      <c r="E753" t="inlineStr">
        <is>
          <t>MORA</t>
        </is>
      </c>
      <c r="G753" t="n">
        <v>28.2</v>
      </c>
      <c r="H753" t="n">
        <v>0</v>
      </c>
      <c r="I753" t="n">
        <v>0</v>
      </c>
      <c r="J753" t="n">
        <v>0</v>
      </c>
      <c r="K753" t="n">
        <v>0</v>
      </c>
      <c r="L753" t="n">
        <v>0</v>
      </c>
      <c r="M753" t="n">
        <v>0</v>
      </c>
      <c r="N753" t="n">
        <v>0</v>
      </c>
      <c r="O753" t="n">
        <v>0</v>
      </c>
      <c r="P753" t="n">
        <v>0</v>
      </c>
      <c r="Q753" t="n">
        <v>0</v>
      </c>
      <c r="R753" s="2" t="inlineStr"/>
    </row>
    <row r="754" ht="15" customHeight="1">
      <c r="A754" t="inlineStr">
        <is>
          <t>A 14040-2023</t>
        </is>
      </c>
      <c r="B754" s="1" t="n">
        <v>45008.64575231481</v>
      </c>
      <c r="C754" s="1" t="n">
        <v>46134</v>
      </c>
      <c r="D754" t="inlineStr">
        <is>
          <t>DALARNAS LÄN</t>
        </is>
      </c>
      <c r="E754" t="inlineStr">
        <is>
          <t>MORA</t>
        </is>
      </c>
      <c r="G754" t="n">
        <v>1.3</v>
      </c>
      <c r="H754" t="n">
        <v>0</v>
      </c>
      <c r="I754" t="n">
        <v>0</v>
      </c>
      <c r="J754" t="n">
        <v>0</v>
      </c>
      <c r="K754" t="n">
        <v>0</v>
      </c>
      <c r="L754" t="n">
        <v>0</v>
      </c>
      <c r="M754" t="n">
        <v>0</v>
      </c>
      <c r="N754" t="n">
        <v>0</v>
      </c>
      <c r="O754" t="n">
        <v>0</v>
      </c>
      <c r="P754" t="n">
        <v>0</v>
      </c>
      <c r="Q754" t="n">
        <v>0</v>
      </c>
      <c r="R754" s="2" t="inlineStr"/>
    </row>
    <row r="755" ht="15" customHeight="1">
      <c r="A755" t="inlineStr">
        <is>
          <t>A 55331-2022</t>
        </is>
      </c>
      <c r="B755" s="1" t="n">
        <v>44887.43714120371</v>
      </c>
      <c r="C755" s="1" t="n">
        <v>46134</v>
      </c>
      <c r="D755" t="inlineStr">
        <is>
          <t>DALARNAS LÄN</t>
        </is>
      </c>
      <c r="E755" t="inlineStr">
        <is>
          <t>MORA</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45475-2023</t>
        </is>
      </c>
      <c r="B756" s="1" t="n">
        <v>45188</v>
      </c>
      <c r="C756" s="1" t="n">
        <v>46134</v>
      </c>
      <c r="D756" t="inlineStr">
        <is>
          <t>DALARNAS LÄN</t>
        </is>
      </c>
      <c r="E756" t="inlineStr">
        <is>
          <t>MORA</t>
        </is>
      </c>
      <c r="G756" t="n">
        <v>1.1</v>
      </c>
      <c r="H756" t="n">
        <v>0</v>
      </c>
      <c r="I756" t="n">
        <v>0</v>
      </c>
      <c r="J756" t="n">
        <v>0</v>
      </c>
      <c r="K756" t="n">
        <v>0</v>
      </c>
      <c r="L756" t="n">
        <v>0</v>
      </c>
      <c r="M756" t="n">
        <v>0</v>
      </c>
      <c r="N756" t="n">
        <v>0</v>
      </c>
      <c r="O756" t="n">
        <v>0</v>
      </c>
      <c r="P756" t="n">
        <v>0</v>
      </c>
      <c r="Q756" t="n">
        <v>0</v>
      </c>
      <c r="R756" s="2" t="inlineStr"/>
    </row>
    <row r="757" ht="15" customHeight="1">
      <c r="A757" t="inlineStr">
        <is>
          <t>A 11919-2024</t>
        </is>
      </c>
      <c r="B757" s="1" t="n">
        <v>45376.61019675926</v>
      </c>
      <c r="C757" s="1" t="n">
        <v>46134</v>
      </c>
      <c r="D757" t="inlineStr">
        <is>
          <t>DALARNAS LÄN</t>
        </is>
      </c>
      <c r="E757" t="inlineStr">
        <is>
          <t>MORA</t>
        </is>
      </c>
      <c r="G757" t="n">
        <v>3.5</v>
      </c>
      <c r="H757" t="n">
        <v>0</v>
      </c>
      <c r="I757" t="n">
        <v>0</v>
      </c>
      <c r="J757" t="n">
        <v>0</v>
      </c>
      <c r="K757" t="n">
        <v>0</v>
      </c>
      <c r="L757" t="n">
        <v>0</v>
      </c>
      <c r="M757" t="n">
        <v>0</v>
      </c>
      <c r="N757" t="n">
        <v>0</v>
      </c>
      <c r="O757" t="n">
        <v>0</v>
      </c>
      <c r="P757" t="n">
        <v>0</v>
      </c>
      <c r="Q757" t="n">
        <v>0</v>
      </c>
      <c r="R757" s="2" t="inlineStr"/>
    </row>
    <row r="758" ht="15" customHeight="1">
      <c r="A758" t="inlineStr">
        <is>
          <t>A 45315-2024</t>
        </is>
      </c>
      <c r="B758" s="1" t="n">
        <v>45576.43782407408</v>
      </c>
      <c r="C758" s="1" t="n">
        <v>46134</v>
      </c>
      <c r="D758" t="inlineStr">
        <is>
          <t>DALARNAS LÄN</t>
        </is>
      </c>
      <c r="E758" t="inlineStr">
        <is>
          <t>MORA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17529-2023</t>
        </is>
      </c>
      <c r="B759" s="1" t="n">
        <v>45036.46804398148</v>
      </c>
      <c r="C759" s="1" t="n">
        <v>46134</v>
      </c>
      <c r="D759" t="inlineStr">
        <is>
          <t>DALARNAS LÄN</t>
        </is>
      </c>
      <c r="E759" t="inlineStr">
        <is>
          <t>MORA</t>
        </is>
      </c>
      <c r="G759" t="n">
        <v>6</v>
      </c>
      <c r="H759" t="n">
        <v>0</v>
      </c>
      <c r="I759" t="n">
        <v>0</v>
      </c>
      <c r="J759" t="n">
        <v>0</v>
      </c>
      <c r="K759" t="n">
        <v>0</v>
      </c>
      <c r="L759" t="n">
        <v>0</v>
      </c>
      <c r="M759" t="n">
        <v>0</v>
      </c>
      <c r="N759" t="n">
        <v>0</v>
      </c>
      <c r="O759" t="n">
        <v>0</v>
      </c>
      <c r="P759" t="n">
        <v>0</v>
      </c>
      <c r="Q759" t="n">
        <v>0</v>
      </c>
      <c r="R759" s="2" t="inlineStr"/>
    </row>
    <row r="760" ht="15" customHeight="1">
      <c r="A760" t="inlineStr">
        <is>
          <t>A 4209-2023</t>
        </is>
      </c>
      <c r="B760" s="1" t="n">
        <v>44953</v>
      </c>
      <c r="C760" s="1" t="n">
        <v>46134</v>
      </c>
      <c r="D760" t="inlineStr">
        <is>
          <t>DALARNAS LÄN</t>
        </is>
      </c>
      <c r="E760" t="inlineStr">
        <is>
          <t>MORA</t>
        </is>
      </c>
      <c r="G760" t="n">
        <v>1</v>
      </c>
      <c r="H760" t="n">
        <v>0</v>
      </c>
      <c r="I760" t="n">
        <v>0</v>
      </c>
      <c r="J760" t="n">
        <v>0</v>
      </c>
      <c r="K760" t="n">
        <v>0</v>
      </c>
      <c r="L760" t="n">
        <v>0</v>
      </c>
      <c r="M760" t="n">
        <v>0</v>
      </c>
      <c r="N760" t="n">
        <v>0</v>
      </c>
      <c r="O760" t="n">
        <v>0</v>
      </c>
      <c r="P760" t="n">
        <v>0</v>
      </c>
      <c r="Q760" t="n">
        <v>0</v>
      </c>
      <c r="R760" s="2" t="inlineStr"/>
    </row>
    <row r="761" ht="15" customHeight="1">
      <c r="A761" t="inlineStr">
        <is>
          <t>A 39344-2024</t>
        </is>
      </c>
      <c r="B761" s="1" t="n">
        <v>45551.44503472222</v>
      </c>
      <c r="C761" s="1" t="n">
        <v>46134</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26314-2021</t>
        </is>
      </c>
      <c r="B762" s="1" t="n">
        <v>44347</v>
      </c>
      <c r="C762" s="1" t="n">
        <v>46134</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60051-2022</t>
        </is>
      </c>
      <c r="B763" s="1" t="n">
        <v>44909.52385416667</v>
      </c>
      <c r="C763" s="1" t="n">
        <v>46134</v>
      </c>
      <c r="D763" t="inlineStr">
        <is>
          <t>DALARNAS LÄN</t>
        </is>
      </c>
      <c r="E763" t="inlineStr">
        <is>
          <t>MORA</t>
        </is>
      </c>
      <c r="G763" t="n">
        <v>0.9</v>
      </c>
      <c r="H763" t="n">
        <v>0</v>
      </c>
      <c r="I763" t="n">
        <v>0</v>
      </c>
      <c r="J763" t="n">
        <v>0</v>
      </c>
      <c r="K763" t="n">
        <v>0</v>
      </c>
      <c r="L763" t="n">
        <v>0</v>
      </c>
      <c r="M763" t="n">
        <v>0</v>
      </c>
      <c r="N763" t="n">
        <v>0</v>
      </c>
      <c r="O763" t="n">
        <v>0</v>
      </c>
      <c r="P763" t="n">
        <v>0</v>
      </c>
      <c r="Q763" t="n">
        <v>0</v>
      </c>
      <c r="R763" s="2" t="inlineStr"/>
    </row>
    <row r="764" ht="15" customHeight="1">
      <c r="A764" t="inlineStr">
        <is>
          <t>A 48390-2024</t>
        </is>
      </c>
      <c r="B764" s="1" t="n">
        <v>45590.60216435185</v>
      </c>
      <c r="C764" s="1" t="n">
        <v>46134</v>
      </c>
      <c r="D764" t="inlineStr">
        <is>
          <t>DALARNAS LÄN</t>
        </is>
      </c>
      <c r="E764" t="inlineStr">
        <is>
          <t>MORA</t>
        </is>
      </c>
      <c r="G764" t="n">
        <v>5</v>
      </c>
      <c r="H764" t="n">
        <v>0</v>
      </c>
      <c r="I764" t="n">
        <v>0</v>
      </c>
      <c r="J764" t="n">
        <v>0</v>
      </c>
      <c r="K764" t="n">
        <v>0</v>
      </c>
      <c r="L764" t="n">
        <v>0</v>
      </c>
      <c r="M764" t="n">
        <v>0</v>
      </c>
      <c r="N764" t="n">
        <v>0</v>
      </c>
      <c r="O764" t="n">
        <v>0</v>
      </c>
      <c r="P764" t="n">
        <v>0</v>
      </c>
      <c r="Q764" t="n">
        <v>0</v>
      </c>
      <c r="R764" s="2" t="inlineStr"/>
    </row>
    <row r="765" ht="15" customHeight="1">
      <c r="A765" t="inlineStr">
        <is>
          <t>A 55671-2024</t>
        </is>
      </c>
      <c r="B765" s="1" t="n">
        <v>45622.65269675926</v>
      </c>
      <c r="C765" s="1" t="n">
        <v>46134</v>
      </c>
      <c r="D765" t="inlineStr">
        <is>
          <t>DALARNAS LÄN</t>
        </is>
      </c>
      <c r="E765" t="inlineStr">
        <is>
          <t>MORA</t>
        </is>
      </c>
      <c r="G765" t="n">
        <v>1.2</v>
      </c>
      <c r="H765" t="n">
        <v>0</v>
      </c>
      <c r="I765" t="n">
        <v>0</v>
      </c>
      <c r="J765" t="n">
        <v>0</v>
      </c>
      <c r="K765" t="n">
        <v>0</v>
      </c>
      <c r="L765" t="n">
        <v>0</v>
      </c>
      <c r="M765" t="n">
        <v>0</v>
      </c>
      <c r="N765" t="n">
        <v>0</v>
      </c>
      <c r="O765" t="n">
        <v>0</v>
      </c>
      <c r="P765" t="n">
        <v>0</v>
      </c>
      <c r="Q765" t="n">
        <v>0</v>
      </c>
      <c r="R765" s="2" t="inlineStr"/>
    </row>
    <row r="766" ht="15" customHeight="1">
      <c r="A766" t="inlineStr">
        <is>
          <t>A 4208-2023</t>
        </is>
      </c>
      <c r="B766" s="1" t="n">
        <v>44953</v>
      </c>
      <c r="C766" s="1" t="n">
        <v>46134</v>
      </c>
      <c r="D766" t="inlineStr">
        <is>
          <t>DALARNAS LÄN</t>
        </is>
      </c>
      <c r="E766" t="inlineStr">
        <is>
          <t>MORA</t>
        </is>
      </c>
      <c r="G766" t="n">
        <v>2.4</v>
      </c>
      <c r="H766" t="n">
        <v>0</v>
      </c>
      <c r="I766" t="n">
        <v>0</v>
      </c>
      <c r="J766" t="n">
        <v>0</v>
      </c>
      <c r="K766" t="n">
        <v>0</v>
      </c>
      <c r="L766" t="n">
        <v>0</v>
      </c>
      <c r="M766" t="n">
        <v>0</v>
      </c>
      <c r="N766" t="n">
        <v>0</v>
      </c>
      <c r="O766" t="n">
        <v>0</v>
      </c>
      <c r="P766" t="n">
        <v>0</v>
      </c>
      <c r="Q766" t="n">
        <v>0</v>
      </c>
      <c r="R766" s="2" t="inlineStr"/>
    </row>
    <row r="767" ht="15" customHeight="1">
      <c r="A767" t="inlineStr">
        <is>
          <t>A 4210-2023</t>
        </is>
      </c>
      <c r="B767" s="1" t="n">
        <v>44953.44965277778</v>
      </c>
      <c r="C767" s="1" t="n">
        <v>46134</v>
      </c>
      <c r="D767" t="inlineStr">
        <is>
          <t>DALARNAS LÄN</t>
        </is>
      </c>
      <c r="E767" t="inlineStr">
        <is>
          <t>MORA</t>
        </is>
      </c>
      <c r="G767" t="n">
        <v>0.9</v>
      </c>
      <c r="H767" t="n">
        <v>0</v>
      </c>
      <c r="I767" t="n">
        <v>0</v>
      </c>
      <c r="J767" t="n">
        <v>0</v>
      </c>
      <c r="K767" t="n">
        <v>0</v>
      </c>
      <c r="L767" t="n">
        <v>0</v>
      </c>
      <c r="M767" t="n">
        <v>0</v>
      </c>
      <c r="N767" t="n">
        <v>0</v>
      </c>
      <c r="O767" t="n">
        <v>0</v>
      </c>
      <c r="P767" t="n">
        <v>0</v>
      </c>
      <c r="Q767" t="n">
        <v>0</v>
      </c>
      <c r="R767" s="2" t="inlineStr"/>
    </row>
    <row r="768" ht="15" customHeight="1">
      <c r="A768" t="inlineStr">
        <is>
          <t>A 5491-2023</t>
        </is>
      </c>
      <c r="B768" s="1" t="n">
        <v>44957</v>
      </c>
      <c r="C768" s="1" t="n">
        <v>46134</v>
      </c>
      <c r="D768" t="inlineStr">
        <is>
          <t>DALARNAS LÄN</t>
        </is>
      </c>
      <c r="E768" t="inlineStr">
        <is>
          <t>MORA</t>
        </is>
      </c>
      <c r="G768" t="n">
        <v>3.5</v>
      </c>
      <c r="H768" t="n">
        <v>0</v>
      </c>
      <c r="I768" t="n">
        <v>0</v>
      </c>
      <c r="J768" t="n">
        <v>0</v>
      </c>
      <c r="K768" t="n">
        <v>0</v>
      </c>
      <c r="L768" t="n">
        <v>0</v>
      </c>
      <c r="M768" t="n">
        <v>0</v>
      </c>
      <c r="N768" t="n">
        <v>0</v>
      </c>
      <c r="O768" t="n">
        <v>0</v>
      </c>
      <c r="P768" t="n">
        <v>0</v>
      </c>
      <c r="Q768" t="n">
        <v>0</v>
      </c>
      <c r="R768" s="2" t="inlineStr"/>
    </row>
    <row r="769" ht="15" customHeight="1">
      <c r="A769" t="inlineStr">
        <is>
          <t>A 5493-2023</t>
        </is>
      </c>
      <c r="B769" s="1" t="n">
        <v>44957</v>
      </c>
      <c r="C769" s="1" t="n">
        <v>46134</v>
      </c>
      <c r="D769" t="inlineStr">
        <is>
          <t>DALARNAS LÄN</t>
        </is>
      </c>
      <c r="E769" t="inlineStr">
        <is>
          <t>MORA</t>
        </is>
      </c>
      <c r="F769" t="inlineStr">
        <is>
          <t>Allmännings- och besparingsskogar</t>
        </is>
      </c>
      <c r="G769" t="n">
        <v>14.9</v>
      </c>
      <c r="H769" t="n">
        <v>0</v>
      </c>
      <c r="I769" t="n">
        <v>0</v>
      </c>
      <c r="J769" t="n">
        <v>0</v>
      </c>
      <c r="K769" t="n">
        <v>0</v>
      </c>
      <c r="L769" t="n">
        <v>0</v>
      </c>
      <c r="M769" t="n">
        <v>0</v>
      </c>
      <c r="N769" t="n">
        <v>0</v>
      </c>
      <c r="O769" t="n">
        <v>0</v>
      </c>
      <c r="P769" t="n">
        <v>0</v>
      </c>
      <c r="Q769" t="n">
        <v>0</v>
      </c>
      <c r="R769" s="2" t="inlineStr"/>
    </row>
    <row r="770" ht="15" customHeight="1">
      <c r="A770" t="inlineStr">
        <is>
          <t>A 9554-2025</t>
        </is>
      </c>
      <c r="B770" s="1" t="n">
        <v>45715.59936342593</v>
      </c>
      <c r="C770" s="1" t="n">
        <v>46134</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11463-2024</t>
        </is>
      </c>
      <c r="B771" s="1" t="n">
        <v>45372.58969907407</v>
      </c>
      <c r="C771" s="1" t="n">
        <v>46134</v>
      </c>
      <c r="D771" t="inlineStr">
        <is>
          <t>DALARNAS LÄN</t>
        </is>
      </c>
      <c r="E771" t="inlineStr">
        <is>
          <t>MORA</t>
        </is>
      </c>
      <c r="F771" t="inlineStr">
        <is>
          <t>Bergvik skog väst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27975-2023</t>
        </is>
      </c>
      <c r="B772" s="1" t="n">
        <v>45098</v>
      </c>
      <c r="C772" s="1" t="n">
        <v>46134</v>
      </c>
      <c r="D772" t="inlineStr">
        <is>
          <t>DALARNAS LÄN</t>
        </is>
      </c>
      <c r="E772" t="inlineStr">
        <is>
          <t>MORA</t>
        </is>
      </c>
      <c r="G772" t="n">
        <v>1.1</v>
      </c>
      <c r="H772" t="n">
        <v>0</v>
      </c>
      <c r="I772" t="n">
        <v>0</v>
      </c>
      <c r="J772" t="n">
        <v>0</v>
      </c>
      <c r="K772" t="n">
        <v>0</v>
      </c>
      <c r="L772" t="n">
        <v>0</v>
      </c>
      <c r="M772" t="n">
        <v>0</v>
      </c>
      <c r="N772" t="n">
        <v>0</v>
      </c>
      <c r="O772" t="n">
        <v>0</v>
      </c>
      <c r="P772" t="n">
        <v>0</v>
      </c>
      <c r="Q772" t="n">
        <v>0</v>
      </c>
      <c r="R772" s="2" t="inlineStr"/>
    </row>
    <row r="773" ht="15" customHeight="1">
      <c r="A773" t="inlineStr">
        <is>
          <t>A 5769-2025</t>
        </is>
      </c>
      <c r="B773" s="1" t="n">
        <v>45694.59288194445</v>
      </c>
      <c r="C773" s="1" t="n">
        <v>46134</v>
      </c>
      <c r="D773" t="inlineStr">
        <is>
          <t>DALARNAS LÄN</t>
        </is>
      </c>
      <c r="E773" t="inlineStr">
        <is>
          <t>MORA</t>
        </is>
      </c>
      <c r="G773" t="n">
        <v>15.7</v>
      </c>
      <c r="H773" t="n">
        <v>0</v>
      </c>
      <c r="I773" t="n">
        <v>0</v>
      </c>
      <c r="J773" t="n">
        <v>0</v>
      </c>
      <c r="K773" t="n">
        <v>0</v>
      </c>
      <c r="L773" t="n">
        <v>0</v>
      </c>
      <c r="M773" t="n">
        <v>0</v>
      </c>
      <c r="N773" t="n">
        <v>0</v>
      </c>
      <c r="O773" t="n">
        <v>0</v>
      </c>
      <c r="P773" t="n">
        <v>0</v>
      </c>
      <c r="Q773" t="n">
        <v>0</v>
      </c>
      <c r="R773" s="2" t="inlineStr"/>
    </row>
    <row r="774" ht="15" customHeight="1">
      <c r="A774" t="inlineStr">
        <is>
          <t>A 59101-2024</t>
        </is>
      </c>
      <c r="B774" s="1" t="n">
        <v>45637.34074074074</v>
      </c>
      <c r="C774" s="1" t="n">
        <v>46134</v>
      </c>
      <c r="D774" t="inlineStr">
        <is>
          <t>DALARNAS LÄN</t>
        </is>
      </c>
      <c r="E774" t="inlineStr">
        <is>
          <t>MORA</t>
        </is>
      </c>
      <c r="F774" t="inlineStr">
        <is>
          <t>Allmännings- och besparingsskogar</t>
        </is>
      </c>
      <c r="G774" t="n">
        <v>1.2</v>
      </c>
      <c r="H774" t="n">
        <v>0</v>
      </c>
      <c r="I774" t="n">
        <v>0</v>
      </c>
      <c r="J774" t="n">
        <v>0</v>
      </c>
      <c r="K774" t="n">
        <v>0</v>
      </c>
      <c r="L774" t="n">
        <v>0</v>
      </c>
      <c r="M774" t="n">
        <v>0</v>
      </c>
      <c r="N774" t="n">
        <v>0</v>
      </c>
      <c r="O774" t="n">
        <v>0</v>
      </c>
      <c r="P774" t="n">
        <v>0</v>
      </c>
      <c r="Q774" t="n">
        <v>0</v>
      </c>
      <c r="R774" s="2" t="inlineStr"/>
    </row>
    <row r="775" ht="15" customHeight="1">
      <c r="A775" t="inlineStr">
        <is>
          <t>A 43874-2024</t>
        </is>
      </c>
      <c r="B775" s="1" t="n">
        <v>45572.38476851852</v>
      </c>
      <c r="C775" s="1" t="n">
        <v>46134</v>
      </c>
      <c r="D775" t="inlineStr">
        <is>
          <t>DALARNAS LÄN</t>
        </is>
      </c>
      <c r="E775" t="inlineStr">
        <is>
          <t>MORA</t>
        </is>
      </c>
      <c r="G775" t="n">
        <v>3.6</v>
      </c>
      <c r="H775" t="n">
        <v>0</v>
      </c>
      <c r="I775" t="n">
        <v>0</v>
      </c>
      <c r="J775" t="n">
        <v>0</v>
      </c>
      <c r="K775" t="n">
        <v>0</v>
      </c>
      <c r="L775" t="n">
        <v>0</v>
      </c>
      <c r="M775" t="n">
        <v>0</v>
      </c>
      <c r="N775" t="n">
        <v>0</v>
      </c>
      <c r="O775" t="n">
        <v>0</v>
      </c>
      <c r="P775" t="n">
        <v>0</v>
      </c>
      <c r="Q775" t="n">
        <v>0</v>
      </c>
      <c r="R775" s="2" t="inlineStr"/>
    </row>
    <row r="776" ht="15" customHeight="1">
      <c r="A776" t="inlineStr">
        <is>
          <t>A 57903-2022</t>
        </is>
      </c>
      <c r="B776" s="1" t="n">
        <v>44900.3521412037</v>
      </c>
      <c r="C776" s="1" t="n">
        <v>46134</v>
      </c>
      <c r="D776" t="inlineStr">
        <is>
          <t>DALARNAS LÄN</t>
        </is>
      </c>
      <c r="E776" t="inlineStr">
        <is>
          <t>MORA</t>
        </is>
      </c>
      <c r="G776" t="n">
        <v>4.3</v>
      </c>
      <c r="H776" t="n">
        <v>0</v>
      </c>
      <c r="I776" t="n">
        <v>0</v>
      </c>
      <c r="J776" t="n">
        <v>0</v>
      </c>
      <c r="K776" t="n">
        <v>0</v>
      </c>
      <c r="L776" t="n">
        <v>0</v>
      </c>
      <c r="M776" t="n">
        <v>0</v>
      </c>
      <c r="N776" t="n">
        <v>0</v>
      </c>
      <c r="O776" t="n">
        <v>0</v>
      </c>
      <c r="P776" t="n">
        <v>0</v>
      </c>
      <c r="Q776" t="n">
        <v>0</v>
      </c>
      <c r="R776" s="2" t="inlineStr"/>
    </row>
    <row r="777" ht="15" customHeight="1">
      <c r="A777" t="inlineStr">
        <is>
          <t>A 24169-2022</t>
        </is>
      </c>
      <c r="B777" s="1" t="n">
        <v>44725.50280092593</v>
      </c>
      <c r="C777" s="1" t="n">
        <v>46134</v>
      </c>
      <c r="D777" t="inlineStr">
        <is>
          <t>DALARNAS LÄN</t>
        </is>
      </c>
      <c r="E777" t="inlineStr">
        <is>
          <t>MORA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65186-2021</t>
        </is>
      </c>
      <c r="B778" s="1" t="n">
        <v>44515</v>
      </c>
      <c r="C778" s="1" t="n">
        <v>46134</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58892-2023</t>
        </is>
      </c>
      <c r="B779" s="1" t="n">
        <v>45252.48592592592</v>
      </c>
      <c r="C779" s="1" t="n">
        <v>46134</v>
      </c>
      <c r="D779" t="inlineStr">
        <is>
          <t>DALARNAS LÄN</t>
        </is>
      </c>
      <c r="E779" t="inlineStr">
        <is>
          <t>MORA</t>
        </is>
      </c>
      <c r="G779" t="n">
        <v>2.2</v>
      </c>
      <c r="H779" t="n">
        <v>0</v>
      </c>
      <c r="I779" t="n">
        <v>0</v>
      </c>
      <c r="J779" t="n">
        <v>0</v>
      </c>
      <c r="K779" t="n">
        <v>0</v>
      </c>
      <c r="L779" t="n">
        <v>0</v>
      </c>
      <c r="M779" t="n">
        <v>0</v>
      </c>
      <c r="N779" t="n">
        <v>0</v>
      </c>
      <c r="O779" t="n">
        <v>0</v>
      </c>
      <c r="P779" t="n">
        <v>0</v>
      </c>
      <c r="Q779" t="n">
        <v>0</v>
      </c>
      <c r="R779" s="2" t="inlineStr"/>
    </row>
    <row r="780" ht="15" customHeight="1">
      <c r="A780" t="inlineStr">
        <is>
          <t>A 11442-2022</t>
        </is>
      </c>
      <c r="B780" s="1" t="n">
        <v>44630.62788194444</v>
      </c>
      <c r="C780" s="1" t="n">
        <v>46134</v>
      </c>
      <c r="D780" t="inlineStr">
        <is>
          <t>DALARNAS LÄN</t>
        </is>
      </c>
      <c r="E780" t="inlineStr">
        <is>
          <t>MORA</t>
        </is>
      </c>
      <c r="G780" t="n">
        <v>0.5</v>
      </c>
      <c r="H780" t="n">
        <v>0</v>
      </c>
      <c r="I780" t="n">
        <v>0</v>
      </c>
      <c r="J780" t="n">
        <v>0</v>
      </c>
      <c r="K780" t="n">
        <v>0</v>
      </c>
      <c r="L780" t="n">
        <v>0</v>
      </c>
      <c r="M780" t="n">
        <v>0</v>
      </c>
      <c r="N780" t="n">
        <v>0</v>
      </c>
      <c r="O780" t="n">
        <v>0</v>
      </c>
      <c r="P780" t="n">
        <v>0</v>
      </c>
      <c r="Q780" t="n">
        <v>0</v>
      </c>
      <c r="R780" s="2" t="inlineStr"/>
    </row>
    <row r="781" ht="15" customHeight="1">
      <c r="A781" t="inlineStr">
        <is>
          <t>A 6183-2024</t>
        </is>
      </c>
      <c r="B781" s="1" t="n">
        <v>45337.54135416666</v>
      </c>
      <c r="C781" s="1" t="n">
        <v>46134</v>
      </c>
      <c r="D781" t="inlineStr">
        <is>
          <t>DALARNAS LÄN</t>
        </is>
      </c>
      <c r="E781" t="inlineStr">
        <is>
          <t>MORA</t>
        </is>
      </c>
      <c r="G781" t="n">
        <v>7.9</v>
      </c>
      <c r="H781" t="n">
        <v>0</v>
      </c>
      <c r="I781" t="n">
        <v>0</v>
      </c>
      <c r="J781" t="n">
        <v>0</v>
      </c>
      <c r="K781" t="n">
        <v>0</v>
      </c>
      <c r="L781" t="n">
        <v>0</v>
      </c>
      <c r="M781" t="n">
        <v>0</v>
      </c>
      <c r="N781" t="n">
        <v>0</v>
      </c>
      <c r="O781" t="n">
        <v>0</v>
      </c>
      <c r="P781" t="n">
        <v>0</v>
      </c>
      <c r="Q781" t="n">
        <v>0</v>
      </c>
      <c r="R781" s="2" t="inlineStr"/>
    </row>
    <row r="782" ht="15" customHeight="1">
      <c r="A782" t="inlineStr">
        <is>
          <t>A 45562-2023</t>
        </is>
      </c>
      <c r="B782" s="1" t="n">
        <v>45194.59378472222</v>
      </c>
      <c r="C782" s="1" t="n">
        <v>46134</v>
      </c>
      <c r="D782" t="inlineStr">
        <is>
          <t>DALARNAS LÄN</t>
        </is>
      </c>
      <c r="E782" t="inlineStr">
        <is>
          <t>MORA</t>
        </is>
      </c>
      <c r="G782" t="n">
        <v>0.7</v>
      </c>
      <c r="H782" t="n">
        <v>0</v>
      </c>
      <c r="I782" t="n">
        <v>0</v>
      </c>
      <c r="J782" t="n">
        <v>0</v>
      </c>
      <c r="K782" t="n">
        <v>0</v>
      </c>
      <c r="L782" t="n">
        <v>0</v>
      </c>
      <c r="M782" t="n">
        <v>0</v>
      </c>
      <c r="N782" t="n">
        <v>0</v>
      </c>
      <c r="O782" t="n">
        <v>0</v>
      </c>
      <c r="P782" t="n">
        <v>0</v>
      </c>
      <c r="Q782" t="n">
        <v>0</v>
      </c>
      <c r="R782" s="2" t="inlineStr"/>
    </row>
    <row r="783" ht="15" customHeight="1">
      <c r="A783" t="inlineStr">
        <is>
          <t>A 35551-2023</t>
        </is>
      </c>
      <c r="B783" s="1" t="n">
        <v>45147.3934837963</v>
      </c>
      <c r="C783" s="1" t="n">
        <v>46134</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23300-2024</t>
        </is>
      </c>
      <c r="B784" s="1" t="n">
        <v>45453.43695601852</v>
      </c>
      <c r="C784" s="1" t="n">
        <v>46134</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56268-2024</t>
        </is>
      </c>
      <c r="B785" s="1" t="n">
        <v>45624.65785879629</v>
      </c>
      <c r="C785" s="1" t="n">
        <v>46134</v>
      </c>
      <c r="D785" t="inlineStr">
        <is>
          <t>DALARNAS LÄN</t>
        </is>
      </c>
      <c r="E785" t="inlineStr">
        <is>
          <t>MORA</t>
        </is>
      </c>
      <c r="G785" t="n">
        <v>2.7</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46134</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50056-2022</t>
        </is>
      </c>
      <c r="B787" s="1" t="n">
        <v>44865</v>
      </c>
      <c r="C787" s="1" t="n">
        <v>46134</v>
      </c>
      <c r="D787" t="inlineStr">
        <is>
          <t>DALARNAS LÄN</t>
        </is>
      </c>
      <c r="E787" t="inlineStr">
        <is>
          <t>MORA</t>
        </is>
      </c>
      <c r="G787" t="n">
        <v>1.2</v>
      </c>
      <c r="H787" t="n">
        <v>0</v>
      </c>
      <c r="I787" t="n">
        <v>0</v>
      </c>
      <c r="J787" t="n">
        <v>0</v>
      </c>
      <c r="K787" t="n">
        <v>0</v>
      </c>
      <c r="L787" t="n">
        <v>0</v>
      </c>
      <c r="M787" t="n">
        <v>0</v>
      </c>
      <c r="N787" t="n">
        <v>0</v>
      </c>
      <c r="O787" t="n">
        <v>0</v>
      </c>
      <c r="P787" t="n">
        <v>0</v>
      </c>
      <c r="Q787" t="n">
        <v>0</v>
      </c>
      <c r="R787" s="2" t="inlineStr"/>
    </row>
    <row r="788" ht="15" customHeight="1">
      <c r="A788" t="inlineStr">
        <is>
          <t>A 15499-2024</t>
        </is>
      </c>
      <c r="B788" s="1" t="n">
        <v>45401.53798611111</v>
      </c>
      <c r="C788" s="1" t="n">
        <v>46134</v>
      </c>
      <c r="D788" t="inlineStr">
        <is>
          <t>DALARNAS LÄN</t>
        </is>
      </c>
      <c r="E788" t="inlineStr">
        <is>
          <t>MORA</t>
        </is>
      </c>
      <c r="G788" t="n">
        <v>1.2</v>
      </c>
      <c r="H788" t="n">
        <v>0</v>
      </c>
      <c r="I788" t="n">
        <v>0</v>
      </c>
      <c r="J788" t="n">
        <v>0</v>
      </c>
      <c r="K788" t="n">
        <v>0</v>
      </c>
      <c r="L788" t="n">
        <v>0</v>
      </c>
      <c r="M788" t="n">
        <v>0</v>
      </c>
      <c r="N788" t="n">
        <v>0</v>
      </c>
      <c r="O788" t="n">
        <v>0</v>
      </c>
      <c r="P788" t="n">
        <v>0</v>
      </c>
      <c r="Q788" t="n">
        <v>0</v>
      </c>
      <c r="R788" s="2" t="inlineStr"/>
    </row>
    <row r="789" ht="15" customHeight="1">
      <c r="A789" t="inlineStr">
        <is>
          <t>A 43879-2022</t>
        </is>
      </c>
      <c r="B789" s="1" t="n">
        <v>44838.46721064814</v>
      </c>
      <c r="C789" s="1" t="n">
        <v>46134</v>
      </c>
      <c r="D789" t="inlineStr">
        <is>
          <t>DALARNAS LÄN</t>
        </is>
      </c>
      <c r="E789" t="inlineStr">
        <is>
          <t>MORA</t>
        </is>
      </c>
      <c r="G789" t="n">
        <v>3.4</v>
      </c>
      <c r="H789" t="n">
        <v>0</v>
      </c>
      <c r="I789" t="n">
        <v>0</v>
      </c>
      <c r="J789" t="n">
        <v>0</v>
      </c>
      <c r="K789" t="n">
        <v>0</v>
      </c>
      <c r="L789" t="n">
        <v>0</v>
      </c>
      <c r="M789" t="n">
        <v>0</v>
      </c>
      <c r="N789" t="n">
        <v>0</v>
      </c>
      <c r="O789" t="n">
        <v>0</v>
      </c>
      <c r="P789" t="n">
        <v>0</v>
      </c>
      <c r="Q789" t="n">
        <v>0</v>
      </c>
      <c r="R789" s="2" t="inlineStr"/>
    </row>
    <row r="790" ht="15" customHeight="1">
      <c r="A790" t="inlineStr">
        <is>
          <t>A 39888-2024</t>
        </is>
      </c>
      <c r="B790" s="1" t="n">
        <v>45553.47538194444</v>
      </c>
      <c r="C790" s="1" t="n">
        <v>46134</v>
      </c>
      <c r="D790" t="inlineStr">
        <is>
          <t>DALARNAS LÄN</t>
        </is>
      </c>
      <c r="E790" t="inlineStr">
        <is>
          <t>MORA</t>
        </is>
      </c>
      <c r="G790" t="n">
        <v>5.4</v>
      </c>
      <c r="H790" t="n">
        <v>0</v>
      </c>
      <c r="I790" t="n">
        <v>0</v>
      </c>
      <c r="J790" t="n">
        <v>0</v>
      </c>
      <c r="K790" t="n">
        <v>0</v>
      </c>
      <c r="L790" t="n">
        <v>0</v>
      </c>
      <c r="M790" t="n">
        <v>0</v>
      </c>
      <c r="N790" t="n">
        <v>0</v>
      </c>
      <c r="O790" t="n">
        <v>0</v>
      </c>
      <c r="P790" t="n">
        <v>0</v>
      </c>
      <c r="Q790" t="n">
        <v>0</v>
      </c>
      <c r="R790" s="2" t="inlineStr"/>
    </row>
    <row r="791" ht="15" customHeight="1">
      <c r="A791" t="inlineStr">
        <is>
          <t>A 12828-2023</t>
        </is>
      </c>
      <c r="B791" s="1" t="n">
        <v>45001</v>
      </c>
      <c r="C791" s="1" t="n">
        <v>46134</v>
      </c>
      <c r="D791" t="inlineStr">
        <is>
          <t>DALARNAS LÄN</t>
        </is>
      </c>
      <c r="E791" t="inlineStr">
        <is>
          <t>MORA</t>
        </is>
      </c>
      <c r="F791" t="inlineStr">
        <is>
          <t>Bergvik skog väst AB</t>
        </is>
      </c>
      <c r="G791" t="n">
        <v>5.4</v>
      </c>
      <c r="H791" t="n">
        <v>0</v>
      </c>
      <c r="I791" t="n">
        <v>0</v>
      </c>
      <c r="J791" t="n">
        <v>0</v>
      </c>
      <c r="K791" t="n">
        <v>0</v>
      </c>
      <c r="L791" t="n">
        <v>0</v>
      </c>
      <c r="M791" t="n">
        <v>0</v>
      </c>
      <c r="N791" t="n">
        <v>0</v>
      </c>
      <c r="O791" t="n">
        <v>0</v>
      </c>
      <c r="P791" t="n">
        <v>0</v>
      </c>
      <c r="Q791" t="n">
        <v>0</v>
      </c>
      <c r="R791" s="2" t="inlineStr"/>
    </row>
    <row r="792" ht="15" customHeight="1">
      <c r="A792" t="inlineStr">
        <is>
          <t>A 60099-2024</t>
        </is>
      </c>
      <c r="B792" s="1" t="n">
        <v>45642.55645833333</v>
      </c>
      <c r="C792" s="1" t="n">
        <v>46134</v>
      </c>
      <c r="D792" t="inlineStr">
        <is>
          <t>DALARNAS LÄN</t>
        </is>
      </c>
      <c r="E792" t="inlineStr">
        <is>
          <t>MORA</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53750-2024</t>
        </is>
      </c>
      <c r="B793" s="1" t="n">
        <v>45615.48465277778</v>
      </c>
      <c r="C793" s="1" t="n">
        <v>46134</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37971-2024</t>
        </is>
      </c>
      <c r="B794" s="1" t="n">
        <v>45544</v>
      </c>
      <c r="C794" s="1" t="n">
        <v>46134</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18122-2025</t>
        </is>
      </c>
      <c r="B795" s="1" t="n">
        <v>45761.59221064814</v>
      </c>
      <c r="C795" s="1" t="n">
        <v>46134</v>
      </c>
      <c r="D795" t="inlineStr">
        <is>
          <t>DALARNAS LÄN</t>
        </is>
      </c>
      <c r="E795" t="inlineStr">
        <is>
          <t>MORA</t>
        </is>
      </c>
      <c r="F795" t="inlineStr">
        <is>
          <t>Bergvik skog öst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46923-2024</t>
        </is>
      </c>
      <c r="B796" s="1" t="n">
        <v>45584.42887731481</v>
      </c>
      <c r="C796" s="1" t="n">
        <v>46134</v>
      </c>
      <c r="D796" t="inlineStr">
        <is>
          <t>DALARNAS LÄN</t>
        </is>
      </c>
      <c r="E796" t="inlineStr">
        <is>
          <t>MORA</t>
        </is>
      </c>
      <c r="G796" t="n">
        <v>3.4</v>
      </c>
      <c r="H796" t="n">
        <v>0</v>
      </c>
      <c r="I796" t="n">
        <v>0</v>
      </c>
      <c r="J796" t="n">
        <v>0</v>
      </c>
      <c r="K796" t="n">
        <v>0</v>
      </c>
      <c r="L796" t="n">
        <v>0</v>
      </c>
      <c r="M796" t="n">
        <v>0</v>
      </c>
      <c r="N796" t="n">
        <v>0</v>
      </c>
      <c r="O796" t="n">
        <v>0</v>
      </c>
      <c r="P796" t="n">
        <v>0</v>
      </c>
      <c r="Q796" t="n">
        <v>0</v>
      </c>
      <c r="R796" s="2" t="inlineStr"/>
    </row>
    <row r="797" ht="15" customHeight="1">
      <c r="A797" t="inlineStr">
        <is>
          <t>A 13262-2022</t>
        </is>
      </c>
      <c r="B797" s="1" t="n">
        <v>44644.70184027778</v>
      </c>
      <c r="C797" s="1" t="n">
        <v>46134</v>
      </c>
      <c r="D797" t="inlineStr">
        <is>
          <t>DALARNAS LÄN</t>
        </is>
      </c>
      <c r="E797" t="inlineStr">
        <is>
          <t>MORA</t>
        </is>
      </c>
      <c r="G797" t="n">
        <v>0.8</v>
      </c>
      <c r="H797" t="n">
        <v>0</v>
      </c>
      <c r="I797" t="n">
        <v>0</v>
      </c>
      <c r="J797" t="n">
        <v>0</v>
      </c>
      <c r="K797" t="n">
        <v>0</v>
      </c>
      <c r="L797" t="n">
        <v>0</v>
      </c>
      <c r="M797" t="n">
        <v>0</v>
      </c>
      <c r="N797" t="n">
        <v>0</v>
      </c>
      <c r="O797" t="n">
        <v>0</v>
      </c>
      <c r="P797" t="n">
        <v>0</v>
      </c>
      <c r="Q797" t="n">
        <v>0</v>
      </c>
      <c r="R797" s="2" t="inlineStr"/>
    </row>
    <row r="798" ht="15" customHeight="1">
      <c r="A798" t="inlineStr">
        <is>
          <t>A 47036-2023</t>
        </is>
      </c>
      <c r="B798" s="1" t="n">
        <v>45196</v>
      </c>
      <c r="C798" s="1" t="n">
        <v>46134</v>
      </c>
      <c r="D798" t="inlineStr">
        <is>
          <t>DALARNAS LÄN</t>
        </is>
      </c>
      <c r="E798" t="inlineStr">
        <is>
          <t>MORA</t>
        </is>
      </c>
      <c r="G798" t="n">
        <v>2.7</v>
      </c>
      <c r="H798" t="n">
        <v>0</v>
      </c>
      <c r="I798" t="n">
        <v>0</v>
      </c>
      <c r="J798" t="n">
        <v>0</v>
      </c>
      <c r="K798" t="n">
        <v>0</v>
      </c>
      <c r="L798" t="n">
        <v>0</v>
      </c>
      <c r="M798" t="n">
        <v>0</v>
      </c>
      <c r="N798" t="n">
        <v>0</v>
      </c>
      <c r="O798" t="n">
        <v>0</v>
      </c>
      <c r="P798" t="n">
        <v>0</v>
      </c>
      <c r="Q798" t="n">
        <v>0</v>
      </c>
      <c r="R798" s="2" t="inlineStr"/>
    </row>
    <row r="799" ht="15" customHeight="1">
      <c r="A799" t="inlineStr">
        <is>
          <t>A 1897-2023</t>
        </is>
      </c>
      <c r="B799" s="1" t="n">
        <v>44937</v>
      </c>
      <c r="C799" s="1" t="n">
        <v>46134</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20549-2025</t>
        </is>
      </c>
      <c r="B800" s="1" t="n">
        <v>45775.63459490741</v>
      </c>
      <c r="C800" s="1" t="n">
        <v>46134</v>
      </c>
      <c r="D800" t="inlineStr">
        <is>
          <t>DALARNAS LÄN</t>
        </is>
      </c>
      <c r="E800" t="inlineStr">
        <is>
          <t>MORA</t>
        </is>
      </c>
      <c r="G800" t="n">
        <v>1.6</v>
      </c>
      <c r="H800" t="n">
        <v>0</v>
      </c>
      <c r="I800" t="n">
        <v>0</v>
      </c>
      <c r="J800" t="n">
        <v>0</v>
      </c>
      <c r="K800" t="n">
        <v>0</v>
      </c>
      <c r="L800" t="n">
        <v>0</v>
      </c>
      <c r="M800" t="n">
        <v>0</v>
      </c>
      <c r="N800" t="n">
        <v>0</v>
      </c>
      <c r="O800" t="n">
        <v>0</v>
      </c>
      <c r="P800" t="n">
        <v>0</v>
      </c>
      <c r="Q800" t="n">
        <v>0</v>
      </c>
      <c r="R800" s="2" t="inlineStr"/>
    </row>
    <row r="801" ht="15" customHeight="1">
      <c r="A801" t="inlineStr">
        <is>
          <t>A 19193-2025</t>
        </is>
      </c>
      <c r="B801" s="1" t="n">
        <v>45769.42203703704</v>
      </c>
      <c r="C801" s="1" t="n">
        <v>46134</v>
      </c>
      <c r="D801" t="inlineStr">
        <is>
          <t>DALARNAS LÄN</t>
        </is>
      </c>
      <c r="E801" t="inlineStr">
        <is>
          <t>MORA</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19814-2025</t>
        </is>
      </c>
      <c r="B802" s="1" t="n">
        <v>45771.45686342593</v>
      </c>
      <c r="C802" s="1" t="n">
        <v>46134</v>
      </c>
      <c r="D802" t="inlineStr">
        <is>
          <t>DALARNAS LÄN</t>
        </is>
      </c>
      <c r="E802" t="inlineStr">
        <is>
          <t>MORA</t>
        </is>
      </c>
      <c r="G802" t="n">
        <v>2.1</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45351.46583333334</v>
      </c>
      <c r="C803" s="1" t="n">
        <v>46134</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9855-2024</t>
        </is>
      </c>
      <c r="B804" s="1" t="n">
        <v>45363.40368055556</v>
      </c>
      <c r="C804" s="1" t="n">
        <v>46134</v>
      </c>
      <c r="D804" t="inlineStr">
        <is>
          <t>DALARNAS LÄN</t>
        </is>
      </c>
      <c r="E804" t="inlineStr">
        <is>
          <t>MORA</t>
        </is>
      </c>
      <c r="G804" t="n">
        <v>8.6</v>
      </c>
      <c r="H804" t="n">
        <v>0</v>
      </c>
      <c r="I804" t="n">
        <v>0</v>
      </c>
      <c r="J804" t="n">
        <v>0</v>
      </c>
      <c r="K804" t="n">
        <v>0</v>
      </c>
      <c r="L804" t="n">
        <v>0</v>
      </c>
      <c r="M804" t="n">
        <v>0</v>
      </c>
      <c r="N804" t="n">
        <v>0</v>
      </c>
      <c r="O804" t="n">
        <v>0</v>
      </c>
      <c r="P804" t="n">
        <v>0</v>
      </c>
      <c r="Q804" t="n">
        <v>0</v>
      </c>
      <c r="R804" s="2" t="inlineStr"/>
    </row>
    <row r="805" ht="15" customHeight="1">
      <c r="A805" t="inlineStr">
        <is>
          <t>A 22732-2024</t>
        </is>
      </c>
      <c r="B805" s="1" t="n">
        <v>45448.38677083333</v>
      </c>
      <c r="C805" s="1" t="n">
        <v>46134</v>
      </c>
      <c r="D805" t="inlineStr">
        <is>
          <t>DALARNAS LÄN</t>
        </is>
      </c>
      <c r="E805" t="inlineStr">
        <is>
          <t>MORA</t>
        </is>
      </c>
      <c r="G805" t="n">
        <v>3.6</v>
      </c>
      <c r="H805" t="n">
        <v>0</v>
      </c>
      <c r="I805" t="n">
        <v>0</v>
      </c>
      <c r="J805" t="n">
        <v>0</v>
      </c>
      <c r="K805" t="n">
        <v>0</v>
      </c>
      <c r="L805" t="n">
        <v>0</v>
      </c>
      <c r="M805" t="n">
        <v>0</v>
      </c>
      <c r="N805" t="n">
        <v>0</v>
      </c>
      <c r="O805" t="n">
        <v>0</v>
      </c>
      <c r="P805" t="n">
        <v>0</v>
      </c>
      <c r="Q805" t="n">
        <v>0</v>
      </c>
      <c r="R805" s="2" t="inlineStr"/>
    </row>
    <row r="806" ht="15" customHeight="1">
      <c r="A806" t="inlineStr">
        <is>
          <t>A 47784-2024</t>
        </is>
      </c>
      <c r="B806" s="1" t="n">
        <v>45588.59290509259</v>
      </c>
      <c r="C806" s="1" t="n">
        <v>46134</v>
      </c>
      <c r="D806" t="inlineStr">
        <is>
          <t>DALARNAS LÄN</t>
        </is>
      </c>
      <c r="E806" t="inlineStr">
        <is>
          <t>MORA</t>
        </is>
      </c>
      <c r="G806" t="n">
        <v>15.3</v>
      </c>
      <c r="H806" t="n">
        <v>0</v>
      </c>
      <c r="I806" t="n">
        <v>0</v>
      </c>
      <c r="J806" t="n">
        <v>0</v>
      </c>
      <c r="K806" t="n">
        <v>0</v>
      </c>
      <c r="L806" t="n">
        <v>0</v>
      </c>
      <c r="M806" t="n">
        <v>0</v>
      </c>
      <c r="N806" t="n">
        <v>0</v>
      </c>
      <c r="O806" t="n">
        <v>0</v>
      </c>
      <c r="P806" t="n">
        <v>0</v>
      </c>
      <c r="Q806" t="n">
        <v>0</v>
      </c>
      <c r="R806" s="2" t="inlineStr"/>
    </row>
    <row r="807" ht="15" customHeight="1">
      <c r="A807" t="inlineStr">
        <is>
          <t>A 64099-2023</t>
        </is>
      </c>
      <c r="B807" s="1" t="n">
        <v>45279.46009259259</v>
      </c>
      <c r="C807" s="1" t="n">
        <v>46134</v>
      </c>
      <c r="D807" t="inlineStr">
        <is>
          <t>DALARNAS LÄN</t>
        </is>
      </c>
      <c r="E807" t="inlineStr">
        <is>
          <t>MORA</t>
        </is>
      </c>
      <c r="G807" t="n">
        <v>0.6</v>
      </c>
      <c r="H807" t="n">
        <v>0</v>
      </c>
      <c r="I807" t="n">
        <v>0</v>
      </c>
      <c r="J807" t="n">
        <v>0</v>
      </c>
      <c r="K807" t="n">
        <v>0</v>
      </c>
      <c r="L807" t="n">
        <v>0</v>
      </c>
      <c r="M807" t="n">
        <v>0</v>
      </c>
      <c r="N807" t="n">
        <v>0</v>
      </c>
      <c r="O807" t="n">
        <v>0</v>
      </c>
      <c r="P807" t="n">
        <v>0</v>
      </c>
      <c r="Q807" t="n">
        <v>0</v>
      </c>
      <c r="R807" s="2" t="inlineStr"/>
    </row>
    <row r="808" ht="15" customHeight="1">
      <c r="A808" t="inlineStr">
        <is>
          <t>A 21244-2024</t>
        </is>
      </c>
      <c r="B808" s="1" t="n">
        <v>45440.59936342593</v>
      </c>
      <c r="C808" s="1" t="n">
        <v>46134</v>
      </c>
      <c r="D808" t="inlineStr">
        <is>
          <t>DALARNAS LÄN</t>
        </is>
      </c>
      <c r="E808" t="inlineStr">
        <is>
          <t>MORA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37471-2024</t>
        </is>
      </c>
      <c r="B809" s="1" t="n">
        <v>45540.85054398148</v>
      </c>
      <c r="C809" s="1" t="n">
        <v>46134</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33531-2024</t>
        </is>
      </c>
      <c r="B810" s="1" t="n">
        <v>45519.67503472222</v>
      </c>
      <c r="C810" s="1" t="n">
        <v>46134</v>
      </c>
      <c r="D810" t="inlineStr">
        <is>
          <t>DALARNAS LÄN</t>
        </is>
      </c>
      <c r="E810" t="inlineStr">
        <is>
          <t>MORA</t>
        </is>
      </c>
      <c r="G810" t="n">
        <v>14.8</v>
      </c>
      <c r="H810" t="n">
        <v>0</v>
      </c>
      <c r="I810" t="n">
        <v>0</v>
      </c>
      <c r="J810" t="n">
        <v>0</v>
      </c>
      <c r="K810" t="n">
        <v>0</v>
      </c>
      <c r="L810" t="n">
        <v>0</v>
      </c>
      <c r="M810" t="n">
        <v>0</v>
      </c>
      <c r="N810" t="n">
        <v>0</v>
      </c>
      <c r="O810" t="n">
        <v>0</v>
      </c>
      <c r="P810" t="n">
        <v>0</v>
      </c>
      <c r="Q810" t="n">
        <v>0</v>
      </c>
      <c r="R810" s="2" t="inlineStr"/>
    </row>
    <row r="811" ht="15" customHeight="1">
      <c r="A811" t="inlineStr">
        <is>
          <t>A 22785-2023</t>
        </is>
      </c>
      <c r="B811" s="1" t="n">
        <v>45072.34796296297</v>
      </c>
      <c r="C811" s="1" t="n">
        <v>46134</v>
      </c>
      <c r="D811" t="inlineStr">
        <is>
          <t>DALARNAS LÄN</t>
        </is>
      </c>
      <c r="E811" t="inlineStr">
        <is>
          <t>MORA</t>
        </is>
      </c>
      <c r="G811" t="n">
        <v>0.7</v>
      </c>
      <c r="H811" t="n">
        <v>0</v>
      </c>
      <c r="I811" t="n">
        <v>0</v>
      </c>
      <c r="J811" t="n">
        <v>0</v>
      </c>
      <c r="K811" t="n">
        <v>0</v>
      </c>
      <c r="L811" t="n">
        <v>0</v>
      </c>
      <c r="M811" t="n">
        <v>0</v>
      </c>
      <c r="N811" t="n">
        <v>0</v>
      </c>
      <c r="O811" t="n">
        <v>0</v>
      </c>
      <c r="P811" t="n">
        <v>0</v>
      </c>
      <c r="Q811" t="n">
        <v>0</v>
      </c>
      <c r="R811" s="2" t="inlineStr"/>
    </row>
    <row r="812" ht="15" customHeight="1">
      <c r="A812" t="inlineStr">
        <is>
          <t>A 53754-2024</t>
        </is>
      </c>
      <c r="B812" s="1" t="n">
        <v>45615.49371527778</v>
      </c>
      <c r="C812" s="1" t="n">
        <v>46134</v>
      </c>
      <c r="D812" t="inlineStr">
        <is>
          <t>DALARNAS LÄN</t>
        </is>
      </c>
      <c r="E812" t="inlineStr">
        <is>
          <t>MORA</t>
        </is>
      </c>
      <c r="G812" t="n">
        <v>4.8</v>
      </c>
      <c r="H812" t="n">
        <v>0</v>
      </c>
      <c r="I812" t="n">
        <v>0</v>
      </c>
      <c r="J812" t="n">
        <v>0</v>
      </c>
      <c r="K812" t="n">
        <v>0</v>
      </c>
      <c r="L812" t="n">
        <v>0</v>
      </c>
      <c r="M812" t="n">
        <v>0</v>
      </c>
      <c r="N812" t="n">
        <v>0</v>
      </c>
      <c r="O812" t="n">
        <v>0</v>
      </c>
      <c r="P812" t="n">
        <v>0</v>
      </c>
      <c r="Q812" t="n">
        <v>0</v>
      </c>
      <c r="R812" s="2" t="inlineStr"/>
    </row>
    <row r="813" ht="15" customHeight="1">
      <c r="A813" t="inlineStr">
        <is>
          <t>A 20989-2024</t>
        </is>
      </c>
      <c r="B813" s="1" t="n">
        <v>45439</v>
      </c>
      <c r="C813" s="1" t="n">
        <v>46134</v>
      </c>
      <c r="D813" t="inlineStr">
        <is>
          <t>DALARNAS LÄN</t>
        </is>
      </c>
      <c r="E813" t="inlineStr">
        <is>
          <t>MORA</t>
        </is>
      </c>
      <c r="F813" t="inlineStr">
        <is>
          <t>Bergvik skog öst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20930-2024</t>
        </is>
      </c>
      <c r="B814" s="1" t="n">
        <v>45439.51907407407</v>
      </c>
      <c r="C814" s="1" t="n">
        <v>46134</v>
      </c>
      <c r="D814" t="inlineStr">
        <is>
          <t>DALARNAS LÄN</t>
        </is>
      </c>
      <c r="E814" t="inlineStr">
        <is>
          <t>MORA</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46134</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43432-2024</t>
        </is>
      </c>
      <c r="B816" s="1" t="n">
        <v>45568.64337962963</v>
      </c>
      <c r="C816" s="1" t="n">
        <v>46134</v>
      </c>
      <c r="D816" t="inlineStr">
        <is>
          <t>DALARNAS LÄN</t>
        </is>
      </c>
      <c r="E816" t="inlineStr">
        <is>
          <t>MORA</t>
        </is>
      </c>
      <c r="G816" t="n">
        <v>0.4</v>
      </c>
      <c r="H816" t="n">
        <v>0</v>
      </c>
      <c r="I816" t="n">
        <v>0</v>
      </c>
      <c r="J816" t="n">
        <v>0</v>
      </c>
      <c r="K816" t="n">
        <v>0</v>
      </c>
      <c r="L816" t="n">
        <v>0</v>
      </c>
      <c r="M816" t="n">
        <v>0</v>
      </c>
      <c r="N816" t="n">
        <v>0</v>
      </c>
      <c r="O816" t="n">
        <v>0</v>
      </c>
      <c r="P816" t="n">
        <v>0</v>
      </c>
      <c r="Q816" t="n">
        <v>0</v>
      </c>
      <c r="R816" s="2" t="inlineStr"/>
    </row>
    <row r="817" ht="15" customHeight="1">
      <c r="A817" t="inlineStr">
        <is>
          <t>A 60428-2023</t>
        </is>
      </c>
      <c r="B817" s="1" t="n">
        <v>45259.50996527778</v>
      </c>
      <c r="C817" s="1" t="n">
        <v>46134</v>
      </c>
      <c r="D817" t="inlineStr">
        <is>
          <t>DALARNAS LÄN</t>
        </is>
      </c>
      <c r="E817" t="inlineStr">
        <is>
          <t>MORA</t>
        </is>
      </c>
      <c r="G817" t="n">
        <v>4.9</v>
      </c>
      <c r="H817" t="n">
        <v>0</v>
      </c>
      <c r="I817" t="n">
        <v>0</v>
      </c>
      <c r="J817" t="n">
        <v>0</v>
      </c>
      <c r="K817" t="n">
        <v>0</v>
      </c>
      <c r="L817" t="n">
        <v>0</v>
      </c>
      <c r="M817" t="n">
        <v>0</v>
      </c>
      <c r="N817" t="n">
        <v>0</v>
      </c>
      <c r="O817" t="n">
        <v>0</v>
      </c>
      <c r="P817" t="n">
        <v>0</v>
      </c>
      <c r="Q817" t="n">
        <v>0</v>
      </c>
      <c r="R817" s="2" t="inlineStr"/>
    </row>
    <row r="818" ht="15" customHeight="1">
      <c r="A818" t="inlineStr">
        <is>
          <t>A 437-2024</t>
        </is>
      </c>
      <c r="B818" s="1" t="n">
        <v>45296</v>
      </c>
      <c r="C818" s="1" t="n">
        <v>46134</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60715-2023</t>
        </is>
      </c>
      <c r="B819" s="1" t="n">
        <v>45260.52684027778</v>
      </c>
      <c r="C819" s="1" t="n">
        <v>46134</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27125-2024</t>
        </is>
      </c>
      <c r="B820" s="1" t="n">
        <v>45471</v>
      </c>
      <c r="C820" s="1" t="n">
        <v>46134</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30822-2024</t>
        </is>
      </c>
      <c r="B821" s="1" t="n">
        <v>45497</v>
      </c>
      <c r="C821" s="1" t="n">
        <v>46134</v>
      </c>
      <c r="D821" t="inlineStr">
        <is>
          <t>DALARNAS LÄN</t>
        </is>
      </c>
      <c r="E821" t="inlineStr">
        <is>
          <t>MORA</t>
        </is>
      </c>
      <c r="G821" t="n">
        <v>1.8</v>
      </c>
      <c r="H821" t="n">
        <v>0</v>
      </c>
      <c r="I821" t="n">
        <v>0</v>
      </c>
      <c r="J821" t="n">
        <v>0</v>
      </c>
      <c r="K821" t="n">
        <v>0</v>
      </c>
      <c r="L821" t="n">
        <v>0</v>
      </c>
      <c r="M821" t="n">
        <v>0</v>
      </c>
      <c r="N821" t="n">
        <v>0</v>
      </c>
      <c r="O821" t="n">
        <v>0</v>
      </c>
      <c r="P821" t="n">
        <v>0</v>
      </c>
      <c r="Q821" t="n">
        <v>0</v>
      </c>
      <c r="R821" s="2" t="inlineStr"/>
    </row>
    <row r="822" ht="15" customHeight="1">
      <c r="A822" t="inlineStr">
        <is>
          <t>A 58177-2024</t>
        </is>
      </c>
      <c r="B822" s="1" t="n">
        <v>45632.46821759259</v>
      </c>
      <c r="C822" s="1" t="n">
        <v>46134</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17172-2025</t>
        </is>
      </c>
      <c r="B823" s="1" t="n">
        <v>45756.37201388889</v>
      </c>
      <c r="C823" s="1" t="n">
        <v>46134</v>
      </c>
      <c r="D823" t="inlineStr">
        <is>
          <t>DALARNAS LÄN</t>
        </is>
      </c>
      <c r="E823" t="inlineStr">
        <is>
          <t>MORA</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15993-2025</t>
        </is>
      </c>
      <c r="B824" s="1" t="n">
        <v>45749.58428240741</v>
      </c>
      <c r="C824" s="1" t="n">
        <v>46134</v>
      </c>
      <c r="D824" t="inlineStr">
        <is>
          <t>DALARNAS LÄN</t>
        </is>
      </c>
      <c r="E824" t="inlineStr">
        <is>
          <t>MORA</t>
        </is>
      </c>
      <c r="G824" t="n">
        <v>1.1</v>
      </c>
      <c r="H824" t="n">
        <v>0</v>
      </c>
      <c r="I824" t="n">
        <v>0</v>
      </c>
      <c r="J824" t="n">
        <v>0</v>
      </c>
      <c r="K824" t="n">
        <v>0</v>
      </c>
      <c r="L824" t="n">
        <v>0</v>
      </c>
      <c r="M824" t="n">
        <v>0</v>
      </c>
      <c r="N824" t="n">
        <v>0</v>
      </c>
      <c r="O824" t="n">
        <v>0</v>
      </c>
      <c r="P824" t="n">
        <v>0</v>
      </c>
      <c r="Q824" t="n">
        <v>0</v>
      </c>
      <c r="R824" s="2" t="inlineStr"/>
    </row>
    <row r="825" ht="15" customHeight="1">
      <c r="A825" t="inlineStr">
        <is>
          <t>A 14832-2025</t>
        </is>
      </c>
      <c r="B825" s="1" t="n">
        <v>45743</v>
      </c>
      <c r="C825" s="1" t="n">
        <v>46134</v>
      </c>
      <c r="D825" t="inlineStr">
        <is>
          <t>DALARNAS LÄN</t>
        </is>
      </c>
      <c r="E825" t="inlineStr">
        <is>
          <t>MORA</t>
        </is>
      </c>
      <c r="G825" t="n">
        <v>9.1</v>
      </c>
      <c r="H825" t="n">
        <v>0</v>
      </c>
      <c r="I825" t="n">
        <v>0</v>
      </c>
      <c r="J825" t="n">
        <v>0</v>
      </c>
      <c r="K825" t="n">
        <v>0</v>
      </c>
      <c r="L825" t="n">
        <v>0</v>
      </c>
      <c r="M825" t="n">
        <v>0</v>
      </c>
      <c r="N825" t="n">
        <v>0</v>
      </c>
      <c r="O825" t="n">
        <v>0</v>
      </c>
      <c r="P825" t="n">
        <v>0</v>
      </c>
      <c r="Q825" t="n">
        <v>0</v>
      </c>
      <c r="R825" s="2" t="inlineStr"/>
    </row>
    <row r="826" ht="15" customHeight="1">
      <c r="A826" t="inlineStr">
        <is>
          <t>A 15443-2025</t>
        </is>
      </c>
      <c r="B826" s="1" t="n">
        <v>45747.48371527778</v>
      </c>
      <c r="C826" s="1" t="n">
        <v>46134</v>
      </c>
      <c r="D826" t="inlineStr">
        <is>
          <t>DALARNAS LÄN</t>
        </is>
      </c>
      <c r="E826" t="inlineStr">
        <is>
          <t>MORA</t>
        </is>
      </c>
      <c r="G826" t="n">
        <v>1.8</v>
      </c>
      <c r="H826" t="n">
        <v>0</v>
      </c>
      <c r="I826" t="n">
        <v>0</v>
      </c>
      <c r="J826" t="n">
        <v>0</v>
      </c>
      <c r="K826" t="n">
        <v>0</v>
      </c>
      <c r="L826" t="n">
        <v>0</v>
      </c>
      <c r="M826" t="n">
        <v>0</v>
      </c>
      <c r="N826" t="n">
        <v>0</v>
      </c>
      <c r="O826" t="n">
        <v>0</v>
      </c>
      <c r="P826" t="n">
        <v>0</v>
      </c>
      <c r="Q826" t="n">
        <v>0</v>
      </c>
      <c r="R826" s="2" t="inlineStr"/>
    </row>
    <row r="827" ht="15" customHeight="1">
      <c r="A827" t="inlineStr">
        <is>
          <t>A 45574-2023</t>
        </is>
      </c>
      <c r="B827" s="1" t="n">
        <v>45194</v>
      </c>
      <c r="C827" s="1" t="n">
        <v>46134</v>
      </c>
      <c r="D827" t="inlineStr">
        <is>
          <t>DALARNAS LÄN</t>
        </is>
      </c>
      <c r="E827" t="inlineStr">
        <is>
          <t>MORA</t>
        </is>
      </c>
      <c r="G827" t="n">
        <v>6.3</v>
      </c>
      <c r="H827" t="n">
        <v>0</v>
      </c>
      <c r="I827" t="n">
        <v>0</v>
      </c>
      <c r="J827" t="n">
        <v>0</v>
      </c>
      <c r="K827" t="n">
        <v>0</v>
      </c>
      <c r="L827" t="n">
        <v>0</v>
      </c>
      <c r="M827" t="n">
        <v>0</v>
      </c>
      <c r="N827" t="n">
        <v>0</v>
      </c>
      <c r="O827" t="n">
        <v>0</v>
      </c>
      <c r="P827" t="n">
        <v>0</v>
      </c>
      <c r="Q827" t="n">
        <v>0</v>
      </c>
      <c r="R827" s="2" t="inlineStr"/>
    </row>
    <row r="828" ht="15" customHeight="1">
      <c r="A828" t="inlineStr">
        <is>
          <t>A 5922-2025</t>
        </is>
      </c>
      <c r="B828" s="1" t="n">
        <v>45695.42762731481</v>
      </c>
      <c r="C828" s="1" t="n">
        <v>46134</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19910-2024</t>
        </is>
      </c>
      <c r="B829" s="1" t="n">
        <v>45433.5741087963</v>
      </c>
      <c r="C829" s="1" t="n">
        <v>46134</v>
      </c>
      <c r="D829" t="inlineStr">
        <is>
          <t>DALARNAS LÄN</t>
        </is>
      </c>
      <c r="E829" t="inlineStr">
        <is>
          <t>MORA</t>
        </is>
      </c>
      <c r="G829" t="n">
        <v>0.9</v>
      </c>
      <c r="H829" t="n">
        <v>0</v>
      </c>
      <c r="I829" t="n">
        <v>0</v>
      </c>
      <c r="J829" t="n">
        <v>0</v>
      </c>
      <c r="K829" t="n">
        <v>0</v>
      </c>
      <c r="L829" t="n">
        <v>0</v>
      </c>
      <c r="M829" t="n">
        <v>0</v>
      </c>
      <c r="N829" t="n">
        <v>0</v>
      </c>
      <c r="O829" t="n">
        <v>0</v>
      </c>
      <c r="P829" t="n">
        <v>0</v>
      </c>
      <c r="Q829" t="n">
        <v>0</v>
      </c>
      <c r="R829" s="2" t="inlineStr"/>
    </row>
    <row r="830" ht="15" customHeight="1">
      <c r="A830" t="inlineStr">
        <is>
          <t>A 20126-2025</t>
        </is>
      </c>
      <c r="B830" s="1" t="n">
        <v>45772.49640046297</v>
      </c>
      <c r="C830" s="1" t="n">
        <v>46134</v>
      </c>
      <c r="D830" t="inlineStr">
        <is>
          <t>DALARNAS LÄN</t>
        </is>
      </c>
      <c r="E830" t="inlineStr">
        <is>
          <t>MORA</t>
        </is>
      </c>
      <c r="G830" t="n">
        <v>12.1</v>
      </c>
      <c r="H830" t="n">
        <v>0</v>
      </c>
      <c r="I830" t="n">
        <v>0</v>
      </c>
      <c r="J830" t="n">
        <v>0</v>
      </c>
      <c r="K830" t="n">
        <v>0</v>
      </c>
      <c r="L830" t="n">
        <v>0</v>
      </c>
      <c r="M830" t="n">
        <v>0</v>
      </c>
      <c r="N830" t="n">
        <v>0</v>
      </c>
      <c r="O830" t="n">
        <v>0</v>
      </c>
      <c r="P830" t="n">
        <v>0</v>
      </c>
      <c r="Q830" t="n">
        <v>0</v>
      </c>
      <c r="R830" s="2" t="inlineStr"/>
    </row>
    <row r="831" ht="15" customHeight="1">
      <c r="A831" t="inlineStr">
        <is>
          <t>A 15643-2025</t>
        </is>
      </c>
      <c r="B831" s="1" t="n">
        <v>45748.39222222222</v>
      </c>
      <c r="C831" s="1" t="n">
        <v>46134</v>
      </c>
      <c r="D831" t="inlineStr">
        <is>
          <t>DALARNAS LÄN</t>
        </is>
      </c>
      <c r="E831" t="inlineStr">
        <is>
          <t>MORA</t>
        </is>
      </c>
      <c r="G831" t="n">
        <v>7.6</v>
      </c>
      <c r="H831" t="n">
        <v>0</v>
      </c>
      <c r="I831" t="n">
        <v>0</v>
      </c>
      <c r="J831" t="n">
        <v>0</v>
      </c>
      <c r="K831" t="n">
        <v>0</v>
      </c>
      <c r="L831" t="n">
        <v>0</v>
      </c>
      <c r="M831" t="n">
        <v>0</v>
      </c>
      <c r="N831" t="n">
        <v>0</v>
      </c>
      <c r="O831" t="n">
        <v>0</v>
      </c>
      <c r="P831" t="n">
        <v>0</v>
      </c>
      <c r="Q831" t="n">
        <v>0</v>
      </c>
      <c r="R831" s="2" t="inlineStr"/>
    </row>
    <row r="832" ht="15" customHeight="1">
      <c r="A832" t="inlineStr">
        <is>
          <t>A 21890-2025</t>
        </is>
      </c>
      <c r="B832" s="1" t="n">
        <v>45784.44481481481</v>
      </c>
      <c r="C832" s="1" t="n">
        <v>46134</v>
      </c>
      <c r="D832" t="inlineStr">
        <is>
          <t>DALARNAS LÄN</t>
        </is>
      </c>
      <c r="E832" t="inlineStr">
        <is>
          <t>MORA</t>
        </is>
      </c>
      <c r="G832" t="n">
        <v>3.8</v>
      </c>
      <c r="H832" t="n">
        <v>0</v>
      </c>
      <c r="I832" t="n">
        <v>0</v>
      </c>
      <c r="J832" t="n">
        <v>0</v>
      </c>
      <c r="K832" t="n">
        <v>0</v>
      </c>
      <c r="L832" t="n">
        <v>0</v>
      </c>
      <c r="M832" t="n">
        <v>0</v>
      </c>
      <c r="N832" t="n">
        <v>0</v>
      </c>
      <c r="O832" t="n">
        <v>0</v>
      </c>
      <c r="P832" t="n">
        <v>0</v>
      </c>
      <c r="Q832" t="n">
        <v>0</v>
      </c>
      <c r="R832" s="2" t="inlineStr"/>
    </row>
    <row r="833" ht="15" customHeight="1">
      <c r="A833" t="inlineStr">
        <is>
          <t>A 21895-2025</t>
        </is>
      </c>
      <c r="B833" s="1" t="n">
        <v>45784.45273148148</v>
      </c>
      <c r="C833" s="1" t="n">
        <v>46134</v>
      </c>
      <c r="D833" t="inlineStr">
        <is>
          <t>DALARNAS LÄN</t>
        </is>
      </c>
      <c r="E833" t="inlineStr">
        <is>
          <t>MORA</t>
        </is>
      </c>
      <c r="G833" t="n">
        <v>0.4</v>
      </c>
      <c r="H833" t="n">
        <v>0</v>
      </c>
      <c r="I833" t="n">
        <v>0</v>
      </c>
      <c r="J833" t="n">
        <v>0</v>
      </c>
      <c r="K833" t="n">
        <v>0</v>
      </c>
      <c r="L833" t="n">
        <v>0</v>
      </c>
      <c r="M833" t="n">
        <v>0</v>
      </c>
      <c r="N833" t="n">
        <v>0</v>
      </c>
      <c r="O833" t="n">
        <v>0</v>
      </c>
      <c r="P833" t="n">
        <v>0</v>
      </c>
      <c r="Q833" t="n">
        <v>0</v>
      </c>
      <c r="R833" s="2" t="inlineStr"/>
    </row>
    <row r="834" ht="15" customHeight="1">
      <c r="A834" t="inlineStr">
        <is>
          <t>A 21894-2025</t>
        </is>
      </c>
      <c r="B834" s="1" t="n">
        <v>45784.45060185185</v>
      </c>
      <c r="C834" s="1" t="n">
        <v>46134</v>
      </c>
      <c r="D834" t="inlineStr">
        <is>
          <t>DALARNAS LÄN</t>
        </is>
      </c>
      <c r="E834" t="inlineStr">
        <is>
          <t>MORA</t>
        </is>
      </c>
      <c r="G834" t="n">
        <v>0.7</v>
      </c>
      <c r="H834" t="n">
        <v>0</v>
      </c>
      <c r="I834" t="n">
        <v>0</v>
      </c>
      <c r="J834" t="n">
        <v>0</v>
      </c>
      <c r="K834" t="n">
        <v>0</v>
      </c>
      <c r="L834" t="n">
        <v>0</v>
      </c>
      <c r="M834" t="n">
        <v>0</v>
      </c>
      <c r="N834" t="n">
        <v>0</v>
      </c>
      <c r="O834" t="n">
        <v>0</v>
      </c>
      <c r="P834" t="n">
        <v>0</v>
      </c>
      <c r="Q834" t="n">
        <v>0</v>
      </c>
      <c r="R834" s="2" t="inlineStr"/>
    </row>
    <row r="835" ht="15" customHeight="1">
      <c r="A835" t="inlineStr">
        <is>
          <t>A 16573-2024</t>
        </is>
      </c>
      <c r="B835" s="1" t="n">
        <v>45408.46980324074</v>
      </c>
      <c r="C835" s="1" t="n">
        <v>46134</v>
      </c>
      <c r="D835" t="inlineStr">
        <is>
          <t>DALARNAS LÄN</t>
        </is>
      </c>
      <c r="E835" t="inlineStr">
        <is>
          <t>MORA</t>
        </is>
      </c>
      <c r="G835" t="n">
        <v>4.5</v>
      </c>
      <c r="H835" t="n">
        <v>0</v>
      </c>
      <c r="I835" t="n">
        <v>0</v>
      </c>
      <c r="J835" t="n">
        <v>0</v>
      </c>
      <c r="K835" t="n">
        <v>0</v>
      </c>
      <c r="L835" t="n">
        <v>0</v>
      </c>
      <c r="M835" t="n">
        <v>0</v>
      </c>
      <c r="N835" t="n">
        <v>0</v>
      </c>
      <c r="O835" t="n">
        <v>0</v>
      </c>
      <c r="P835" t="n">
        <v>0</v>
      </c>
      <c r="Q835" t="n">
        <v>0</v>
      </c>
      <c r="R835" s="2" t="inlineStr"/>
    </row>
    <row r="836" ht="15" customHeight="1">
      <c r="A836" t="inlineStr">
        <is>
          <t>A 22409-2025</t>
        </is>
      </c>
      <c r="B836" s="1" t="n">
        <v>45786.54940972223</v>
      </c>
      <c r="C836" s="1" t="n">
        <v>46134</v>
      </c>
      <c r="D836" t="inlineStr">
        <is>
          <t>DALARNAS LÄN</t>
        </is>
      </c>
      <c r="E836" t="inlineStr">
        <is>
          <t>MORA</t>
        </is>
      </c>
      <c r="F836" t="inlineStr">
        <is>
          <t>Bergvik skog öst AB</t>
        </is>
      </c>
      <c r="G836" t="n">
        <v>5</v>
      </c>
      <c r="H836" t="n">
        <v>0</v>
      </c>
      <c r="I836" t="n">
        <v>0</v>
      </c>
      <c r="J836" t="n">
        <v>0</v>
      </c>
      <c r="K836" t="n">
        <v>0</v>
      </c>
      <c r="L836" t="n">
        <v>0</v>
      </c>
      <c r="M836" t="n">
        <v>0</v>
      </c>
      <c r="N836" t="n">
        <v>0</v>
      </c>
      <c r="O836" t="n">
        <v>0</v>
      </c>
      <c r="P836" t="n">
        <v>0</v>
      </c>
      <c r="Q836" t="n">
        <v>0</v>
      </c>
      <c r="R836" s="2" t="inlineStr"/>
    </row>
    <row r="837" ht="15" customHeight="1">
      <c r="A837" t="inlineStr">
        <is>
          <t>A 11193-2025</t>
        </is>
      </c>
      <c r="B837" s="1" t="n">
        <v>45725</v>
      </c>
      <c r="C837" s="1" t="n">
        <v>46134</v>
      </c>
      <c r="D837" t="inlineStr">
        <is>
          <t>DALARNAS LÄN</t>
        </is>
      </c>
      <c r="E837" t="inlineStr">
        <is>
          <t>MORA</t>
        </is>
      </c>
      <c r="G837" t="n">
        <v>4.1</v>
      </c>
      <c r="H837" t="n">
        <v>0</v>
      </c>
      <c r="I837" t="n">
        <v>0</v>
      </c>
      <c r="J837" t="n">
        <v>0</v>
      </c>
      <c r="K837" t="n">
        <v>0</v>
      </c>
      <c r="L837" t="n">
        <v>0</v>
      </c>
      <c r="M837" t="n">
        <v>0</v>
      </c>
      <c r="N837" t="n">
        <v>0</v>
      </c>
      <c r="O837" t="n">
        <v>0</v>
      </c>
      <c r="P837" t="n">
        <v>0</v>
      </c>
      <c r="Q837" t="n">
        <v>0</v>
      </c>
      <c r="R837" s="2" t="inlineStr"/>
    </row>
    <row r="838" ht="15" customHeight="1">
      <c r="A838" t="inlineStr">
        <is>
          <t>A 22354-2025</t>
        </is>
      </c>
      <c r="B838" s="1" t="n">
        <v>45786.45721064815</v>
      </c>
      <c r="C838" s="1" t="n">
        <v>46134</v>
      </c>
      <c r="D838" t="inlineStr">
        <is>
          <t>DALARNAS LÄN</t>
        </is>
      </c>
      <c r="E838" t="inlineStr">
        <is>
          <t>MORA</t>
        </is>
      </c>
      <c r="F838" t="inlineStr">
        <is>
          <t>Bergvik skog öst AB</t>
        </is>
      </c>
      <c r="G838" t="n">
        <v>2</v>
      </c>
      <c r="H838" t="n">
        <v>0</v>
      </c>
      <c r="I838" t="n">
        <v>0</v>
      </c>
      <c r="J838" t="n">
        <v>0</v>
      </c>
      <c r="K838" t="n">
        <v>0</v>
      </c>
      <c r="L838" t="n">
        <v>0</v>
      </c>
      <c r="M838" t="n">
        <v>0</v>
      </c>
      <c r="N838" t="n">
        <v>0</v>
      </c>
      <c r="O838" t="n">
        <v>0</v>
      </c>
      <c r="P838" t="n">
        <v>0</v>
      </c>
      <c r="Q838" t="n">
        <v>0</v>
      </c>
      <c r="R838" s="2" t="inlineStr"/>
    </row>
    <row r="839" ht="15" customHeight="1">
      <c r="A839" t="inlineStr">
        <is>
          <t>A 56900-2024</t>
        </is>
      </c>
      <c r="B839" s="1" t="n">
        <v>45625</v>
      </c>
      <c r="C839" s="1" t="n">
        <v>46134</v>
      </c>
      <c r="D839" t="inlineStr">
        <is>
          <t>DALARNAS LÄN</t>
        </is>
      </c>
      <c r="E839" t="inlineStr">
        <is>
          <t>MORA</t>
        </is>
      </c>
      <c r="G839" t="n">
        <v>2.7</v>
      </c>
      <c r="H839" t="n">
        <v>0</v>
      </c>
      <c r="I839" t="n">
        <v>0</v>
      </c>
      <c r="J839" t="n">
        <v>0</v>
      </c>
      <c r="K839" t="n">
        <v>0</v>
      </c>
      <c r="L839" t="n">
        <v>0</v>
      </c>
      <c r="M839" t="n">
        <v>0</v>
      </c>
      <c r="N839" t="n">
        <v>0</v>
      </c>
      <c r="O839" t="n">
        <v>0</v>
      </c>
      <c r="P839" t="n">
        <v>0</v>
      </c>
      <c r="Q839" t="n">
        <v>0</v>
      </c>
      <c r="R839" s="2" t="inlineStr"/>
    </row>
    <row r="840" ht="15" customHeight="1">
      <c r="A840" t="inlineStr">
        <is>
          <t>A 56927-2024</t>
        </is>
      </c>
      <c r="B840" s="1" t="n">
        <v>45625</v>
      </c>
      <c r="C840" s="1" t="n">
        <v>46134</v>
      </c>
      <c r="D840" t="inlineStr">
        <is>
          <t>DALARNAS LÄN</t>
        </is>
      </c>
      <c r="E840" t="inlineStr">
        <is>
          <t>MORA</t>
        </is>
      </c>
      <c r="G840" t="n">
        <v>2.8</v>
      </c>
      <c r="H840" t="n">
        <v>0</v>
      </c>
      <c r="I840" t="n">
        <v>0</v>
      </c>
      <c r="J840" t="n">
        <v>0</v>
      </c>
      <c r="K840" t="n">
        <v>0</v>
      </c>
      <c r="L840" t="n">
        <v>0</v>
      </c>
      <c r="M840" t="n">
        <v>0</v>
      </c>
      <c r="N840" t="n">
        <v>0</v>
      </c>
      <c r="O840" t="n">
        <v>0</v>
      </c>
      <c r="P840" t="n">
        <v>0</v>
      </c>
      <c r="Q840" t="n">
        <v>0</v>
      </c>
      <c r="R840" s="2" t="inlineStr"/>
    </row>
    <row r="841" ht="15" customHeight="1">
      <c r="A841" t="inlineStr">
        <is>
          <t>A 54192-2023</t>
        </is>
      </c>
      <c r="B841" s="1" t="n">
        <v>45232.53052083333</v>
      </c>
      <c r="C841" s="1" t="n">
        <v>46134</v>
      </c>
      <c r="D841" t="inlineStr">
        <is>
          <t>DALARNAS LÄN</t>
        </is>
      </c>
      <c r="E841" t="inlineStr">
        <is>
          <t>MORA</t>
        </is>
      </c>
      <c r="G841" t="n">
        <v>3.4</v>
      </c>
      <c r="H841" t="n">
        <v>0</v>
      </c>
      <c r="I841" t="n">
        <v>0</v>
      </c>
      <c r="J841" t="n">
        <v>0</v>
      </c>
      <c r="K841" t="n">
        <v>0</v>
      </c>
      <c r="L841" t="n">
        <v>0</v>
      </c>
      <c r="M841" t="n">
        <v>0</v>
      </c>
      <c r="N841" t="n">
        <v>0</v>
      </c>
      <c r="O841" t="n">
        <v>0</v>
      </c>
      <c r="P841" t="n">
        <v>0</v>
      </c>
      <c r="Q841" t="n">
        <v>0</v>
      </c>
      <c r="R841" s="2" t="inlineStr"/>
    </row>
    <row r="842" ht="15" customHeight="1">
      <c r="A842" t="inlineStr">
        <is>
          <t>A 59404-2024</t>
        </is>
      </c>
      <c r="B842" s="1" t="n">
        <v>45638</v>
      </c>
      <c r="C842" s="1" t="n">
        <v>46134</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22185-2025</t>
        </is>
      </c>
      <c r="B843" s="1" t="n">
        <v>45785</v>
      </c>
      <c r="C843" s="1" t="n">
        <v>46134</v>
      </c>
      <c r="D843" t="inlineStr">
        <is>
          <t>DALARNAS LÄN</t>
        </is>
      </c>
      <c r="E843" t="inlineStr">
        <is>
          <t>MORA</t>
        </is>
      </c>
      <c r="G843" t="n">
        <v>2.4</v>
      </c>
      <c r="H843" t="n">
        <v>0</v>
      </c>
      <c r="I843" t="n">
        <v>0</v>
      </c>
      <c r="J843" t="n">
        <v>0</v>
      </c>
      <c r="K843" t="n">
        <v>0</v>
      </c>
      <c r="L843" t="n">
        <v>0</v>
      </c>
      <c r="M843" t="n">
        <v>0</v>
      </c>
      <c r="N843" t="n">
        <v>0</v>
      </c>
      <c r="O843" t="n">
        <v>0</v>
      </c>
      <c r="P843" t="n">
        <v>0</v>
      </c>
      <c r="Q843" t="n">
        <v>0</v>
      </c>
      <c r="R843" s="2" t="inlineStr"/>
    </row>
    <row r="844" ht="15" customHeight="1">
      <c r="A844" t="inlineStr">
        <is>
          <t>A 23368-2025</t>
        </is>
      </c>
      <c r="B844" s="1" t="n">
        <v>45791.70299768518</v>
      </c>
      <c r="C844" s="1" t="n">
        <v>46134</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56935-2024</t>
        </is>
      </c>
      <c r="B845" s="1" t="n">
        <v>45625</v>
      </c>
      <c r="C845" s="1" t="n">
        <v>46134</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23354-2022</t>
        </is>
      </c>
      <c r="B846" s="1" t="n">
        <v>44720</v>
      </c>
      <c r="C846" s="1" t="n">
        <v>46134</v>
      </c>
      <c r="D846" t="inlineStr">
        <is>
          <t>DALARNAS LÄN</t>
        </is>
      </c>
      <c r="E846" t="inlineStr">
        <is>
          <t>MORA</t>
        </is>
      </c>
      <c r="G846" t="n">
        <v>5.2</v>
      </c>
      <c r="H846" t="n">
        <v>0</v>
      </c>
      <c r="I846" t="n">
        <v>0</v>
      </c>
      <c r="J846" t="n">
        <v>0</v>
      </c>
      <c r="K846" t="n">
        <v>0</v>
      </c>
      <c r="L846" t="n">
        <v>0</v>
      </c>
      <c r="M846" t="n">
        <v>0</v>
      </c>
      <c r="N846" t="n">
        <v>0</v>
      </c>
      <c r="O846" t="n">
        <v>0</v>
      </c>
      <c r="P846" t="n">
        <v>0</v>
      </c>
      <c r="Q846" t="n">
        <v>0</v>
      </c>
      <c r="R846" s="2" t="inlineStr"/>
    </row>
    <row r="847">
      <c r="A847" t="inlineStr">
        <is>
          <t>A 34928-2022</t>
        </is>
      </c>
      <c r="B847" s="1" t="n">
        <v>44796.60479166666</v>
      </c>
      <c r="C847" s="1" t="n">
        <v>46134</v>
      </c>
      <c r="D847" t="inlineStr">
        <is>
          <t>DALARNAS LÄN</t>
        </is>
      </c>
      <c r="E847" t="inlineStr">
        <is>
          <t>MORA</t>
        </is>
      </c>
      <c r="G847" t="n">
        <v>1.2</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2026-04-22T10:46:29Z</dcterms:created>
  <dcterms:modified xmlns:dcterms="http://purl.org/dc/terms/" xmlns:xsi="http://www.w3.org/2001/XMLSchema-instance" xsi:type="dcterms:W3CDTF">2026-04-22T10:46:30Z</dcterms:modified>
</cp:coreProperties>
</file>