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46194</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46194</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46194</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46194</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46194</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46194</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46194</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46194</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46194</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46194</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9412-2026</t>
        </is>
      </c>
      <c r="B12" s="1" t="n">
        <v>46071</v>
      </c>
      <c r="C12" s="1" t="n">
        <v>46194</v>
      </c>
      <c r="D12" t="inlineStr">
        <is>
          <t>DALARNAS LÄN</t>
        </is>
      </c>
      <c r="E12" t="inlineStr">
        <is>
          <t>MORA</t>
        </is>
      </c>
      <c r="G12" t="n">
        <v>3.4</v>
      </c>
      <c r="H12" t="n">
        <v>7</v>
      </c>
      <c r="I12" t="n">
        <v>1</v>
      </c>
      <c r="J12" t="n">
        <v>11</v>
      </c>
      <c r="K12" t="n">
        <v>2</v>
      </c>
      <c r="L12" t="n">
        <v>0</v>
      </c>
      <c r="M12" t="n">
        <v>0</v>
      </c>
      <c r="N12" t="n">
        <v>0</v>
      </c>
      <c r="O12" t="n">
        <v>13</v>
      </c>
      <c r="P12" t="n">
        <v>2</v>
      </c>
      <c r="Q12" t="n">
        <v>19</v>
      </c>
      <c r="R12" s="2" t="inlineStr">
        <is>
          <t>Garnlav
Knärot
Kolflarnlav
Kortskaftad ärgspik
Mörk kolflarnlav
Rynkskinn
Skogshare
Talltita
Tretåig hackspett
Vedflamlav
Vedskivlav
Vitgrynig nållav
Älg
Svart trolldruva
Gråspett
Spillkråka
Timmerticka
Tofsmes
Revlummer</t>
        </is>
      </c>
      <c r="S12">
        <f>HYPERLINK("https://klasma.github.io/Logging_2062/artfynd/A 9412-2026 artfynd.xlsx", "A 9412-2026")</f>
        <v/>
      </c>
      <c r="T12">
        <f>HYPERLINK("https://klasma.github.io/Logging_2062/kartor/A 9412-2026 karta.png", "A 9412-2026")</f>
        <v/>
      </c>
      <c r="U12">
        <f>HYPERLINK("https://klasma.github.io/Logging_2062/knärot/A 9412-2026 karta knärot.png", "A 9412-2026")</f>
        <v/>
      </c>
      <c r="V12">
        <f>HYPERLINK("https://klasma.github.io/Logging_2062/klagomål/A 9412-2026 FSC-klagomål.docx", "A 9412-2026")</f>
        <v/>
      </c>
      <c r="W12">
        <f>HYPERLINK("https://klasma.github.io/Logging_2062/klagomålsmail/A 9412-2026 FSC-klagomål mail.docx", "A 9412-2026")</f>
        <v/>
      </c>
      <c r="X12">
        <f>HYPERLINK("https://klasma.github.io/Logging_2062/tillsyn/A 9412-2026 tillsynsbegäran.docx", "A 9412-2026")</f>
        <v/>
      </c>
      <c r="Y12">
        <f>HYPERLINK("https://klasma.github.io/Logging_2062/tillsynsmail/A 9412-2026 tillsynsbegäran mail.docx", "A 9412-2026")</f>
        <v/>
      </c>
      <c r="Z12">
        <f>HYPERLINK("https://klasma.github.io/Logging_2062/fåglar/A 9412-2026 prioriterade fågelarter.docx", "A 9412-2026")</f>
        <v/>
      </c>
    </row>
    <row r="13" ht="15" customHeight="1">
      <c r="A13" t="inlineStr">
        <is>
          <t>A 35484-2025</t>
        </is>
      </c>
      <c r="B13" s="1" t="n">
        <v>45855</v>
      </c>
      <c r="C13" s="1" t="n">
        <v>46194</v>
      </c>
      <c r="D13" t="inlineStr">
        <is>
          <t>DALARNAS LÄN</t>
        </is>
      </c>
      <c r="E13" t="inlineStr">
        <is>
          <t>MORA</t>
        </is>
      </c>
      <c r="F13" t="inlineStr">
        <is>
          <t>Allmännings- och besparingsskogar</t>
        </is>
      </c>
      <c r="G13" t="n">
        <v>3.9</v>
      </c>
      <c r="H13" t="n">
        <v>5</v>
      </c>
      <c r="I13" t="n">
        <v>2</v>
      </c>
      <c r="J13" t="n">
        <v>12</v>
      </c>
      <c r="K13" t="n">
        <v>2</v>
      </c>
      <c r="L13" t="n">
        <v>0</v>
      </c>
      <c r="M13" t="n">
        <v>0</v>
      </c>
      <c r="N13" t="n">
        <v>0</v>
      </c>
      <c r="O13" t="n">
        <v>14</v>
      </c>
      <c r="P13" t="n">
        <v>2</v>
      </c>
      <c r="Q13" t="n">
        <v>19</v>
      </c>
      <c r="R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3">
        <f>HYPERLINK("https://klasma.github.io/Logging_2062/artfynd/A 35484-2025 artfynd.xlsx", "A 35484-2025")</f>
        <v/>
      </c>
      <c r="T13">
        <f>HYPERLINK("https://klasma.github.io/Logging_2062/kartor/A 35484-2025 karta.png", "A 35484-2025")</f>
        <v/>
      </c>
      <c r="V13">
        <f>HYPERLINK("https://klasma.github.io/Logging_2062/klagomål/A 35484-2025 FSC-klagomål.docx", "A 35484-2025")</f>
        <v/>
      </c>
      <c r="W13">
        <f>HYPERLINK("https://klasma.github.io/Logging_2062/klagomålsmail/A 35484-2025 FSC-klagomål mail.docx", "A 35484-2025")</f>
        <v/>
      </c>
      <c r="X13">
        <f>HYPERLINK("https://klasma.github.io/Logging_2062/tillsyn/A 35484-2025 tillsynsbegäran.docx", "A 35484-2025")</f>
        <v/>
      </c>
      <c r="Y13">
        <f>HYPERLINK("https://klasma.github.io/Logging_2062/tillsynsmail/A 35484-2025 tillsynsbegäran mail.docx", "A 35484-2025")</f>
        <v/>
      </c>
      <c r="Z13">
        <f>HYPERLINK("https://klasma.github.io/Logging_2062/fåglar/A 35484-2025 prioriterade fågelarter.docx", "A 35484-2025")</f>
        <v/>
      </c>
    </row>
    <row r="14" ht="15" customHeight="1">
      <c r="A14" t="inlineStr">
        <is>
          <t>A 20531-2025</t>
        </is>
      </c>
      <c r="B14" s="1" t="n">
        <v>45775</v>
      </c>
      <c r="C14" s="1" t="n">
        <v>46194</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46194</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46194</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46194</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48348-2024</t>
        </is>
      </c>
      <c r="B18" s="1" t="n">
        <v>45590</v>
      </c>
      <c r="C18" s="1" t="n">
        <v>46194</v>
      </c>
      <c r="D18" t="inlineStr">
        <is>
          <t>DALARNAS LÄN</t>
        </is>
      </c>
      <c r="E18" t="inlineStr">
        <is>
          <t>MORA</t>
        </is>
      </c>
      <c r="G18" t="n">
        <v>31.7</v>
      </c>
      <c r="H18" t="n">
        <v>2</v>
      </c>
      <c r="I18" t="n">
        <v>2</v>
      </c>
      <c r="J18" t="n">
        <v>11</v>
      </c>
      <c r="K18" t="n">
        <v>1</v>
      </c>
      <c r="L18" t="n">
        <v>0</v>
      </c>
      <c r="M18" t="n">
        <v>0</v>
      </c>
      <c r="N18" t="n">
        <v>0</v>
      </c>
      <c r="O18" t="n">
        <v>12</v>
      </c>
      <c r="P18" t="n">
        <v>1</v>
      </c>
      <c r="Q18" t="n">
        <v>15</v>
      </c>
      <c r="R18" s="2" t="inlineStr">
        <is>
          <t>Garnlav
Doftskinn
Dvärgbägarlav
Kolflarnlav
Mörk kolflarnlav
Skarp dropptaggsvamp
Tallriska
Tallticka
Talltita
Vedflamlav
Vedskivlav
Vitgrynig nållav
Bronshjon
Vedticka
Spillkråka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53426-2025</t>
        </is>
      </c>
      <c r="B19" s="1" t="n">
        <v>45959</v>
      </c>
      <c r="C19" s="1" t="n">
        <v>46194</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56438-2024</t>
        </is>
      </c>
      <c r="B20" s="1" t="n">
        <v>45625</v>
      </c>
      <c r="C20" s="1" t="n">
        <v>46194</v>
      </c>
      <c r="D20" t="inlineStr">
        <is>
          <t>DALARNAS LÄN</t>
        </is>
      </c>
      <c r="E20" t="inlineStr">
        <is>
          <t>MORA</t>
        </is>
      </c>
      <c r="G20" t="n">
        <v>8.800000000000001</v>
      </c>
      <c r="H20" t="n">
        <v>3</v>
      </c>
      <c r="I20" t="n">
        <v>3</v>
      </c>
      <c r="J20" t="n">
        <v>8</v>
      </c>
      <c r="K20" t="n">
        <v>1</v>
      </c>
      <c r="L20" t="n">
        <v>0</v>
      </c>
      <c r="M20" t="n">
        <v>0</v>
      </c>
      <c r="N20" t="n">
        <v>0</v>
      </c>
      <c r="O20" t="n">
        <v>9</v>
      </c>
      <c r="P20" t="n">
        <v>1</v>
      </c>
      <c r="Q20" t="n">
        <v>14</v>
      </c>
      <c r="R20" s="2" t="inlineStr">
        <is>
          <t>Garnlav
Kolflarnlav
Mörk kolflarnlav
Rosenticka
Tallticka
Tretåig hackspett
Ullticka
Vedskivlav
Vitgrynig nållav
Blodticka
Bronshjon
Mindre märgborre
Spillkråka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21284-2026</t>
        </is>
      </c>
      <c r="B21" s="1" t="n">
        <v>46147</v>
      </c>
      <c r="C21" s="1" t="n">
        <v>46194</v>
      </c>
      <c r="D21" t="inlineStr">
        <is>
          <t>DALARNAS LÄN</t>
        </is>
      </c>
      <c r="E21" t="inlineStr">
        <is>
          <t>MORA</t>
        </is>
      </c>
      <c r="G21" t="n">
        <v>6.1</v>
      </c>
      <c r="H21" t="n">
        <v>4</v>
      </c>
      <c r="I21" t="n">
        <v>4</v>
      </c>
      <c r="J21" t="n">
        <v>7</v>
      </c>
      <c r="K21" t="n">
        <v>1</v>
      </c>
      <c r="L21" t="n">
        <v>0</v>
      </c>
      <c r="M21" t="n">
        <v>0</v>
      </c>
      <c r="N21" t="n">
        <v>0</v>
      </c>
      <c r="O21" t="n">
        <v>8</v>
      </c>
      <c r="P21" t="n">
        <v>1</v>
      </c>
      <c r="Q21" t="n">
        <v>14</v>
      </c>
      <c r="R21" s="2" t="inlineStr">
        <is>
          <t>Garnlav
Dvärgbägarlav
Kolflarnlav
Mörk kolflarnlav
Tretåig hackspett
Vedflamlav
Vedskivlav
Violettgrå tagellav
Mindre märgborre
Nästlav
Plattlummer
Vedticka
Spillkråka
Tjäder</t>
        </is>
      </c>
      <c r="S21">
        <f>HYPERLINK("https://klasma.github.io/Logging_2062/artfynd/A 21284-2026 artfynd.xlsx", "A 21284-2026")</f>
        <v/>
      </c>
      <c r="T21">
        <f>HYPERLINK("https://klasma.github.io/Logging_2062/kartor/A 21284-2026 karta.png", "A 21284-2026")</f>
        <v/>
      </c>
      <c r="V21">
        <f>HYPERLINK("https://klasma.github.io/Logging_2062/klagomål/A 21284-2026 FSC-klagomål.docx", "A 21284-2026")</f>
        <v/>
      </c>
      <c r="W21">
        <f>HYPERLINK("https://klasma.github.io/Logging_2062/klagomålsmail/A 21284-2026 FSC-klagomål mail.docx", "A 21284-2026")</f>
        <v/>
      </c>
      <c r="X21">
        <f>HYPERLINK("https://klasma.github.io/Logging_2062/tillsyn/A 21284-2026 tillsynsbegäran.docx", "A 21284-2026")</f>
        <v/>
      </c>
      <c r="Y21">
        <f>HYPERLINK("https://klasma.github.io/Logging_2062/tillsynsmail/A 21284-2026 tillsynsbegäran mail.docx", "A 21284-2026")</f>
        <v/>
      </c>
      <c r="Z21">
        <f>HYPERLINK("https://klasma.github.io/Logging_2062/fåglar/A 21284-2026 prioriterade fågelarter.docx", "A 21284-2026")</f>
        <v/>
      </c>
    </row>
    <row r="22" ht="15" customHeight="1">
      <c r="A22" t="inlineStr">
        <is>
          <t>A 35485-2025</t>
        </is>
      </c>
      <c r="B22" s="1" t="n">
        <v>45855</v>
      </c>
      <c r="C22" s="1" t="n">
        <v>46194</v>
      </c>
      <c r="D22" t="inlineStr">
        <is>
          <t>DALARNAS LÄN</t>
        </is>
      </c>
      <c r="E22" t="inlineStr">
        <is>
          <t>MORA</t>
        </is>
      </c>
      <c r="F22" t="inlineStr">
        <is>
          <t>Allmännings- och besparingsskogar</t>
        </is>
      </c>
      <c r="G22" t="n">
        <v>2.9</v>
      </c>
      <c r="H22" t="n">
        <v>2</v>
      </c>
      <c r="I22" t="n">
        <v>1</v>
      </c>
      <c r="J22" t="n">
        <v>12</v>
      </c>
      <c r="K22" t="n">
        <v>1</v>
      </c>
      <c r="L22" t="n">
        <v>0</v>
      </c>
      <c r="M22" t="n">
        <v>0</v>
      </c>
      <c r="N22" t="n">
        <v>0</v>
      </c>
      <c r="O22" t="n">
        <v>13</v>
      </c>
      <c r="P22" t="n">
        <v>1</v>
      </c>
      <c r="Q22" t="n">
        <v>14</v>
      </c>
      <c r="R22" s="2" t="inlineStr">
        <is>
          <t>Garnlav
Blå taggsvamp
Blågrå svartspik
Dropptaggsvamp
Dvärgbägarlav
Grantaggsvamp
Kolflarnlav
Kortskaftad ärgspik
Mörk kolflarnlav
Skarp dropptaggsvamp
Talltita
Tretåig hackspett
Vedskivlav
Mindre märgborre</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50759-2023</t>
        </is>
      </c>
      <c r="B23" s="1" t="n">
        <v>45217</v>
      </c>
      <c r="C23" s="1" t="n">
        <v>46194</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46194</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46194</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46194</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46194</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46194</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46194</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46194</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31562-2025</t>
        </is>
      </c>
      <c r="B31" s="1" t="n">
        <v>45833</v>
      </c>
      <c r="C31" s="1" t="n">
        <v>46194</v>
      </c>
      <c r="D31" t="inlineStr">
        <is>
          <t>DALARNAS LÄN</t>
        </is>
      </c>
      <c r="E31" t="inlineStr">
        <is>
          <t>MORA</t>
        </is>
      </c>
      <c r="G31" t="n">
        <v>12.4</v>
      </c>
      <c r="H31" t="n">
        <v>4</v>
      </c>
      <c r="I31" t="n">
        <v>3</v>
      </c>
      <c r="J31" t="n">
        <v>5</v>
      </c>
      <c r="K31" t="n">
        <v>2</v>
      </c>
      <c r="L31" t="n">
        <v>0</v>
      </c>
      <c r="M31" t="n">
        <v>0</v>
      </c>
      <c r="N31" t="n">
        <v>0</v>
      </c>
      <c r="O31" t="n">
        <v>7</v>
      </c>
      <c r="P31" t="n">
        <v>2</v>
      </c>
      <c r="Q31" t="n">
        <v>11</v>
      </c>
      <c r="R31" s="2" t="inlineStr">
        <is>
          <t>Garnlav
Knärot
Kattfotslav
Tallticka
Talltita
Tretåig hackspett
Vitgrynig nållav
Mindre märgborre
Nästlav
Thomsons trägnagare
Fläcknycklar</t>
        </is>
      </c>
      <c r="S31">
        <f>HYPERLINK("https://klasma.github.io/Logging_2062/artfynd/A 31562-2025 artfynd.xlsx", "A 31562-2025")</f>
        <v/>
      </c>
      <c r="T31">
        <f>HYPERLINK("https://klasma.github.io/Logging_2062/kartor/A 31562-2025 karta.png", "A 31562-2025")</f>
        <v/>
      </c>
      <c r="U31">
        <f>HYPERLINK("https://klasma.github.io/Logging_2062/knärot/A 31562-2025 karta knärot.png", "A 31562-2025")</f>
        <v/>
      </c>
      <c r="V31">
        <f>HYPERLINK("https://klasma.github.io/Logging_2062/klagomål/A 31562-2025 FSC-klagomål.docx", "A 31562-2025")</f>
        <v/>
      </c>
      <c r="W31">
        <f>HYPERLINK("https://klasma.github.io/Logging_2062/klagomålsmail/A 31562-2025 FSC-klagomål mail.docx", "A 31562-2025")</f>
        <v/>
      </c>
      <c r="X31">
        <f>HYPERLINK("https://klasma.github.io/Logging_2062/tillsyn/A 31562-2025 tillsynsbegäran.docx", "A 31562-2025")</f>
        <v/>
      </c>
      <c r="Y31">
        <f>HYPERLINK("https://klasma.github.io/Logging_2062/tillsynsmail/A 31562-2025 tillsynsbegäran mail.docx", "A 31562-2025")</f>
        <v/>
      </c>
      <c r="Z31">
        <f>HYPERLINK("https://klasma.github.io/Logging_2062/fåglar/A 31562-2025 prioriterade fågelarter.docx", "A 31562-2025")</f>
        <v/>
      </c>
    </row>
    <row r="32" ht="15" customHeight="1">
      <c r="A32" t="inlineStr">
        <is>
          <t>A 61943-2024</t>
        </is>
      </c>
      <c r="B32" s="1" t="n">
        <v>45653</v>
      </c>
      <c r="C32" s="1" t="n">
        <v>46194</v>
      </c>
      <c r="D32" t="inlineStr">
        <is>
          <t>DALARNAS LÄN</t>
        </is>
      </c>
      <c r="E32" t="inlineStr">
        <is>
          <t>MORA</t>
        </is>
      </c>
      <c r="G32" t="n">
        <v>4.3</v>
      </c>
      <c r="H32" t="n">
        <v>2</v>
      </c>
      <c r="I32" t="n">
        <v>1</v>
      </c>
      <c r="J32" t="n">
        <v>7</v>
      </c>
      <c r="K32" t="n">
        <v>1</v>
      </c>
      <c r="L32" t="n">
        <v>0</v>
      </c>
      <c r="M32" t="n">
        <v>0</v>
      </c>
      <c r="N32" t="n">
        <v>0</v>
      </c>
      <c r="O32" t="n">
        <v>8</v>
      </c>
      <c r="P32" t="n">
        <v>1</v>
      </c>
      <c r="Q32" t="n">
        <v>11</v>
      </c>
      <c r="R32" s="2" t="inlineStr">
        <is>
          <t>Garnlav
Dvärgbägarlav
Lunglav
Mörk kolflarnlav
Tallticka
Vedskivlav
Violettgrå tagellav
Vitgrynig nållav
Mindre märgborre
Spillkråka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35944-2024</t>
        </is>
      </c>
      <c r="B33" s="1" t="n">
        <v>45533</v>
      </c>
      <c r="C33" s="1" t="n">
        <v>46194</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46194</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46194</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57661-2025</t>
        </is>
      </c>
      <c r="B36" s="1" t="n">
        <v>45981</v>
      </c>
      <c r="C36" s="1" t="n">
        <v>46194</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41794-2025</t>
        </is>
      </c>
      <c r="B37" s="1" t="n">
        <v>45902</v>
      </c>
      <c r="C37" s="1" t="n">
        <v>46194</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61259-2023</t>
        </is>
      </c>
      <c r="B38" s="1" t="n">
        <v>45264</v>
      </c>
      <c r="C38" s="1" t="n">
        <v>46194</v>
      </c>
      <c r="D38" t="inlineStr">
        <is>
          <t>DALARNAS LÄN</t>
        </is>
      </c>
      <c r="E38" t="inlineStr">
        <is>
          <t>MORA</t>
        </is>
      </c>
      <c r="F38" t="inlineStr">
        <is>
          <t>Allmännings- och besparingsskogar</t>
        </is>
      </c>
      <c r="G38" t="n">
        <v>1</v>
      </c>
      <c r="H38" t="n">
        <v>1</v>
      </c>
      <c r="I38" t="n">
        <v>4</v>
      </c>
      <c r="J38" t="n">
        <v>2</v>
      </c>
      <c r="K38" t="n">
        <v>2</v>
      </c>
      <c r="L38" t="n">
        <v>0</v>
      </c>
      <c r="M38" t="n">
        <v>0</v>
      </c>
      <c r="N38" t="n">
        <v>0</v>
      </c>
      <c r="O38" t="n">
        <v>4</v>
      </c>
      <c r="P38" t="n">
        <v>2</v>
      </c>
      <c r="Q38" t="n">
        <v>8</v>
      </c>
      <c r="R38" s="2" t="inlineStr">
        <is>
          <t>Garnlav
Knärot
Brunpudrad nållav
Vitgrynig nållav
Bollvitmossa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33380-2025</t>
        </is>
      </c>
      <c r="B39" s="1" t="n">
        <v>45841</v>
      </c>
      <c r="C39" s="1" t="n">
        <v>46194</v>
      </c>
      <c r="D39" t="inlineStr">
        <is>
          <t>DALARNAS LÄN</t>
        </is>
      </c>
      <c r="E39" t="inlineStr">
        <is>
          <t>MORA</t>
        </is>
      </c>
      <c r="G39" t="n">
        <v>6.6</v>
      </c>
      <c r="H39" t="n">
        <v>5</v>
      </c>
      <c r="I39" t="n">
        <v>1</v>
      </c>
      <c r="J39" t="n">
        <v>4</v>
      </c>
      <c r="K39" t="n">
        <v>1</v>
      </c>
      <c r="L39" t="n">
        <v>0</v>
      </c>
      <c r="M39" t="n">
        <v>0</v>
      </c>
      <c r="N39" t="n">
        <v>0</v>
      </c>
      <c r="O39" t="n">
        <v>5</v>
      </c>
      <c r="P39" t="n">
        <v>1</v>
      </c>
      <c r="Q39" t="n">
        <v>8</v>
      </c>
      <c r="R39" s="2" t="inlineStr">
        <is>
          <t>Garnlav
Rödvingetrast
Talltita
Tretåig hackspett
Ullticka
Mindre märgborre
Spillkråka
Revlummer</t>
        </is>
      </c>
      <c r="S39">
        <f>HYPERLINK("https://klasma.github.io/Logging_2062/artfynd/A 33380-2025 artfynd.xlsx", "A 33380-2025")</f>
        <v/>
      </c>
      <c r="T39">
        <f>HYPERLINK("https://klasma.github.io/Logging_2062/kartor/A 33380-2025 karta.png", "A 33380-2025")</f>
        <v/>
      </c>
      <c r="V39">
        <f>HYPERLINK("https://klasma.github.io/Logging_2062/klagomål/A 33380-2025 FSC-klagomål.docx", "A 33380-2025")</f>
        <v/>
      </c>
      <c r="W39">
        <f>HYPERLINK("https://klasma.github.io/Logging_2062/klagomålsmail/A 33380-2025 FSC-klagomål mail.docx", "A 33380-2025")</f>
        <v/>
      </c>
      <c r="X39">
        <f>HYPERLINK("https://klasma.github.io/Logging_2062/tillsyn/A 33380-2025 tillsynsbegäran.docx", "A 33380-2025")</f>
        <v/>
      </c>
      <c r="Y39">
        <f>HYPERLINK("https://klasma.github.io/Logging_2062/tillsynsmail/A 33380-2025 tillsynsbegäran mail.docx", "A 33380-2025")</f>
        <v/>
      </c>
      <c r="Z39">
        <f>HYPERLINK("https://klasma.github.io/Logging_2062/fåglar/A 33380-2025 prioriterade fågelarter.docx", "A 33380-2025")</f>
        <v/>
      </c>
    </row>
    <row r="40" ht="15" customHeight="1">
      <c r="A40" t="inlineStr">
        <is>
          <t>A 2762-2026</t>
        </is>
      </c>
      <c r="B40" s="1" t="n">
        <v>46036</v>
      </c>
      <c r="C40" s="1" t="n">
        <v>46194</v>
      </c>
      <c r="D40" t="inlineStr">
        <is>
          <t>DALARNAS LÄN</t>
        </is>
      </c>
      <c r="E40" t="inlineStr">
        <is>
          <t>MORA</t>
        </is>
      </c>
      <c r="G40" t="n">
        <v>5.7</v>
      </c>
      <c r="H40" t="n">
        <v>2</v>
      </c>
      <c r="I40" t="n">
        <v>1</v>
      </c>
      <c r="J40" t="n">
        <v>5</v>
      </c>
      <c r="K40" t="n">
        <v>1</v>
      </c>
      <c r="L40" t="n">
        <v>0</v>
      </c>
      <c r="M40" t="n">
        <v>0</v>
      </c>
      <c r="N40" t="n">
        <v>0</v>
      </c>
      <c r="O40" t="n">
        <v>6</v>
      </c>
      <c r="P40" t="n">
        <v>1</v>
      </c>
      <c r="Q40" t="n">
        <v>8</v>
      </c>
      <c r="R40" s="2" t="inlineStr">
        <is>
          <t>Garnlav
Kolflarnlav
Mörk kolflarnlav
Tretåig hackspett
Vedflamlav
Vedskivlav
Mindre märgborre
Spillkråka</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62154-2025</t>
        </is>
      </c>
      <c r="B41" s="1" t="n">
        <v>46006</v>
      </c>
      <c r="C41" s="1" t="n">
        <v>46194</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46194</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46194</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46194</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46194</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46194</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46194</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61770-2025</t>
        </is>
      </c>
      <c r="B48" s="1" t="n">
        <v>46002</v>
      </c>
      <c r="C48" s="1" t="n">
        <v>46194</v>
      </c>
      <c r="D48" t="inlineStr">
        <is>
          <t>DALARNAS LÄN</t>
        </is>
      </c>
      <c r="E48" t="inlineStr">
        <is>
          <t>MORA</t>
        </is>
      </c>
      <c r="G48" t="n">
        <v>10.2</v>
      </c>
      <c r="H48" t="n">
        <v>2</v>
      </c>
      <c r="I48" t="n">
        <v>1</v>
      </c>
      <c r="J48" t="n">
        <v>2</v>
      </c>
      <c r="K48" t="n">
        <v>1</v>
      </c>
      <c r="L48" t="n">
        <v>0</v>
      </c>
      <c r="M48" t="n">
        <v>0</v>
      </c>
      <c r="N48" t="n">
        <v>0</v>
      </c>
      <c r="O48" t="n">
        <v>3</v>
      </c>
      <c r="P48" t="n">
        <v>1</v>
      </c>
      <c r="Q48" t="n">
        <v>5</v>
      </c>
      <c r="R48" s="2" t="inlineStr">
        <is>
          <t>Garnlav
Talltagel
Tretåig hackspett
Mindre märgborre
Spillkråka</t>
        </is>
      </c>
      <c r="S48">
        <f>HYPERLINK("https://klasma.github.io/Logging_2062/artfynd/A 61770-2025 artfynd.xlsx", "A 61770-2025")</f>
        <v/>
      </c>
      <c r="T48">
        <f>HYPERLINK("https://klasma.github.io/Logging_2062/kartor/A 61770-2025 karta.png", "A 61770-2025")</f>
        <v/>
      </c>
      <c r="V48">
        <f>HYPERLINK("https://klasma.github.io/Logging_2062/klagomål/A 61770-2025 FSC-klagomål.docx", "A 61770-2025")</f>
        <v/>
      </c>
      <c r="W48">
        <f>HYPERLINK("https://klasma.github.io/Logging_2062/klagomålsmail/A 61770-2025 FSC-klagomål mail.docx", "A 61770-2025")</f>
        <v/>
      </c>
      <c r="X48">
        <f>HYPERLINK("https://klasma.github.io/Logging_2062/tillsyn/A 61770-2025 tillsynsbegäran.docx", "A 61770-2025")</f>
        <v/>
      </c>
      <c r="Y48">
        <f>HYPERLINK("https://klasma.github.io/Logging_2062/tillsynsmail/A 61770-2025 tillsynsbegäran mail.docx", "A 61770-2025")</f>
        <v/>
      </c>
      <c r="Z48">
        <f>HYPERLINK("https://klasma.github.io/Logging_2062/fåglar/A 61770-2025 prioriterade fågelarter.docx", "A 61770-2025")</f>
        <v/>
      </c>
    </row>
    <row r="49" ht="15" customHeight="1">
      <c r="A49" t="inlineStr">
        <is>
          <t>A 31539-2025</t>
        </is>
      </c>
      <c r="B49" s="1" t="n">
        <v>45833</v>
      </c>
      <c r="C49" s="1" t="n">
        <v>46194</v>
      </c>
      <c r="D49" t="inlineStr">
        <is>
          <t>DALARNAS LÄN</t>
        </is>
      </c>
      <c r="E49" t="inlineStr">
        <is>
          <t>MORA</t>
        </is>
      </c>
      <c r="G49" t="n">
        <v>5.3</v>
      </c>
      <c r="H49" t="n">
        <v>2</v>
      </c>
      <c r="I49" t="n">
        <v>1</v>
      </c>
      <c r="J49" t="n">
        <v>3</v>
      </c>
      <c r="K49" t="n">
        <v>1</v>
      </c>
      <c r="L49" t="n">
        <v>0</v>
      </c>
      <c r="M49" t="n">
        <v>0</v>
      </c>
      <c r="N49" t="n">
        <v>0</v>
      </c>
      <c r="O49" t="n">
        <v>4</v>
      </c>
      <c r="P49" t="n">
        <v>1</v>
      </c>
      <c r="Q49" t="n">
        <v>5</v>
      </c>
      <c r="R49" s="2" t="inlineStr">
        <is>
          <t>Knärot
Kattfotslav
Tallticka
Talltita
Bollvitmossa</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15203-2026</t>
        </is>
      </c>
      <c r="B50" s="1" t="n">
        <v>46105</v>
      </c>
      <c r="C50" s="1" t="n">
        <v>46194</v>
      </c>
      <c r="D50" t="inlineStr">
        <is>
          <t>DALARNAS LÄN</t>
        </is>
      </c>
      <c r="E50" t="inlineStr">
        <is>
          <t>MORA</t>
        </is>
      </c>
      <c r="G50" t="n">
        <v>2.5</v>
      </c>
      <c r="H50" t="n">
        <v>1</v>
      </c>
      <c r="I50" t="n">
        <v>1</v>
      </c>
      <c r="J50" t="n">
        <v>2</v>
      </c>
      <c r="K50" t="n">
        <v>1</v>
      </c>
      <c r="L50" t="n">
        <v>0</v>
      </c>
      <c r="M50" t="n">
        <v>0</v>
      </c>
      <c r="N50" t="n">
        <v>0</v>
      </c>
      <c r="O50" t="n">
        <v>3</v>
      </c>
      <c r="P50" t="n">
        <v>1</v>
      </c>
      <c r="Q50" t="n">
        <v>5</v>
      </c>
      <c r="R50" s="2" t="inlineStr">
        <is>
          <t>Garnlav
Talltagel
Tallticka
Mindre märgborre
Spillkråka</t>
        </is>
      </c>
      <c r="S50">
        <f>HYPERLINK("https://klasma.github.io/Logging_2062/artfynd/A 15203-2026 artfynd.xlsx", "A 15203-2026")</f>
        <v/>
      </c>
      <c r="T50">
        <f>HYPERLINK("https://klasma.github.io/Logging_2062/kartor/A 15203-2026 karta.png", "A 15203-2026")</f>
        <v/>
      </c>
      <c r="V50">
        <f>HYPERLINK("https://klasma.github.io/Logging_2062/klagomål/A 15203-2026 FSC-klagomål.docx", "A 15203-2026")</f>
        <v/>
      </c>
      <c r="W50">
        <f>HYPERLINK("https://klasma.github.io/Logging_2062/klagomålsmail/A 15203-2026 FSC-klagomål mail.docx", "A 15203-2026")</f>
        <v/>
      </c>
      <c r="X50">
        <f>HYPERLINK("https://klasma.github.io/Logging_2062/tillsyn/A 15203-2026 tillsynsbegäran.docx", "A 15203-2026")</f>
        <v/>
      </c>
      <c r="Y50">
        <f>HYPERLINK("https://klasma.github.io/Logging_2062/tillsynsmail/A 15203-2026 tillsynsbegäran mail.docx", "A 15203-2026")</f>
        <v/>
      </c>
      <c r="Z50">
        <f>HYPERLINK("https://klasma.github.io/Logging_2062/fåglar/A 15203-2026 prioriterade fågelarter.docx", "A 15203-2026")</f>
        <v/>
      </c>
    </row>
    <row r="51" ht="15" customHeight="1">
      <c r="A51" t="inlineStr">
        <is>
          <t>A 58478-2025</t>
        </is>
      </c>
      <c r="B51" s="1" t="n">
        <v>45985</v>
      </c>
      <c r="C51" s="1" t="n">
        <v>46194</v>
      </c>
      <c r="D51" t="inlineStr">
        <is>
          <t>DALARNAS LÄN</t>
        </is>
      </c>
      <c r="E51" t="inlineStr">
        <is>
          <t>MORA</t>
        </is>
      </c>
      <c r="G51" t="n">
        <v>6</v>
      </c>
      <c r="H51" t="n">
        <v>2</v>
      </c>
      <c r="I51" t="n">
        <v>1</v>
      </c>
      <c r="J51" t="n">
        <v>2</v>
      </c>
      <c r="K51" t="n">
        <v>1</v>
      </c>
      <c r="L51" t="n">
        <v>0</v>
      </c>
      <c r="M51" t="n">
        <v>0</v>
      </c>
      <c r="N51" t="n">
        <v>0</v>
      </c>
      <c r="O51" t="n">
        <v>3</v>
      </c>
      <c r="P51" t="n">
        <v>1</v>
      </c>
      <c r="Q51" t="n">
        <v>5</v>
      </c>
      <c r="R51" s="2" t="inlineStr">
        <is>
          <t>Garnlav
Skogshare
Tretåig hackspett
Mindre märgborre
Spillkråka</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17648-2024</t>
        </is>
      </c>
      <c r="B52" s="1" t="n">
        <v>45418</v>
      </c>
      <c r="C52" s="1" t="n">
        <v>46194</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28964-2024</t>
        </is>
      </c>
      <c r="B53" s="1" t="n">
        <v>45481</v>
      </c>
      <c r="C53" s="1" t="n">
        <v>46194</v>
      </c>
      <c r="D53" t="inlineStr">
        <is>
          <t>DALARNAS LÄN</t>
        </is>
      </c>
      <c r="E53" t="inlineStr">
        <is>
          <t>MORA</t>
        </is>
      </c>
      <c r="G53" t="n">
        <v>1.3</v>
      </c>
      <c r="H53" t="n">
        <v>0</v>
      </c>
      <c r="I53" t="n">
        <v>0</v>
      </c>
      <c r="J53" t="n">
        <v>2</v>
      </c>
      <c r="K53" t="n">
        <v>2</v>
      </c>
      <c r="L53" t="n">
        <v>0</v>
      </c>
      <c r="M53" t="n">
        <v>0</v>
      </c>
      <c r="N53" t="n">
        <v>0</v>
      </c>
      <c r="O53" t="n">
        <v>4</v>
      </c>
      <c r="P53" t="n">
        <v>2</v>
      </c>
      <c r="Q53" t="n">
        <v>4</v>
      </c>
      <c r="R53" s="2" t="inlineStr">
        <is>
          <t>Lammticka
Tallgråticka
Kötticka
Tallfingersvamp</t>
        </is>
      </c>
      <c r="S53">
        <f>HYPERLINK("https://klasma.github.io/Logging_2062/artfynd/A 28964-2024 artfynd.xlsx", "A 28964-2024")</f>
        <v/>
      </c>
      <c r="T53">
        <f>HYPERLINK("https://klasma.github.io/Logging_2062/kartor/A 28964-2024 karta.png", "A 28964-2024")</f>
        <v/>
      </c>
      <c r="V53">
        <f>HYPERLINK("https://klasma.github.io/Logging_2062/klagomål/A 28964-2024 FSC-klagomål.docx", "A 28964-2024")</f>
        <v/>
      </c>
      <c r="W53">
        <f>HYPERLINK("https://klasma.github.io/Logging_2062/klagomålsmail/A 28964-2024 FSC-klagomål mail.docx", "A 28964-2024")</f>
        <v/>
      </c>
      <c r="X53">
        <f>HYPERLINK("https://klasma.github.io/Logging_2062/tillsyn/A 28964-2024 tillsynsbegäran.docx", "A 28964-2024")</f>
        <v/>
      </c>
      <c r="Y53">
        <f>HYPERLINK("https://klasma.github.io/Logging_2062/tillsynsmail/A 28964-2024 tillsynsbegäran mail.docx", "A 28964-2024")</f>
        <v/>
      </c>
    </row>
    <row r="54" ht="15" customHeight="1">
      <c r="A54" t="inlineStr">
        <is>
          <t>A 39481-2025</t>
        </is>
      </c>
      <c r="B54" s="1" t="n">
        <v>45890</v>
      </c>
      <c r="C54" s="1" t="n">
        <v>46194</v>
      </c>
      <c r="D54" t="inlineStr">
        <is>
          <t>DALARNAS LÄN</t>
        </is>
      </c>
      <c r="E54" t="inlineStr">
        <is>
          <t>MORA</t>
        </is>
      </c>
      <c r="G54" t="n">
        <v>0.6</v>
      </c>
      <c r="H54" t="n">
        <v>2</v>
      </c>
      <c r="I54" t="n">
        <v>0</v>
      </c>
      <c r="J54" t="n">
        <v>2</v>
      </c>
      <c r="K54" t="n">
        <v>1</v>
      </c>
      <c r="L54" t="n">
        <v>0</v>
      </c>
      <c r="M54" t="n">
        <v>0</v>
      </c>
      <c r="N54" t="n">
        <v>0</v>
      </c>
      <c r="O54" t="n">
        <v>3</v>
      </c>
      <c r="P54" t="n">
        <v>1</v>
      </c>
      <c r="Q54" t="n">
        <v>4</v>
      </c>
      <c r="R54" s="2" t="inlineStr">
        <is>
          <t>Garnlav
Tretåig hackspett
Vedskivlav
Spillkråka</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32222-2025</t>
        </is>
      </c>
      <c r="B55" s="1" t="n">
        <v>45835</v>
      </c>
      <c r="C55" s="1" t="n">
        <v>46194</v>
      </c>
      <c r="D55" t="inlineStr">
        <is>
          <t>DALARNAS LÄN</t>
        </is>
      </c>
      <c r="E55" t="inlineStr">
        <is>
          <t>MORA</t>
        </is>
      </c>
      <c r="G55" t="n">
        <v>11.5</v>
      </c>
      <c r="H55" t="n">
        <v>1</v>
      </c>
      <c r="I55" t="n">
        <v>0</v>
      </c>
      <c r="J55" t="n">
        <v>3</v>
      </c>
      <c r="K55" t="n">
        <v>1</v>
      </c>
      <c r="L55" t="n">
        <v>0</v>
      </c>
      <c r="M55" t="n">
        <v>0</v>
      </c>
      <c r="N55" t="n">
        <v>0</v>
      </c>
      <c r="O55" t="n">
        <v>4</v>
      </c>
      <c r="P55" t="n">
        <v>1</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34715-2025</t>
        </is>
      </c>
      <c r="B56" s="1" t="n">
        <v>45848</v>
      </c>
      <c r="C56" s="1" t="n">
        <v>46194</v>
      </c>
      <c r="D56" t="inlineStr">
        <is>
          <t>DALARNAS LÄN</t>
        </is>
      </c>
      <c r="E56" t="inlineStr">
        <is>
          <t>MORA</t>
        </is>
      </c>
      <c r="G56" t="n">
        <v>8.5</v>
      </c>
      <c r="H56" t="n">
        <v>2</v>
      </c>
      <c r="I56" t="n">
        <v>0</v>
      </c>
      <c r="J56" t="n">
        <v>2</v>
      </c>
      <c r="K56" t="n">
        <v>2</v>
      </c>
      <c r="L56" t="n">
        <v>0</v>
      </c>
      <c r="M56" t="n">
        <v>0</v>
      </c>
      <c r="N56" t="n">
        <v>0</v>
      </c>
      <c r="O56" t="n">
        <v>4</v>
      </c>
      <c r="P56" t="n">
        <v>2</v>
      </c>
      <c r="Q56" t="n">
        <v>4</v>
      </c>
      <c r="R56" s="2" t="inlineStr">
        <is>
          <t>Garnlav
Knärot
Tallticka
Tretåig hackspett</t>
        </is>
      </c>
      <c r="S56">
        <f>HYPERLINK("https://klasma.github.io/Logging_2062/artfynd/A 34715-2025 artfynd.xlsx", "A 34715-2025")</f>
        <v/>
      </c>
      <c r="T56">
        <f>HYPERLINK("https://klasma.github.io/Logging_2062/kartor/A 34715-2025 karta.png", "A 34715-2025")</f>
        <v/>
      </c>
      <c r="U56">
        <f>HYPERLINK("https://klasma.github.io/Logging_2062/knärot/A 34715-2025 karta knärot.png", "A 34715-2025")</f>
        <v/>
      </c>
      <c r="V56">
        <f>HYPERLINK("https://klasma.github.io/Logging_2062/klagomål/A 34715-2025 FSC-klagomål.docx", "A 34715-2025")</f>
        <v/>
      </c>
      <c r="W56">
        <f>HYPERLINK("https://klasma.github.io/Logging_2062/klagomålsmail/A 34715-2025 FSC-klagomål mail.docx", "A 34715-2025")</f>
        <v/>
      </c>
      <c r="X56">
        <f>HYPERLINK("https://klasma.github.io/Logging_2062/tillsyn/A 34715-2025 tillsynsbegäran.docx", "A 34715-2025")</f>
        <v/>
      </c>
      <c r="Y56">
        <f>HYPERLINK("https://klasma.github.io/Logging_2062/tillsynsmail/A 34715-2025 tillsynsbegäran mail.docx", "A 34715-2025")</f>
        <v/>
      </c>
      <c r="Z56">
        <f>HYPERLINK("https://klasma.github.io/Logging_2062/fåglar/A 34715-2025 prioriterade fågelarter.docx", "A 34715-2025")</f>
        <v/>
      </c>
    </row>
    <row r="57" ht="15" customHeight="1">
      <c r="A57" t="inlineStr">
        <is>
          <t>A 11973-2026</t>
        </is>
      </c>
      <c r="B57" s="1" t="n">
        <v>46085</v>
      </c>
      <c r="C57" s="1" t="n">
        <v>46194</v>
      </c>
      <c r="D57" t="inlineStr">
        <is>
          <t>DALARNAS LÄN</t>
        </is>
      </c>
      <c r="E57" t="inlineStr">
        <is>
          <t>MORA</t>
        </is>
      </c>
      <c r="G57" t="n">
        <v>5.4</v>
      </c>
      <c r="H57" t="n">
        <v>1</v>
      </c>
      <c r="I57" t="n">
        <v>1</v>
      </c>
      <c r="J57" t="n">
        <v>1</v>
      </c>
      <c r="K57" t="n">
        <v>1</v>
      </c>
      <c r="L57" t="n">
        <v>0</v>
      </c>
      <c r="M57" t="n">
        <v>0</v>
      </c>
      <c r="N57" t="n">
        <v>0</v>
      </c>
      <c r="O57" t="n">
        <v>2</v>
      </c>
      <c r="P57" t="n">
        <v>1</v>
      </c>
      <c r="Q57" t="n">
        <v>4</v>
      </c>
      <c r="R57" s="2" t="inlineStr">
        <is>
          <t>Garnlav
Mörk kolflarnlav
Mindre märgborre
Spillkråka</t>
        </is>
      </c>
      <c r="S57">
        <f>HYPERLINK("https://klasma.github.io/Logging_2062/artfynd/A 11973-2026 artfynd.xlsx", "A 11973-2026")</f>
        <v/>
      </c>
      <c r="T57">
        <f>HYPERLINK("https://klasma.github.io/Logging_2062/kartor/A 11973-2026 karta.png", "A 11973-2026")</f>
        <v/>
      </c>
      <c r="V57">
        <f>HYPERLINK("https://klasma.github.io/Logging_2062/klagomål/A 11973-2026 FSC-klagomål.docx", "A 11973-2026")</f>
        <v/>
      </c>
      <c r="W57">
        <f>HYPERLINK("https://klasma.github.io/Logging_2062/klagomålsmail/A 11973-2026 FSC-klagomål mail.docx", "A 11973-2026")</f>
        <v/>
      </c>
      <c r="X57">
        <f>HYPERLINK("https://klasma.github.io/Logging_2062/tillsyn/A 11973-2026 tillsynsbegäran.docx", "A 11973-2026")</f>
        <v/>
      </c>
      <c r="Y57">
        <f>HYPERLINK("https://klasma.github.io/Logging_2062/tillsynsmail/A 11973-2026 tillsynsbegäran mail.docx", "A 11973-2026")</f>
        <v/>
      </c>
      <c r="Z57">
        <f>HYPERLINK("https://klasma.github.io/Logging_2062/fåglar/A 11973-2026 prioriterade fågelarter.docx", "A 11973-2026")</f>
        <v/>
      </c>
    </row>
    <row r="58" ht="15" customHeight="1">
      <c r="A58" t="inlineStr">
        <is>
          <t>A 38769-2021</t>
        </is>
      </c>
      <c r="B58" s="1" t="n">
        <v>44410</v>
      </c>
      <c r="C58" s="1" t="n">
        <v>46194</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46194</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54919-2025</t>
        </is>
      </c>
      <c r="B60" s="1" t="n">
        <v>45967</v>
      </c>
      <c r="C60" s="1" t="n">
        <v>46194</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54919-2025 artfynd.xlsx", "A 54919-2025")</f>
        <v/>
      </c>
      <c r="T60">
        <f>HYPERLINK("https://klasma.github.io/Logging_2062/kartor/A 54919-2025 karta.png", "A 54919-2025")</f>
        <v/>
      </c>
      <c r="V60">
        <f>HYPERLINK("https://klasma.github.io/Logging_2062/klagomål/A 54919-2025 FSC-klagomål.docx", "A 54919-2025")</f>
        <v/>
      </c>
      <c r="W60">
        <f>HYPERLINK("https://klasma.github.io/Logging_2062/klagomålsmail/A 54919-2025 FSC-klagomål mail.docx", "A 54919-2025")</f>
        <v/>
      </c>
      <c r="X60">
        <f>HYPERLINK("https://klasma.github.io/Logging_2062/tillsyn/A 54919-2025 tillsynsbegäran.docx", "A 54919-2025")</f>
        <v/>
      </c>
      <c r="Y60">
        <f>HYPERLINK("https://klasma.github.io/Logging_2062/tillsynsmail/A 54919-2025 tillsynsbegäran mail.docx", "A 54919-2025")</f>
        <v/>
      </c>
    </row>
    <row r="61" ht="15" customHeight="1">
      <c r="A61" t="inlineStr">
        <is>
          <t>A 54868-2025</t>
        </is>
      </c>
      <c r="B61" s="1" t="n">
        <v>45966</v>
      </c>
      <c r="C61" s="1" t="n">
        <v>46194</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54868-2025 artfynd.xlsx", "A 54868-2025")</f>
        <v/>
      </c>
      <c r="T61">
        <f>HYPERLINK("https://klasma.github.io/Logging_2062/kartor/A 54868-2025 karta.png", "A 54868-2025")</f>
        <v/>
      </c>
      <c r="V61">
        <f>HYPERLINK("https://klasma.github.io/Logging_2062/klagomål/A 54868-2025 FSC-klagomål.docx", "A 54868-2025")</f>
        <v/>
      </c>
      <c r="W61">
        <f>HYPERLINK("https://klasma.github.io/Logging_2062/klagomålsmail/A 54868-2025 FSC-klagomål mail.docx", "A 54868-2025")</f>
        <v/>
      </c>
      <c r="X61">
        <f>HYPERLINK("https://klasma.github.io/Logging_2062/tillsyn/A 54868-2025 tillsynsbegäran.docx", "A 54868-2025")</f>
        <v/>
      </c>
      <c r="Y61">
        <f>HYPERLINK("https://klasma.github.io/Logging_2062/tillsynsmail/A 54868-2025 tillsynsbegäran mail.docx", "A 54868-2025")</f>
        <v/>
      </c>
    </row>
    <row r="62" ht="15" customHeight="1">
      <c r="A62" t="inlineStr">
        <is>
          <t>A 62620-2025</t>
        </is>
      </c>
      <c r="B62" s="1" t="n">
        <v>46008</v>
      </c>
      <c r="C62" s="1" t="n">
        <v>46194</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46194</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36058-2024</t>
        </is>
      </c>
      <c r="B64" s="1" t="n">
        <v>45533</v>
      </c>
      <c r="C64" s="1" t="n">
        <v>46194</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20538-2025</t>
        </is>
      </c>
      <c r="B65" s="1" t="n">
        <v>45775</v>
      </c>
      <c r="C65" s="1" t="n">
        <v>46194</v>
      </c>
      <c r="D65" t="inlineStr">
        <is>
          <t>DALARNAS LÄN</t>
        </is>
      </c>
      <c r="E65" t="inlineStr">
        <is>
          <t>MORA</t>
        </is>
      </c>
      <c r="G65" t="n">
        <v>0.9</v>
      </c>
      <c r="H65" t="n">
        <v>0</v>
      </c>
      <c r="I65" t="n">
        <v>1</v>
      </c>
      <c r="J65" t="n">
        <v>0</v>
      </c>
      <c r="K65" t="n">
        <v>1</v>
      </c>
      <c r="L65" t="n">
        <v>0</v>
      </c>
      <c r="M65" t="n">
        <v>0</v>
      </c>
      <c r="N65" t="n">
        <v>0</v>
      </c>
      <c r="O65" t="n">
        <v>1</v>
      </c>
      <c r="P65" t="n">
        <v>1</v>
      </c>
      <c r="Q65" t="n">
        <v>2</v>
      </c>
      <c r="R65" s="2" t="inlineStr">
        <is>
          <t>Garnlav
Mindre märgborre</t>
        </is>
      </c>
      <c r="S65">
        <f>HYPERLINK("https://klasma.github.io/Logging_2062/artfynd/A 20538-2025 artfynd.xlsx", "A 20538-2025")</f>
        <v/>
      </c>
      <c r="T65">
        <f>HYPERLINK("https://klasma.github.io/Logging_2062/kartor/A 20538-2025 karta.png", "A 20538-2025")</f>
        <v/>
      </c>
      <c r="V65">
        <f>HYPERLINK("https://klasma.github.io/Logging_2062/klagomål/A 20538-2025 FSC-klagomål.docx", "A 20538-2025")</f>
        <v/>
      </c>
      <c r="W65">
        <f>HYPERLINK("https://klasma.github.io/Logging_2062/klagomålsmail/A 20538-2025 FSC-klagomål mail.docx", "A 20538-2025")</f>
        <v/>
      </c>
      <c r="X65">
        <f>HYPERLINK("https://klasma.github.io/Logging_2062/tillsyn/A 20538-2025 tillsynsbegäran.docx", "A 20538-2025")</f>
        <v/>
      </c>
      <c r="Y65">
        <f>HYPERLINK("https://klasma.github.io/Logging_2062/tillsynsmail/A 20538-2025 tillsynsbegäran mail.docx", "A 20538-2025")</f>
        <v/>
      </c>
    </row>
    <row r="66" ht="15" customHeight="1">
      <c r="A66" t="inlineStr">
        <is>
          <t>A 13717-2023</t>
        </is>
      </c>
      <c r="B66" s="1" t="n">
        <v>45007</v>
      </c>
      <c r="C66" s="1" t="n">
        <v>46194</v>
      </c>
      <c r="D66" t="inlineStr">
        <is>
          <t>DALARNAS LÄN</t>
        </is>
      </c>
      <c r="E66" t="inlineStr">
        <is>
          <t>MORA</t>
        </is>
      </c>
      <c r="G66" t="n">
        <v>5.6</v>
      </c>
      <c r="H66" t="n">
        <v>1</v>
      </c>
      <c r="I66" t="n">
        <v>0</v>
      </c>
      <c r="J66" t="n">
        <v>1</v>
      </c>
      <c r="K66" t="n">
        <v>1</v>
      </c>
      <c r="L66" t="n">
        <v>0</v>
      </c>
      <c r="M66" t="n">
        <v>0</v>
      </c>
      <c r="N66" t="n">
        <v>0</v>
      </c>
      <c r="O66" t="n">
        <v>2</v>
      </c>
      <c r="P66" t="n">
        <v>1</v>
      </c>
      <c r="Q66" t="n">
        <v>2</v>
      </c>
      <c r="R66" s="2" t="inlineStr">
        <is>
          <t>Knärot
Slåtterfibbla</t>
        </is>
      </c>
      <c r="S66">
        <f>HYPERLINK("https://klasma.github.io/Logging_2062/artfynd/A 13717-2023 artfynd.xlsx", "A 13717-2023")</f>
        <v/>
      </c>
      <c r="T66">
        <f>HYPERLINK("https://klasma.github.io/Logging_2062/kartor/A 13717-2023 karta.png", "A 13717-2023")</f>
        <v/>
      </c>
      <c r="U66">
        <f>HYPERLINK("https://klasma.github.io/Logging_2062/knärot/A 13717-2023 karta knärot.png", "A 13717-2023")</f>
        <v/>
      </c>
      <c r="V66">
        <f>HYPERLINK("https://klasma.github.io/Logging_2062/klagomål/A 13717-2023 FSC-klagomål.docx", "A 13717-2023")</f>
        <v/>
      </c>
      <c r="W66">
        <f>HYPERLINK("https://klasma.github.io/Logging_2062/klagomålsmail/A 13717-2023 FSC-klagomål mail.docx", "A 13717-2023")</f>
        <v/>
      </c>
      <c r="X66">
        <f>HYPERLINK("https://klasma.github.io/Logging_2062/tillsyn/A 13717-2023 tillsynsbegäran.docx", "A 13717-2023")</f>
        <v/>
      </c>
      <c r="Y66">
        <f>HYPERLINK("https://klasma.github.io/Logging_2062/tillsynsmail/A 13717-2023 tillsynsbegäran mail.docx", "A 13717-2023")</f>
        <v/>
      </c>
    </row>
    <row r="67" ht="15" customHeight="1">
      <c r="A67" t="inlineStr">
        <is>
          <t>A 25749-2023</t>
        </is>
      </c>
      <c r="B67" s="1" t="n">
        <v>45090</v>
      </c>
      <c r="C67" s="1" t="n">
        <v>46194</v>
      </c>
      <c r="D67" t="inlineStr">
        <is>
          <t>DALARNAS LÄN</t>
        </is>
      </c>
      <c r="E67" t="inlineStr">
        <is>
          <t>MORA</t>
        </is>
      </c>
      <c r="G67" t="n">
        <v>2.4</v>
      </c>
      <c r="H67" t="n">
        <v>0</v>
      </c>
      <c r="I67" t="n">
        <v>0</v>
      </c>
      <c r="J67" t="n">
        <v>2</v>
      </c>
      <c r="K67" t="n">
        <v>0</v>
      </c>
      <c r="L67" t="n">
        <v>0</v>
      </c>
      <c r="M67" t="n">
        <v>0</v>
      </c>
      <c r="N67" t="n">
        <v>0</v>
      </c>
      <c r="O67" t="n">
        <v>2</v>
      </c>
      <c r="P67" t="n">
        <v>0</v>
      </c>
      <c r="Q67" t="n">
        <v>2</v>
      </c>
      <c r="R67" s="2" t="inlineStr">
        <is>
          <t>Blå taggsvamp
Orange taggsvamp</t>
        </is>
      </c>
      <c r="S67">
        <f>HYPERLINK("https://klasma.github.io/Logging_2062/artfynd/A 25749-2023 artfynd.xlsx", "A 25749-2023")</f>
        <v/>
      </c>
      <c r="T67">
        <f>HYPERLINK("https://klasma.github.io/Logging_2062/kartor/A 25749-2023 karta.png", "A 25749-2023")</f>
        <v/>
      </c>
      <c r="V67">
        <f>HYPERLINK("https://klasma.github.io/Logging_2062/klagomål/A 25749-2023 FSC-klagomål.docx", "A 25749-2023")</f>
        <v/>
      </c>
      <c r="W67">
        <f>HYPERLINK("https://klasma.github.io/Logging_2062/klagomålsmail/A 25749-2023 FSC-klagomål mail.docx", "A 25749-2023")</f>
        <v/>
      </c>
      <c r="X67">
        <f>HYPERLINK("https://klasma.github.io/Logging_2062/tillsyn/A 25749-2023 tillsynsbegäran.docx", "A 25749-2023")</f>
        <v/>
      </c>
      <c r="Y67">
        <f>HYPERLINK("https://klasma.github.io/Logging_2062/tillsynsmail/A 25749-2023 tillsynsbegäran mail.docx", "A 25749-2023")</f>
        <v/>
      </c>
    </row>
    <row r="68" ht="15" customHeight="1">
      <c r="A68" t="inlineStr">
        <is>
          <t>A 37552-2023</t>
        </is>
      </c>
      <c r="B68" s="1" t="n">
        <v>45159</v>
      </c>
      <c r="C68" s="1" t="n">
        <v>46194</v>
      </c>
      <c r="D68" t="inlineStr">
        <is>
          <t>DALARNAS LÄN</t>
        </is>
      </c>
      <c r="E68" t="inlineStr">
        <is>
          <t>MORA</t>
        </is>
      </c>
      <c r="G68" t="n">
        <v>4</v>
      </c>
      <c r="H68" t="n">
        <v>0</v>
      </c>
      <c r="I68" t="n">
        <v>0</v>
      </c>
      <c r="J68" t="n">
        <v>1</v>
      </c>
      <c r="K68" t="n">
        <v>1</v>
      </c>
      <c r="L68" t="n">
        <v>0</v>
      </c>
      <c r="M68" t="n">
        <v>0</v>
      </c>
      <c r="N68" t="n">
        <v>0</v>
      </c>
      <c r="O68" t="n">
        <v>2</v>
      </c>
      <c r="P68" t="n">
        <v>1</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35068-2025</t>
        </is>
      </c>
      <c r="B69" s="1" t="n">
        <v>45852</v>
      </c>
      <c r="C69" s="1" t="n">
        <v>46194</v>
      </c>
      <c r="D69" t="inlineStr">
        <is>
          <t>DALARNAS LÄN</t>
        </is>
      </c>
      <c r="E69" t="inlineStr">
        <is>
          <t>MORA</t>
        </is>
      </c>
      <c r="G69" t="n">
        <v>0.7</v>
      </c>
      <c r="H69" t="n">
        <v>0</v>
      </c>
      <c r="I69" t="n">
        <v>1</v>
      </c>
      <c r="J69" t="n">
        <v>0</v>
      </c>
      <c r="K69" t="n">
        <v>1</v>
      </c>
      <c r="L69" t="n">
        <v>0</v>
      </c>
      <c r="M69" t="n">
        <v>0</v>
      </c>
      <c r="N69" t="n">
        <v>0</v>
      </c>
      <c r="O69" t="n">
        <v>1</v>
      </c>
      <c r="P69" t="n">
        <v>1</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42391-2023</t>
        </is>
      </c>
      <c r="B70" s="1" t="n">
        <v>45180</v>
      </c>
      <c r="C70" s="1" t="n">
        <v>46194</v>
      </c>
      <c r="D70" t="inlineStr">
        <is>
          <t>DALARNAS LÄN</t>
        </is>
      </c>
      <c r="E70" t="inlineStr">
        <is>
          <t>MORA</t>
        </is>
      </c>
      <c r="F70" t="inlineStr">
        <is>
          <t>Kommuner</t>
        </is>
      </c>
      <c r="G70" t="n">
        <v>0.3</v>
      </c>
      <c r="H70" t="n">
        <v>0</v>
      </c>
      <c r="I70" t="n">
        <v>2</v>
      </c>
      <c r="J70" t="n">
        <v>0</v>
      </c>
      <c r="K70" t="n">
        <v>0</v>
      </c>
      <c r="L70" t="n">
        <v>0</v>
      </c>
      <c r="M70" t="n">
        <v>0</v>
      </c>
      <c r="N70" t="n">
        <v>0</v>
      </c>
      <c r="O70" t="n">
        <v>0</v>
      </c>
      <c r="P70" t="n">
        <v>0</v>
      </c>
      <c r="Q70" t="n">
        <v>2</v>
      </c>
      <c r="R70" s="2" t="inlineStr">
        <is>
          <t>Grön jordtunga
Sotriska</t>
        </is>
      </c>
      <c r="S70">
        <f>HYPERLINK("https://klasma.github.io/Logging_2062/artfynd/A 42391-2023 artfynd.xlsx", "A 42391-2023")</f>
        <v/>
      </c>
      <c r="T70">
        <f>HYPERLINK("https://klasma.github.io/Logging_2062/kartor/A 42391-2023 karta.png", "A 42391-2023")</f>
        <v/>
      </c>
      <c r="V70">
        <f>HYPERLINK("https://klasma.github.io/Logging_2062/klagomål/A 42391-2023 FSC-klagomål.docx", "A 42391-2023")</f>
        <v/>
      </c>
      <c r="W70">
        <f>HYPERLINK("https://klasma.github.io/Logging_2062/klagomålsmail/A 42391-2023 FSC-klagomål mail.docx", "A 42391-2023")</f>
        <v/>
      </c>
      <c r="X70">
        <f>HYPERLINK("https://klasma.github.io/Logging_2062/tillsyn/A 42391-2023 tillsynsbegäran.docx", "A 42391-2023")</f>
        <v/>
      </c>
      <c r="Y70">
        <f>HYPERLINK("https://klasma.github.io/Logging_2062/tillsynsmail/A 42391-2023 tillsynsbegäran mail.docx", "A 42391-2023")</f>
        <v/>
      </c>
    </row>
    <row r="71" ht="15" customHeight="1">
      <c r="A71" t="inlineStr">
        <is>
          <t>A 17163-2025</t>
        </is>
      </c>
      <c r="B71" s="1" t="n">
        <v>45756</v>
      </c>
      <c r="C71" s="1" t="n">
        <v>46194</v>
      </c>
      <c r="D71" t="inlineStr">
        <is>
          <t>DALARNAS LÄN</t>
        </is>
      </c>
      <c r="E71" t="inlineStr">
        <is>
          <t>MORA</t>
        </is>
      </c>
      <c r="F71" t="inlineStr">
        <is>
          <t>Bergvik skog öst AB</t>
        </is>
      </c>
      <c r="G71" t="n">
        <v>0.5</v>
      </c>
      <c r="H71" t="n">
        <v>0</v>
      </c>
      <c r="I71" t="n">
        <v>1</v>
      </c>
      <c r="J71" t="n">
        <v>0</v>
      </c>
      <c r="K71" t="n">
        <v>1</v>
      </c>
      <c r="L71" t="n">
        <v>0</v>
      </c>
      <c r="M71" t="n">
        <v>0</v>
      </c>
      <c r="N71" t="n">
        <v>0</v>
      </c>
      <c r="O71" t="n">
        <v>1</v>
      </c>
      <c r="P71" t="n">
        <v>1</v>
      </c>
      <c r="Q71" t="n">
        <v>2</v>
      </c>
      <c r="R71" s="2" t="inlineStr">
        <is>
          <t>Garnlav
Bronshjon</t>
        </is>
      </c>
      <c r="S71">
        <f>HYPERLINK("https://klasma.github.io/Logging_2062/artfynd/A 17163-2025 artfynd.xlsx", "A 17163-2025")</f>
        <v/>
      </c>
      <c r="T71">
        <f>HYPERLINK("https://klasma.github.io/Logging_2062/kartor/A 17163-2025 karta.png", "A 17163-2025")</f>
        <v/>
      </c>
      <c r="V71">
        <f>HYPERLINK("https://klasma.github.io/Logging_2062/klagomål/A 17163-2025 FSC-klagomål.docx", "A 17163-2025")</f>
        <v/>
      </c>
      <c r="W71">
        <f>HYPERLINK("https://klasma.github.io/Logging_2062/klagomålsmail/A 17163-2025 FSC-klagomål mail.docx", "A 17163-2025")</f>
        <v/>
      </c>
      <c r="X71">
        <f>HYPERLINK("https://klasma.github.io/Logging_2062/tillsyn/A 17163-2025 tillsynsbegäran.docx", "A 17163-2025")</f>
        <v/>
      </c>
      <c r="Y71">
        <f>HYPERLINK("https://klasma.github.io/Logging_2062/tillsynsmail/A 17163-2025 tillsynsbegäran mail.docx", "A 17163-2025")</f>
        <v/>
      </c>
    </row>
    <row r="72" ht="15" customHeight="1">
      <c r="A72" t="inlineStr">
        <is>
          <t>A 3531-2024</t>
        </is>
      </c>
      <c r="B72" s="1" t="n">
        <v>45320</v>
      </c>
      <c r="C72" s="1" t="n">
        <v>46194</v>
      </c>
      <c r="D72" t="inlineStr">
        <is>
          <t>DALARNAS LÄN</t>
        </is>
      </c>
      <c r="E72" t="inlineStr">
        <is>
          <t>MORA</t>
        </is>
      </c>
      <c r="G72" t="n">
        <v>1.4</v>
      </c>
      <c r="H72" t="n">
        <v>2</v>
      </c>
      <c r="I72" t="n">
        <v>0</v>
      </c>
      <c r="J72" t="n">
        <v>0</v>
      </c>
      <c r="K72" t="n">
        <v>1</v>
      </c>
      <c r="L72" t="n">
        <v>1</v>
      </c>
      <c r="M72" t="n">
        <v>0</v>
      </c>
      <c r="N72" t="n">
        <v>0</v>
      </c>
      <c r="O72" t="n">
        <v>2</v>
      </c>
      <c r="P72" t="n">
        <v>2</v>
      </c>
      <c r="Q72" t="n">
        <v>2</v>
      </c>
      <c r="R72" s="2" t="inlineStr">
        <is>
          <t>Mosippa
Knärot</t>
        </is>
      </c>
      <c r="S72">
        <f>HYPERLINK("https://klasma.github.io/Logging_2062/artfynd/A 3531-2024 artfynd.xlsx", "A 3531-2024")</f>
        <v/>
      </c>
      <c r="T72">
        <f>HYPERLINK("https://klasma.github.io/Logging_2062/kartor/A 3531-2024 karta.png", "A 3531-2024")</f>
        <v/>
      </c>
      <c r="U72">
        <f>HYPERLINK("https://klasma.github.io/Logging_2062/knärot/A 3531-2024 karta knärot.png", "A 3531-2024")</f>
        <v/>
      </c>
      <c r="V72">
        <f>HYPERLINK("https://klasma.github.io/Logging_2062/klagomål/A 3531-2024 FSC-klagomål.docx", "A 3531-2024")</f>
        <v/>
      </c>
      <c r="W72">
        <f>HYPERLINK("https://klasma.github.io/Logging_2062/klagomålsmail/A 3531-2024 FSC-klagomål mail.docx", "A 3531-2024")</f>
        <v/>
      </c>
      <c r="X72">
        <f>HYPERLINK("https://klasma.github.io/Logging_2062/tillsyn/A 3531-2024 tillsynsbegäran.docx", "A 3531-2024")</f>
        <v/>
      </c>
      <c r="Y72">
        <f>HYPERLINK("https://klasma.github.io/Logging_2062/tillsynsmail/A 3531-2024 tillsynsbegäran mail.docx", "A 3531-2024")</f>
        <v/>
      </c>
    </row>
    <row r="73" ht="15" customHeight="1">
      <c r="A73" t="inlineStr">
        <is>
          <t>A 51253-2023</t>
        </is>
      </c>
      <c r="B73" s="1" t="n">
        <v>45219</v>
      </c>
      <c r="C73" s="1" t="n">
        <v>46194</v>
      </c>
      <c r="D73" t="inlineStr">
        <is>
          <t>DALARNAS LÄN</t>
        </is>
      </c>
      <c r="E73" t="inlineStr">
        <is>
          <t>MORA</t>
        </is>
      </c>
      <c r="G73" t="n">
        <v>5</v>
      </c>
      <c r="H73" t="n">
        <v>0</v>
      </c>
      <c r="I73" t="n">
        <v>1</v>
      </c>
      <c r="J73" t="n">
        <v>0</v>
      </c>
      <c r="K73" t="n">
        <v>1</v>
      </c>
      <c r="L73" t="n">
        <v>0</v>
      </c>
      <c r="M73" t="n">
        <v>0</v>
      </c>
      <c r="N73" t="n">
        <v>0</v>
      </c>
      <c r="O73" t="n">
        <v>1</v>
      </c>
      <c r="P73" t="n">
        <v>1</v>
      </c>
      <c r="Q73" t="n">
        <v>2</v>
      </c>
      <c r="R73" s="2" t="inlineStr">
        <is>
          <t>Garnlav
Mindre märgborre</t>
        </is>
      </c>
      <c r="S73">
        <f>HYPERLINK("https://klasma.github.io/Logging_2062/artfynd/A 51253-2023 artfynd.xlsx", "A 51253-2023")</f>
        <v/>
      </c>
      <c r="T73">
        <f>HYPERLINK("https://klasma.github.io/Logging_2062/kartor/A 51253-2023 karta.png", "A 51253-2023")</f>
        <v/>
      </c>
      <c r="V73">
        <f>HYPERLINK("https://klasma.github.io/Logging_2062/klagomål/A 51253-2023 FSC-klagomål.docx", "A 51253-2023")</f>
        <v/>
      </c>
      <c r="W73">
        <f>HYPERLINK("https://klasma.github.io/Logging_2062/klagomålsmail/A 51253-2023 FSC-klagomål mail.docx", "A 51253-2023")</f>
        <v/>
      </c>
      <c r="X73">
        <f>HYPERLINK("https://klasma.github.io/Logging_2062/tillsyn/A 51253-2023 tillsynsbegäran.docx", "A 51253-2023")</f>
        <v/>
      </c>
      <c r="Y73">
        <f>HYPERLINK("https://klasma.github.io/Logging_2062/tillsynsmail/A 51253-2023 tillsynsbegäran mail.docx", "A 51253-2023")</f>
        <v/>
      </c>
    </row>
    <row r="74" ht="15" customHeight="1">
      <c r="A74" t="inlineStr">
        <is>
          <t>A 23261-2026</t>
        </is>
      </c>
      <c r="B74" s="1" t="n">
        <v>46162</v>
      </c>
      <c r="C74" s="1" t="n">
        <v>46194</v>
      </c>
      <c r="D74" t="inlineStr">
        <is>
          <t>DALARNAS LÄN</t>
        </is>
      </c>
      <c r="E74" t="inlineStr">
        <is>
          <t>MORA</t>
        </is>
      </c>
      <c r="G74" t="n">
        <v>4.1</v>
      </c>
      <c r="H74" t="n">
        <v>0</v>
      </c>
      <c r="I74" t="n">
        <v>0</v>
      </c>
      <c r="J74" t="n">
        <v>1</v>
      </c>
      <c r="K74" t="n">
        <v>1</v>
      </c>
      <c r="L74" t="n">
        <v>0</v>
      </c>
      <c r="M74" t="n">
        <v>0</v>
      </c>
      <c r="N74" t="n">
        <v>0</v>
      </c>
      <c r="O74" t="n">
        <v>2</v>
      </c>
      <c r="P74" t="n">
        <v>1</v>
      </c>
      <c r="Q74" t="n">
        <v>2</v>
      </c>
      <c r="R74" s="2" t="inlineStr">
        <is>
          <t>Garnlav
Tallticka</t>
        </is>
      </c>
      <c r="S74">
        <f>HYPERLINK("https://klasma.github.io/Logging_2062/artfynd/A 23261-2026 artfynd.xlsx", "A 23261-2026")</f>
        <v/>
      </c>
      <c r="T74">
        <f>HYPERLINK("https://klasma.github.io/Logging_2062/kartor/A 23261-2026 karta.png", "A 23261-2026")</f>
        <v/>
      </c>
      <c r="V74">
        <f>HYPERLINK("https://klasma.github.io/Logging_2062/klagomål/A 23261-2026 FSC-klagomål.docx", "A 23261-2026")</f>
        <v/>
      </c>
      <c r="W74">
        <f>HYPERLINK("https://klasma.github.io/Logging_2062/klagomålsmail/A 23261-2026 FSC-klagomål mail.docx", "A 23261-2026")</f>
        <v/>
      </c>
      <c r="X74">
        <f>HYPERLINK("https://klasma.github.io/Logging_2062/tillsyn/A 23261-2026 tillsynsbegäran.docx", "A 23261-2026")</f>
        <v/>
      </c>
      <c r="Y74">
        <f>HYPERLINK("https://klasma.github.io/Logging_2062/tillsynsmail/A 23261-2026 tillsynsbegäran mail.docx", "A 23261-2026")</f>
        <v/>
      </c>
    </row>
    <row r="75" ht="15" customHeight="1">
      <c r="A75" t="inlineStr">
        <is>
          <t>A 25724-2026</t>
        </is>
      </c>
      <c r="B75" s="1" t="n">
        <v>46178</v>
      </c>
      <c r="C75" s="1" t="n">
        <v>46194</v>
      </c>
      <c r="D75" t="inlineStr">
        <is>
          <t>DALARNAS LÄN</t>
        </is>
      </c>
      <c r="E75" t="inlineStr">
        <is>
          <t>MORA</t>
        </is>
      </c>
      <c r="F75" t="inlineStr">
        <is>
          <t>Bergvik skog öst AB</t>
        </is>
      </c>
      <c r="G75" t="n">
        <v>1.7</v>
      </c>
      <c r="H75" t="n">
        <v>0</v>
      </c>
      <c r="I75" t="n">
        <v>0</v>
      </c>
      <c r="J75" t="n">
        <v>2</v>
      </c>
      <c r="K75" t="n">
        <v>0</v>
      </c>
      <c r="L75" t="n">
        <v>0</v>
      </c>
      <c r="M75" t="n">
        <v>0</v>
      </c>
      <c r="N75" t="n">
        <v>0</v>
      </c>
      <c r="O75" t="n">
        <v>2</v>
      </c>
      <c r="P75" t="n">
        <v>0</v>
      </c>
      <c r="Q75" t="n">
        <v>2</v>
      </c>
      <c r="R75" s="2" t="inlineStr">
        <is>
          <t>Kortskaftad ärgspik
Vedflamlav</t>
        </is>
      </c>
      <c r="S75">
        <f>HYPERLINK("https://klasma.github.io/Logging_2062/artfynd/A 25724-2026 artfynd.xlsx", "A 25724-2026")</f>
        <v/>
      </c>
      <c r="T75">
        <f>HYPERLINK("https://klasma.github.io/Logging_2062/kartor/A 25724-2026 karta.png", "A 25724-2026")</f>
        <v/>
      </c>
      <c r="V75">
        <f>HYPERLINK("https://klasma.github.io/Logging_2062/klagomål/A 25724-2026 FSC-klagomål.docx", "A 25724-2026")</f>
        <v/>
      </c>
      <c r="W75">
        <f>HYPERLINK("https://klasma.github.io/Logging_2062/klagomålsmail/A 25724-2026 FSC-klagomål mail.docx", "A 25724-2026")</f>
        <v/>
      </c>
      <c r="X75">
        <f>HYPERLINK("https://klasma.github.io/Logging_2062/tillsyn/A 25724-2026 tillsynsbegäran.docx", "A 25724-2026")</f>
        <v/>
      </c>
      <c r="Y75">
        <f>HYPERLINK("https://klasma.github.io/Logging_2062/tillsynsmail/A 25724-2026 tillsynsbegäran mail.docx", "A 25724-2026")</f>
        <v/>
      </c>
    </row>
    <row r="76" ht="15" customHeight="1">
      <c r="A76" t="inlineStr">
        <is>
          <t>A 34897-2022</t>
        </is>
      </c>
      <c r="B76" s="1" t="n">
        <v>44796</v>
      </c>
      <c r="C76" s="1" t="n">
        <v>46194</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46194</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4209-2023</t>
        </is>
      </c>
      <c r="B78" s="1" t="n">
        <v>44953</v>
      </c>
      <c r="C78" s="1" t="n">
        <v>46194</v>
      </c>
      <c r="D78" t="inlineStr">
        <is>
          <t>DALARNAS LÄN</t>
        </is>
      </c>
      <c r="E78" t="inlineStr">
        <is>
          <t>MORA</t>
        </is>
      </c>
      <c r="G78" t="n">
        <v>1</v>
      </c>
      <c r="H78" t="n">
        <v>1</v>
      </c>
      <c r="I78" t="n">
        <v>0</v>
      </c>
      <c r="J78" t="n">
        <v>0</v>
      </c>
      <c r="K78" t="n">
        <v>0</v>
      </c>
      <c r="L78" t="n">
        <v>0</v>
      </c>
      <c r="M78" t="n">
        <v>0</v>
      </c>
      <c r="N78" t="n">
        <v>0</v>
      </c>
      <c r="O78" t="n">
        <v>0</v>
      </c>
      <c r="P78" t="n">
        <v>0</v>
      </c>
      <c r="Q78" t="n">
        <v>1</v>
      </c>
      <c r="R78" s="2" t="inlineStr">
        <is>
          <t>Utter</t>
        </is>
      </c>
      <c r="S78">
        <f>HYPERLINK("https://klasma.github.io/Logging_2062/artfynd/A 4209-2023 artfynd.xlsx", "A 4209-2023")</f>
        <v/>
      </c>
      <c r="T78">
        <f>HYPERLINK("https://klasma.github.io/Logging_2062/kartor/A 4209-2023 karta.png", "A 4209-2023")</f>
        <v/>
      </c>
      <c r="V78">
        <f>HYPERLINK("https://klasma.github.io/Logging_2062/klagomål/A 4209-2023 FSC-klagomål.docx", "A 4209-2023")</f>
        <v/>
      </c>
      <c r="W78">
        <f>HYPERLINK("https://klasma.github.io/Logging_2062/klagomålsmail/A 4209-2023 FSC-klagomål mail.docx", "A 4209-2023")</f>
        <v/>
      </c>
      <c r="X78">
        <f>HYPERLINK("https://klasma.github.io/Logging_2062/tillsyn/A 4209-2023 tillsynsbegäran.docx", "A 4209-2023")</f>
        <v/>
      </c>
      <c r="Y78">
        <f>HYPERLINK("https://klasma.github.io/Logging_2062/tillsynsmail/A 4209-2023 tillsynsbegäran mail.docx", "A 4209-2023")</f>
        <v/>
      </c>
    </row>
    <row r="79" ht="15" customHeight="1">
      <c r="A79" t="inlineStr">
        <is>
          <t>A 11463-2024</t>
        </is>
      </c>
      <c r="B79" s="1" t="n">
        <v>45372</v>
      </c>
      <c r="C79" s="1" t="n">
        <v>46194</v>
      </c>
      <c r="D79" t="inlineStr">
        <is>
          <t>DALARNAS LÄN</t>
        </is>
      </c>
      <c r="E79" t="inlineStr">
        <is>
          <t>MORA</t>
        </is>
      </c>
      <c r="F79" t="inlineStr">
        <is>
          <t>Bergvik skog väst AB</t>
        </is>
      </c>
      <c r="G79" t="n">
        <v>1.8</v>
      </c>
      <c r="H79" t="n">
        <v>0</v>
      </c>
      <c r="I79" t="n">
        <v>0</v>
      </c>
      <c r="J79" t="n">
        <v>1</v>
      </c>
      <c r="K79" t="n">
        <v>0</v>
      </c>
      <c r="L79" t="n">
        <v>0</v>
      </c>
      <c r="M79" t="n">
        <v>0</v>
      </c>
      <c r="N79" t="n">
        <v>0</v>
      </c>
      <c r="O79" t="n">
        <v>1</v>
      </c>
      <c r="P79" t="n">
        <v>0</v>
      </c>
      <c r="Q79" t="n">
        <v>1</v>
      </c>
      <c r="R79" s="2" t="inlineStr">
        <is>
          <t>Älg</t>
        </is>
      </c>
      <c r="S79">
        <f>HYPERLINK("https://klasma.github.io/Logging_2062/artfynd/A 11463-2024 artfynd.xlsx", "A 11463-2024")</f>
        <v/>
      </c>
      <c r="T79">
        <f>HYPERLINK("https://klasma.github.io/Logging_2062/kartor/A 11463-2024 karta.png", "A 11463-2024")</f>
        <v/>
      </c>
      <c r="V79">
        <f>HYPERLINK("https://klasma.github.io/Logging_2062/klagomål/A 11463-2024 FSC-klagomål.docx", "A 11463-2024")</f>
        <v/>
      </c>
      <c r="W79">
        <f>HYPERLINK("https://klasma.github.io/Logging_2062/klagomålsmail/A 11463-2024 FSC-klagomål mail.docx", "A 11463-2024")</f>
        <v/>
      </c>
      <c r="X79">
        <f>HYPERLINK("https://klasma.github.io/Logging_2062/tillsyn/A 11463-2024 tillsynsbegäran.docx", "A 11463-2024")</f>
        <v/>
      </c>
      <c r="Y79">
        <f>HYPERLINK("https://klasma.github.io/Logging_2062/tillsynsmail/A 11463-2024 tillsynsbegäran mail.docx", "A 11463-2024")</f>
        <v/>
      </c>
    </row>
    <row r="80" ht="15" customHeight="1">
      <c r="A80" t="inlineStr">
        <is>
          <t>A 27975-2023</t>
        </is>
      </c>
      <c r="B80" s="1" t="n">
        <v>45098</v>
      </c>
      <c r="C80" s="1" t="n">
        <v>46194</v>
      </c>
      <c r="D80" t="inlineStr">
        <is>
          <t>DALARNAS LÄN</t>
        </is>
      </c>
      <c r="E80" t="inlineStr">
        <is>
          <t>MORA</t>
        </is>
      </c>
      <c r="G80" t="n">
        <v>1.1</v>
      </c>
      <c r="H80" t="n">
        <v>0</v>
      </c>
      <c r="I80" t="n">
        <v>0</v>
      </c>
      <c r="J80" t="n">
        <v>1</v>
      </c>
      <c r="K80" t="n">
        <v>0</v>
      </c>
      <c r="L80" t="n">
        <v>0</v>
      </c>
      <c r="M80" t="n">
        <v>0</v>
      </c>
      <c r="N80" t="n">
        <v>0</v>
      </c>
      <c r="O80" t="n">
        <v>1</v>
      </c>
      <c r="P80" t="n">
        <v>0</v>
      </c>
      <c r="Q80" t="n">
        <v>1</v>
      </c>
      <c r="R80" s="2" t="inlineStr">
        <is>
          <t>Tallticka</t>
        </is>
      </c>
      <c r="S80">
        <f>HYPERLINK("https://klasma.github.io/Logging_2062/artfynd/A 27975-2023 artfynd.xlsx", "A 27975-2023")</f>
        <v/>
      </c>
      <c r="T80">
        <f>HYPERLINK("https://klasma.github.io/Logging_2062/kartor/A 27975-2023 karta.png", "A 27975-2023")</f>
        <v/>
      </c>
      <c r="V80">
        <f>HYPERLINK("https://klasma.github.io/Logging_2062/klagomål/A 27975-2023 FSC-klagomål.docx", "A 27975-2023")</f>
        <v/>
      </c>
      <c r="W80">
        <f>HYPERLINK("https://klasma.github.io/Logging_2062/klagomålsmail/A 27975-2023 FSC-klagomål mail.docx", "A 27975-2023")</f>
        <v/>
      </c>
      <c r="X80">
        <f>HYPERLINK("https://klasma.github.io/Logging_2062/tillsyn/A 27975-2023 tillsynsbegäran.docx", "A 27975-2023")</f>
        <v/>
      </c>
      <c r="Y80">
        <f>HYPERLINK("https://klasma.github.io/Logging_2062/tillsynsmail/A 27975-2023 tillsynsbegäran mail.docx", "A 27975-2023")</f>
        <v/>
      </c>
    </row>
    <row r="81" ht="15" customHeight="1">
      <c r="A81" t="inlineStr">
        <is>
          <t>A 23736-2023</t>
        </is>
      </c>
      <c r="B81" s="1" t="n">
        <v>45077</v>
      </c>
      <c r="C81" s="1" t="n">
        <v>46194</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57669-2022</t>
        </is>
      </c>
      <c r="B82" s="1" t="n">
        <v>44897</v>
      </c>
      <c r="C82" s="1" t="n">
        <v>46194</v>
      </c>
      <c r="D82" t="inlineStr">
        <is>
          <t>DALARNAS LÄN</t>
        </is>
      </c>
      <c r="E82" t="inlineStr">
        <is>
          <t>MORA</t>
        </is>
      </c>
      <c r="G82" t="n">
        <v>4.1</v>
      </c>
      <c r="H82" t="n">
        <v>0</v>
      </c>
      <c r="I82" t="n">
        <v>0</v>
      </c>
      <c r="J82" t="n">
        <v>0</v>
      </c>
      <c r="K82" t="n">
        <v>1</v>
      </c>
      <c r="L82" t="n">
        <v>0</v>
      </c>
      <c r="M82" t="n">
        <v>0</v>
      </c>
      <c r="N82" t="n">
        <v>0</v>
      </c>
      <c r="O82" t="n">
        <v>1</v>
      </c>
      <c r="P82" t="n">
        <v>1</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36038-2024</t>
        </is>
      </c>
      <c r="B83" s="1" t="n">
        <v>45533</v>
      </c>
      <c r="C83" s="1" t="n">
        <v>46194</v>
      </c>
      <c r="D83" t="inlineStr">
        <is>
          <t>DALARNAS LÄN</t>
        </is>
      </c>
      <c r="E83" t="inlineStr">
        <is>
          <t>MORA</t>
        </is>
      </c>
      <c r="G83" t="n">
        <v>5.1</v>
      </c>
      <c r="H83" t="n">
        <v>0</v>
      </c>
      <c r="I83" t="n">
        <v>0</v>
      </c>
      <c r="J83" t="n">
        <v>0</v>
      </c>
      <c r="K83" t="n">
        <v>1</v>
      </c>
      <c r="L83" t="n">
        <v>0</v>
      </c>
      <c r="M83" t="n">
        <v>0</v>
      </c>
      <c r="N83" t="n">
        <v>0</v>
      </c>
      <c r="O83" t="n">
        <v>1</v>
      </c>
      <c r="P83" t="n">
        <v>1</v>
      </c>
      <c r="Q83" t="n">
        <v>1</v>
      </c>
      <c r="R83" s="2" t="inlineStr">
        <is>
          <t>Garnlav</t>
        </is>
      </c>
      <c r="S83">
        <f>HYPERLINK("https://klasma.github.io/Logging_2062/artfynd/A 36038-2024 artfynd.xlsx", "A 36038-2024")</f>
        <v/>
      </c>
      <c r="T83">
        <f>HYPERLINK("https://klasma.github.io/Logging_2062/kartor/A 36038-2024 karta.png", "A 36038-2024")</f>
        <v/>
      </c>
      <c r="V83">
        <f>HYPERLINK("https://klasma.github.io/Logging_2062/klagomål/A 36038-2024 FSC-klagomål.docx", "A 36038-2024")</f>
        <v/>
      </c>
      <c r="W83">
        <f>HYPERLINK("https://klasma.github.io/Logging_2062/klagomålsmail/A 36038-2024 FSC-klagomål mail.docx", "A 36038-2024")</f>
        <v/>
      </c>
      <c r="X83">
        <f>HYPERLINK("https://klasma.github.io/Logging_2062/tillsyn/A 36038-2024 tillsynsbegäran.docx", "A 36038-2024")</f>
        <v/>
      </c>
      <c r="Y83">
        <f>HYPERLINK("https://klasma.github.io/Logging_2062/tillsynsmail/A 36038-2024 tillsynsbegäran mail.docx", "A 36038-2024")</f>
        <v/>
      </c>
    </row>
    <row r="84" ht="15" customHeight="1">
      <c r="A84" t="inlineStr">
        <is>
          <t>A 37471-2024</t>
        </is>
      </c>
      <c r="B84" s="1" t="n">
        <v>45540</v>
      </c>
      <c r="C84" s="1" t="n">
        <v>46194</v>
      </c>
      <c r="D84" t="inlineStr">
        <is>
          <t>DALARNAS LÄN</t>
        </is>
      </c>
      <c r="E84" t="inlineStr">
        <is>
          <t>MORA</t>
        </is>
      </c>
      <c r="G84" t="n">
        <v>3.5</v>
      </c>
      <c r="H84" t="n">
        <v>1</v>
      </c>
      <c r="I84" t="n">
        <v>0</v>
      </c>
      <c r="J84" t="n">
        <v>1</v>
      </c>
      <c r="K84" t="n">
        <v>0</v>
      </c>
      <c r="L84" t="n">
        <v>0</v>
      </c>
      <c r="M84" t="n">
        <v>0</v>
      </c>
      <c r="N84" t="n">
        <v>0</v>
      </c>
      <c r="O84" t="n">
        <v>1</v>
      </c>
      <c r="P84" t="n">
        <v>0</v>
      </c>
      <c r="Q84" t="n">
        <v>1</v>
      </c>
      <c r="R84" s="2" t="inlineStr">
        <is>
          <t>Talltita</t>
        </is>
      </c>
      <c r="S84">
        <f>HYPERLINK("https://klasma.github.io/Logging_2062/artfynd/A 37471-2024 artfynd.xlsx", "A 37471-2024")</f>
        <v/>
      </c>
      <c r="T84">
        <f>HYPERLINK("https://klasma.github.io/Logging_2062/kartor/A 37471-2024 karta.png", "A 37471-2024")</f>
        <v/>
      </c>
      <c r="V84">
        <f>HYPERLINK("https://klasma.github.io/Logging_2062/klagomål/A 37471-2024 FSC-klagomål.docx", "A 37471-2024")</f>
        <v/>
      </c>
      <c r="W84">
        <f>HYPERLINK("https://klasma.github.io/Logging_2062/klagomålsmail/A 37471-2024 FSC-klagomål mail.docx", "A 37471-2024")</f>
        <v/>
      </c>
      <c r="X84">
        <f>HYPERLINK("https://klasma.github.io/Logging_2062/tillsyn/A 37471-2024 tillsynsbegäran.docx", "A 37471-2024")</f>
        <v/>
      </c>
      <c r="Y84">
        <f>HYPERLINK("https://klasma.github.io/Logging_2062/tillsynsmail/A 37471-2024 tillsynsbegäran mail.docx", "A 37471-2024")</f>
        <v/>
      </c>
      <c r="Z84">
        <f>HYPERLINK("https://klasma.github.io/Logging_2062/fåglar/A 37471-2024 prioriterade fågelarter.docx", "A 37471-2024")</f>
        <v/>
      </c>
    </row>
    <row r="85" ht="15" customHeight="1">
      <c r="A85" t="inlineStr">
        <is>
          <t>A 56460-2022</t>
        </is>
      </c>
      <c r="B85" s="1" t="n">
        <v>44893</v>
      </c>
      <c r="C85" s="1" t="n">
        <v>46194</v>
      </c>
      <c r="D85" t="inlineStr">
        <is>
          <t>DALARNAS LÄN</t>
        </is>
      </c>
      <c r="E85" t="inlineStr">
        <is>
          <t>MORA</t>
        </is>
      </c>
      <c r="G85" t="n">
        <v>2.2</v>
      </c>
      <c r="H85" t="n">
        <v>0</v>
      </c>
      <c r="I85" t="n">
        <v>0</v>
      </c>
      <c r="J85" t="n">
        <v>1</v>
      </c>
      <c r="K85" t="n">
        <v>0</v>
      </c>
      <c r="L85" t="n">
        <v>0</v>
      </c>
      <c r="M85" t="n">
        <v>0</v>
      </c>
      <c r="N85" t="n">
        <v>0</v>
      </c>
      <c r="O85" t="n">
        <v>1</v>
      </c>
      <c r="P85" t="n">
        <v>0</v>
      </c>
      <c r="Q85" t="n">
        <v>1</v>
      </c>
      <c r="R85" s="2" t="inlineStr">
        <is>
          <t>Slåtterfibbla</t>
        </is>
      </c>
      <c r="S85">
        <f>HYPERLINK("https://klasma.github.io/Logging_2062/artfynd/A 56460-2022 artfynd.xlsx", "A 56460-2022")</f>
        <v/>
      </c>
      <c r="T85">
        <f>HYPERLINK("https://klasma.github.io/Logging_2062/kartor/A 56460-2022 karta.png", "A 56460-2022")</f>
        <v/>
      </c>
      <c r="V85">
        <f>HYPERLINK("https://klasma.github.io/Logging_2062/klagomål/A 56460-2022 FSC-klagomål.docx", "A 56460-2022")</f>
        <v/>
      </c>
      <c r="W85">
        <f>HYPERLINK("https://klasma.github.io/Logging_2062/klagomålsmail/A 56460-2022 FSC-klagomål mail.docx", "A 56460-2022")</f>
        <v/>
      </c>
      <c r="X85">
        <f>HYPERLINK("https://klasma.github.io/Logging_2062/tillsyn/A 56460-2022 tillsynsbegäran.docx", "A 56460-2022")</f>
        <v/>
      </c>
      <c r="Y85">
        <f>HYPERLINK("https://klasma.github.io/Logging_2062/tillsynsmail/A 56460-2022 tillsynsbegäran mail.docx", "A 56460-2022")</f>
        <v/>
      </c>
    </row>
    <row r="86" ht="15" customHeight="1">
      <c r="A86" t="inlineStr">
        <is>
          <t>A 44307-2021</t>
        </is>
      </c>
      <c r="B86" s="1" t="n">
        <v>44435</v>
      </c>
      <c r="C86" s="1" t="n">
        <v>46194</v>
      </c>
      <c r="D86" t="inlineStr">
        <is>
          <t>DALARNAS LÄN</t>
        </is>
      </c>
      <c r="E86" t="inlineStr">
        <is>
          <t>MORA</t>
        </is>
      </c>
      <c r="G86" t="n">
        <v>1.2</v>
      </c>
      <c r="H86" t="n">
        <v>0</v>
      </c>
      <c r="I86" t="n">
        <v>0</v>
      </c>
      <c r="J86" t="n">
        <v>1</v>
      </c>
      <c r="K86" t="n">
        <v>0</v>
      </c>
      <c r="L86" t="n">
        <v>0</v>
      </c>
      <c r="M86" t="n">
        <v>0</v>
      </c>
      <c r="N86" t="n">
        <v>0</v>
      </c>
      <c r="O86" t="n">
        <v>1</v>
      </c>
      <c r="P86" t="n">
        <v>0</v>
      </c>
      <c r="Q86" t="n">
        <v>1</v>
      </c>
      <c r="R86" s="2" t="inlineStr">
        <is>
          <t>Grentaggsvamp</t>
        </is>
      </c>
      <c r="S86">
        <f>HYPERLINK("https://klasma.github.io/Logging_2062/artfynd/A 44307-2021 artfynd.xlsx", "A 44307-2021")</f>
        <v/>
      </c>
      <c r="T86">
        <f>HYPERLINK("https://klasma.github.io/Logging_2062/kartor/A 44307-2021 karta.png", "A 44307-2021")</f>
        <v/>
      </c>
      <c r="V86">
        <f>HYPERLINK("https://klasma.github.io/Logging_2062/klagomål/A 44307-2021 FSC-klagomål.docx", "A 44307-2021")</f>
        <v/>
      </c>
      <c r="W86">
        <f>HYPERLINK("https://klasma.github.io/Logging_2062/klagomålsmail/A 44307-2021 FSC-klagomål mail.docx", "A 44307-2021")</f>
        <v/>
      </c>
      <c r="X86">
        <f>HYPERLINK("https://klasma.github.io/Logging_2062/tillsyn/A 44307-2021 tillsynsbegäran.docx", "A 44307-2021")</f>
        <v/>
      </c>
      <c r="Y86">
        <f>HYPERLINK("https://klasma.github.io/Logging_2062/tillsynsmail/A 44307-2021 tillsynsbegäran mail.docx", "A 44307-2021")</f>
        <v/>
      </c>
    </row>
    <row r="87" ht="15" customHeight="1">
      <c r="A87" t="inlineStr">
        <is>
          <t>A 5304-2023</t>
        </is>
      </c>
      <c r="B87" s="1" t="n">
        <v>44959</v>
      </c>
      <c r="C87" s="1" t="n">
        <v>46194</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27113-2024</t>
        </is>
      </c>
      <c r="B88" s="1" t="n">
        <v>45471</v>
      </c>
      <c r="C88" s="1" t="n">
        <v>46194</v>
      </c>
      <c r="D88" t="inlineStr">
        <is>
          <t>DALARNAS LÄN</t>
        </is>
      </c>
      <c r="E88" t="inlineStr">
        <is>
          <t>MORA</t>
        </is>
      </c>
      <c r="G88" t="n">
        <v>10.3</v>
      </c>
      <c r="H88" t="n">
        <v>0</v>
      </c>
      <c r="I88" t="n">
        <v>1</v>
      </c>
      <c r="J88" t="n">
        <v>0</v>
      </c>
      <c r="K88" t="n">
        <v>0</v>
      </c>
      <c r="L88" t="n">
        <v>0</v>
      </c>
      <c r="M88" t="n">
        <v>0</v>
      </c>
      <c r="N88" t="n">
        <v>0</v>
      </c>
      <c r="O88" t="n">
        <v>0</v>
      </c>
      <c r="P88" t="n">
        <v>0</v>
      </c>
      <c r="Q88" t="n">
        <v>1</v>
      </c>
      <c r="R88" s="2" t="inlineStr">
        <is>
          <t>Stor aspticka</t>
        </is>
      </c>
      <c r="S88">
        <f>HYPERLINK("https://klasma.github.io/Logging_2062/artfynd/A 27113-2024 artfynd.xlsx", "A 27113-2024")</f>
        <v/>
      </c>
      <c r="T88">
        <f>HYPERLINK("https://klasma.github.io/Logging_2062/kartor/A 27113-2024 karta.png", "A 27113-2024")</f>
        <v/>
      </c>
      <c r="V88">
        <f>HYPERLINK("https://klasma.github.io/Logging_2062/klagomål/A 27113-2024 FSC-klagomål.docx", "A 27113-2024")</f>
        <v/>
      </c>
      <c r="W88">
        <f>HYPERLINK("https://klasma.github.io/Logging_2062/klagomålsmail/A 27113-2024 FSC-klagomål mail.docx", "A 27113-2024")</f>
        <v/>
      </c>
      <c r="X88">
        <f>HYPERLINK("https://klasma.github.io/Logging_2062/tillsyn/A 27113-2024 tillsynsbegäran.docx", "A 27113-2024")</f>
        <v/>
      </c>
      <c r="Y88">
        <f>HYPERLINK("https://klasma.github.io/Logging_2062/tillsynsmail/A 27113-2024 tillsynsbegäran mail.docx", "A 27113-2024")</f>
        <v/>
      </c>
    </row>
    <row r="89" ht="15" customHeight="1">
      <c r="A89" t="inlineStr">
        <is>
          <t>A 30087-2025</t>
        </is>
      </c>
      <c r="B89" s="1" t="n">
        <v>45826</v>
      </c>
      <c r="C89" s="1" t="n">
        <v>46194</v>
      </c>
      <c r="D89" t="inlineStr">
        <is>
          <t>DALARNAS LÄN</t>
        </is>
      </c>
      <c r="E89" t="inlineStr">
        <is>
          <t>MORA</t>
        </is>
      </c>
      <c r="G89" t="n">
        <v>1.6</v>
      </c>
      <c r="H89" t="n">
        <v>1</v>
      </c>
      <c r="I89" t="n">
        <v>0</v>
      </c>
      <c r="J89" t="n">
        <v>0</v>
      </c>
      <c r="K89" t="n">
        <v>0</v>
      </c>
      <c r="L89" t="n">
        <v>0</v>
      </c>
      <c r="M89" t="n">
        <v>0</v>
      </c>
      <c r="N89" t="n">
        <v>0</v>
      </c>
      <c r="O89" t="n">
        <v>0</v>
      </c>
      <c r="P89" t="n">
        <v>0</v>
      </c>
      <c r="Q89" t="n">
        <v>1</v>
      </c>
      <c r="R89" s="2" t="inlineStr">
        <is>
          <t>Slaguggla</t>
        </is>
      </c>
      <c r="S89">
        <f>HYPERLINK("https://klasma.github.io/Logging_2062/artfynd/A 30087-2025 artfynd.xlsx", "A 30087-2025")</f>
        <v/>
      </c>
      <c r="T89">
        <f>HYPERLINK("https://klasma.github.io/Logging_2062/kartor/A 30087-2025 karta.png", "A 30087-2025")</f>
        <v/>
      </c>
      <c r="V89">
        <f>HYPERLINK("https://klasma.github.io/Logging_2062/klagomål/A 30087-2025 FSC-klagomål.docx", "A 30087-2025")</f>
        <v/>
      </c>
      <c r="W89">
        <f>HYPERLINK("https://klasma.github.io/Logging_2062/klagomålsmail/A 30087-2025 FSC-klagomål mail.docx", "A 30087-2025")</f>
        <v/>
      </c>
      <c r="X89">
        <f>HYPERLINK("https://klasma.github.io/Logging_2062/tillsyn/A 30087-2025 tillsynsbegäran.docx", "A 30087-2025")</f>
        <v/>
      </c>
      <c r="Y89">
        <f>HYPERLINK("https://klasma.github.io/Logging_2062/tillsynsmail/A 30087-2025 tillsynsbegäran mail.docx", "A 30087-2025")</f>
        <v/>
      </c>
      <c r="Z89">
        <f>HYPERLINK("https://klasma.github.io/Logging_2062/fåglar/A 30087-2025 prioriterade fågelarter.docx", "A 30087-2025")</f>
        <v/>
      </c>
    </row>
    <row r="90" ht="15" customHeight="1">
      <c r="A90" t="inlineStr">
        <is>
          <t>A 68415-2021</t>
        </is>
      </c>
      <c r="B90" s="1" t="n">
        <v>44529</v>
      </c>
      <c r="C90" s="1" t="n">
        <v>46194</v>
      </c>
      <c r="D90" t="inlineStr">
        <is>
          <t>DALARNAS LÄN</t>
        </is>
      </c>
      <c r="E90" t="inlineStr">
        <is>
          <t>MORA</t>
        </is>
      </c>
      <c r="G90" t="n">
        <v>1.2</v>
      </c>
      <c r="H90" t="n">
        <v>1</v>
      </c>
      <c r="I90" t="n">
        <v>0</v>
      </c>
      <c r="J90" t="n">
        <v>1</v>
      </c>
      <c r="K90" t="n">
        <v>0</v>
      </c>
      <c r="L90" t="n">
        <v>0</v>
      </c>
      <c r="M90" t="n">
        <v>0</v>
      </c>
      <c r="N90" t="n">
        <v>0</v>
      </c>
      <c r="O90" t="n">
        <v>1</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62096-2025</t>
        </is>
      </c>
      <c r="B91" s="1" t="n">
        <v>46006</v>
      </c>
      <c r="C91" s="1" t="n">
        <v>46194</v>
      </c>
      <c r="D91" t="inlineStr">
        <is>
          <t>DALARNAS LÄN</t>
        </is>
      </c>
      <c r="E91" t="inlineStr">
        <is>
          <t>MORA</t>
        </is>
      </c>
      <c r="G91" t="n">
        <v>4.1</v>
      </c>
      <c r="H91" t="n">
        <v>0</v>
      </c>
      <c r="I91" t="n">
        <v>0</v>
      </c>
      <c r="J91" t="n">
        <v>0</v>
      </c>
      <c r="K91" t="n">
        <v>1</v>
      </c>
      <c r="L91" t="n">
        <v>0</v>
      </c>
      <c r="M91" t="n">
        <v>0</v>
      </c>
      <c r="N91" t="n">
        <v>0</v>
      </c>
      <c r="O91" t="n">
        <v>1</v>
      </c>
      <c r="P91" t="n">
        <v>1</v>
      </c>
      <c r="Q91" t="n">
        <v>1</v>
      </c>
      <c r="R91" s="2" t="inlineStr">
        <is>
          <t>Garnlav</t>
        </is>
      </c>
      <c r="S91">
        <f>HYPERLINK("https://klasma.github.io/Logging_2062/artfynd/A 62096-2025 artfynd.xlsx", "A 62096-2025")</f>
        <v/>
      </c>
      <c r="T91">
        <f>HYPERLINK("https://klasma.github.io/Logging_2062/kartor/A 62096-2025 karta.png", "A 62096-2025")</f>
        <v/>
      </c>
      <c r="V91">
        <f>HYPERLINK("https://klasma.github.io/Logging_2062/klagomål/A 62096-2025 FSC-klagomål.docx", "A 62096-2025")</f>
        <v/>
      </c>
      <c r="W91">
        <f>HYPERLINK("https://klasma.github.io/Logging_2062/klagomålsmail/A 62096-2025 FSC-klagomål mail.docx", "A 62096-2025")</f>
        <v/>
      </c>
      <c r="X91">
        <f>HYPERLINK("https://klasma.github.io/Logging_2062/tillsyn/A 62096-2025 tillsynsbegäran.docx", "A 62096-2025")</f>
        <v/>
      </c>
      <c r="Y91">
        <f>HYPERLINK("https://klasma.github.io/Logging_2062/tillsynsmail/A 62096-2025 tillsynsbegäran mail.docx", "A 62096-2025")</f>
        <v/>
      </c>
    </row>
    <row r="92" ht="15" customHeight="1">
      <c r="A92" t="inlineStr">
        <is>
          <t>A 665-2026</t>
        </is>
      </c>
      <c r="B92" s="1" t="n">
        <v>46029</v>
      </c>
      <c r="C92" s="1" t="n">
        <v>46194</v>
      </c>
      <c r="D92" t="inlineStr">
        <is>
          <t>DALARNAS LÄN</t>
        </is>
      </c>
      <c r="E92" t="inlineStr">
        <is>
          <t>MORA</t>
        </is>
      </c>
      <c r="F92" t="inlineStr">
        <is>
          <t>Kommuner</t>
        </is>
      </c>
      <c r="G92" t="n">
        <v>20.9</v>
      </c>
      <c r="H92" t="n">
        <v>1</v>
      </c>
      <c r="I92" t="n">
        <v>0</v>
      </c>
      <c r="J92" t="n">
        <v>0</v>
      </c>
      <c r="K92" t="n">
        <v>0</v>
      </c>
      <c r="L92" t="n">
        <v>0</v>
      </c>
      <c r="M92" t="n">
        <v>0</v>
      </c>
      <c r="N92" t="n">
        <v>0</v>
      </c>
      <c r="O92" t="n">
        <v>0</v>
      </c>
      <c r="P92" t="n">
        <v>0</v>
      </c>
      <c r="Q92" t="n">
        <v>1</v>
      </c>
      <c r="R92" s="2" t="inlineStr">
        <is>
          <t>Fläcknycklar</t>
        </is>
      </c>
      <c r="S92">
        <f>HYPERLINK("https://klasma.github.io/Logging_2062/artfynd/A 665-2026 artfynd.xlsx", "A 665-2026")</f>
        <v/>
      </c>
      <c r="T92">
        <f>HYPERLINK("https://klasma.github.io/Logging_2062/kartor/A 665-2026 karta.png", "A 665-2026")</f>
        <v/>
      </c>
      <c r="V92">
        <f>HYPERLINK("https://klasma.github.io/Logging_2062/klagomål/A 665-2026 FSC-klagomål.docx", "A 665-2026")</f>
        <v/>
      </c>
      <c r="W92">
        <f>HYPERLINK("https://klasma.github.io/Logging_2062/klagomålsmail/A 665-2026 FSC-klagomål mail.docx", "A 665-2026")</f>
        <v/>
      </c>
      <c r="X92">
        <f>HYPERLINK("https://klasma.github.io/Logging_2062/tillsyn/A 665-2026 tillsynsbegäran.docx", "A 665-2026")</f>
        <v/>
      </c>
      <c r="Y92">
        <f>HYPERLINK("https://klasma.github.io/Logging_2062/tillsynsmail/A 665-2026 tillsynsbegäran mail.docx", "A 665-2026")</f>
        <v/>
      </c>
    </row>
    <row r="93" ht="15" customHeight="1">
      <c r="A93" t="inlineStr">
        <is>
          <t>A 54903-2024</t>
        </is>
      </c>
      <c r="B93" s="1" t="n">
        <v>45618</v>
      </c>
      <c r="C93" s="1" t="n">
        <v>46194</v>
      </c>
      <c r="D93" t="inlineStr">
        <is>
          <t>DALARNAS LÄN</t>
        </is>
      </c>
      <c r="E93" t="inlineStr">
        <is>
          <t>MORA</t>
        </is>
      </c>
      <c r="G93" t="n">
        <v>28.2</v>
      </c>
      <c r="H93" t="n">
        <v>0</v>
      </c>
      <c r="I93" t="n">
        <v>0</v>
      </c>
      <c r="J93" t="n">
        <v>0</v>
      </c>
      <c r="K93" t="n">
        <v>1</v>
      </c>
      <c r="L93" t="n">
        <v>0</v>
      </c>
      <c r="M93" t="n">
        <v>0</v>
      </c>
      <c r="N93" t="n">
        <v>0</v>
      </c>
      <c r="O93" t="n">
        <v>1</v>
      </c>
      <c r="P93" t="n">
        <v>1</v>
      </c>
      <c r="Q93" t="n">
        <v>1</v>
      </c>
      <c r="R93" s="2" t="inlineStr">
        <is>
          <t>Igelkott</t>
        </is>
      </c>
      <c r="S93">
        <f>HYPERLINK("https://klasma.github.io/Logging_2062/artfynd/A 54903-2024 artfynd.xlsx", "A 54903-2024")</f>
        <v/>
      </c>
      <c r="T93">
        <f>HYPERLINK("https://klasma.github.io/Logging_2062/kartor/A 54903-2024 karta.png", "A 54903-2024")</f>
        <v/>
      </c>
      <c r="V93">
        <f>HYPERLINK("https://klasma.github.io/Logging_2062/klagomål/A 54903-2024 FSC-klagomål.docx", "A 54903-2024")</f>
        <v/>
      </c>
      <c r="W93">
        <f>HYPERLINK("https://klasma.github.io/Logging_2062/klagomålsmail/A 54903-2024 FSC-klagomål mail.docx", "A 54903-2024")</f>
        <v/>
      </c>
      <c r="X93">
        <f>HYPERLINK("https://klasma.github.io/Logging_2062/tillsyn/A 54903-2024 tillsynsbegäran.docx", "A 54903-2024")</f>
        <v/>
      </c>
      <c r="Y93">
        <f>HYPERLINK("https://klasma.github.io/Logging_2062/tillsynsmail/A 54903-2024 tillsynsbegäran mail.docx", "A 54903-2024")</f>
        <v/>
      </c>
    </row>
    <row r="94" ht="15" customHeight="1">
      <c r="A94" t="inlineStr">
        <is>
          <t>A 45344-2024</t>
        </is>
      </c>
      <c r="B94" s="1" t="n">
        <v>45576</v>
      </c>
      <c r="C94" s="1" t="n">
        <v>46194</v>
      </c>
      <c r="D94" t="inlineStr">
        <is>
          <t>DALARNAS LÄN</t>
        </is>
      </c>
      <c r="E94" t="inlineStr">
        <is>
          <t>MORA</t>
        </is>
      </c>
      <c r="G94" t="n">
        <v>0.9</v>
      </c>
      <c r="H94" t="n">
        <v>0</v>
      </c>
      <c r="I94" t="n">
        <v>0</v>
      </c>
      <c r="J94" t="n">
        <v>0</v>
      </c>
      <c r="K94" t="n">
        <v>1</v>
      </c>
      <c r="L94" t="n">
        <v>0</v>
      </c>
      <c r="M94" t="n">
        <v>0</v>
      </c>
      <c r="N94" t="n">
        <v>0</v>
      </c>
      <c r="O94" t="n">
        <v>1</v>
      </c>
      <c r="P94" t="n">
        <v>1</v>
      </c>
      <c r="Q94" t="n">
        <v>1</v>
      </c>
      <c r="R94" s="2" t="inlineStr">
        <is>
          <t>Garnlav</t>
        </is>
      </c>
      <c r="S94">
        <f>HYPERLINK("https://klasma.github.io/Logging_2062/artfynd/A 45344-2024 artfynd.xlsx", "A 45344-2024")</f>
        <v/>
      </c>
      <c r="T94">
        <f>HYPERLINK("https://klasma.github.io/Logging_2062/kartor/A 45344-2024 karta.png", "A 45344-2024")</f>
        <v/>
      </c>
      <c r="V94">
        <f>HYPERLINK("https://klasma.github.io/Logging_2062/klagomål/A 45344-2024 FSC-klagomål.docx", "A 45344-2024")</f>
        <v/>
      </c>
      <c r="W94">
        <f>HYPERLINK("https://klasma.github.io/Logging_2062/klagomålsmail/A 45344-2024 FSC-klagomål mail.docx", "A 45344-2024")</f>
        <v/>
      </c>
      <c r="X94">
        <f>HYPERLINK("https://klasma.github.io/Logging_2062/tillsyn/A 45344-2024 tillsynsbegäran.docx", "A 45344-2024")</f>
        <v/>
      </c>
      <c r="Y94">
        <f>HYPERLINK("https://klasma.github.io/Logging_2062/tillsynsmail/A 45344-2024 tillsynsbegäran mail.docx", "A 45344-2024")</f>
        <v/>
      </c>
    </row>
    <row r="95" ht="15" customHeight="1">
      <c r="A95" t="inlineStr">
        <is>
          <t>A 18984-2026</t>
        </is>
      </c>
      <c r="B95" s="1" t="n">
        <v>46129</v>
      </c>
      <c r="C95" s="1" t="n">
        <v>46194</v>
      </c>
      <c r="D95" t="inlineStr">
        <is>
          <t>DALARNAS LÄN</t>
        </is>
      </c>
      <c r="E95" t="inlineStr">
        <is>
          <t>MORA</t>
        </is>
      </c>
      <c r="F95" t="inlineStr">
        <is>
          <t>Bergvik skog öst AB</t>
        </is>
      </c>
      <c r="G95" t="n">
        <v>9.5</v>
      </c>
      <c r="H95" t="n">
        <v>1</v>
      </c>
      <c r="I95" t="n">
        <v>0</v>
      </c>
      <c r="J95" t="n">
        <v>0</v>
      </c>
      <c r="K95" t="n">
        <v>0</v>
      </c>
      <c r="L95" t="n">
        <v>0</v>
      </c>
      <c r="M95" t="n">
        <v>0</v>
      </c>
      <c r="N95" t="n">
        <v>0</v>
      </c>
      <c r="O95" t="n">
        <v>0</v>
      </c>
      <c r="P95" t="n">
        <v>0</v>
      </c>
      <c r="Q95" t="n">
        <v>1</v>
      </c>
      <c r="R95" s="2" t="inlineStr">
        <is>
          <t>Tjäder</t>
        </is>
      </c>
      <c r="S95">
        <f>HYPERLINK("https://klasma.github.io/Logging_2062/artfynd/A 18984-2026 artfynd.xlsx", "A 18984-2026")</f>
        <v/>
      </c>
      <c r="T95">
        <f>HYPERLINK("https://klasma.github.io/Logging_2062/kartor/A 18984-2026 karta.png", "A 18984-2026")</f>
        <v/>
      </c>
      <c r="V95">
        <f>HYPERLINK("https://klasma.github.io/Logging_2062/klagomål/A 18984-2026 FSC-klagomål.docx", "A 18984-2026")</f>
        <v/>
      </c>
      <c r="W95">
        <f>HYPERLINK("https://klasma.github.io/Logging_2062/klagomålsmail/A 18984-2026 FSC-klagomål mail.docx", "A 18984-2026")</f>
        <v/>
      </c>
      <c r="X95">
        <f>HYPERLINK("https://klasma.github.io/Logging_2062/tillsyn/A 18984-2026 tillsynsbegäran.docx", "A 18984-2026")</f>
        <v/>
      </c>
      <c r="Y95">
        <f>HYPERLINK("https://klasma.github.io/Logging_2062/tillsynsmail/A 18984-2026 tillsynsbegäran mail.docx", "A 18984-2026")</f>
        <v/>
      </c>
      <c r="Z95">
        <f>HYPERLINK("https://klasma.github.io/Logging_2062/fåglar/A 18984-2026 prioriterade fågelarter.docx", "A 18984-2026")</f>
        <v/>
      </c>
    </row>
    <row r="96" ht="15" customHeight="1">
      <c r="A96" t="inlineStr">
        <is>
          <t>A 73930-2021</t>
        </is>
      </c>
      <c r="B96" s="1" t="n">
        <v>44553</v>
      </c>
      <c r="C96" s="1" t="n">
        <v>46194</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46194</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v>
      </c>
      <c r="C98" s="1" t="n">
        <v>46194</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46194</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65253-2021</t>
        </is>
      </c>
      <c r="B100" s="1" t="n">
        <v>44515</v>
      </c>
      <c r="C100" s="1" t="n">
        <v>46194</v>
      </c>
      <c r="D100" t="inlineStr">
        <is>
          <t>DALARNAS LÄN</t>
        </is>
      </c>
      <c r="E100" t="inlineStr">
        <is>
          <t>MORA</t>
        </is>
      </c>
      <c r="G100" t="n">
        <v>0.6</v>
      </c>
      <c r="H100" t="n">
        <v>0</v>
      </c>
      <c r="I100" t="n">
        <v>0</v>
      </c>
      <c r="J100" t="n">
        <v>0</v>
      </c>
      <c r="K100" t="n">
        <v>0</v>
      </c>
      <c r="L100" t="n">
        <v>0</v>
      </c>
      <c r="M100" t="n">
        <v>0</v>
      </c>
      <c r="N100" t="n">
        <v>0</v>
      </c>
      <c r="O100" t="n">
        <v>0</v>
      </c>
      <c r="P100" t="n">
        <v>0</v>
      </c>
      <c r="Q100" t="n">
        <v>0</v>
      </c>
      <c r="R100" s="2" t="inlineStr"/>
    </row>
    <row r="101" ht="15" customHeight="1">
      <c r="A101" t="inlineStr">
        <is>
          <t>A 42668-2022</t>
        </is>
      </c>
      <c r="B101" s="1" t="n">
        <v>44832</v>
      </c>
      <c r="C101" s="1" t="n">
        <v>46194</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43944-2022</t>
        </is>
      </c>
      <c r="B102" s="1" t="n">
        <v>44838</v>
      </c>
      <c r="C102" s="1" t="n">
        <v>46194</v>
      </c>
      <c r="D102" t="inlineStr">
        <is>
          <t>DALARNAS LÄN</t>
        </is>
      </c>
      <c r="E102" t="inlineStr">
        <is>
          <t>MORA</t>
        </is>
      </c>
      <c r="F102" t="inlineStr">
        <is>
          <t>Bergvik skog öst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46194</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46194</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46194</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46194</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41022-2021</t>
        </is>
      </c>
      <c r="B107" s="1" t="n">
        <v>44421</v>
      </c>
      <c r="C107" s="1" t="n">
        <v>46194</v>
      </c>
      <c r="D107" t="inlineStr">
        <is>
          <t>DALARNAS LÄN</t>
        </is>
      </c>
      <c r="E107" t="inlineStr">
        <is>
          <t>MORA</t>
        </is>
      </c>
      <c r="G107" t="n">
        <v>11.9</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46194</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46194</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46194</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46194</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46194</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46194</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46194</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v>
      </c>
      <c r="C115" s="1" t="n">
        <v>46194</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46194</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46194</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46194</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46194</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46194</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46194</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46194</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46194</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46194</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46194</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46194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46194</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46194</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46194</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46194</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46194</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17622-2022</t>
        </is>
      </c>
      <c r="B133" s="1" t="n">
        <v>44680</v>
      </c>
      <c r="C133" s="1" t="n">
        <v>46194</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17529-2023</t>
        </is>
      </c>
      <c r="B134" s="1" t="n">
        <v>45036</v>
      </c>
      <c r="C134" s="1" t="n">
        <v>46194</v>
      </c>
      <c r="D134" t="inlineStr">
        <is>
          <t>DALARNAS LÄN</t>
        </is>
      </c>
      <c r="E134" t="inlineStr">
        <is>
          <t>MORA</t>
        </is>
      </c>
      <c r="G134" t="n">
        <v>6</v>
      </c>
      <c r="H134" t="n">
        <v>0</v>
      </c>
      <c r="I134" t="n">
        <v>0</v>
      </c>
      <c r="J134" t="n">
        <v>0</v>
      </c>
      <c r="K134" t="n">
        <v>0</v>
      </c>
      <c r="L134" t="n">
        <v>0</v>
      </c>
      <c r="M134" t="n">
        <v>0</v>
      </c>
      <c r="N134" t="n">
        <v>0</v>
      </c>
      <c r="O134" t="n">
        <v>0</v>
      </c>
      <c r="P134" t="n">
        <v>0</v>
      </c>
      <c r="Q134" t="n">
        <v>0</v>
      </c>
      <c r="R134" s="2" t="inlineStr"/>
    </row>
    <row r="135" ht="15" customHeight="1">
      <c r="A135" t="inlineStr">
        <is>
          <t>A 39897-2022</t>
        </is>
      </c>
      <c r="B135" s="1" t="n">
        <v>44819</v>
      </c>
      <c r="C135" s="1" t="n">
        <v>46194</v>
      </c>
      <c r="D135" t="inlineStr">
        <is>
          <t>DALARNAS LÄN</t>
        </is>
      </c>
      <c r="E135" t="inlineStr">
        <is>
          <t>MORA</t>
        </is>
      </c>
      <c r="G135" t="n">
        <v>15.8</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v>
      </c>
      <c r="C136" s="1" t="n">
        <v>46194</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v>
      </c>
      <c r="C137" s="1" t="n">
        <v>46194</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34927-2022</t>
        </is>
      </c>
      <c r="B138" s="1" t="n">
        <v>44796</v>
      </c>
      <c r="C138" s="1" t="n">
        <v>46194</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39344-2024</t>
        </is>
      </c>
      <c r="B139" s="1" t="n">
        <v>45551</v>
      </c>
      <c r="C139" s="1" t="n">
        <v>46194</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46194</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30985-2024</t>
        </is>
      </c>
      <c r="B141" s="1" t="n">
        <v>45499</v>
      </c>
      <c r="C141" s="1" t="n">
        <v>46194</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v>
      </c>
      <c r="C142" s="1" t="n">
        <v>46194</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57859-2022</t>
        </is>
      </c>
      <c r="B143" s="1" t="n">
        <v>44898</v>
      </c>
      <c r="C143" s="1" t="n">
        <v>46194</v>
      </c>
      <c r="D143" t="inlineStr">
        <is>
          <t>DALARNAS LÄN</t>
        </is>
      </c>
      <c r="E143" t="inlineStr">
        <is>
          <t>MORA</t>
        </is>
      </c>
      <c r="G143" t="n">
        <v>1.4</v>
      </c>
      <c r="H143" t="n">
        <v>0</v>
      </c>
      <c r="I143" t="n">
        <v>0</v>
      </c>
      <c r="J143" t="n">
        <v>0</v>
      </c>
      <c r="K143" t="n">
        <v>0</v>
      </c>
      <c r="L143" t="n">
        <v>0</v>
      </c>
      <c r="M143" t="n">
        <v>0</v>
      </c>
      <c r="N143" t="n">
        <v>0</v>
      </c>
      <c r="O143" t="n">
        <v>0</v>
      </c>
      <c r="P143" t="n">
        <v>0</v>
      </c>
      <c r="Q143" t="n">
        <v>0</v>
      </c>
      <c r="R143" s="2" t="inlineStr"/>
    </row>
    <row r="144" ht="15" customHeight="1">
      <c r="A144" t="inlineStr">
        <is>
          <t>A 67045-2021</t>
        </is>
      </c>
      <c r="B144" s="1" t="n">
        <v>44522</v>
      </c>
      <c r="C144" s="1" t="n">
        <v>46194</v>
      </c>
      <c r="D144" t="inlineStr">
        <is>
          <t>DALARNAS LÄN</t>
        </is>
      </c>
      <c r="E144" t="inlineStr">
        <is>
          <t>MORA</t>
        </is>
      </c>
      <c r="G144" t="n">
        <v>0.2</v>
      </c>
      <c r="H144" t="n">
        <v>0</v>
      </c>
      <c r="I144" t="n">
        <v>0</v>
      </c>
      <c r="J144" t="n">
        <v>0</v>
      </c>
      <c r="K144" t="n">
        <v>0</v>
      </c>
      <c r="L144" t="n">
        <v>0</v>
      </c>
      <c r="M144" t="n">
        <v>0</v>
      </c>
      <c r="N144" t="n">
        <v>0</v>
      </c>
      <c r="O144" t="n">
        <v>0</v>
      </c>
      <c r="P144" t="n">
        <v>0</v>
      </c>
      <c r="Q144" t="n">
        <v>0</v>
      </c>
      <c r="R144" s="2" t="inlineStr"/>
    </row>
    <row r="145" ht="15" customHeight="1">
      <c r="A145" t="inlineStr">
        <is>
          <t>A 60647-2022</t>
        </is>
      </c>
      <c r="B145" s="1" t="n">
        <v>44911</v>
      </c>
      <c r="C145" s="1" t="n">
        <v>46194</v>
      </c>
      <c r="D145" t="inlineStr">
        <is>
          <t>DALARNAS LÄN</t>
        </is>
      </c>
      <c r="E145" t="inlineStr">
        <is>
          <t>MORA</t>
        </is>
      </c>
      <c r="G145" t="n">
        <v>4.8</v>
      </c>
      <c r="H145" t="n">
        <v>0</v>
      </c>
      <c r="I145" t="n">
        <v>0</v>
      </c>
      <c r="J145" t="n">
        <v>0</v>
      </c>
      <c r="K145" t="n">
        <v>0</v>
      </c>
      <c r="L145" t="n">
        <v>0</v>
      </c>
      <c r="M145" t="n">
        <v>0</v>
      </c>
      <c r="N145" t="n">
        <v>0</v>
      </c>
      <c r="O145" t="n">
        <v>0</v>
      </c>
      <c r="P145" t="n">
        <v>0</v>
      </c>
      <c r="Q145" t="n">
        <v>0</v>
      </c>
      <c r="R145" s="2" t="inlineStr"/>
    </row>
    <row r="146" ht="15" customHeight="1">
      <c r="A146" t="inlineStr">
        <is>
          <t>A 24590-2024</t>
        </is>
      </c>
      <c r="B146" s="1" t="n">
        <v>45460</v>
      </c>
      <c r="C146" s="1" t="n">
        <v>46194</v>
      </c>
      <c r="D146" t="inlineStr">
        <is>
          <t>DALARNAS LÄN</t>
        </is>
      </c>
      <c r="E146" t="inlineStr">
        <is>
          <t>MORA</t>
        </is>
      </c>
      <c r="G146" t="n">
        <v>0.6</v>
      </c>
      <c r="H146" t="n">
        <v>0</v>
      </c>
      <c r="I146" t="n">
        <v>0</v>
      </c>
      <c r="J146" t="n">
        <v>0</v>
      </c>
      <c r="K146" t="n">
        <v>0</v>
      </c>
      <c r="L146" t="n">
        <v>0</v>
      </c>
      <c r="M146" t="n">
        <v>0</v>
      </c>
      <c r="N146" t="n">
        <v>0</v>
      </c>
      <c r="O146" t="n">
        <v>0</v>
      </c>
      <c r="P146" t="n">
        <v>0</v>
      </c>
      <c r="Q146" t="n">
        <v>0</v>
      </c>
      <c r="R146" s="2" t="inlineStr"/>
    </row>
    <row r="147" ht="15" customHeight="1">
      <c r="A147" t="inlineStr">
        <is>
          <t>A 32474-2022</t>
        </is>
      </c>
      <c r="B147" s="1" t="n">
        <v>44782</v>
      </c>
      <c r="C147" s="1" t="n">
        <v>46194</v>
      </c>
      <c r="D147" t="inlineStr">
        <is>
          <t>DALARNAS LÄN</t>
        </is>
      </c>
      <c r="E147" t="inlineStr">
        <is>
          <t>MORA</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14744-2022</t>
        </is>
      </c>
      <c r="B148" s="1" t="n">
        <v>44656</v>
      </c>
      <c r="C148" s="1" t="n">
        <v>46194</v>
      </c>
      <c r="D148" t="inlineStr">
        <is>
          <t>DALARNAS LÄN</t>
        </is>
      </c>
      <c r="E148" t="inlineStr">
        <is>
          <t>MORA</t>
        </is>
      </c>
      <c r="G148" t="n">
        <v>1.9</v>
      </c>
      <c r="H148" t="n">
        <v>0</v>
      </c>
      <c r="I148" t="n">
        <v>0</v>
      </c>
      <c r="J148" t="n">
        <v>0</v>
      </c>
      <c r="K148" t="n">
        <v>0</v>
      </c>
      <c r="L148" t="n">
        <v>0</v>
      </c>
      <c r="M148" t="n">
        <v>0</v>
      </c>
      <c r="N148" t="n">
        <v>0</v>
      </c>
      <c r="O148" t="n">
        <v>0</v>
      </c>
      <c r="P148" t="n">
        <v>0</v>
      </c>
      <c r="Q148" t="n">
        <v>0</v>
      </c>
      <c r="R148" s="2" t="inlineStr"/>
    </row>
    <row r="149" ht="15" customHeight="1">
      <c r="A149" t="inlineStr">
        <is>
          <t>A 8546-2022</t>
        </is>
      </c>
      <c r="B149" s="1" t="n">
        <v>44613</v>
      </c>
      <c r="C149" s="1" t="n">
        <v>46194</v>
      </c>
      <c r="D149" t="inlineStr">
        <is>
          <t>DALARNAS LÄN</t>
        </is>
      </c>
      <c r="E149" t="inlineStr">
        <is>
          <t>MORA</t>
        </is>
      </c>
      <c r="G149" t="n">
        <v>2.6</v>
      </c>
      <c r="H149" t="n">
        <v>0</v>
      </c>
      <c r="I149" t="n">
        <v>0</v>
      </c>
      <c r="J149" t="n">
        <v>0</v>
      </c>
      <c r="K149" t="n">
        <v>0</v>
      </c>
      <c r="L149" t="n">
        <v>0</v>
      </c>
      <c r="M149" t="n">
        <v>0</v>
      </c>
      <c r="N149" t="n">
        <v>0</v>
      </c>
      <c r="O149" t="n">
        <v>0</v>
      </c>
      <c r="P149" t="n">
        <v>0</v>
      </c>
      <c r="Q149" t="n">
        <v>0</v>
      </c>
      <c r="R149" s="2" t="inlineStr"/>
    </row>
    <row r="150" ht="15" customHeight="1">
      <c r="A150" t="inlineStr">
        <is>
          <t>A 42934-2024</t>
        </is>
      </c>
      <c r="B150" s="1" t="n">
        <v>45567</v>
      </c>
      <c r="C150" s="1" t="n">
        <v>46194</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61654-2024</t>
        </is>
      </c>
      <c r="B151" s="1" t="n">
        <v>45646</v>
      </c>
      <c r="C151" s="1" t="n">
        <v>46194</v>
      </c>
      <c r="D151" t="inlineStr">
        <is>
          <t>DALARNAS LÄN</t>
        </is>
      </c>
      <c r="E151" t="inlineStr">
        <is>
          <t>MORA</t>
        </is>
      </c>
      <c r="G151" t="n">
        <v>1.7</v>
      </c>
      <c r="H151" t="n">
        <v>0</v>
      </c>
      <c r="I151" t="n">
        <v>0</v>
      </c>
      <c r="J151" t="n">
        <v>0</v>
      </c>
      <c r="K151" t="n">
        <v>0</v>
      </c>
      <c r="L151" t="n">
        <v>0</v>
      </c>
      <c r="M151" t="n">
        <v>0</v>
      </c>
      <c r="N151" t="n">
        <v>0</v>
      </c>
      <c r="O151" t="n">
        <v>0</v>
      </c>
      <c r="P151" t="n">
        <v>0</v>
      </c>
      <c r="Q151" t="n">
        <v>0</v>
      </c>
      <c r="R151" s="2" t="inlineStr"/>
    </row>
    <row r="152" ht="15" customHeight="1">
      <c r="A152" t="inlineStr">
        <is>
          <t>A 60051-2022</t>
        </is>
      </c>
      <c r="B152" s="1" t="n">
        <v>44909</v>
      </c>
      <c r="C152" s="1" t="n">
        <v>46194</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46194</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v>
      </c>
      <c r="C154" s="1" t="n">
        <v>46194</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55671-2024</t>
        </is>
      </c>
      <c r="B155" s="1" t="n">
        <v>45622</v>
      </c>
      <c r="C155" s="1" t="n">
        <v>46194</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4208-2023</t>
        </is>
      </c>
      <c r="B156" s="1" t="n">
        <v>44953</v>
      </c>
      <c r="C156" s="1" t="n">
        <v>46194</v>
      </c>
      <c r="D156" t="inlineStr">
        <is>
          <t>DALARNAS LÄN</t>
        </is>
      </c>
      <c r="E156" t="inlineStr">
        <is>
          <t>MORA</t>
        </is>
      </c>
      <c r="G156" t="n">
        <v>2.4</v>
      </c>
      <c r="H156" t="n">
        <v>0</v>
      </c>
      <c r="I156" t="n">
        <v>0</v>
      </c>
      <c r="J156" t="n">
        <v>0</v>
      </c>
      <c r="K156" t="n">
        <v>0</v>
      </c>
      <c r="L156" t="n">
        <v>0</v>
      </c>
      <c r="M156" t="n">
        <v>0</v>
      </c>
      <c r="N156" t="n">
        <v>0</v>
      </c>
      <c r="O156" t="n">
        <v>0</v>
      </c>
      <c r="P156" t="n">
        <v>0</v>
      </c>
      <c r="Q156" t="n">
        <v>0</v>
      </c>
      <c r="R156" s="2" t="inlineStr"/>
    </row>
    <row r="157" ht="15" customHeight="1">
      <c r="A157" t="inlineStr">
        <is>
          <t>A 4210-2023</t>
        </is>
      </c>
      <c r="B157" s="1" t="n">
        <v>44953</v>
      </c>
      <c r="C157" s="1" t="n">
        <v>46194</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5491-2023</t>
        </is>
      </c>
      <c r="B158" s="1" t="n">
        <v>44957</v>
      </c>
      <c r="C158" s="1" t="n">
        <v>46194</v>
      </c>
      <c r="D158" t="inlineStr">
        <is>
          <t>DALARNAS LÄN</t>
        </is>
      </c>
      <c r="E158" t="inlineStr">
        <is>
          <t>MORA</t>
        </is>
      </c>
      <c r="G158" t="n">
        <v>3.5</v>
      </c>
      <c r="H158" t="n">
        <v>0</v>
      </c>
      <c r="I158" t="n">
        <v>0</v>
      </c>
      <c r="J158" t="n">
        <v>0</v>
      </c>
      <c r="K158" t="n">
        <v>0</v>
      </c>
      <c r="L158" t="n">
        <v>0</v>
      </c>
      <c r="M158" t="n">
        <v>0</v>
      </c>
      <c r="N158" t="n">
        <v>0</v>
      </c>
      <c r="O158" t="n">
        <v>0</v>
      </c>
      <c r="P158" t="n">
        <v>0</v>
      </c>
      <c r="Q158" t="n">
        <v>0</v>
      </c>
      <c r="R158" s="2" t="inlineStr"/>
    </row>
    <row r="159" ht="15" customHeight="1">
      <c r="A159" t="inlineStr">
        <is>
          <t>A 5493-2023</t>
        </is>
      </c>
      <c r="B159" s="1" t="n">
        <v>44957</v>
      </c>
      <c r="C159" s="1" t="n">
        <v>46194</v>
      </c>
      <c r="D159" t="inlineStr">
        <is>
          <t>DALARNAS LÄN</t>
        </is>
      </c>
      <c r="E159" t="inlineStr">
        <is>
          <t>MORA</t>
        </is>
      </c>
      <c r="F159" t="inlineStr">
        <is>
          <t>Allmännings- och besparingsskogar</t>
        </is>
      </c>
      <c r="G159" t="n">
        <v>14.9</v>
      </c>
      <c r="H159" t="n">
        <v>0</v>
      </c>
      <c r="I159" t="n">
        <v>0</v>
      </c>
      <c r="J159" t="n">
        <v>0</v>
      </c>
      <c r="K159" t="n">
        <v>0</v>
      </c>
      <c r="L159" t="n">
        <v>0</v>
      </c>
      <c r="M159" t="n">
        <v>0</v>
      </c>
      <c r="N159" t="n">
        <v>0</v>
      </c>
      <c r="O159" t="n">
        <v>0</v>
      </c>
      <c r="P159" t="n">
        <v>0</v>
      </c>
      <c r="Q159" t="n">
        <v>0</v>
      </c>
      <c r="R159" s="2" t="inlineStr"/>
    </row>
    <row r="160" ht="15" customHeight="1">
      <c r="A160" t="inlineStr">
        <is>
          <t>A 54628-2024</t>
        </is>
      </c>
      <c r="B160" s="1" t="n">
        <v>45617</v>
      </c>
      <c r="C160" s="1" t="n">
        <v>46194</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1252-2025</t>
        </is>
      </c>
      <c r="B161" s="1" t="n">
        <v>45667</v>
      </c>
      <c r="C161" s="1" t="n">
        <v>46194</v>
      </c>
      <c r="D161" t="inlineStr">
        <is>
          <t>DALARNAS LÄN</t>
        </is>
      </c>
      <c r="E161" t="inlineStr">
        <is>
          <t>MORA</t>
        </is>
      </c>
      <c r="G161" t="n">
        <v>1.6</v>
      </c>
      <c r="H161" t="n">
        <v>0</v>
      </c>
      <c r="I161" t="n">
        <v>0</v>
      </c>
      <c r="J161" t="n">
        <v>0</v>
      </c>
      <c r="K161" t="n">
        <v>0</v>
      </c>
      <c r="L161" t="n">
        <v>0</v>
      </c>
      <c r="M161" t="n">
        <v>0</v>
      </c>
      <c r="N161" t="n">
        <v>0</v>
      </c>
      <c r="O161" t="n">
        <v>0</v>
      </c>
      <c r="P161" t="n">
        <v>0</v>
      </c>
      <c r="Q161" t="n">
        <v>0</v>
      </c>
      <c r="R161" s="2" t="inlineStr"/>
    </row>
    <row r="162" ht="15" customHeight="1">
      <c r="A162" t="inlineStr">
        <is>
          <t>A 39348-2024</t>
        </is>
      </c>
      <c r="B162" s="1" t="n">
        <v>45551</v>
      </c>
      <c r="C162" s="1" t="n">
        <v>46194</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2830-2023</t>
        </is>
      </c>
      <c r="B163" s="1" t="n">
        <v>44945</v>
      </c>
      <c r="C163" s="1" t="n">
        <v>46194</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v>
      </c>
      <c r="C164" s="1" t="n">
        <v>46194</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43874-2024</t>
        </is>
      </c>
      <c r="B165" s="1" t="n">
        <v>45572</v>
      </c>
      <c r="C165" s="1" t="n">
        <v>46194</v>
      </c>
      <c r="D165" t="inlineStr">
        <is>
          <t>DALARNAS LÄN</t>
        </is>
      </c>
      <c r="E165" t="inlineStr">
        <is>
          <t>MORA</t>
        </is>
      </c>
      <c r="G165" t="n">
        <v>3.6</v>
      </c>
      <c r="H165" t="n">
        <v>0</v>
      </c>
      <c r="I165" t="n">
        <v>0</v>
      </c>
      <c r="J165" t="n">
        <v>0</v>
      </c>
      <c r="K165" t="n">
        <v>0</v>
      </c>
      <c r="L165" t="n">
        <v>0</v>
      </c>
      <c r="M165" t="n">
        <v>0</v>
      </c>
      <c r="N165" t="n">
        <v>0</v>
      </c>
      <c r="O165" t="n">
        <v>0</v>
      </c>
      <c r="P165" t="n">
        <v>0</v>
      </c>
      <c r="Q165" t="n">
        <v>0</v>
      </c>
      <c r="R165" s="2" t="inlineStr"/>
    </row>
    <row r="166" ht="15" customHeight="1">
      <c r="A166" t="inlineStr">
        <is>
          <t>A 57903-2022</t>
        </is>
      </c>
      <c r="B166" s="1" t="n">
        <v>44900</v>
      </c>
      <c r="C166" s="1" t="n">
        <v>46194</v>
      </c>
      <c r="D166" t="inlineStr">
        <is>
          <t>DALARNAS LÄN</t>
        </is>
      </c>
      <c r="E166" t="inlineStr">
        <is>
          <t>MORA</t>
        </is>
      </c>
      <c r="G166" t="n">
        <v>4.3</v>
      </c>
      <c r="H166" t="n">
        <v>0</v>
      </c>
      <c r="I166" t="n">
        <v>0</v>
      </c>
      <c r="J166" t="n">
        <v>0</v>
      </c>
      <c r="K166" t="n">
        <v>0</v>
      </c>
      <c r="L166" t="n">
        <v>0</v>
      </c>
      <c r="M166" t="n">
        <v>0</v>
      </c>
      <c r="N166" t="n">
        <v>0</v>
      </c>
      <c r="O166" t="n">
        <v>0</v>
      </c>
      <c r="P166" t="n">
        <v>0</v>
      </c>
      <c r="Q166" t="n">
        <v>0</v>
      </c>
      <c r="R166" s="2" t="inlineStr"/>
    </row>
    <row r="167" ht="15" customHeight="1">
      <c r="A167" t="inlineStr">
        <is>
          <t>A 24169-2022</t>
        </is>
      </c>
      <c r="B167" s="1" t="n">
        <v>44725</v>
      </c>
      <c r="C167" s="1" t="n">
        <v>46194</v>
      </c>
      <c r="D167" t="inlineStr">
        <is>
          <t>DALARNAS LÄN</t>
        </is>
      </c>
      <c r="E167" t="inlineStr">
        <is>
          <t>MORA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65186-2021</t>
        </is>
      </c>
      <c r="B168" s="1" t="n">
        <v>44515</v>
      </c>
      <c r="C168" s="1" t="n">
        <v>46194</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34660-2021</t>
        </is>
      </c>
      <c r="B169" s="1" t="n">
        <v>44382</v>
      </c>
      <c r="C169" s="1" t="n">
        <v>46194</v>
      </c>
      <c r="D169" t="inlineStr">
        <is>
          <t>DALARNAS LÄN</t>
        </is>
      </c>
      <c r="E169" t="inlineStr">
        <is>
          <t>MORA</t>
        </is>
      </c>
      <c r="G169" t="n">
        <v>7.5</v>
      </c>
      <c r="H169" t="n">
        <v>0</v>
      </c>
      <c r="I169" t="n">
        <v>0</v>
      </c>
      <c r="J169" t="n">
        <v>0</v>
      </c>
      <c r="K169" t="n">
        <v>0</v>
      </c>
      <c r="L169" t="n">
        <v>0</v>
      </c>
      <c r="M169" t="n">
        <v>0</v>
      </c>
      <c r="N169" t="n">
        <v>0</v>
      </c>
      <c r="O169" t="n">
        <v>0</v>
      </c>
      <c r="P169" t="n">
        <v>0</v>
      </c>
      <c r="Q169" t="n">
        <v>0</v>
      </c>
      <c r="R169" s="2" t="inlineStr"/>
    </row>
    <row r="170" ht="15" customHeight="1">
      <c r="A170" t="inlineStr">
        <is>
          <t>A 11442-2022</t>
        </is>
      </c>
      <c r="B170" s="1" t="n">
        <v>44630</v>
      </c>
      <c r="C170" s="1" t="n">
        <v>46194</v>
      </c>
      <c r="D170" t="inlineStr">
        <is>
          <t>DALARNAS LÄN</t>
        </is>
      </c>
      <c r="E170" t="inlineStr">
        <is>
          <t>MORA</t>
        </is>
      </c>
      <c r="G170" t="n">
        <v>0.5</v>
      </c>
      <c r="H170" t="n">
        <v>0</v>
      </c>
      <c r="I170" t="n">
        <v>0</v>
      </c>
      <c r="J170" t="n">
        <v>0</v>
      </c>
      <c r="K170" t="n">
        <v>0</v>
      </c>
      <c r="L170" t="n">
        <v>0</v>
      </c>
      <c r="M170" t="n">
        <v>0</v>
      </c>
      <c r="N170" t="n">
        <v>0</v>
      </c>
      <c r="O170" t="n">
        <v>0</v>
      </c>
      <c r="P170" t="n">
        <v>0</v>
      </c>
      <c r="Q170" t="n">
        <v>0</v>
      </c>
      <c r="R170" s="2" t="inlineStr"/>
    </row>
    <row r="171" ht="15" customHeight="1">
      <c r="A171" t="inlineStr">
        <is>
          <t>A 6183-2024</t>
        </is>
      </c>
      <c r="B171" s="1" t="n">
        <v>45337</v>
      </c>
      <c r="C171" s="1" t="n">
        <v>46194</v>
      </c>
      <c r="D171" t="inlineStr">
        <is>
          <t>DALARNAS LÄN</t>
        </is>
      </c>
      <c r="E171" t="inlineStr">
        <is>
          <t>MORA</t>
        </is>
      </c>
      <c r="G171" t="n">
        <v>7.9</v>
      </c>
      <c r="H171" t="n">
        <v>0</v>
      </c>
      <c r="I171" t="n">
        <v>0</v>
      </c>
      <c r="J171" t="n">
        <v>0</v>
      </c>
      <c r="K171" t="n">
        <v>0</v>
      </c>
      <c r="L171" t="n">
        <v>0</v>
      </c>
      <c r="M171" t="n">
        <v>0</v>
      </c>
      <c r="N171" t="n">
        <v>0</v>
      </c>
      <c r="O171" t="n">
        <v>0</v>
      </c>
      <c r="P171" t="n">
        <v>0</v>
      </c>
      <c r="Q171" t="n">
        <v>0</v>
      </c>
      <c r="R171" s="2" t="inlineStr"/>
    </row>
    <row r="172" ht="15" customHeight="1">
      <c r="A172" t="inlineStr">
        <is>
          <t>A 2308-2023</t>
        </is>
      </c>
      <c r="B172" s="1" t="n">
        <v>44942</v>
      </c>
      <c r="C172" s="1" t="n">
        <v>46194</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45562-2023</t>
        </is>
      </c>
      <c r="B173" s="1" t="n">
        <v>45194</v>
      </c>
      <c r="C173" s="1" t="n">
        <v>46194</v>
      </c>
      <c r="D173" t="inlineStr">
        <is>
          <t>DALARNAS LÄN</t>
        </is>
      </c>
      <c r="E173" t="inlineStr">
        <is>
          <t>MORA</t>
        </is>
      </c>
      <c r="G173" t="n">
        <v>0.7</v>
      </c>
      <c r="H173" t="n">
        <v>0</v>
      </c>
      <c r="I173" t="n">
        <v>0</v>
      </c>
      <c r="J173" t="n">
        <v>0</v>
      </c>
      <c r="K173" t="n">
        <v>0</v>
      </c>
      <c r="L173" t="n">
        <v>0</v>
      </c>
      <c r="M173" t="n">
        <v>0</v>
      </c>
      <c r="N173" t="n">
        <v>0</v>
      </c>
      <c r="O173" t="n">
        <v>0</v>
      </c>
      <c r="P173" t="n">
        <v>0</v>
      </c>
      <c r="Q173" t="n">
        <v>0</v>
      </c>
      <c r="R173" s="2" t="inlineStr"/>
    </row>
    <row r="174" ht="15" customHeight="1">
      <c r="A174" t="inlineStr">
        <is>
          <t>A 5527-2024</t>
        </is>
      </c>
      <c r="B174" s="1" t="n">
        <v>45334</v>
      </c>
      <c r="C174" s="1" t="n">
        <v>46194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35551-2023</t>
        </is>
      </c>
      <c r="B175" s="1" t="n">
        <v>45147</v>
      </c>
      <c r="C175" s="1" t="n">
        <v>46194</v>
      </c>
      <c r="D175" t="inlineStr">
        <is>
          <t>DALARNAS LÄN</t>
        </is>
      </c>
      <c r="E175" t="inlineStr">
        <is>
          <t>MORA</t>
        </is>
      </c>
      <c r="G175" t="n">
        <v>1.1</v>
      </c>
      <c r="H175" t="n">
        <v>0</v>
      </c>
      <c r="I175" t="n">
        <v>0</v>
      </c>
      <c r="J175" t="n">
        <v>0</v>
      </c>
      <c r="K175" t="n">
        <v>0</v>
      </c>
      <c r="L175" t="n">
        <v>0</v>
      </c>
      <c r="M175" t="n">
        <v>0</v>
      </c>
      <c r="N175" t="n">
        <v>0</v>
      </c>
      <c r="O175" t="n">
        <v>0</v>
      </c>
      <c r="P175" t="n">
        <v>0</v>
      </c>
      <c r="Q175" t="n">
        <v>0</v>
      </c>
      <c r="R175" s="2" t="inlineStr"/>
    </row>
    <row r="176" ht="15" customHeight="1">
      <c r="A176" t="inlineStr">
        <is>
          <t>A 56012-2023</t>
        </is>
      </c>
      <c r="B176" s="1" t="n">
        <v>45240</v>
      </c>
      <c r="C176" s="1" t="n">
        <v>46194</v>
      </c>
      <c r="D176" t="inlineStr">
        <is>
          <t>DALARNAS LÄN</t>
        </is>
      </c>
      <c r="E176" t="inlineStr">
        <is>
          <t>MORA</t>
        </is>
      </c>
      <c r="G176" t="n">
        <v>0.3</v>
      </c>
      <c r="H176" t="n">
        <v>0</v>
      </c>
      <c r="I176" t="n">
        <v>0</v>
      </c>
      <c r="J176" t="n">
        <v>0</v>
      </c>
      <c r="K176" t="n">
        <v>0</v>
      </c>
      <c r="L176" t="n">
        <v>0</v>
      </c>
      <c r="M176" t="n">
        <v>0</v>
      </c>
      <c r="N176" t="n">
        <v>0</v>
      </c>
      <c r="O176" t="n">
        <v>0</v>
      </c>
      <c r="P176" t="n">
        <v>0</v>
      </c>
      <c r="Q176" t="n">
        <v>0</v>
      </c>
      <c r="R176" s="2" t="inlineStr"/>
    </row>
    <row r="177" ht="15" customHeight="1">
      <c r="A177" t="inlineStr">
        <is>
          <t>A 4488-2022</t>
        </is>
      </c>
      <c r="B177" s="1" t="n">
        <v>44589</v>
      </c>
      <c r="C177" s="1" t="n">
        <v>46194</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23300-2024</t>
        </is>
      </c>
      <c r="B178" s="1" t="n">
        <v>45453</v>
      </c>
      <c r="C178" s="1" t="n">
        <v>46194</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24335-2022</t>
        </is>
      </c>
      <c r="B179" s="1" t="n">
        <v>44725</v>
      </c>
      <c r="C179" s="1" t="n">
        <v>46194</v>
      </c>
      <c r="D179" t="inlineStr">
        <is>
          <t>DALARNAS LÄN</t>
        </is>
      </c>
      <c r="E179" t="inlineStr">
        <is>
          <t>MORA</t>
        </is>
      </c>
      <c r="G179" t="n">
        <v>16</v>
      </c>
      <c r="H179" t="n">
        <v>0</v>
      </c>
      <c r="I179" t="n">
        <v>0</v>
      </c>
      <c r="J179" t="n">
        <v>0</v>
      </c>
      <c r="K179" t="n">
        <v>0</v>
      </c>
      <c r="L179" t="n">
        <v>0</v>
      </c>
      <c r="M179" t="n">
        <v>0</v>
      </c>
      <c r="N179" t="n">
        <v>0</v>
      </c>
      <c r="O179" t="n">
        <v>0</v>
      </c>
      <c r="P179" t="n">
        <v>0</v>
      </c>
      <c r="Q179" t="n">
        <v>0</v>
      </c>
      <c r="R179" s="2" t="inlineStr"/>
    </row>
    <row r="180" ht="15" customHeight="1">
      <c r="A180" t="inlineStr">
        <is>
          <t>A 571-2024</t>
        </is>
      </c>
      <c r="B180" s="1" t="n">
        <v>45299</v>
      </c>
      <c r="C180" s="1" t="n">
        <v>46194</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71702-2021</t>
        </is>
      </c>
      <c r="B181" s="1" t="n">
        <v>44543</v>
      </c>
      <c r="C181" s="1" t="n">
        <v>46194</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11857-2023</t>
        </is>
      </c>
      <c r="B182" s="1" t="n">
        <v>44995</v>
      </c>
      <c r="C182" s="1" t="n">
        <v>46194</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50056-2022</t>
        </is>
      </c>
      <c r="B183" s="1" t="n">
        <v>44865</v>
      </c>
      <c r="C183" s="1" t="n">
        <v>46194</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15818-2024</t>
        </is>
      </c>
      <c r="B184" s="1" t="n">
        <v>45404</v>
      </c>
      <c r="C184" s="1" t="n">
        <v>46194</v>
      </c>
      <c r="D184" t="inlineStr">
        <is>
          <t>DALARNAS LÄN</t>
        </is>
      </c>
      <c r="E184" t="inlineStr">
        <is>
          <t>MORA</t>
        </is>
      </c>
      <c r="G184" t="n">
        <v>7</v>
      </c>
      <c r="H184" t="n">
        <v>0</v>
      </c>
      <c r="I184" t="n">
        <v>0</v>
      </c>
      <c r="J184" t="n">
        <v>0</v>
      </c>
      <c r="K184" t="n">
        <v>0</v>
      </c>
      <c r="L184" t="n">
        <v>0</v>
      </c>
      <c r="M184" t="n">
        <v>0</v>
      </c>
      <c r="N184" t="n">
        <v>0</v>
      </c>
      <c r="O184" t="n">
        <v>0</v>
      </c>
      <c r="P184" t="n">
        <v>0</v>
      </c>
      <c r="Q184" t="n">
        <v>0</v>
      </c>
      <c r="R184" s="2" t="inlineStr"/>
    </row>
    <row r="185" ht="15" customHeight="1">
      <c r="A185" t="inlineStr">
        <is>
          <t>A 45674-2024</t>
        </is>
      </c>
      <c r="B185" s="1" t="n">
        <v>45573</v>
      </c>
      <c r="C185" s="1" t="n">
        <v>46194</v>
      </c>
      <c r="D185" t="inlineStr">
        <is>
          <t>DALARNAS LÄN</t>
        </is>
      </c>
      <c r="E185" t="inlineStr">
        <is>
          <t>MORA</t>
        </is>
      </c>
      <c r="G185" t="n">
        <v>3.2</v>
      </c>
      <c r="H185" t="n">
        <v>0</v>
      </c>
      <c r="I185" t="n">
        <v>0</v>
      </c>
      <c r="J185" t="n">
        <v>0</v>
      </c>
      <c r="K185" t="n">
        <v>0</v>
      </c>
      <c r="L185" t="n">
        <v>0</v>
      </c>
      <c r="M185" t="n">
        <v>0</v>
      </c>
      <c r="N185" t="n">
        <v>0</v>
      </c>
      <c r="O185" t="n">
        <v>0</v>
      </c>
      <c r="P185" t="n">
        <v>0</v>
      </c>
      <c r="Q185" t="n">
        <v>0</v>
      </c>
      <c r="R185" s="2" t="inlineStr"/>
    </row>
    <row r="186" ht="15" customHeight="1">
      <c r="A186" t="inlineStr">
        <is>
          <t>A 45390-2024</t>
        </is>
      </c>
      <c r="B186" s="1" t="n">
        <v>45576</v>
      </c>
      <c r="C186" s="1" t="n">
        <v>46194</v>
      </c>
      <c r="D186" t="inlineStr">
        <is>
          <t>DALARNAS LÄN</t>
        </is>
      </c>
      <c r="E186" t="inlineStr">
        <is>
          <t>MORA</t>
        </is>
      </c>
      <c r="F186" t="inlineStr">
        <is>
          <t>Bergvik skog väst AB</t>
        </is>
      </c>
      <c r="G186" t="n">
        <v>5.6</v>
      </c>
      <c r="H186" t="n">
        <v>0</v>
      </c>
      <c r="I186" t="n">
        <v>0</v>
      </c>
      <c r="J186" t="n">
        <v>0</v>
      </c>
      <c r="K186" t="n">
        <v>0</v>
      </c>
      <c r="L186" t="n">
        <v>0</v>
      </c>
      <c r="M186" t="n">
        <v>0</v>
      </c>
      <c r="N186" t="n">
        <v>0</v>
      </c>
      <c r="O186" t="n">
        <v>0</v>
      </c>
      <c r="P186" t="n">
        <v>0</v>
      </c>
      <c r="Q186" t="n">
        <v>0</v>
      </c>
      <c r="R186" s="2" t="inlineStr"/>
    </row>
    <row r="187" ht="15" customHeight="1">
      <c r="A187" t="inlineStr">
        <is>
          <t>A 19756-2022</t>
        </is>
      </c>
      <c r="B187" s="1" t="n">
        <v>44694</v>
      </c>
      <c r="C187" s="1" t="n">
        <v>46194</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17145-2024</t>
        </is>
      </c>
      <c r="B188" s="1" t="n">
        <v>45412</v>
      </c>
      <c r="C188" s="1" t="n">
        <v>46194</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51780-2023</t>
        </is>
      </c>
      <c r="B189" s="1" t="n">
        <v>45222</v>
      </c>
      <c r="C189" s="1" t="n">
        <v>46194</v>
      </c>
      <c r="D189" t="inlineStr">
        <is>
          <t>DALARNAS LÄN</t>
        </is>
      </c>
      <c r="E189" t="inlineStr">
        <is>
          <t>MORA</t>
        </is>
      </c>
      <c r="G189" t="n">
        <v>9.9</v>
      </c>
      <c r="H189" t="n">
        <v>0</v>
      </c>
      <c r="I189" t="n">
        <v>0</v>
      </c>
      <c r="J189" t="n">
        <v>0</v>
      </c>
      <c r="K189" t="n">
        <v>0</v>
      </c>
      <c r="L189" t="n">
        <v>0</v>
      </c>
      <c r="M189" t="n">
        <v>0</v>
      </c>
      <c r="N189" t="n">
        <v>0</v>
      </c>
      <c r="O189" t="n">
        <v>0</v>
      </c>
      <c r="P189" t="n">
        <v>0</v>
      </c>
      <c r="Q189" t="n">
        <v>0</v>
      </c>
      <c r="R189" s="2" t="inlineStr"/>
    </row>
    <row r="190" ht="15" customHeight="1">
      <c r="A190" t="inlineStr">
        <is>
          <t>A 5216-2025</t>
        </is>
      </c>
      <c r="B190" s="1" t="n">
        <v>45691</v>
      </c>
      <c r="C190" s="1" t="n">
        <v>46194</v>
      </c>
      <c r="D190" t="inlineStr">
        <is>
          <t>DALARNAS LÄN</t>
        </is>
      </c>
      <c r="E190" t="inlineStr">
        <is>
          <t>MORA</t>
        </is>
      </c>
      <c r="G190" t="n">
        <v>2.5</v>
      </c>
      <c r="H190" t="n">
        <v>0</v>
      </c>
      <c r="I190" t="n">
        <v>0</v>
      </c>
      <c r="J190" t="n">
        <v>0</v>
      </c>
      <c r="K190" t="n">
        <v>0</v>
      </c>
      <c r="L190" t="n">
        <v>0</v>
      </c>
      <c r="M190" t="n">
        <v>0</v>
      </c>
      <c r="N190" t="n">
        <v>0</v>
      </c>
      <c r="O190" t="n">
        <v>0</v>
      </c>
      <c r="P190" t="n">
        <v>0</v>
      </c>
      <c r="Q190" t="n">
        <v>0</v>
      </c>
      <c r="R190" s="2" t="inlineStr"/>
    </row>
    <row r="191" ht="15" customHeight="1">
      <c r="A191" t="inlineStr">
        <is>
          <t>A 53344-2023</t>
        </is>
      </c>
      <c r="B191" s="1" t="n">
        <v>45229</v>
      </c>
      <c r="C191" s="1" t="n">
        <v>46194</v>
      </c>
      <c r="D191" t="inlineStr">
        <is>
          <t>DALARNAS LÄN</t>
        </is>
      </c>
      <c r="E191" t="inlineStr">
        <is>
          <t>MORA</t>
        </is>
      </c>
      <c r="G191" t="n">
        <v>2.4</v>
      </c>
      <c r="H191" t="n">
        <v>0</v>
      </c>
      <c r="I191" t="n">
        <v>0</v>
      </c>
      <c r="J191" t="n">
        <v>0</v>
      </c>
      <c r="K191" t="n">
        <v>0</v>
      </c>
      <c r="L191" t="n">
        <v>0</v>
      </c>
      <c r="M191" t="n">
        <v>0</v>
      </c>
      <c r="N191" t="n">
        <v>0</v>
      </c>
      <c r="O191" t="n">
        <v>0</v>
      </c>
      <c r="P191" t="n">
        <v>0</v>
      </c>
      <c r="Q191" t="n">
        <v>0</v>
      </c>
      <c r="R191" s="2" t="inlineStr"/>
    </row>
    <row r="192" ht="15" customHeight="1">
      <c r="A192" t="inlineStr">
        <is>
          <t>A 59448-2022</t>
        </is>
      </c>
      <c r="B192" s="1" t="n">
        <v>44907</v>
      </c>
      <c r="C192" s="1" t="n">
        <v>46194</v>
      </c>
      <c r="D192" t="inlineStr">
        <is>
          <t>DALARNAS LÄN</t>
        </is>
      </c>
      <c r="E192" t="inlineStr">
        <is>
          <t>MORA</t>
        </is>
      </c>
      <c r="G192" t="n">
        <v>35.7</v>
      </c>
      <c r="H192" t="n">
        <v>0</v>
      </c>
      <c r="I192" t="n">
        <v>0</v>
      </c>
      <c r="J192" t="n">
        <v>0</v>
      </c>
      <c r="K192" t="n">
        <v>0</v>
      </c>
      <c r="L192" t="n">
        <v>0</v>
      </c>
      <c r="M192" t="n">
        <v>0</v>
      </c>
      <c r="N192" t="n">
        <v>0</v>
      </c>
      <c r="O192" t="n">
        <v>0</v>
      </c>
      <c r="P192" t="n">
        <v>0</v>
      </c>
      <c r="Q192" t="n">
        <v>0</v>
      </c>
      <c r="R192" s="2" t="inlineStr"/>
    </row>
    <row r="193" ht="15" customHeight="1">
      <c r="A193" t="inlineStr">
        <is>
          <t>A 57797-2022</t>
        </is>
      </c>
      <c r="B193" s="1" t="n">
        <v>44897</v>
      </c>
      <c r="C193" s="1" t="n">
        <v>46194</v>
      </c>
      <c r="D193" t="inlineStr">
        <is>
          <t>DALARNAS LÄN</t>
        </is>
      </c>
      <c r="E193" t="inlineStr">
        <is>
          <t>MORA</t>
        </is>
      </c>
      <c r="G193" t="n">
        <v>3.1</v>
      </c>
      <c r="H193" t="n">
        <v>0</v>
      </c>
      <c r="I193" t="n">
        <v>0</v>
      </c>
      <c r="J193" t="n">
        <v>0</v>
      </c>
      <c r="K193" t="n">
        <v>0</v>
      </c>
      <c r="L193" t="n">
        <v>0</v>
      </c>
      <c r="M193" t="n">
        <v>0</v>
      </c>
      <c r="N193" t="n">
        <v>0</v>
      </c>
      <c r="O193" t="n">
        <v>0</v>
      </c>
      <c r="P193" t="n">
        <v>0</v>
      </c>
      <c r="Q193" t="n">
        <v>0</v>
      </c>
      <c r="R193" s="2" t="inlineStr"/>
    </row>
    <row r="194" ht="15" customHeight="1">
      <c r="A194" t="inlineStr">
        <is>
          <t>A 46188-2022</t>
        </is>
      </c>
      <c r="B194" s="1" t="n">
        <v>44847</v>
      </c>
      <c r="C194" s="1" t="n">
        <v>46194</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43879-2022</t>
        </is>
      </c>
      <c r="B195" s="1" t="n">
        <v>44838</v>
      </c>
      <c r="C195" s="1" t="n">
        <v>46194</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40286-2024</t>
        </is>
      </c>
      <c r="B196" s="1" t="n">
        <v>45554</v>
      </c>
      <c r="C196" s="1" t="n">
        <v>46194</v>
      </c>
      <c r="D196" t="inlineStr">
        <is>
          <t>DALARNAS LÄN</t>
        </is>
      </c>
      <c r="E196" t="inlineStr">
        <is>
          <t>MORA</t>
        </is>
      </c>
      <c r="G196" t="n">
        <v>0.4</v>
      </c>
      <c r="H196" t="n">
        <v>0</v>
      </c>
      <c r="I196" t="n">
        <v>0</v>
      </c>
      <c r="J196" t="n">
        <v>0</v>
      </c>
      <c r="K196" t="n">
        <v>0</v>
      </c>
      <c r="L196" t="n">
        <v>0</v>
      </c>
      <c r="M196" t="n">
        <v>0</v>
      </c>
      <c r="N196" t="n">
        <v>0</v>
      </c>
      <c r="O196" t="n">
        <v>0</v>
      </c>
      <c r="P196" t="n">
        <v>0</v>
      </c>
      <c r="Q196" t="n">
        <v>0</v>
      </c>
      <c r="R196" s="2" t="inlineStr"/>
    </row>
    <row r="197" ht="15" customHeight="1">
      <c r="A197" t="inlineStr">
        <is>
          <t>A 48824-2023</t>
        </is>
      </c>
      <c r="B197" s="1" t="n">
        <v>45203</v>
      </c>
      <c r="C197" s="1" t="n">
        <v>46194</v>
      </c>
      <c r="D197" t="inlineStr">
        <is>
          <t>DALARNAS LÄN</t>
        </is>
      </c>
      <c r="E197" t="inlineStr">
        <is>
          <t>MORA</t>
        </is>
      </c>
      <c r="G197" t="n">
        <v>3.3</v>
      </c>
      <c r="H197" t="n">
        <v>0</v>
      </c>
      <c r="I197" t="n">
        <v>0</v>
      </c>
      <c r="J197" t="n">
        <v>0</v>
      </c>
      <c r="K197" t="n">
        <v>0</v>
      </c>
      <c r="L197" t="n">
        <v>0</v>
      </c>
      <c r="M197" t="n">
        <v>0</v>
      </c>
      <c r="N197" t="n">
        <v>0</v>
      </c>
      <c r="O197" t="n">
        <v>0</v>
      </c>
      <c r="P197" t="n">
        <v>0</v>
      </c>
      <c r="Q197" t="n">
        <v>0</v>
      </c>
      <c r="R197" s="2" t="inlineStr"/>
    </row>
    <row r="198" ht="15" customHeight="1">
      <c r="A198" t="inlineStr">
        <is>
          <t>A 20504-2023</t>
        </is>
      </c>
      <c r="B198" s="1" t="n">
        <v>45057</v>
      </c>
      <c r="C198" s="1" t="n">
        <v>46194</v>
      </c>
      <c r="D198" t="inlineStr">
        <is>
          <t>DALARNAS LÄN</t>
        </is>
      </c>
      <c r="E198" t="inlineStr">
        <is>
          <t>MORA</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39888-2024</t>
        </is>
      </c>
      <c r="B199" s="1" t="n">
        <v>45553</v>
      </c>
      <c r="C199" s="1" t="n">
        <v>46194</v>
      </c>
      <c r="D199" t="inlineStr">
        <is>
          <t>DALARNAS LÄN</t>
        </is>
      </c>
      <c r="E199" t="inlineStr">
        <is>
          <t>MORA</t>
        </is>
      </c>
      <c r="G199" t="n">
        <v>5.4</v>
      </c>
      <c r="H199" t="n">
        <v>0</v>
      </c>
      <c r="I199" t="n">
        <v>0</v>
      </c>
      <c r="J199" t="n">
        <v>0</v>
      </c>
      <c r="K199" t="n">
        <v>0</v>
      </c>
      <c r="L199" t="n">
        <v>0</v>
      </c>
      <c r="M199" t="n">
        <v>0</v>
      </c>
      <c r="N199" t="n">
        <v>0</v>
      </c>
      <c r="O199" t="n">
        <v>0</v>
      </c>
      <c r="P199" t="n">
        <v>0</v>
      </c>
      <c r="Q199" t="n">
        <v>0</v>
      </c>
      <c r="R199" s="2" t="inlineStr"/>
    </row>
    <row r="200" ht="15" customHeight="1">
      <c r="A200" t="inlineStr">
        <is>
          <t>A 17516-2024</t>
        </is>
      </c>
      <c r="B200" s="1" t="n">
        <v>45415</v>
      </c>
      <c r="C200" s="1" t="n">
        <v>46194</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44595-2024</t>
        </is>
      </c>
      <c r="B201" s="1" t="n">
        <v>45574</v>
      </c>
      <c r="C201" s="1" t="n">
        <v>46194</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43566-2023</t>
        </is>
      </c>
      <c r="B202" s="1" t="n">
        <v>45184</v>
      </c>
      <c r="C202" s="1" t="n">
        <v>46194</v>
      </c>
      <c r="D202" t="inlineStr">
        <is>
          <t>DALARNAS LÄN</t>
        </is>
      </c>
      <c r="E202" t="inlineStr">
        <is>
          <t>MORA</t>
        </is>
      </c>
      <c r="F202" t="inlineStr">
        <is>
          <t>Bergvik skog väst AB</t>
        </is>
      </c>
      <c r="G202" t="n">
        <v>4.3</v>
      </c>
      <c r="H202" t="n">
        <v>0</v>
      </c>
      <c r="I202" t="n">
        <v>0</v>
      </c>
      <c r="J202" t="n">
        <v>0</v>
      </c>
      <c r="K202" t="n">
        <v>0</v>
      </c>
      <c r="L202" t="n">
        <v>0</v>
      </c>
      <c r="M202" t="n">
        <v>0</v>
      </c>
      <c r="N202" t="n">
        <v>0</v>
      </c>
      <c r="O202" t="n">
        <v>0</v>
      </c>
      <c r="P202" t="n">
        <v>0</v>
      </c>
      <c r="Q202" t="n">
        <v>0</v>
      </c>
      <c r="R202" s="2" t="inlineStr"/>
    </row>
    <row r="203" ht="15" customHeight="1">
      <c r="A203" t="inlineStr">
        <is>
          <t>A 12828-2023</t>
        </is>
      </c>
      <c r="B203" s="1" t="n">
        <v>45001</v>
      </c>
      <c r="C203" s="1" t="n">
        <v>46194</v>
      </c>
      <c r="D203" t="inlineStr">
        <is>
          <t>DALARNAS LÄN</t>
        </is>
      </c>
      <c r="E203" t="inlineStr">
        <is>
          <t>MORA</t>
        </is>
      </c>
      <c r="F203" t="inlineStr">
        <is>
          <t>Bergvik skog väst AB</t>
        </is>
      </c>
      <c r="G203" t="n">
        <v>5.4</v>
      </c>
      <c r="H203" t="n">
        <v>0</v>
      </c>
      <c r="I203" t="n">
        <v>0</v>
      </c>
      <c r="J203" t="n">
        <v>0</v>
      </c>
      <c r="K203" t="n">
        <v>0</v>
      </c>
      <c r="L203" t="n">
        <v>0</v>
      </c>
      <c r="M203" t="n">
        <v>0</v>
      </c>
      <c r="N203" t="n">
        <v>0</v>
      </c>
      <c r="O203" t="n">
        <v>0</v>
      </c>
      <c r="P203" t="n">
        <v>0</v>
      </c>
      <c r="Q203" t="n">
        <v>0</v>
      </c>
      <c r="R203" s="2" t="inlineStr"/>
    </row>
    <row r="204" ht="15" customHeight="1">
      <c r="A204" t="inlineStr">
        <is>
          <t>A 60099-2024</t>
        </is>
      </c>
      <c r="B204" s="1" t="n">
        <v>45642</v>
      </c>
      <c r="C204" s="1" t="n">
        <v>46194</v>
      </c>
      <c r="D204" t="inlineStr">
        <is>
          <t>DALARNAS LÄN</t>
        </is>
      </c>
      <c r="E204" t="inlineStr">
        <is>
          <t>MORA</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53750-2024</t>
        </is>
      </c>
      <c r="B205" s="1" t="n">
        <v>45615</v>
      </c>
      <c r="C205" s="1" t="n">
        <v>46194</v>
      </c>
      <c r="D205" t="inlineStr">
        <is>
          <t>DALARNAS LÄN</t>
        </is>
      </c>
      <c r="E205" t="inlineStr">
        <is>
          <t>MORA</t>
        </is>
      </c>
      <c r="G205" t="n">
        <v>2.3</v>
      </c>
      <c r="H205" t="n">
        <v>0</v>
      </c>
      <c r="I205" t="n">
        <v>0</v>
      </c>
      <c r="J205" t="n">
        <v>0</v>
      </c>
      <c r="K205" t="n">
        <v>0</v>
      </c>
      <c r="L205" t="n">
        <v>0</v>
      </c>
      <c r="M205" t="n">
        <v>0</v>
      </c>
      <c r="N205" t="n">
        <v>0</v>
      </c>
      <c r="O205" t="n">
        <v>0</v>
      </c>
      <c r="P205" t="n">
        <v>0</v>
      </c>
      <c r="Q205" t="n">
        <v>0</v>
      </c>
      <c r="R205" s="2" t="inlineStr"/>
    </row>
    <row r="206" ht="15" customHeight="1">
      <c r="A206" t="inlineStr">
        <is>
          <t>A 53743-2024</t>
        </is>
      </c>
      <c r="B206" s="1" t="n">
        <v>45615</v>
      </c>
      <c r="C206" s="1" t="n">
        <v>46194</v>
      </c>
      <c r="D206" t="inlineStr">
        <is>
          <t>DALARNAS LÄN</t>
        </is>
      </c>
      <c r="E206" t="inlineStr">
        <is>
          <t>MORA</t>
        </is>
      </c>
      <c r="G206" t="n">
        <v>1.4</v>
      </c>
      <c r="H206" t="n">
        <v>0</v>
      </c>
      <c r="I206" t="n">
        <v>0</v>
      </c>
      <c r="J206" t="n">
        <v>0</v>
      </c>
      <c r="K206" t="n">
        <v>0</v>
      </c>
      <c r="L206" t="n">
        <v>0</v>
      </c>
      <c r="M206" t="n">
        <v>0</v>
      </c>
      <c r="N206" t="n">
        <v>0</v>
      </c>
      <c r="O206" t="n">
        <v>0</v>
      </c>
      <c r="P206" t="n">
        <v>0</v>
      </c>
      <c r="Q206" t="n">
        <v>0</v>
      </c>
      <c r="R206" s="2" t="inlineStr"/>
    </row>
    <row r="207" ht="15" customHeight="1">
      <c r="A207" t="inlineStr">
        <is>
          <t>A 24772-2024</t>
        </is>
      </c>
      <c r="B207" s="1" t="n">
        <v>45460</v>
      </c>
      <c r="C207" s="1" t="n">
        <v>46194</v>
      </c>
      <c r="D207" t="inlineStr">
        <is>
          <t>DALARNAS LÄN</t>
        </is>
      </c>
      <c r="E207" t="inlineStr">
        <is>
          <t>MORA</t>
        </is>
      </c>
      <c r="G207" t="n">
        <v>0.9</v>
      </c>
      <c r="H207" t="n">
        <v>0</v>
      </c>
      <c r="I207" t="n">
        <v>0</v>
      </c>
      <c r="J207" t="n">
        <v>0</v>
      </c>
      <c r="K207" t="n">
        <v>0</v>
      </c>
      <c r="L207" t="n">
        <v>0</v>
      </c>
      <c r="M207" t="n">
        <v>0</v>
      </c>
      <c r="N207" t="n">
        <v>0</v>
      </c>
      <c r="O207" t="n">
        <v>0</v>
      </c>
      <c r="P207" t="n">
        <v>0</v>
      </c>
      <c r="Q207" t="n">
        <v>0</v>
      </c>
      <c r="R207" s="2" t="inlineStr"/>
    </row>
    <row r="208" ht="15" customHeight="1">
      <c r="A208" t="inlineStr">
        <is>
          <t>A 18122-2025</t>
        </is>
      </c>
      <c r="B208" s="1" t="n">
        <v>45761</v>
      </c>
      <c r="C208" s="1" t="n">
        <v>46194</v>
      </c>
      <c r="D208" t="inlineStr">
        <is>
          <t>DALARNAS LÄN</t>
        </is>
      </c>
      <c r="E208" t="inlineStr">
        <is>
          <t>MORA</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59174-2023</t>
        </is>
      </c>
      <c r="B209" s="1" t="n">
        <v>45253</v>
      </c>
      <c r="C209" s="1" t="n">
        <v>46194</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36184-2021</t>
        </is>
      </c>
      <c r="B210" s="1" t="n">
        <v>44389</v>
      </c>
      <c r="C210" s="1" t="n">
        <v>46194</v>
      </c>
      <c r="D210" t="inlineStr">
        <is>
          <t>DALARNAS LÄN</t>
        </is>
      </c>
      <c r="E210" t="inlineStr">
        <is>
          <t>MORA</t>
        </is>
      </c>
      <c r="G210" t="n">
        <v>0.5</v>
      </c>
      <c r="H210" t="n">
        <v>0</v>
      </c>
      <c r="I210" t="n">
        <v>0</v>
      </c>
      <c r="J210" t="n">
        <v>0</v>
      </c>
      <c r="K210" t="n">
        <v>0</v>
      </c>
      <c r="L210" t="n">
        <v>0</v>
      </c>
      <c r="M210" t="n">
        <v>0</v>
      </c>
      <c r="N210" t="n">
        <v>0</v>
      </c>
      <c r="O210" t="n">
        <v>0</v>
      </c>
      <c r="P210" t="n">
        <v>0</v>
      </c>
      <c r="Q210" t="n">
        <v>0</v>
      </c>
      <c r="R210" s="2" t="inlineStr"/>
    </row>
    <row r="211" ht="15" customHeight="1">
      <c r="A211" t="inlineStr">
        <is>
          <t>A 13262-2022</t>
        </is>
      </c>
      <c r="B211" s="1" t="n">
        <v>44644</v>
      </c>
      <c r="C211" s="1" t="n">
        <v>46194</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47036-2023</t>
        </is>
      </c>
      <c r="B212" s="1" t="n">
        <v>45196</v>
      </c>
      <c r="C212" s="1" t="n">
        <v>46194</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16967-2025</t>
        </is>
      </c>
      <c r="B213" s="1" t="n">
        <v>45755</v>
      </c>
      <c r="C213" s="1" t="n">
        <v>46194</v>
      </c>
      <c r="D213" t="inlineStr">
        <is>
          <t>DALARNAS LÄN</t>
        </is>
      </c>
      <c r="E213" t="inlineStr">
        <is>
          <t>MORA</t>
        </is>
      </c>
      <c r="F213" t="inlineStr">
        <is>
          <t>Bergvik skog öst AB</t>
        </is>
      </c>
      <c r="G213" t="n">
        <v>2.9</v>
      </c>
      <c r="H213" t="n">
        <v>0</v>
      </c>
      <c r="I213" t="n">
        <v>0</v>
      </c>
      <c r="J213" t="n">
        <v>0</v>
      </c>
      <c r="K213" t="n">
        <v>0</v>
      </c>
      <c r="L213" t="n">
        <v>0</v>
      </c>
      <c r="M213" t="n">
        <v>0</v>
      </c>
      <c r="N213" t="n">
        <v>0</v>
      </c>
      <c r="O213" t="n">
        <v>0</v>
      </c>
      <c r="P213" t="n">
        <v>0</v>
      </c>
      <c r="Q213" t="n">
        <v>0</v>
      </c>
      <c r="R213" s="2" t="inlineStr"/>
    </row>
    <row r="214" ht="15" customHeight="1">
      <c r="A214" t="inlineStr">
        <is>
          <t>A 18202-2024</t>
        </is>
      </c>
      <c r="B214" s="1" t="n">
        <v>45420</v>
      </c>
      <c r="C214" s="1" t="n">
        <v>46194</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1897-2023</t>
        </is>
      </c>
      <c r="B215" s="1" t="n">
        <v>44937</v>
      </c>
      <c r="C215" s="1" t="n">
        <v>46194</v>
      </c>
      <c r="D215" t="inlineStr">
        <is>
          <t>DALARNAS LÄN</t>
        </is>
      </c>
      <c r="E215" t="inlineStr">
        <is>
          <t>MORA</t>
        </is>
      </c>
      <c r="G215" t="n">
        <v>0.8</v>
      </c>
      <c r="H215" t="n">
        <v>0</v>
      </c>
      <c r="I215" t="n">
        <v>0</v>
      </c>
      <c r="J215" t="n">
        <v>0</v>
      </c>
      <c r="K215" t="n">
        <v>0</v>
      </c>
      <c r="L215" t="n">
        <v>0</v>
      </c>
      <c r="M215" t="n">
        <v>0</v>
      </c>
      <c r="N215" t="n">
        <v>0</v>
      </c>
      <c r="O215" t="n">
        <v>0</v>
      </c>
      <c r="P215" t="n">
        <v>0</v>
      </c>
      <c r="Q215" t="n">
        <v>0</v>
      </c>
      <c r="R215" s="2" t="inlineStr"/>
    </row>
    <row r="216" ht="15" customHeight="1">
      <c r="A216" t="inlineStr">
        <is>
          <t>A 20549-2025</t>
        </is>
      </c>
      <c r="B216" s="1" t="n">
        <v>45775</v>
      </c>
      <c r="C216" s="1" t="n">
        <v>46194</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49159-2023</t>
        </is>
      </c>
      <c r="B217" s="1" t="n">
        <v>45210</v>
      </c>
      <c r="C217" s="1" t="n">
        <v>46194</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19193-2025</t>
        </is>
      </c>
      <c r="B218" s="1" t="n">
        <v>45769</v>
      </c>
      <c r="C218" s="1" t="n">
        <v>46194</v>
      </c>
      <c r="D218" t="inlineStr">
        <is>
          <t>DALARNAS LÄN</t>
        </is>
      </c>
      <c r="E218" t="inlineStr">
        <is>
          <t>MORA</t>
        </is>
      </c>
      <c r="F218" t="inlineStr">
        <is>
          <t>Bergvik skog öst AB</t>
        </is>
      </c>
      <c r="G218" t="n">
        <v>1</v>
      </c>
      <c r="H218" t="n">
        <v>0</v>
      </c>
      <c r="I218" t="n">
        <v>0</v>
      </c>
      <c r="J218" t="n">
        <v>0</v>
      </c>
      <c r="K218" t="n">
        <v>0</v>
      </c>
      <c r="L218" t="n">
        <v>0</v>
      </c>
      <c r="M218" t="n">
        <v>0</v>
      </c>
      <c r="N218" t="n">
        <v>0</v>
      </c>
      <c r="O218" t="n">
        <v>0</v>
      </c>
      <c r="P218" t="n">
        <v>0</v>
      </c>
      <c r="Q218" t="n">
        <v>0</v>
      </c>
      <c r="R218" s="2" t="inlineStr"/>
    </row>
    <row r="219" ht="15" customHeight="1">
      <c r="A219" t="inlineStr">
        <is>
          <t>A 64088-2023</t>
        </is>
      </c>
      <c r="B219" s="1" t="n">
        <v>45279</v>
      </c>
      <c r="C219" s="1" t="n">
        <v>46194</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18444-2024</t>
        </is>
      </c>
      <c r="B220" s="1" t="n">
        <v>45425</v>
      </c>
      <c r="C220" s="1" t="n">
        <v>46194</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19814-2025</t>
        </is>
      </c>
      <c r="B221" s="1" t="n">
        <v>45771</v>
      </c>
      <c r="C221" s="1" t="n">
        <v>46194</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8100-2024</t>
        </is>
      </c>
      <c r="B222" s="1" t="n">
        <v>45351</v>
      </c>
      <c r="C222" s="1" t="n">
        <v>46194</v>
      </c>
      <c r="D222" t="inlineStr">
        <is>
          <t>DALARNAS LÄN</t>
        </is>
      </c>
      <c r="E222" t="inlineStr">
        <is>
          <t>MORA</t>
        </is>
      </c>
      <c r="G222" t="n">
        <v>3.2</v>
      </c>
      <c r="H222" t="n">
        <v>0</v>
      </c>
      <c r="I222" t="n">
        <v>0</v>
      </c>
      <c r="J222" t="n">
        <v>0</v>
      </c>
      <c r="K222" t="n">
        <v>0</v>
      </c>
      <c r="L222" t="n">
        <v>0</v>
      </c>
      <c r="M222" t="n">
        <v>0</v>
      </c>
      <c r="N222" t="n">
        <v>0</v>
      </c>
      <c r="O222" t="n">
        <v>0</v>
      </c>
      <c r="P222" t="n">
        <v>0</v>
      </c>
      <c r="Q222" t="n">
        <v>0</v>
      </c>
      <c r="R222" s="2" t="inlineStr"/>
    </row>
    <row r="223" ht="15" customHeight="1">
      <c r="A223" t="inlineStr">
        <is>
          <t>A 9855-2024</t>
        </is>
      </c>
      <c r="B223" s="1" t="n">
        <v>45363</v>
      </c>
      <c r="C223" s="1" t="n">
        <v>46194</v>
      </c>
      <c r="D223" t="inlineStr">
        <is>
          <t>DALARNAS LÄN</t>
        </is>
      </c>
      <c r="E223" t="inlineStr">
        <is>
          <t>MORA</t>
        </is>
      </c>
      <c r="G223" t="n">
        <v>8.6</v>
      </c>
      <c r="H223" t="n">
        <v>0</v>
      </c>
      <c r="I223" t="n">
        <v>0</v>
      </c>
      <c r="J223" t="n">
        <v>0</v>
      </c>
      <c r="K223" t="n">
        <v>0</v>
      </c>
      <c r="L223" t="n">
        <v>0</v>
      </c>
      <c r="M223" t="n">
        <v>0</v>
      </c>
      <c r="N223" t="n">
        <v>0</v>
      </c>
      <c r="O223" t="n">
        <v>0</v>
      </c>
      <c r="P223" t="n">
        <v>0</v>
      </c>
      <c r="Q223" t="n">
        <v>0</v>
      </c>
      <c r="R223" s="2" t="inlineStr"/>
    </row>
    <row r="224" ht="15" customHeight="1">
      <c r="A224" t="inlineStr">
        <is>
          <t>A 60847-2021</t>
        </is>
      </c>
      <c r="B224" s="1" t="n">
        <v>44497</v>
      </c>
      <c r="C224" s="1" t="n">
        <v>46194</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22732-2024</t>
        </is>
      </c>
      <c r="B225" s="1" t="n">
        <v>45448</v>
      </c>
      <c r="C225" s="1" t="n">
        <v>46194</v>
      </c>
      <c r="D225" t="inlineStr">
        <is>
          <t>DALARNAS LÄN</t>
        </is>
      </c>
      <c r="E225" t="inlineStr">
        <is>
          <t>MORA</t>
        </is>
      </c>
      <c r="G225" t="n">
        <v>3.6</v>
      </c>
      <c r="H225" t="n">
        <v>0</v>
      </c>
      <c r="I225" t="n">
        <v>0</v>
      </c>
      <c r="J225" t="n">
        <v>0</v>
      </c>
      <c r="K225" t="n">
        <v>0</v>
      </c>
      <c r="L225" t="n">
        <v>0</v>
      </c>
      <c r="M225" t="n">
        <v>0</v>
      </c>
      <c r="N225" t="n">
        <v>0</v>
      </c>
      <c r="O225" t="n">
        <v>0</v>
      </c>
      <c r="P225" t="n">
        <v>0</v>
      </c>
      <c r="Q225" t="n">
        <v>0</v>
      </c>
      <c r="R225" s="2" t="inlineStr"/>
    </row>
    <row r="226" ht="15" customHeight="1">
      <c r="A226" t="inlineStr">
        <is>
          <t>A 42611-2022</t>
        </is>
      </c>
      <c r="B226" s="1" t="n">
        <v>44831</v>
      </c>
      <c r="C226" s="1" t="n">
        <v>46194</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15416-2023</t>
        </is>
      </c>
      <c r="B227" s="1" t="n">
        <v>45019</v>
      </c>
      <c r="C227" s="1" t="n">
        <v>46194</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25935-2023</t>
        </is>
      </c>
      <c r="B228" s="1" t="n">
        <v>45090</v>
      </c>
      <c r="C228" s="1" t="n">
        <v>46194</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64099-2023</t>
        </is>
      </c>
      <c r="B229" s="1" t="n">
        <v>45279</v>
      </c>
      <c r="C229" s="1" t="n">
        <v>46194</v>
      </c>
      <c r="D229" t="inlineStr">
        <is>
          <t>DALARNAS LÄN</t>
        </is>
      </c>
      <c r="E229" t="inlineStr">
        <is>
          <t>MORA</t>
        </is>
      </c>
      <c r="G229" t="n">
        <v>0.6</v>
      </c>
      <c r="H229" t="n">
        <v>0</v>
      </c>
      <c r="I229" t="n">
        <v>0</v>
      </c>
      <c r="J229" t="n">
        <v>0</v>
      </c>
      <c r="K229" t="n">
        <v>0</v>
      </c>
      <c r="L229" t="n">
        <v>0</v>
      </c>
      <c r="M229" t="n">
        <v>0</v>
      </c>
      <c r="N229" t="n">
        <v>0</v>
      </c>
      <c r="O229" t="n">
        <v>0</v>
      </c>
      <c r="P229" t="n">
        <v>0</v>
      </c>
      <c r="Q229" t="n">
        <v>0</v>
      </c>
      <c r="R229" s="2" t="inlineStr"/>
    </row>
    <row r="230" ht="15" customHeight="1">
      <c r="A230" t="inlineStr">
        <is>
          <t>A 21244-2024</t>
        </is>
      </c>
      <c r="B230" s="1" t="n">
        <v>45440</v>
      </c>
      <c r="C230" s="1" t="n">
        <v>46194</v>
      </c>
      <c r="D230" t="inlineStr">
        <is>
          <t>DALARNAS LÄN</t>
        </is>
      </c>
      <c r="E230" t="inlineStr">
        <is>
          <t>MORA</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24768-2024</t>
        </is>
      </c>
      <c r="B231" s="1" t="n">
        <v>45460</v>
      </c>
      <c r="C231" s="1" t="n">
        <v>46194</v>
      </c>
      <c r="D231" t="inlineStr">
        <is>
          <t>DALARNAS LÄN</t>
        </is>
      </c>
      <c r="E231" t="inlineStr">
        <is>
          <t>MORA</t>
        </is>
      </c>
      <c r="G231" t="n">
        <v>2.4</v>
      </c>
      <c r="H231" t="n">
        <v>0</v>
      </c>
      <c r="I231" t="n">
        <v>0</v>
      </c>
      <c r="J231" t="n">
        <v>0</v>
      </c>
      <c r="K231" t="n">
        <v>0</v>
      </c>
      <c r="L231" t="n">
        <v>0</v>
      </c>
      <c r="M231" t="n">
        <v>0</v>
      </c>
      <c r="N231" t="n">
        <v>0</v>
      </c>
      <c r="O231" t="n">
        <v>0</v>
      </c>
      <c r="P231" t="n">
        <v>0</v>
      </c>
      <c r="Q231" t="n">
        <v>0</v>
      </c>
      <c r="R231" s="2" t="inlineStr"/>
    </row>
    <row r="232" ht="15" customHeight="1">
      <c r="A232" t="inlineStr">
        <is>
          <t>A 47143-2022</t>
        </is>
      </c>
      <c r="B232" s="1" t="n">
        <v>44852</v>
      </c>
      <c r="C232" s="1" t="n">
        <v>46194</v>
      </c>
      <c r="D232" t="inlineStr">
        <is>
          <t>DALARNAS LÄN</t>
        </is>
      </c>
      <c r="E232" t="inlineStr">
        <is>
          <t>MORA</t>
        </is>
      </c>
      <c r="G232" t="n">
        <v>3.9</v>
      </c>
      <c r="H232" t="n">
        <v>0</v>
      </c>
      <c r="I232" t="n">
        <v>0</v>
      </c>
      <c r="J232" t="n">
        <v>0</v>
      </c>
      <c r="K232" t="n">
        <v>0</v>
      </c>
      <c r="L232" t="n">
        <v>0</v>
      </c>
      <c r="M232" t="n">
        <v>0</v>
      </c>
      <c r="N232" t="n">
        <v>0</v>
      </c>
      <c r="O232" t="n">
        <v>0</v>
      </c>
      <c r="P232" t="n">
        <v>0</v>
      </c>
      <c r="Q232" t="n">
        <v>0</v>
      </c>
      <c r="R232" s="2" t="inlineStr"/>
    </row>
    <row r="233" ht="15" customHeight="1">
      <c r="A233" t="inlineStr">
        <is>
          <t>A 50911-2024</t>
        </is>
      </c>
      <c r="B233" s="1" t="n">
        <v>45602</v>
      </c>
      <c r="C233" s="1" t="n">
        <v>46194</v>
      </c>
      <c r="D233" t="inlineStr">
        <is>
          <t>DALARNAS LÄN</t>
        </is>
      </c>
      <c r="E233" t="inlineStr">
        <is>
          <t>MORA</t>
        </is>
      </c>
      <c r="G233" t="n">
        <v>1.7</v>
      </c>
      <c r="H233" t="n">
        <v>0</v>
      </c>
      <c r="I233" t="n">
        <v>0</v>
      </c>
      <c r="J233" t="n">
        <v>0</v>
      </c>
      <c r="K233" t="n">
        <v>0</v>
      </c>
      <c r="L233" t="n">
        <v>0</v>
      </c>
      <c r="M233" t="n">
        <v>0</v>
      </c>
      <c r="N233" t="n">
        <v>0</v>
      </c>
      <c r="O233" t="n">
        <v>0</v>
      </c>
      <c r="P233" t="n">
        <v>0</v>
      </c>
      <c r="Q233" t="n">
        <v>0</v>
      </c>
      <c r="R233" s="2" t="inlineStr"/>
    </row>
    <row r="234" ht="15" customHeight="1">
      <c r="A234" t="inlineStr">
        <is>
          <t>A 35040-2023</t>
        </is>
      </c>
      <c r="B234" s="1" t="n">
        <v>45145</v>
      </c>
      <c r="C234" s="1" t="n">
        <v>46194</v>
      </c>
      <c r="D234" t="inlineStr">
        <is>
          <t>DALARNAS LÄN</t>
        </is>
      </c>
      <c r="E234" t="inlineStr">
        <is>
          <t>MORA</t>
        </is>
      </c>
      <c r="G234" t="n">
        <v>2.1</v>
      </c>
      <c r="H234" t="n">
        <v>0</v>
      </c>
      <c r="I234" t="n">
        <v>0</v>
      </c>
      <c r="J234" t="n">
        <v>0</v>
      </c>
      <c r="K234" t="n">
        <v>0</v>
      </c>
      <c r="L234" t="n">
        <v>0</v>
      </c>
      <c r="M234" t="n">
        <v>0</v>
      </c>
      <c r="N234" t="n">
        <v>0</v>
      </c>
      <c r="O234" t="n">
        <v>0</v>
      </c>
      <c r="P234" t="n">
        <v>0</v>
      </c>
      <c r="Q234" t="n">
        <v>0</v>
      </c>
      <c r="R234" s="2" t="inlineStr"/>
    </row>
    <row r="235" ht="15" customHeight="1">
      <c r="A235" t="inlineStr">
        <is>
          <t>A 22785-2023</t>
        </is>
      </c>
      <c r="B235" s="1" t="n">
        <v>45072</v>
      </c>
      <c r="C235" s="1" t="n">
        <v>46194</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58036-2024</t>
        </is>
      </c>
      <c r="B236" s="1" t="n">
        <v>45631</v>
      </c>
      <c r="C236" s="1" t="n">
        <v>46194</v>
      </c>
      <c r="D236" t="inlineStr">
        <is>
          <t>DALARNAS LÄN</t>
        </is>
      </c>
      <c r="E236" t="inlineStr">
        <is>
          <t>MORA</t>
        </is>
      </c>
      <c r="G236" t="n">
        <v>1.6</v>
      </c>
      <c r="H236" t="n">
        <v>0</v>
      </c>
      <c r="I236" t="n">
        <v>0</v>
      </c>
      <c r="J236" t="n">
        <v>0</v>
      </c>
      <c r="K236" t="n">
        <v>0</v>
      </c>
      <c r="L236" t="n">
        <v>0</v>
      </c>
      <c r="M236" t="n">
        <v>0</v>
      </c>
      <c r="N236" t="n">
        <v>0</v>
      </c>
      <c r="O236" t="n">
        <v>0</v>
      </c>
      <c r="P236" t="n">
        <v>0</v>
      </c>
      <c r="Q236" t="n">
        <v>0</v>
      </c>
      <c r="R236" s="2" t="inlineStr"/>
    </row>
    <row r="237" ht="15" customHeight="1">
      <c r="A237" t="inlineStr">
        <is>
          <t>A 27420-2024</t>
        </is>
      </c>
      <c r="B237" s="1" t="n">
        <v>45474</v>
      </c>
      <c r="C237" s="1" t="n">
        <v>46194</v>
      </c>
      <c r="D237" t="inlineStr">
        <is>
          <t>DALARNAS LÄN</t>
        </is>
      </c>
      <c r="E237" t="inlineStr">
        <is>
          <t>MORA</t>
        </is>
      </c>
      <c r="G237" t="n">
        <v>7.3</v>
      </c>
      <c r="H237" t="n">
        <v>0</v>
      </c>
      <c r="I237" t="n">
        <v>0</v>
      </c>
      <c r="J237" t="n">
        <v>0</v>
      </c>
      <c r="K237" t="n">
        <v>0</v>
      </c>
      <c r="L237" t="n">
        <v>0</v>
      </c>
      <c r="M237" t="n">
        <v>0</v>
      </c>
      <c r="N237" t="n">
        <v>0</v>
      </c>
      <c r="O237" t="n">
        <v>0</v>
      </c>
      <c r="P237" t="n">
        <v>0</v>
      </c>
      <c r="Q237" t="n">
        <v>0</v>
      </c>
      <c r="R237" s="2" t="inlineStr"/>
    </row>
    <row r="238" ht="15" customHeight="1">
      <c r="A238" t="inlineStr">
        <is>
          <t>A 53754-2024</t>
        </is>
      </c>
      <c r="B238" s="1" t="n">
        <v>45615</v>
      </c>
      <c r="C238" s="1" t="n">
        <v>46194</v>
      </c>
      <c r="D238" t="inlineStr">
        <is>
          <t>DALARNAS LÄN</t>
        </is>
      </c>
      <c r="E238" t="inlineStr">
        <is>
          <t>MORA</t>
        </is>
      </c>
      <c r="G238" t="n">
        <v>4.8</v>
      </c>
      <c r="H238" t="n">
        <v>0</v>
      </c>
      <c r="I238" t="n">
        <v>0</v>
      </c>
      <c r="J238" t="n">
        <v>0</v>
      </c>
      <c r="K238" t="n">
        <v>0</v>
      </c>
      <c r="L238" t="n">
        <v>0</v>
      </c>
      <c r="M238" t="n">
        <v>0</v>
      </c>
      <c r="N238" t="n">
        <v>0</v>
      </c>
      <c r="O238" t="n">
        <v>0</v>
      </c>
      <c r="P238" t="n">
        <v>0</v>
      </c>
      <c r="Q238" t="n">
        <v>0</v>
      </c>
      <c r="R238" s="2" t="inlineStr"/>
    </row>
    <row r="239" ht="15" customHeight="1">
      <c r="A239" t="inlineStr">
        <is>
          <t>A 20989-2024</t>
        </is>
      </c>
      <c r="B239" s="1" t="n">
        <v>45439</v>
      </c>
      <c r="C239" s="1" t="n">
        <v>46194</v>
      </c>
      <c r="D239" t="inlineStr">
        <is>
          <t>DALARNAS LÄN</t>
        </is>
      </c>
      <c r="E239" t="inlineStr">
        <is>
          <t>MORA</t>
        </is>
      </c>
      <c r="F239" t="inlineStr">
        <is>
          <t>Bergvik skog öst AB</t>
        </is>
      </c>
      <c r="G239" t="n">
        <v>14.7</v>
      </c>
      <c r="H239" t="n">
        <v>0</v>
      </c>
      <c r="I239" t="n">
        <v>0</v>
      </c>
      <c r="J239" t="n">
        <v>0</v>
      </c>
      <c r="K239" t="n">
        <v>0</v>
      </c>
      <c r="L239" t="n">
        <v>0</v>
      </c>
      <c r="M239" t="n">
        <v>0</v>
      </c>
      <c r="N239" t="n">
        <v>0</v>
      </c>
      <c r="O239" t="n">
        <v>0</v>
      </c>
      <c r="P239" t="n">
        <v>0</v>
      </c>
      <c r="Q239" t="n">
        <v>0</v>
      </c>
      <c r="R239" s="2" t="inlineStr"/>
    </row>
    <row r="240" ht="15" customHeight="1">
      <c r="A240" t="inlineStr">
        <is>
          <t>A 34282-2024</t>
        </is>
      </c>
      <c r="B240" s="1" t="n">
        <v>45524</v>
      </c>
      <c r="C240" s="1" t="n">
        <v>46194</v>
      </c>
      <c r="D240" t="inlineStr">
        <is>
          <t>DALARNAS LÄN</t>
        </is>
      </c>
      <c r="E240" t="inlineStr">
        <is>
          <t>MORA</t>
        </is>
      </c>
      <c r="G240" t="n">
        <v>0.5</v>
      </c>
      <c r="H240" t="n">
        <v>0</v>
      </c>
      <c r="I240" t="n">
        <v>0</v>
      </c>
      <c r="J240" t="n">
        <v>0</v>
      </c>
      <c r="K240" t="n">
        <v>0</v>
      </c>
      <c r="L240" t="n">
        <v>0</v>
      </c>
      <c r="M240" t="n">
        <v>0</v>
      </c>
      <c r="N240" t="n">
        <v>0</v>
      </c>
      <c r="O240" t="n">
        <v>0</v>
      </c>
      <c r="P240" t="n">
        <v>0</v>
      </c>
      <c r="Q240" t="n">
        <v>0</v>
      </c>
      <c r="R240" s="2" t="inlineStr"/>
    </row>
    <row r="241" ht="15" customHeight="1">
      <c r="A241" t="inlineStr">
        <is>
          <t>A 20930-2024</t>
        </is>
      </c>
      <c r="B241" s="1" t="n">
        <v>45439</v>
      </c>
      <c r="C241" s="1" t="n">
        <v>46194</v>
      </c>
      <c r="D241" t="inlineStr">
        <is>
          <t>DALARNAS LÄN</t>
        </is>
      </c>
      <c r="E241" t="inlineStr">
        <is>
          <t>MORA</t>
        </is>
      </c>
      <c r="F241" t="inlineStr">
        <is>
          <t>Bergvik skog väst AB</t>
        </is>
      </c>
      <c r="G241" t="n">
        <v>5.3</v>
      </c>
      <c r="H241" t="n">
        <v>0</v>
      </c>
      <c r="I241" t="n">
        <v>0</v>
      </c>
      <c r="J241" t="n">
        <v>0</v>
      </c>
      <c r="K241" t="n">
        <v>0</v>
      </c>
      <c r="L241" t="n">
        <v>0</v>
      </c>
      <c r="M241" t="n">
        <v>0</v>
      </c>
      <c r="N241" t="n">
        <v>0</v>
      </c>
      <c r="O241" t="n">
        <v>0</v>
      </c>
      <c r="P241" t="n">
        <v>0</v>
      </c>
      <c r="Q241" t="n">
        <v>0</v>
      </c>
      <c r="R241" s="2" t="inlineStr"/>
    </row>
    <row r="242" ht="15" customHeight="1">
      <c r="A242" t="inlineStr">
        <is>
          <t>A 52525-2022</t>
        </is>
      </c>
      <c r="B242" s="1" t="n">
        <v>44874</v>
      </c>
      <c r="C242" s="1" t="n">
        <v>46194</v>
      </c>
      <c r="D242" t="inlineStr">
        <is>
          <t>DALARNAS LÄN</t>
        </is>
      </c>
      <c r="E242" t="inlineStr">
        <is>
          <t>MORA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43432-2024</t>
        </is>
      </c>
      <c r="B243" s="1" t="n">
        <v>45568</v>
      </c>
      <c r="C243" s="1" t="n">
        <v>46194</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12920-2022</t>
        </is>
      </c>
      <c r="B244" s="1" t="n">
        <v>44642</v>
      </c>
      <c r="C244" s="1" t="n">
        <v>46194</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61188-2024</t>
        </is>
      </c>
      <c r="B245" s="1" t="n">
        <v>45645</v>
      </c>
      <c r="C245" s="1" t="n">
        <v>46194</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41169-2023</t>
        </is>
      </c>
      <c r="B246" s="1" t="n">
        <v>45174</v>
      </c>
      <c r="C246" s="1" t="n">
        <v>46194</v>
      </c>
      <c r="D246" t="inlineStr">
        <is>
          <t>DALARNAS LÄN</t>
        </is>
      </c>
      <c r="E246" t="inlineStr">
        <is>
          <t>MORA</t>
        </is>
      </c>
      <c r="G246" t="n">
        <v>3</v>
      </c>
      <c r="H246" t="n">
        <v>0</v>
      </c>
      <c r="I246" t="n">
        <v>0</v>
      </c>
      <c r="J246" t="n">
        <v>0</v>
      </c>
      <c r="K246" t="n">
        <v>0</v>
      </c>
      <c r="L246" t="n">
        <v>0</v>
      </c>
      <c r="M246" t="n">
        <v>0</v>
      </c>
      <c r="N246" t="n">
        <v>0</v>
      </c>
      <c r="O246" t="n">
        <v>0</v>
      </c>
      <c r="P246" t="n">
        <v>0</v>
      </c>
      <c r="Q246" t="n">
        <v>0</v>
      </c>
      <c r="R246" s="2" t="inlineStr"/>
    </row>
    <row r="247" ht="15" customHeight="1">
      <c r="A247" t="inlineStr">
        <is>
          <t>A 58089-2024</t>
        </is>
      </c>
      <c r="B247" s="1" t="n">
        <v>45632</v>
      </c>
      <c r="C247" s="1" t="n">
        <v>46194</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60428-2023</t>
        </is>
      </c>
      <c r="B248" s="1" t="n">
        <v>45259</v>
      </c>
      <c r="C248" s="1" t="n">
        <v>46194</v>
      </c>
      <c r="D248" t="inlineStr">
        <is>
          <t>DALARNAS LÄN</t>
        </is>
      </c>
      <c r="E248" t="inlineStr">
        <is>
          <t>MORA</t>
        </is>
      </c>
      <c r="G248" t="n">
        <v>4.9</v>
      </c>
      <c r="H248" t="n">
        <v>0</v>
      </c>
      <c r="I248" t="n">
        <v>0</v>
      </c>
      <c r="J248" t="n">
        <v>0</v>
      </c>
      <c r="K248" t="n">
        <v>0</v>
      </c>
      <c r="L248" t="n">
        <v>0</v>
      </c>
      <c r="M248" t="n">
        <v>0</v>
      </c>
      <c r="N248" t="n">
        <v>0</v>
      </c>
      <c r="O248" t="n">
        <v>0</v>
      </c>
      <c r="P248" t="n">
        <v>0</v>
      </c>
      <c r="Q248" t="n">
        <v>0</v>
      </c>
      <c r="R248" s="2" t="inlineStr"/>
    </row>
    <row r="249" ht="15" customHeight="1">
      <c r="A249" t="inlineStr">
        <is>
          <t>A 437-2024</t>
        </is>
      </c>
      <c r="B249" s="1" t="n">
        <v>45296</v>
      </c>
      <c r="C249" s="1" t="n">
        <v>46194</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69483-2021</t>
        </is>
      </c>
      <c r="B250" s="1" t="n">
        <v>44531</v>
      </c>
      <c r="C250" s="1" t="n">
        <v>46194</v>
      </c>
      <c r="D250" t="inlineStr">
        <is>
          <t>DALARNAS LÄN</t>
        </is>
      </c>
      <c r="E250" t="inlineStr">
        <is>
          <t>MORA</t>
        </is>
      </c>
      <c r="G250" t="n">
        <v>1.5</v>
      </c>
      <c r="H250" t="n">
        <v>0</v>
      </c>
      <c r="I250" t="n">
        <v>0</v>
      </c>
      <c r="J250" t="n">
        <v>0</v>
      </c>
      <c r="K250" t="n">
        <v>0</v>
      </c>
      <c r="L250" t="n">
        <v>0</v>
      </c>
      <c r="M250" t="n">
        <v>0</v>
      </c>
      <c r="N250" t="n">
        <v>0</v>
      </c>
      <c r="O250" t="n">
        <v>0</v>
      </c>
      <c r="P250" t="n">
        <v>0</v>
      </c>
      <c r="Q250" t="n">
        <v>0</v>
      </c>
      <c r="R250" s="2" t="inlineStr"/>
    </row>
    <row r="251" ht="15" customHeight="1">
      <c r="A251" t="inlineStr">
        <is>
          <t>A 40147-2025</t>
        </is>
      </c>
      <c r="B251" s="1" t="n">
        <v>45894</v>
      </c>
      <c r="C251" s="1" t="n">
        <v>46194</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57110-2021</t>
        </is>
      </c>
      <c r="B252" s="1" t="n">
        <v>44482</v>
      </c>
      <c r="C252" s="1" t="n">
        <v>46194</v>
      </c>
      <c r="D252" t="inlineStr">
        <is>
          <t>DALARNAS LÄN</t>
        </is>
      </c>
      <c r="E252" t="inlineStr">
        <is>
          <t>MORA</t>
        </is>
      </c>
      <c r="G252" t="n">
        <v>5.4</v>
      </c>
      <c r="H252" t="n">
        <v>0</v>
      </c>
      <c r="I252" t="n">
        <v>0</v>
      </c>
      <c r="J252" t="n">
        <v>0</v>
      </c>
      <c r="K252" t="n">
        <v>0</v>
      </c>
      <c r="L252" t="n">
        <v>0</v>
      </c>
      <c r="M252" t="n">
        <v>0</v>
      </c>
      <c r="N252" t="n">
        <v>0</v>
      </c>
      <c r="O252" t="n">
        <v>0</v>
      </c>
      <c r="P252" t="n">
        <v>0</v>
      </c>
      <c r="Q252" t="n">
        <v>0</v>
      </c>
      <c r="R252" s="2" t="inlineStr"/>
    </row>
    <row r="253" ht="15" customHeight="1">
      <c r="A253" t="inlineStr">
        <is>
          <t>A 39824-2025</t>
        </is>
      </c>
      <c r="B253" s="1" t="n">
        <v>45891</v>
      </c>
      <c r="C253" s="1" t="n">
        <v>46194</v>
      </c>
      <c r="D253" t="inlineStr">
        <is>
          <t>DALARNAS LÄN</t>
        </is>
      </c>
      <c r="E253" t="inlineStr">
        <is>
          <t>MORA</t>
        </is>
      </c>
      <c r="G253" t="n">
        <v>2</v>
      </c>
      <c r="H253" t="n">
        <v>0</v>
      </c>
      <c r="I253" t="n">
        <v>0</v>
      </c>
      <c r="J253" t="n">
        <v>0</v>
      </c>
      <c r="K253" t="n">
        <v>0</v>
      </c>
      <c r="L253" t="n">
        <v>0</v>
      </c>
      <c r="M253" t="n">
        <v>0</v>
      </c>
      <c r="N253" t="n">
        <v>0</v>
      </c>
      <c r="O253" t="n">
        <v>0</v>
      </c>
      <c r="P253" t="n">
        <v>0</v>
      </c>
      <c r="Q253" t="n">
        <v>0</v>
      </c>
      <c r="R253" s="2" t="inlineStr"/>
    </row>
    <row r="254" ht="15" customHeight="1">
      <c r="A254" t="inlineStr">
        <is>
          <t>A 43533-2023</t>
        </is>
      </c>
      <c r="B254" s="1" t="n">
        <v>45184</v>
      </c>
      <c r="C254" s="1" t="n">
        <v>46194</v>
      </c>
      <c r="D254" t="inlineStr">
        <is>
          <t>DALARNAS LÄN</t>
        </is>
      </c>
      <c r="E254" t="inlineStr">
        <is>
          <t>MORA</t>
        </is>
      </c>
      <c r="F254" t="inlineStr">
        <is>
          <t>Bergvik skog väst AB</t>
        </is>
      </c>
      <c r="G254" t="n">
        <v>10.3</v>
      </c>
      <c r="H254" t="n">
        <v>0</v>
      </c>
      <c r="I254" t="n">
        <v>0</v>
      </c>
      <c r="J254" t="n">
        <v>0</v>
      </c>
      <c r="K254" t="n">
        <v>0</v>
      </c>
      <c r="L254" t="n">
        <v>0</v>
      </c>
      <c r="M254" t="n">
        <v>0</v>
      </c>
      <c r="N254" t="n">
        <v>0</v>
      </c>
      <c r="O254" t="n">
        <v>0</v>
      </c>
      <c r="P254" t="n">
        <v>0</v>
      </c>
      <c r="Q254" t="n">
        <v>0</v>
      </c>
      <c r="R254" s="2" t="inlineStr"/>
    </row>
    <row r="255" ht="15" customHeight="1">
      <c r="A255" t="inlineStr">
        <is>
          <t>A 30998-2022</t>
        </is>
      </c>
      <c r="B255" s="1" t="n">
        <v>44768</v>
      </c>
      <c r="C255" s="1" t="n">
        <v>46194</v>
      </c>
      <c r="D255" t="inlineStr">
        <is>
          <t>DALARNAS LÄN</t>
        </is>
      </c>
      <c r="E255" t="inlineStr">
        <is>
          <t>MORA</t>
        </is>
      </c>
      <c r="G255" t="n">
        <v>1.7</v>
      </c>
      <c r="H255" t="n">
        <v>0</v>
      </c>
      <c r="I255" t="n">
        <v>0</v>
      </c>
      <c r="J255" t="n">
        <v>0</v>
      </c>
      <c r="K255" t="n">
        <v>0</v>
      </c>
      <c r="L255" t="n">
        <v>0</v>
      </c>
      <c r="M255" t="n">
        <v>0</v>
      </c>
      <c r="N255" t="n">
        <v>0</v>
      </c>
      <c r="O255" t="n">
        <v>0</v>
      </c>
      <c r="P255" t="n">
        <v>0</v>
      </c>
      <c r="Q255" t="n">
        <v>0</v>
      </c>
      <c r="R255" s="2" t="inlineStr"/>
    </row>
    <row r="256" ht="15" customHeight="1">
      <c r="A256" t="inlineStr">
        <is>
          <t>A 2879-2022</t>
        </is>
      </c>
      <c r="B256" s="1" t="n">
        <v>44581</v>
      </c>
      <c r="C256" s="1" t="n">
        <v>46194</v>
      </c>
      <c r="D256" t="inlineStr">
        <is>
          <t>DALARNAS LÄN</t>
        </is>
      </c>
      <c r="E256" t="inlineStr">
        <is>
          <t>MORA</t>
        </is>
      </c>
      <c r="G256" t="n">
        <v>2.3</v>
      </c>
      <c r="H256" t="n">
        <v>0</v>
      </c>
      <c r="I256" t="n">
        <v>0</v>
      </c>
      <c r="J256" t="n">
        <v>0</v>
      </c>
      <c r="K256" t="n">
        <v>0</v>
      </c>
      <c r="L256" t="n">
        <v>0</v>
      </c>
      <c r="M256" t="n">
        <v>0</v>
      </c>
      <c r="N256" t="n">
        <v>0</v>
      </c>
      <c r="O256" t="n">
        <v>0</v>
      </c>
      <c r="P256" t="n">
        <v>0</v>
      </c>
      <c r="Q256" t="n">
        <v>0</v>
      </c>
      <c r="R256" s="2" t="inlineStr"/>
    </row>
    <row r="257" ht="15" customHeight="1">
      <c r="A257" t="inlineStr">
        <is>
          <t>A 25737-2025</t>
        </is>
      </c>
      <c r="B257" s="1" t="n">
        <v>45800</v>
      </c>
      <c r="C257" s="1" t="n">
        <v>46194</v>
      </c>
      <c r="D257" t="inlineStr">
        <is>
          <t>DALARNAS LÄN</t>
        </is>
      </c>
      <c r="E257" t="inlineStr">
        <is>
          <t>MORA</t>
        </is>
      </c>
      <c r="G257" t="n">
        <v>9.6</v>
      </c>
      <c r="H257" t="n">
        <v>0</v>
      </c>
      <c r="I257" t="n">
        <v>0</v>
      </c>
      <c r="J257" t="n">
        <v>0</v>
      </c>
      <c r="K257" t="n">
        <v>0</v>
      </c>
      <c r="L257" t="n">
        <v>0</v>
      </c>
      <c r="M257" t="n">
        <v>0</v>
      </c>
      <c r="N257" t="n">
        <v>0</v>
      </c>
      <c r="O257" t="n">
        <v>0</v>
      </c>
      <c r="P257" t="n">
        <v>0</v>
      </c>
      <c r="Q257" t="n">
        <v>0</v>
      </c>
      <c r="R257" s="2" t="inlineStr"/>
    </row>
    <row r="258" ht="15" customHeight="1">
      <c r="A258" t="inlineStr">
        <is>
          <t>A 39787-2025</t>
        </is>
      </c>
      <c r="B258" s="1" t="n">
        <v>45891</v>
      </c>
      <c r="C258" s="1" t="n">
        <v>46194</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40142-2025</t>
        </is>
      </c>
      <c r="B259" s="1" t="n">
        <v>45894</v>
      </c>
      <c r="C259" s="1" t="n">
        <v>46194</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41783-2025</t>
        </is>
      </c>
      <c r="B260" s="1" t="n">
        <v>45902</v>
      </c>
      <c r="C260" s="1" t="n">
        <v>46194</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40660-2025</t>
        </is>
      </c>
      <c r="B261" s="1" t="n">
        <v>45896</v>
      </c>
      <c r="C261" s="1" t="n">
        <v>46194</v>
      </c>
      <c r="D261" t="inlineStr">
        <is>
          <t>DALARNAS LÄN</t>
        </is>
      </c>
      <c r="E261" t="inlineStr">
        <is>
          <t>MORA</t>
        </is>
      </c>
      <c r="F261" t="inlineStr">
        <is>
          <t>Bergvik skog väst AB</t>
        </is>
      </c>
      <c r="G261" t="n">
        <v>5.4</v>
      </c>
      <c r="H261" t="n">
        <v>0</v>
      </c>
      <c r="I261" t="n">
        <v>0</v>
      </c>
      <c r="J261" t="n">
        <v>0</v>
      </c>
      <c r="K261" t="n">
        <v>0</v>
      </c>
      <c r="L261" t="n">
        <v>0</v>
      </c>
      <c r="M261" t="n">
        <v>0</v>
      </c>
      <c r="N261" t="n">
        <v>0</v>
      </c>
      <c r="O261" t="n">
        <v>0</v>
      </c>
      <c r="P261" t="n">
        <v>0</v>
      </c>
      <c r="Q261" t="n">
        <v>0</v>
      </c>
      <c r="R261" s="2" t="inlineStr"/>
    </row>
    <row r="262" ht="15" customHeight="1">
      <c r="A262" t="inlineStr">
        <is>
          <t>A 25345-2025</t>
        </is>
      </c>
      <c r="B262" s="1" t="n">
        <v>45799</v>
      </c>
      <c r="C262" s="1" t="n">
        <v>46194</v>
      </c>
      <c r="D262" t="inlineStr">
        <is>
          <t>DALARNAS LÄN</t>
        </is>
      </c>
      <c r="E262" t="inlineStr">
        <is>
          <t>MORA</t>
        </is>
      </c>
      <c r="G262" t="n">
        <v>3.1</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v>
      </c>
      <c r="C263" s="1" t="n">
        <v>46194</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40805-2025</t>
        </is>
      </c>
      <c r="B264" s="1" t="n">
        <v>45897</v>
      </c>
      <c r="C264" s="1" t="n">
        <v>46194</v>
      </c>
      <c r="D264" t="inlineStr">
        <is>
          <t>DALARNAS LÄN</t>
        </is>
      </c>
      <c r="E264" t="inlineStr">
        <is>
          <t>MORA</t>
        </is>
      </c>
      <c r="G264" t="n">
        <v>1.6</v>
      </c>
      <c r="H264" t="n">
        <v>0</v>
      </c>
      <c r="I264" t="n">
        <v>0</v>
      </c>
      <c r="J264" t="n">
        <v>0</v>
      </c>
      <c r="K264" t="n">
        <v>0</v>
      </c>
      <c r="L264" t="n">
        <v>0</v>
      </c>
      <c r="M264" t="n">
        <v>0</v>
      </c>
      <c r="N264" t="n">
        <v>0</v>
      </c>
      <c r="O264" t="n">
        <v>0</v>
      </c>
      <c r="P264" t="n">
        <v>0</v>
      </c>
      <c r="Q264" t="n">
        <v>0</v>
      </c>
      <c r="R264" s="2" t="inlineStr"/>
    </row>
    <row r="265" ht="15" customHeight="1">
      <c r="A265" t="inlineStr">
        <is>
          <t>A 41175-2025</t>
        </is>
      </c>
      <c r="B265" s="1" t="n">
        <v>45898</v>
      </c>
      <c r="C265" s="1" t="n">
        <v>46194</v>
      </c>
      <c r="D265" t="inlineStr">
        <is>
          <t>DALARNAS LÄN</t>
        </is>
      </c>
      <c r="E265" t="inlineStr">
        <is>
          <t>MORA</t>
        </is>
      </c>
      <c r="G265" t="n">
        <v>4.5</v>
      </c>
      <c r="H265" t="n">
        <v>0</v>
      </c>
      <c r="I265" t="n">
        <v>0</v>
      </c>
      <c r="J265" t="n">
        <v>0</v>
      </c>
      <c r="K265" t="n">
        <v>0</v>
      </c>
      <c r="L265" t="n">
        <v>0</v>
      </c>
      <c r="M265" t="n">
        <v>0</v>
      </c>
      <c r="N265" t="n">
        <v>0</v>
      </c>
      <c r="O265" t="n">
        <v>0</v>
      </c>
      <c r="P265" t="n">
        <v>0</v>
      </c>
      <c r="Q265" t="n">
        <v>0</v>
      </c>
      <c r="R265" s="2" t="inlineStr"/>
    </row>
    <row r="266" ht="15" customHeight="1">
      <c r="A266" t="inlineStr">
        <is>
          <t>A 5309-2023</t>
        </is>
      </c>
      <c r="B266" s="1" t="n">
        <v>44956</v>
      </c>
      <c r="C266" s="1" t="n">
        <v>46194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17164-2025</t>
        </is>
      </c>
      <c r="B267" s="1" t="n">
        <v>45756</v>
      </c>
      <c r="C267" s="1" t="n">
        <v>46194</v>
      </c>
      <c r="D267" t="inlineStr">
        <is>
          <t>DALARNAS LÄN</t>
        </is>
      </c>
      <c r="E267" t="inlineStr">
        <is>
          <t>MORA</t>
        </is>
      </c>
      <c r="F267" t="inlineStr">
        <is>
          <t>Bergvik skog öst AB</t>
        </is>
      </c>
      <c r="G267" t="n">
        <v>0.3</v>
      </c>
      <c r="H267" t="n">
        <v>0</v>
      </c>
      <c r="I267" t="n">
        <v>0</v>
      </c>
      <c r="J267" t="n">
        <v>0</v>
      </c>
      <c r="K267" t="n">
        <v>0</v>
      </c>
      <c r="L267" t="n">
        <v>0</v>
      </c>
      <c r="M267" t="n">
        <v>0</v>
      </c>
      <c r="N267" t="n">
        <v>0</v>
      </c>
      <c r="O267" t="n">
        <v>0</v>
      </c>
      <c r="P267" t="n">
        <v>0</v>
      </c>
      <c r="Q267" t="n">
        <v>0</v>
      </c>
      <c r="R267" s="2" t="inlineStr"/>
    </row>
    <row r="268" ht="15" customHeight="1">
      <c r="A268" t="inlineStr">
        <is>
          <t>A 41855-2025</t>
        </is>
      </c>
      <c r="B268" s="1" t="n">
        <v>45902</v>
      </c>
      <c r="C268" s="1" t="n">
        <v>46194</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60718-2023</t>
        </is>
      </c>
      <c r="B269" s="1" t="n">
        <v>45260</v>
      </c>
      <c r="C269" s="1" t="n">
        <v>46194</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42112-2025</t>
        </is>
      </c>
      <c r="B270" s="1" t="n">
        <v>45904</v>
      </c>
      <c r="C270" s="1" t="n">
        <v>46194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58892-2023</t>
        </is>
      </c>
      <c r="B271" s="1" t="n">
        <v>45252</v>
      </c>
      <c r="C271" s="1" t="n">
        <v>46194</v>
      </c>
      <c r="D271" t="inlineStr">
        <is>
          <t>DALARNAS LÄN</t>
        </is>
      </c>
      <c r="E271" t="inlineStr">
        <is>
          <t>MORA</t>
        </is>
      </c>
      <c r="G271" t="n">
        <v>2.2</v>
      </c>
      <c r="H271" t="n">
        <v>0</v>
      </c>
      <c r="I271" t="n">
        <v>0</v>
      </c>
      <c r="J271" t="n">
        <v>0</v>
      </c>
      <c r="K271" t="n">
        <v>0</v>
      </c>
      <c r="L271" t="n">
        <v>0</v>
      </c>
      <c r="M271" t="n">
        <v>0</v>
      </c>
      <c r="N271" t="n">
        <v>0</v>
      </c>
      <c r="O271" t="n">
        <v>0</v>
      </c>
      <c r="P271" t="n">
        <v>0</v>
      </c>
      <c r="Q271" t="n">
        <v>0</v>
      </c>
      <c r="R271" s="2" t="inlineStr"/>
    </row>
    <row r="272" ht="15" customHeight="1">
      <c r="A272" t="inlineStr">
        <is>
          <t>A 37774-2022</t>
        </is>
      </c>
      <c r="B272" s="1" t="n">
        <v>44810</v>
      </c>
      <c r="C272" s="1" t="n">
        <v>46194</v>
      </c>
      <c r="D272" t="inlineStr">
        <is>
          <t>DALARNAS LÄN</t>
        </is>
      </c>
      <c r="E272" t="inlineStr">
        <is>
          <t>MORA</t>
        </is>
      </c>
      <c r="F272" t="inlineStr">
        <is>
          <t>Bergvik skog väst AB</t>
        </is>
      </c>
      <c r="G272" t="n">
        <v>8.5</v>
      </c>
      <c r="H272" t="n">
        <v>0</v>
      </c>
      <c r="I272" t="n">
        <v>0</v>
      </c>
      <c r="J272" t="n">
        <v>0</v>
      </c>
      <c r="K272" t="n">
        <v>0</v>
      </c>
      <c r="L272" t="n">
        <v>0</v>
      </c>
      <c r="M272" t="n">
        <v>0</v>
      </c>
      <c r="N272" t="n">
        <v>0</v>
      </c>
      <c r="O272" t="n">
        <v>0</v>
      </c>
      <c r="P272" t="n">
        <v>0</v>
      </c>
      <c r="Q272" t="n">
        <v>0</v>
      </c>
      <c r="R272" s="2" t="inlineStr"/>
    </row>
    <row r="273" ht="15" customHeight="1">
      <c r="A273" t="inlineStr">
        <is>
          <t>A 27125-2024</t>
        </is>
      </c>
      <c r="B273" s="1" t="n">
        <v>45471</v>
      </c>
      <c r="C273" s="1" t="n">
        <v>46194</v>
      </c>
      <c r="D273" t="inlineStr">
        <is>
          <t>DALARNAS LÄN</t>
        </is>
      </c>
      <c r="E273" t="inlineStr">
        <is>
          <t>MORA</t>
        </is>
      </c>
      <c r="G273" t="n">
        <v>2.3</v>
      </c>
      <c r="H273" t="n">
        <v>0</v>
      </c>
      <c r="I273" t="n">
        <v>0</v>
      </c>
      <c r="J273" t="n">
        <v>0</v>
      </c>
      <c r="K273" t="n">
        <v>0</v>
      </c>
      <c r="L273" t="n">
        <v>0</v>
      </c>
      <c r="M273" t="n">
        <v>0</v>
      </c>
      <c r="N273" t="n">
        <v>0</v>
      </c>
      <c r="O273" t="n">
        <v>0</v>
      </c>
      <c r="P273" t="n">
        <v>0</v>
      </c>
      <c r="Q273" t="n">
        <v>0</v>
      </c>
      <c r="R273" s="2" t="inlineStr"/>
    </row>
    <row r="274" ht="15" customHeight="1">
      <c r="A274" t="inlineStr">
        <is>
          <t>A 30822-2024</t>
        </is>
      </c>
      <c r="B274" s="1" t="n">
        <v>45497</v>
      </c>
      <c r="C274" s="1" t="n">
        <v>46194</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43474-2025</t>
        </is>
      </c>
      <c r="B275" s="1" t="n">
        <v>45911</v>
      </c>
      <c r="C275" s="1" t="n">
        <v>46194</v>
      </c>
      <c r="D275" t="inlineStr">
        <is>
          <t>DALARNAS LÄN</t>
        </is>
      </c>
      <c r="E275" t="inlineStr">
        <is>
          <t>MORA</t>
        </is>
      </c>
      <c r="G275" t="n">
        <v>1.8</v>
      </c>
      <c r="H275" t="n">
        <v>0</v>
      </c>
      <c r="I275" t="n">
        <v>0</v>
      </c>
      <c r="J275" t="n">
        <v>0</v>
      </c>
      <c r="K275" t="n">
        <v>0</v>
      </c>
      <c r="L275" t="n">
        <v>0</v>
      </c>
      <c r="M275" t="n">
        <v>0</v>
      </c>
      <c r="N275" t="n">
        <v>0</v>
      </c>
      <c r="O275" t="n">
        <v>0</v>
      </c>
      <c r="P275" t="n">
        <v>0</v>
      </c>
      <c r="Q275" t="n">
        <v>0</v>
      </c>
      <c r="R275" s="2" t="inlineStr"/>
    </row>
    <row r="276" ht="15" customHeight="1">
      <c r="A276" t="inlineStr">
        <is>
          <t>A 58177-2024</t>
        </is>
      </c>
      <c r="B276" s="1" t="n">
        <v>45632</v>
      </c>
      <c r="C276" s="1" t="n">
        <v>46194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17172-2025</t>
        </is>
      </c>
      <c r="B277" s="1" t="n">
        <v>45756</v>
      </c>
      <c r="C277" s="1" t="n">
        <v>46194</v>
      </c>
      <c r="D277" t="inlineStr">
        <is>
          <t>DALARNAS LÄN</t>
        </is>
      </c>
      <c r="E277" t="inlineStr">
        <is>
          <t>MORA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15993-2025</t>
        </is>
      </c>
      <c r="B278" s="1" t="n">
        <v>45749</v>
      </c>
      <c r="C278" s="1" t="n">
        <v>46194</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5298-2023</t>
        </is>
      </c>
      <c r="B279" s="1" t="n">
        <v>44959</v>
      </c>
      <c r="C279" s="1" t="n">
        <v>46194</v>
      </c>
      <c r="D279" t="inlineStr">
        <is>
          <t>DALARNAS LÄN</t>
        </is>
      </c>
      <c r="E279" t="inlineStr">
        <is>
          <t>MORA</t>
        </is>
      </c>
      <c r="F279" t="inlineStr">
        <is>
          <t>Bergvik skog väst AB</t>
        </is>
      </c>
      <c r="G279" t="n">
        <v>6.2</v>
      </c>
      <c r="H279" t="n">
        <v>0</v>
      </c>
      <c r="I279" t="n">
        <v>0</v>
      </c>
      <c r="J279" t="n">
        <v>0</v>
      </c>
      <c r="K279" t="n">
        <v>0</v>
      </c>
      <c r="L279" t="n">
        <v>0</v>
      </c>
      <c r="M279" t="n">
        <v>0</v>
      </c>
      <c r="N279" t="n">
        <v>0</v>
      </c>
      <c r="O279" t="n">
        <v>0</v>
      </c>
      <c r="P279" t="n">
        <v>0</v>
      </c>
      <c r="Q279" t="n">
        <v>0</v>
      </c>
      <c r="R279" s="2" t="inlineStr"/>
    </row>
    <row r="280" ht="15" customHeight="1">
      <c r="A280" t="inlineStr">
        <is>
          <t>A 43811-2025</t>
        </is>
      </c>
      <c r="B280" s="1" t="n">
        <v>45912</v>
      </c>
      <c r="C280" s="1" t="n">
        <v>46194</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14832-2025</t>
        </is>
      </c>
      <c r="B281" s="1" t="n">
        <v>45743</v>
      </c>
      <c r="C281" s="1" t="n">
        <v>46194</v>
      </c>
      <c r="D281" t="inlineStr">
        <is>
          <t>DALARNAS LÄN</t>
        </is>
      </c>
      <c r="E281" t="inlineStr">
        <is>
          <t>MORA</t>
        </is>
      </c>
      <c r="G281" t="n">
        <v>9.1</v>
      </c>
      <c r="H281" t="n">
        <v>0</v>
      </c>
      <c r="I281" t="n">
        <v>0</v>
      </c>
      <c r="J281" t="n">
        <v>0</v>
      </c>
      <c r="K281" t="n">
        <v>0</v>
      </c>
      <c r="L281" t="n">
        <v>0</v>
      </c>
      <c r="M281" t="n">
        <v>0</v>
      </c>
      <c r="N281" t="n">
        <v>0</v>
      </c>
      <c r="O281" t="n">
        <v>0</v>
      </c>
      <c r="P281" t="n">
        <v>0</v>
      </c>
      <c r="Q281" t="n">
        <v>0</v>
      </c>
      <c r="R281" s="2" t="inlineStr"/>
    </row>
    <row r="282" ht="15" customHeight="1">
      <c r="A282" t="inlineStr">
        <is>
          <t>A 20270-2026</t>
        </is>
      </c>
      <c r="B282" s="1" t="n">
        <v>46139</v>
      </c>
      <c r="C282" s="1" t="n">
        <v>46194</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20491-2026</t>
        </is>
      </c>
      <c r="B283" s="1" t="n">
        <v>46140</v>
      </c>
      <c r="C283" s="1" t="n">
        <v>46194</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45574-2023</t>
        </is>
      </c>
      <c r="B284" s="1" t="n">
        <v>45194</v>
      </c>
      <c r="C284" s="1" t="n">
        <v>46194</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5922-2025</t>
        </is>
      </c>
      <c r="B285" s="1" t="n">
        <v>45695</v>
      </c>
      <c r="C285" s="1" t="n">
        <v>46194</v>
      </c>
      <c r="D285" t="inlineStr">
        <is>
          <t>DALARNAS LÄN</t>
        </is>
      </c>
      <c r="E285" t="inlineStr">
        <is>
          <t>MORA</t>
        </is>
      </c>
      <c r="G285" t="n">
        <v>1.2</v>
      </c>
      <c r="H285" t="n">
        <v>0</v>
      </c>
      <c r="I285" t="n">
        <v>0</v>
      </c>
      <c r="J285" t="n">
        <v>0</v>
      </c>
      <c r="K285" t="n">
        <v>0</v>
      </c>
      <c r="L285" t="n">
        <v>0</v>
      </c>
      <c r="M285" t="n">
        <v>0</v>
      </c>
      <c r="N285" t="n">
        <v>0</v>
      </c>
      <c r="O285" t="n">
        <v>0</v>
      </c>
      <c r="P285" t="n">
        <v>0</v>
      </c>
      <c r="Q285" t="n">
        <v>0</v>
      </c>
      <c r="R285" s="2" t="inlineStr"/>
    </row>
    <row r="286" ht="15" customHeight="1">
      <c r="A286" t="inlineStr">
        <is>
          <t>A 19910-2024</t>
        </is>
      </c>
      <c r="B286" s="1" t="n">
        <v>45433</v>
      </c>
      <c r="C286" s="1" t="n">
        <v>46194</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44384-2025</t>
        </is>
      </c>
      <c r="B287" s="1" t="n">
        <v>45916</v>
      </c>
      <c r="C287" s="1" t="n">
        <v>46194</v>
      </c>
      <c r="D287" t="inlineStr">
        <is>
          <t>DALARNAS LÄN</t>
        </is>
      </c>
      <c r="E287" t="inlineStr">
        <is>
          <t>MORA</t>
        </is>
      </c>
      <c r="F287" t="inlineStr">
        <is>
          <t>Kyrkan</t>
        </is>
      </c>
      <c r="G287" t="n">
        <v>5.1</v>
      </c>
      <c r="H287" t="n">
        <v>0</v>
      </c>
      <c r="I287" t="n">
        <v>0</v>
      </c>
      <c r="J287" t="n">
        <v>0</v>
      </c>
      <c r="K287" t="n">
        <v>0</v>
      </c>
      <c r="L287" t="n">
        <v>0</v>
      </c>
      <c r="M287" t="n">
        <v>0</v>
      </c>
      <c r="N287" t="n">
        <v>0</v>
      </c>
      <c r="O287" t="n">
        <v>0</v>
      </c>
      <c r="P287" t="n">
        <v>0</v>
      </c>
      <c r="Q287" t="n">
        <v>0</v>
      </c>
      <c r="R287" s="2" t="inlineStr"/>
    </row>
    <row r="288" ht="15" customHeight="1">
      <c r="A288" t="inlineStr">
        <is>
          <t>A 15643-2025</t>
        </is>
      </c>
      <c r="B288" s="1" t="n">
        <v>45748</v>
      </c>
      <c r="C288" s="1" t="n">
        <v>46194</v>
      </c>
      <c r="D288" t="inlineStr">
        <is>
          <t>DALARNAS LÄN</t>
        </is>
      </c>
      <c r="E288" t="inlineStr">
        <is>
          <t>MORA</t>
        </is>
      </c>
      <c r="G288" t="n">
        <v>7.6</v>
      </c>
      <c r="H288" t="n">
        <v>0</v>
      </c>
      <c r="I288" t="n">
        <v>0</v>
      </c>
      <c r="J288" t="n">
        <v>0</v>
      </c>
      <c r="K288" t="n">
        <v>0</v>
      </c>
      <c r="L288" t="n">
        <v>0</v>
      </c>
      <c r="M288" t="n">
        <v>0</v>
      </c>
      <c r="N288" t="n">
        <v>0</v>
      </c>
      <c r="O288" t="n">
        <v>0</v>
      </c>
      <c r="P288" t="n">
        <v>0</v>
      </c>
      <c r="Q288" t="n">
        <v>0</v>
      </c>
      <c r="R288" s="2" t="inlineStr"/>
    </row>
    <row r="289" ht="15" customHeight="1">
      <c r="A289" t="inlineStr">
        <is>
          <t>A 57091-2021</t>
        </is>
      </c>
      <c r="B289" s="1" t="n">
        <v>44482</v>
      </c>
      <c r="C289" s="1" t="n">
        <v>46194</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35287-2024</t>
        </is>
      </c>
      <c r="B290" s="1" t="n">
        <v>45530</v>
      </c>
      <c r="C290" s="1" t="n">
        <v>46194</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44621-2025</t>
        </is>
      </c>
      <c r="B291" s="1" t="n">
        <v>45917</v>
      </c>
      <c r="C291" s="1" t="n">
        <v>46194</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45191-2025</t>
        </is>
      </c>
      <c r="B292" s="1" t="n">
        <v>45919</v>
      </c>
      <c r="C292" s="1" t="n">
        <v>46194</v>
      </c>
      <c r="D292" t="inlineStr">
        <is>
          <t>DALARNAS LÄN</t>
        </is>
      </c>
      <c r="E292" t="inlineStr">
        <is>
          <t>MORA</t>
        </is>
      </c>
      <c r="G292" t="n">
        <v>2.2</v>
      </c>
      <c r="H292" t="n">
        <v>0</v>
      </c>
      <c r="I292" t="n">
        <v>0</v>
      </c>
      <c r="J292" t="n">
        <v>0</v>
      </c>
      <c r="K292" t="n">
        <v>0</v>
      </c>
      <c r="L292" t="n">
        <v>0</v>
      </c>
      <c r="M292" t="n">
        <v>0</v>
      </c>
      <c r="N292" t="n">
        <v>0</v>
      </c>
      <c r="O292" t="n">
        <v>0</v>
      </c>
      <c r="P292" t="n">
        <v>0</v>
      </c>
      <c r="Q292" t="n">
        <v>0</v>
      </c>
      <c r="R292" s="2" t="inlineStr"/>
    </row>
    <row r="293" ht="15" customHeight="1">
      <c r="A293" t="inlineStr">
        <is>
          <t>A 24899-2026</t>
        </is>
      </c>
      <c r="B293" s="1" t="n">
        <v>46174</v>
      </c>
      <c r="C293" s="1" t="n">
        <v>46194</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4744-2026</t>
        </is>
      </c>
      <c r="B294" s="1" t="n">
        <v>46048</v>
      </c>
      <c r="C294" s="1" t="n">
        <v>46194</v>
      </c>
      <c r="D294" t="inlineStr">
        <is>
          <t>DALARNAS LÄN</t>
        </is>
      </c>
      <c r="E294" t="inlineStr">
        <is>
          <t>MORA</t>
        </is>
      </c>
      <c r="G294" t="n">
        <v>15.8</v>
      </c>
      <c r="H294" t="n">
        <v>0</v>
      </c>
      <c r="I294" t="n">
        <v>0</v>
      </c>
      <c r="J294" t="n">
        <v>0</v>
      </c>
      <c r="K294" t="n">
        <v>0</v>
      </c>
      <c r="L294" t="n">
        <v>0</v>
      </c>
      <c r="M294" t="n">
        <v>0</v>
      </c>
      <c r="N294" t="n">
        <v>0</v>
      </c>
      <c r="O294" t="n">
        <v>0</v>
      </c>
      <c r="P294" t="n">
        <v>0</v>
      </c>
      <c r="Q294" t="n">
        <v>0</v>
      </c>
      <c r="R294" s="2" t="inlineStr"/>
    </row>
    <row r="295" ht="15" customHeight="1">
      <c r="A295" t="inlineStr">
        <is>
          <t>A 46091-2025</t>
        </is>
      </c>
      <c r="B295" s="1" t="n">
        <v>45924</v>
      </c>
      <c r="C295" s="1" t="n">
        <v>46194</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31085-2024</t>
        </is>
      </c>
      <c r="B296" s="1" t="n">
        <v>45502</v>
      </c>
      <c r="C296" s="1" t="n">
        <v>46194</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58473-2025</t>
        </is>
      </c>
      <c r="B297" s="1" t="n">
        <v>45985</v>
      </c>
      <c r="C297" s="1" t="n">
        <v>46194</v>
      </c>
      <c r="D297" t="inlineStr">
        <is>
          <t>DALARNAS LÄN</t>
        </is>
      </c>
      <c r="E297" t="inlineStr">
        <is>
          <t>MORA</t>
        </is>
      </c>
      <c r="G297" t="n">
        <v>2.3</v>
      </c>
      <c r="H297" t="n">
        <v>0</v>
      </c>
      <c r="I297" t="n">
        <v>0</v>
      </c>
      <c r="J297" t="n">
        <v>0</v>
      </c>
      <c r="K297" t="n">
        <v>0</v>
      </c>
      <c r="L297" t="n">
        <v>0</v>
      </c>
      <c r="M297" t="n">
        <v>0</v>
      </c>
      <c r="N297" t="n">
        <v>0</v>
      </c>
      <c r="O297" t="n">
        <v>0</v>
      </c>
      <c r="P297" t="n">
        <v>0</v>
      </c>
      <c r="Q297" t="n">
        <v>0</v>
      </c>
      <c r="R297" s="2" t="inlineStr"/>
    </row>
    <row r="298" ht="15" customHeight="1">
      <c r="A298" t="inlineStr">
        <is>
          <t>A 21895-2025</t>
        </is>
      </c>
      <c r="B298" s="1" t="n">
        <v>45784</v>
      </c>
      <c r="C298" s="1" t="n">
        <v>46194</v>
      </c>
      <c r="D298" t="inlineStr">
        <is>
          <t>DALARNAS LÄN</t>
        </is>
      </c>
      <c r="E298" t="inlineStr">
        <is>
          <t>MORA</t>
        </is>
      </c>
      <c r="G298" t="n">
        <v>0.4</v>
      </c>
      <c r="H298" t="n">
        <v>0</v>
      </c>
      <c r="I298" t="n">
        <v>0</v>
      </c>
      <c r="J298" t="n">
        <v>0</v>
      </c>
      <c r="K298" t="n">
        <v>0</v>
      </c>
      <c r="L298" t="n">
        <v>0</v>
      </c>
      <c r="M298" t="n">
        <v>0</v>
      </c>
      <c r="N298" t="n">
        <v>0</v>
      </c>
      <c r="O298" t="n">
        <v>0</v>
      </c>
      <c r="P298" t="n">
        <v>0</v>
      </c>
      <c r="Q298" t="n">
        <v>0</v>
      </c>
      <c r="R298" s="2" t="inlineStr"/>
    </row>
    <row r="299" ht="15" customHeight="1">
      <c r="A299" t="inlineStr">
        <is>
          <t>A 4906-2026</t>
        </is>
      </c>
      <c r="B299" s="1" t="n">
        <v>46048</v>
      </c>
      <c r="C299" s="1" t="n">
        <v>46194</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44071-2024</t>
        </is>
      </c>
      <c r="B300" s="1" t="n">
        <v>45572</v>
      </c>
      <c r="C300" s="1" t="n">
        <v>46194</v>
      </c>
      <c r="D300" t="inlineStr">
        <is>
          <t>DALARNAS LÄN</t>
        </is>
      </c>
      <c r="E300" t="inlineStr">
        <is>
          <t>MORA</t>
        </is>
      </c>
      <c r="G300" t="n">
        <v>4.5</v>
      </c>
      <c r="H300" t="n">
        <v>0</v>
      </c>
      <c r="I300" t="n">
        <v>0</v>
      </c>
      <c r="J300" t="n">
        <v>0</v>
      </c>
      <c r="K300" t="n">
        <v>0</v>
      </c>
      <c r="L300" t="n">
        <v>0</v>
      </c>
      <c r="M300" t="n">
        <v>0</v>
      </c>
      <c r="N300" t="n">
        <v>0</v>
      </c>
      <c r="O300" t="n">
        <v>0</v>
      </c>
      <c r="P300" t="n">
        <v>0</v>
      </c>
      <c r="Q300" t="n">
        <v>0</v>
      </c>
      <c r="R300" s="2" t="inlineStr"/>
    </row>
    <row r="301" ht="15" customHeight="1">
      <c r="A301" t="inlineStr">
        <is>
          <t>A 46283-2025</t>
        </is>
      </c>
      <c r="B301" s="1" t="n">
        <v>45925</v>
      </c>
      <c r="C301" s="1" t="n">
        <v>46194</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31842-2025</t>
        </is>
      </c>
      <c r="B302" s="1" t="n">
        <v>45834</v>
      </c>
      <c r="C302" s="1" t="n">
        <v>46194</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47055-2025</t>
        </is>
      </c>
      <c r="B303" s="1" t="n">
        <v>45929</v>
      </c>
      <c r="C303" s="1" t="n">
        <v>46194</v>
      </c>
      <c r="D303" t="inlineStr">
        <is>
          <t>DALARNAS LÄN</t>
        </is>
      </c>
      <c r="E303" t="inlineStr">
        <is>
          <t>MORA</t>
        </is>
      </c>
      <c r="G303" t="n">
        <v>28.1</v>
      </c>
      <c r="H303" t="n">
        <v>0</v>
      </c>
      <c r="I303" t="n">
        <v>0</v>
      </c>
      <c r="J303" t="n">
        <v>0</v>
      </c>
      <c r="K303" t="n">
        <v>0</v>
      </c>
      <c r="L303" t="n">
        <v>0</v>
      </c>
      <c r="M303" t="n">
        <v>0</v>
      </c>
      <c r="N303" t="n">
        <v>0</v>
      </c>
      <c r="O303" t="n">
        <v>0</v>
      </c>
      <c r="P303" t="n">
        <v>0</v>
      </c>
      <c r="Q303" t="n">
        <v>0</v>
      </c>
      <c r="R303" s="2" t="inlineStr"/>
    </row>
    <row r="304" ht="15" customHeight="1">
      <c r="A304" t="inlineStr">
        <is>
          <t>A 47414-2025</t>
        </is>
      </c>
      <c r="B304" s="1" t="n">
        <v>45930</v>
      </c>
      <c r="C304" s="1" t="n">
        <v>46194</v>
      </c>
      <c r="D304" t="inlineStr">
        <is>
          <t>DALARNAS LÄN</t>
        </is>
      </c>
      <c r="E304" t="inlineStr">
        <is>
          <t>MORA</t>
        </is>
      </c>
      <c r="G304" t="n">
        <v>6.1</v>
      </c>
      <c r="H304" t="n">
        <v>0</v>
      </c>
      <c r="I304" t="n">
        <v>0</v>
      </c>
      <c r="J304" t="n">
        <v>0</v>
      </c>
      <c r="K304" t="n">
        <v>0</v>
      </c>
      <c r="L304" t="n">
        <v>0</v>
      </c>
      <c r="M304" t="n">
        <v>0</v>
      </c>
      <c r="N304" t="n">
        <v>0</v>
      </c>
      <c r="O304" t="n">
        <v>0</v>
      </c>
      <c r="P304" t="n">
        <v>0</v>
      </c>
      <c r="Q304" t="n">
        <v>0</v>
      </c>
      <c r="R304" s="2" t="inlineStr"/>
    </row>
    <row r="305" ht="15" customHeight="1">
      <c r="A305" t="inlineStr">
        <is>
          <t>A 16573-2024</t>
        </is>
      </c>
      <c r="B305" s="1" t="n">
        <v>45408</v>
      </c>
      <c r="C305" s="1" t="n">
        <v>46194</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21410-2023</t>
        </is>
      </c>
      <c r="B306" s="1" t="n">
        <v>45063</v>
      </c>
      <c r="C306" s="1" t="n">
        <v>46194</v>
      </c>
      <c r="D306" t="inlineStr">
        <is>
          <t>DALARNAS LÄN</t>
        </is>
      </c>
      <c r="E306" t="inlineStr">
        <is>
          <t>MORA</t>
        </is>
      </c>
      <c r="G306" t="n">
        <v>7</v>
      </c>
      <c r="H306" t="n">
        <v>0</v>
      </c>
      <c r="I306" t="n">
        <v>0</v>
      </c>
      <c r="J306" t="n">
        <v>0</v>
      </c>
      <c r="K306" t="n">
        <v>0</v>
      </c>
      <c r="L306" t="n">
        <v>0</v>
      </c>
      <c r="M306" t="n">
        <v>0</v>
      </c>
      <c r="N306" t="n">
        <v>0</v>
      </c>
      <c r="O306" t="n">
        <v>0</v>
      </c>
      <c r="P306" t="n">
        <v>0</v>
      </c>
      <c r="Q306" t="n">
        <v>0</v>
      </c>
      <c r="R306" s="2" t="inlineStr"/>
    </row>
    <row r="307" ht="15" customHeight="1">
      <c r="A307" t="inlineStr">
        <is>
          <t>A 47072-2025</t>
        </is>
      </c>
      <c r="B307" s="1" t="n">
        <v>45929</v>
      </c>
      <c r="C307" s="1" t="n">
        <v>46194</v>
      </c>
      <c r="D307" t="inlineStr">
        <is>
          <t>DALARNAS LÄN</t>
        </is>
      </c>
      <c r="E307" t="inlineStr">
        <is>
          <t>MORA</t>
        </is>
      </c>
      <c r="G307" t="n">
        <v>3.4</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46194</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46194</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40949-2023</t>
        </is>
      </c>
      <c r="B310" s="1" t="n">
        <v>45173</v>
      </c>
      <c r="C310" s="1" t="n">
        <v>46194</v>
      </c>
      <c r="D310" t="inlineStr">
        <is>
          <t>DALARNAS LÄN</t>
        </is>
      </c>
      <c r="E310" t="inlineStr">
        <is>
          <t>MORA</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66232-2021</t>
        </is>
      </c>
      <c r="B311" s="1" t="n">
        <v>44518</v>
      </c>
      <c r="C311" s="1" t="n">
        <v>46194</v>
      </c>
      <c r="D311" t="inlineStr">
        <is>
          <t>DALARNAS LÄN</t>
        </is>
      </c>
      <c r="E311" t="inlineStr">
        <is>
          <t>MORA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47765-2025</t>
        </is>
      </c>
      <c r="B312" s="1" t="n">
        <v>45931</v>
      </c>
      <c r="C312" s="1" t="n">
        <v>46194</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11193-2025</t>
        </is>
      </c>
      <c r="B313" s="1" t="n">
        <v>45725</v>
      </c>
      <c r="C313" s="1" t="n">
        <v>46194</v>
      </c>
      <c r="D313" t="inlineStr">
        <is>
          <t>DALARNAS LÄN</t>
        </is>
      </c>
      <c r="E313" t="inlineStr">
        <is>
          <t>MORA</t>
        </is>
      </c>
      <c r="G313" t="n">
        <v>4.1</v>
      </c>
      <c r="H313" t="n">
        <v>0</v>
      </c>
      <c r="I313" t="n">
        <v>0</v>
      </c>
      <c r="J313" t="n">
        <v>0</v>
      </c>
      <c r="K313" t="n">
        <v>0</v>
      </c>
      <c r="L313" t="n">
        <v>0</v>
      </c>
      <c r="M313" t="n">
        <v>0</v>
      </c>
      <c r="N313" t="n">
        <v>0</v>
      </c>
      <c r="O313" t="n">
        <v>0</v>
      </c>
      <c r="P313" t="n">
        <v>0</v>
      </c>
      <c r="Q313" t="n">
        <v>0</v>
      </c>
      <c r="R313" s="2" t="inlineStr"/>
    </row>
    <row r="314" ht="15" customHeight="1">
      <c r="A314" t="inlineStr">
        <is>
          <t>A 47716-2025</t>
        </is>
      </c>
      <c r="B314" s="1" t="n">
        <v>45931</v>
      </c>
      <c r="C314" s="1" t="n">
        <v>46194</v>
      </c>
      <c r="D314" t="inlineStr">
        <is>
          <t>DALARNAS LÄN</t>
        </is>
      </c>
      <c r="E314" t="inlineStr">
        <is>
          <t>MORA</t>
        </is>
      </c>
      <c r="G314" t="n">
        <v>8.9</v>
      </c>
      <c r="H314" t="n">
        <v>0</v>
      </c>
      <c r="I314" t="n">
        <v>0</v>
      </c>
      <c r="J314" t="n">
        <v>0</v>
      </c>
      <c r="K314" t="n">
        <v>0</v>
      </c>
      <c r="L314" t="n">
        <v>0</v>
      </c>
      <c r="M314" t="n">
        <v>0</v>
      </c>
      <c r="N314" t="n">
        <v>0</v>
      </c>
      <c r="O314" t="n">
        <v>0</v>
      </c>
      <c r="P314" t="n">
        <v>0</v>
      </c>
      <c r="Q314" t="n">
        <v>0</v>
      </c>
      <c r="R314" s="2" t="inlineStr"/>
    </row>
    <row r="315" ht="15" customHeight="1">
      <c r="A315" t="inlineStr">
        <is>
          <t>A 34272-2024</t>
        </is>
      </c>
      <c r="B315" s="1" t="n">
        <v>45524</v>
      </c>
      <c r="C315" s="1" t="n">
        <v>46194</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28131-2024</t>
        </is>
      </c>
      <c r="B316" s="1" t="n">
        <v>45476</v>
      </c>
      <c r="C316" s="1" t="n">
        <v>46194</v>
      </c>
      <c r="D316" t="inlineStr">
        <is>
          <t>DALARNAS LÄN</t>
        </is>
      </c>
      <c r="E316" t="inlineStr">
        <is>
          <t>MORA</t>
        </is>
      </c>
      <c r="G316" t="n">
        <v>0.8</v>
      </c>
      <c r="H316" t="n">
        <v>0</v>
      </c>
      <c r="I316" t="n">
        <v>0</v>
      </c>
      <c r="J316" t="n">
        <v>0</v>
      </c>
      <c r="K316" t="n">
        <v>0</v>
      </c>
      <c r="L316" t="n">
        <v>0</v>
      </c>
      <c r="M316" t="n">
        <v>0</v>
      </c>
      <c r="N316" t="n">
        <v>0</v>
      </c>
      <c r="O316" t="n">
        <v>0</v>
      </c>
      <c r="P316" t="n">
        <v>0</v>
      </c>
      <c r="Q316" t="n">
        <v>0</v>
      </c>
      <c r="R316" s="2" t="inlineStr"/>
    </row>
    <row r="317" ht="15" customHeight="1">
      <c r="A317" t="inlineStr">
        <is>
          <t>A 48927-2025</t>
        </is>
      </c>
      <c r="B317" s="1" t="n">
        <v>45931</v>
      </c>
      <c r="C317" s="1" t="n">
        <v>46194</v>
      </c>
      <c r="D317" t="inlineStr">
        <is>
          <t>DALARNAS LÄN</t>
        </is>
      </c>
      <c r="E317" t="inlineStr">
        <is>
          <t>MORA</t>
        </is>
      </c>
      <c r="G317" t="n">
        <v>2.1</v>
      </c>
      <c r="H317" t="n">
        <v>0</v>
      </c>
      <c r="I317" t="n">
        <v>0</v>
      </c>
      <c r="J317" t="n">
        <v>0</v>
      </c>
      <c r="K317" t="n">
        <v>0</v>
      </c>
      <c r="L317" t="n">
        <v>0</v>
      </c>
      <c r="M317" t="n">
        <v>0</v>
      </c>
      <c r="N317" t="n">
        <v>0</v>
      </c>
      <c r="O317" t="n">
        <v>0</v>
      </c>
      <c r="P317" t="n">
        <v>0</v>
      </c>
      <c r="Q317" t="n">
        <v>0</v>
      </c>
      <c r="R317" s="2" t="inlineStr"/>
    </row>
    <row r="318" ht="15" customHeight="1">
      <c r="A318" t="inlineStr">
        <is>
          <t>A 28132-2024</t>
        </is>
      </c>
      <c r="B318" s="1" t="n">
        <v>45476</v>
      </c>
      <c r="C318" s="1" t="n">
        <v>46194</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26761-2026</t>
        </is>
      </c>
      <c r="B319" s="1" t="n">
        <v>46184</v>
      </c>
      <c r="C319" s="1" t="n">
        <v>46194</v>
      </c>
      <c r="D319" t="inlineStr">
        <is>
          <t>DALARNAS LÄN</t>
        </is>
      </c>
      <c r="E319" t="inlineStr">
        <is>
          <t>MORA</t>
        </is>
      </c>
      <c r="G319" t="n">
        <v>3.8</v>
      </c>
      <c r="H319" t="n">
        <v>0</v>
      </c>
      <c r="I319" t="n">
        <v>0</v>
      </c>
      <c r="J319" t="n">
        <v>0</v>
      </c>
      <c r="K319" t="n">
        <v>0</v>
      </c>
      <c r="L319" t="n">
        <v>0</v>
      </c>
      <c r="M319" t="n">
        <v>0</v>
      </c>
      <c r="N319" t="n">
        <v>0</v>
      </c>
      <c r="O319" t="n">
        <v>0</v>
      </c>
      <c r="P319" t="n">
        <v>0</v>
      </c>
      <c r="Q319" t="n">
        <v>0</v>
      </c>
      <c r="R319" s="2" t="inlineStr"/>
    </row>
    <row r="320" ht="15" customHeight="1">
      <c r="A320" t="inlineStr">
        <is>
          <t>A 57608-2021</t>
        </is>
      </c>
      <c r="B320" s="1" t="n">
        <v>44484</v>
      </c>
      <c r="C320" s="1" t="n">
        <v>46194</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56900-2024</t>
        </is>
      </c>
      <c r="B321" s="1" t="n">
        <v>45625</v>
      </c>
      <c r="C321" s="1" t="n">
        <v>46194</v>
      </c>
      <c r="D321" t="inlineStr">
        <is>
          <t>DALARNAS LÄN</t>
        </is>
      </c>
      <c r="E321" t="inlineStr">
        <is>
          <t>MORA</t>
        </is>
      </c>
      <c r="G321" t="n">
        <v>2.7</v>
      </c>
      <c r="H321" t="n">
        <v>0</v>
      </c>
      <c r="I321" t="n">
        <v>0</v>
      </c>
      <c r="J321" t="n">
        <v>0</v>
      </c>
      <c r="K321" t="n">
        <v>0</v>
      </c>
      <c r="L321" t="n">
        <v>0</v>
      </c>
      <c r="M321" t="n">
        <v>0</v>
      </c>
      <c r="N321" t="n">
        <v>0</v>
      </c>
      <c r="O321" t="n">
        <v>0</v>
      </c>
      <c r="P321" t="n">
        <v>0</v>
      </c>
      <c r="Q321" t="n">
        <v>0</v>
      </c>
      <c r="R321" s="2" t="inlineStr"/>
    </row>
    <row r="322" ht="15" customHeight="1">
      <c r="A322" t="inlineStr">
        <is>
          <t>A 49404-2025</t>
        </is>
      </c>
      <c r="B322" s="1" t="n">
        <v>45938</v>
      </c>
      <c r="C322" s="1" t="n">
        <v>46194</v>
      </c>
      <c r="D322" t="inlineStr">
        <is>
          <t>DALARNAS LÄN</t>
        </is>
      </c>
      <c r="E322" t="inlineStr">
        <is>
          <t>MORA</t>
        </is>
      </c>
      <c r="F322" t="inlineStr">
        <is>
          <t>Bergvik skog väst AB</t>
        </is>
      </c>
      <c r="G322" t="n">
        <v>0.9</v>
      </c>
      <c r="H322" t="n">
        <v>0</v>
      </c>
      <c r="I322" t="n">
        <v>0</v>
      </c>
      <c r="J322" t="n">
        <v>0</v>
      </c>
      <c r="K322" t="n">
        <v>0</v>
      </c>
      <c r="L322" t="n">
        <v>0</v>
      </c>
      <c r="M322" t="n">
        <v>0</v>
      </c>
      <c r="N322" t="n">
        <v>0</v>
      </c>
      <c r="O322" t="n">
        <v>0</v>
      </c>
      <c r="P322" t="n">
        <v>0</v>
      </c>
      <c r="Q322" t="n">
        <v>0</v>
      </c>
      <c r="R322" s="2" t="inlineStr"/>
    </row>
    <row r="323" ht="15" customHeight="1">
      <c r="A323" t="inlineStr">
        <is>
          <t>A 48929-2025</t>
        </is>
      </c>
      <c r="B323" s="1" t="n">
        <v>45937</v>
      </c>
      <c r="C323" s="1" t="n">
        <v>46194</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23586-2023</t>
        </is>
      </c>
      <c r="B324" s="1" t="n">
        <v>45077</v>
      </c>
      <c r="C324" s="1" t="n">
        <v>46194</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56927-2024</t>
        </is>
      </c>
      <c r="B325" s="1" t="n">
        <v>45625</v>
      </c>
      <c r="C325" s="1" t="n">
        <v>46194</v>
      </c>
      <c r="D325" t="inlineStr">
        <is>
          <t>DALARNAS LÄN</t>
        </is>
      </c>
      <c r="E325" t="inlineStr">
        <is>
          <t>MORA</t>
        </is>
      </c>
      <c r="G325" t="n">
        <v>2.8</v>
      </c>
      <c r="H325" t="n">
        <v>0</v>
      </c>
      <c r="I325" t="n">
        <v>0</v>
      </c>
      <c r="J325" t="n">
        <v>0</v>
      </c>
      <c r="K325" t="n">
        <v>0</v>
      </c>
      <c r="L325" t="n">
        <v>0</v>
      </c>
      <c r="M325" t="n">
        <v>0</v>
      </c>
      <c r="N325" t="n">
        <v>0</v>
      </c>
      <c r="O325" t="n">
        <v>0</v>
      </c>
      <c r="P325" t="n">
        <v>0</v>
      </c>
      <c r="Q325" t="n">
        <v>0</v>
      </c>
      <c r="R325" s="2" t="inlineStr"/>
    </row>
    <row r="326" ht="15" customHeight="1">
      <c r="A326" t="inlineStr">
        <is>
          <t>A 49401-2025</t>
        </is>
      </c>
      <c r="B326" s="1" t="n">
        <v>45938</v>
      </c>
      <c r="C326" s="1" t="n">
        <v>46194</v>
      </c>
      <c r="D326" t="inlineStr">
        <is>
          <t>DALARNAS LÄN</t>
        </is>
      </c>
      <c r="E326" t="inlineStr">
        <is>
          <t>MORA</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54192-2023</t>
        </is>
      </c>
      <c r="B327" s="1" t="n">
        <v>45232</v>
      </c>
      <c r="C327" s="1" t="n">
        <v>46194</v>
      </c>
      <c r="D327" t="inlineStr">
        <is>
          <t>DALARNAS LÄN</t>
        </is>
      </c>
      <c r="E327" t="inlineStr">
        <is>
          <t>MORA</t>
        </is>
      </c>
      <c r="G327" t="n">
        <v>3.4</v>
      </c>
      <c r="H327" t="n">
        <v>0</v>
      </c>
      <c r="I327" t="n">
        <v>0</v>
      </c>
      <c r="J327" t="n">
        <v>0</v>
      </c>
      <c r="K327" t="n">
        <v>0</v>
      </c>
      <c r="L327" t="n">
        <v>0</v>
      </c>
      <c r="M327" t="n">
        <v>0</v>
      </c>
      <c r="N327" t="n">
        <v>0</v>
      </c>
      <c r="O327" t="n">
        <v>0</v>
      </c>
      <c r="P327" t="n">
        <v>0</v>
      </c>
      <c r="Q327" t="n">
        <v>0</v>
      </c>
      <c r="R327" s="2" t="inlineStr"/>
    </row>
    <row r="328" ht="15" customHeight="1">
      <c r="A328" t="inlineStr">
        <is>
          <t>A 59404-2024</t>
        </is>
      </c>
      <c r="B328" s="1" t="n">
        <v>45638</v>
      </c>
      <c r="C328" s="1" t="n">
        <v>46194</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22185-2025</t>
        </is>
      </c>
      <c r="B329" s="1" t="n">
        <v>45785</v>
      </c>
      <c r="C329" s="1" t="n">
        <v>46194</v>
      </c>
      <c r="D329" t="inlineStr">
        <is>
          <t>DALARNAS LÄN</t>
        </is>
      </c>
      <c r="E329" t="inlineStr">
        <is>
          <t>MORA</t>
        </is>
      </c>
      <c r="G329" t="n">
        <v>2.4</v>
      </c>
      <c r="H329" t="n">
        <v>0</v>
      </c>
      <c r="I329" t="n">
        <v>0</v>
      </c>
      <c r="J329" t="n">
        <v>0</v>
      </c>
      <c r="K329" t="n">
        <v>0</v>
      </c>
      <c r="L329" t="n">
        <v>0</v>
      </c>
      <c r="M329" t="n">
        <v>0</v>
      </c>
      <c r="N329" t="n">
        <v>0</v>
      </c>
      <c r="O329" t="n">
        <v>0</v>
      </c>
      <c r="P329" t="n">
        <v>0</v>
      </c>
      <c r="Q329" t="n">
        <v>0</v>
      </c>
      <c r="R329" s="2" t="inlineStr"/>
    </row>
    <row r="330" ht="15" customHeight="1">
      <c r="A330" t="inlineStr">
        <is>
          <t>A 5644-2024</t>
        </is>
      </c>
      <c r="B330" s="1" t="n">
        <v>45334</v>
      </c>
      <c r="C330" s="1" t="n">
        <v>46194</v>
      </c>
      <c r="D330" t="inlineStr">
        <is>
          <t>DALARNAS LÄN</t>
        </is>
      </c>
      <c r="E330" t="inlineStr">
        <is>
          <t>MORA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56935-2024</t>
        </is>
      </c>
      <c r="B331" s="1" t="n">
        <v>45625</v>
      </c>
      <c r="C331" s="1" t="n">
        <v>46194</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48926-2025</t>
        </is>
      </c>
      <c r="B332" s="1" t="n">
        <v>45937</v>
      </c>
      <c r="C332" s="1" t="n">
        <v>46194</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23354-2022</t>
        </is>
      </c>
      <c r="B333" s="1" t="n">
        <v>44720</v>
      </c>
      <c r="C333" s="1" t="n">
        <v>46194</v>
      </c>
      <c r="D333" t="inlineStr">
        <is>
          <t>DALARNAS LÄN</t>
        </is>
      </c>
      <c r="E333" t="inlineStr">
        <is>
          <t>MORA</t>
        </is>
      </c>
      <c r="G333" t="n">
        <v>5.2</v>
      </c>
      <c r="H333" t="n">
        <v>0</v>
      </c>
      <c r="I333" t="n">
        <v>0</v>
      </c>
      <c r="J333" t="n">
        <v>0</v>
      </c>
      <c r="K333" t="n">
        <v>0</v>
      </c>
      <c r="L333" t="n">
        <v>0</v>
      </c>
      <c r="M333" t="n">
        <v>0</v>
      </c>
      <c r="N333" t="n">
        <v>0</v>
      </c>
      <c r="O333" t="n">
        <v>0</v>
      </c>
      <c r="P333" t="n">
        <v>0</v>
      </c>
      <c r="Q333" t="n">
        <v>0</v>
      </c>
      <c r="R333" s="2" t="inlineStr"/>
    </row>
    <row r="334" ht="15" customHeight="1">
      <c r="A334" t="inlineStr">
        <is>
          <t>A 34928-2022</t>
        </is>
      </c>
      <c r="B334" s="1" t="n">
        <v>44796</v>
      </c>
      <c r="C334" s="1" t="n">
        <v>46194</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26425-2026</t>
        </is>
      </c>
      <c r="B335" s="1" t="n">
        <v>46183</v>
      </c>
      <c r="C335" s="1" t="n">
        <v>46194</v>
      </c>
      <c r="D335" t="inlineStr">
        <is>
          <t>DALARNAS LÄN</t>
        </is>
      </c>
      <c r="E335" t="inlineStr">
        <is>
          <t>MORA</t>
        </is>
      </c>
      <c r="F335" t="inlineStr">
        <is>
          <t>Bergvik skog väst AB</t>
        </is>
      </c>
      <c r="G335" t="n">
        <v>2.5</v>
      </c>
      <c r="H335" t="n">
        <v>0</v>
      </c>
      <c r="I335" t="n">
        <v>0</v>
      </c>
      <c r="J335" t="n">
        <v>0</v>
      </c>
      <c r="K335" t="n">
        <v>0</v>
      </c>
      <c r="L335" t="n">
        <v>0</v>
      </c>
      <c r="M335" t="n">
        <v>0</v>
      </c>
      <c r="N335" t="n">
        <v>0</v>
      </c>
      <c r="O335" t="n">
        <v>0</v>
      </c>
      <c r="P335" t="n">
        <v>0</v>
      </c>
      <c r="Q335" t="n">
        <v>0</v>
      </c>
      <c r="R335" s="2" t="inlineStr"/>
    </row>
    <row r="336" ht="15" customHeight="1">
      <c r="A336" t="inlineStr">
        <is>
          <t>A 9461-2025</t>
        </is>
      </c>
      <c r="B336" s="1" t="n">
        <v>45715</v>
      </c>
      <c r="C336" s="1" t="n">
        <v>46194</v>
      </c>
      <c r="D336" t="inlineStr">
        <is>
          <t>DALARNAS LÄN</t>
        </is>
      </c>
      <c r="E336" t="inlineStr">
        <is>
          <t>MORA</t>
        </is>
      </c>
      <c r="G336" t="n">
        <v>1.8</v>
      </c>
      <c r="H336" t="n">
        <v>0</v>
      </c>
      <c r="I336" t="n">
        <v>0</v>
      </c>
      <c r="J336" t="n">
        <v>0</v>
      </c>
      <c r="K336" t="n">
        <v>0</v>
      </c>
      <c r="L336" t="n">
        <v>0</v>
      </c>
      <c r="M336" t="n">
        <v>0</v>
      </c>
      <c r="N336" t="n">
        <v>0</v>
      </c>
      <c r="O336" t="n">
        <v>0</v>
      </c>
      <c r="P336" t="n">
        <v>0</v>
      </c>
      <c r="Q336" t="n">
        <v>0</v>
      </c>
      <c r="R336" s="2" t="inlineStr"/>
    </row>
    <row r="337" ht="15" customHeight="1">
      <c r="A337" t="inlineStr">
        <is>
          <t>A 54257-2023</t>
        </is>
      </c>
      <c r="B337" s="1" t="n">
        <v>45232</v>
      </c>
      <c r="C337" s="1" t="n">
        <v>46194</v>
      </c>
      <c r="D337" t="inlineStr">
        <is>
          <t>DALARNAS LÄN</t>
        </is>
      </c>
      <c r="E337" t="inlineStr">
        <is>
          <t>MORA</t>
        </is>
      </c>
      <c r="G337" t="n">
        <v>4</v>
      </c>
      <c r="H337" t="n">
        <v>0</v>
      </c>
      <c r="I337" t="n">
        <v>0</v>
      </c>
      <c r="J337" t="n">
        <v>0</v>
      </c>
      <c r="K337" t="n">
        <v>0</v>
      </c>
      <c r="L337" t="n">
        <v>0</v>
      </c>
      <c r="M337" t="n">
        <v>0</v>
      </c>
      <c r="N337" t="n">
        <v>0</v>
      </c>
      <c r="O337" t="n">
        <v>0</v>
      </c>
      <c r="P337" t="n">
        <v>0</v>
      </c>
      <c r="Q337" t="n">
        <v>0</v>
      </c>
      <c r="R337" s="2" t="inlineStr"/>
    </row>
    <row r="338" ht="15" customHeight="1">
      <c r="A338" t="inlineStr">
        <is>
          <t>A 37385-2022</t>
        </is>
      </c>
      <c r="B338" s="1" t="n">
        <v>44806</v>
      </c>
      <c r="C338" s="1" t="n">
        <v>46194</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20594-2025</t>
        </is>
      </c>
      <c r="B339" s="1" t="n">
        <v>45775</v>
      </c>
      <c r="C339" s="1" t="n">
        <v>46194</v>
      </c>
      <c r="D339" t="inlineStr">
        <is>
          <t>DALARNAS LÄN</t>
        </is>
      </c>
      <c r="E339" t="inlineStr">
        <is>
          <t>MORA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62854-2023</t>
        </is>
      </c>
      <c r="B340" s="1" t="n">
        <v>45272</v>
      </c>
      <c r="C340" s="1" t="n">
        <v>46194</v>
      </c>
      <c r="D340" t="inlineStr">
        <is>
          <t>DALARNAS LÄN</t>
        </is>
      </c>
      <c r="E340" t="inlineStr">
        <is>
          <t>MORA</t>
        </is>
      </c>
      <c r="G340" t="n">
        <v>11.3</v>
      </c>
      <c r="H340" t="n">
        <v>0</v>
      </c>
      <c r="I340" t="n">
        <v>0</v>
      </c>
      <c r="J340" t="n">
        <v>0</v>
      </c>
      <c r="K340" t="n">
        <v>0</v>
      </c>
      <c r="L340" t="n">
        <v>0</v>
      </c>
      <c r="M340" t="n">
        <v>0</v>
      </c>
      <c r="N340" t="n">
        <v>0</v>
      </c>
      <c r="O340" t="n">
        <v>0</v>
      </c>
      <c r="P340" t="n">
        <v>0</v>
      </c>
      <c r="Q340" t="n">
        <v>0</v>
      </c>
      <c r="R340" s="2" t="inlineStr"/>
    </row>
    <row r="341" ht="15" customHeight="1">
      <c r="A341" t="inlineStr">
        <is>
          <t>A 61217-2023</t>
        </is>
      </c>
      <c r="B341" s="1" t="n">
        <v>45264</v>
      </c>
      <c r="C341" s="1" t="n">
        <v>46194</v>
      </c>
      <c r="D341" t="inlineStr">
        <is>
          <t>DALARNAS LÄN</t>
        </is>
      </c>
      <c r="E341" t="inlineStr">
        <is>
          <t>MORA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61218-2023</t>
        </is>
      </c>
      <c r="B342" s="1" t="n">
        <v>45264</v>
      </c>
      <c r="C342" s="1" t="n">
        <v>46194</v>
      </c>
      <c r="D342" t="inlineStr">
        <is>
          <t>DALARNAS LÄN</t>
        </is>
      </c>
      <c r="E342" t="inlineStr">
        <is>
          <t>MORA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43641-2022</t>
        </is>
      </c>
      <c r="B343" s="1" t="n">
        <v>44837</v>
      </c>
      <c r="C343" s="1" t="n">
        <v>46194</v>
      </c>
      <c r="D343" t="inlineStr">
        <is>
          <t>DALARNAS LÄN</t>
        </is>
      </c>
      <c r="E343" t="inlineStr">
        <is>
          <t>MORA</t>
        </is>
      </c>
      <c r="G343" t="n">
        <v>1.8</v>
      </c>
      <c r="H343" t="n">
        <v>0</v>
      </c>
      <c r="I343" t="n">
        <v>0</v>
      </c>
      <c r="J343" t="n">
        <v>0</v>
      </c>
      <c r="K343" t="n">
        <v>0</v>
      </c>
      <c r="L343" t="n">
        <v>0</v>
      </c>
      <c r="M343" t="n">
        <v>0</v>
      </c>
      <c r="N343" t="n">
        <v>0</v>
      </c>
      <c r="O343" t="n">
        <v>0</v>
      </c>
      <c r="P343" t="n">
        <v>0</v>
      </c>
      <c r="Q343" t="n">
        <v>0</v>
      </c>
      <c r="R343" s="2" t="inlineStr"/>
    </row>
    <row r="344" ht="15" customHeight="1">
      <c r="A344" t="inlineStr">
        <is>
          <t>A 19286-2023</t>
        </is>
      </c>
      <c r="B344" s="1" t="n">
        <v>45049</v>
      </c>
      <c r="C344" s="1" t="n">
        <v>46194</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35363-2024</t>
        </is>
      </c>
      <c r="B345" s="1" t="n">
        <v>45531</v>
      </c>
      <c r="C345" s="1" t="n">
        <v>46194</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23229-2025</t>
        </is>
      </c>
      <c r="B346" s="1" t="n">
        <v>45791</v>
      </c>
      <c r="C346" s="1" t="n">
        <v>46194</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58972-2023</t>
        </is>
      </c>
      <c r="B347" s="1" t="n">
        <v>45252</v>
      </c>
      <c r="C347" s="1" t="n">
        <v>46194</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58171-2024</t>
        </is>
      </c>
      <c r="B348" s="1" t="n">
        <v>45632</v>
      </c>
      <c r="C348" s="1" t="n">
        <v>46194</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20652-2026</t>
        </is>
      </c>
      <c r="B349" s="1" t="n">
        <v>46141</v>
      </c>
      <c r="C349" s="1" t="n">
        <v>46194</v>
      </c>
      <c r="D349" t="inlineStr">
        <is>
          <t>DALARNAS LÄN</t>
        </is>
      </c>
      <c r="E349" t="inlineStr">
        <is>
          <t>MORA</t>
        </is>
      </c>
      <c r="G349" t="n">
        <v>3</v>
      </c>
      <c r="H349" t="n">
        <v>0</v>
      </c>
      <c r="I349" t="n">
        <v>0</v>
      </c>
      <c r="J349" t="n">
        <v>0</v>
      </c>
      <c r="K349" t="n">
        <v>0</v>
      </c>
      <c r="L349" t="n">
        <v>0</v>
      </c>
      <c r="M349" t="n">
        <v>0</v>
      </c>
      <c r="N349" t="n">
        <v>0</v>
      </c>
      <c r="O349" t="n">
        <v>0</v>
      </c>
      <c r="P349" t="n">
        <v>0</v>
      </c>
      <c r="Q349" t="n">
        <v>0</v>
      </c>
      <c r="R349" s="2" t="inlineStr"/>
    </row>
    <row r="350" ht="15" customHeight="1">
      <c r="A350" t="inlineStr">
        <is>
          <t>A 24642-2025</t>
        </is>
      </c>
      <c r="B350" s="1" t="n">
        <v>45798</v>
      </c>
      <c r="C350" s="1" t="n">
        <v>46194</v>
      </c>
      <c r="D350" t="inlineStr">
        <is>
          <t>DALARNAS LÄN</t>
        </is>
      </c>
      <c r="E350" t="inlineStr">
        <is>
          <t>MORA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59182-2023</t>
        </is>
      </c>
      <c r="B351" s="1" t="n">
        <v>45253</v>
      </c>
      <c r="C351" s="1" t="n">
        <v>46194</v>
      </c>
      <c r="D351" t="inlineStr">
        <is>
          <t>DALARNAS LÄN</t>
        </is>
      </c>
      <c r="E351" t="inlineStr">
        <is>
          <t>MORA</t>
        </is>
      </c>
      <c r="G351" t="n">
        <v>3.3</v>
      </c>
      <c r="H351" t="n">
        <v>0</v>
      </c>
      <c r="I351" t="n">
        <v>0</v>
      </c>
      <c r="J351" t="n">
        <v>0</v>
      </c>
      <c r="K351" t="n">
        <v>0</v>
      </c>
      <c r="L351" t="n">
        <v>0</v>
      </c>
      <c r="M351" t="n">
        <v>0</v>
      </c>
      <c r="N351" t="n">
        <v>0</v>
      </c>
      <c r="O351" t="n">
        <v>0</v>
      </c>
      <c r="P351" t="n">
        <v>0</v>
      </c>
      <c r="Q351" t="n">
        <v>0</v>
      </c>
      <c r="R351" s="2" t="inlineStr"/>
    </row>
    <row r="352" ht="15" customHeight="1">
      <c r="A352" t="inlineStr">
        <is>
          <t>A 20952-2026</t>
        </is>
      </c>
      <c r="B352" s="1" t="n">
        <v>46142</v>
      </c>
      <c r="C352" s="1" t="n">
        <v>46194</v>
      </c>
      <c r="D352" t="inlineStr">
        <is>
          <t>DALARNAS LÄN</t>
        </is>
      </c>
      <c r="E352" t="inlineStr">
        <is>
          <t>MORA</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24249-2025</t>
        </is>
      </c>
      <c r="B353" s="1" t="n">
        <v>45797</v>
      </c>
      <c r="C353" s="1" t="n">
        <v>46194</v>
      </c>
      <c r="D353" t="inlineStr">
        <is>
          <t>DALARNAS LÄN</t>
        </is>
      </c>
      <c r="E353" t="inlineStr">
        <is>
          <t>MORA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24640-2025</t>
        </is>
      </c>
      <c r="B354" s="1" t="n">
        <v>45798</v>
      </c>
      <c r="C354" s="1" t="n">
        <v>46194</v>
      </c>
      <c r="D354" t="inlineStr">
        <is>
          <t>DALARNAS LÄN</t>
        </is>
      </c>
      <c r="E354" t="inlineStr">
        <is>
          <t>MORA</t>
        </is>
      </c>
      <c r="F354" t="inlineStr">
        <is>
          <t>Bergvik skog väst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501-2024</t>
        </is>
      </c>
      <c r="B355" s="1" t="n">
        <v>45299</v>
      </c>
      <c r="C355" s="1" t="n">
        <v>46194</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64327-2023</t>
        </is>
      </c>
      <c r="B356" s="1" t="n">
        <v>45280</v>
      </c>
      <c r="C356" s="1" t="n">
        <v>46194</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54398-2021</t>
        </is>
      </c>
      <c r="B357" s="1" t="n">
        <v>44473</v>
      </c>
      <c r="C357" s="1" t="n">
        <v>46194</v>
      </c>
      <c r="D357" t="inlineStr">
        <is>
          <t>DALARNAS LÄN</t>
        </is>
      </c>
      <c r="E357" t="inlineStr">
        <is>
          <t>MORA</t>
        </is>
      </c>
      <c r="G357" t="n">
        <v>0.9</v>
      </c>
      <c r="H357" t="n">
        <v>0</v>
      </c>
      <c r="I357" t="n">
        <v>0</v>
      </c>
      <c r="J357" t="n">
        <v>0</v>
      </c>
      <c r="K357" t="n">
        <v>0</v>
      </c>
      <c r="L357" t="n">
        <v>0</v>
      </c>
      <c r="M357" t="n">
        <v>0</v>
      </c>
      <c r="N357" t="n">
        <v>0</v>
      </c>
      <c r="O357" t="n">
        <v>0</v>
      </c>
      <c r="P357" t="n">
        <v>0</v>
      </c>
      <c r="Q357" t="n">
        <v>0</v>
      </c>
      <c r="R357" s="2" t="inlineStr"/>
    </row>
    <row r="358" ht="15" customHeight="1">
      <c r="A358" t="inlineStr">
        <is>
          <t>A 20972-2026</t>
        </is>
      </c>
      <c r="B358" s="1" t="n">
        <v>46142</v>
      </c>
      <c r="C358" s="1" t="n">
        <v>46194</v>
      </c>
      <c r="D358" t="inlineStr">
        <is>
          <t>DALARNAS LÄN</t>
        </is>
      </c>
      <c r="E358" t="inlineStr">
        <is>
          <t>MORA</t>
        </is>
      </c>
      <c r="F358" t="inlineStr">
        <is>
          <t>Bergvik skog öst AB</t>
        </is>
      </c>
      <c r="G358" t="n">
        <v>0.9</v>
      </c>
      <c r="H358" t="n">
        <v>0</v>
      </c>
      <c r="I358" t="n">
        <v>0</v>
      </c>
      <c r="J358" t="n">
        <v>0</v>
      </c>
      <c r="K358" t="n">
        <v>0</v>
      </c>
      <c r="L358" t="n">
        <v>0</v>
      </c>
      <c r="M358" t="n">
        <v>0</v>
      </c>
      <c r="N358" t="n">
        <v>0</v>
      </c>
      <c r="O358" t="n">
        <v>0</v>
      </c>
      <c r="P358" t="n">
        <v>0</v>
      </c>
      <c r="Q358" t="n">
        <v>0</v>
      </c>
      <c r="R358" s="2" t="inlineStr"/>
    </row>
    <row r="359" ht="15" customHeight="1">
      <c r="A359" t="inlineStr">
        <is>
          <t>A 17494-2025</t>
        </is>
      </c>
      <c r="B359" s="1" t="n">
        <v>45757</v>
      </c>
      <c r="C359" s="1" t="n">
        <v>46194</v>
      </c>
      <c r="D359" t="inlineStr">
        <is>
          <t>DALARNAS LÄN</t>
        </is>
      </c>
      <c r="E359" t="inlineStr">
        <is>
          <t>MORA</t>
        </is>
      </c>
      <c r="G359" t="n">
        <v>5.3</v>
      </c>
      <c r="H359" t="n">
        <v>0</v>
      </c>
      <c r="I359" t="n">
        <v>0</v>
      </c>
      <c r="J359" t="n">
        <v>0</v>
      </c>
      <c r="K359" t="n">
        <v>0</v>
      </c>
      <c r="L359" t="n">
        <v>0</v>
      </c>
      <c r="M359" t="n">
        <v>0</v>
      </c>
      <c r="N359" t="n">
        <v>0</v>
      </c>
      <c r="O359" t="n">
        <v>0</v>
      </c>
      <c r="P359" t="n">
        <v>0</v>
      </c>
      <c r="Q359" t="n">
        <v>0</v>
      </c>
      <c r="R359" s="2" t="inlineStr"/>
    </row>
    <row r="360" ht="15" customHeight="1">
      <c r="A360" t="inlineStr">
        <is>
          <t>A 20677-2026</t>
        </is>
      </c>
      <c r="B360" s="1" t="n">
        <v>46141</v>
      </c>
      <c r="C360" s="1" t="n">
        <v>46194</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20978-2026</t>
        </is>
      </c>
      <c r="B361" s="1" t="n">
        <v>46142</v>
      </c>
      <c r="C361" s="1" t="n">
        <v>46194</v>
      </c>
      <c r="D361" t="inlineStr">
        <is>
          <t>DALARNAS LÄN</t>
        </is>
      </c>
      <c r="E361" t="inlineStr">
        <is>
          <t>MORA</t>
        </is>
      </c>
      <c r="F361" t="inlineStr">
        <is>
          <t>Bergvik skog öst AB</t>
        </is>
      </c>
      <c r="G361" t="n">
        <v>5.2</v>
      </c>
      <c r="H361" t="n">
        <v>0</v>
      </c>
      <c r="I361" t="n">
        <v>0</v>
      </c>
      <c r="J361" t="n">
        <v>0</v>
      </c>
      <c r="K361" t="n">
        <v>0</v>
      </c>
      <c r="L361" t="n">
        <v>0</v>
      </c>
      <c r="M361" t="n">
        <v>0</v>
      </c>
      <c r="N361" t="n">
        <v>0</v>
      </c>
      <c r="O361" t="n">
        <v>0</v>
      </c>
      <c r="P361" t="n">
        <v>0</v>
      </c>
      <c r="Q361" t="n">
        <v>0</v>
      </c>
      <c r="R361" s="2" t="inlineStr"/>
    </row>
    <row r="362" ht="15" customHeight="1">
      <c r="A362" t="inlineStr">
        <is>
          <t>A 58958-2022</t>
        </is>
      </c>
      <c r="B362" s="1" t="n">
        <v>44903</v>
      </c>
      <c r="C362" s="1" t="n">
        <v>46194</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26774-2026</t>
        </is>
      </c>
      <c r="B363" s="1" t="n">
        <v>46184</v>
      </c>
      <c r="C363" s="1" t="n">
        <v>46194</v>
      </c>
      <c r="D363" t="inlineStr">
        <is>
          <t>DALARNAS LÄN</t>
        </is>
      </c>
      <c r="E363" t="inlineStr">
        <is>
          <t>MORA</t>
        </is>
      </c>
      <c r="F363" t="inlineStr">
        <is>
          <t>Bergvik skog öst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29188-2023</t>
        </is>
      </c>
      <c r="B364" s="1" t="n">
        <v>45105</v>
      </c>
      <c r="C364" s="1" t="n">
        <v>46194</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52110-2025</t>
        </is>
      </c>
      <c r="B365" s="1" t="n">
        <v>45952</v>
      </c>
      <c r="C365" s="1" t="n">
        <v>46194</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20656-2026</t>
        </is>
      </c>
      <c r="B366" s="1" t="n">
        <v>46141</v>
      </c>
      <c r="C366" s="1" t="n">
        <v>46194</v>
      </c>
      <c r="D366" t="inlineStr">
        <is>
          <t>DALARNAS LÄN</t>
        </is>
      </c>
      <c r="E366" t="inlineStr">
        <is>
          <t>MORA</t>
        </is>
      </c>
      <c r="G366" t="n">
        <v>0.5</v>
      </c>
      <c r="H366" t="n">
        <v>0</v>
      </c>
      <c r="I366" t="n">
        <v>0</v>
      </c>
      <c r="J366" t="n">
        <v>0</v>
      </c>
      <c r="K366" t="n">
        <v>0</v>
      </c>
      <c r="L366" t="n">
        <v>0</v>
      </c>
      <c r="M366" t="n">
        <v>0</v>
      </c>
      <c r="N366" t="n">
        <v>0</v>
      </c>
      <c r="O366" t="n">
        <v>0</v>
      </c>
      <c r="P366" t="n">
        <v>0</v>
      </c>
      <c r="Q366" t="n">
        <v>0</v>
      </c>
      <c r="R366" s="2" t="inlineStr"/>
    </row>
    <row r="367" ht="15" customHeight="1">
      <c r="A367" t="inlineStr">
        <is>
          <t>A 51771-2025</t>
        </is>
      </c>
      <c r="B367" s="1" t="n">
        <v>45951</v>
      </c>
      <c r="C367" s="1" t="n">
        <v>46194</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442-2024</t>
        </is>
      </c>
      <c r="B368" s="1" t="n">
        <v>45296</v>
      </c>
      <c r="C368" s="1" t="n">
        <v>46194</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20650-2026</t>
        </is>
      </c>
      <c r="B369" s="1" t="n">
        <v>46141</v>
      </c>
      <c r="C369" s="1" t="n">
        <v>46194</v>
      </c>
      <c r="D369" t="inlineStr">
        <is>
          <t>DALARNAS LÄN</t>
        </is>
      </c>
      <c r="E369" t="inlineStr">
        <is>
          <t>MORA</t>
        </is>
      </c>
      <c r="G369" t="n">
        <v>9.9</v>
      </c>
      <c r="H369" t="n">
        <v>0</v>
      </c>
      <c r="I369" t="n">
        <v>0</v>
      </c>
      <c r="J369" t="n">
        <v>0</v>
      </c>
      <c r="K369" t="n">
        <v>0</v>
      </c>
      <c r="L369" t="n">
        <v>0</v>
      </c>
      <c r="M369" t="n">
        <v>0</v>
      </c>
      <c r="N369" t="n">
        <v>0</v>
      </c>
      <c r="O369" t="n">
        <v>0</v>
      </c>
      <c r="P369" t="n">
        <v>0</v>
      </c>
      <c r="Q369" t="n">
        <v>0</v>
      </c>
      <c r="R369" s="2" t="inlineStr"/>
    </row>
    <row r="370" ht="15" customHeight="1">
      <c r="A370" t="inlineStr">
        <is>
          <t>A 45355-2024</t>
        </is>
      </c>
      <c r="B370" s="1" t="n">
        <v>45576</v>
      </c>
      <c r="C370" s="1" t="n">
        <v>46194</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20837-2026</t>
        </is>
      </c>
      <c r="B371" s="1" t="n">
        <v>46142</v>
      </c>
      <c r="C371" s="1" t="n">
        <v>46194</v>
      </c>
      <c r="D371" t="inlineStr">
        <is>
          <t>DALARNAS LÄN</t>
        </is>
      </c>
      <c r="E371" t="inlineStr">
        <is>
          <t>MORA</t>
        </is>
      </c>
      <c r="G371" t="n">
        <v>12.4</v>
      </c>
      <c r="H371" t="n">
        <v>0</v>
      </c>
      <c r="I371" t="n">
        <v>0</v>
      </c>
      <c r="J371" t="n">
        <v>0</v>
      </c>
      <c r="K371" t="n">
        <v>0</v>
      </c>
      <c r="L371" t="n">
        <v>0</v>
      </c>
      <c r="M371" t="n">
        <v>0</v>
      </c>
      <c r="N371" t="n">
        <v>0</v>
      </c>
      <c r="O371" t="n">
        <v>0</v>
      </c>
      <c r="P371" t="n">
        <v>0</v>
      </c>
      <c r="Q371" t="n">
        <v>0</v>
      </c>
      <c r="R371" s="2" t="inlineStr"/>
    </row>
    <row r="372" ht="15" customHeight="1">
      <c r="A372" t="inlineStr">
        <is>
          <t>A 33627-2024</t>
        </is>
      </c>
      <c r="B372" s="1" t="n">
        <v>45520</v>
      </c>
      <c r="C372" s="1" t="n">
        <v>46194</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61293-2022</t>
        </is>
      </c>
      <c r="B373" s="1" t="n">
        <v>44915</v>
      </c>
      <c r="C373" s="1" t="n">
        <v>46194</v>
      </c>
      <c r="D373" t="inlineStr">
        <is>
          <t>DALARNAS LÄN</t>
        </is>
      </c>
      <c r="E373" t="inlineStr">
        <is>
          <t>MORA</t>
        </is>
      </c>
      <c r="G373" t="n">
        <v>0.3</v>
      </c>
      <c r="H373" t="n">
        <v>0</v>
      </c>
      <c r="I373" t="n">
        <v>0</v>
      </c>
      <c r="J373" t="n">
        <v>0</v>
      </c>
      <c r="K373" t="n">
        <v>0</v>
      </c>
      <c r="L373" t="n">
        <v>0</v>
      </c>
      <c r="M373" t="n">
        <v>0</v>
      </c>
      <c r="N373" t="n">
        <v>0</v>
      </c>
      <c r="O373" t="n">
        <v>0</v>
      </c>
      <c r="P373" t="n">
        <v>0</v>
      </c>
      <c r="Q373" t="n">
        <v>0</v>
      </c>
      <c r="R373" s="2" t="inlineStr"/>
    </row>
    <row r="374" ht="15" customHeight="1">
      <c r="A374" t="inlineStr">
        <is>
          <t>A 26647-2025</t>
        </is>
      </c>
      <c r="B374" s="1" t="n">
        <v>45810</v>
      </c>
      <c r="C374" s="1" t="n">
        <v>46194</v>
      </c>
      <c r="D374" t="inlineStr">
        <is>
          <t>DALARNAS LÄN</t>
        </is>
      </c>
      <c r="E374" t="inlineStr">
        <is>
          <t>MORA</t>
        </is>
      </c>
      <c r="G374" t="n">
        <v>7.9</v>
      </c>
      <c r="H374" t="n">
        <v>0</v>
      </c>
      <c r="I374" t="n">
        <v>0</v>
      </c>
      <c r="J374" t="n">
        <v>0</v>
      </c>
      <c r="K374" t="n">
        <v>0</v>
      </c>
      <c r="L374" t="n">
        <v>0</v>
      </c>
      <c r="M374" t="n">
        <v>0</v>
      </c>
      <c r="N374" t="n">
        <v>0</v>
      </c>
      <c r="O374" t="n">
        <v>0</v>
      </c>
      <c r="P374" t="n">
        <v>0</v>
      </c>
      <c r="Q374" t="n">
        <v>0</v>
      </c>
      <c r="R374" s="2" t="inlineStr"/>
    </row>
    <row r="375" ht="15" customHeight="1">
      <c r="A375" t="inlineStr">
        <is>
          <t>A 60360-2023</t>
        </is>
      </c>
      <c r="B375" s="1" t="n">
        <v>45259</v>
      </c>
      <c r="C375" s="1" t="n">
        <v>46194</v>
      </c>
      <c r="D375" t="inlineStr">
        <is>
          <t>DALARNAS LÄN</t>
        </is>
      </c>
      <c r="E375" t="inlineStr">
        <is>
          <t>MORA</t>
        </is>
      </c>
      <c r="G375" t="n">
        <v>2.9</v>
      </c>
      <c r="H375" t="n">
        <v>0</v>
      </c>
      <c r="I375" t="n">
        <v>0</v>
      </c>
      <c r="J375" t="n">
        <v>0</v>
      </c>
      <c r="K375" t="n">
        <v>0</v>
      </c>
      <c r="L375" t="n">
        <v>0</v>
      </c>
      <c r="M375" t="n">
        <v>0</v>
      </c>
      <c r="N375" t="n">
        <v>0</v>
      </c>
      <c r="O375" t="n">
        <v>0</v>
      </c>
      <c r="P375" t="n">
        <v>0</v>
      </c>
      <c r="Q375" t="n">
        <v>0</v>
      </c>
      <c r="R375" s="2" t="inlineStr"/>
    </row>
    <row r="376" ht="15" customHeight="1">
      <c r="A376" t="inlineStr">
        <is>
          <t>A 18139-2025</t>
        </is>
      </c>
      <c r="B376" s="1" t="n">
        <v>45761</v>
      </c>
      <c r="C376" s="1" t="n">
        <v>46194</v>
      </c>
      <c r="D376" t="inlineStr">
        <is>
          <t>DALARNAS LÄN</t>
        </is>
      </c>
      <c r="E376" t="inlineStr">
        <is>
          <t>MORA</t>
        </is>
      </c>
      <c r="F376" t="inlineStr">
        <is>
          <t>Bergvik skog öst AB</t>
        </is>
      </c>
      <c r="G376" t="n">
        <v>3</v>
      </c>
      <c r="H376" t="n">
        <v>0</v>
      </c>
      <c r="I376" t="n">
        <v>0</v>
      </c>
      <c r="J376" t="n">
        <v>0</v>
      </c>
      <c r="K376" t="n">
        <v>0</v>
      </c>
      <c r="L376" t="n">
        <v>0</v>
      </c>
      <c r="M376" t="n">
        <v>0</v>
      </c>
      <c r="N376" t="n">
        <v>0</v>
      </c>
      <c r="O376" t="n">
        <v>0</v>
      </c>
      <c r="P376" t="n">
        <v>0</v>
      </c>
      <c r="Q376" t="n">
        <v>0</v>
      </c>
      <c r="R376" s="2" t="inlineStr"/>
    </row>
    <row r="377" ht="15" customHeight="1">
      <c r="A377" t="inlineStr">
        <is>
          <t>A 56425-2024</t>
        </is>
      </c>
      <c r="B377" s="1" t="n">
        <v>45625</v>
      </c>
      <c r="C377" s="1" t="n">
        <v>46194</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20649-2026</t>
        </is>
      </c>
      <c r="B378" s="1" t="n">
        <v>46141</v>
      </c>
      <c r="C378" s="1" t="n">
        <v>46194</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20655-2026</t>
        </is>
      </c>
      <c r="B379" s="1" t="n">
        <v>46141</v>
      </c>
      <c r="C379" s="1" t="n">
        <v>46194</v>
      </c>
      <c r="D379" t="inlineStr">
        <is>
          <t>DALARNAS LÄN</t>
        </is>
      </c>
      <c r="E379" t="inlineStr">
        <is>
          <t>MORA</t>
        </is>
      </c>
      <c r="G379" t="n">
        <v>0.7</v>
      </c>
      <c r="H379" t="n">
        <v>0</v>
      </c>
      <c r="I379" t="n">
        <v>0</v>
      </c>
      <c r="J379" t="n">
        <v>0</v>
      </c>
      <c r="K379" t="n">
        <v>0</v>
      </c>
      <c r="L379" t="n">
        <v>0</v>
      </c>
      <c r="M379" t="n">
        <v>0</v>
      </c>
      <c r="N379" t="n">
        <v>0</v>
      </c>
      <c r="O379" t="n">
        <v>0</v>
      </c>
      <c r="P379" t="n">
        <v>0</v>
      </c>
      <c r="Q379" t="n">
        <v>0</v>
      </c>
      <c r="R379" s="2" t="inlineStr"/>
    </row>
    <row r="380" ht="15" customHeight="1">
      <c r="A380" t="inlineStr">
        <is>
          <t>A 25499-2024</t>
        </is>
      </c>
      <c r="B380" s="1" t="n">
        <v>45463</v>
      </c>
      <c r="C380" s="1" t="n">
        <v>46194</v>
      </c>
      <c r="D380" t="inlineStr">
        <is>
          <t>DALARNAS LÄN</t>
        </is>
      </c>
      <c r="E380" t="inlineStr">
        <is>
          <t>MORA</t>
        </is>
      </c>
      <c r="G380" t="n">
        <v>0.8</v>
      </c>
      <c r="H380" t="n">
        <v>0</v>
      </c>
      <c r="I380" t="n">
        <v>0</v>
      </c>
      <c r="J380" t="n">
        <v>0</v>
      </c>
      <c r="K380" t="n">
        <v>0</v>
      </c>
      <c r="L380" t="n">
        <v>0</v>
      </c>
      <c r="M380" t="n">
        <v>0</v>
      </c>
      <c r="N380" t="n">
        <v>0</v>
      </c>
      <c r="O380" t="n">
        <v>0</v>
      </c>
      <c r="P380" t="n">
        <v>0</v>
      </c>
      <c r="Q380" t="n">
        <v>0</v>
      </c>
      <c r="R380" s="2" t="inlineStr"/>
    </row>
    <row r="381" ht="15" customHeight="1">
      <c r="A381" t="inlineStr">
        <is>
          <t>A 30819-2024</t>
        </is>
      </c>
      <c r="B381" s="1" t="n">
        <v>45497</v>
      </c>
      <c r="C381" s="1" t="n">
        <v>46194</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26532-2025</t>
        </is>
      </c>
      <c r="B382" s="1" t="n">
        <v>45807</v>
      </c>
      <c r="C382" s="1" t="n">
        <v>46194</v>
      </c>
      <c r="D382" t="inlineStr">
        <is>
          <t>DALARNAS LÄN</t>
        </is>
      </c>
      <c r="E382" t="inlineStr">
        <is>
          <t>MORA</t>
        </is>
      </c>
      <c r="G382" t="n">
        <v>4.4</v>
      </c>
      <c r="H382" t="n">
        <v>0</v>
      </c>
      <c r="I382" t="n">
        <v>0</v>
      </c>
      <c r="J382" t="n">
        <v>0</v>
      </c>
      <c r="K382" t="n">
        <v>0</v>
      </c>
      <c r="L382" t="n">
        <v>0</v>
      </c>
      <c r="M382" t="n">
        <v>0</v>
      </c>
      <c r="N382" t="n">
        <v>0</v>
      </c>
      <c r="O382" t="n">
        <v>0</v>
      </c>
      <c r="P382" t="n">
        <v>0</v>
      </c>
      <c r="Q382" t="n">
        <v>0</v>
      </c>
      <c r="R382" s="2" t="inlineStr"/>
    </row>
    <row r="383" ht="15" customHeight="1">
      <c r="A383" t="inlineStr">
        <is>
          <t>A 20885-2024</t>
        </is>
      </c>
      <c r="B383" s="1" t="n">
        <v>45439</v>
      </c>
      <c r="C383" s="1" t="n">
        <v>46194</v>
      </c>
      <c r="D383" t="inlineStr">
        <is>
          <t>DALARNAS LÄN</t>
        </is>
      </c>
      <c r="E383" t="inlineStr">
        <is>
          <t>MORA</t>
        </is>
      </c>
      <c r="G383" t="n">
        <v>5</v>
      </c>
      <c r="H383" t="n">
        <v>0</v>
      </c>
      <c r="I383" t="n">
        <v>0</v>
      </c>
      <c r="J383" t="n">
        <v>0</v>
      </c>
      <c r="K383" t="n">
        <v>0</v>
      </c>
      <c r="L383" t="n">
        <v>0</v>
      </c>
      <c r="M383" t="n">
        <v>0</v>
      </c>
      <c r="N383" t="n">
        <v>0</v>
      </c>
      <c r="O383" t="n">
        <v>0</v>
      </c>
      <c r="P383" t="n">
        <v>0</v>
      </c>
      <c r="Q383" t="n">
        <v>0</v>
      </c>
      <c r="R383" s="2" t="inlineStr"/>
    </row>
    <row r="384" ht="15" customHeight="1">
      <c r="A384" t="inlineStr">
        <is>
          <t>A 53150-2025</t>
        </is>
      </c>
      <c r="B384" s="1" t="n">
        <v>45958</v>
      </c>
      <c r="C384" s="1" t="n">
        <v>46194</v>
      </c>
      <c r="D384" t="inlineStr">
        <is>
          <t>DALARNAS LÄN</t>
        </is>
      </c>
      <c r="E384" t="inlineStr">
        <is>
          <t>MORA</t>
        </is>
      </c>
      <c r="F384" t="inlineStr">
        <is>
          <t>Bergvik skog öst AB</t>
        </is>
      </c>
      <c r="G384" t="n">
        <v>0.8</v>
      </c>
      <c r="H384" t="n">
        <v>0</v>
      </c>
      <c r="I384" t="n">
        <v>0</v>
      </c>
      <c r="J384" t="n">
        <v>0</v>
      </c>
      <c r="K384" t="n">
        <v>0</v>
      </c>
      <c r="L384" t="n">
        <v>0</v>
      </c>
      <c r="M384" t="n">
        <v>0</v>
      </c>
      <c r="N384" t="n">
        <v>0</v>
      </c>
      <c r="O384" t="n">
        <v>0</v>
      </c>
      <c r="P384" t="n">
        <v>0</v>
      </c>
      <c r="Q384" t="n">
        <v>0</v>
      </c>
      <c r="R384" s="2" t="inlineStr"/>
    </row>
    <row r="385" ht="15" customHeight="1">
      <c r="A385" t="inlineStr">
        <is>
          <t>A 61405-2023</t>
        </is>
      </c>
      <c r="B385" s="1" t="n">
        <v>45264</v>
      </c>
      <c r="C385" s="1" t="n">
        <v>46194</v>
      </c>
      <c r="D385" t="inlineStr">
        <is>
          <t>DALARNAS LÄN</t>
        </is>
      </c>
      <c r="E385" t="inlineStr">
        <is>
          <t>MORA</t>
        </is>
      </c>
      <c r="G385" t="n">
        <v>0.4</v>
      </c>
      <c r="H385" t="n">
        <v>0</v>
      </c>
      <c r="I385" t="n">
        <v>0</v>
      </c>
      <c r="J385" t="n">
        <v>0</v>
      </c>
      <c r="K385" t="n">
        <v>0</v>
      </c>
      <c r="L385" t="n">
        <v>0</v>
      </c>
      <c r="M385" t="n">
        <v>0</v>
      </c>
      <c r="N385" t="n">
        <v>0</v>
      </c>
      <c r="O385" t="n">
        <v>0</v>
      </c>
      <c r="P385" t="n">
        <v>0</v>
      </c>
      <c r="Q385" t="n">
        <v>0</v>
      </c>
      <c r="R385" s="2" t="inlineStr"/>
    </row>
    <row r="386" ht="15" customHeight="1">
      <c r="A386" t="inlineStr">
        <is>
          <t>A 53151-2025</t>
        </is>
      </c>
      <c r="B386" s="1" t="n">
        <v>45958</v>
      </c>
      <c r="C386" s="1" t="n">
        <v>46194</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57475-2022</t>
        </is>
      </c>
      <c r="B387" s="1" t="n">
        <v>44896</v>
      </c>
      <c r="C387" s="1" t="n">
        <v>46194</v>
      </c>
      <c r="D387" t="inlineStr">
        <is>
          <t>DALARNAS LÄN</t>
        </is>
      </c>
      <c r="E387" t="inlineStr">
        <is>
          <t>MORA</t>
        </is>
      </c>
      <c r="G387" t="n">
        <v>5.7</v>
      </c>
      <c r="H387" t="n">
        <v>0</v>
      </c>
      <c r="I387" t="n">
        <v>0</v>
      </c>
      <c r="J387" t="n">
        <v>0</v>
      </c>
      <c r="K387" t="n">
        <v>0</v>
      </c>
      <c r="L387" t="n">
        <v>0</v>
      </c>
      <c r="M387" t="n">
        <v>0</v>
      </c>
      <c r="N387" t="n">
        <v>0</v>
      </c>
      <c r="O387" t="n">
        <v>0</v>
      </c>
      <c r="P387" t="n">
        <v>0</v>
      </c>
      <c r="Q387" t="n">
        <v>0</v>
      </c>
      <c r="R387" s="2" t="inlineStr"/>
    </row>
    <row r="388" ht="15" customHeight="1">
      <c r="A388" t="inlineStr">
        <is>
          <t>A 53591-2025</t>
        </is>
      </c>
      <c r="B388" s="1" t="n">
        <v>45960</v>
      </c>
      <c r="C388" s="1" t="n">
        <v>46194</v>
      </c>
      <c r="D388" t="inlineStr">
        <is>
          <t>DALARNAS LÄN</t>
        </is>
      </c>
      <c r="E388" t="inlineStr">
        <is>
          <t>MORA</t>
        </is>
      </c>
      <c r="G388" t="n">
        <v>3.8</v>
      </c>
      <c r="H388" t="n">
        <v>0</v>
      </c>
      <c r="I388" t="n">
        <v>0</v>
      </c>
      <c r="J388" t="n">
        <v>0</v>
      </c>
      <c r="K388" t="n">
        <v>0</v>
      </c>
      <c r="L388" t="n">
        <v>0</v>
      </c>
      <c r="M388" t="n">
        <v>0</v>
      </c>
      <c r="N388" t="n">
        <v>0</v>
      </c>
      <c r="O388" t="n">
        <v>0</v>
      </c>
      <c r="P388" t="n">
        <v>0</v>
      </c>
      <c r="Q388" t="n">
        <v>0</v>
      </c>
      <c r="R388" s="2" t="inlineStr"/>
    </row>
    <row r="389" ht="15" customHeight="1">
      <c r="A389" t="inlineStr">
        <is>
          <t>A 53632-2025</t>
        </is>
      </c>
      <c r="B389" s="1" t="n">
        <v>45960</v>
      </c>
      <c r="C389" s="1" t="n">
        <v>46194</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53565-2025</t>
        </is>
      </c>
      <c r="B390" s="1" t="n">
        <v>45960</v>
      </c>
      <c r="C390" s="1" t="n">
        <v>46194</v>
      </c>
      <c r="D390" t="inlineStr">
        <is>
          <t>DALARNAS LÄN</t>
        </is>
      </c>
      <c r="E390" t="inlineStr">
        <is>
          <t>MORA</t>
        </is>
      </c>
      <c r="G390" t="n">
        <v>5.1</v>
      </c>
      <c r="H390" t="n">
        <v>0</v>
      </c>
      <c r="I390" t="n">
        <v>0</v>
      </c>
      <c r="J390" t="n">
        <v>0</v>
      </c>
      <c r="K390" t="n">
        <v>0</v>
      </c>
      <c r="L390" t="n">
        <v>0</v>
      </c>
      <c r="M390" t="n">
        <v>0</v>
      </c>
      <c r="N390" t="n">
        <v>0</v>
      </c>
      <c r="O390" t="n">
        <v>0</v>
      </c>
      <c r="P390" t="n">
        <v>0</v>
      </c>
      <c r="Q390" t="n">
        <v>0</v>
      </c>
      <c r="R390" s="2" t="inlineStr"/>
    </row>
    <row r="391" ht="15" customHeight="1">
      <c r="A391" t="inlineStr">
        <is>
          <t>A 26827-2026</t>
        </is>
      </c>
      <c r="B391" s="1" t="n">
        <v>46185</v>
      </c>
      <c r="C391" s="1" t="n">
        <v>46194</v>
      </c>
      <c r="D391" t="inlineStr">
        <is>
          <t>DALARNAS LÄN</t>
        </is>
      </c>
      <c r="E391" t="inlineStr">
        <is>
          <t>MORA</t>
        </is>
      </c>
      <c r="F391" t="inlineStr">
        <is>
          <t>Bergvik skog öst AB</t>
        </is>
      </c>
      <c r="G391" t="n">
        <v>2.9</v>
      </c>
      <c r="H391" t="n">
        <v>0</v>
      </c>
      <c r="I391" t="n">
        <v>0</v>
      </c>
      <c r="J391" t="n">
        <v>0</v>
      </c>
      <c r="K391" t="n">
        <v>0</v>
      </c>
      <c r="L391" t="n">
        <v>0</v>
      </c>
      <c r="M391" t="n">
        <v>0</v>
      </c>
      <c r="N391" t="n">
        <v>0</v>
      </c>
      <c r="O391" t="n">
        <v>0</v>
      </c>
      <c r="P391" t="n">
        <v>0</v>
      </c>
      <c r="Q391" t="n">
        <v>0</v>
      </c>
      <c r="R391" s="2" t="inlineStr"/>
    </row>
    <row r="392" ht="15" customHeight="1">
      <c r="A392" t="inlineStr">
        <is>
          <t>A 53556-2025</t>
        </is>
      </c>
      <c r="B392" s="1" t="n">
        <v>45960</v>
      </c>
      <c r="C392" s="1" t="n">
        <v>46194</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53560-2025</t>
        </is>
      </c>
      <c r="B393" s="1" t="n">
        <v>45960</v>
      </c>
      <c r="C393" s="1" t="n">
        <v>46194</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53562-2025</t>
        </is>
      </c>
      <c r="B394" s="1" t="n">
        <v>45960</v>
      </c>
      <c r="C394" s="1" t="n">
        <v>46194</v>
      </c>
      <c r="D394" t="inlineStr">
        <is>
          <t>DALARNAS LÄN</t>
        </is>
      </c>
      <c r="E394" t="inlineStr">
        <is>
          <t>MORA</t>
        </is>
      </c>
      <c r="G394" t="n">
        <v>5.1</v>
      </c>
      <c r="H394" t="n">
        <v>0</v>
      </c>
      <c r="I394" t="n">
        <v>0</v>
      </c>
      <c r="J394" t="n">
        <v>0</v>
      </c>
      <c r="K394" t="n">
        <v>0</v>
      </c>
      <c r="L394" t="n">
        <v>0</v>
      </c>
      <c r="M394" t="n">
        <v>0</v>
      </c>
      <c r="N394" t="n">
        <v>0</v>
      </c>
      <c r="O394" t="n">
        <v>0</v>
      </c>
      <c r="P394" t="n">
        <v>0</v>
      </c>
      <c r="Q394" t="n">
        <v>0</v>
      </c>
      <c r="R394" s="2" t="inlineStr"/>
    </row>
    <row r="395" ht="15" customHeight="1">
      <c r="A395" t="inlineStr">
        <is>
          <t>A 26731-2025</t>
        </is>
      </c>
      <c r="B395" s="1" t="n">
        <v>45810</v>
      </c>
      <c r="C395" s="1" t="n">
        <v>46194</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26711-2025</t>
        </is>
      </c>
      <c r="B396" s="1" t="n">
        <v>45810</v>
      </c>
      <c r="C396" s="1" t="n">
        <v>46194</v>
      </c>
      <c r="D396" t="inlineStr">
        <is>
          <t>DALARNAS LÄN</t>
        </is>
      </c>
      <c r="E396" t="inlineStr">
        <is>
          <t>MORA</t>
        </is>
      </c>
      <c r="G396" t="n">
        <v>0.5</v>
      </c>
      <c r="H396" t="n">
        <v>0</v>
      </c>
      <c r="I396" t="n">
        <v>0</v>
      </c>
      <c r="J396" t="n">
        <v>0</v>
      </c>
      <c r="K396" t="n">
        <v>0</v>
      </c>
      <c r="L396" t="n">
        <v>0</v>
      </c>
      <c r="M396" t="n">
        <v>0</v>
      </c>
      <c r="N396" t="n">
        <v>0</v>
      </c>
      <c r="O396" t="n">
        <v>0</v>
      </c>
      <c r="P396" t="n">
        <v>0</v>
      </c>
      <c r="Q396" t="n">
        <v>0</v>
      </c>
      <c r="R396" s="2" t="inlineStr"/>
    </row>
    <row r="397" ht="15" customHeight="1">
      <c r="A397" t="inlineStr">
        <is>
          <t>A 17280-2025</t>
        </is>
      </c>
      <c r="B397" s="1" t="n">
        <v>45756</v>
      </c>
      <c r="C397" s="1" t="n">
        <v>46194</v>
      </c>
      <c r="D397" t="inlineStr">
        <is>
          <t>DALARNAS LÄN</t>
        </is>
      </c>
      <c r="E397" t="inlineStr">
        <is>
          <t>MORA</t>
        </is>
      </c>
      <c r="G397" t="n">
        <v>2.1</v>
      </c>
      <c r="H397" t="n">
        <v>0</v>
      </c>
      <c r="I397" t="n">
        <v>0</v>
      </c>
      <c r="J397" t="n">
        <v>0</v>
      </c>
      <c r="K397" t="n">
        <v>0</v>
      </c>
      <c r="L397" t="n">
        <v>0</v>
      </c>
      <c r="M397" t="n">
        <v>0</v>
      </c>
      <c r="N397" t="n">
        <v>0</v>
      </c>
      <c r="O397" t="n">
        <v>0</v>
      </c>
      <c r="P397" t="n">
        <v>0</v>
      </c>
      <c r="Q397" t="n">
        <v>0</v>
      </c>
      <c r="R397" s="2" t="inlineStr"/>
    </row>
    <row r="398" ht="15" customHeight="1">
      <c r="A398" t="inlineStr">
        <is>
          <t>A 27194-2025</t>
        </is>
      </c>
      <c r="B398" s="1" t="n">
        <v>45812</v>
      </c>
      <c r="C398" s="1" t="n">
        <v>46194</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14611-2025</t>
        </is>
      </c>
      <c r="B399" s="1" t="n">
        <v>45742</v>
      </c>
      <c r="C399" s="1" t="n">
        <v>46194</v>
      </c>
      <c r="D399" t="inlineStr">
        <is>
          <t>DALARNAS LÄN</t>
        </is>
      </c>
      <c r="E399" t="inlineStr">
        <is>
          <t>MORA</t>
        </is>
      </c>
      <c r="F399" t="inlineStr">
        <is>
          <t>Bergvik skog väst AB</t>
        </is>
      </c>
      <c r="G399" t="n">
        <v>2.9</v>
      </c>
      <c r="H399" t="n">
        <v>0</v>
      </c>
      <c r="I399" t="n">
        <v>0</v>
      </c>
      <c r="J399" t="n">
        <v>0</v>
      </c>
      <c r="K399" t="n">
        <v>0</v>
      </c>
      <c r="L399" t="n">
        <v>0</v>
      </c>
      <c r="M399" t="n">
        <v>0</v>
      </c>
      <c r="N399" t="n">
        <v>0</v>
      </c>
      <c r="O399" t="n">
        <v>0</v>
      </c>
      <c r="P399" t="n">
        <v>0</v>
      </c>
      <c r="Q399" t="n">
        <v>0</v>
      </c>
      <c r="R399" s="2" t="inlineStr"/>
    </row>
    <row r="400" ht="15" customHeight="1">
      <c r="A400" t="inlineStr">
        <is>
          <t>A 20400-2026</t>
        </is>
      </c>
      <c r="B400" s="1" t="n">
        <v>46139</v>
      </c>
      <c r="C400" s="1" t="n">
        <v>46194</v>
      </c>
      <c r="D400" t="inlineStr">
        <is>
          <t>DALARNAS LÄN</t>
        </is>
      </c>
      <c r="E400" t="inlineStr">
        <is>
          <t>MORA</t>
        </is>
      </c>
      <c r="F400" t="inlineStr">
        <is>
          <t>Bergvik skog öst AB</t>
        </is>
      </c>
      <c r="G400" t="n">
        <v>3.8</v>
      </c>
      <c r="H400" t="n">
        <v>0</v>
      </c>
      <c r="I400" t="n">
        <v>0</v>
      </c>
      <c r="J400" t="n">
        <v>0</v>
      </c>
      <c r="K400" t="n">
        <v>0</v>
      </c>
      <c r="L400" t="n">
        <v>0</v>
      </c>
      <c r="M400" t="n">
        <v>0</v>
      </c>
      <c r="N400" t="n">
        <v>0</v>
      </c>
      <c r="O400" t="n">
        <v>0</v>
      </c>
      <c r="P400" t="n">
        <v>0</v>
      </c>
      <c r="Q400" t="n">
        <v>0</v>
      </c>
      <c r="R400" s="2" t="inlineStr"/>
    </row>
    <row r="401" ht="15" customHeight="1">
      <c r="A401" t="inlineStr">
        <is>
          <t>A 53982-2025</t>
        </is>
      </c>
      <c r="B401" s="1" t="n">
        <v>45961</v>
      </c>
      <c r="C401" s="1" t="n">
        <v>46194</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7565-2025</t>
        </is>
      </c>
      <c r="B402" s="1" t="n">
        <v>45705</v>
      </c>
      <c r="C402" s="1" t="n">
        <v>46194</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27184-2025</t>
        </is>
      </c>
      <c r="B403" s="1" t="n">
        <v>45812</v>
      </c>
      <c r="C403" s="1" t="n">
        <v>46194</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v>
      </c>
      <c r="C404" s="1" t="n">
        <v>46194</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54367-2025</t>
        </is>
      </c>
      <c r="B405" s="1" t="n">
        <v>45965</v>
      </c>
      <c r="C405" s="1" t="n">
        <v>46194</v>
      </c>
      <c r="D405" t="inlineStr">
        <is>
          <t>DALARNAS LÄN</t>
        </is>
      </c>
      <c r="E405" t="inlineStr">
        <is>
          <t>MORA</t>
        </is>
      </c>
      <c r="G405" t="n">
        <v>7</v>
      </c>
      <c r="H405" t="n">
        <v>0</v>
      </c>
      <c r="I405" t="n">
        <v>0</v>
      </c>
      <c r="J405" t="n">
        <v>0</v>
      </c>
      <c r="K405" t="n">
        <v>0</v>
      </c>
      <c r="L405" t="n">
        <v>0</v>
      </c>
      <c r="M405" t="n">
        <v>0</v>
      </c>
      <c r="N405" t="n">
        <v>0</v>
      </c>
      <c r="O405" t="n">
        <v>0</v>
      </c>
      <c r="P405" t="n">
        <v>0</v>
      </c>
      <c r="Q405" t="n">
        <v>0</v>
      </c>
      <c r="R405" s="2" t="inlineStr"/>
    </row>
    <row r="406" ht="15" customHeight="1">
      <c r="A406" t="inlineStr">
        <is>
          <t>A 27642-2025</t>
        </is>
      </c>
      <c r="B406" s="1" t="n">
        <v>45813</v>
      </c>
      <c r="C406" s="1" t="n">
        <v>46194</v>
      </c>
      <c r="D406" t="inlineStr">
        <is>
          <t>DALARNAS LÄN</t>
        </is>
      </c>
      <c r="E406" t="inlineStr">
        <is>
          <t>MORA</t>
        </is>
      </c>
      <c r="G406" t="n">
        <v>2.5</v>
      </c>
      <c r="H406" t="n">
        <v>0</v>
      </c>
      <c r="I406" t="n">
        <v>0</v>
      </c>
      <c r="J406" t="n">
        <v>0</v>
      </c>
      <c r="K406" t="n">
        <v>0</v>
      </c>
      <c r="L406" t="n">
        <v>0</v>
      </c>
      <c r="M406" t="n">
        <v>0</v>
      </c>
      <c r="N406" t="n">
        <v>0</v>
      </c>
      <c r="O406" t="n">
        <v>0</v>
      </c>
      <c r="P406" t="n">
        <v>0</v>
      </c>
      <c r="Q406" t="n">
        <v>0</v>
      </c>
      <c r="R406" s="2" t="inlineStr"/>
    </row>
    <row r="407" ht="15" customHeight="1">
      <c r="A407" t="inlineStr">
        <is>
          <t>A 7116-2024</t>
        </is>
      </c>
      <c r="B407" s="1" t="n">
        <v>45343</v>
      </c>
      <c r="C407" s="1" t="n">
        <v>46194</v>
      </c>
      <c r="D407" t="inlineStr">
        <is>
          <t>DALARNAS LÄN</t>
        </is>
      </c>
      <c r="E407" t="inlineStr">
        <is>
          <t>MORA</t>
        </is>
      </c>
      <c r="G407" t="n">
        <v>0.3</v>
      </c>
      <c r="H407" t="n">
        <v>0</v>
      </c>
      <c r="I407" t="n">
        <v>0</v>
      </c>
      <c r="J407" t="n">
        <v>0</v>
      </c>
      <c r="K407" t="n">
        <v>0</v>
      </c>
      <c r="L407" t="n">
        <v>0</v>
      </c>
      <c r="M407" t="n">
        <v>0</v>
      </c>
      <c r="N407" t="n">
        <v>0</v>
      </c>
      <c r="O407" t="n">
        <v>0</v>
      </c>
      <c r="P407" t="n">
        <v>0</v>
      </c>
      <c r="Q407" t="n">
        <v>0</v>
      </c>
      <c r="R407" s="2" t="inlineStr"/>
    </row>
    <row r="408" ht="15" customHeight="1">
      <c r="A408" t="inlineStr">
        <is>
          <t>A 59995-2023</t>
        </is>
      </c>
      <c r="B408" s="1" t="n">
        <v>45254</v>
      </c>
      <c r="C408" s="1" t="n">
        <v>46194</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13479-2024</t>
        </is>
      </c>
      <c r="B409" s="1" t="n">
        <v>45387</v>
      </c>
      <c r="C409" s="1" t="n">
        <v>46194</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41812-2024</t>
        </is>
      </c>
      <c r="B410" s="1" t="n">
        <v>45561</v>
      </c>
      <c r="C410" s="1" t="n">
        <v>46194</v>
      </c>
      <c r="D410" t="inlineStr">
        <is>
          <t>DALARNAS LÄN</t>
        </is>
      </c>
      <c r="E410" t="inlineStr">
        <is>
          <t>MORA</t>
        </is>
      </c>
      <c r="G410" t="n">
        <v>2.2</v>
      </c>
      <c r="H410" t="n">
        <v>0</v>
      </c>
      <c r="I410" t="n">
        <v>0</v>
      </c>
      <c r="J410" t="n">
        <v>0</v>
      </c>
      <c r="K410" t="n">
        <v>0</v>
      </c>
      <c r="L410" t="n">
        <v>0</v>
      </c>
      <c r="M410" t="n">
        <v>0</v>
      </c>
      <c r="N410" t="n">
        <v>0</v>
      </c>
      <c r="O410" t="n">
        <v>0</v>
      </c>
      <c r="P410" t="n">
        <v>0</v>
      </c>
      <c r="Q410" t="n">
        <v>0</v>
      </c>
      <c r="R410" s="2" t="inlineStr"/>
    </row>
    <row r="411" ht="15" customHeight="1">
      <c r="A411" t="inlineStr">
        <is>
          <t>A 55124-2025</t>
        </is>
      </c>
      <c r="B411" s="1" t="n">
        <v>45968</v>
      </c>
      <c r="C411" s="1" t="n">
        <v>46194</v>
      </c>
      <c r="D411" t="inlineStr">
        <is>
          <t>DALARNAS LÄN</t>
        </is>
      </c>
      <c r="E411" t="inlineStr">
        <is>
          <t>MORA</t>
        </is>
      </c>
      <c r="G411" t="n">
        <v>1.2</v>
      </c>
      <c r="H411" t="n">
        <v>0</v>
      </c>
      <c r="I411" t="n">
        <v>0</v>
      </c>
      <c r="J411" t="n">
        <v>0</v>
      </c>
      <c r="K411" t="n">
        <v>0</v>
      </c>
      <c r="L411" t="n">
        <v>0</v>
      </c>
      <c r="M411" t="n">
        <v>0</v>
      </c>
      <c r="N411" t="n">
        <v>0</v>
      </c>
      <c r="O411" t="n">
        <v>0</v>
      </c>
      <c r="P411" t="n">
        <v>0</v>
      </c>
      <c r="Q411" t="n">
        <v>0</v>
      </c>
      <c r="R411" s="2" t="inlineStr"/>
    </row>
    <row r="412" ht="15" customHeight="1">
      <c r="A412" t="inlineStr">
        <is>
          <t>A 60465-2023</t>
        </is>
      </c>
      <c r="B412" s="1" t="n">
        <v>45259</v>
      </c>
      <c r="C412" s="1" t="n">
        <v>46194</v>
      </c>
      <c r="D412" t="inlineStr">
        <is>
          <t>DALARNAS LÄN</t>
        </is>
      </c>
      <c r="E412" t="inlineStr">
        <is>
          <t>MORA</t>
        </is>
      </c>
      <c r="G412" t="n">
        <v>1.3</v>
      </c>
      <c r="H412" t="n">
        <v>0</v>
      </c>
      <c r="I412" t="n">
        <v>0</v>
      </c>
      <c r="J412" t="n">
        <v>0</v>
      </c>
      <c r="K412" t="n">
        <v>0</v>
      </c>
      <c r="L412" t="n">
        <v>0</v>
      </c>
      <c r="M412" t="n">
        <v>0</v>
      </c>
      <c r="N412" t="n">
        <v>0</v>
      </c>
      <c r="O412" t="n">
        <v>0</v>
      </c>
      <c r="P412" t="n">
        <v>0</v>
      </c>
      <c r="Q412" t="n">
        <v>0</v>
      </c>
      <c r="R412" s="2" t="inlineStr"/>
    </row>
    <row r="413" ht="15" customHeight="1">
      <c r="A413" t="inlineStr">
        <is>
          <t>A 33676-2023</t>
        </is>
      </c>
      <c r="B413" s="1" t="n">
        <v>45132</v>
      </c>
      <c r="C413" s="1" t="n">
        <v>46194</v>
      </c>
      <c r="D413" t="inlineStr">
        <is>
          <t>DALARNAS LÄN</t>
        </is>
      </c>
      <c r="E413" t="inlineStr">
        <is>
          <t>MORA</t>
        </is>
      </c>
      <c r="F413" t="inlineStr">
        <is>
          <t>Bergvik skog öst AB</t>
        </is>
      </c>
      <c r="G413" t="n">
        <v>2.7</v>
      </c>
      <c r="H413" t="n">
        <v>0</v>
      </c>
      <c r="I413" t="n">
        <v>0</v>
      </c>
      <c r="J413" t="n">
        <v>0</v>
      </c>
      <c r="K413" t="n">
        <v>0</v>
      </c>
      <c r="L413" t="n">
        <v>0</v>
      </c>
      <c r="M413" t="n">
        <v>0</v>
      </c>
      <c r="N413" t="n">
        <v>0</v>
      </c>
      <c r="O413" t="n">
        <v>0</v>
      </c>
      <c r="P413" t="n">
        <v>0</v>
      </c>
      <c r="Q413" t="n">
        <v>0</v>
      </c>
      <c r="R413" s="2" t="inlineStr"/>
    </row>
    <row r="414" ht="15" customHeight="1">
      <c r="A414" t="inlineStr">
        <is>
          <t>A 28751-2025</t>
        </is>
      </c>
      <c r="B414" s="1" t="n">
        <v>45820</v>
      </c>
      <c r="C414" s="1" t="n">
        <v>46194</v>
      </c>
      <c r="D414" t="inlineStr">
        <is>
          <t>DALARNAS LÄN</t>
        </is>
      </c>
      <c r="E414" t="inlineStr">
        <is>
          <t>MORA</t>
        </is>
      </c>
      <c r="F414" t="inlineStr">
        <is>
          <t>Bergvik skog öst AB</t>
        </is>
      </c>
      <c r="G414" t="n">
        <v>1</v>
      </c>
      <c r="H414" t="n">
        <v>0</v>
      </c>
      <c r="I414" t="n">
        <v>0</v>
      </c>
      <c r="J414" t="n">
        <v>0</v>
      </c>
      <c r="K414" t="n">
        <v>0</v>
      </c>
      <c r="L414" t="n">
        <v>0</v>
      </c>
      <c r="M414" t="n">
        <v>0</v>
      </c>
      <c r="N414" t="n">
        <v>0</v>
      </c>
      <c r="O414" t="n">
        <v>0</v>
      </c>
      <c r="P414" t="n">
        <v>0</v>
      </c>
      <c r="Q414" t="n">
        <v>0</v>
      </c>
      <c r="R414" s="2" t="inlineStr"/>
    </row>
    <row r="415" ht="15" customHeight="1">
      <c r="A415" t="inlineStr">
        <is>
          <t>A 5763-2026</t>
        </is>
      </c>
      <c r="B415" s="1" t="n">
        <v>46051</v>
      </c>
      <c r="C415" s="1" t="n">
        <v>46194</v>
      </c>
      <c r="D415" t="inlineStr">
        <is>
          <t>DALARNAS LÄN</t>
        </is>
      </c>
      <c r="E415" t="inlineStr">
        <is>
          <t>MORA</t>
        </is>
      </c>
      <c r="G415" t="n">
        <v>0.3</v>
      </c>
      <c r="H415" t="n">
        <v>0</v>
      </c>
      <c r="I415" t="n">
        <v>0</v>
      </c>
      <c r="J415" t="n">
        <v>0</v>
      </c>
      <c r="K415" t="n">
        <v>0</v>
      </c>
      <c r="L415" t="n">
        <v>0</v>
      </c>
      <c r="M415" t="n">
        <v>0</v>
      </c>
      <c r="N415" t="n">
        <v>0</v>
      </c>
      <c r="O415" t="n">
        <v>0</v>
      </c>
      <c r="P415" t="n">
        <v>0</v>
      </c>
      <c r="Q415" t="n">
        <v>0</v>
      </c>
      <c r="R415" s="2" t="inlineStr"/>
    </row>
    <row r="416" ht="15" customHeight="1">
      <c r="A416" t="inlineStr">
        <is>
          <t>A 54909-2025</t>
        </is>
      </c>
      <c r="B416" s="1" t="n">
        <v>45967</v>
      </c>
      <c r="C416" s="1" t="n">
        <v>46194</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54905-2025</t>
        </is>
      </c>
      <c r="B417" s="1" t="n">
        <v>45967</v>
      </c>
      <c r="C417" s="1" t="n">
        <v>46194</v>
      </c>
      <c r="D417" t="inlineStr">
        <is>
          <t>DALARNAS LÄN</t>
        </is>
      </c>
      <c r="E417" t="inlineStr">
        <is>
          <t>MORA</t>
        </is>
      </c>
      <c r="G417" t="n">
        <v>0.4</v>
      </c>
      <c r="H417" t="n">
        <v>0</v>
      </c>
      <c r="I417" t="n">
        <v>0</v>
      </c>
      <c r="J417" t="n">
        <v>0</v>
      </c>
      <c r="K417" t="n">
        <v>0</v>
      </c>
      <c r="L417" t="n">
        <v>0</v>
      </c>
      <c r="M417" t="n">
        <v>0</v>
      </c>
      <c r="N417" t="n">
        <v>0</v>
      </c>
      <c r="O417" t="n">
        <v>0</v>
      </c>
      <c r="P417" t="n">
        <v>0</v>
      </c>
      <c r="Q417" t="n">
        <v>0</v>
      </c>
      <c r="R417" s="2" t="inlineStr"/>
    </row>
    <row r="418" ht="15" customHeight="1">
      <c r="A418" t="inlineStr">
        <is>
          <t>A 29193-2023</t>
        </is>
      </c>
      <c r="B418" s="1" t="n">
        <v>45105</v>
      </c>
      <c r="C418" s="1" t="n">
        <v>46194</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28927-2025</t>
        </is>
      </c>
      <c r="B419" s="1" t="n">
        <v>45820</v>
      </c>
      <c r="C419" s="1" t="n">
        <v>46194</v>
      </c>
      <c r="D419" t="inlineStr">
        <is>
          <t>DALARNAS LÄN</t>
        </is>
      </c>
      <c r="E419" t="inlineStr">
        <is>
          <t>MORA</t>
        </is>
      </c>
      <c r="G419" t="n">
        <v>0.4</v>
      </c>
      <c r="H419" t="n">
        <v>0</v>
      </c>
      <c r="I419" t="n">
        <v>0</v>
      </c>
      <c r="J419" t="n">
        <v>0</v>
      </c>
      <c r="K419" t="n">
        <v>0</v>
      </c>
      <c r="L419" t="n">
        <v>0</v>
      </c>
      <c r="M419" t="n">
        <v>0</v>
      </c>
      <c r="N419" t="n">
        <v>0</v>
      </c>
      <c r="O419" t="n">
        <v>0</v>
      </c>
      <c r="P419" t="n">
        <v>0</v>
      </c>
      <c r="Q419" t="n">
        <v>0</v>
      </c>
      <c r="R419" s="2" t="inlineStr"/>
    </row>
    <row r="420" ht="15" customHeight="1">
      <c r="A420" t="inlineStr">
        <is>
          <t>A 54862-2025</t>
        </is>
      </c>
      <c r="B420" s="1" t="n">
        <v>45966</v>
      </c>
      <c r="C420" s="1" t="n">
        <v>46194</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28924-2025</t>
        </is>
      </c>
      <c r="B421" s="1" t="n">
        <v>45820</v>
      </c>
      <c r="C421" s="1" t="n">
        <v>46194</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35325-2024</t>
        </is>
      </c>
      <c r="B422" s="1" t="n">
        <v>45530</v>
      </c>
      <c r="C422" s="1" t="n">
        <v>46194</v>
      </c>
      <c r="D422" t="inlineStr">
        <is>
          <t>DALARNAS LÄN</t>
        </is>
      </c>
      <c r="E422" t="inlineStr">
        <is>
          <t>MORA</t>
        </is>
      </c>
      <c r="G422" t="n">
        <v>5</v>
      </c>
      <c r="H422" t="n">
        <v>0</v>
      </c>
      <c r="I422" t="n">
        <v>0</v>
      </c>
      <c r="J422" t="n">
        <v>0</v>
      </c>
      <c r="K422" t="n">
        <v>0</v>
      </c>
      <c r="L422" t="n">
        <v>0</v>
      </c>
      <c r="M422" t="n">
        <v>0</v>
      </c>
      <c r="N422" t="n">
        <v>0</v>
      </c>
      <c r="O422" t="n">
        <v>0</v>
      </c>
      <c r="P422" t="n">
        <v>0</v>
      </c>
      <c r="Q422" t="n">
        <v>0</v>
      </c>
      <c r="R422" s="2" t="inlineStr"/>
    </row>
    <row r="423" ht="15" customHeight="1">
      <c r="A423" t="inlineStr">
        <is>
          <t>A 28976-2025</t>
        </is>
      </c>
      <c r="B423" s="1" t="n">
        <v>45821</v>
      </c>
      <c r="C423" s="1" t="n">
        <v>46194</v>
      </c>
      <c r="D423" t="inlineStr">
        <is>
          <t>DALARNAS LÄN</t>
        </is>
      </c>
      <c r="E423" t="inlineStr">
        <is>
          <t>MORA</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6371-2022</t>
        </is>
      </c>
      <c r="B424" s="1" t="n">
        <v>44600</v>
      </c>
      <c r="C424" s="1" t="n">
        <v>46194</v>
      </c>
      <c r="D424" t="inlineStr">
        <is>
          <t>DALARNAS LÄN</t>
        </is>
      </c>
      <c r="E424" t="inlineStr">
        <is>
          <t>MORA</t>
        </is>
      </c>
      <c r="G424" t="n">
        <v>4.6</v>
      </c>
      <c r="H424" t="n">
        <v>0</v>
      </c>
      <c r="I424" t="n">
        <v>0</v>
      </c>
      <c r="J424" t="n">
        <v>0</v>
      </c>
      <c r="K424" t="n">
        <v>0</v>
      </c>
      <c r="L424" t="n">
        <v>0</v>
      </c>
      <c r="M424" t="n">
        <v>0</v>
      </c>
      <c r="N424" t="n">
        <v>0</v>
      </c>
      <c r="O424" t="n">
        <v>0</v>
      </c>
      <c r="P424" t="n">
        <v>0</v>
      </c>
      <c r="Q424" t="n">
        <v>0</v>
      </c>
      <c r="R424" s="2" t="inlineStr"/>
    </row>
    <row r="425" ht="15" customHeight="1">
      <c r="A425" t="inlineStr">
        <is>
          <t>A 29870-2025</t>
        </is>
      </c>
      <c r="B425" s="1" t="n">
        <v>45826</v>
      </c>
      <c r="C425" s="1" t="n">
        <v>46194</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29873-2025</t>
        </is>
      </c>
      <c r="B426" s="1" t="n">
        <v>45826</v>
      </c>
      <c r="C426" s="1" t="n">
        <v>46194</v>
      </c>
      <c r="D426" t="inlineStr">
        <is>
          <t>DALARNAS LÄN</t>
        </is>
      </c>
      <c r="E426" t="inlineStr">
        <is>
          <t>MORA</t>
        </is>
      </c>
      <c r="G426" t="n">
        <v>0.6</v>
      </c>
      <c r="H426" t="n">
        <v>0</v>
      </c>
      <c r="I426" t="n">
        <v>0</v>
      </c>
      <c r="J426" t="n">
        <v>0</v>
      </c>
      <c r="K426" t="n">
        <v>0</v>
      </c>
      <c r="L426" t="n">
        <v>0</v>
      </c>
      <c r="M426" t="n">
        <v>0</v>
      </c>
      <c r="N426" t="n">
        <v>0</v>
      </c>
      <c r="O426" t="n">
        <v>0</v>
      </c>
      <c r="P426" t="n">
        <v>0</v>
      </c>
      <c r="Q426" t="n">
        <v>0</v>
      </c>
      <c r="R426" s="2" t="inlineStr"/>
    </row>
    <row r="427" ht="15" customHeight="1">
      <c r="A427" t="inlineStr">
        <is>
          <t>A 64093-2023</t>
        </is>
      </c>
      <c r="B427" s="1" t="n">
        <v>45279</v>
      </c>
      <c r="C427" s="1" t="n">
        <v>46194</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29528-2025</t>
        </is>
      </c>
      <c r="B428" s="1" t="n">
        <v>45825</v>
      </c>
      <c r="C428" s="1" t="n">
        <v>46194</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37710-2023</t>
        </is>
      </c>
      <c r="B429" s="1" t="n">
        <v>45159</v>
      </c>
      <c r="C429" s="1" t="n">
        <v>46194</v>
      </c>
      <c r="D429" t="inlineStr">
        <is>
          <t>DALARNAS LÄN</t>
        </is>
      </c>
      <c r="E429" t="inlineStr">
        <is>
          <t>MORA</t>
        </is>
      </c>
      <c r="G429" t="n">
        <v>1.9</v>
      </c>
      <c r="H429" t="n">
        <v>0</v>
      </c>
      <c r="I429" t="n">
        <v>0</v>
      </c>
      <c r="J429" t="n">
        <v>0</v>
      </c>
      <c r="K429" t="n">
        <v>0</v>
      </c>
      <c r="L429" t="n">
        <v>0</v>
      </c>
      <c r="M429" t="n">
        <v>0</v>
      </c>
      <c r="N429" t="n">
        <v>0</v>
      </c>
      <c r="O429" t="n">
        <v>0</v>
      </c>
      <c r="P429" t="n">
        <v>0</v>
      </c>
      <c r="Q429" t="n">
        <v>0</v>
      </c>
      <c r="R429" s="2" t="inlineStr"/>
    </row>
    <row r="430" ht="15" customHeight="1">
      <c r="A430" t="inlineStr">
        <is>
          <t>A 14745-2026</t>
        </is>
      </c>
      <c r="B430" s="1" t="n">
        <v>46101</v>
      </c>
      <c r="C430" s="1" t="n">
        <v>46194</v>
      </c>
      <c r="D430" t="inlineStr">
        <is>
          <t>DALARNAS LÄN</t>
        </is>
      </c>
      <c r="E430" t="inlineStr">
        <is>
          <t>MORA</t>
        </is>
      </c>
      <c r="F430" t="inlineStr">
        <is>
          <t>Bergvik skog öst AB</t>
        </is>
      </c>
      <c r="G430" t="n">
        <v>10.9</v>
      </c>
      <c r="H430" t="n">
        <v>0</v>
      </c>
      <c r="I430" t="n">
        <v>0</v>
      </c>
      <c r="J430" t="n">
        <v>0</v>
      </c>
      <c r="K430" t="n">
        <v>0</v>
      </c>
      <c r="L430" t="n">
        <v>0</v>
      </c>
      <c r="M430" t="n">
        <v>0</v>
      </c>
      <c r="N430" t="n">
        <v>0</v>
      </c>
      <c r="O430" t="n">
        <v>0</v>
      </c>
      <c r="P430" t="n">
        <v>0</v>
      </c>
      <c r="Q430" t="n">
        <v>0</v>
      </c>
      <c r="R430" s="2" t="inlineStr"/>
    </row>
    <row r="431" ht="15" customHeight="1">
      <c r="A431" t="inlineStr">
        <is>
          <t>A 31395-2024</t>
        </is>
      </c>
      <c r="B431" s="1" t="n">
        <v>45505</v>
      </c>
      <c r="C431" s="1" t="n">
        <v>46194</v>
      </c>
      <c r="D431" t="inlineStr">
        <is>
          <t>DALARNAS LÄN</t>
        </is>
      </c>
      <c r="E431" t="inlineStr">
        <is>
          <t>MORA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30507-2025</t>
        </is>
      </c>
      <c r="B432" s="1" t="n">
        <v>45831</v>
      </c>
      <c r="C432" s="1" t="n">
        <v>46194</v>
      </c>
      <c r="D432" t="inlineStr">
        <is>
          <t>DALARNAS LÄN</t>
        </is>
      </c>
      <c r="E432" t="inlineStr">
        <is>
          <t>MORA</t>
        </is>
      </c>
      <c r="G432" t="n">
        <v>1.6</v>
      </c>
      <c r="H432" t="n">
        <v>0</v>
      </c>
      <c r="I432" t="n">
        <v>0</v>
      </c>
      <c r="J432" t="n">
        <v>0</v>
      </c>
      <c r="K432" t="n">
        <v>0</v>
      </c>
      <c r="L432" t="n">
        <v>0</v>
      </c>
      <c r="M432" t="n">
        <v>0</v>
      </c>
      <c r="N432" t="n">
        <v>0</v>
      </c>
      <c r="O432" t="n">
        <v>0</v>
      </c>
      <c r="P432" t="n">
        <v>0</v>
      </c>
      <c r="Q432" t="n">
        <v>0</v>
      </c>
      <c r="R432" s="2" t="inlineStr"/>
    </row>
    <row r="433" ht="15" customHeight="1">
      <c r="A433" t="inlineStr">
        <is>
          <t>A 38055-2024</t>
        </is>
      </c>
      <c r="B433" s="1" t="n">
        <v>45544</v>
      </c>
      <c r="C433" s="1" t="n">
        <v>46194</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35327-2024</t>
        </is>
      </c>
      <c r="B434" s="1" t="n">
        <v>45530</v>
      </c>
      <c r="C434" s="1" t="n">
        <v>46194</v>
      </c>
      <c r="D434" t="inlineStr">
        <is>
          <t>DALARNAS LÄN</t>
        </is>
      </c>
      <c r="E434" t="inlineStr">
        <is>
          <t>MORA</t>
        </is>
      </c>
      <c r="G434" t="n">
        <v>5</v>
      </c>
      <c r="H434" t="n">
        <v>0</v>
      </c>
      <c r="I434" t="n">
        <v>0</v>
      </c>
      <c r="J434" t="n">
        <v>0</v>
      </c>
      <c r="K434" t="n">
        <v>0</v>
      </c>
      <c r="L434" t="n">
        <v>0</v>
      </c>
      <c r="M434" t="n">
        <v>0</v>
      </c>
      <c r="N434" t="n">
        <v>0</v>
      </c>
      <c r="O434" t="n">
        <v>0</v>
      </c>
      <c r="P434" t="n">
        <v>0</v>
      </c>
      <c r="Q434" t="n">
        <v>0</v>
      </c>
      <c r="R434" s="2" t="inlineStr"/>
    </row>
    <row r="435" ht="15" customHeight="1">
      <c r="A435" t="inlineStr">
        <is>
          <t>A 5486-2023</t>
        </is>
      </c>
      <c r="B435" s="1" t="n">
        <v>44957</v>
      </c>
      <c r="C435" s="1" t="n">
        <v>46194</v>
      </c>
      <c r="D435" t="inlineStr">
        <is>
          <t>DALARNAS LÄN</t>
        </is>
      </c>
      <c r="E435" t="inlineStr">
        <is>
          <t>MORA</t>
        </is>
      </c>
      <c r="G435" t="n">
        <v>3.2</v>
      </c>
      <c r="H435" t="n">
        <v>0</v>
      </c>
      <c r="I435" t="n">
        <v>0</v>
      </c>
      <c r="J435" t="n">
        <v>0</v>
      </c>
      <c r="K435" t="n">
        <v>0</v>
      </c>
      <c r="L435" t="n">
        <v>0</v>
      </c>
      <c r="M435" t="n">
        <v>0</v>
      </c>
      <c r="N435" t="n">
        <v>0</v>
      </c>
      <c r="O435" t="n">
        <v>0</v>
      </c>
      <c r="P435" t="n">
        <v>0</v>
      </c>
      <c r="Q435" t="n">
        <v>0</v>
      </c>
      <c r="R435" s="2" t="inlineStr"/>
    </row>
    <row r="436" ht="15" customHeight="1">
      <c r="A436" t="inlineStr">
        <is>
          <t>A 20634-2026</t>
        </is>
      </c>
      <c r="B436" s="1" t="n">
        <v>46141</v>
      </c>
      <c r="C436" s="1" t="n">
        <v>46194</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30858-2025</t>
        </is>
      </c>
      <c r="B437" s="1" t="n">
        <v>45831</v>
      </c>
      <c r="C437" s="1" t="n">
        <v>46194</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30859-2025</t>
        </is>
      </c>
      <c r="B438" s="1" t="n">
        <v>45831</v>
      </c>
      <c r="C438" s="1" t="n">
        <v>46194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30509-2025</t>
        </is>
      </c>
      <c r="B439" s="1" t="n">
        <v>45831</v>
      </c>
      <c r="C439" s="1" t="n">
        <v>46194</v>
      </c>
      <c r="D439" t="inlineStr">
        <is>
          <t>DALARNAS LÄN</t>
        </is>
      </c>
      <c r="E439" t="inlineStr">
        <is>
          <t>MORA</t>
        </is>
      </c>
      <c r="G439" t="n">
        <v>1.7</v>
      </c>
      <c r="H439" t="n">
        <v>0</v>
      </c>
      <c r="I439" t="n">
        <v>0</v>
      </c>
      <c r="J439" t="n">
        <v>0</v>
      </c>
      <c r="K439" t="n">
        <v>0</v>
      </c>
      <c r="L439" t="n">
        <v>0</v>
      </c>
      <c r="M439" t="n">
        <v>0</v>
      </c>
      <c r="N439" t="n">
        <v>0</v>
      </c>
      <c r="O439" t="n">
        <v>0</v>
      </c>
      <c r="P439" t="n">
        <v>0</v>
      </c>
      <c r="Q439" t="n">
        <v>0</v>
      </c>
      <c r="R439" s="2" t="inlineStr"/>
    </row>
    <row r="440" ht="15" customHeight="1">
      <c r="A440" t="inlineStr">
        <is>
          <t>A 28934-2023</t>
        </is>
      </c>
      <c r="B440" s="1" t="n">
        <v>45104</v>
      </c>
      <c r="C440" s="1" t="n">
        <v>46194</v>
      </c>
      <c r="D440" t="inlineStr">
        <is>
          <t>DALARNAS LÄN</t>
        </is>
      </c>
      <c r="E440" t="inlineStr">
        <is>
          <t>MORA</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31929-2024</t>
        </is>
      </c>
      <c r="B441" s="1" t="n">
        <v>45510</v>
      </c>
      <c r="C441" s="1" t="n">
        <v>46194</v>
      </c>
      <c r="D441" t="inlineStr">
        <is>
          <t>DALARNAS LÄN</t>
        </is>
      </c>
      <c r="E441" t="inlineStr">
        <is>
          <t>MORA</t>
        </is>
      </c>
      <c r="G441" t="n">
        <v>10.8</v>
      </c>
      <c r="H441" t="n">
        <v>0</v>
      </c>
      <c r="I441" t="n">
        <v>0</v>
      </c>
      <c r="J441" t="n">
        <v>0</v>
      </c>
      <c r="K441" t="n">
        <v>0</v>
      </c>
      <c r="L441" t="n">
        <v>0</v>
      </c>
      <c r="M441" t="n">
        <v>0</v>
      </c>
      <c r="N441" t="n">
        <v>0</v>
      </c>
      <c r="O441" t="n">
        <v>0</v>
      </c>
      <c r="P441" t="n">
        <v>0</v>
      </c>
      <c r="Q441" t="n">
        <v>0</v>
      </c>
      <c r="R441" s="2" t="inlineStr"/>
    </row>
    <row r="442" ht="15" customHeight="1">
      <c r="A442" t="inlineStr">
        <is>
          <t>A 56702-2025</t>
        </is>
      </c>
      <c r="B442" s="1" t="n">
        <v>45977</v>
      </c>
      <c r="C442" s="1" t="n">
        <v>46194</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57101-2025</t>
        </is>
      </c>
      <c r="B443" s="1" t="n">
        <v>45979</v>
      </c>
      <c r="C443" s="1" t="n">
        <v>46194</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57453-2025</t>
        </is>
      </c>
      <c r="B444" s="1" t="n">
        <v>45980</v>
      </c>
      <c r="C444" s="1" t="n">
        <v>46194</v>
      </c>
      <c r="D444" t="inlineStr">
        <is>
          <t>DALARNAS LÄN</t>
        </is>
      </c>
      <c r="E444" t="inlineStr">
        <is>
          <t>MORA</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42943-2024</t>
        </is>
      </c>
      <c r="B445" s="1" t="n">
        <v>45567</v>
      </c>
      <c r="C445" s="1" t="n">
        <v>46194</v>
      </c>
      <c r="D445" t="inlineStr">
        <is>
          <t>DALARNAS LÄN</t>
        </is>
      </c>
      <c r="E445" t="inlineStr">
        <is>
          <t>MORA</t>
        </is>
      </c>
      <c r="G445" t="n">
        <v>0.5</v>
      </c>
      <c r="H445" t="n">
        <v>0</v>
      </c>
      <c r="I445" t="n">
        <v>0</v>
      </c>
      <c r="J445" t="n">
        <v>0</v>
      </c>
      <c r="K445" t="n">
        <v>0</v>
      </c>
      <c r="L445" t="n">
        <v>0</v>
      </c>
      <c r="M445" t="n">
        <v>0</v>
      </c>
      <c r="N445" t="n">
        <v>0</v>
      </c>
      <c r="O445" t="n">
        <v>0</v>
      </c>
      <c r="P445" t="n">
        <v>0</v>
      </c>
      <c r="Q445" t="n">
        <v>0</v>
      </c>
      <c r="R445" s="2" t="inlineStr"/>
    </row>
    <row r="446" ht="15" customHeight="1">
      <c r="A446" t="inlineStr">
        <is>
          <t>A 57097-2025</t>
        </is>
      </c>
      <c r="B446" s="1" t="n">
        <v>45979</v>
      </c>
      <c r="C446" s="1" t="n">
        <v>46194</v>
      </c>
      <c r="D446" t="inlineStr">
        <is>
          <t>DALARNAS LÄN</t>
        </is>
      </c>
      <c r="E446" t="inlineStr">
        <is>
          <t>MORA</t>
        </is>
      </c>
      <c r="G446" t="n">
        <v>7.5</v>
      </c>
      <c r="H446" t="n">
        <v>0</v>
      </c>
      <c r="I446" t="n">
        <v>0</v>
      </c>
      <c r="J446" t="n">
        <v>0</v>
      </c>
      <c r="K446" t="n">
        <v>0</v>
      </c>
      <c r="L446" t="n">
        <v>0</v>
      </c>
      <c r="M446" t="n">
        <v>0</v>
      </c>
      <c r="N446" t="n">
        <v>0</v>
      </c>
      <c r="O446" t="n">
        <v>0</v>
      </c>
      <c r="P446" t="n">
        <v>0</v>
      </c>
      <c r="Q446" t="n">
        <v>0</v>
      </c>
      <c r="R446" s="2" t="inlineStr"/>
    </row>
    <row r="447" ht="15" customHeight="1">
      <c r="A447" t="inlineStr">
        <is>
          <t>A 4489-2022</t>
        </is>
      </c>
      <c r="B447" s="1" t="n">
        <v>44589</v>
      </c>
      <c r="C447" s="1" t="n">
        <v>46194</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27168-2026</t>
        </is>
      </c>
      <c r="B448" s="1" t="n">
        <v>46188</v>
      </c>
      <c r="C448" s="1" t="n">
        <v>46194</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5418-2025</t>
        </is>
      </c>
      <c r="B449" s="1" t="n">
        <v>45692</v>
      </c>
      <c r="C449" s="1" t="n">
        <v>46194</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19842-2025</t>
        </is>
      </c>
      <c r="B450" s="1" t="n">
        <v>45771</v>
      </c>
      <c r="C450" s="1" t="n">
        <v>46194</v>
      </c>
      <c r="D450" t="inlineStr">
        <is>
          <t>DALARNAS LÄN</t>
        </is>
      </c>
      <c r="E450" t="inlineStr">
        <is>
          <t>MORA</t>
        </is>
      </c>
      <c r="G450" t="n">
        <v>1.9</v>
      </c>
      <c r="H450" t="n">
        <v>0</v>
      </c>
      <c r="I450" t="n">
        <v>0</v>
      </c>
      <c r="J450" t="n">
        <v>0</v>
      </c>
      <c r="K450" t="n">
        <v>0</v>
      </c>
      <c r="L450" t="n">
        <v>0</v>
      </c>
      <c r="M450" t="n">
        <v>0</v>
      </c>
      <c r="N450" t="n">
        <v>0</v>
      </c>
      <c r="O450" t="n">
        <v>0</v>
      </c>
      <c r="P450" t="n">
        <v>0</v>
      </c>
      <c r="Q450" t="n">
        <v>0</v>
      </c>
      <c r="R450" s="2" t="inlineStr"/>
    </row>
    <row r="451" ht="15" customHeight="1">
      <c r="A451" t="inlineStr">
        <is>
          <t>A 57976-2025</t>
        </is>
      </c>
      <c r="B451" s="1" t="n">
        <v>45982</v>
      </c>
      <c r="C451" s="1" t="n">
        <v>46194</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57647-2025</t>
        </is>
      </c>
      <c r="B452" s="1" t="n">
        <v>45981</v>
      </c>
      <c r="C452" s="1" t="n">
        <v>46194</v>
      </c>
      <c r="D452" t="inlineStr">
        <is>
          <t>DALARNAS LÄN</t>
        </is>
      </c>
      <c r="E452" t="inlineStr">
        <is>
          <t>MORA</t>
        </is>
      </c>
      <c r="G452" t="n">
        <v>3.9</v>
      </c>
      <c r="H452" t="n">
        <v>0</v>
      </c>
      <c r="I452" t="n">
        <v>0</v>
      </c>
      <c r="J452" t="n">
        <v>0</v>
      </c>
      <c r="K452" t="n">
        <v>0</v>
      </c>
      <c r="L452" t="n">
        <v>0</v>
      </c>
      <c r="M452" t="n">
        <v>0</v>
      </c>
      <c r="N452" t="n">
        <v>0</v>
      </c>
      <c r="O452" t="n">
        <v>0</v>
      </c>
      <c r="P452" t="n">
        <v>0</v>
      </c>
      <c r="Q452" t="n">
        <v>0</v>
      </c>
      <c r="R452" s="2" t="inlineStr"/>
    </row>
    <row r="453" ht="15" customHeight="1">
      <c r="A453" t="inlineStr">
        <is>
          <t>A 18134-2025</t>
        </is>
      </c>
      <c r="B453" s="1" t="n">
        <v>45761</v>
      </c>
      <c r="C453" s="1" t="n">
        <v>46194</v>
      </c>
      <c r="D453" t="inlineStr">
        <is>
          <t>DALARNAS LÄN</t>
        </is>
      </c>
      <c r="E453" t="inlineStr">
        <is>
          <t>MORA</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21209-2026</t>
        </is>
      </c>
      <c r="B454" s="1" t="n">
        <v>46146</v>
      </c>
      <c r="C454" s="1" t="n">
        <v>46194</v>
      </c>
      <c r="D454" t="inlineStr">
        <is>
          <t>DALARNAS LÄN</t>
        </is>
      </c>
      <c r="E454" t="inlineStr">
        <is>
          <t>MORA</t>
        </is>
      </c>
      <c r="G454" t="n">
        <v>0.6</v>
      </c>
      <c r="H454" t="n">
        <v>0</v>
      </c>
      <c r="I454" t="n">
        <v>0</v>
      </c>
      <c r="J454" t="n">
        <v>0</v>
      </c>
      <c r="K454" t="n">
        <v>0</v>
      </c>
      <c r="L454" t="n">
        <v>0</v>
      </c>
      <c r="M454" t="n">
        <v>0</v>
      </c>
      <c r="N454" t="n">
        <v>0</v>
      </c>
      <c r="O454" t="n">
        <v>0</v>
      </c>
      <c r="P454" t="n">
        <v>0</v>
      </c>
      <c r="Q454" t="n">
        <v>0</v>
      </c>
      <c r="R454" s="2" t="inlineStr"/>
    </row>
    <row r="455" ht="15" customHeight="1">
      <c r="A455" t="inlineStr">
        <is>
          <t>A 57659-2025</t>
        </is>
      </c>
      <c r="B455" s="1" t="n">
        <v>45981</v>
      </c>
      <c r="C455" s="1" t="n">
        <v>46194</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v>
      </c>
      <c r="C456" s="1" t="n">
        <v>46194</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16733-2024</t>
        </is>
      </c>
      <c r="B457" s="1" t="n">
        <v>45410</v>
      </c>
      <c r="C457" s="1" t="n">
        <v>46194</v>
      </c>
      <c r="D457" t="inlineStr">
        <is>
          <t>DALARNAS LÄN</t>
        </is>
      </c>
      <c r="E457" t="inlineStr">
        <is>
          <t>MORA</t>
        </is>
      </c>
      <c r="G457" t="n">
        <v>6.3</v>
      </c>
      <c r="H457" t="n">
        <v>0</v>
      </c>
      <c r="I457" t="n">
        <v>0</v>
      </c>
      <c r="J457" t="n">
        <v>0</v>
      </c>
      <c r="K457" t="n">
        <v>0</v>
      </c>
      <c r="L457" t="n">
        <v>0</v>
      </c>
      <c r="M457" t="n">
        <v>0</v>
      </c>
      <c r="N457" t="n">
        <v>0</v>
      </c>
      <c r="O457" t="n">
        <v>0</v>
      </c>
      <c r="P457" t="n">
        <v>0</v>
      </c>
      <c r="Q457" t="n">
        <v>0</v>
      </c>
      <c r="R457" s="2" t="inlineStr"/>
    </row>
    <row r="458" ht="15" customHeight="1">
      <c r="A458" t="inlineStr">
        <is>
          <t>A 53159-2024</t>
        </is>
      </c>
      <c r="B458" s="1" t="n">
        <v>45611</v>
      </c>
      <c r="C458" s="1" t="n">
        <v>46194</v>
      </c>
      <c r="D458" t="inlineStr">
        <is>
          <t>DALARNAS LÄN</t>
        </is>
      </c>
      <c r="E458" t="inlineStr">
        <is>
          <t>MORA</t>
        </is>
      </c>
      <c r="G458" t="n">
        <v>3.3</v>
      </c>
      <c r="H458" t="n">
        <v>0</v>
      </c>
      <c r="I458" t="n">
        <v>0</v>
      </c>
      <c r="J458" t="n">
        <v>0</v>
      </c>
      <c r="K458" t="n">
        <v>0</v>
      </c>
      <c r="L458" t="n">
        <v>0</v>
      </c>
      <c r="M458" t="n">
        <v>0</v>
      </c>
      <c r="N458" t="n">
        <v>0</v>
      </c>
      <c r="O458" t="n">
        <v>0</v>
      </c>
      <c r="P458" t="n">
        <v>0</v>
      </c>
      <c r="Q458" t="n">
        <v>0</v>
      </c>
      <c r="R458" s="2" t="inlineStr"/>
    </row>
    <row r="459" ht="15" customHeight="1">
      <c r="A459" t="inlineStr">
        <is>
          <t>A 34382-2025</t>
        </is>
      </c>
      <c r="B459" s="1" t="n">
        <v>45846</v>
      </c>
      <c r="C459" s="1" t="n">
        <v>46194</v>
      </c>
      <c r="D459" t="inlineStr">
        <is>
          <t>DALARNAS LÄN</t>
        </is>
      </c>
      <c r="E459" t="inlineStr">
        <is>
          <t>MORA</t>
        </is>
      </c>
      <c r="G459" t="n">
        <v>0.7</v>
      </c>
      <c r="H459" t="n">
        <v>0</v>
      </c>
      <c r="I459" t="n">
        <v>0</v>
      </c>
      <c r="J459" t="n">
        <v>0</v>
      </c>
      <c r="K459" t="n">
        <v>0</v>
      </c>
      <c r="L459" t="n">
        <v>0</v>
      </c>
      <c r="M459" t="n">
        <v>0</v>
      </c>
      <c r="N459" t="n">
        <v>0</v>
      </c>
      <c r="O459" t="n">
        <v>0</v>
      </c>
      <c r="P459" t="n">
        <v>0</v>
      </c>
      <c r="Q459" t="n">
        <v>0</v>
      </c>
      <c r="R459" s="2" t="inlineStr"/>
    </row>
    <row r="460" ht="15" customHeight="1">
      <c r="A460" t="inlineStr">
        <is>
          <t>A 59094-2025</t>
        </is>
      </c>
      <c r="B460" s="1" t="n">
        <v>45988</v>
      </c>
      <c r="C460" s="1" t="n">
        <v>46194</v>
      </c>
      <c r="D460" t="inlineStr">
        <is>
          <t>DALARNAS LÄN</t>
        </is>
      </c>
      <c r="E460" t="inlineStr">
        <is>
          <t>MORA</t>
        </is>
      </c>
      <c r="G460" t="n">
        <v>10</v>
      </c>
      <c r="H460" t="n">
        <v>0</v>
      </c>
      <c r="I460" t="n">
        <v>0</v>
      </c>
      <c r="J460" t="n">
        <v>0</v>
      </c>
      <c r="K460" t="n">
        <v>0</v>
      </c>
      <c r="L460" t="n">
        <v>0</v>
      </c>
      <c r="M460" t="n">
        <v>0</v>
      </c>
      <c r="N460" t="n">
        <v>0</v>
      </c>
      <c r="O460" t="n">
        <v>0</v>
      </c>
      <c r="P460" t="n">
        <v>0</v>
      </c>
      <c r="Q460" t="n">
        <v>0</v>
      </c>
      <c r="R460" s="2" t="inlineStr"/>
    </row>
    <row r="461" ht="15" customHeight="1">
      <c r="A461" t="inlineStr">
        <is>
          <t>A 23435-2026</t>
        </is>
      </c>
      <c r="B461" s="1" t="n">
        <v>46163</v>
      </c>
      <c r="C461" s="1" t="n">
        <v>46194</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23442-2026</t>
        </is>
      </c>
      <c r="B462" s="1" t="n">
        <v>46163</v>
      </c>
      <c r="C462" s="1" t="n">
        <v>46194</v>
      </c>
      <c r="D462" t="inlineStr">
        <is>
          <t>DALARNAS LÄN</t>
        </is>
      </c>
      <c r="E462" t="inlineStr">
        <is>
          <t>MORA</t>
        </is>
      </c>
      <c r="G462" t="n">
        <v>1.9</v>
      </c>
      <c r="H462" t="n">
        <v>0</v>
      </c>
      <c r="I462" t="n">
        <v>0</v>
      </c>
      <c r="J462" t="n">
        <v>0</v>
      </c>
      <c r="K462" t="n">
        <v>0</v>
      </c>
      <c r="L462" t="n">
        <v>0</v>
      </c>
      <c r="M462" t="n">
        <v>0</v>
      </c>
      <c r="N462" t="n">
        <v>0</v>
      </c>
      <c r="O462" t="n">
        <v>0</v>
      </c>
      <c r="P462" t="n">
        <v>0</v>
      </c>
      <c r="Q462" t="n">
        <v>0</v>
      </c>
      <c r="R462" s="2" t="inlineStr"/>
    </row>
    <row r="463" ht="15" customHeight="1">
      <c r="A463" t="inlineStr">
        <is>
          <t>A 59805-2025</t>
        </is>
      </c>
      <c r="B463" s="1" t="n">
        <v>45992</v>
      </c>
      <c r="C463" s="1" t="n">
        <v>46194</v>
      </c>
      <c r="D463" t="inlineStr">
        <is>
          <t>DALARNAS LÄN</t>
        </is>
      </c>
      <c r="E463" t="inlineStr">
        <is>
          <t>MORA</t>
        </is>
      </c>
      <c r="G463" t="n">
        <v>4.2</v>
      </c>
      <c r="H463" t="n">
        <v>0</v>
      </c>
      <c r="I463" t="n">
        <v>0</v>
      </c>
      <c r="J463" t="n">
        <v>0</v>
      </c>
      <c r="K463" t="n">
        <v>0</v>
      </c>
      <c r="L463" t="n">
        <v>0</v>
      </c>
      <c r="M463" t="n">
        <v>0</v>
      </c>
      <c r="N463" t="n">
        <v>0</v>
      </c>
      <c r="O463" t="n">
        <v>0</v>
      </c>
      <c r="P463" t="n">
        <v>0</v>
      </c>
      <c r="Q463" t="n">
        <v>0</v>
      </c>
      <c r="R463" s="2" t="inlineStr"/>
    </row>
    <row r="464" ht="15" customHeight="1">
      <c r="A464" t="inlineStr">
        <is>
          <t>A 59768-2025</t>
        </is>
      </c>
      <c r="B464" s="1" t="n">
        <v>45992</v>
      </c>
      <c r="C464" s="1" t="n">
        <v>46194</v>
      </c>
      <c r="D464" t="inlineStr">
        <is>
          <t>DALARNAS LÄN</t>
        </is>
      </c>
      <c r="E464" t="inlineStr">
        <is>
          <t>MORA</t>
        </is>
      </c>
      <c r="G464" t="n">
        <v>4</v>
      </c>
      <c r="H464" t="n">
        <v>0</v>
      </c>
      <c r="I464" t="n">
        <v>0</v>
      </c>
      <c r="J464" t="n">
        <v>0</v>
      </c>
      <c r="K464" t="n">
        <v>0</v>
      </c>
      <c r="L464" t="n">
        <v>0</v>
      </c>
      <c r="M464" t="n">
        <v>0</v>
      </c>
      <c r="N464" t="n">
        <v>0</v>
      </c>
      <c r="O464" t="n">
        <v>0</v>
      </c>
      <c r="P464" t="n">
        <v>0</v>
      </c>
      <c r="Q464" t="n">
        <v>0</v>
      </c>
      <c r="R464" s="2" t="inlineStr"/>
    </row>
    <row r="465" ht="15" customHeight="1">
      <c r="A465" t="inlineStr">
        <is>
          <t>A 55135-2025</t>
        </is>
      </c>
      <c r="B465" s="1" t="n">
        <v>45968</v>
      </c>
      <c r="C465" s="1" t="n">
        <v>46194</v>
      </c>
      <c r="D465" t="inlineStr">
        <is>
          <t>DALARNAS LÄN</t>
        </is>
      </c>
      <c r="E465" t="inlineStr">
        <is>
          <t>MORA</t>
        </is>
      </c>
      <c r="G465" t="n">
        <v>5.1</v>
      </c>
      <c r="H465" t="n">
        <v>0</v>
      </c>
      <c r="I465" t="n">
        <v>0</v>
      </c>
      <c r="J465" t="n">
        <v>0</v>
      </c>
      <c r="K465" t="n">
        <v>0</v>
      </c>
      <c r="L465" t="n">
        <v>0</v>
      </c>
      <c r="M465" t="n">
        <v>0</v>
      </c>
      <c r="N465" t="n">
        <v>0</v>
      </c>
      <c r="O465" t="n">
        <v>0</v>
      </c>
      <c r="P465" t="n">
        <v>0</v>
      </c>
      <c r="Q465" t="n">
        <v>0</v>
      </c>
      <c r="R465" s="2" t="inlineStr"/>
    </row>
    <row r="466" ht="15" customHeight="1">
      <c r="A466" t="inlineStr">
        <is>
          <t>A 59669-2025</t>
        </is>
      </c>
      <c r="B466" s="1" t="n">
        <v>45992</v>
      </c>
      <c r="C466" s="1" t="n">
        <v>46194</v>
      </c>
      <c r="D466" t="inlineStr">
        <is>
          <t>DALARNAS LÄN</t>
        </is>
      </c>
      <c r="E466" t="inlineStr">
        <is>
          <t>MORA</t>
        </is>
      </c>
      <c r="G466" t="n">
        <v>0.6</v>
      </c>
      <c r="H466" t="n">
        <v>0</v>
      </c>
      <c r="I466" t="n">
        <v>0</v>
      </c>
      <c r="J466" t="n">
        <v>0</v>
      </c>
      <c r="K466" t="n">
        <v>0</v>
      </c>
      <c r="L466" t="n">
        <v>0</v>
      </c>
      <c r="M466" t="n">
        <v>0</v>
      </c>
      <c r="N466" t="n">
        <v>0</v>
      </c>
      <c r="O466" t="n">
        <v>0</v>
      </c>
      <c r="P466" t="n">
        <v>0</v>
      </c>
      <c r="Q466" t="n">
        <v>0</v>
      </c>
      <c r="R466" s="2" t="inlineStr"/>
    </row>
    <row r="467" ht="15" customHeight="1">
      <c r="A467" t="inlineStr">
        <is>
          <t>A 2865-2022</t>
        </is>
      </c>
      <c r="B467" s="1" t="n">
        <v>44581</v>
      </c>
      <c r="C467" s="1" t="n">
        <v>46194</v>
      </c>
      <c r="D467" t="inlineStr">
        <is>
          <t>DALARNAS LÄN</t>
        </is>
      </c>
      <c r="E467" t="inlineStr">
        <is>
          <t>MORA</t>
        </is>
      </c>
      <c r="G467" t="n">
        <v>2</v>
      </c>
      <c r="H467" t="n">
        <v>0</v>
      </c>
      <c r="I467" t="n">
        <v>0</v>
      </c>
      <c r="J467" t="n">
        <v>0</v>
      </c>
      <c r="K467" t="n">
        <v>0</v>
      </c>
      <c r="L467" t="n">
        <v>0</v>
      </c>
      <c r="M467" t="n">
        <v>0</v>
      </c>
      <c r="N467" t="n">
        <v>0</v>
      </c>
      <c r="O467" t="n">
        <v>0</v>
      </c>
      <c r="P467" t="n">
        <v>0</v>
      </c>
      <c r="Q467" t="n">
        <v>0</v>
      </c>
      <c r="R467" s="2" t="inlineStr"/>
    </row>
    <row r="468" ht="15" customHeight="1">
      <c r="A468" t="inlineStr">
        <is>
          <t>A 35407-2025</t>
        </is>
      </c>
      <c r="B468" s="1" t="n">
        <v>45855</v>
      </c>
      <c r="C468" s="1" t="n">
        <v>46194</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35734-2025</t>
        </is>
      </c>
      <c r="B469" s="1" t="n">
        <v>45860</v>
      </c>
      <c r="C469" s="1" t="n">
        <v>46194</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v>
      </c>
      <c r="C470" s="1" t="n">
        <v>46194</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21499-2026</t>
        </is>
      </c>
      <c r="B471" s="1" t="n">
        <v>46148</v>
      </c>
      <c r="C471" s="1" t="n">
        <v>46194</v>
      </c>
      <c r="D471" t="inlineStr">
        <is>
          <t>DALARNAS LÄN</t>
        </is>
      </c>
      <c r="E471" t="inlineStr">
        <is>
          <t>MORA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21506-2026</t>
        </is>
      </c>
      <c r="B472" s="1" t="n">
        <v>46148</v>
      </c>
      <c r="C472" s="1" t="n">
        <v>46194</v>
      </c>
      <c r="D472" t="inlineStr">
        <is>
          <t>DALARNAS LÄN</t>
        </is>
      </c>
      <c r="E472" t="inlineStr">
        <is>
          <t>MORA</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23437-2026</t>
        </is>
      </c>
      <c r="B473" s="1" t="n">
        <v>46163</v>
      </c>
      <c r="C473" s="1" t="n">
        <v>46194</v>
      </c>
      <c r="D473" t="inlineStr">
        <is>
          <t>DALARNAS LÄN</t>
        </is>
      </c>
      <c r="E473" t="inlineStr">
        <is>
          <t>MORA</t>
        </is>
      </c>
      <c r="G473" t="n">
        <v>15.5</v>
      </c>
      <c r="H473" t="n">
        <v>0</v>
      </c>
      <c r="I473" t="n">
        <v>0</v>
      </c>
      <c r="J473" t="n">
        <v>0</v>
      </c>
      <c r="K473" t="n">
        <v>0</v>
      </c>
      <c r="L473" t="n">
        <v>0</v>
      </c>
      <c r="M473" t="n">
        <v>0</v>
      </c>
      <c r="N473" t="n">
        <v>0</v>
      </c>
      <c r="O473" t="n">
        <v>0</v>
      </c>
      <c r="P473" t="n">
        <v>0</v>
      </c>
      <c r="Q473" t="n">
        <v>0</v>
      </c>
      <c r="R473" s="2" t="inlineStr"/>
    </row>
    <row r="474" ht="15" customHeight="1">
      <c r="A474" t="inlineStr">
        <is>
          <t>A 36041-2025</t>
        </is>
      </c>
      <c r="B474" s="1" t="n">
        <v>45866</v>
      </c>
      <c r="C474" s="1" t="n">
        <v>46194</v>
      </c>
      <c r="D474" t="inlineStr">
        <is>
          <t>DALARNAS LÄN</t>
        </is>
      </c>
      <c r="E474" t="inlineStr">
        <is>
          <t>MORA</t>
        </is>
      </c>
      <c r="G474" t="n">
        <v>0.6</v>
      </c>
      <c r="H474" t="n">
        <v>0</v>
      </c>
      <c r="I474" t="n">
        <v>0</v>
      </c>
      <c r="J474" t="n">
        <v>0</v>
      </c>
      <c r="K474" t="n">
        <v>0</v>
      </c>
      <c r="L474" t="n">
        <v>0</v>
      </c>
      <c r="M474" t="n">
        <v>0</v>
      </c>
      <c r="N474" t="n">
        <v>0</v>
      </c>
      <c r="O474" t="n">
        <v>0</v>
      </c>
      <c r="P474" t="n">
        <v>0</v>
      </c>
      <c r="Q474" t="n">
        <v>0</v>
      </c>
      <c r="R474" s="2" t="inlineStr"/>
    </row>
    <row r="475" ht="15" customHeight="1">
      <c r="A475" t="inlineStr">
        <is>
          <t>A 60957-2025</t>
        </is>
      </c>
      <c r="B475" s="1" t="n">
        <v>45999</v>
      </c>
      <c r="C475" s="1" t="n">
        <v>46194</v>
      </c>
      <c r="D475" t="inlineStr">
        <is>
          <t>DALARNAS LÄN</t>
        </is>
      </c>
      <c r="E475" t="inlineStr">
        <is>
          <t>MORA</t>
        </is>
      </c>
      <c r="G475" t="n">
        <v>1.6</v>
      </c>
      <c r="H475" t="n">
        <v>0</v>
      </c>
      <c r="I475" t="n">
        <v>0</v>
      </c>
      <c r="J475" t="n">
        <v>0</v>
      </c>
      <c r="K475" t="n">
        <v>0</v>
      </c>
      <c r="L475" t="n">
        <v>0</v>
      </c>
      <c r="M475" t="n">
        <v>0</v>
      </c>
      <c r="N475" t="n">
        <v>0</v>
      </c>
      <c r="O475" t="n">
        <v>0</v>
      </c>
      <c r="P475" t="n">
        <v>0</v>
      </c>
      <c r="Q475" t="n">
        <v>0</v>
      </c>
      <c r="R475" s="2" t="inlineStr"/>
    </row>
    <row r="476" ht="15" customHeight="1">
      <c r="A476" t="inlineStr">
        <is>
          <t>A 55691-2023</t>
        </is>
      </c>
      <c r="B476" s="1" t="n">
        <v>45239</v>
      </c>
      <c r="C476" s="1" t="n">
        <v>46194</v>
      </c>
      <c r="D476" t="inlineStr">
        <is>
          <t>DALARNAS LÄN</t>
        </is>
      </c>
      <c r="E476" t="inlineStr">
        <is>
          <t>MORA</t>
        </is>
      </c>
      <c r="G476" t="n">
        <v>2.2</v>
      </c>
      <c r="H476" t="n">
        <v>0</v>
      </c>
      <c r="I476" t="n">
        <v>0</v>
      </c>
      <c r="J476" t="n">
        <v>0</v>
      </c>
      <c r="K476" t="n">
        <v>0</v>
      </c>
      <c r="L476" t="n">
        <v>0</v>
      </c>
      <c r="M476" t="n">
        <v>0</v>
      </c>
      <c r="N476" t="n">
        <v>0</v>
      </c>
      <c r="O476" t="n">
        <v>0</v>
      </c>
      <c r="P476" t="n">
        <v>0</v>
      </c>
      <c r="Q476" t="n">
        <v>0</v>
      </c>
      <c r="R476" s="2" t="inlineStr"/>
    </row>
    <row r="477" ht="15" customHeight="1">
      <c r="A477" t="inlineStr">
        <is>
          <t>A 63958-2023</t>
        </is>
      </c>
      <c r="B477" s="1" t="n">
        <v>45278</v>
      </c>
      <c r="C477" s="1" t="n">
        <v>46194</v>
      </c>
      <c r="D477" t="inlineStr">
        <is>
          <t>DALARNAS LÄN</t>
        </is>
      </c>
      <c r="E477" t="inlineStr">
        <is>
          <t>MORA</t>
        </is>
      </c>
      <c r="G477" t="n">
        <v>1.9</v>
      </c>
      <c r="H477" t="n">
        <v>0</v>
      </c>
      <c r="I477" t="n">
        <v>0</v>
      </c>
      <c r="J477" t="n">
        <v>0</v>
      </c>
      <c r="K477" t="n">
        <v>0</v>
      </c>
      <c r="L477" t="n">
        <v>0</v>
      </c>
      <c r="M477" t="n">
        <v>0</v>
      </c>
      <c r="N477" t="n">
        <v>0</v>
      </c>
      <c r="O477" t="n">
        <v>0</v>
      </c>
      <c r="P477" t="n">
        <v>0</v>
      </c>
      <c r="Q477" t="n">
        <v>0</v>
      </c>
      <c r="R477" s="2" t="inlineStr"/>
    </row>
    <row r="478" ht="15" customHeight="1">
      <c r="A478" t="inlineStr">
        <is>
          <t>A 50685-2023</t>
        </is>
      </c>
      <c r="B478" s="1" t="n">
        <v>45210</v>
      </c>
      <c r="C478" s="1" t="n">
        <v>46194</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48522-2024</t>
        </is>
      </c>
      <c r="B479" s="1" t="n">
        <v>45593</v>
      </c>
      <c r="C479" s="1" t="n">
        <v>46194</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25494-2024</t>
        </is>
      </c>
      <c r="B480" s="1" t="n">
        <v>45463</v>
      </c>
      <c r="C480" s="1" t="n">
        <v>46194</v>
      </c>
      <c r="D480" t="inlineStr">
        <is>
          <t>DALARNAS LÄN</t>
        </is>
      </c>
      <c r="E480" t="inlineStr">
        <is>
          <t>MORA</t>
        </is>
      </c>
      <c r="G480" t="n">
        <v>4.9</v>
      </c>
      <c r="H480" t="n">
        <v>0</v>
      </c>
      <c r="I480" t="n">
        <v>0</v>
      </c>
      <c r="J480" t="n">
        <v>0</v>
      </c>
      <c r="K480" t="n">
        <v>0</v>
      </c>
      <c r="L480" t="n">
        <v>0</v>
      </c>
      <c r="M480" t="n">
        <v>0</v>
      </c>
      <c r="N480" t="n">
        <v>0</v>
      </c>
      <c r="O480" t="n">
        <v>0</v>
      </c>
      <c r="P480" t="n">
        <v>0</v>
      </c>
      <c r="Q480" t="n">
        <v>0</v>
      </c>
      <c r="R480" s="2" t="inlineStr"/>
    </row>
    <row r="481" ht="15" customHeight="1">
      <c r="A481" t="inlineStr">
        <is>
          <t>A 43964-2024</t>
        </is>
      </c>
      <c r="B481" s="1" t="n">
        <v>45572</v>
      </c>
      <c r="C481" s="1" t="n">
        <v>46194</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48342-2023</t>
        </is>
      </c>
      <c r="B482" s="1" t="n">
        <v>45205</v>
      </c>
      <c r="C482" s="1" t="n">
        <v>46194</v>
      </c>
      <c r="D482" t="inlineStr">
        <is>
          <t>DALARNAS LÄN</t>
        </is>
      </c>
      <c r="E482" t="inlineStr">
        <is>
          <t>MORA</t>
        </is>
      </c>
      <c r="G482" t="n">
        <v>1</v>
      </c>
      <c r="H482" t="n">
        <v>0</v>
      </c>
      <c r="I482" t="n">
        <v>0</v>
      </c>
      <c r="J482" t="n">
        <v>0</v>
      </c>
      <c r="K482" t="n">
        <v>0</v>
      </c>
      <c r="L482" t="n">
        <v>0</v>
      </c>
      <c r="M482" t="n">
        <v>0</v>
      </c>
      <c r="N482" t="n">
        <v>0</v>
      </c>
      <c r="O482" t="n">
        <v>0</v>
      </c>
      <c r="P482" t="n">
        <v>0</v>
      </c>
      <c r="Q482" t="n">
        <v>0</v>
      </c>
      <c r="R482" s="2" t="inlineStr"/>
    </row>
    <row r="483" ht="15" customHeight="1">
      <c r="A483" t="inlineStr">
        <is>
          <t>A 61455-2025</t>
        </is>
      </c>
      <c r="B483" s="1" t="n">
        <v>46001</v>
      </c>
      <c r="C483" s="1" t="n">
        <v>46194</v>
      </c>
      <c r="D483" t="inlineStr">
        <is>
          <t>DALARNAS LÄN</t>
        </is>
      </c>
      <c r="E483" t="inlineStr">
        <is>
          <t>MORA</t>
        </is>
      </c>
      <c r="G483" t="n">
        <v>3.4</v>
      </c>
      <c r="H483" t="n">
        <v>0</v>
      </c>
      <c r="I483" t="n">
        <v>0</v>
      </c>
      <c r="J483" t="n">
        <v>0</v>
      </c>
      <c r="K483" t="n">
        <v>0</v>
      </c>
      <c r="L483" t="n">
        <v>0</v>
      </c>
      <c r="M483" t="n">
        <v>0</v>
      </c>
      <c r="N483" t="n">
        <v>0</v>
      </c>
      <c r="O483" t="n">
        <v>0</v>
      </c>
      <c r="P483" t="n">
        <v>0</v>
      </c>
      <c r="Q483" t="n">
        <v>0</v>
      </c>
      <c r="R483" s="2" t="inlineStr"/>
    </row>
    <row r="484" ht="15" customHeight="1">
      <c r="A484" t="inlineStr">
        <is>
          <t>A 27699-2026</t>
        </is>
      </c>
      <c r="B484" s="1" t="n">
        <v>46190</v>
      </c>
      <c r="C484" s="1" t="n">
        <v>46194</v>
      </c>
      <c r="D484" t="inlineStr">
        <is>
          <t>DALARNAS LÄN</t>
        </is>
      </c>
      <c r="E484" t="inlineStr">
        <is>
          <t>MORA</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61412-2025</t>
        </is>
      </c>
      <c r="B485" s="1" t="n">
        <v>46001</v>
      </c>
      <c r="C485" s="1" t="n">
        <v>46194</v>
      </c>
      <c r="D485" t="inlineStr">
        <is>
          <t>DALARNAS LÄN</t>
        </is>
      </c>
      <c r="E485" t="inlineStr">
        <is>
          <t>MORA</t>
        </is>
      </c>
      <c r="G485" t="n">
        <v>2.9</v>
      </c>
      <c r="H485" t="n">
        <v>0</v>
      </c>
      <c r="I485" t="n">
        <v>0</v>
      </c>
      <c r="J485" t="n">
        <v>0</v>
      </c>
      <c r="K485" t="n">
        <v>0</v>
      </c>
      <c r="L485" t="n">
        <v>0</v>
      </c>
      <c r="M485" t="n">
        <v>0</v>
      </c>
      <c r="N485" t="n">
        <v>0</v>
      </c>
      <c r="O485" t="n">
        <v>0</v>
      </c>
      <c r="P485" t="n">
        <v>0</v>
      </c>
      <c r="Q485" t="n">
        <v>0</v>
      </c>
      <c r="R485" s="2" t="inlineStr"/>
    </row>
    <row r="486" ht="15" customHeight="1">
      <c r="A486" t="inlineStr">
        <is>
          <t>A 21502-2026</t>
        </is>
      </c>
      <c r="B486" s="1" t="n">
        <v>46148</v>
      </c>
      <c r="C486" s="1" t="n">
        <v>46194</v>
      </c>
      <c r="D486" t="inlineStr">
        <is>
          <t>DALARNAS LÄN</t>
        </is>
      </c>
      <c r="E486" t="inlineStr">
        <is>
          <t>MORA</t>
        </is>
      </c>
      <c r="F486" t="inlineStr">
        <is>
          <t>Bergvik skog öst AB</t>
        </is>
      </c>
      <c r="G486" t="n">
        <v>5.1</v>
      </c>
      <c r="H486" t="n">
        <v>0</v>
      </c>
      <c r="I486" t="n">
        <v>0</v>
      </c>
      <c r="J486" t="n">
        <v>0</v>
      </c>
      <c r="K486" t="n">
        <v>0</v>
      </c>
      <c r="L486" t="n">
        <v>0</v>
      </c>
      <c r="M486" t="n">
        <v>0</v>
      </c>
      <c r="N486" t="n">
        <v>0</v>
      </c>
      <c r="O486" t="n">
        <v>0</v>
      </c>
      <c r="P486" t="n">
        <v>0</v>
      </c>
      <c r="Q486" t="n">
        <v>0</v>
      </c>
      <c r="R486" s="2" t="inlineStr"/>
    </row>
    <row r="487" ht="15" customHeight="1">
      <c r="A487" t="inlineStr">
        <is>
          <t>A 61620-2025</t>
        </is>
      </c>
      <c r="B487" s="1" t="n">
        <v>46002</v>
      </c>
      <c r="C487" s="1" t="n">
        <v>46194</v>
      </c>
      <c r="D487" t="inlineStr">
        <is>
          <t>DALARNAS LÄN</t>
        </is>
      </c>
      <c r="E487" t="inlineStr">
        <is>
          <t>MORA</t>
        </is>
      </c>
      <c r="G487" t="n">
        <v>3</v>
      </c>
      <c r="H487" t="n">
        <v>0</v>
      </c>
      <c r="I487" t="n">
        <v>0</v>
      </c>
      <c r="J487" t="n">
        <v>0</v>
      </c>
      <c r="K487" t="n">
        <v>0</v>
      </c>
      <c r="L487" t="n">
        <v>0</v>
      </c>
      <c r="M487" t="n">
        <v>0</v>
      </c>
      <c r="N487" t="n">
        <v>0</v>
      </c>
      <c r="O487" t="n">
        <v>0</v>
      </c>
      <c r="P487" t="n">
        <v>0</v>
      </c>
      <c r="Q487" t="n">
        <v>0</v>
      </c>
      <c r="R487" s="2" t="inlineStr"/>
    </row>
    <row r="488" ht="15" customHeight="1">
      <c r="A488" t="inlineStr">
        <is>
          <t>A 61606-2025</t>
        </is>
      </c>
      <c r="B488" s="1" t="n">
        <v>46002</v>
      </c>
      <c r="C488" s="1" t="n">
        <v>46194</v>
      </c>
      <c r="D488" t="inlineStr">
        <is>
          <t>DALARNAS LÄN</t>
        </is>
      </c>
      <c r="E488" t="inlineStr">
        <is>
          <t>MORA</t>
        </is>
      </c>
      <c r="G488" t="n">
        <v>6.1</v>
      </c>
      <c r="H488" t="n">
        <v>0</v>
      </c>
      <c r="I488" t="n">
        <v>0</v>
      </c>
      <c r="J488" t="n">
        <v>0</v>
      </c>
      <c r="K488" t="n">
        <v>0</v>
      </c>
      <c r="L488" t="n">
        <v>0</v>
      </c>
      <c r="M488" t="n">
        <v>0</v>
      </c>
      <c r="N488" t="n">
        <v>0</v>
      </c>
      <c r="O488" t="n">
        <v>0</v>
      </c>
      <c r="P488" t="n">
        <v>0</v>
      </c>
      <c r="Q488" t="n">
        <v>0</v>
      </c>
      <c r="R488" s="2" t="inlineStr"/>
    </row>
    <row r="489" ht="15" customHeight="1">
      <c r="A489" t="inlineStr">
        <is>
          <t>A 61624-2025</t>
        </is>
      </c>
      <c r="B489" s="1" t="n">
        <v>46002</v>
      </c>
      <c r="C489" s="1" t="n">
        <v>46194</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27696-2026</t>
        </is>
      </c>
      <c r="B490" s="1" t="n">
        <v>46190</v>
      </c>
      <c r="C490" s="1" t="n">
        <v>46194</v>
      </c>
      <c r="D490" t="inlineStr">
        <is>
          <t>DALARNAS LÄN</t>
        </is>
      </c>
      <c r="E490" t="inlineStr">
        <is>
          <t>MORA</t>
        </is>
      </c>
      <c r="F490" t="inlineStr">
        <is>
          <t>Bergvik skog öst AB</t>
        </is>
      </c>
      <c r="G490" t="n">
        <v>3.7</v>
      </c>
      <c r="H490" t="n">
        <v>0</v>
      </c>
      <c r="I490" t="n">
        <v>0</v>
      </c>
      <c r="J490" t="n">
        <v>0</v>
      </c>
      <c r="K490" t="n">
        <v>0</v>
      </c>
      <c r="L490" t="n">
        <v>0</v>
      </c>
      <c r="M490" t="n">
        <v>0</v>
      </c>
      <c r="N490" t="n">
        <v>0</v>
      </c>
      <c r="O490" t="n">
        <v>0</v>
      </c>
      <c r="P490" t="n">
        <v>0</v>
      </c>
      <c r="Q490" t="n">
        <v>0</v>
      </c>
      <c r="R490" s="2" t="inlineStr"/>
    </row>
    <row r="491" ht="15" customHeight="1">
      <c r="A491" t="inlineStr">
        <is>
          <t>A 21480-2026</t>
        </is>
      </c>
      <c r="B491" s="1" t="n">
        <v>46148</v>
      </c>
      <c r="C491" s="1" t="n">
        <v>46194</v>
      </c>
      <c r="D491" t="inlineStr">
        <is>
          <t>DALARNAS LÄN</t>
        </is>
      </c>
      <c r="E491" t="inlineStr">
        <is>
          <t>MORA</t>
        </is>
      </c>
      <c r="G491" t="n">
        <v>12.8</v>
      </c>
      <c r="H491" t="n">
        <v>0</v>
      </c>
      <c r="I491" t="n">
        <v>0</v>
      </c>
      <c r="J491" t="n">
        <v>0</v>
      </c>
      <c r="K491" t="n">
        <v>0</v>
      </c>
      <c r="L491" t="n">
        <v>0</v>
      </c>
      <c r="M491" t="n">
        <v>0</v>
      </c>
      <c r="N491" t="n">
        <v>0</v>
      </c>
      <c r="O491" t="n">
        <v>0</v>
      </c>
      <c r="P491" t="n">
        <v>0</v>
      </c>
      <c r="Q491" t="n">
        <v>0</v>
      </c>
      <c r="R491" s="2" t="inlineStr"/>
    </row>
    <row r="492" ht="15" customHeight="1">
      <c r="A492" t="inlineStr">
        <is>
          <t>A 39511-2024</t>
        </is>
      </c>
      <c r="B492" s="1" t="n">
        <v>45551</v>
      </c>
      <c r="C492" s="1" t="n">
        <v>46194</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56834-2024</t>
        </is>
      </c>
      <c r="B493" s="1" t="n">
        <v>45628</v>
      </c>
      <c r="C493" s="1" t="n">
        <v>46194</v>
      </c>
      <c r="D493" t="inlineStr">
        <is>
          <t>DALARNAS LÄN</t>
        </is>
      </c>
      <c r="E493" t="inlineStr">
        <is>
          <t>MORA</t>
        </is>
      </c>
      <c r="G493" t="n">
        <v>0.4</v>
      </c>
      <c r="H493" t="n">
        <v>0</v>
      </c>
      <c r="I493" t="n">
        <v>0</v>
      </c>
      <c r="J493" t="n">
        <v>0</v>
      </c>
      <c r="K493" t="n">
        <v>0</v>
      </c>
      <c r="L493" t="n">
        <v>0</v>
      </c>
      <c r="M493" t="n">
        <v>0</v>
      </c>
      <c r="N493" t="n">
        <v>0</v>
      </c>
      <c r="O493" t="n">
        <v>0</v>
      </c>
      <c r="P493" t="n">
        <v>0</v>
      </c>
      <c r="Q493" t="n">
        <v>0</v>
      </c>
      <c r="R493" s="2" t="inlineStr"/>
    </row>
    <row r="494" ht="15" customHeight="1">
      <c r="A494" t="inlineStr">
        <is>
          <t>A 21498-2026</t>
        </is>
      </c>
      <c r="B494" s="1" t="n">
        <v>46148</v>
      </c>
      <c r="C494" s="1" t="n">
        <v>46194</v>
      </c>
      <c r="D494" t="inlineStr">
        <is>
          <t>DALARNAS LÄN</t>
        </is>
      </c>
      <c r="E494" t="inlineStr">
        <is>
          <t>MORA</t>
        </is>
      </c>
      <c r="F494" t="inlineStr">
        <is>
          <t>Bergvik skog öst AB</t>
        </is>
      </c>
      <c r="G494" t="n">
        <v>4</v>
      </c>
      <c r="H494" t="n">
        <v>0</v>
      </c>
      <c r="I494" t="n">
        <v>0</v>
      </c>
      <c r="J494" t="n">
        <v>0</v>
      </c>
      <c r="K494" t="n">
        <v>0</v>
      </c>
      <c r="L494" t="n">
        <v>0</v>
      </c>
      <c r="M494" t="n">
        <v>0</v>
      </c>
      <c r="N494" t="n">
        <v>0</v>
      </c>
      <c r="O494" t="n">
        <v>0</v>
      </c>
      <c r="P494" t="n">
        <v>0</v>
      </c>
      <c r="Q494" t="n">
        <v>0</v>
      </c>
      <c r="R494" s="2" t="inlineStr"/>
    </row>
    <row r="495" ht="15" customHeight="1">
      <c r="A495" t="inlineStr">
        <is>
          <t>A 62055-2025</t>
        </is>
      </c>
      <c r="B495" s="1" t="n">
        <v>46006</v>
      </c>
      <c r="C495" s="1" t="n">
        <v>46194</v>
      </c>
      <c r="D495" t="inlineStr">
        <is>
          <t>DALARNAS LÄN</t>
        </is>
      </c>
      <c r="E495" t="inlineStr">
        <is>
          <t>MORA</t>
        </is>
      </c>
      <c r="G495" t="n">
        <v>1.5</v>
      </c>
      <c r="H495" t="n">
        <v>0</v>
      </c>
      <c r="I495" t="n">
        <v>0</v>
      </c>
      <c r="J495" t="n">
        <v>0</v>
      </c>
      <c r="K495" t="n">
        <v>0</v>
      </c>
      <c r="L495" t="n">
        <v>0</v>
      </c>
      <c r="M495" t="n">
        <v>0</v>
      </c>
      <c r="N495" t="n">
        <v>0</v>
      </c>
      <c r="O495" t="n">
        <v>0</v>
      </c>
      <c r="P495" t="n">
        <v>0</v>
      </c>
      <c r="Q495" t="n">
        <v>0</v>
      </c>
      <c r="R495" s="2" t="inlineStr"/>
    </row>
    <row r="496" ht="15" customHeight="1">
      <c r="A496" t="inlineStr">
        <is>
          <t>A 61995-2025</t>
        </is>
      </c>
      <c r="B496" s="1" t="n">
        <v>46003</v>
      </c>
      <c r="C496" s="1" t="n">
        <v>46194</v>
      </c>
      <c r="D496" t="inlineStr">
        <is>
          <t>DALARNAS LÄN</t>
        </is>
      </c>
      <c r="E496" t="inlineStr">
        <is>
          <t>MORA</t>
        </is>
      </c>
      <c r="G496" t="n">
        <v>1.3</v>
      </c>
      <c r="H496" t="n">
        <v>0</v>
      </c>
      <c r="I496" t="n">
        <v>0</v>
      </c>
      <c r="J496" t="n">
        <v>0</v>
      </c>
      <c r="K496" t="n">
        <v>0</v>
      </c>
      <c r="L496" t="n">
        <v>0</v>
      </c>
      <c r="M496" t="n">
        <v>0</v>
      </c>
      <c r="N496" t="n">
        <v>0</v>
      </c>
      <c r="O496" t="n">
        <v>0</v>
      </c>
      <c r="P496" t="n">
        <v>0</v>
      </c>
      <c r="Q496" t="n">
        <v>0</v>
      </c>
      <c r="R496" s="2" t="inlineStr"/>
    </row>
    <row r="497" ht="15" customHeight="1">
      <c r="A497" t="inlineStr">
        <is>
          <t>A 62054-2025</t>
        </is>
      </c>
      <c r="B497" s="1" t="n">
        <v>46006</v>
      </c>
      <c r="C497" s="1" t="n">
        <v>46194</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8068-2024</t>
        </is>
      </c>
      <c r="B498" s="1" t="n">
        <v>45351</v>
      </c>
      <c r="C498" s="1" t="n">
        <v>46194</v>
      </c>
      <c r="D498" t="inlineStr">
        <is>
          <t>DALARNAS LÄN</t>
        </is>
      </c>
      <c r="E498" t="inlineStr">
        <is>
          <t>MORA</t>
        </is>
      </c>
      <c r="G498" t="n">
        <v>6.4</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v>
      </c>
      <c r="C499" s="1" t="n">
        <v>46194</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62626-2025</t>
        </is>
      </c>
      <c r="B500" s="1" t="n">
        <v>46008</v>
      </c>
      <c r="C500" s="1" t="n">
        <v>46194</v>
      </c>
      <c r="D500" t="inlineStr">
        <is>
          <t>DALARNAS LÄN</t>
        </is>
      </c>
      <c r="E500" t="inlineStr">
        <is>
          <t>MORA</t>
        </is>
      </c>
      <c r="G500" t="n">
        <v>6.7</v>
      </c>
      <c r="H500" t="n">
        <v>0</v>
      </c>
      <c r="I500" t="n">
        <v>0</v>
      </c>
      <c r="J500" t="n">
        <v>0</v>
      </c>
      <c r="K500" t="n">
        <v>0</v>
      </c>
      <c r="L500" t="n">
        <v>0</v>
      </c>
      <c r="M500" t="n">
        <v>0</v>
      </c>
      <c r="N500" t="n">
        <v>0</v>
      </c>
      <c r="O500" t="n">
        <v>0</v>
      </c>
      <c r="P500" t="n">
        <v>0</v>
      </c>
      <c r="Q500" t="n">
        <v>0</v>
      </c>
      <c r="R500" s="2" t="inlineStr"/>
    </row>
    <row r="501" ht="15" customHeight="1">
      <c r="A501" t="inlineStr">
        <is>
          <t>A 22854-2023</t>
        </is>
      </c>
      <c r="B501" s="1" t="n">
        <v>45072</v>
      </c>
      <c r="C501" s="1" t="n">
        <v>46194</v>
      </c>
      <c r="D501" t="inlineStr">
        <is>
          <t>DALARNAS LÄN</t>
        </is>
      </c>
      <c r="E501" t="inlineStr">
        <is>
          <t>MORA</t>
        </is>
      </c>
      <c r="G501" t="n">
        <v>3.3</v>
      </c>
      <c r="H501" t="n">
        <v>0</v>
      </c>
      <c r="I501" t="n">
        <v>0</v>
      </c>
      <c r="J501" t="n">
        <v>0</v>
      </c>
      <c r="K501" t="n">
        <v>0</v>
      </c>
      <c r="L501" t="n">
        <v>0</v>
      </c>
      <c r="M501" t="n">
        <v>0</v>
      </c>
      <c r="N501" t="n">
        <v>0</v>
      </c>
      <c r="O501" t="n">
        <v>0</v>
      </c>
      <c r="P501" t="n">
        <v>0</v>
      </c>
      <c r="Q501" t="n">
        <v>0</v>
      </c>
      <c r="R501" s="2" t="inlineStr"/>
    </row>
    <row r="502" ht="15" customHeight="1">
      <c r="A502" t="inlineStr">
        <is>
          <t>A 62548-2025</t>
        </is>
      </c>
      <c r="B502" s="1" t="n">
        <v>46007</v>
      </c>
      <c r="C502" s="1" t="n">
        <v>46194</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36846-2025</t>
        </is>
      </c>
      <c r="B503" s="1" t="n">
        <v>45874</v>
      </c>
      <c r="C503" s="1" t="n">
        <v>46194</v>
      </c>
      <c r="D503" t="inlineStr">
        <is>
          <t>DALARNAS LÄN</t>
        </is>
      </c>
      <c r="E503" t="inlineStr">
        <is>
          <t>MORA</t>
        </is>
      </c>
      <c r="G503" t="n">
        <v>10.7</v>
      </c>
      <c r="H503" t="n">
        <v>0</v>
      </c>
      <c r="I503" t="n">
        <v>0</v>
      </c>
      <c r="J503" t="n">
        <v>0</v>
      </c>
      <c r="K503" t="n">
        <v>0</v>
      </c>
      <c r="L503" t="n">
        <v>0</v>
      </c>
      <c r="M503" t="n">
        <v>0</v>
      </c>
      <c r="N503" t="n">
        <v>0</v>
      </c>
      <c r="O503" t="n">
        <v>0</v>
      </c>
      <c r="P503" t="n">
        <v>0</v>
      </c>
      <c r="Q503" t="n">
        <v>0</v>
      </c>
      <c r="R503" s="2" t="inlineStr"/>
    </row>
    <row r="504" ht="15" customHeight="1">
      <c r="A504" t="inlineStr">
        <is>
          <t>A 62853-2025</t>
        </is>
      </c>
      <c r="B504" s="1" t="n">
        <v>46008</v>
      </c>
      <c r="C504" s="1" t="n">
        <v>46194</v>
      </c>
      <c r="D504" t="inlineStr">
        <is>
          <t>DALARNAS LÄN</t>
        </is>
      </c>
      <c r="E504" t="inlineStr">
        <is>
          <t>MORA</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35521-2023</t>
        </is>
      </c>
      <c r="B505" s="1" t="n">
        <v>45147</v>
      </c>
      <c r="C505" s="1" t="n">
        <v>46194</v>
      </c>
      <c r="D505" t="inlineStr">
        <is>
          <t>DALARNAS LÄN</t>
        </is>
      </c>
      <c r="E505" t="inlineStr">
        <is>
          <t>MORA</t>
        </is>
      </c>
      <c r="G505" t="n">
        <v>3.7</v>
      </c>
      <c r="H505" t="n">
        <v>0</v>
      </c>
      <c r="I505" t="n">
        <v>0</v>
      </c>
      <c r="J505" t="n">
        <v>0</v>
      </c>
      <c r="K505" t="n">
        <v>0</v>
      </c>
      <c r="L505" t="n">
        <v>0</v>
      </c>
      <c r="M505" t="n">
        <v>0</v>
      </c>
      <c r="N505" t="n">
        <v>0</v>
      </c>
      <c r="O505" t="n">
        <v>0</v>
      </c>
      <c r="P505" t="n">
        <v>0</v>
      </c>
      <c r="Q505" t="n">
        <v>0</v>
      </c>
      <c r="R505" s="2" t="inlineStr"/>
    </row>
    <row r="506" ht="15" customHeight="1">
      <c r="A506" t="inlineStr">
        <is>
          <t>A 31112-2024</t>
        </is>
      </c>
      <c r="B506" s="1" t="n">
        <v>45502</v>
      </c>
      <c r="C506" s="1" t="n">
        <v>46194</v>
      </c>
      <c r="D506" t="inlineStr">
        <is>
          <t>DALARNAS LÄN</t>
        </is>
      </c>
      <c r="E506" t="inlineStr">
        <is>
          <t>MORA</t>
        </is>
      </c>
      <c r="G506" t="n">
        <v>0.6</v>
      </c>
      <c r="H506" t="n">
        <v>0</v>
      </c>
      <c r="I506" t="n">
        <v>0</v>
      </c>
      <c r="J506" t="n">
        <v>0</v>
      </c>
      <c r="K506" t="n">
        <v>0</v>
      </c>
      <c r="L506" t="n">
        <v>0</v>
      </c>
      <c r="M506" t="n">
        <v>0</v>
      </c>
      <c r="N506" t="n">
        <v>0</v>
      </c>
      <c r="O506" t="n">
        <v>0</v>
      </c>
      <c r="P506" t="n">
        <v>0</v>
      </c>
      <c r="Q506" t="n">
        <v>0</v>
      </c>
      <c r="R506" s="2" t="inlineStr"/>
    </row>
    <row r="507" ht="15" customHeight="1">
      <c r="A507" t="inlineStr">
        <is>
          <t>A 44205-2023</t>
        </is>
      </c>
      <c r="B507" s="1" t="n">
        <v>45188</v>
      </c>
      <c r="C507" s="1" t="n">
        <v>46194</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62965-2025</t>
        </is>
      </c>
      <c r="B508" s="1" t="n">
        <v>46009</v>
      </c>
      <c r="C508" s="1" t="n">
        <v>46194</v>
      </c>
      <c r="D508" t="inlineStr">
        <is>
          <t>DALARNAS LÄN</t>
        </is>
      </c>
      <c r="E508" t="inlineStr">
        <is>
          <t>MORA</t>
        </is>
      </c>
      <c r="G508" t="n">
        <v>9.1</v>
      </c>
      <c r="H508" t="n">
        <v>0</v>
      </c>
      <c r="I508" t="n">
        <v>0</v>
      </c>
      <c r="J508" t="n">
        <v>0</v>
      </c>
      <c r="K508" t="n">
        <v>0</v>
      </c>
      <c r="L508" t="n">
        <v>0</v>
      </c>
      <c r="M508" t="n">
        <v>0</v>
      </c>
      <c r="N508" t="n">
        <v>0</v>
      </c>
      <c r="O508" t="n">
        <v>0</v>
      </c>
      <c r="P508" t="n">
        <v>0</v>
      </c>
      <c r="Q508" t="n">
        <v>0</v>
      </c>
      <c r="R508" s="2" t="inlineStr"/>
    </row>
    <row r="509" ht="15" customHeight="1">
      <c r="A509" t="inlineStr">
        <is>
          <t>A 37268-2025</t>
        </is>
      </c>
      <c r="B509" s="1" t="n">
        <v>45876</v>
      </c>
      <c r="C509" s="1" t="n">
        <v>46194</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26545-2025</t>
        </is>
      </c>
      <c r="B510" s="1" t="n">
        <v>45807</v>
      </c>
      <c r="C510" s="1" t="n">
        <v>46194</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26546-2025</t>
        </is>
      </c>
      <c r="B511" s="1" t="n">
        <v>45807</v>
      </c>
      <c r="C511" s="1" t="n">
        <v>46194</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26573-2025</t>
        </is>
      </c>
      <c r="B512" s="1" t="n">
        <v>45807</v>
      </c>
      <c r="C512" s="1" t="n">
        <v>46194</v>
      </c>
      <c r="D512" t="inlineStr">
        <is>
          <t>DALARNAS LÄN</t>
        </is>
      </c>
      <c r="E512" t="inlineStr">
        <is>
          <t>MORA</t>
        </is>
      </c>
      <c r="G512" t="n">
        <v>4.3</v>
      </c>
      <c r="H512" t="n">
        <v>0</v>
      </c>
      <c r="I512" t="n">
        <v>0</v>
      </c>
      <c r="J512" t="n">
        <v>0</v>
      </c>
      <c r="K512" t="n">
        <v>0</v>
      </c>
      <c r="L512" t="n">
        <v>0</v>
      </c>
      <c r="M512" t="n">
        <v>0</v>
      </c>
      <c r="N512" t="n">
        <v>0</v>
      </c>
      <c r="O512" t="n">
        <v>0</v>
      </c>
      <c r="P512" t="n">
        <v>0</v>
      </c>
      <c r="Q512" t="n">
        <v>0</v>
      </c>
      <c r="R512" s="2" t="inlineStr"/>
    </row>
    <row r="513" ht="15" customHeight="1">
      <c r="A513" t="inlineStr">
        <is>
          <t>A 18214-2024</t>
        </is>
      </c>
      <c r="B513" s="1" t="n">
        <v>45420</v>
      </c>
      <c r="C513" s="1" t="n">
        <v>46194</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21391-2026</t>
        </is>
      </c>
      <c r="B514" s="1" t="n">
        <v>46147</v>
      </c>
      <c r="C514" s="1" t="n">
        <v>46194</v>
      </c>
      <c r="D514" t="inlineStr">
        <is>
          <t>DALARNAS LÄN</t>
        </is>
      </c>
      <c r="E514" t="inlineStr">
        <is>
          <t>MORA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21393-2026</t>
        </is>
      </c>
      <c r="B515" s="1" t="n">
        <v>46147</v>
      </c>
      <c r="C515" s="1" t="n">
        <v>46194</v>
      </c>
      <c r="D515" t="inlineStr">
        <is>
          <t>DALARNAS LÄN</t>
        </is>
      </c>
      <c r="E515" t="inlineStr">
        <is>
          <t>MORA</t>
        </is>
      </c>
      <c r="F515" t="inlineStr">
        <is>
          <t>Bergvik skog öst AB</t>
        </is>
      </c>
      <c r="G515" t="n">
        <v>1.7</v>
      </c>
      <c r="H515" t="n">
        <v>0</v>
      </c>
      <c r="I515" t="n">
        <v>0</v>
      </c>
      <c r="J515" t="n">
        <v>0</v>
      </c>
      <c r="K515" t="n">
        <v>0</v>
      </c>
      <c r="L515" t="n">
        <v>0</v>
      </c>
      <c r="M515" t="n">
        <v>0</v>
      </c>
      <c r="N515" t="n">
        <v>0</v>
      </c>
      <c r="O515" t="n">
        <v>0</v>
      </c>
      <c r="P515" t="n">
        <v>0</v>
      </c>
      <c r="Q515" t="n">
        <v>0</v>
      </c>
      <c r="R515" s="2" t="inlineStr"/>
    </row>
    <row r="516" ht="15" customHeight="1">
      <c r="A516" t="inlineStr">
        <is>
          <t>A 26577-2025</t>
        </is>
      </c>
      <c r="B516" s="1" t="n">
        <v>45807</v>
      </c>
      <c r="C516" s="1" t="n">
        <v>46194</v>
      </c>
      <c r="D516" t="inlineStr">
        <is>
          <t>DALARNAS LÄN</t>
        </is>
      </c>
      <c r="E516" t="inlineStr">
        <is>
          <t>MORA</t>
        </is>
      </c>
      <c r="G516" t="n">
        <v>2.8</v>
      </c>
      <c r="H516" t="n">
        <v>0</v>
      </c>
      <c r="I516" t="n">
        <v>0</v>
      </c>
      <c r="J516" t="n">
        <v>0</v>
      </c>
      <c r="K516" t="n">
        <v>0</v>
      </c>
      <c r="L516" t="n">
        <v>0</v>
      </c>
      <c r="M516" t="n">
        <v>0</v>
      </c>
      <c r="N516" t="n">
        <v>0</v>
      </c>
      <c r="O516" t="n">
        <v>0</v>
      </c>
      <c r="P516" t="n">
        <v>0</v>
      </c>
      <c r="Q516" t="n">
        <v>0</v>
      </c>
      <c r="R516" s="2" t="inlineStr"/>
    </row>
    <row r="517" ht="15" customHeight="1">
      <c r="A517" t="inlineStr">
        <is>
          <t>A 62959-2025</t>
        </is>
      </c>
      <c r="B517" s="1" t="n">
        <v>46009</v>
      </c>
      <c r="C517" s="1" t="n">
        <v>46194</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63692-2025</t>
        </is>
      </c>
      <c r="B518" s="1" t="n">
        <v>46014</v>
      </c>
      <c r="C518" s="1" t="n">
        <v>46194</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63457-2025</t>
        </is>
      </c>
      <c r="B519" s="1" t="n">
        <v>46013</v>
      </c>
      <c r="C519" s="1" t="n">
        <v>46194</v>
      </c>
      <c r="D519" t="inlineStr">
        <is>
          <t>DALARNAS LÄN</t>
        </is>
      </c>
      <c r="E519" t="inlineStr">
        <is>
          <t>MORA</t>
        </is>
      </c>
      <c r="F519" t="inlineStr">
        <is>
          <t>Allmännings- och besparingsskogar</t>
        </is>
      </c>
      <c r="G519" t="n">
        <v>34.4</v>
      </c>
      <c r="H519" t="n">
        <v>0</v>
      </c>
      <c r="I519" t="n">
        <v>0</v>
      </c>
      <c r="J519" t="n">
        <v>0</v>
      </c>
      <c r="K519" t="n">
        <v>0</v>
      </c>
      <c r="L519" t="n">
        <v>0</v>
      </c>
      <c r="M519" t="n">
        <v>0</v>
      </c>
      <c r="N519" t="n">
        <v>0</v>
      </c>
      <c r="O519" t="n">
        <v>0</v>
      </c>
      <c r="P519" t="n">
        <v>0</v>
      </c>
      <c r="Q519" t="n">
        <v>0</v>
      </c>
      <c r="R519" s="2" t="inlineStr"/>
    </row>
    <row r="520" ht="15" customHeight="1">
      <c r="A520" t="inlineStr">
        <is>
          <t>A 63689-2025</t>
        </is>
      </c>
      <c r="B520" s="1" t="n">
        <v>46014</v>
      </c>
      <c r="C520" s="1" t="n">
        <v>46194</v>
      </c>
      <c r="D520" t="inlineStr">
        <is>
          <t>DALARNAS LÄN</t>
        </is>
      </c>
      <c r="E520" t="inlineStr">
        <is>
          <t>MORA</t>
        </is>
      </c>
      <c r="G520" t="n">
        <v>2.2</v>
      </c>
      <c r="H520" t="n">
        <v>0</v>
      </c>
      <c r="I520" t="n">
        <v>0</v>
      </c>
      <c r="J520" t="n">
        <v>0</v>
      </c>
      <c r="K520" t="n">
        <v>0</v>
      </c>
      <c r="L520" t="n">
        <v>0</v>
      </c>
      <c r="M520" t="n">
        <v>0</v>
      </c>
      <c r="N520" t="n">
        <v>0</v>
      </c>
      <c r="O520" t="n">
        <v>0</v>
      </c>
      <c r="P520" t="n">
        <v>0</v>
      </c>
      <c r="Q520" t="n">
        <v>0</v>
      </c>
      <c r="R520" s="2" t="inlineStr"/>
    </row>
    <row r="521" ht="15" customHeight="1">
      <c r="A521" t="inlineStr">
        <is>
          <t>A 63434-2025</t>
        </is>
      </c>
      <c r="B521" s="1" t="n">
        <v>46013</v>
      </c>
      <c r="C521" s="1" t="n">
        <v>46194</v>
      </c>
      <c r="D521" t="inlineStr">
        <is>
          <t>DALARNAS LÄN</t>
        </is>
      </c>
      <c r="E521" t="inlineStr">
        <is>
          <t>MORA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37879-2025</t>
        </is>
      </c>
      <c r="B522" s="1" t="n">
        <v>45881</v>
      </c>
      <c r="C522" s="1" t="n">
        <v>46194</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52599-2025</t>
        </is>
      </c>
      <c r="B523" s="1" t="n">
        <v>45954</v>
      </c>
      <c r="C523" s="1" t="n">
        <v>46194</v>
      </c>
      <c r="D523" t="inlineStr">
        <is>
          <t>DALARNAS LÄN</t>
        </is>
      </c>
      <c r="E523" t="inlineStr">
        <is>
          <t>MORA</t>
        </is>
      </c>
      <c r="G523" t="n">
        <v>10.8</v>
      </c>
      <c r="H523" t="n">
        <v>0</v>
      </c>
      <c r="I523" t="n">
        <v>0</v>
      </c>
      <c r="J523" t="n">
        <v>0</v>
      </c>
      <c r="K523" t="n">
        <v>0</v>
      </c>
      <c r="L523" t="n">
        <v>0</v>
      </c>
      <c r="M523" t="n">
        <v>0</v>
      </c>
      <c r="N523" t="n">
        <v>0</v>
      </c>
      <c r="O523" t="n">
        <v>0</v>
      </c>
      <c r="P523" t="n">
        <v>0</v>
      </c>
      <c r="Q523" t="n">
        <v>0</v>
      </c>
      <c r="R523" s="2" t="inlineStr"/>
    </row>
    <row r="524" ht="15" customHeight="1">
      <c r="A524" t="inlineStr">
        <is>
          <t>A 63431-2025</t>
        </is>
      </c>
      <c r="B524" s="1" t="n">
        <v>46013</v>
      </c>
      <c r="C524" s="1" t="n">
        <v>46194</v>
      </c>
      <c r="D524" t="inlineStr">
        <is>
          <t>DALARNAS LÄN</t>
        </is>
      </c>
      <c r="E524" t="inlineStr">
        <is>
          <t>MORA</t>
        </is>
      </c>
      <c r="F524" t="inlineStr">
        <is>
          <t>Allmännings- och besparingsskogar</t>
        </is>
      </c>
      <c r="G524" t="n">
        <v>5.7</v>
      </c>
      <c r="H524" t="n">
        <v>0</v>
      </c>
      <c r="I524" t="n">
        <v>0</v>
      </c>
      <c r="J524" t="n">
        <v>0</v>
      </c>
      <c r="K524" t="n">
        <v>0</v>
      </c>
      <c r="L524" t="n">
        <v>0</v>
      </c>
      <c r="M524" t="n">
        <v>0</v>
      </c>
      <c r="N524" t="n">
        <v>0</v>
      </c>
      <c r="O524" t="n">
        <v>0</v>
      </c>
      <c r="P524" t="n">
        <v>0</v>
      </c>
      <c r="Q524" t="n">
        <v>0</v>
      </c>
      <c r="R524" s="2" t="inlineStr"/>
    </row>
    <row r="525" ht="15" customHeight="1">
      <c r="A525" t="inlineStr">
        <is>
          <t>A 53527-2024</t>
        </is>
      </c>
      <c r="B525" s="1" t="n">
        <v>45614</v>
      </c>
      <c r="C525" s="1" t="n">
        <v>46194</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63596-2025</t>
        </is>
      </c>
      <c r="B526" s="1" t="n">
        <v>46013</v>
      </c>
      <c r="C526" s="1" t="n">
        <v>46194</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27886-2026</t>
        </is>
      </c>
      <c r="B527" s="1" t="n">
        <v>46191</v>
      </c>
      <c r="C527" s="1" t="n">
        <v>46194</v>
      </c>
      <c r="D527" t="inlineStr">
        <is>
          <t>DALARNAS LÄN</t>
        </is>
      </c>
      <c r="E527" t="inlineStr">
        <is>
          <t>MORA</t>
        </is>
      </c>
      <c r="G527" t="n">
        <v>2.4</v>
      </c>
      <c r="H527" t="n">
        <v>0</v>
      </c>
      <c r="I527" t="n">
        <v>0</v>
      </c>
      <c r="J527" t="n">
        <v>0</v>
      </c>
      <c r="K527" t="n">
        <v>0</v>
      </c>
      <c r="L527" t="n">
        <v>0</v>
      </c>
      <c r="M527" t="n">
        <v>0</v>
      </c>
      <c r="N527" t="n">
        <v>0</v>
      </c>
      <c r="O527" t="n">
        <v>0</v>
      </c>
      <c r="P527" t="n">
        <v>0</v>
      </c>
      <c r="Q527" t="n">
        <v>0</v>
      </c>
      <c r="R527" s="2" t="inlineStr"/>
    </row>
    <row r="528" ht="15" customHeight="1">
      <c r="A528" t="inlineStr">
        <is>
          <t>A 46152-2023</t>
        </is>
      </c>
      <c r="B528" s="1" t="n">
        <v>45196</v>
      </c>
      <c r="C528" s="1" t="n">
        <v>46194</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61278-2024</t>
        </is>
      </c>
      <c r="B529" s="1" t="n">
        <v>45645</v>
      </c>
      <c r="C529" s="1" t="n">
        <v>46194</v>
      </c>
      <c r="D529" t="inlineStr">
        <is>
          <t>DALARNAS LÄN</t>
        </is>
      </c>
      <c r="E529" t="inlineStr">
        <is>
          <t>MORA</t>
        </is>
      </c>
      <c r="G529" t="n">
        <v>1.1</v>
      </c>
      <c r="H529" t="n">
        <v>0</v>
      </c>
      <c r="I529" t="n">
        <v>0</v>
      </c>
      <c r="J529" t="n">
        <v>0</v>
      </c>
      <c r="K529" t="n">
        <v>0</v>
      </c>
      <c r="L529" t="n">
        <v>0</v>
      </c>
      <c r="M529" t="n">
        <v>0</v>
      </c>
      <c r="N529" t="n">
        <v>0</v>
      </c>
      <c r="O529" t="n">
        <v>0</v>
      </c>
      <c r="P529" t="n">
        <v>0</v>
      </c>
      <c r="Q529" t="n">
        <v>0</v>
      </c>
      <c r="R529" s="2" t="inlineStr"/>
    </row>
    <row r="530" ht="15" customHeight="1">
      <c r="A530" t="inlineStr">
        <is>
          <t>A 27938-2026</t>
        </is>
      </c>
      <c r="B530" s="1" t="n">
        <v>46191</v>
      </c>
      <c r="C530" s="1" t="n">
        <v>46194</v>
      </c>
      <c r="D530" t="inlineStr">
        <is>
          <t>DALARNAS LÄN</t>
        </is>
      </c>
      <c r="E530" t="inlineStr">
        <is>
          <t>MORA</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27939-2026</t>
        </is>
      </c>
      <c r="B531" s="1" t="n">
        <v>46191</v>
      </c>
      <c r="C531" s="1" t="n">
        <v>46194</v>
      </c>
      <c r="D531" t="inlineStr">
        <is>
          <t>DALARNAS LÄN</t>
        </is>
      </c>
      <c r="E531" t="inlineStr">
        <is>
          <t>MORA</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42035-2022</t>
        </is>
      </c>
      <c r="B532" s="1" t="n">
        <v>44830</v>
      </c>
      <c r="C532" s="1" t="n">
        <v>46194</v>
      </c>
      <c r="D532" t="inlineStr">
        <is>
          <t>DALARNAS LÄN</t>
        </is>
      </c>
      <c r="E532" t="inlineStr">
        <is>
          <t>MORA</t>
        </is>
      </c>
      <c r="G532" t="n">
        <v>2.7</v>
      </c>
      <c r="H532" t="n">
        <v>0</v>
      </c>
      <c r="I532" t="n">
        <v>0</v>
      </c>
      <c r="J532" t="n">
        <v>0</v>
      </c>
      <c r="K532" t="n">
        <v>0</v>
      </c>
      <c r="L532" t="n">
        <v>0</v>
      </c>
      <c r="M532" t="n">
        <v>0</v>
      </c>
      <c r="N532" t="n">
        <v>0</v>
      </c>
      <c r="O532" t="n">
        <v>0</v>
      </c>
      <c r="P532" t="n">
        <v>0</v>
      </c>
      <c r="Q532" t="n">
        <v>0</v>
      </c>
      <c r="R532" s="2" t="inlineStr"/>
    </row>
    <row r="533" ht="15" customHeight="1">
      <c r="A533" t="inlineStr">
        <is>
          <t>A 22909-2026</t>
        </is>
      </c>
      <c r="B533" s="1" t="n">
        <v>46160</v>
      </c>
      <c r="C533" s="1" t="n">
        <v>46194</v>
      </c>
      <c r="D533" t="inlineStr">
        <is>
          <t>DALARNAS LÄN</t>
        </is>
      </c>
      <c r="E533" t="inlineStr">
        <is>
          <t>MORA</t>
        </is>
      </c>
      <c r="G533" t="n">
        <v>3.5</v>
      </c>
      <c r="H533" t="n">
        <v>0</v>
      </c>
      <c r="I533" t="n">
        <v>0</v>
      </c>
      <c r="J533" t="n">
        <v>0</v>
      </c>
      <c r="K533" t="n">
        <v>0</v>
      </c>
      <c r="L533" t="n">
        <v>0</v>
      </c>
      <c r="M533" t="n">
        <v>0</v>
      </c>
      <c r="N533" t="n">
        <v>0</v>
      </c>
      <c r="O533" t="n">
        <v>0</v>
      </c>
      <c r="P533" t="n">
        <v>0</v>
      </c>
      <c r="Q533" t="n">
        <v>0</v>
      </c>
      <c r="R533" s="2" t="inlineStr"/>
    </row>
    <row r="534" ht="15" customHeight="1">
      <c r="A534" t="inlineStr">
        <is>
          <t>A 141-2026</t>
        </is>
      </c>
      <c r="B534" s="1" t="n">
        <v>46024</v>
      </c>
      <c r="C534" s="1" t="n">
        <v>46194</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5980-2025</t>
        </is>
      </c>
      <c r="B535" s="1" t="n">
        <v>45695</v>
      </c>
      <c r="C535" s="1" t="n">
        <v>46194</v>
      </c>
      <c r="D535" t="inlineStr">
        <is>
          <t>DALARNAS LÄN</t>
        </is>
      </c>
      <c r="E535" t="inlineStr">
        <is>
          <t>MORA</t>
        </is>
      </c>
      <c r="G535" t="n">
        <v>2.7</v>
      </c>
      <c r="H535" t="n">
        <v>0</v>
      </c>
      <c r="I535" t="n">
        <v>0</v>
      </c>
      <c r="J535" t="n">
        <v>0</v>
      </c>
      <c r="K535" t="n">
        <v>0</v>
      </c>
      <c r="L535" t="n">
        <v>0</v>
      </c>
      <c r="M535" t="n">
        <v>0</v>
      </c>
      <c r="N535" t="n">
        <v>0</v>
      </c>
      <c r="O535" t="n">
        <v>0</v>
      </c>
      <c r="P535" t="n">
        <v>0</v>
      </c>
      <c r="Q535" t="n">
        <v>0</v>
      </c>
      <c r="R535" s="2" t="inlineStr"/>
    </row>
    <row r="536" ht="15" customHeight="1">
      <c r="A536" t="inlineStr">
        <is>
          <t>A 27936-2026</t>
        </is>
      </c>
      <c r="B536" s="1" t="n">
        <v>46191</v>
      </c>
      <c r="C536" s="1" t="n">
        <v>46194</v>
      </c>
      <c r="D536" t="inlineStr">
        <is>
          <t>DALARNAS LÄN</t>
        </is>
      </c>
      <c r="E536" t="inlineStr">
        <is>
          <t>MORA</t>
        </is>
      </c>
      <c r="F536" t="inlineStr">
        <is>
          <t>Bergvik skog väst AB</t>
        </is>
      </c>
      <c r="G536" t="n">
        <v>10</v>
      </c>
      <c r="H536" t="n">
        <v>0</v>
      </c>
      <c r="I536" t="n">
        <v>0</v>
      </c>
      <c r="J536" t="n">
        <v>0</v>
      </c>
      <c r="K536" t="n">
        <v>0</v>
      </c>
      <c r="L536" t="n">
        <v>0</v>
      </c>
      <c r="M536" t="n">
        <v>0</v>
      </c>
      <c r="N536" t="n">
        <v>0</v>
      </c>
      <c r="O536" t="n">
        <v>0</v>
      </c>
      <c r="P536" t="n">
        <v>0</v>
      </c>
      <c r="Q536" t="n">
        <v>0</v>
      </c>
      <c r="R536" s="2" t="inlineStr"/>
    </row>
    <row r="537" ht="15" customHeight="1">
      <c r="A537" t="inlineStr">
        <is>
          <t>A 9599-2022</t>
        </is>
      </c>
      <c r="B537" s="1" t="n">
        <v>44617</v>
      </c>
      <c r="C537" s="1" t="n">
        <v>46194</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60962-2025</t>
        </is>
      </c>
      <c r="B538" s="1" t="n">
        <v>45999</v>
      </c>
      <c r="C538" s="1" t="n">
        <v>46194</v>
      </c>
      <c r="D538" t="inlineStr">
        <is>
          <t>DALARNAS LÄN</t>
        </is>
      </c>
      <c r="E538" t="inlineStr">
        <is>
          <t>MORA</t>
        </is>
      </c>
      <c r="G538" t="n">
        <v>2</v>
      </c>
      <c r="H538" t="n">
        <v>0</v>
      </c>
      <c r="I538" t="n">
        <v>0</v>
      </c>
      <c r="J538" t="n">
        <v>0</v>
      </c>
      <c r="K538" t="n">
        <v>0</v>
      </c>
      <c r="L538" t="n">
        <v>0</v>
      </c>
      <c r="M538" t="n">
        <v>0</v>
      </c>
      <c r="N538" t="n">
        <v>0</v>
      </c>
      <c r="O538" t="n">
        <v>0</v>
      </c>
      <c r="P538" t="n">
        <v>0</v>
      </c>
      <c r="Q538" t="n">
        <v>0</v>
      </c>
      <c r="R538" s="2" t="inlineStr"/>
    </row>
    <row r="539" ht="15" customHeight="1">
      <c r="A539" t="inlineStr">
        <is>
          <t>A 51883-2024</t>
        </is>
      </c>
      <c r="B539" s="1" t="n">
        <v>45607</v>
      </c>
      <c r="C539" s="1" t="n">
        <v>46194</v>
      </c>
      <c r="D539" t="inlineStr">
        <is>
          <t>DALARNAS LÄN</t>
        </is>
      </c>
      <c r="E539" t="inlineStr">
        <is>
          <t>MORA</t>
        </is>
      </c>
      <c r="G539" t="n">
        <v>0.2</v>
      </c>
      <c r="H539" t="n">
        <v>0</v>
      </c>
      <c r="I539" t="n">
        <v>0</v>
      </c>
      <c r="J539" t="n">
        <v>0</v>
      </c>
      <c r="K539" t="n">
        <v>0</v>
      </c>
      <c r="L539" t="n">
        <v>0</v>
      </c>
      <c r="M539" t="n">
        <v>0</v>
      </c>
      <c r="N539" t="n">
        <v>0</v>
      </c>
      <c r="O539" t="n">
        <v>0</v>
      </c>
      <c r="P539" t="n">
        <v>0</v>
      </c>
      <c r="Q539" t="n">
        <v>0</v>
      </c>
      <c r="R539" s="2" t="inlineStr"/>
    </row>
    <row r="540" ht="15" customHeight="1">
      <c r="A540" t="inlineStr">
        <is>
          <t>A 38627-2023</t>
        </is>
      </c>
      <c r="B540" s="1" t="n">
        <v>45162</v>
      </c>
      <c r="C540" s="1" t="n">
        <v>46194</v>
      </c>
      <c r="D540" t="inlineStr">
        <is>
          <t>DALARNAS LÄN</t>
        </is>
      </c>
      <c r="E540" t="inlineStr">
        <is>
          <t>MORA</t>
        </is>
      </c>
      <c r="G540" t="n">
        <v>6.5</v>
      </c>
      <c r="H540" t="n">
        <v>0</v>
      </c>
      <c r="I540" t="n">
        <v>0</v>
      </c>
      <c r="J540" t="n">
        <v>0</v>
      </c>
      <c r="K540" t="n">
        <v>0</v>
      </c>
      <c r="L540" t="n">
        <v>0</v>
      </c>
      <c r="M540" t="n">
        <v>0</v>
      </c>
      <c r="N540" t="n">
        <v>0</v>
      </c>
      <c r="O540" t="n">
        <v>0</v>
      </c>
      <c r="P540" t="n">
        <v>0</v>
      </c>
      <c r="Q540" t="n">
        <v>0</v>
      </c>
      <c r="R540" s="2" t="inlineStr"/>
    </row>
    <row r="541" ht="15" customHeight="1">
      <c r="A541" t="inlineStr">
        <is>
          <t>A 16637-2025</t>
        </is>
      </c>
      <c r="B541" s="1" t="n">
        <v>45754</v>
      </c>
      <c r="C541" s="1" t="n">
        <v>46194</v>
      </c>
      <c r="D541" t="inlineStr">
        <is>
          <t>DALARNAS LÄN</t>
        </is>
      </c>
      <c r="E541" t="inlineStr">
        <is>
          <t>MORA</t>
        </is>
      </c>
      <c r="G541" t="n">
        <v>1.1</v>
      </c>
      <c r="H541" t="n">
        <v>0</v>
      </c>
      <c r="I541" t="n">
        <v>0</v>
      </c>
      <c r="J541" t="n">
        <v>0</v>
      </c>
      <c r="K541" t="n">
        <v>0</v>
      </c>
      <c r="L541" t="n">
        <v>0</v>
      </c>
      <c r="M541" t="n">
        <v>0</v>
      </c>
      <c r="N541" t="n">
        <v>0</v>
      </c>
      <c r="O541" t="n">
        <v>0</v>
      </c>
      <c r="P541" t="n">
        <v>0</v>
      </c>
      <c r="Q541" t="n">
        <v>0</v>
      </c>
      <c r="R541" s="2" t="inlineStr"/>
    </row>
    <row r="542" ht="15" customHeight="1">
      <c r="A542" t="inlineStr">
        <is>
          <t>A 48570-2022</t>
        </is>
      </c>
      <c r="B542" s="1" t="n">
        <v>44859</v>
      </c>
      <c r="C542" s="1" t="n">
        <v>46194</v>
      </c>
      <c r="D542" t="inlineStr">
        <is>
          <t>DALARNAS LÄN</t>
        </is>
      </c>
      <c r="E542" t="inlineStr">
        <is>
          <t>MORA</t>
        </is>
      </c>
      <c r="G542" t="n">
        <v>6.2</v>
      </c>
      <c r="H542" t="n">
        <v>0</v>
      </c>
      <c r="I542" t="n">
        <v>0</v>
      </c>
      <c r="J542" t="n">
        <v>0</v>
      </c>
      <c r="K542" t="n">
        <v>0</v>
      </c>
      <c r="L542" t="n">
        <v>0</v>
      </c>
      <c r="M542" t="n">
        <v>0</v>
      </c>
      <c r="N542" t="n">
        <v>0</v>
      </c>
      <c r="O542" t="n">
        <v>0</v>
      </c>
      <c r="P542" t="n">
        <v>0</v>
      </c>
      <c r="Q542" t="n">
        <v>0</v>
      </c>
      <c r="R542" s="2" t="inlineStr"/>
    </row>
    <row r="543" ht="15" customHeight="1">
      <c r="A543" t="inlineStr">
        <is>
          <t>A 49991-2023</t>
        </is>
      </c>
      <c r="B543" s="1" t="n">
        <v>45215</v>
      </c>
      <c r="C543" s="1" t="n">
        <v>46194</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27792-2026</t>
        </is>
      </c>
      <c r="B544" s="1" t="n">
        <v>46191</v>
      </c>
      <c r="C544" s="1" t="n">
        <v>46194</v>
      </c>
      <c r="D544" t="inlineStr">
        <is>
          <t>DALARNAS LÄN</t>
        </is>
      </c>
      <c r="E544" t="inlineStr">
        <is>
          <t>MORA</t>
        </is>
      </c>
      <c r="F544" t="inlineStr">
        <is>
          <t>Bergvik skog väst AB</t>
        </is>
      </c>
      <c r="G544" t="n">
        <v>5.4</v>
      </c>
      <c r="H544" t="n">
        <v>0</v>
      </c>
      <c r="I544" t="n">
        <v>0</v>
      </c>
      <c r="J544" t="n">
        <v>0</v>
      </c>
      <c r="K544" t="n">
        <v>0</v>
      </c>
      <c r="L544" t="n">
        <v>0</v>
      </c>
      <c r="M544" t="n">
        <v>0</v>
      </c>
      <c r="N544" t="n">
        <v>0</v>
      </c>
      <c r="O544" t="n">
        <v>0</v>
      </c>
      <c r="P544" t="n">
        <v>0</v>
      </c>
      <c r="Q544" t="n">
        <v>0</v>
      </c>
      <c r="R544" s="2" t="inlineStr"/>
    </row>
    <row r="545" ht="15" customHeight="1">
      <c r="A545" t="inlineStr">
        <is>
          <t>A 20401-2022</t>
        </is>
      </c>
      <c r="B545" s="1" t="n">
        <v>44699</v>
      </c>
      <c r="C545" s="1" t="n">
        <v>46194</v>
      </c>
      <c r="D545" t="inlineStr">
        <is>
          <t>DALARNAS LÄN</t>
        </is>
      </c>
      <c r="E545" t="inlineStr">
        <is>
          <t>MORA</t>
        </is>
      </c>
      <c r="G545" t="n">
        <v>3.2</v>
      </c>
      <c r="H545" t="n">
        <v>0</v>
      </c>
      <c r="I545" t="n">
        <v>0</v>
      </c>
      <c r="J545" t="n">
        <v>0</v>
      </c>
      <c r="K545" t="n">
        <v>0</v>
      </c>
      <c r="L545" t="n">
        <v>0</v>
      </c>
      <c r="M545" t="n">
        <v>0</v>
      </c>
      <c r="N545" t="n">
        <v>0</v>
      </c>
      <c r="O545" t="n">
        <v>0</v>
      </c>
      <c r="P545" t="n">
        <v>0</v>
      </c>
      <c r="Q545" t="n">
        <v>0</v>
      </c>
      <c r="R545" s="2" t="inlineStr"/>
    </row>
    <row r="546" ht="15" customHeight="1">
      <c r="A546" t="inlineStr">
        <is>
          <t>A 18120-2025</t>
        </is>
      </c>
      <c r="B546" s="1" t="n">
        <v>45761</v>
      </c>
      <c r="C546" s="1" t="n">
        <v>46194</v>
      </c>
      <c r="D546" t="inlineStr">
        <is>
          <t>DALARNAS LÄN</t>
        </is>
      </c>
      <c r="E546" t="inlineStr">
        <is>
          <t>MORA</t>
        </is>
      </c>
      <c r="F546" t="inlineStr">
        <is>
          <t>Bergvik skog väst AB</t>
        </is>
      </c>
      <c r="G546" t="n">
        <v>6.4</v>
      </c>
      <c r="H546" t="n">
        <v>0</v>
      </c>
      <c r="I546" t="n">
        <v>0</v>
      </c>
      <c r="J546" t="n">
        <v>0</v>
      </c>
      <c r="K546" t="n">
        <v>0</v>
      </c>
      <c r="L546" t="n">
        <v>0</v>
      </c>
      <c r="M546" t="n">
        <v>0</v>
      </c>
      <c r="N546" t="n">
        <v>0</v>
      </c>
      <c r="O546" t="n">
        <v>0</v>
      </c>
      <c r="P546" t="n">
        <v>0</v>
      </c>
      <c r="Q546" t="n">
        <v>0</v>
      </c>
      <c r="R546" s="2" t="inlineStr"/>
    </row>
    <row r="547" ht="15" customHeight="1">
      <c r="A547" t="inlineStr">
        <is>
          <t>A 18127-2025</t>
        </is>
      </c>
      <c r="B547" s="1" t="n">
        <v>45761</v>
      </c>
      <c r="C547" s="1" t="n">
        <v>46194</v>
      </c>
      <c r="D547" t="inlineStr">
        <is>
          <t>DALARNAS LÄN</t>
        </is>
      </c>
      <c r="E547" t="inlineStr">
        <is>
          <t>MORA</t>
        </is>
      </c>
      <c r="F547" t="inlineStr">
        <is>
          <t>Bergvik skog öst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46194</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20544-2025</t>
        </is>
      </c>
      <c r="B549" s="1" t="n">
        <v>45775</v>
      </c>
      <c r="C549" s="1" t="n">
        <v>46194</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27901-2026</t>
        </is>
      </c>
      <c r="B550" s="1" t="n">
        <v>46191</v>
      </c>
      <c r="C550" s="1" t="n">
        <v>46194</v>
      </c>
      <c r="D550" t="inlineStr">
        <is>
          <t>DALARNAS LÄN</t>
        </is>
      </c>
      <c r="E550" t="inlineStr">
        <is>
          <t>MORA</t>
        </is>
      </c>
      <c r="G550" t="n">
        <v>1.7</v>
      </c>
      <c r="H550" t="n">
        <v>0</v>
      </c>
      <c r="I550" t="n">
        <v>0</v>
      </c>
      <c r="J550" t="n">
        <v>0</v>
      </c>
      <c r="K550" t="n">
        <v>0</v>
      </c>
      <c r="L550" t="n">
        <v>0</v>
      </c>
      <c r="M550" t="n">
        <v>0</v>
      </c>
      <c r="N550" t="n">
        <v>0</v>
      </c>
      <c r="O550" t="n">
        <v>0</v>
      </c>
      <c r="P550" t="n">
        <v>0</v>
      </c>
      <c r="Q550" t="n">
        <v>0</v>
      </c>
      <c r="R550" s="2" t="inlineStr"/>
    </row>
    <row r="551" ht="15" customHeight="1">
      <c r="A551" t="inlineStr">
        <is>
          <t>A 36740-2023</t>
        </is>
      </c>
      <c r="B551" s="1" t="n">
        <v>45153</v>
      </c>
      <c r="C551" s="1" t="n">
        <v>46194</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27885-2026</t>
        </is>
      </c>
      <c r="B552" s="1" t="n">
        <v>46191</v>
      </c>
      <c r="C552" s="1" t="n">
        <v>46194</v>
      </c>
      <c r="D552" t="inlineStr">
        <is>
          <t>DALARNAS LÄN</t>
        </is>
      </c>
      <c r="E552" t="inlineStr">
        <is>
          <t>MORA</t>
        </is>
      </c>
      <c r="F552" t="inlineStr">
        <is>
          <t>Bergvik skog väst AB</t>
        </is>
      </c>
      <c r="G552" t="n">
        <v>9.5</v>
      </c>
      <c r="H552" t="n">
        <v>0</v>
      </c>
      <c r="I552" t="n">
        <v>0</v>
      </c>
      <c r="J552" t="n">
        <v>0</v>
      </c>
      <c r="K552" t="n">
        <v>0</v>
      </c>
      <c r="L552" t="n">
        <v>0</v>
      </c>
      <c r="M552" t="n">
        <v>0</v>
      </c>
      <c r="N552" t="n">
        <v>0</v>
      </c>
      <c r="O552" t="n">
        <v>0</v>
      </c>
      <c r="P552" t="n">
        <v>0</v>
      </c>
      <c r="Q552" t="n">
        <v>0</v>
      </c>
      <c r="R552" s="2" t="inlineStr"/>
    </row>
    <row r="553" ht="15" customHeight="1">
      <c r="A553" t="inlineStr">
        <is>
          <t>A 2995-2026</t>
        </is>
      </c>
      <c r="B553" s="1" t="n">
        <v>46038</v>
      </c>
      <c r="C553" s="1" t="n">
        <v>46194</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46194</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35381-2024</t>
        </is>
      </c>
      <c r="B555" s="1" t="n">
        <v>45531</v>
      </c>
      <c r="C555" s="1" t="n">
        <v>46194</v>
      </c>
      <c r="D555" t="inlineStr">
        <is>
          <t>DALARNAS LÄN</t>
        </is>
      </c>
      <c r="E555" t="inlineStr">
        <is>
          <t>MORA</t>
        </is>
      </c>
      <c r="G555" t="n">
        <v>3.7</v>
      </c>
      <c r="H555" t="n">
        <v>0</v>
      </c>
      <c r="I555" t="n">
        <v>0</v>
      </c>
      <c r="J555" t="n">
        <v>0</v>
      </c>
      <c r="K555" t="n">
        <v>0</v>
      </c>
      <c r="L555" t="n">
        <v>0</v>
      </c>
      <c r="M555" t="n">
        <v>0</v>
      </c>
      <c r="N555" t="n">
        <v>0</v>
      </c>
      <c r="O555" t="n">
        <v>0</v>
      </c>
      <c r="P555" t="n">
        <v>0</v>
      </c>
      <c r="Q555" t="n">
        <v>0</v>
      </c>
      <c r="R555" s="2" t="inlineStr"/>
    </row>
    <row r="556" ht="15" customHeight="1">
      <c r="A556" t="inlineStr">
        <is>
          <t>A 27871-2026</t>
        </is>
      </c>
      <c r="B556" s="1" t="n">
        <v>46191</v>
      </c>
      <c r="C556" s="1" t="n">
        <v>46194</v>
      </c>
      <c r="D556" t="inlineStr">
        <is>
          <t>DALARNAS LÄN</t>
        </is>
      </c>
      <c r="E556" t="inlineStr">
        <is>
          <t>MORA</t>
        </is>
      </c>
      <c r="F556" t="inlineStr">
        <is>
          <t>Bergvik skog väst AB</t>
        </is>
      </c>
      <c r="G556" t="n">
        <v>4</v>
      </c>
      <c r="H556" t="n">
        <v>0</v>
      </c>
      <c r="I556" t="n">
        <v>0</v>
      </c>
      <c r="J556" t="n">
        <v>0</v>
      </c>
      <c r="K556" t="n">
        <v>0</v>
      </c>
      <c r="L556" t="n">
        <v>0</v>
      </c>
      <c r="M556" t="n">
        <v>0</v>
      </c>
      <c r="N556" t="n">
        <v>0</v>
      </c>
      <c r="O556" t="n">
        <v>0</v>
      </c>
      <c r="P556" t="n">
        <v>0</v>
      </c>
      <c r="Q556" t="n">
        <v>0</v>
      </c>
      <c r="R556" s="2" t="inlineStr"/>
    </row>
    <row r="557" ht="15" customHeight="1">
      <c r="A557" t="inlineStr">
        <is>
          <t>A 15817-2024</t>
        </is>
      </c>
      <c r="B557" s="1" t="n">
        <v>45404</v>
      </c>
      <c r="C557" s="1" t="n">
        <v>46194</v>
      </c>
      <c r="D557" t="inlineStr">
        <is>
          <t>DALARNAS LÄN</t>
        </is>
      </c>
      <c r="E557" t="inlineStr">
        <is>
          <t>MORA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46755-2023</t>
        </is>
      </c>
      <c r="B558" s="1" t="n">
        <v>45198</v>
      </c>
      <c r="C558" s="1" t="n">
        <v>46194</v>
      </c>
      <c r="D558" t="inlineStr">
        <is>
          <t>DALARNAS LÄN</t>
        </is>
      </c>
      <c r="E558" t="inlineStr">
        <is>
          <t>MORA</t>
        </is>
      </c>
      <c r="G558" t="n">
        <v>0.6</v>
      </c>
      <c r="H558" t="n">
        <v>0</v>
      </c>
      <c r="I558" t="n">
        <v>0</v>
      </c>
      <c r="J558" t="n">
        <v>0</v>
      </c>
      <c r="K558" t="n">
        <v>0</v>
      </c>
      <c r="L558" t="n">
        <v>0</v>
      </c>
      <c r="M558" t="n">
        <v>0</v>
      </c>
      <c r="N558" t="n">
        <v>0</v>
      </c>
      <c r="O558" t="n">
        <v>0</v>
      </c>
      <c r="P558" t="n">
        <v>0</v>
      </c>
      <c r="Q558" t="n">
        <v>0</v>
      </c>
      <c r="R558" s="2" t="inlineStr"/>
    </row>
    <row r="559" ht="15" customHeight="1">
      <c r="A559" t="inlineStr">
        <is>
          <t>A 3247-2026</t>
        </is>
      </c>
      <c r="B559" s="1" t="n">
        <v>46041</v>
      </c>
      <c r="C559" s="1" t="n">
        <v>46194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3440-2026</t>
        </is>
      </c>
      <c r="B560" s="1" t="n">
        <v>46042</v>
      </c>
      <c r="C560" s="1" t="n">
        <v>46194</v>
      </c>
      <c r="D560" t="inlineStr">
        <is>
          <t>DALARNAS LÄN</t>
        </is>
      </c>
      <c r="E560" t="inlineStr">
        <is>
          <t>MORA</t>
        </is>
      </c>
      <c r="G560" t="n">
        <v>6.7</v>
      </c>
      <c r="H560" t="n">
        <v>0</v>
      </c>
      <c r="I560" t="n">
        <v>0</v>
      </c>
      <c r="J560" t="n">
        <v>0</v>
      </c>
      <c r="K560" t="n">
        <v>0</v>
      </c>
      <c r="L560" t="n">
        <v>0</v>
      </c>
      <c r="M560" t="n">
        <v>0</v>
      </c>
      <c r="N560" t="n">
        <v>0</v>
      </c>
      <c r="O560" t="n">
        <v>0</v>
      </c>
      <c r="P560" t="n">
        <v>0</v>
      </c>
      <c r="Q560" t="n">
        <v>0</v>
      </c>
      <c r="R560" s="2" t="inlineStr"/>
    </row>
    <row r="561" ht="15" customHeight="1">
      <c r="A561" t="inlineStr">
        <is>
          <t>A 44201-2023</t>
        </is>
      </c>
      <c r="B561" s="1" t="n">
        <v>45188</v>
      </c>
      <c r="C561" s="1" t="n">
        <v>46194</v>
      </c>
      <c r="D561" t="inlineStr">
        <is>
          <t>DALARNAS LÄN</t>
        </is>
      </c>
      <c r="E561" t="inlineStr">
        <is>
          <t>MORA</t>
        </is>
      </c>
      <c r="G561" t="n">
        <v>0.6</v>
      </c>
      <c r="H561" t="n">
        <v>0</v>
      </c>
      <c r="I561" t="n">
        <v>0</v>
      </c>
      <c r="J561" t="n">
        <v>0</v>
      </c>
      <c r="K561" t="n">
        <v>0</v>
      </c>
      <c r="L561" t="n">
        <v>0</v>
      </c>
      <c r="M561" t="n">
        <v>0</v>
      </c>
      <c r="N561" t="n">
        <v>0</v>
      </c>
      <c r="O561" t="n">
        <v>0</v>
      </c>
      <c r="P561" t="n">
        <v>0</v>
      </c>
      <c r="Q561" t="n">
        <v>0</v>
      </c>
      <c r="R561" s="2" t="inlineStr"/>
    </row>
    <row r="562" ht="15" customHeight="1">
      <c r="A562" t="inlineStr">
        <is>
          <t>A 4213-2026</t>
        </is>
      </c>
      <c r="B562" s="1" t="n">
        <v>46044</v>
      </c>
      <c r="C562" s="1" t="n">
        <v>46194</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55222-2023</t>
        </is>
      </c>
      <c r="B563" s="1" t="n">
        <v>45237</v>
      </c>
      <c r="C563" s="1" t="n">
        <v>46194</v>
      </c>
      <c r="D563" t="inlineStr">
        <is>
          <t>DALARNAS LÄN</t>
        </is>
      </c>
      <c r="E563" t="inlineStr">
        <is>
          <t>MORA</t>
        </is>
      </c>
      <c r="F563" t="inlineStr">
        <is>
          <t>Allmännings- och besparingsskogar</t>
        </is>
      </c>
      <c r="G563" t="n">
        <v>19.8</v>
      </c>
      <c r="H563" t="n">
        <v>0</v>
      </c>
      <c r="I563" t="n">
        <v>0</v>
      </c>
      <c r="J563" t="n">
        <v>0</v>
      </c>
      <c r="K563" t="n">
        <v>0</v>
      </c>
      <c r="L563" t="n">
        <v>0</v>
      </c>
      <c r="M563" t="n">
        <v>0</v>
      </c>
      <c r="N563" t="n">
        <v>0</v>
      </c>
      <c r="O563" t="n">
        <v>0</v>
      </c>
      <c r="P563" t="n">
        <v>0</v>
      </c>
      <c r="Q563" t="n">
        <v>0</v>
      </c>
      <c r="R563" s="2" t="inlineStr"/>
    </row>
    <row r="564" ht="15" customHeight="1">
      <c r="A564" t="inlineStr">
        <is>
          <t>A 31177-2021</t>
        </is>
      </c>
      <c r="B564" s="1" t="n">
        <v>44368</v>
      </c>
      <c r="C564" s="1" t="n">
        <v>46194</v>
      </c>
      <c r="D564" t="inlineStr">
        <is>
          <t>DALARNAS LÄN</t>
        </is>
      </c>
      <c r="E564" t="inlineStr">
        <is>
          <t>MORA</t>
        </is>
      </c>
      <c r="G564" t="n">
        <v>1.6</v>
      </c>
      <c r="H564" t="n">
        <v>0</v>
      </c>
      <c r="I564" t="n">
        <v>0</v>
      </c>
      <c r="J564" t="n">
        <v>0</v>
      </c>
      <c r="K564" t="n">
        <v>0</v>
      </c>
      <c r="L564" t="n">
        <v>0</v>
      </c>
      <c r="M564" t="n">
        <v>0</v>
      </c>
      <c r="N564" t="n">
        <v>0</v>
      </c>
      <c r="O564" t="n">
        <v>0</v>
      </c>
      <c r="P564" t="n">
        <v>0</v>
      </c>
      <c r="Q564" t="n">
        <v>0</v>
      </c>
      <c r="R564" s="2" t="inlineStr"/>
    </row>
    <row r="565" ht="15" customHeight="1">
      <c r="A565" t="inlineStr">
        <is>
          <t>A 3669-2026</t>
        </is>
      </c>
      <c r="B565" s="1" t="n">
        <v>46043</v>
      </c>
      <c r="C565" s="1" t="n">
        <v>46194</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32261-2022</t>
        </is>
      </c>
      <c r="B566" s="1" t="n">
        <v>44781</v>
      </c>
      <c r="C566" s="1" t="n">
        <v>46194</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48825-2023</t>
        </is>
      </c>
      <c r="B567" s="1" t="n">
        <v>45203</v>
      </c>
      <c r="C567" s="1" t="n">
        <v>46194</v>
      </c>
      <c r="D567" t="inlineStr">
        <is>
          <t>DALARNAS LÄN</t>
        </is>
      </c>
      <c r="E567" t="inlineStr">
        <is>
          <t>MORA</t>
        </is>
      </c>
      <c r="G567" t="n">
        <v>7.9</v>
      </c>
      <c r="H567" t="n">
        <v>0</v>
      </c>
      <c r="I567" t="n">
        <v>0</v>
      </c>
      <c r="J567" t="n">
        <v>0</v>
      </c>
      <c r="K567" t="n">
        <v>0</v>
      </c>
      <c r="L567" t="n">
        <v>0</v>
      </c>
      <c r="M567" t="n">
        <v>0</v>
      </c>
      <c r="N567" t="n">
        <v>0</v>
      </c>
      <c r="O567" t="n">
        <v>0</v>
      </c>
      <c r="P567" t="n">
        <v>0</v>
      </c>
      <c r="Q567" t="n">
        <v>0</v>
      </c>
      <c r="R567" s="2" t="inlineStr"/>
    </row>
    <row r="568" ht="15" customHeight="1">
      <c r="A568" t="inlineStr">
        <is>
          <t>A 18806-2025</t>
        </is>
      </c>
      <c r="B568" s="1" t="n">
        <v>45764</v>
      </c>
      <c r="C568" s="1" t="n">
        <v>46194</v>
      </c>
      <c r="D568" t="inlineStr">
        <is>
          <t>DALARNAS LÄN</t>
        </is>
      </c>
      <c r="E568" t="inlineStr">
        <is>
          <t>MORA</t>
        </is>
      </c>
      <c r="G568" t="n">
        <v>1.7</v>
      </c>
      <c r="H568" t="n">
        <v>0</v>
      </c>
      <c r="I568" t="n">
        <v>0</v>
      </c>
      <c r="J568" t="n">
        <v>0</v>
      </c>
      <c r="K568" t="n">
        <v>0</v>
      </c>
      <c r="L568" t="n">
        <v>0</v>
      </c>
      <c r="M568" t="n">
        <v>0</v>
      </c>
      <c r="N568" t="n">
        <v>0</v>
      </c>
      <c r="O568" t="n">
        <v>0</v>
      </c>
      <c r="P568" t="n">
        <v>0</v>
      </c>
      <c r="Q568" t="n">
        <v>0</v>
      </c>
      <c r="R568" s="2" t="inlineStr"/>
    </row>
    <row r="569" ht="15" customHeight="1">
      <c r="A569" t="inlineStr">
        <is>
          <t>A 54253-2023</t>
        </is>
      </c>
      <c r="B569" s="1" t="n">
        <v>45232</v>
      </c>
      <c r="C569" s="1" t="n">
        <v>46194</v>
      </c>
      <c r="D569" t="inlineStr">
        <is>
          <t>DALARNAS LÄN</t>
        </is>
      </c>
      <c r="E569" t="inlineStr">
        <is>
          <t>MORA</t>
        </is>
      </c>
      <c r="G569" t="n">
        <v>4.5</v>
      </c>
      <c r="H569" t="n">
        <v>0</v>
      </c>
      <c r="I569" t="n">
        <v>0</v>
      </c>
      <c r="J569" t="n">
        <v>0</v>
      </c>
      <c r="K569" t="n">
        <v>0</v>
      </c>
      <c r="L569" t="n">
        <v>0</v>
      </c>
      <c r="M569" t="n">
        <v>0</v>
      </c>
      <c r="N569" t="n">
        <v>0</v>
      </c>
      <c r="O569" t="n">
        <v>0</v>
      </c>
      <c r="P569" t="n">
        <v>0</v>
      </c>
      <c r="Q569" t="n">
        <v>0</v>
      </c>
      <c r="R569" s="2" t="inlineStr"/>
    </row>
    <row r="570" ht="15" customHeight="1">
      <c r="A570" t="inlineStr">
        <is>
          <t>A 5709-2026</t>
        </is>
      </c>
      <c r="B570" s="1" t="n">
        <v>46051</v>
      </c>
      <c r="C570" s="1" t="n">
        <v>46194</v>
      </c>
      <c r="D570" t="inlineStr">
        <is>
          <t>DALARNAS LÄN</t>
        </is>
      </c>
      <c r="E570" t="inlineStr">
        <is>
          <t>MORA</t>
        </is>
      </c>
      <c r="G570" t="n">
        <v>2.7</v>
      </c>
      <c r="H570" t="n">
        <v>0</v>
      </c>
      <c r="I570" t="n">
        <v>0</v>
      </c>
      <c r="J570" t="n">
        <v>0</v>
      </c>
      <c r="K570" t="n">
        <v>0</v>
      </c>
      <c r="L570" t="n">
        <v>0</v>
      </c>
      <c r="M570" t="n">
        <v>0</v>
      </c>
      <c r="N570" t="n">
        <v>0</v>
      </c>
      <c r="O570" t="n">
        <v>0</v>
      </c>
      <c r="P570" t="n">
        <v>0</v>
      </c>
      <c r="Q570" t="n">
        <v>0</v>
      </c>
      <c r="R570" s="2" t="inlineStr"/>
    </row>
    <row r="571" ht="15" customHeight="1">
      <c r="A571" t="inlineStr">
        <is>
          <t>A 44817-2023</t>
        </is>
      </c>
      <c r="B571" s="1" t="n">
        <v>45190</v>
      </c>
      <c r="C571" s="1" t="n">
        <v>46194</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6719-2026</t>
        </is>
      </c>
      <c r="B572" s="1" t="n">
        <v>46056</v>
      </c>
      <c r="C572" s="1" t="n">
        <v>46194</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17167-2025</t>
        </is>
      </c>
      <c r="B573" s="1" t="n">
        <v>45756</v>
      </c>
      <c r="C573" s="1" t="n">
        <v>46194</v>
      </c>
      <c r="D573" t="inlineStr">
        <is>
          <t>DALARNAS LÄN</t>
        </is>
      </c>
      <c r="E573" t="inlineStr">
        <is>
          <t>MORA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17176-2025</t>
        </is>
      </c>
      <c r="B574" s="1" t="n">
        <v>45756</v>
      </c>
      <c r="C574" s="1" t="n">
        <v>46194</v>
      </c>
      <c r="D574" t="inlineStr">
        <is>
          <t>DALARNAS LÄN</t>
        </is>
      </c>
      <c r="E574" t="inlineStr">
        <is>
          <t>MORA</t>
        </is>
      </c>
      <c r="F574" t="inlineStr">
        <is>
          <t>Bergvik skog öst AB</t>
        </is>
      </c>
      <c r="G574" t="n">
        <v>1.7</v>
      </c>
      <c r="H574" t="n">
        <v>0</v>
      </c>
      <c r="I574" t="n">
        <v>0</v>
      </c>
      <c r="J574" t="n">
        <v>0</v>
      </c>
      <c r="K574" t="n">
        <v>0</v>
      </c>
      <c r="L574" t="n">
        <v>0</v>
      </c>
      <c r="M574" t="n">
        <v>0</v>
      </c>
      <c r="N574" t="n">
        <v>0</v>
      </c>
      <c r="O574" t="n">
        <v>0</v>
      </c>
      <c r="P574" t="n">
        <v>0</v>
      </c>
      <c r="Q574" t="n">
        <v>0</v>
      </c>
      <c r="R574" s="2" t="inlineStr"/>
    </row>
    <row r="575" ht="15" customHeight="1">
      <c r="A575" t="inlineStr">
        <is>
          <t>A 57999-2023</t>
        </is>
      </c>
      <c r="B575" s="1" t="n">
        <v>45247</v>
      </c>
      <c r="C575" s="1" t="n">
        <v>46194</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6674-2026</t>
        </is>
      </c>
      <c r="B576" s="1" t="n">
        <v>46056</v>
      </c>
      <c r="C576" s="1" t="n">
        <v>46194</v>
      </c>
      <c r="D576" t="inlineStr">
        <is>
          <t>DALARNAS LÄN</t>
        </is>
      </c>
      <c r="E576" t="inlineStr">
        <is>
          <t>MORA</t>
        </is>
      </c>
      <c r="G576" t="n">
        <v>0.7</v>
      </c>
      <c r="H576" t="n">
        <v>0</v>
      </c>
      <c r="I576" t="n">
        <v>0</v>
      </c>
      <c r="J576" t="n">
        <v>0</v>
      </c>
      <c r="K576" t="n">
        <v>0</v>
      </c>
      <c r="L576" t="n">
        <v>0</v>
      </c>
      <c r="M576" t="n">
        <v>0</v>
      </c>
      <c r="N576" t="n">
        <v>0</v>
      </c>
      <c r="O576" t="n">
        <v>0</v>
      </c>
      <c r="P576" t="n">
        <v>0</v>
      </c>
      <c r="Q576" t="n">
        <v>0</v>
      </c>
      <c r="R576" s="2" t="inlineStr"/>
    </row>
    <row r="577" ht="15" customHeight="1">
      <c r="A577" t="inlineStr">
        <is>
          <t>A 6690-2026</t>
        </is>
      </c>
      <c r="B577" s="1" t="n">
        <v>46056</v>
      </c>
      <c r="C577" s="1" t="n">
        <v>46194</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57319-2023</t>
        </is>
      </c>
      <c r="B578" s="1" t="n">
        <v>45245</v>
      </c>
      <c r="C578" s="1" t="n">
        <v>46194</v>
      </c>
      <c r="D578" t="inlineStr">
        <is>
          <t>DALARNAS LÄN</t>
        </is>
      </c>
      <c r="E578" t="inlineStr">
        <is>
          <t>MORA</t>
        </is>
      </c>
      <c r="G578" t="n">
        <v>2</v>
      </c>
      <c r="H578" t="n">
        <v>0</v>
      </c>
      <c r="I578" t="n">
        <v>0</v>
      </c>
      <c r="J578" t="n">
        <v>0</v>
      </c>
      <c r="K578" t="n">
        <v>0</v>
      </c>
      <c r="L578" t="n">
        <v>0</v>
      </c>
      <c r="M578" t="n">
        <v>0</v>
      </c>
      <c r="N578" t="n">
        <v>0</v>
      </c>
      <c r="O578" t="n">
        <v>0</v>
      </c>
      <c r="P578" t="n">
        <v>0</v>
      </c>
      <c r="Q578" t="n">
        <v>0</v>
      </c>
      <c r="R578" s="2" t="inlineStr"/>
    </row>
    <row r="579" ht="15" customHeight="1">
      <c r="A579" t="inlineStr">
        <is>
          <t>A 62853-2023</t>
        </is>
      </c>
      <c r="B579" s="1" t="n">
        <v>45272</v>
      </c>
      <c r="C579" s="1" t="n">
        <v>46194</v>
      </c>
      <c r="D579" t="inlineStr">
        <is>
          <t>DALARNAS LÄN</t>
        </is>
      </c>
      <c r="E579" t="inlineStr">
        <is>
          <t>MORA</t>
        </is>
      </c>
      <c r="G579" t="n">
        <v>13.6</v>
      </c>
      <c r="H579" t="n">
        <v>0</v>
      </c>
      <c r="I579" t="n">
        <v>0</v>
      </c>
      <c r="J579" t="n">
        <v>0</v>
      </c>
      <c r="K579" t="n">
        <v>0</v>
      </c>
      <c r="L579" t="n">
        <v>0</v>
      </c>
      <c r="M579" t="n">
        <v>0</v>
      </c>
      <c r="N579" t="n">
        <v>0</v>
      </c>
      <c r="O579" t="n">
        <v>0</v>
      </c>
      <c r="P579" t="n">
        <v>0</v>
      </c>
      <c r="Q579" t="n">
        <v>0</v>
      </c>
      <c r="R579" s="2" t="inlineStr"/>
    </row>
    <row r="580" ht="15" customHeight="1">
      <c r="A580" t="inlineStr">
        <is>
          <t>A 43826-2022</t>
        </is>
      </c>
      <c r="B580" s="1" t="n">
        <v>44838</v>
      </c>
      <c r="C580" s="1" t="n">
        <v>46194</v>
      </c>
      <c r="D580" t="inlineStr">
        <is>
          <t>DALARNAS LÄN</t>
        </is>
      </c>
      <c r="E580" t="inlineStr">
        <is>
          <t>MORA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29754-2022</t>
        </is>
      </c>
      <c r="B581" s="1" t="n">
        <v>44755</v>
      </c>
      <c r="C581" s="1" t="n">
        <v>46194</v>
      </c>
      <c r="D581" t="inlineStr">
        <is>
          <t>DALARNAS LÄN</t>
        </is>
      </c>
      <c r="E581" t="inlineStr">
        <is>
          <t>MORA</t>
        </is>
      </c>
      <c r="G581" t="n">
        <v>1.6</v>
      </c>
      <c r="H581" t="n">
        <v>0</v>
      </c>
      <c r="I581" t="n">
        <v>0</v>
      </c>
      <c r="J581" t="n">
        <v>0</v>
      </c>
      <c r="K581" t="n">
        <v>0</v>
      </c>
      <c r="L581" t="n">
        <v>0</v>
      </c>
      <c r="M581" t="n">
        <v>0</v>
      </c>
      <c r="N581" t="n">
        <v>0</v>
      </c>
      <c r="O581" t="n">
        <v>0</v>
      </c>
      <c r="P581" t="n">
        <v>0</v>
      </c>
      <c r="Q581" t="n">
        <v>0</v>
      </c>
      <c r="R581" s="2" t="inlineStr"/>
    </row>
    <row r="582" ht="15" customHeight="1">
      <c r="A582" t="inlineStr">
        <is>
          <t>A 6967-2026</t>
        </is>
      </c>
      <c r="B582" s="1" t="n">
        <v>46057</v>
      </c>
      <c r="C582" s="1" t="n">
        <v>46194</v>
      </c>
      <c r="D582" t="inlineStr">
        <is>
          <t>DALARNAS LÄN</t>
        </is>
      </c>
      <c r="E582" t="inlineStr">
        <is>
          <t>MORA</t>
        </is>
      </c>
      <c r="G582" t="n">
        <v>5</v>
      </c>
      <c r="H582" t="n">
        <v>0</v>
      </c>
      <c r="I582" t="n">
        <v>0</v>
      </c>
      <c r="J582" t="n">
        <v>0</v>
      </c>
      <c r="K582" t="n">
        <v>0</v>
      </c>
      <c r="L582" t="n">
        <v>0</v>
      </c>
      <c r="M582" t="n">
        <v>0</v>
      </c>
      <c r="N582" t="n">
        <v>0</v>
      </c>
      <c r="O582" t="n">
        <v>0</v>
      </c>
      <c r="P582" t="n">
        <v>0</v>
      </c>
      <c r="Q582" t="n">
        <v>0</v>
      </c>
      <c r="R582" s="2" t="inlineStr"/>
    </row>
    <row r="583" ht="15" customHeight="1">
      <c r="A583" t="inlineStr">
        <is>
          <t>A 6923-2026</t>
        </is>
      </c>
      <c r="B583" s="1" t="n">
        <v>46057</v>
      </c>
      <c r="C583" s="1" t="n">
        <v>46194</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36579-2022</t>
        </is>
      </c>
      <c r="B584" s="1" t="n">
        <v>44804</v>
      </c>
      <c r="C584" s="1" t="n">
        <v>46194</v>
      </c>
      <c r="D584" t="inlineStr">
        <is>
          <t>DALARNAS LÄN</t>
        </is>
      </c>
      <c r="E584" t="inlineStr">
        <is>
          <t>MORA</t>
        </is>
      </c>
      <c r="G584" t="n">
        <v>2.3</v>
      </c>
      <c r="H584" t="n">
        <v>0</v>
      </c>
      <c r="I584" t="n">
        <v>0</v>
      </c>
      <c r="J584" t="n">
        <v>0</v>
      </c>
      <c r="K584" t="n">
        <v>0</v>
      </c>
      <c r="L584" t="n">
        <v>0</v>
      </c>
      <c r="M584" t="n">
        <v>0</v>
      </c>
      <c r="N584" t="n">
        <v>0</v>
      </c>
      <c r="O584" t="n">
        <v>0</v>
      </c>
      <c r="P584" t="n">
        <v>0</v>
      </c>
      <c r="Q584" t="n">
        <v>0</v>
      </c>
      <c r="R584" s="2" t="inlineStr"/>
    </row>
    <row r="585" ht="15" customHeight="1">
      <c r="A585" t="inlineStr">
        <is>
          <t>A 6802-2026</t>
        </is>
      </c>
      <c r="B585" s="1" t="n">
        <v>46057</v>
      </c>
      <c r="C585" s="1" t="n">
        <v>46194</v>
      </c>
      <c r="D585" t="inlineStr">
        <is>
          <t>DALARNAS LÄN</t>
        </is>
      </c>
      <c r="E585" t="inlineStr">
        <is>
          <t>MORA</t>
        </is>
      </c>
      <c r="G585" t="n">
        <v>5.8</v>
      </c>
      <c r="H585" t="n">
        <v>0</v>
      </c>
      <c r="I585" t="n">
        <v>0</v>
      </c>
      <c r="J585" t="n">
        <v>0</v>
      </c>
      <c r="K585" t="n">
        <v>0</v>
      </c>
      <c r="L585" t="n">
        <v>0</v>
      </c>
      <c r="M585" t="n">
        <v>0</v>
      </c>
      <c r="N585" t="n">
        <v>0</v>
      </c>
      <c r="O585" t="n">
        <v>0</v>
      </c>
      <c r="P585" t="n">
        <v>0</v>
      </c>
      <c r="Q585" t="n">
        <v>0</v>
      </c>
      <c r="R585" s="2" t="inlineStr"/>
    </row>
    <row r="586" ht="15" customHeight="1">
      <c r="A586" t="inlineStr">
        <is>
          <t>A 43569-2025</t>
        </is>
      </c>
      <c r="B586" s="1" t="n">
        <v>45911</v>
      </c>
      <c r="C586" s="1" t="n">
        <v>46194</v>
      </c>
      <c r="D586" t="inlineStr">
        <is>
          <t>DALARNAS LÄN</t>
        </is>
      </c>
      <c r="E586" t="inlineStr">
        <is>
          <t>MORA</t>
        </is>
      </c>
      <c r="G586" t="n">
        <v>4.7</v>
      </c>
      <c r="H586" t="n">
        <v>0</v>
      </c>
      <c r="I586" t="n">
        <v>0</v>
      </c>
      <c r="J586" t="n">
        <v>0</v>
      </c>
      <c r="K586" t="n">
        <v>0</v>
      </c>
      <c r="L586" t="n">
        <v>0</v>
      </c>
      <c r="M586" t="n">
        <v>0</v>
      </c>
      <c r="N586" t="n">
        <v>0</v>
      </c>
      <c r="O586" t="n">
        <v>0</v>
      </c>
      <c r="P586" t="n">
        <v>0</v>
      </c>
      <c r="Q586" t="n">
        <v>0</v>
      </c>
      <c r="R586" s="2" t="inlineStr"/>
    </row>
    <row r="587" ht="15" customHeight="1">
      <c r="A587" t="inlineStr">
        <is>
          <t>A 7418-2026</t>
        </is>
      </c>
      <c r="B587" s="1" t="n">
        <v>46059</v>
      </c>
      <c r="C587" s="1" t="n">
        <v>46194</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46194</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8075-2026</t>
        </is>
      </c>
      <c r="B589" s="1" t="n">
        <v>46063</v>
      </c>
      <c r="C589" s="1" t="n">
        <v>46194</v>
      </c>
      <c r="D589" t="inlineStr">
        <is>
          <t>DALARNAS LÄN</t>
        </is>
      </c>
      <c r="E589" t="inlineStr">
        <is>
          <t>MORA</t>
        </is>
      </c>
      <c r="G589" t="n">
        <v>1.3</v>
      </c>
      <c r="H589" t="n">
        <v>0</v>
      </c>
      <c r="I589" t="n">
        <v>0</v>
      </c>
      <c r="J589" t="n">
        <v>0</v>
      </c>
      <c r="K589" t="n">
        <v>0</v>
      </c>
      <c r="L589" t="n">
        <v>0</v>
      </c>
      <c r="M589" t="n">
        <v>0</v>
      </c>
      <c r="N589" t="n">
        <v>0</v>
      </c>
      <c r="O589" t="n">
        <v>0</v>
      </c>
      <c r="P589" t="n">
        <v>0</v>
      </c>
      <c r="Q589" t="n">
        <v>0</v>
      </c>
      <c r="R589" s="2" t="inlineStr"/>
    </row>
    <row r="590" ht="15" customHeight="1">
      <c r="A590" t="inlineStr">
        <is>
          <t>A 8361-2026</t>
        </is>
      </c>
      <c r="B590" s="1" t="n">
        <v>46064</v>
      </c>
      <c r="C590" s="1" t="n">
        <v>46194</v>
      </c>
      <c r="D590" t="inlineStr">
        <is>
          <t>DALARNAS LÄN</t>
        </is>
      </c>
      <c r="E590" t="inlineStr">
        <is>
          <t>MORA</t>
        </is>
      </c>
      <c r="G590" t="n">
        <v>2.7</v>
      </c>
      <c r="H590" t="n">
        <v>0</v>
      </c>
      <c r="I590" t="n">
        <v>0</v>
      </c>
      <c r="J590" t="n">
        <v>0</v>
      </c>
      <c r="K590" t="n">
        <v>0</v>
      </c>
      <c r="L590" t="n">
        <v>0</v>
      </c>
      <c r="M590" t="n">
        <v>0</v>
      </c>
      <c r="N590" t="n">
        <v>0</v>
      </c>
      <c r="O590" t="n">
        <v>0</v>
      </c>
      <c r="P590" t="n">
        <v>0</v>
      </c>
      <c r="Q590" t="n">
        <v>0</v>
      </c>
      <c r="R590" s="2" t="inlineStr"/>
    </row>
    <row r="591" ht="15" customHeight="1">
      <c r="A591" t="inlineStr">
        <is>
          <t>A 8474-2026</t>
        </is>
      </c>
      <c r="B591" s="1" t="n">
        <v>46065</v>
      </c>
      <c r="C591" s="1" t="n">
        <v>46194</v>
      </c>
      <c r="D591" t="inlineStr">
        <is>
          <t>DALARNAS LÄN</t>
        </is>
      </c>
      <c r="E591" t="inlineStr">
        <is>
          <t>MORA</t>
        </is>
      </c>
      <c r="G591" t="n">
        <v>4.7</v>
      </c>
      <c r="H591" t="n">
        <v>0</v>
      </c>
      <c r="I591" t="n">
        <v>0</v>
      </c>
      <c r="J591" t="n">
        <v>0</v>
      </c>
      <c r="K591" t="n">
        <v>0</v>
      </c>
      <c r="L591" t="n">
        <v>0</v>
      </c>
      <c r="M591" t="n">
        <v>0</v>
      </c>
      <c r="N591" t="n">
        <v>0</v>
      </c>
      <c r="O591" t="n">
        <v>0</v>
      </c>
      <c r="P591" t="n">
        <v>0</v>
      </c>
      <c r="Q591" t="n">
        <v>0</v>
      </c>
      <c r="R591" s="2" t="inlineStr"/>
    </row>
    <row r="592" ht="15" customHeight="1">
      <c r="A592" t="inlineStr">
        <is>
          <t>A 44769-2021</t>
        </is>
      </c>
      <c r="B592" s="1" t="n">
        <v>44438</v>
      </c>
      <c r="C592" s="1" t="n">
        <v>46194</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28487-2024</t>
        </is>
      </c>
      <c r="B593" s="1" t="n">
        <v>45477</v>
      </c>
      <c r="C593" s="1" t="n">
        <v>46194</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8762-2026</t>
        </is>
      </c>
      <c r="B594" s="1" t="n">
        <v>46066</v>
      </c>
      <c r="C594" s="1" t="n">
        <v>46194</v>
      </c>
      <c r="D594" t="inlineStr">
        <is>
          <t>DALARNAS LÄN</t>
        </is>
      </c>
      <c r="E594" t="inlineStr">
        <is>
          <t>MORA</t>
        </is>
      </c>
      <c r="F594" t="inlineStr">
        <is>
          <t>Bergvik skog väst AB</t>
        </is>
      </c>
      <c r="G594" t="n">
        <v>1.8</v>
      </c>
      <c r="H594" t="n">
        <v>0</v>
      </c>
      <c r="I594" t="n">
        <v>0</v>
      </c>
      <c r="J594" t="n">
        <v>0</v>
      </c>
      <c r="K594" t="n">
        <v>0</v>
      </c>
      <c r="L594" t="n">
        <v>0</v>
      </c>
      <c r="M594" t="n">
        <v>0</v>
      </c>
      <c r="N594" t="n">
        <v>0</v>
      </c>
      <c r="O594" t="n">
        <v>0</v>
      </c>
      <c r="P594" t="n">
        <v>0</v>
      </c>
      <c r="Q594" t="n">
        <v>0</v>
      </c>
      <c r="R594" s="2" t="inlineStr"/>
    </row>
    <row r="595" ht="15" customHeight="1">
      <c r="A595" t="inlineStr">
        <is>
          <t>A 48728-2022</t>
        </is>
      </c>
      <c r="B595" s="1" t="n">
        <v>44859</v>
      </c>
      <c r="C595" s="1" t="n">
        <v>46194</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9421-2026</t>
        </is>
      </c>
      <c r="B596" s="1" t="n">
        <v>46071</v>
      </c>
      <c r="C596" s="1" t="n">
        <v>46194</v>
      </c>
      <c r="D596" t="inlineStr">
        <is>
          <t>DALARNAS LÄN</t>
        </is>
      </c>
      <c r="E596" t="inlineStr">
        <is>
          <t>MORA</t>
        </is>
      </c>
      <c r="G596" t="n">
        <v>8.1</v>
      </c>
      <c r="H596" t="n">
        <v>0</v>
      </c>
      <c r="I596" t="n">
        <v>0</v>
      </c>
      <c r="J596" t="n">
        <v>0</v>
      </c>
      <c r="K596" t="n">
        <v>0</v>
      </c>
      <c r="L596" t="n">
        <v>0</v>
      </c>
      <c r="M596" t="n">
        <v>0</v>
      </c>
      <c r="N596" t="n">
        <v>0</v>
      </c>
      <c r="O596" t="n">
        <v>0</v>
      </c>
      <c r="P596" t="n">
        <v>0</v>
      </c>
      <c r="Q596" t="n">
        <v>0</v>
      </c>
      <c r="R596" s="2" t="inlineStr"/>
    </row>
    <row r="597" ht="15" customHeight="1">
      <c r="A597" t="inlineStr">
        <is>
          <t>A 9788-2026</t>
        </is>
      </c>
      <c r="B597" s="1" t="n">
        <v>46072</v>
      </c>
      <c r="C597" s="1" t="n">
        <v>46194</v>
      </c>
      <c r="D597" t="inlineStr">
        <is>
          <t>DALARNAS LÄN</t>
        </is>
      </c>
      <c r="E597" t="inlineStr">
        <is>
          <t>MORA</t>
        </is>
      </c>
      <c r="G597" t="n">
        <v>12</v>
      </c>
      <c r="H597" t="n">
        <v>0</v>
      </c>
      <c r="I597" t="n">
        <v>0</v>
      </c>
      <c r="J597" t="n">
        <v>0</v>
      </c>
      <c r="K597" t="n">
        <v>0</v>
      </c>
      <c r="L597" t="n">
        <v>0</v>
      </c>
      <c r="M597" t="n">
        <v>0</v>
      </c>
      <c r="N597" t="n">
        <v>0</v>
      </c>
      <c r="O597" t="n">
        <v>0</v>
      </c>
      <c r="P597" t="n">
        <v>0</v>
      </c>
      <c r="Q597" t="n">
        <v>0</v>
      </c>
      <c r="R597" s="2" t="inlineStr"/>
    </row>
    <row r="598" ht="15" customHeight="1">
      <c r="A598" t="inlineStr">
        <is>
          <t>A 60526-2023</t>
        </is>
      </c>
      <c r="B598" s="1" t="n">
        <v>45259</v>
      </c>
      <c r="C598" s="1" t="n">
        <v>46194</v>
      </c>
      <c r="D598" t="inlineStr">
        <is>
          <t>DALARNAS LÄN</t>
        </is>
      </c>
      <c r="E598" t="inlineStr">
        <is>
          <t>MORA</t>
        </is>
      </c>
      <c r="G598" t="n">
        <v>6.7</v>
      </c>
      <c r="H598" t="n">
        <v>0</v>
      </c>
      <c r="I598" t="n">
        <v>0</v>
      </c>
      <c r="J598" t="n">
        <v>0</v>
      </c>
      <c r="K598" t="n">
        <v>0</v>
      </c>
      <c r="L598" t="n">
        <v>0</v>
      </c>
      <c r="M598" t="n">
        <v>0</v>
      </c>
      <c r="N598" t="n">
        <v>0</v>
      </c>
      <c r="O598" t="n">
        <v>0</v>
      </c>
      <c r="P598" t="n">
        <v>0</v>
      </c>
      <c r="Q598" t="n">
        <v>0</v>
      </c>
      <c r="R598" s="2" t="inlineStr"/>
    </row>
    <row r="599" ht="15" customHeight="1">
      <c r="A599" t="inlineStr">
        <is>
          <t>A 52908-2023</t>
        </is>
      </c>
      <c r="B599" s="1" t="n">
        <v>45226</v>
      </c>
      <c r="C599" s="1" t="n">
        <v>46194</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10181-2026</t>
        </is>
      </c>
      <c r="B600" s="1" t="n">
        <v>46076</v>
      </c>
      <c r="C600" s="1" t="n">
        <v>46194</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58116-2022</t>
        </is>
      </c>
      <c r="B601" s="1" t="n">
        <v>44900</v>
      </c>
      <c r="C601" s="1" t="n">
        <v>46194</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33666-2024</t>
        </is>
      </c>
      <c r="B602" s="1" t="n">
        <v>45520</v>
      </c>
      <c r="C602" s="1" t="n">
        <v>46194</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11176-2026</t>
        </is>
      </c>
      <c r="B603" s="1" t="n">
        <v>46080</v>
      </c>
      <c r="C603" s="1" t="n">
        <v>46194</v>
      </c>
      <c r="D603" t="inlineStr">
        <is>
          <t>DALARNAS LÄN</t>
        </is>
      </c>
      <c r="E603" t="inlineStr">
        <is>
          <t>MORA</t>
        </is>
      </c>
      <c r="G603" t="n">
        <v>1.3</v>
      </c>
      <c r="H603" t="n">
        <v>0</v>
      </c>
      <c r="I603" t="n">
        <v>0</v>
      </c>
      <c r="J603" t="n">
        <v>0</v>
      </c>
      <c r="K603" t="n">
        <v>0</v>
      </c>
      <c r="L603" t="n">
        <v>0</v>
      </c>
      <c r="M603" t="n">
        <v>0</v>
      </c>
      <c r="N603" t="n">
        <v>0</v>
      </c>
      <c r="O603" t="n">
        <v>0</v>
      </c>
      <c r="P603" t="n">
        <v>0</v>
      </c>
      <c r="Q603" t="n">
        <v>0</v>
      </c>
      <c r="R603" s="2" t="inlineStr"/>
    </row>
    <row r="604" ht="15" customHeight="1">
      <c r="A604" t="inlineStr">
        <is>
          <t>A 42941-2024</t>
        </is>
      </c>
      <c r="B604" s="1" t="n">
        <v>45567</v>
      </c>
      <c r="C604" s="1" t="n">
        <v>46194</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11705-2026</t>
        </is>
      </c>
      <c r="B605" s="1" t="n">
        <v>46084</v>
      </c>
      <c r="C605" s="1" t="n">
        <v>46194</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11875-2026</t>
        </is>
      </c>
      <c r="B606" s="1" t="n">
        <v>46085</v>
      </c>
      <c r="C606" s="1" t="n">
        <v>46194</v>
      </c>
      <c r="D606" t="inlineStr">
        <is>
          <t>DALARNAS LÄN</t>
        </is>
      </c>
      <c r="E606" t="inlineStr">
        <is>
          <t>MORA</t>
        </is>
      </c>
      <c r="G606" t="n">
        <v>3.7</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46194</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11819-2026</t>
        </is>
      </c>
      <c r="B608" s="1" t="n">
        <v>46085</v>
      </c>
      <c r="C608" s="1" t="n">
        <v>46194</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53341-2023</t>
        </is>
      </c>
      <c r="B609" s="1" t="n">
        <v>45229</v>
      </c>
      <c r="C609" s="1" t="n">
        <v>46194</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12664-2026</t>
        </is>
      </c>
      <c r="B610" s="1" t="n">
        <v>46091</v>
      </c>
      <c r="C610" s="1" t="n">
        <v>46194</v>
      </c>
      <c r="D610" t="inlineStr">
        <is>
          <t>DALARNAS LÄN</t>
        </is>
      </c>
      <c r="E610" t="inlineStr">
        <is>
          <t>MORA</t>
        </is>
      </c>
      <c r="G610" t="n">
        <v>0.8</v>
      </c>
      <c r="H610" t="n">
        <v>0</v>
      </c>
      <c r="I610" t="n">
        <v>0</v>
      </c>
      <c r="J610" t="n">
        <v>0</v>
      </c>
      <c r="K610" t="n">
        <v>0</v>
      </c>
      <c r="L610" t="n">
        <v>0</v>
      </c>
      <c r="M610" t="n">
        <v>0</v>
      </c>
      <c r="N610" t="n">
        <v>0</v>
      </c>
      <c r="O610" t="n">
        <v>0</v>
      </c>
      <c r="P610" t="n">
        <v>0</v>
      </c>
      <c r="Q610" t="n">
        <v>0</v>
      </c>
      <c r="R610" s="2" t="inlineStr"/>
    </row>
    <row r="611" ht="15" customHeight="1">
      <c r="A611" t="inlineStr">
        <is>
          <t>A 12527-2026</t>
        </is>
      </c>
      <c r="B611" s="1" t="n">
        <v>46090</v>
      </c>
      <c r="C611" s="1" t="n">
        <v>46194</v>
      </c>
      <c r="D611" t="inlineStr">
        <is>
          <t>DALARNAS LÄN</t>
        </is>
      </c>
      <c r="E611" t="inlineStr">
        <is>
          <t>MORA</t>
        </is>
      </c>
      <c r="G611" t="n">
        <v>17.5</v>
      </c>
      <c r="H611" t="n">
        <v>0</v>
      </c>
      <c r="I611" t="n">
        <v>0</v>
      </c>
      <c r="J611" t="n">
        <v>0</v>
      </c>
      <c r="K611" t="n">
        <v>0</v>
      </c>
      <c r="L611" t="n">
        <v>0</v>
      </c>
      <c r="M611" t="n">
        <v>0</v>
      </c>
      <c r="N611" t="n">
        <v>0</v>
      </c>
      <c r="O611" t="n">
        <v>0</v>
      </c>
      <c r="P611" t="n">
        <v>0</v>
      </c>
      <c r="Q611" t="n">
        <v>0</v>
      </c>
      <c r="R611" s="2" t="inlineStr"/>
    </row>
    <row r="612" ht="15" customHeight="1">
      <c r="A612" t="inlineStr">
        <is>
          <t>A 12610-2026</t>
        </is>
      </c>
      <c r="B612" s="1" t="n">
        <v>46091</v>
      </c>
      <c r="C612" s="1" t="n">
        <v>46194</v>
      </c>
      <c r="D612" t="inlineStr">
        <is>
          <t>DALARNAS LÄN</t>
        </is>
      </c>
      <c r="E612" t="inlineStr">
        <is>
          <t>MORA</t>
        </is>
      </c>
      <c r="G612" t="n">
        <v>8.1</v>
      </c>
      <c r="H612" t="n">
        <v>0</v>
      </c>
      <c r="I612" t="n">
        <v>0</v>
      </c>
      <c r="J612" t="n">
        <v>0</v>
      </c>
      <c r="K612" t="n">
        <v>0</v>
      </c>
      <c r="L612" t="n">
        <v>0</v>
      </c>
      <c r="M612" t="n">
        <v>0</v>
      </c>
      <c r="N612" t="n">
        <v>0</v>
      </c>
      <c r="O612" t="n">
        <v>0</v>
      </c>
      <c r="P612" t="n">
        <v>0</v>
      </c>
      <c r="Q612" t="n">
        <v>0</v>
      </c>
      <c r="R612" s="2" t="inlineStr"/>
    </row>
    <row r="613" ht="15" customHeight="1">
      <c r="A613" t="inlineStr">
        <is>
          <t>A 14040-2023</t>
        </is>
      </c>
      <c r="B613" s="1" t="n">
        <v>45008</v>
      </c>
      <c r="C613" s="1" t="n">
        <v>46194</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55331-2022</t>
        </is>
      </c>
      <c r="B614" s="1" t="n">
        <v>44887</v>
      </c>
      <c r="C614" s="1" t="n">
        <v>46194</v>
      </c>
      <c r="D614" t="inlineStr">
        <is>
          <t>DALARNAS LÄN</t>
        </is>
      </c>
      <c r="E614" t="inlineStr">
        <is>
          <t>MORA</t>
        </is>
      </c>
      <c r="F614" t="inlineStr">
        <is>
          <t>Bergvik skog väst AB</t>
        </is>
      </c>
      <c r="G614" t="n">
        <v>2.2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46194</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11919-2024</t>
        </is>
      </c>
      <c r="B616" s="1" t="n">
        <v>45376</v>
      </c>
      <c r="C616" s="1" t="n">
        <v>46194</v>
      </c>
      <c r="D616" t="inlineStr">
        <is>
          <t>DALARNAS LÄN</t>
        </is>
      </c>
      <c r="E616" t="inlineStr">
        <is>
          <t>MORA</t>
        </is>
      </c>
      <c r="G616" t="n">
        <v>3.5</v>
      </c>
      <c r="H616" t="n">
        <v>0</v>
      </c>
      <c r="I616" t="n">
        <v>0</v>
      </c>
      <c r="J616" t="n">
        <v>0</v>
      </c>
      <c r="K616" t="n">
        <v>0</v>
      </c>
      <c r="L616" t="n">
        <v>0</v>
      </c>
      <c r="M616" t="n">
        <v>0</v>
      </c>
      <c r="N616" t="n">
        <v>0</v>
      </c>
      <c r="O616" t="n">
        <v>0</v>
      </c>
      <c r="P616" t="n">
        <v>0</v>
      </c>
      <c r="Q616" t="n">
        <v>0</v>
      </c>
      <c r="R616" s="2" t="inlineStr"/>
    </row>
    <row r="617" ht="15" customHeight="1">
      <c r="A617" t="inlineStr">
        <is>
          <t>A 13543-2026</t>
        </is>
      </c>
      <c r="B617" s="1" t="n">
        <v>46094</v>
      </c>
      <c r="C617" s="1" t="n">
        <v>46194</v>
      </c>
      <c r="D617" t="inlineStr">
        <is>
          <t>DALARNAS LÄN</t>
        </is>
      </c>
      <c r="E617" t="inlineStr">
        <is>
          <t>MORA</t>
        </is>
      </c>
      <c r="G617" t="n">
        <v>1.3</v>
      </c>
      <c r="H617" t="n">
        <v>0</v>
      </c>
      <c r="I617" t="n">
        <v>0</v>
      </c>
      <c r="J617" t="n">
        <v>0</v>
      </c>
      <c r="K617" t="n">
        <v>0</v>
      </c>
      <c r="L617" t="n">
        <v>0</v>
      </c>
      <c r="M617" t="n">
        <v>0</v>
      </c>
      <c r="N617" t="n">
        <v>0</v>
      </c>
      <c r="O617" t="n">
        <v>0</v>
      </c>
      <c r="P617" t="n">
        <v>0</v>
      </c>
      <c r="Q617" t="n">
        <v>0</v>
      </c>
      <c r="R617" s="2" t="inlineStr"/>
    </row>
    <row r="618" ht="15" customHeight="1">
      <c r="A618" t="inlineStr">
        <is>
          <t>A 5936-2026</t>
        </is>
      </c>
      <c r="B618" s="1" t="n">
        <v>46052</v>
      </c>
      <c r="C618" s="1" t="n">
        <v>46194</v>
      </c>
      <c r="D618" t="inlineStr">
        <is>
          <t>DALARNAS LÄN</t>
        </is>
      </c>
      <c r="E618" t="inlineStr">
        <is>
          <t>MORA</t>
        </is>
      </c>
      <c r="G618" t="n">
        <v>11.1</v>
      </c>
      <c r="H618" t="n">
        <v>0</v>
      </c>
      <c r="I618" t="n">
        <v>0</v>
      </c>
      <c r="J618" t="n">
        <v>0</v>
      </c>
      <c r="K618" t="n">
        <v>0</v>
      </c>
      <c r="L618" t="n">
        <v>0</v>
      </c>
      <c r="M618" t="n">
        <v>0</v>
      </c>
      <c r="N618" t="n">
        <v>0</v>
      </c>
      <c r="O618" t="n">
        <v>0</v>
      </c>
      <c r="P618" t="n">
        <v>0</v>
      </c>
      <c r="Q618" t="n">
        <v>0</v>
      </c>
      <c r="R618" s="2" t="inlineStr"/>
    </row>
    <row r="619" ht="15" customHeight="1">
      <c r="A619" t="inlineStr">
        <is>
          <t>A 13853-2026</t>
        </is>
      </c>
      <c r="B619" s="1" t="n">
        <v>46098</v>
      </c>
      <c r="C619" s="1" t="n">
        <v>46194</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row>
    <row r="620" ht="15" customHeight="1">
      <c r="A620" t="inlineStr">
        <is>
          <t>A 13902-2026</t>
        </is>
      </c>
      <c r="B620" s="1" t="n">
        <v>46098</v>
      </c>
      <c r="C620" s="1" t="n">
        <v>46194</v>
      </c>
      <c r="D620" t="inlineStr">
        <is>
          <t>DALARNAS LÄN</t>
        </is>
      </c>
      <c r="E620" t="inlineStr">
        <is>
          <t>MORA</t>
        </is>
      </c>
      <c r="G620" t="n">
        <v>5.3</v>
      </c>
      <c r="H620" t="n">
        <v>0</v>
      </c>
      <c r="I620" t="n">
        <v>0</v>
      </c>
      <c r="J620" t="n">
        <v>0</v>
      </c>
      <c r="K620" t="n">
        <v>0</v>
      </c>
      <c r="L620" t="n">
        <v>0</v>
      </c>
      <c r="M620" t="n">
        <v>0</v>
      </c>
      <c r="N620" t="n">
        <v>0</v>
      </c>
      <c r="O620" t="n">
        <v>0</v>
      </c>
      <c r="P620" t="n">
        <v>0</v>
      </c>
      <c r="Q620" t="n">
        <v>0</v>
      </c>
      <c r="R620" s="2" t="inlineStr"/>
    </row>
    <row r="621" ht="15" customHeight="1">
      <c r="A621" t="inlineStr">
        <is>
          <t>A 14397-2026</t>
        </is>
      </c>
      <c r="B621" s="1" t="n">
        <v>46100</v>
      </c>
      <c r="C621" s="1" t="n">
        <v>46194</v>
      </c>
      <c r="D621" t="inlineStr">
        <is>
          <t>DALARNAS LÄN</t>
        </is>
      </c>
      <c r="E621" t="inlineStr">
        <is>
          <t>MORA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15343-2026</t>
        </is>
      </c>
      <c r="B622" s="1" t="n">
        <v>46105</v>
      </c>
      <c r="C622" s="1" t="n">
        <v>46194</v>
      </c>
      <c r="D622" t="inlineStr">
        <is>
          <t>DALARNAS LÄN</t>
        </is>
      </c>
      <c r="E622" t="inlineStr">
        <is>
          <t>MORA</t>
        </is>
      </c>
      <c r="G622" t="n">
        <v>1.7</v>
      </c>
      <c r="H622" t="n">
        <v>0</v>
      </c>
      <c r="I622" t="n">
        <v>0</v>
      </c>
      <c r="J622" t="n">
        <v>0</v>
      </c>
      <c r="K622" t="n">
        <v>0</v>
      </c>
      <c r="L622" t="n">
        <v>0</v>
      </c>
      <c r="M622" t="n">
        <v>0</v>
      </c>
      <c r="N622" t="n">
        <v>0</v>
      </c>
      <c r="O622" t="n">
        <v>0</v>
      </c>
      <c r="P622" t="n">
        <v>0</v>
      </c>
      <c r="Q622" t="n">
        <v>0</v>
      </c>
      <c r="R622" s="2" t="inlineStr"/>
    </row>
    <row r="623" ht="15" customHeight="1">
      <c r="A623" t="inlineStr">
        <is>
          <t>A 15860-2026</t>
        </is>
      </c>
      <c r="B623" s="1" t="n">
        <v>46107</v>
      </c>
      <c r="C623" s="1" t="n">
        <v>46194</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22113-2026</t>
        </is>
      </c>
      <c r="B624" s="1" t="n">
        <v>46153</v>
      </c>
      <c r="C624" s="1" t="n">
        <v>46194</v>
      </c>
      <c r="D624" t="inlineStr">
        <is>
          <t>DALARNAS LÄN</t>
        </is>
      </c>
      <c r="E624" t="inlineStr">
        <is>
          <t>MORA</t>
        </is>
      </c>
      <c r="F624" t="inlineStr">
        <is>
          <t>Bergvik skog väst AB</t>
        </is>
      </c>
      <c r="G624" t="n">
        <v>4.6</v>
      </c>
      <c r="H624" t="n">
        <v>0</v>
      </c>
      <c r="I624" t="n">
        <v>0</v>
      </c>
      <c r="J624" t="n">
        <v>0</v>
      </c>
      <c r="K624" t="n">
        <v>0</v>
      </c>
      <c r="L624" t="n">
        <v>0</v>
      </c>
      <c r="M624" t="n">
        <v>0</v>
      </c>
      <c r="N624" t="n">
        <v>0</v>
      </c>
      <c r="O624" t="n">
        <v>0</v>
      </c>
      <c r="P624" t="n">
        <v>0</v>
      </c>
      <c r="Q624" t="n">
        <v>0</v>
      </c>
      <c r="R624" s="2" t="inlineStr"/>
    </row>
    <row r="625" ht="15" customHeight="1">
      <c r="A625" t="inlineStr">
        <is>
          <t>A 16547-2026</t>
        </is>
      </c>
      <c r="B625" s="1" t="n">
        <v>46112</v>
      </c>
      <c r="C625" s="1" t="n">
        <v>46194</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22568-2026</t>
        </is>
      </c>
      <c r="B626" s="1" t="n">
        <v>46155</v>
      </c>
      <c r="C626" s="1" t="n">
        <v>46194</v>
      </c>
      <c r="D626" t="inlineStr">
        <is>
          <t>DALARNAS LÄN</t>
        </is>
      </c>
      <c r="E626" t="inlineStr">
        <is>
          <t>MORA</t>
        </is>
      </c>
      <c r="F626" t="inlineStr">
        <is>
          <t>Bergvik skog öst AB</t>
        </is>
      </c>
      <c r="G626" t="n">
        <v>6.7</v>
      </c>
      <c r="H626" t="n">
        <v>0</v>
      </c>
      <c r="I626" t="n">
        <v>0</v>
      </c>
      <c r="J626" t="n">
        <v>0</v>
      </c>
      <c r="K626" t="n">
        <v>0</v>
      </c>
      <c r="L626" t="n">
        <v>0</v>
      </c>
      <c r="M626" t="n">
        <v>0</v>
      </c>
      <c r="N626" t="n">
        <v>0</v>
      </c>
      <c r="O626" t="n">
        <v>0</v>
      </c>
      <c r="P626" t="n">
        <v>0</v>
      </c>
      <c r="Q626" t="n">
        <v>0</v>
      </c>
      <c r="R626" s="2" t="inlineStr"/>
    </row>
    <row r="627" ht="15" customHeight="1">
      <c r="A627" t="inlineStr">
        <is>
          <t>A 22536-2026</t>
        </is>
      </c>
      <c r="B627" s="1" t="n">
        <v>46155</v>
      </c>
      <c r="C627" s="1" t="n">
        <v>46194</v>
      </c>
      <c r="D627" t="inlineStr">
        <is>
          <t>DALARNAS LÄN</t>
        </is>
      </c>
      <c r="E627" t="inlineStr">
        <is>
          <t>MORA</t>
        </is>
      </c>
      <c r="F627" t="inlineStr">
        <is>
          <t>Bergvik skog öst AB</t>
        </is>
      </c>
      <c r="G627" t="n">
        <v>3.3</v>
      </c>
      <c r="H627" t="n">
        <v>0</v>
      </c>
      <c r="I627" t="n">
        <v>0</v>
      </c>
      <c r="J627" t="n">
        <v>0</v>
      </c>
      <c r="K627" t="n">
        <v>0</v>
      </c>
      <c r="L627" t="n">
        <v>0</v>
      </c>
      <c r="M627" t="n">
        <v>0</v>
      </c>
      <c r="N627" t="n">
        <v>0</v>
      </c>
      <c r="O627" t="n">
        <v>0</v>
      </c>
      <c r="P627" t="n">
        <v>0</v>
      </c>
      <c r="Q627" t="n">
        <v>0</v>
      </c>
      <c r="R627" s="2" t="inlineStr"/>
    </row>
    <row r="628" ht="15" customHeight="1">
      <c r="A628" t="inlineStr">
        <is>
          <t>A 23139-2026</t>
        </is>
      </c>
      <c r="B628" s="1" t="n">
        <v>46161</v>
      </c>
      <c r="C628" s="1" t="n">
        <v>46194</v>
      </c>
      <c r="D628" t="inlineStr">
        <is>
          <t>DALARNAS LÄN</t>
        </is>
      </c>
      <c r="E628" t="inlineStr">
        <is>
          <t>MORA</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22962-2026</t>
        </is>
      </c>
      <c r="B629" s="1" t="n">
        <v>46160</v>
      </c>
      <c r="C629" s="1" t="n">
        <v>46194</v>
      </c>
      <c r="D629" t="inlineStr">
        <is>
          <t>DALARNAS LÄN</t>
        </is>
      </c>
      <c r="E629" t="inlineStr">
        <is>
          <t>MORA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23122-2026</t>
        </is>
      </c>
      <c r="B630" s="1" t="n">
        <v>46161</v>
      </c>
      <c r="C630" s="1" t="n">
        <v>46194</v>
      </c>
      <c r="D630" t="inlineStr">
        <is>
          <t>DALARNAS LÄN</t>
        </is>
      </c>
      <c r="E630" t="inlineStr">
        <is>
          <t>MORA</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17805-2026</t>
        </is>
      </c>
      <c r="B631" s="1" t="n">
        <v>46121</v>
      </c>
      <c r="C631" s="1" t="n">
        <v>46194</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17394-2026</t>
        </is>
      </c>
      <c r="B632" s="1" t="n">
        <v>46119</v>
      </c>
      <c r="C632" s="1" t="n">
        <v>46194</v>
      </c>
      <c r="D632" t="inlineStr">
        <is>
          <t>DALARNAS LÄN</t>
        </is>
      </c>
      <c r="E632" t="inlineStr">
        <is>
          <t>MORA</t>
        </is>
      </c>
      <c r="F632" t="inlineStr">
        <is>
          <t>Bergvik skog öst AB</t>
        </is>
      </c>
      <c r="G632" t="n">
        <v>2.3</v>
      </c>
      <c r="H632" t="n">
        <v>0</v>
      </c>
      <c r="I632" t="n">
        <v>0</v>
      </c>
      <c r="J632" t="n">
        <v>0</v>
      </c>
      <c r="K632" t="n">
        <v>0</v>
      </c>
      <c r="L632" t="n">
        <v>0</v>
      </c>
      <c r="M632" t="n">
        <v>0</v>
      </c>
      <c r="N632" t="n">
        <v>0</v>
      </c>
      <c r="O632" t="n">
        <v>0</v>
      </c>
      <c r="P632" t="n">
        <v>0</v>
      </c>
      <c r="Q632" t="n">
        <v>0</v>
      </c>
      <c r="R632" s="2" t="inlineStr"/>
    </row>
    <row r="633" ht="15" customHeight="1">
      <c r="A633" t="inlineStr">
        <is>
          <t>A 17393-2026</t>
        </is>
      </c>
      <c r="B633" s="1" t="n">
        <v>46119</v>
      </c>
      <c r="C633" s="1" t="n">
        <v>46194</v>
      </c>
      <c r="D633" t="inlineStr">
        <is>
          <t>DALARNAS LÄN</t>
        </is>
      </c>
      <c r="E633" t="inlineStr">
        <is>
          <t>MORA</t>
        </is>
      </c>
      <c r="F633" t="inlineStr">
        <is>
          <t>Bergvik skog öst AB</t>
        </is>
      </c>
      <c r="G633" t="n">
        <v>2.8</v>
      </c>
      <c r="H633" t="n">
        <v>0</v>
      </c>
      <c r="I633" t="n">
        <v>0</v>
      </c>
      <c r="J633" t="n">
        <v>0</v>
      </c>
      <c r="K633" t="n">
        <v>0</v>
      </c>
      <c r="L633" t="n">
        <v>0</v>
      </c>
      <c r="M633" t="n">
        <v>0</v>
      </c>
      <c r="N633" t="n">
        <v>0</v>
      </c>
      <c r="O633" t="n">
        <v>0</v>
      </c>
      <c r="P633" t="n">
        <v>0</v>
      </c>
      <c r="Q633" t="n">
        <v>0</v>
      </c>
      <c r="R633" s="2" t="inlineStr"/>
    </row>
    <row r="634" ht="15" customHeight="1">
      <c r="A634" t="inlineStr">
        <is>
          <t>A 17392-2026</t>
        </is>
      </c>
      <c r="B634" s="1" t="n">
        <v>46119</v>
      </c>
      <c r="C634" s="1" t="n">
        <v>46194</v>
      </c>
      <c r="D634" t="inlineStr">
        <is>
          <t>DALARNAS LÄN</t>
        </is>
      </c>
      <c r="E634" t="inlineStr">
        <is>
          <t>MORA</t>
        </is>
      </c>
      <c r="F634" t="inlineStr">
        <is>
          <t>Bergvik skog öst AB</t>
        </is>
      </c>
      <c r="G634" t="n">
        <v>4</v>
      </c>
      <c r="H634" t="n">
        <v>0</v>
      </c>
      <c r="I634" t="n">
        <v>0</v>
      </c>
      <c r="J634" t="n">
        <v>0</v>
      </c>
      <c r="K634" t="n">
        <v>0</v>
      </c>
      <c r="L634" t="n">
        <v>0</v>
      </c>
      <c r="M634" t="n">
        <v>0</v>
      </c>
      <c r="N634" t="n">
        <v>0</v>
      </c>
      <c r="O634" t="n">
        <v>0</v>
      </c>
      <c r="P634" t="n">
        <v>0</v>
      </c>
      <c r="Q634" t="n">
        <v>0</v>
      </c>
      <c r="R634" s="2" t="inlineStr"/>
    </row>
    <row r="635" ht="15" customHeight="1">
      <c r="A635" t="inlineStr">
        <is>
          <t>A 23267-2026</t>
        </is>
      </c>
      <c r="B635" s="1" t="n">
        <v>46162</v>
      </c>
      <c r="C635" s="1" t="n">
        <v>46194</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17756-2026</t>
        </is>
      </c>
      <c r="B636" s="1" t="n">
        <v>46122</v>
      </c>
      <c r="C636" s="1" t="n">
        <v>46194</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23972-2026</t>
        </is>
      </c>
      <c r="B637" s="1" t="n">
        <v>46167</v>
      </c>
      <c r="C637" s="1" t="n">
        <v>46194</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23690-2026</t>
        </is>
      </c>
      <c r="B638" s="1" t="n">
        <v>46164</v>
      </c>
      <c r="C638" s="1" t="n">
        <v>46194</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22953-2026</t>
        </is>
      </c>
      <c r="B639" s="1" t="n">
        <v>46160</v>
      </c>
      <c r="C639" s="1" t="n">
        <v>46194</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18514-2026</t>
        </is>
      </c>
      <c r="B640" s="1" t="n">
        <v>46127</v>
      </c>
      <c r="C640" s="1" t="n">
        <v>46194</v>
      </c>
      <c r="D640" t="inlineStr">
        <is>
          <t>DALARNAS LÄN</t>
        </is>
      </c>
      <c r="E640" t="inlineStr">
        <is>
          <t>MORA</t>
        </is>
      </c>
      <c r="G640" t="n">
        <v>2.4</v>
      </c>
      <c r="H640" t="n">
        <v>0</v>
      </c>
      <c r="I640" t="n">
        <v>0</v>
      </c>
      <c r="J640" t="n">
        <v>0</v>
      </c>
      <c r="K640" t="n">
        <v>0</v>
      </c>
      <c r="L640" t="n">
        <v>0</v>
      </c>
      <c r="M640" t="n">
        <v>0</v>
      </c>
      <c r="N640" t="n">
        <v>0</v>
      </c>
      <c r="O640" t="n">
        <v>0</v>
      </c>
      <c r="P640" t="n">
        <v>0</v>
      </c>
      <c r="Q640" t="n">
        <v>0</v>
      </c>
      <c r="R640" s="2" t="inlineStr"/>
    </row>
    <row r="641" ht="15" customHeight="1">
      <c r="A641" t="inlineStr">
        <is>
          <t>A 18626-2026</t>
        </is>
      </c>
      <c r="B641" s="1" t="n">
        <v>46127</v>
      </c>
      <c r="C641" s="1" t="n">
        <v>46194</v>
      </c>
      <c r="D641" t="inlineStr">
        <is>
          <t>DALARNAS LÄN</t>
        </is>
      </c>
      <c r="E641" t="inlineStr">
        <is>
          <t>MORA</t>
        </is>
      </c>
      <c r="G641" t="n">
        <v>3.1</v>
      </c>
      <c r="H641" t="n">
        <v>0</v>
      </c>
      <c r="I641" t="n">
        <v>0</v>
      </c>
      <c r="J641" t="n">
        <v>0</v>
      </c>
      <c r="K641" t="n">
        <v>0</v>
      </c>
      <c r="L641" t="n">
        <v>0</v>
      </c>
      <c r="M641" t="n">
        <v>0</v>
      </c>
      <c r="N641" t="n">
        <v>0</v>
      </c>
      <c r="O641" t="n">
        <v>0</v>
      </c>
      <c r="P641" t="n">
        <v>0</v>
      </c>
      <c r="Q641" t="n">
        <v>0</v>
      </c>
      <c r="R641" s="2" t="inlineStr"/>
    </row>
    <row r="642" ht="15" customHeight="1">
      <c r="A642" t="inlineStr">
        <is>
          <t>A 24048-2026</t>
        </is>
      </c>
      <c r="B642" s="1" t="n">
        <v>46168</v>
      </c>
      <c r="C642" s="1" t="n">
        <v>46194</v>
      </c>
      <c r="D642" t="inlineStr">
        <is>
          <t>DALARNAS LÄN</t>
        </is>
      </c>
      <c r="E642" t="inlineStr">
        <is>
          <t>MORA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18412-2026</t>
        </is>
      </c>
      <c r="B643" s="1" t="n">
        <v>46126</v>
      </c>
      <c r="C643" s="1" t="n">
        <v>46194</v>
      </c>
      <c r="D643" t="inlineStr">
        <is>
          <t>DALARNAS LÄN</t>
        </is>
      </c>
      <c r="E643" t="inlineStr">
        <is>
          <t>MORA</t>
        </is>
      </c>
      <c r="G643" t="n">
        <v>0.8</v>
      </c>
      <c r="H643" t="n">
        <v>0</v>
      </c>
      <c r="I643" t="n">
        <v>0</v>
      </c>
      <c r="J643" t="n">
        <v>0</v>
      </c>
      <c r="K643" t="n">
        <v>0</v>
      </c>
      <c r="L643" t="n">
        <v>0</v>
      </c>
      <c r="M643" t="n">
        <v>0</v>
      </c>
      <c r="N643" t="n">
        <v>0</v>
      </c>
      <c r="O643" t="n">
        <v>0</v>
      </c>
      <c r="P643" t="n">
        <v>0</v>
      </c>
      <c r="Q643" t="n">
        <v>0</v>
      </c>
      <c r="R643" s="2" t="inlineStr"/>
    </row>
    <row r="644" ht="15" customHeight="1">
      <c r="A644" t="inlineStr">
        <is>
          <t>A 24043-2026</t>
        </is>
      </c>
      <c r="B644" s="1" t="n">
        <v>46168</v>
      </c>
      <c r="C644" s="1" t="n">
        <v>46194</v>
      </c>
      <c r="D644" t="inlineStr">
        <is>
          <t>DALARNAS LÄN</t>
        </is>
      </c>
      <c r="E644" t="inlineStr">
        <is>
          <t>MORA</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24571-2026</t>
        </is>
      </c>
      <c r="B645" s="1" t="n">
        <v>46170</v>
      </c>
      <c r="C645" s="1" t="n">
        <v>46194</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24526-2026</t>
        </is>
      </c>
      <c r="B646" s="1" t="n">
        <v>46170</v>
      </c>
      <c r="C646" s="1" t="n">
        <v>46194</v>
      </c>
      <c r="D646" t="inlineStr">
        <is>
          <t>DALARNAS LÄN</t>
        </is>
      </c>
      <c r="E646" t="inlineStr">
        <is>
          <t>MORA</t>
        </is>
      </c>
      <c r="G646" t="n">
        <v>0.9</v>
      </c>
      <c r="H646" t="n">
        <v>0</v>
      </c>
      <c r="I646" t="n">
        <v>0</v>
      </c>
      <c r="J646" t="n">
        <v>0</v>
      </c>
      <c r="K646" t="n">
        <v>0</v>
      </c>
      <c r="L646" t="n">
        <v>0</v>
      </c>
      <c r="M646" t="n">
        <v>0</v>
      </c>
      <c r="N646" t="n">
        <v>0</v>
      </c>
      <c r="O646" t="n">
        <v>0</v>
      </c>
      <c r="P646" t="n">
        <v>0</v>
      </c>
      <c r="Q646" t="n">
        <v>0</v>
      </c>
      <c r="R646" s="2" t="inlineStr"/>
    </row>
    <row r="647" ht="15" customHeight="1">
      <c r="A647" t="inlineStr">
        <is>
          <t>A 24525-2026</t>
        </is>
      </c>
      <c r="B647" s="1" t="n">
        <v>46170</v>
      </c>
      <c r="C647" s="1" t="n">
        <v>46194</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18674-2026</t>
        </is>
      </c>
      <c r="B648" s="1" t="n">
        <v>46128</v>
      </c>
      <c r="C648" s="1" t="n">
        <v>46194</v>
      </c>
      <c r="D648" t="inlineStr">
        <is>
          <t>DALARNAS LÄN</t>
        </is>
      </c>
      <c r="E648" t="inlineStr">
        <is>
          <t>MORA</t>
        </is>
      </c>
      <c r="G648" t="n">
        <v>0.6</v>
      </c>
      <c r="H648" t="n">
        <v>0</v>
      </c>
      <c r="I648" t="n">
        <v>0</v>
      </c>
      <c r="J648" t="n">
        <v>0</v>
      </c>
      <c r="K648" t="n">
        <v>0</v>
      </c>
      <c r="L648" t="n">
        <v>0</v>
      </c>
      <c r="M648" t="n">
        <v>0</v>
      </c>
      <c r="N648" t="n">
        <v>0</v>
      </c>
      <c r="O648" t="n">
        <v>0</v>
      </c>
      <c r="P648" t="n">
        <v>0</v>
      </c>
      <c r="Q648" t="n">
        <v>0</v>
      </c>
      <c r="R648" s="2" t="inlineStr"/>
    </row>
    <row r="649" ht="15" customHeight="1">
      <c r="A649" t="inlineStr">
        <is>
          <t>A 23392-2026</t>
        </is>
      </c>
      <c r="B649" s="1" t="n">
        <v>46162</v>
      </c>
      <c r="C649" s="1" t="n">
        <v>46194</v>
      </c>
      <c r="D649" t="inlineStr">
        <is>
          <t>DALARNAS LÄN</t>
        </is>
      </c>
      <c r="E649" t="inlineStr">
        <is>
          <t>MORA</t>
        </is>
      </c>
      <c r="G649" t="n">
        <v>13</v>
      </c>
      <c r="H649" t="n">
        <v>0</v>
      </c>
      <c r="I649" t="n">
        <v>0</v>
      </c>
      <c r="J649" t="n">
        <v>0</v>
      </c>
      <c r="K649" t="n">
        <v>0</v>
      </c>
      <c r="L649" t="n">
        <v>0</v>
      </c>
      <c r="M649" t="n">
        <v>0</v>
      </c>
      <c r="N649" t="n">
        <v>0</v>
      </c>
      <c r="O649" t="n">
        <v>0</v>
      </c>
      <c r="P649" t="n">
        <v>0</v>
      </c>
      <c r="Q649" t="n">
        <v>0</v>
      </c>
      <c r="R649" s="2" t="inlineStr"/>
    </row>
    <row r="650" ht="15" customHeight="1">
      <c r="A650" t="inlineStr">
        <is>
          <t>A 19462-2026</t>
        </is>
      </c>
      <c r="B650" s="1" t="n">
        <v>46133</v>
      </c>
      <c r="C650" s="1" t="n">
        <v>46194</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15294-2026</t>
        </is>
      </c>
      <c r="B651" s="1" t="n">
        <v>46105</v>
      </c>
      <c r="C651" s="1" t="n">
        <v>46194</v>
      </c>
      <c r="D651" t="inlineStr">
        <is>
          <t>DALARNAS LÄN</t>
        </is>
      </c>
      <c r="E651" t="inlineStr">
        <is>
          <t>MORA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19549-2026</t>
        </is>
      </c>
      <c r="B652" s="1" t="n">
        <v>46134</v>
      </c>
      <c r="C652" s="1" t="n">
        <v>46194</v>
      </c>
      <c r="D652" t="inlineStr">
        <is>
          <t>DALARNAS LÄN</t>
        </is>
      </c>
      <c r="E652" t="inlineStr">
        <is>
          <t>MORA</t>
        </is>
      </c>
      <c r="G652" t="n">
        <v>14.9</v>
      </c>
      <c r="H652" t="n">
        <v>0</v>
      </c>
      <c r="I652" t="n">
        <v>0</v>
      </c>
      <c r="J652" t="n">
        <v>0</v>
      </c>
      <c r="K652" t="n">
        <v>0</v>
      </c>
      <c r="L652" t="n">
        <v>0</v>
      </c>
      <c r="M652" t="n">
        <v>0</v>
      </c>
      <c r="N652" t="n">
        <v>0</v>
      </c>
      <c r="O652" t="n">
        <v>0</v>
      </c>
      <c r="P652" t="n">
        <v>0</v>
      </c>
      <c r="Q652" t="n">
        <v>0</v>
      </c>
      <c r="R652" s="2" t="inlineStr"/>
    </row>
    <row r="653" ht="15" customHeight="1">
      <c r="A653" t="inlineStr">
        <is>
          <t>A 15552-2026</t>
        </is>
      </c>
      <c r="B653" s="1" t="n">
        <v>46106</v>
      </c>
      <c r="C653" s="1" t="n">
        <v>46194</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28925-2025</t>
        </is>
      </c>
      <c r="B654" s="1" t="n">
        <v>45820</v>
      </c>
      <c r="C654" s="1" t="n">
        <v>46194</v>
      </c>
      <c r="D654" t="inlineStr">
        <is>
          <t>DALARNAS LÄN</t>
        </is>
      </c>
      <c r="E654" t="inlineStr">
        <is>
          <t>MORA</t>
        </is>
      </c>
      <c r="G654" t="n">
        <v>3.7</v>
      </c>
      <c r="H654" t="n">
        <v>0</v>
      </c>
      <c r="I654" t="n">
        <v>0</v>
      </c>
      <c r="J654" t="n">
        <v>0</v>
      </c>
      <c r="K654" t="n">
        <v>0</v>
      </c>
      <c r="L654" t="n">
        <v>0</v>
      </c>
      <c r="M654" t="n">
        <v>0</v>
      </c>
      <c r="N654" t="n">
        <v>0</v>
      </c>
      <c r="O654" t="n">
        <v>0</v>
      </c>
      <c r="P654" t="n">
        <v>0</v>
      </c>
      <c r="Q654" t="n">
        <v>0</v>
      </c>
      <c r="R654" s="2" t="inlineStr"/>
    </row>
    <row r="655" ht="15" customHeight="1">
      <c r="A655" t="inlineStr">
        <is>
          <t>A 25556-2026</t>
        </is>
      </c>
      <c r="B655" s="1" t="n">
        <v>46177</v>
      </c>
      <c r="C655" s="1" t="n">
        <v>46194</v>
      </c>
      <c r="D655" t="inlineStr">
        <is>
          <t>DALARNAS LÄN</t>
        </is>
      </c>
      <c r="E655" t="inlineStr">
        <is>
          <t>MORA</t>
        </is>
      </c>
      <c r="G655" t="n">
        <v>12</v>
      </c>
      <c r="H655" t="n">
        <v>0</v>
      </c>
      <c r="I655" t="n">
        <v>0</v>
      </c>
      <c r="J655" t="n">
        <v>0</v>
      </c>
      <c r="K655" t="n">
        <v>0</v>
      </c>
      <c r="L655" t="n">
        <v>0</v>
      </c>
      <c r="M655" t="n">
        <v>0</v>
      </c>
      <c r="N655" t="n">
        <v>0</v>
      </c>
      <c r="O655" t="n">
        <v>0</v>
      </c>
      <c r="P655" t="n">
        <v>0</v>
      </c>
      <c r="Q655" t="n">
        <v>0</v>
      </c>
      <c r="R655" s="2" t="inlineStr"/>
    </row>
    <row r="656" ht="15" customHeight="1">
      <c r="A656" t="inlineStr">
        <is>
          <t>A 56268-2024</t>
        </is>
      </c>
      <c r="B656" s="1" t="n">
        <v>45624</v>
      </c>
      <c r="C656" s="1" t="n">
        <v>46194</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17237-2026</t>
        </is>
      </c>
      <c r="B657" s="1" t="n">
        <v>46119</v>
      </c>
      <c r="C657" s="1" t="n">
        <v>46194</v>
      </c>
      <c r="D657" t="inlineStr">
        <is>
          <t>DALARNAS LÄN</t>
        </is>
      </c>
      <c r="E657" t="inlineStr">
        <is>
          <t>MORA</t>
        </is>
      </c>
      <c r="F657" t="inlineStr">
        <is>
          <t>Bergvik skog öst AB</t>
        </is>
      </c>
      <c r="G657" t="n">
        <v>10</v>
      </c>
      <c r="H657" t="n">
        <v>0</v>
      </c>
      <c r="I657" t="n">
        <v>0</v>
      </c>
      <c r="J657" t="n">
        <v>0</v>
      </c>
      <c r="K657" t="n">
        <v>0</v>
      </c>
      <c r="L657" t="n">
        <v>0</v>
      </c>
      <c r="M657" t="n">
        <v>0</v>
      </c>
      <c r="N657" t="n">
        <v>0</v>
      </c>
      <c r="O657" t="n">
        <v>0</v>
      </c>
      <c r="P657" t="n">
        <v>0</v>
      </c>
      <c r="Q657" t="n">
        <v>0</v>
      </c>
      <c r="R657" s="2" t="inlineStr"/>
    </row>
    <row r="658" ht="15" customHeight="1">
      <c r="A658" t="inlineStr">
        <is>
          <t>A 20089-2026</t>
        </is>
      </c>
      <c r="B658" s="1" t="n">
        <v>46135</v>
      </c>
      <c r="C658" s="1" t="n">
        <v>46194</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27177-2025</t>
        </is>
      </c>
      <c r="B659" s="1" t="n">
        <v>45812</v>
      </c>
      <c r="C659" s="1" t="n">
        <v>46194</v>
      </c>
      <c r="D659" t="inlineStr">
        <is>
          <t>DALARNAS LÄN</t>
        </is>
      </c>
      <c r="E659" t="inlineStr">
        <is>
          <t>MORA</t>
        </is>
      </c>
      <c r="F659" t="inlineStr">
        <is>
          <t>Bergvik skog öst AB</t>
        </is>
      </c>
      <c r="G659" t="n">
        <v>2.5</v>
      </c>
      <c r="H659" t="n">
        <v>0</v>
      </c>
      <c r="I659" t="n">
        <v>0</v>
      </c>
      <c r="J659" t="n">
        <v>0</v>
      </c>
      <c r="K659" t="n">
        <v>0</v>
      </c>
      <c r="L659" t="n">
        <v>0</v>
      </c>
      <c r="M659" t="n">
        <v>0</v>
      </c>
      <c r="N659" t="n">
        <v>0</v>
      </c>
      <c r="O659" t="n">
        <v>0</v>
      </c>
      <c r="P659" t="n">
        <v>0</v>
      </c>
      <c r="Q659" t="n">
        <v>0</v>
      </c>
      <c r="R659" s="2" t="inlineStr"/>
    </row>
    <row r="660" ht="15" customHeight="1">
      <c r="A660" t="inlineStr">
        <is>
          <t>A 15127-2022</t>
        </is>
      </c>
      <c r="B660" s="1" t="n">
        <v>44658</v>
      </c>
      <c r="C660" s="1" t="n">
        <v>46194</v>
      </c>
      <c r="D660" t="inlineStr">
        <is>
          <t>DALARNAS LÄN</t>
        </is>
      </c>
      <c r="E660" t="inlineStr">
        <is>
          <t>MORA</t>
        </is>
      </c>
      <c r="G660" t="n">
        <v>4.9</v>
      </c>
      <c r="H660" t="n">
        <v>0</v>
      </c>
      <c r="I660" t="n">
        <v>0</v>
      </c>
      <c r="J660" t="n">
        <v>0</v>
      </c>
      <c r="K660" t="n">
        <v>0</v>
      </c>
      <c r="L660" t="n">
        <v>0</v>
      </c>
      <c r="M660" t="n">
        <v>0</v>
      </c>
      <c r="N660" t="n">
        <v>0</v>
      </c>
      <c r="O660" t="n">
        <v>0</v>
      </c>
      <c r="P660" t="n">
        <v>0</v>
      </c>
      <c r="Q660" t="n">
        <v>0</v>
      </c>
      <c r="R660" s="2" t="inlineStr"/>
    </row>
    <row r="661" ht="15" customHeight="1">
      <c r="A661" t="inlineStr">
        <is>
          <t>A 26854-2025</t>
        </is>
      </c>
      <c r="B661" s="1" t="n">
        <v>45810</v>
      </c>
      <c r="C661" s="1" t="n">
        <v>46194</v>
      </c>
      <c r="D661" t="inlineStr">
        <is>
          <t>DALARNAS LÄN</t>
        </is>
      </c>
      <c r="E661" t="inlineStr">
        <is>
          <t>MORA</t>
        </is>
      </c>
      <c r="G661" t="n">
        <v>4.4</v>
      </c>
      <c r="H661" t="n">
        <v>0</v>
      </c>
      <c r="I661" t="n">
        <v>0</v>
      </c>
      <c r="J661" t="n">
        <v>0</v>
      </c>
      <c r="K661" t="n">
        <v>0</v>
      </c>
      <c r="L661" t="n">
        <v>0</v>
      </c>
      <c r="M661" t="n">
        <v>0</v>
      </c>
      <c r="N661" t="n">
        <v>0</v>
      </c>
      <c r="O661" t="n">
        <v>0</v>
      </c>
      <c r="P661" t="n">
        <v>0</v>
      </c>
      <c r="Q661" t="n">
        <v>0</v>
      </c>
      <c r="R661" s="2" t="inlineStr"/>
    </row>
    <row r="662" ht="15" customHeight="1">
      <c r="A662" t="inlineStr">
        <is>
          <t>A 66158-2021</t>
        </is>
      </c>
      <c r="B662" s="1" t="n">
        <v>44517</v>
      </c>
      <c r="C662" s="1" t="n">
        <v>46194</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12987-2024</t>
        </is>
      </c>
      <c r="B663" s="1" t="n">
        <v>45385</v>
      </c>
      <c r="C663" s="1" t="n">
        <v>46194</v>
      </c>
      <c r="D663" t="inlineStr">
        <is>
          <t>DALARNAS LÄN</t>
        </is>
      </c>
      <c r="E663" t="inlineStr">
        <is>
          <t>MORA</t>
        </is>
      </c>
      <c r="G663" t="n">
        <v>1.3</v>
      </c>
      <c r="H663" t="n">
        <v>0</v>
      </c>
      <c r="I663" t="n">
        <v>0</v>
      </c>
      <c r="J663" t="n">
        <v>0</v>
      </c>
      <c r="K663" t="n">
        <v>0</v>
      </c>
      <c r="L663" t="n">
        <v>0</v>
      </c>
      <c r="M663" t="n">
        <v>0</v>
      </c>
      <c r="N663" t="n">
        <v>0</v>
      </c>
      <c r="O663" t="n">
        <v>0</v>
      </c>
      <c r="P663" t="n">
        <v>0</v>
      </c>
      <c r="Q663" t="n">
        <v>0</v>
      </c>
      <c r="R663" s="2" t="inlineStr"/>
    </row>
    <row r="664" ht="15" customHeight="1">
      <c r="A664" t="inlineStr">
        <is>
          <t>A 7849-2026</t>
        </is>
      </c>
      <c r="B664" s="1" t="n">
        <v>46062</v>
      </c>
      <c r="C664" s="1" t="n">
        <v>46194</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45462-2022</t>
        </is>
      </c>
      <c r="B665" s="1" t="n">
        <v>44845</v>
      </c>
      <c r="C665" s="1" t="n">
        <v>46194</v>
      </c>
      <c r="D665" t="inlineStr">
        <is>
          <t>DALARNAS LÄN</t>
        </is>
      </c>
      <c r="E665" t="inlineStr">
        <is>
          <t>MORA</t>
        </is>
      </c>
      <c r="G665" t="n">
        <v>6.9</v>
      </c>
      <c r="H665" t="n">
        <v>0</v>
      </c>
      <c r="I665" t="n">
        <v>0</v>
      </c>
      <c r="J665" t="n">
        <v>0</v>
      </c>
      <c r="K665" t="n">
        <v>0</v>
      </c>
      <c r="L665" t="n">
        <v>0</v>
      </c>
      <c r="M665" t="n">
        <v>0</v>
      </c>
      <c r="N665" t="n">
        <v>0</v>
      </c>
      <c r="O665" t="n">
        <v>0</v>
      </c>
      <c r="P665" t="n">
        <v>0</v>
      </c>
      <c r="Q665" t="n">
        <v>0</v>
      </c>
      <c r="R665" s="2" t="inlineStr"/>
    </row>
    <row r="666" ht="15" customHeight="1">
      <c r="A666" t="inlineStr">
        <is>
          <t>A 26306-2026</t>
        </is>
      </c>
      <c r="B666" s="1" t="n">
        <v>46182</v>
      </c>
      <c r="C666" s="1" t="n">
        <v>46194</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57855-2025</t>
        </is>
      </c>
      <c r="B667" s="1" t="n">
        <v>45981</v>
      </c>
      <c r="C667" s="1" t="n">
        <v>46194</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46194</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56767-2024</t>
        </is>
      </c>
      <c r="B669" s="1" t="n">
        <v>45628</v>
      </c>
      <c r="C669" s="1" t="n">
        <v>46194</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42085-2024</t>
        </is>
      </c>
      <c r="B670" s="1" t="n">
        <v>45562</v>
      </c>
      <c r="C670" s="1" t="n">
        <v>46194</v>
      </c>
      <c r="D670" t="inlineStr">
        <is>
          <t>DALARNAS LÄN</t>
        </is>
      </c>
      <c r="E670" t="inlineStr">
        <is>
          <t>MORA</t>
        </is>
      </c>
      <c r="G670" t="n">
        <v>4.9</v>
      </c>
      <c r="H670" t="n">
        <v>0</v>
      </c>
      <c r="I670" t="n">
        <v>0</v>
      </c>
      <c r="J670" t="n">
        <v>0</v>
      </c>
      <c r="K670" t="n">
        <v>0</v>
      </c>
      <c r="L670" t="n">
        <v>0</v>
      </c>
      <c r="M670" t="n">
        <v>0</v>
      </c>
      <c r="N670" t="n">
        <v>0</v>
      </c>
      <c r="O670" t="n">
        <v>0</v>
      </c>
      <c r="P670" t="n">
        <v>0</v>
      </c>
      <c r="Q670" t="n">
        <v>0</v>
      </c>
      <c r="R670" s="2" t="inlineStr"/>
    </row>
    <row r="671">
      <c r="A671" t="inlineStr">
        <is>
          <t>A 37971-2024</t>
        </is>
      </c>
      <c r="B671" s="1" t="n">
        <v>45544</v>
      </c>
      <c r="C671" s="1" t="n">
        <v>46194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2026-06-21T00:44:30Z</dcterms:created>
  <dcterms:modified xmlns:dcterms="http://purl.org/dc/terms/" xmlns:xsi="http://www.w3.org/2001/XMLSchema-instance" xsi:type="dcterms:W3CDTF">2026-06-21T00:44:31Z</dcterms:modified>
</cp:coreProperties>
</file>