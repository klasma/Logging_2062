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45932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45932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45932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45932</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45932</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45932</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45932</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45932</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45932</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45932</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45932</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45932</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44417-2025</t>
        </is>
      </c>
      <c r="B16" s="1" t="n">
        <v>45916.5453587963</v>
      </c>
      <c r="C16" s="1" t="n">
        <v>45932</v>
      </c>
      <c r="D16" t="inlineStr">
        <is>
          <t>DALARNAS LÄN</t>
        </is>
      </c>
      <c r="E16" t="inlineStr">
        <is>
          <t>MORA</t>
        </is>
      </c>
      <c r="G16" t="n">
        <v>13.1</v>
      </c>
      <c r="H16" t="n">
        <v>4</v>
      </c>
      <c r="I16" t="n">
        <v>2</v>
      </c>
      <c r="J16" t="n">
        <v>10</v>
      </c>
      <c r="K16" t="n">
        <v>0</v>
      </c>
      <c r="L16" t="n">
        <v>0</v>
      </c>
      <c r="M16" t="n">
        <v>0</v>
      </c>
      <c r="N16" t="n">
        <v>0</v>
      </c>
      <c r="O16" t="n">
        <v>10</v>
      </c>
      <c r="P16" t="n">
        <v>0</v>
      </c>
      <c r="Q16" t="n">
        <v>13</v>
      </c>
      <c r="R16" s="2" t="inlineStr">
        <is>
          <t>Garnlav
Kolflarnlav
Mörk kolflarnlav
Spillkråka
Stjärntagging
Talltita
Tretåig hackspett
Vedflamlav
Vedskivlav
Violettgrå tagellav
Gullgröppa
Mindre märgborre
Kungsfågel</t>
        </is>
      </c>
      <c r="S16">
        <f>HYPERLINK("https://klasma.github.io/Logging_2062/artfynd/A 44417-2025 artfynd.xlsx", "A 44417-2025")</f>
        <v/>
      </c>
      <c r="T16">
        <f>HYPERLINK("https://klasma.github.io/Logging_2062/kartor/A 44417-2025 karta.png", "A 44417-2025")</f>
        <v/>
      </c>
      <c r="V16">
        <f>HYPERLINK("https://klasma.github.io/Logging_2062/klagomål/A 44417-2025 FSC-klagomål.docx", "A 44417-2025")</f>
        <v/>
      </c>
      <c r="W16">
        <f>HYPERLINK("https://klasma.github.io/Logging_2062/klagomålsmail/A 44417-2025 FSC-klagomål mail.docx", "A 44417-2025")</f>
        <v/>
      </c>
      <c r="X16">
        <f>HYPERLINK("https://klasma.github.io/Logging_2062/tillsyn/A 44417-2025 tillsynsbegäran.docx", "A 44417-2025")</f>
        <v/>
      </c>
      <c r="Y16">
        <f>HYPERLINK("https://klasma.github.io/Logging_2062/tillsynsmail/A 44417-2025 tillsynsbegäran mail.docx", "A 44417-2025")</f>
        <v/>
      </c>
      <c r="Z16">
        <f>HYPERLINK("https://klasma.github.io/Logging_2062/fåglar/A 44417-2025 prioriterade fågelarter.docx", "A 44417-2025")</f>
        <v/>
      </c>
    </row>
    <row r="17" ht="15" customHeight="1">
      <c r="A17" t="inlineStr">
        <is>
          <t>A 24131-2025</t>
        </is>
      </c>
      <c r="B17" s="1" t="n">
        <v>45796.63532407407</v>
      </c>
      <c r="C17" s="1" t="n">
        <v>45932</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45932</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45932</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45932</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5064-2023</t>
        </is>
      </c>
      <c r="B21" s="1" t="n">
        <v>44958.60337962963</v>
      </c>
      <c r="C21" s="1" t="n">
        <v>45932</v>
      </c>
      <c r="D21" t="inlineStr">
        <is>
          <t>DALARNAS LÄN</t>
        </is>
      </c>
      <c r="E21" t="inlineStr">
        <is>
          <t>MORA</t>
        </is>
      </c>
      <c r="G21" t="n">
        <v>3.9</v>
      </c>
      <c r="H21" t="n">
        <v>2</v>
      </c>
      <c r="I21" t="n">
        <v>1</v>
      </c>
      <c r="J21" t="n">
        <v>9</v>
      </c>
      <c r="K21" t="n">
        <v>0</v>
      </c>
      <c r="L21" t="n">
        <v>0</v>
      </c>
      <c r="M21" t="n">
        <v>0</v>
      </c>
      <c r="N21" t="n">
        <v>0</v>
      </c>
      <c r="O21" t="n">
        <v>9</v>
      </c>
      <c r="P21" t="n">
        <v>0</v>
      </c>
      <c r="Q21" t="n">
        <v>10</v>
      </c>
      <c r="R21" s="2" t="inlineStr">
        <is>
          <t>Garnlav
Granticka
Rosenticka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35944-2024</t>
        </is>
      </c>
      <c r="B22" s="1" t="n">
        <v>45533.45853009259</v>
      </c>
      <c r="C22" s="1" t="n">
        <v>45932</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34714-2025</t>
        </is>
      </c>
      <c r="B23" s="1" t="n">
        <v>45848.52030092593</v>
      </c>
      <c r="C23" s="1" t="n">
        <v>45932</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29934-2025</t>
        </is>
      </c>
      <c r="B24" s="1" t="n">
        <v>45826.44267361111</v>
      </c>
      <c r="C24" s="1" t="n">
        <v>45932</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21041-2023</t>
        </is>
      </c>
      <c r="B25" s="1" t="n">
        <v>45061.58952546296</v>
      </c>
      <c r="C25" s="1" t="n">
        <v>45932</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40313-2025</t>
        </is>
      </c>
      <c r="B26" s="1" t="n">
        <v>45895.42209490741</v>
      </c>
      <c r="C26" s="1" t="n">
        <v>45932</v>
      </c>
      <c r="D26" t="inlineStr">
        <is>
          <t>DALARNAS LÄN</t>
        </is>
      </c>
      <c r="E26" t="inlineStr">
        <is>
          <t>MORA</t>
        </is>
      </c>
      <c r="G26" t="n">
        <v>16</v>
      </c>
      <c r="H26" t="n">
        <v>3</v>
      </c>
      <c r="I26" t="n">
        <v>3</v>
      </c>
      <c r="J26" t="n">
        <v>5</v>
      </c>
      <c r="K26" t="n">
        <v>0</v>
      </c>
      <c r="L26" t="n">
        <v>0</v>
      </c>
      <c r="M26" t="n">
        <v>0</v>
      </c>
      <c r="N26" t="n">
        <v>0</v>
      </c>
      <c r="O26" t="n">
        <v>5</v>
      </c>
      <c r="P26" t="n">
        <v>0</v>
      </c>
      <c r="Q26" t="n">
        <v>9</v>
      </c>
      <c r="R26" s="2" t="inlineStr">
        <is>
          <t>Garnlav
Mörk kolflarnlav
Spillkråka
Tallticka
Tretåig hackspett
Bollvitmossa
Dropptaggsvamp
Mindre märgborre
Tjäder</t>
        </is>
      </c>
      <c r="S26">
        <f>HYPERLINK("https://klasma.github.io/Logging_2062/artfynd/A 40313-2025 artfynd.xlsx", "A 40313-2025")</f>
        <v/>
      </c>
      <c r="T26">
        <f>HYPERLINK("https://klasma.github.io/Logging_2062/kartor/A 40313-2025 karta.png", "A 40313-2025")</f>
        <v/>
      </c>
      <c r="V26">
        <f>HYPERLINK("https://klasma.github.io/Logging_2062/klagomål/A 40313-2025 FSC-klagomål.docx", "A 40313-2025")</f>
        <v/>
      </c>
      <c r="W26">
        <f>HYPERLINK("https://klasma.github.io/Logging_2062/klagomålsmail/A 40313-2025 FSC-klagomål mail.docx", "A 40313-2025")</f>
        <v/>
      </c>
      <c r="X26">
        <f>HYPERLINK("https://klasma.github.io/Logging_2062/tillsyn/A 40313-2025 tillsynsbegäran.docx", "A 40313-2025")</f>
        <v/>
      </c>
      <c r="Y26">
        <f>HYPERLINK("https://klasma.github.io/Logging_2062/tillsynsmail/A 40313-2025 tillsynsbegäran mail.docx", "A 40313-2025")</f>
        <v/>
      </c>
      <c r="Z26">
        <f>HYPERLINK("https://klasma.github.io/Logging_2062/fåglar/A 40313-2025 prioriterade fågelarter.docx", "A 40313-2025")</f>
        <v/>
      </c>
    </row>
    <row r="27" ht="15" customHeight="1">
      <c r="A27" t="inlineStr">
        <is>
          <t>A 35486-2025</t>
        </is>
      </c>
      <c r="B27" s="1" t="n">
        <v>45855.74986111111</v>
      </c>
      <c r="C27" s="1" t="n">
        <v>45932</v>
      </c>
      <c r="D27" t="inlineStr">
        <is>
          <t>DALARNAS LÄN</t>
        </is>
      </c>
      <c r="E27" t="inlineStr">
        <is>
          <t>MORA</t>
        </is>
      </c>
      <c r="F27" t="inlineStr">
        <is>
          <t>Allmännings- och besparingsskogar</t>
        </is>
      </c>
      <c r="G27" t="n">
        <v>3.9</v>
      </c>
      <c r="H27" t="n">
        <v>3</v>
      </c>
      <c r="I27" t="n">
        <v>2</v>
      </c>
      <c r="J27" t="n">
        <v>7</v>
      </c>
      <c r="K27" t="n">
        <v>0</v>
      </c>
      <c r="L27" t="n">
        <v>0</v>
      </c>
      <c r="M27" t="n">
        <v>0</v>
      </c>
      <c r="N27" t="n">
        <v>0</v>
      </c>
      <c r="O27" t="n">
        <v>7</v>
      </c>
      <c r="P27" t="n">
        <v>0</v>
      </c>
      <c r="Q27" t="n">
        <v>9</v>
      </c>
      <c r="R27" s="2" t="inlineStr">
        <is>
          <t>Dvärgbägarlav
Garnlav
Spillkråka
Talltita
Tretåig hackspett
Ullticka
Vedskivlav
Dropptaggsvamp
Mindre märgborre</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61943-2024</t>
        </is>
      </c>
      <c r="B28" s="1" t="n">
        <v>45653.49774305556</v>
      </c>
      <c r="C28" s="1" t="n">
        <v>45932</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59983-2024</t>
        </is>
      </c>
      <c r="B29" s="1" t="n">
        <v>45642</v>
      </c>
      <c r="C29" s="1" t="n">
        <v>45932</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39480-2025</t>
        </is>
      </c>
      <c r="B30" s="1" t="n">
        <v>45890.35232638889</v>
      </c>
      <c r="C30" s="1" t="n">
        <v>45932</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30904-2025</t>
        </is>
      </c>
      <c r="B31" s="1" t="n">
        <v>45832.36327546297</v>
      </c>
      <c r="C31" s="1" t="n">
        <v>45932</v>
      </c>
      <c r="D31" t="inlineStr">
        <is>
          <t>DALARNAS LÄN</t>
        </is>
      </c>
      <c r="E31" t="inlineStr">
        <is>
          <t>MORA</t>
        </is>
      </c>
      <c r="G31" t="n">
        <v>6.6</v>
      </c>
      <c r="H31" t="n">
        <v>3</v>
      </c>
      <c r="I31" t="n">
        <v>1</v>
      </c>
      <c r="J31" t="n">
        <v>6</v>
      </c>
      <c r="K31" t="n">
        <v>0</v>
      </c>
      <c r="L31" t="n">
        <v>0</v>
      </c>
      <c r="M31" t="n">
        <v>0</v>
      </c>
      <c r="N31" t="n">
        <v>0</v>
      </c>
      <c r="O31" t="n">
        <v>6</v>
      </c>
      <c r="P31" t="n">
        <v>0</v>
      </c>
      <c r="Q31" t="n">
        <v>8</v>
      </c>
      <c r="R31" s="2" t="inlineStr">
        <is>
          <t>Garnlav
Spillkråka
Tallticka
Talltita
Vedflamlav
Vedskivlav
Mindre märgborre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54028-2020</t>
        </is>
      </c>
      <c r="B32" s="1" t="n">
        <v>44125</v>
      </c>
      <c r="C32" s="1" t="n">
        <v>45932</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29520-2025</t>
        </is>
      </c>
      <c r="B33" s="1" t="n">
        <v>45825.3303125</v>
      </c>
      <c r="C33" s="1" t="n">
        <v>45932</v>
      </c>
      <c r="D33" t="inlineStr">
        <is>
          <t>DALARNAS LÄN</t>
        </is>
      </c>
      <c r="E33" t="inlineStr">
        <is>
          <t>MORA</t>
        </is>
      </c>
      <c r="G33" t="n">
        <v>20.5</v>
      </c>
      <c r="H33" t="n">
        <v>1</v>
      </c>
      <c r="I33" t="n">
        <v>2</v>
      </c>
      <c r="J33" t="n">
        <v>5</v>
      </c>
      <c r="K33" t="n">
        <v>0</v>
      </c>
      <c r="L33" t="n">
        <v>0</v>
      </c>
      <c r="M33" t="n">
        <v>0</v>
      </c>
      <c r="N33" t="n">
        <v>0</v>
      </c>
      <c r="O33" t="n">
        <v>5</v>
      </c>
      <c r="P33" t="n">
        <v>0</v>
      </c>
      <c r="Q33" t="n">
        <v>7</v>
      </c>
      <c r="R33" s="2" t="inlineStr">
        <is>
          <t>Garnlav
Granticka
Mörk kolflarnlav
Tretåig hackspett
Vedskivlav
Korallblylav
Mindre märgborre</t>
        </is>
      </c>
      <c r="S33">
        <f>HYPERLINK("https://klasma.github.io/Logging_2062/artfynd/A 29520-2025 artfynd.xlsx", "A 29520-2025")</f>
        <v/>
      </c>
      <c r="T33">
        <f>HYPERLINK("https://klasma.github.io/Logging_2062/kartor/A 29520-2025 karta.png", "A 29520-2025")</f>
        <v/>
      </c>
      <c r="V33">
        <f>HYPERLINK("https://klasma.github.io/Logging_2062/klagomål/A 29520-2025 FSC-klagomål.docx", "A 29520-2025")</f>
        <v/>
      </c>
      <c r="W33">
        <f>HYPERLINK("https://klasma.github.io/Logging_2062/klagomålsmail/A 29520-2025 FSC-klagomål mail.docx", "A 29520-2025")</f>
        <v/>
      </c>
      <c r="X33">
        <f>HYPERLINK("https://klasma.github.io/Logging_2062/tillsyn/A 29520-2025 tillsynsbegäran.docx", "A 29520-2025")</f>
        <v/>
      </c>
      <c r="Y33">
        <f>HYPERLINK("https://klasma.github.io/Logging_2062/tillsynsmail/A 29520-2025 tillsynsbegäran mail.docx", "A 29520-2025")</f>
        <v/>
      </c>
      <c r="Z33">
        <f>HYPERLINK("https://klasma.github.io/Logging_2062/fåglar/A 29520-2025 prioriterade fågelarter.docx", "A 29520-2025")</f>
        <v/>
      </c>
    </row>
    <row r="34" ht="15" customHeight="1">
      <c r="A34" t="inlineStr">
        <is>
          <t>A 29380-2025</t>
        </is>
      </c>
      <c r="B34" s="1" t="n">
        <v>45824.59025462963</v>
      </c>
      <c r="C34" s="1" t="n">
        <v>45932</v>
      </c>
      <c r="D34" t="inlineStr">
        <is>
          <t>DALARNAS LÄN</t>
        </is>
      </c>
      <c r="E34" t="inlineStr">
        <is>
          <t>MORA</t>
        </is>
      </c>
      <c r="G34" t="n">
        <v>8</v>
      </c>
      <c r="H34" t="n">
        <v>2</v>
      </c>
      <c r="I34" t="n">
        <v>1</v>
      </c>
      <c r="J34" t="n">
        <v>5</v>
      </c>
      <c r="K34" t="n">
        <v>0</v>
      </c>
      <c r="L34" t="n">
        <v>0</v>
      </c>
      <c r="M34" t="n">
        <v>0</v>
      </c>
      <c r="N34" t="n">
        <v>0</v>
      </c>
      <c r="O34" t="n">
        <v>5</v>
      </c>
      <c r="P34" t="n">
        <v>0</v>
      </c>
      <c r="Q34" t="n">
        <v>7</v>
      </c>
      <c r="R34" s="2" t="inlineStr">
        <is>
          <t>Garnlav
Kolflarnlav
Mörk kolflarnlav
Tallticka
Talltita
Mindre märgborre
Tjäder</t>
        </is>
      </c>
      <c r="S34">
        <f>HYPERLINK("https://klasma.github.io/Logging_2062/artfynd/A 29380-2025 artfynd.xlsx", "A 29380-2025")</f>
        <v/>
      </c>
      <c r="T34">
        <f>HYPERLINK("https://klasma.github.io/Logging_2062/kartor/A 29380-2025 karta.png", "A 29380-2025")</f>
        <v/>
      </c>
      <c r="V34">
        <f>HYPERLINK("https://klasma.github.io/Logging_2062/klagomål/A 29380-2025 FSC-klagomål.docx", "A 29380-2025")</f>
        <v/>
      </c>
      <c r="W34">
        <f>HYPERLINK("https://klasma.github.io/Logging_2062/klagomålsmail/A 29380-2025 FSC-klagomål mail.docx", "A 29380-2025")</f>
        <v/>
      </c>
      <c r="X34">
        <f>HYPERLINK("https://klasma.github.io/Logging_2062/tillsyn/A 29380-2025 tillsynsbegäran.docx", "A 29380-2025")</f>
        <v/>
      </c>
      <c r="Y34">
        <f>HYPERLINK("https://klasma.github.io/Logging_2062/tillsynsmail/A 29380-2025 tillsynsbegäran mail.docx", "A 29380-2025")</f>
        <v/>
      </c>
      <c r="Z34">
        <f>HYPERLINK("https://klasma.github.io/Logging_2062/fåglar/A 29380-2025 prioriterade fågelarter.docx", "A 29380-2025")</f>
        <v/>
      </c>
    </row>
    <row r="35" ht="15" customHeight="1">
      <c r="A35" t="inlineStr">
        <is>
          <t>A 61259-2023</t>
        </is>
      </c>
      <c r="B35" s="1" t="n">
        <v>45264</v>
      </c>
      <c r="C35" s="1" t="n">
        <v>45932</v>
      </c>
      <c r="D35" t="inlineStr">
        <is>
          <t>DALARNAS LÄN</t>
        </is>
      </c>
      <c r="E35" t="inlineStr">
        <is>
          <t>MORA</t>
        </is>
      </c>
      <c r="F35" t="inlineStr">
        <is>
          <t>Allmännings- och besparingsskogar</t>
        </is>
      </c>
      <c r="G35" t="n">
        <v>1</v>
      </c>
      <c r="H35" t="n">
        <v>1</v>
      </c>
      <c r="I35" t="n">
        <v>3</v>
      </c>
      <c r="J35" t="n">
        <v>3</v>
      </c>
      <c r="K35" t="n">
        <v>1</v>
      </c>
      <c r="L35" t="n">
        <v>0</v>
      </c>
      <c r="M35" t="n">
        <v>0</v>
      </c>
      <c r="N35" t="n">
        <v>0</v>
      </c>
      <c r="O35" t="n">
        <v>4</v>
      </c>
      <c r="P35" t="n">
        <v>1</v>
      </c>
      <c r="Q35" t="n">
        <v>7</v>
      </c>
      <c r="R35" s="2" t="inlineStr">
        <is>
          <t>Knärot
Brunpudrad nållav
Garnlav
Vitgrynig nållav
Bronshjon
Thomsons trägnagare
Vågbandad barkbock</t>
        </is>
      </c>
      <c r="S35">
        <f>HYPERLINK("https://klasma.github.io/Logging_2062/artfynd/A 61259-2023 artfynd.xlsx", "A 61259-2023")</f>
        <v/>
      </c>
      <c r="T35">
        <f>HYPERLINK("https://klasma.github.io/Logging_2062/kartor/A 61259-2023 karta.png", "A 61259-2023")</f>
        <v/>
      </c>
      <c r="U35">
        <f>HYPERLINK("https://klasma.github.io/Logging_2062/knärot/A 61259-2023 karta knärot.png", "A 61259-2023")</f>
        <v/>
      </c>
      <c r="V35">
        <f>HYPERLINK("https://klasma.github.io/Logging_2062/klagomål/A 61259-2023 FSC-klagomål.docx", "A 61259-2023")</f>
        <v/>
      </c>
      <c r="W35">
        <f>HYPERLINK("https://klasma.github.io/Logging_2062/klagomålsmail/A 61259-2023 FSC-klagomål mail.docx", "A 61259-2023")</f>
        <v/>
      </c>
      <c r="X35">
        <f>HYPERLINK("https://klasma.github.io/Logging_2062/tillsyn/A 61259-2023 tillsynsbegäran.docx", "A 61259-2023")</f>
        <v/>
      </c>
      <c r="Y35">
        <f>HYPERLINK("https://klasma.github.io/Logging_2062/tillsynsmail/A 61259-2023 tillsynsbegäran mail.docx", "A 61259-2023")</f>
        <v/>
      </c>
    </row>
    <row r="36" ht="15" customHeight="1">
      <c r="A36" t="inlineStr">
        <is>
          <t>A 34447-2024</t>
        </is>
      </c>
      <c r="B36" s="1" t="n">
        <v>45525</v>
      </c>
      <c r="C36" s="1" t="n">
        <v>45932</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34719-2025</t>
        </is>
      </c>
      <c r="B37" s="1" t="n">
        <v>45848.53040509259</v>
      </c>
      <c r="C37" s="1" t="n">
        <v>45932</v>
      </c>
      <c r="D37" t="inlineStr">
        <is>
          <t>DALARNAS LÄN</t>
        </is>
      </c>
      <c r="E37" t="inlineStr">
        <is>
          <t>MORA</t>
        </is>
      </c>
      <c r="G37" t="n">
        <v>1.9</v>
      </c>
      <c r="H37" t="n">
        <v>2</v>
      </c>
      <c r="I37" t="n">
        <v>1</v>
      </c>
      <c r="J37" t="n">
        <v>5</v>
      </c>
      <c r="K37" t="n">
        <v>0</v>
      </c>
      <c r="L37" t="n">
        <v>0</v>
      </c>
      <c r="M37" t="n">
        <v>0</v>
      </c>
      <c r="N37" t="n">
        <v>0</v>
      </c>
      <c r="O37" t="n">
        <v>5</v>
      </c>
      <c r="P37" t="n">
        <v>0</v>
      </c>
      <c r="Q37" t="n">
        <v>6</v>
      </c>
      <c r="R37" s="2" t="inlineStr">
        <is>
          <t>Dvärgbägarlav
Garnlav
Spillkråka
Tallticka
Tretåig hackspett
Mindre märgborre</t>
        </is>
      </c>
      <c r="S37">
        <f>HYPERLINK("https://klasma.github.io/Logging_2062/artfynd/A 34719-2025 artfynd.xlsx", "A 34719-2025")</f>
        <v/>
      </c>
      <c r="T37">
        <f>HYPERLINK("https://klasma.github.io/Logging_2062/kartor/A 34719-2025 karta.png", "A 34719-2025")</f>
        <v/>
      </c>
      <c r="V37">
        <f>HYPERLINK("https://klasma.github.io/Logging_2062/klagomål/A 34719-2025 FSC-klagomål.docx", "A 34719-2025")</f>
        <v/>
      </c>
      <c r="W37">
        <f>HYPERLINK("https://klasma.github.io/Logging_2062/klagomålsmail/A 34719-2025 FSC-klagomål mail.docx", "A 34719-2025")</f>
        <v/>
      </c>
      <c r="X37">
        <f>HYPERLINK("https://klasma.github.io/Logging_2062/tillsyn/A 34719-2025 tillsynsbegäran.docx", "A 34719-2025")</f>
        <v/>
      </c>
      <c r="Y37">
        <f>HYPERLINK("https://klasma.github.io/Logging_2062/tillsynsmail/A 34719-2025 tillsynsbegäran mail.docx", "A 34719-2025")</f>
        <v/>
      </c>
      <c r="Z37">
        <f>HYPERLINK("https://klasma.github.io/Logging_2062/fåglar/A 34719-2025 prioriterade fågelarter.docx", "A 34719-2025")</f>
        <v/>
      </c>
    </row>
    <row r="38" ht="15" customHeight="1">
      <c r="A38" t="inlineStr">
        <is>
          <t>A 8760-2025</t>
        </is>
      </c>
      <c r="B38" s="1" t="n">
        <v>45712.57467592593</v>
      </c>
      <c r="C38" s="1" t="n">
        <v>45932</v>
      </c>
      <c r="D38" t="inlineStr">
        <is>
          <t>DALARNAS LÄN</t>
        </is>
      </c>
      <c r="E38" t="inlineStr">
        <is>
          <t>MORA</t>
        </is>
      </c>
      <c r="F38" t="inlineStr">
        <is>
          <t>Allmännings- och besparingsskogar</t>
        </is>
      </c>
      <c r="G38" t="n">
        <v>36.6</v>
      </c>
      <c r="H38" t="n">
        <v>0</v>
      </c>
      <c r="I38" t="n">
        <v>0</v>
      </c>
      <c r="J38" t="n">
        <v>5</v>
      </c>
      <c r="K38" t="n">
        <v>0</v>
      </c>
      <c r="L38" t="n">
        <v>0</v>
      </c>
      <c r="M38" t="n">
        <v>0</v>
      </c>
      <c r="N38" t="n">
        <v>0</v>
      </c>
      <c r="O38" t="n">
        <v>5</v>
      </c>
      <c r="P38" t="n">
        <v>0</v>
      </c>
      <c r="Q38" t="n">
        <v>5</v>
      </c>
      <c r="R38" s="2" t="inlineStr">
        <is>
          <t>Garnlav
Mörk kolflarnlav
Skogshare
Vedflamlav
Vedskivlav</t>
        </is>
      </c>
      <c r="S38">
        <f>HYPERLINK("https://klasma.github.io/Logging_2062/artfynd/A 8760-2025 artfynd.xlsx", "A 8760-2025")</f>
        <v/>
      </c>
      <c r="T38">
        <f>HYPERLINK("https://klasma.github.io/Logging_2062/kartor/A 8760-2025 karta.png", "A 8760-2025")</f>
        <v/>
      </c>
      <c r="V38">
        <f>HYPERLINK("https://klasma.github.io/Logging_2062/klagomål/A 8760-2025 FSC-klagomål.docx", "A 8760-2025")</f>
        <v/>
      </c>
      <c r="W38">
        <f>HYPERLINK("https://klasma.github.io/Logging_2062/klagomålsmail/A 8760-2025 FSC-klagomål mail.docx", "A 8760-2025")</f>
        <v/>
      </c>
      <c r="X38">
        <f>HYPERLINK("https://klasma.github.io/Logging_2062/tillsyn/A 8760-2025 tillsynsbegäran.docx", "A 8760-2025")</f>
        <v/>
      </c>
      <c r="Y38">
        <f>HYPERLINK("https://klasma.github.io/Logging_2062/tillsynsmail/A 8760-2025 tillsynsbegäran mail.docx", "A 8760-2025")</f>
        <v/>
      </c>
    </row>
    <row r="39" ht="15" customHeight="1">
      <c r="A39" t="inlineStr">
        <is>
          <t>A 31539-2025</t>
        </is>
      </c>
      <c r="B39" s="1" t="n">
        <v>45833</v>
      </c>
      <c r="C39" s="1" t="n">
        <v>45932</v>
      </c>
      <c r="D39" t="inlineStr">
        <is>
          <t>DALARNAS LÄN</t>
        </is>
      </c>
      <c r="E39" t="inlineStr">
        <is>
          <t>MORA</t>
        </is>
      </c>
      <c r="G39" t="n">
        <v>5.3</v>
      </c>
      <c r="H39" t="n">
        <v>2</v>
      </c>
      <c r="I39" t="n">
        <v>2</v>
      </c>
      <c r="J39" t="n">
        <v>2</v>
      </c>
      <c r="K39" t="n">
        <v>1</v>
      </c>
      <c r="L39" t="n">
        <v>0</v>
      </c>
      <c r="M39" t="n">
        <v>0</v>
      </c>
      <c r="N39" t="n">
        <v>0</v>
      </c>
      <c r="O39" t="n">
        <v>3</v>
      </c>
      <c r="P39" t="n">
        <v>1</v>
      </c>
      <c r="Q39" t="n">
        <v>5</v>
      </c>
      <c r="R39" s="2" t="inlineStr">
        <is>
          <t>Knärot
Tallticka
Talltita
Bollvitmossa
Kattfotslav</t>
        </is>
      </c>
      <c r="S39">
        <f>HYPERLINK("https://klasma.github.io/Logging_2062/artfynd/A 31539-2025 artfynd.xlsx", "A 31539-2025")</f>
        <v/>
      </c>
      <c r="T39">
        <f>HYPERLINK("https://klasma.github.io/Logging_2062/kartor/A 31539-2025 karta.png", "A 31539-2025")</f>
        <v/>
      </c>
      <c r="U39">
        <f>HYPERLINK("https://klasma.github.io/Logging_2062/knärot/A 31539-2025 karta knärot.png", "A 31539-2025")</f>
        <v/>
      </c>
      <c r="V39">
        <f>HYPERLINK("https://klasma.github.io/Logging_2062/klagomål/A 31539-2025 FSC-klagomål.docx", "A 31539-2025")</f>
        <v/>
      </c>
      <c r="W39">
        <f>HYPERLINK("https://klasma.github.io/Logging_2062/klagomålsmail/A 31539-2025 FSC-klagomål mail.docx", "A 31539-2025")</f>
        <v/>
      </c>
      <c r="X39">
        <f>HYPERLINK("https://klasma.github.io/Logging_2062/tillsyn/A 31539-2025 tillsynsbegäran.docx", "A 31539-2025")</f>
        <v/>
      </c>
      <c r="Y39">
        <f>HYPERLINK("https://klasma.github.io/Logging_2062/tillsynsmail/A 31539-2025 tillsynsbegäran mail.docx", "A 31539-2025")</f>
        <v/>
      </c>
      <c r="Z39">
        <f>HYPERLINK("https://klasma.github.io/Logging_2062/fåglar/A 31539-2025 prioriterade fågelarter.docx", "A 31539-2025")</f>
        <v/>
      </c>
    </row>
    <row r="40" ht="15" customHeight="1">
      <c r="A40" t="inlineStr">
        <is>
          <t>A 35487-2025</t>
        </is>
      </c>
      <c r="B40" s="1" t="n">
        <v>45855.75481481481</v>
      </c>
      <c r="C40" s="1" t="n">
        <v>45932</v>
      </c>
      <c r="D40" t="inlineStr">
        <is>
          <t>DALARNAS LÄN</t>
        </is>
      </c>
      <c r="E40" t="inlineStr">
        <is>
          <t>MORA</t>
        </is>
      </c>
      <c r="F40" t="inlineStr">
        <is>
          <t>Allmännings- och besparingsskogar</t>
        </is>
      </c>
      <c r="G40" t="n">
        <v>0.7</v>
      </c>
      <c r="H40" t="n">
        <v>2</v>
      </c>
      <c r="I40" t="n">
        <v>0</v>
      </c>
      <c r="J40" t="n">
        <v>3</v>
      </c>
      <c r="K40" t="n">
        <v>0</v>
      </c>
      <c r="L40" t="n">
        <v>0</v>
      </c>
      <c r="M40" t="n">
        <v>0</v>
      </c>
      <c r="N40" t="n">
        <v>0</v>
      </c>
      <c r="O40" t="n">
        <v>3</v>
      </c>
      <c r="P40" t="n">
        <v>0</v>
      </c>
      <c r="Q40" t="n">
        <v>5</v>
      </c>
      <c r="R40" s="2" t="inlineStr">
        <is>
          <t>Dvärgbägarlav
Garnlav
Vedskivlav
Tjäder
Revlummer</t>
        </is>
      </c>
      <c r="S40">
        <f>HYPERLINK("https://klasma.github.io/Logging_2062/artfynd/A 35487-2025 artfynd.xlsx", "A 35487-2025")</f>
        <v/>
      </c>
      <c r="T40">
        <f>HYPERLINK("https://klasma.github.io/Logging_2062/kartor/A 35487-2025 karta.png", "A 35487-2025")</f>
        <v/>
      </c>
      <c r="V40">
        <f>HYPERLINK("https://klasma.github.io/Logging_2062/klagomål/A 35487-2025 FSC-klagomål.docx", "A 35487-2025")</f>
        <v/>
      </c>
      <c r="W40">
        <f>HYPERLINK("https://klasma.github.io/Logging_2062/klagomålsmail/A 35487-2025 FSC-klagomål mail.docx", "A 35487-2025")</f>
        <v/>
      </c>
      <c r="X40">
        <f>HYPERLINK("https://klasma.github.io/Logging_2062/tillsyn/A 35487-2025 tillsynsbegäran.docx", "A 35487-2025")</f>
        <v/>
      </c>
      <c r="Y40">
        <f>HYPERLINK("https://klasma.github.io/Logging_2062/tillsynsmail/A 35487-2025 tillsynsbegäran mail.docx", "A 35487-2025")</f>
        <v/>
      </c>
      <c r="Z40">
        <f>HYPERLINK("https://klasma.github.io/Logging_2062/fåglar/A 35487-2025 prioriterade fågelarter.docx", "A 35487-2025")</f>
        <v/>
      </c>
    </row>
    <row r="41" ht="15" customHeight="1">
      <c r="A41" t="inlineStr">
        <is>
          <t>A 25750-2021</t>
        </is>
      </c>
      <c r="B41" s="1" t="n">
        <v>44343</v>
      </c>
      <c r="C41" s="1" t="n">
        <v>45932</v>
      </c>
      <c r="D41" t="inlineStr">
        <is>
          <t>DALARNAS LÄN</t>
        </is>
      </c>
      <c r="E41" t="inlineStr">
        <is>
          <t>MORA</t>
        </is>
      </c>
      <c r="G41" t="n">
        <v>3.4</v>
      </c>
      <c r="H41" t="n">
        <v>2</v>
      </c>
      <c r="I41" t="n">
        <v>0</v>
      </c>
      <c r="J41" t="n">
        <v>4</v>
      </c>
      <c r="K41" t="n">
        <v>1</v>
      </c>
      <c r="L41" t="n">
        <v>0</v>
      </c>
      <c r="M41" t="n">
        <v>0</v>
      </c>
      <c r="N41" t="n">
        <v>0</v>
      </c>
      <c r="O41" t="n">
        <v>5</v>
      </c>
      <c r="P41" t="n">
        <v>1</v>
      </c>
      <c r="Q41" t="n">
        <v>5</v>
      </c>
      <c r="R41" s="2" t="inlineStr">
        <is>
          <t>Knärot
Garnlav
Kolflarnlav
Mörk kolflarnlav
Spillkråka</t>
        </is>
      </c>
      <c r="S41">
        <f>HYPERLINK("https://klasma.github.io/Logging_2062/artfynd/A 25750-2021 artfynd.xlsx", "A 25750-2021")</f>
        <v/>
      </c>
      <c r="T41">
        <f>HYPERLINK("https://klasma.github.io/Logging_2062/kartor/A 25750-2021 karta.png", "A 25750-2021")</f>
        <v/>
      </c>
      <c r="U41">
        <f>HYPERLINK("https://klasma.github.io/Logging_2062/knärot/A 25750-2021 karta knärot.png", "A 25750-2021")</f>
        <v/>
      </c>
      <c r="V41">
        <f>HYPERLINK("https://klasma.github.io/Logging_2062/klagomål/A 25750-2021 FSC-klagomål.docx", "A 25750-2021")</f>
        <v/>
      </c>
      <c r="W41">
        <f>HYPERLINK("https://klasma.github.io/Logging_2062/klagomålsmail/A 25750-2021 FSC-klagomål mail.docx", "A 25750-2021")</f>
        <v/>
      </c>
      <c r="X41">
        <f>HYPERLINK("https://klasma.github.io/Logging_2062/tillsyn/A 25750-2021 tillsynsbegäran.docx", "A 25750-2021")</f>
        <v/>
      </c>
      <c r="Y41">
        <f>HYPERLINK("https://klasma.github.io/Logging_2062/tillsynsmail/A 25750-2021 tillsynsbegäran mail.docx", "A 25750-2021")</f>
        <v/>
      </c>
      <c r="Z41">
        <f>HYPERLINK("https://klasma.github.io/Logging_2062/fåglar/A 25750-2021 prioriterade fågelarter.docx", "A 25750-2021")</f>
        <v/>
      </c>
    </row>
    <row r="42" ht="15" customHeight="1">
      <c r="A42" t="inlineStr">
        <is>
          <t>A 34715-2025</t>
        </is>
      </c>
      <c r="B42" s="1" t="n">
        <v>45848.52225694444</v>
      </c>
      <c r="C42" s="1" t="n">
        <v>45932</v>
      </c>
      <c r="D42" t="inlineStr">
        <is>
          <t>DALARNAS LÄN</t>
        </is>
      </c>
      <c r="E42" t="inlineStr">
        <is>
          <t>MORA</t>
        </is>
      </c>
      <c r="G42" t="n">
        <v>8.5</v>
      </c>
      <c r="H42" t="n">
        <v>2</v>
      </c>
      <c r="I42" t="n">
        <v>0</v>
      </c>
      <c r="J42" t="n">
        <v>3</v>
      </c>
      <c r="K42" t="n">
        <v>1</v>
      </c>
      <c r="L42" t="n">
        <v>0</v>
      </c>
      <c r="M42" t="n">
        <v>0</v>
      </c>
      <c r="N42" t="n">
        <v>0</v>
      </c>
      <c r="O42" t="n">
        <v>4</v>
      </c>
      <c r="P42" t="n">
        <v>1</v>
      </c>
      <c r="Q42" t="n">
        <v>4</v>
      </c>
      <c r="R42" s="2" t="inlineStr">
        <is>
          <t>Knärot
Garnlav
Tallticka
Tretåig hackspett</t>
        </is>
      </c>
      <c r="S42">
        <f>HYPERLINK("https://klasma.github.io/Logging_2062/artfynd/A 34715-2025 artfynd.xlsx", "A 34715-2025")</f>
        <v/>
      </c>
      <c r="T42">
        <f>HYPERLINK("https://klasma.github.io/Logging_2062/kartor/A 34715-2025 karta.png", "A 34715-2025")</f>
        <v/>
      </c>
      <c r="U42">
        <f>HYPERLINK("https://klasma.github.io/Logging_2062/knärot/A 34715-2025 karta knärot.png", "A 34715-2025")</f>
        <v/>
      </c>
      <c r="V42">
        <f>HYPERLINK("https://klasma.github.io/Logging_2062/klagomål/A 34715-2025 FSC-klagomål.docx", "A 34715-2025")</f>
        <v/>
      </c>
      <c r="W42">
        <f>HYPERLINK("https://klasma.github.io/Logging_2062/klagomålsmail/A 34715-2025 FSC-klagomål mail.docx", "A 34715-2025")</f>
        <v/>
      </c>
      <c r="X42">
        <f>HYPERLINK("https://klasma.github.io/Logging_2062/tillsyn/A 34715-2025 tillsynsbegäran.docx", "A 34715-2025")</f>
        <v/>
      </c>
      <c r="Y42">
        <f>HYPERLINK("https://klasma.github.io/Logging_2062/tillsynsmail/A 34715-2025 tillsynsbegäran mail.docx", "A 34715-2025")</f>
        <v/>
      </c>
      <c r="Z42">
        <f>HYPERLINK("https://klasma.github.io/Logging_2062/fåglar/A 34715-2025 prioriterade fågelarter.docx", "A 34715-2025")</f>
        <v/>
      </c>
    </row>
    <row r="43" ht="15" customHeight="1">
      <c r="A43" t="inlineStr">
        <is>
          <t>A 32222-2025</t>
        </is>
      </c>
      <c r="B43" s="1" t="n">
        <v>45835.59140046296</v>
      </c>
      <c r="C43" s="1" t="n">
        <v>45932</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39483-2025</t>
        </is>
      </c>
      <c r="B44" s="1" t="n">
        <v>45890.35881944445</v>
      </c>
      <c r="C44" s="1" t="n">
        <v>45932</v>
      </c>
      <c r="D44" t="inlineStr">
        <is>
          <t>DALARNAS LÄN</t>
        </is>
      </c>
      <c r="E44" t="inlineStr">
        <is>
          <t>MORA</t>
        </is>
      </c>
      <c r="G44" t="n">
        <v>0.4</v>
      </c>
      <c r="H44" t="n">
        <v>2</v>
      </c>
      <c r="I44" t="n">
        <v>0</v>
      </c>
      <c r="J44" t="n">
        <v>3</v>
      </c>
      <c r="K44" t="n">
        <v>0</v>
      </c>
      <c r="L44" t="n">
        <v>0</v>
      </c>
      <c r="M44" t="n">
        <v>0</v>
      </c>
      <c r="N44" t="n">
        <v>0</v>
      </c>
      <c r="O44" t="n">
        <v>3</v>
      </c>
      <c r="P44" t="n">
        <v>0</v>
      </c>
      <c r="Q44" t="n">
        <v>4</v>
      </c>
      <c r="R44" s="2" t="inlineStr">
        <is>
          <t>Garnlav
Spillkråka
Vitgrynig nållav
Revlummer</t>
        </is>
      </c>
      <c r="S44">
        <f>HYPERLINK("https://klasma.github.io/Logging_2062/artfynd/A 39483-2025 artfynd.xlsx", "A 39483-2025")</f>
        <v/>
      </c>
      <c r="T44">
        <f>HYPERLINK("https://klasma.github.io/Logging_2062/kartor/A 39483-2025 karta.png", "A 39483-2025")</f>
        <v/>
      </c>
      <c r="V44">
        <f>HYPERLINK("https://klasma.github.io/Logging_2062/klagomål/A 39483-2025 FSC-klagomål.docx", "A 39483-2025")</f>
        <v/>
      </c>
      <c r="W44">
        <f>HYPERLINK("https://klasma.github.io/Logging_2062/klagomålsmail/A 39483-2025 FSC-klagomål mail.docx", "A 39483-2025")</f>
        <v/>
      </c>
      <c r="X44">
        <f>HYPERLINK("https://klasma.github.io/Logging_2062/tillsyn/A 39483-2025 tillsynsbegäran.docx", "A 39483-2025")</f>
        <v/>
      </c>
      <c r="Y44">
        <f>HYPERLINK("https://klasma.github.io/Logging_2062/tillsynsmail/A 39483-2025 tillsynsbegäran mail.docx", "A 39483-2025")</f>
        <v/>
      </c>
      <c r="Z44">
        <f>HYPERLINK("https://klasma.github.io/Logging_2062/fåglar/A 39483-2025 prioriterade fågelarter.docx", "A 39483-2025")</f>
        <v/>
      </c>
    </row>
    <row r="45" ht="15" customHeight="1">
      <c r="A45" t="inlineStr">
        <is>
          <t>A 39478-2025</t>
        </is>
      </c>
      <c r="B45" s="1" t="n">
        <v>45890.3469212963</v>
      </c>
      <c r="C45" s="1" t="n">
        <v>45932</v>
      </c>
      <c r="D45" t="inlineStr">
        <is>
          <t>DALARNAS LÄN</t>
        </is>
      </c>
      <c r="E45" t="inlineStr">
        <is>
          <t>MORA</t>
        </is>
      </c>
      <c r="G45" t="n">
        <v>1.8</v>
      </c>
      <c r="H45" t="n">
        <v>0</v>
      </c>
      <c r="I45" t="n">
        <v>0</v>
      </c>
      <c r="J45" t="n">
        <v>4</v>
      </c>
      <c r="K45" t="n">
        <v>0</v>
      </c>
      <c r="L45" t="n">
        <v>0</v>
      </c>
      <c r="M45" t="n">
        <v>0</v>
      </c>
      <c r="N45" t="n">
        <v>0</v>
      </c>
      <c r="O45" t="n">
        <v>4</v>
      </c>
      <c r="P45" t="n">
        <v>0</v>
      </c>
      <c r="Q45" t="n">
        <v>4</v>
      </c>
      <c r="R45" s="2" t="inlineStr">
        <is>
          <t>Garnlav
Mörk kolflarnlav
Vedflamlav
Vedskivlav</t>
        </is>
      </c>
      <c r="S45">
        <f>HYPERLINK("https://klasma.github.io/Logging_2062/artfynd/A 39478-2025 artfynd.xlsx", "A 39478-2025")</f>
        <v/>
      </c>
      <c r="T45">
        <f>HYPERLINK("https://klasma.github.io/Logging_2062/kartor/A 39478-2025 karta.png", "A 39478-2025")</f>
        <v/>
      </c>
      <c r="V45">
        <f>HYPERLINK("https://klasma.github.io/Logging_2062/klagomål/A 39478-2025 FSC-klagomål.docx", "A 39478-2025")</f>
        <v/>
      </c>
      <c r="W45">
        <f>HYPERLINK("https://klasma.github.io/Logging_2062/klagomålsmail/A 39478-2025 FSC-klagomål mail.docx", "A 39478-2025")</f>
        <v/>
      </c>
      <c r="X45">
        <f>HYPERLINK("https://klasma.github.io/Logging_2062/tillsyn/A 39478-2025 tillsynsbegäran.docx", "A 39478-2025")</f>
        <v/>
      </c>
      <c r="Y45">
        <f>HYPERLINK("https://klasma.github.io/Logging_2062/tillsynsmail/A 39478-2025 tillsynsbegäran mail.docx", "A 39478-2025")</f>
        <v/>
      </c>
    </row>
    <row r="46" ht="15" customHeight="1">
      <c r="A46" t="inlineStr">
        <is>
          <t>A 14293-2024</t>
        </is>
      </c>
      <c r="B46" s="1" t="n">
        <v>45393.63902777778</v>
      </c>
      <c r="C46" s="1" t="n">
        <v>45932</v>
      </c>
      <c r="D46" t="inlineStr">
        <is>
          <t>DALARNAS LÄN</t>
        </is>
      </c>
      <c r="E46" t="inlineStr">
        <is>
          <t>MORA</t>
        </is>
      </c>
      <c r="G46" t="n">
        <v>7.4</v>
      </c>
      <c r="H46" t="n">
        <v>2</v>
      </c>
      <c r="I46" t="n">
        <v>1</v>
      </c>
      <c r="J46" t="n">
        <v>2</v>
      </c>
      <c r="K46" t="n">
        <v>0</v>
      </c>
      <c r="L46" t="n">
        <v>0</v>
      </c>
      <c r="M46" t="n">
        <v>0</v>
      </c>
      <c r="N46" t="n">
        <v>0</v>
      </c>
      <c r="O46" t="n">
        <v>2</v>
      </c>
      <c r="P46" t="n">
        <v>0</v>
      </c>
      <c r="Q46" t="n">
        <v>4</v>
      </c>
      <c r="R46" s="2" t="inlineStr">
        <is>
          <t>Garnlav
Talltita
Dropptaggsvamp
Tjäder</t>
        </is>
      </c>
      <c r="S46">
        <f>HYPERLINK("https://klasma.github.io/Logging_2062/artfynd/A 14293-2024 artfynd.xlsx", "A 14293-2024")</f>
        <v/>
      </c>
      <c r="T46">
        <f>HYPERLINK("https://klasma.github.io/Logging_2062/kartor/A 14293-2024 karta.png", "A 14293-2024")</f>
        <v/>
      </c>
      <c r="V46">
        <f>HYPERLINK("https://klasma.github.io/Logging_2062/klagomål/A 14293-2024 FSC-klagomål.docx", "A 14293-2024")</f>
        <v/>
      </c>
      <c r="W46">
        <f>HYPERLINK("https://klasma.github.io/Logging_2062/klagomålsmail/A 14293-2024 FSC-klagomål mail.docx", "A 14293-2024")</f>
        <v/>
      </c>
      <c r="X46">
        <f>HYPERLINK("https://klasma.github.io/Logging_2062/tillsyn/A 14293-2024 tillsynsbegäran.docx", "A 14293-2024")</f>
        <v/>
      </c>
      <c r="Y46">
        <f>HYPERLINK("https://klasma.github.io/Logging_2062/tillsynsmail/A 14293-2024 tillsynsbegäran mail.docx", "A 14293-2024")</f>
        <v/>
      </c>
      <c r="Z46">
        <f>HYPERLINK("https://klasma.github.io/Logging_2062/fåglar/A 14293-2024 prioriterade fågelarter.docx", "A 14293-2024")</f>
        <v/>
      </c>
    </row>
    <row r="47" ht="15" customHeight="1">
      <c r="A47" t="inlineStr">
        <is>
          <t>A 17648-2024</t>
        </is>
      </c>
      <c r="B47" s="1" t="n">
        <v>45418.39261574074</v>
      </c>
      <c r="C47" s="1" t="n">
        <v>45932</v>
      </c>
      <c r="D47" t="inlineStr">
        <is>
          <t>DALARNAS LÄN</t>
        </is>
      </c>
      <c r="E47" t="inlineStr">
        <is>
          <t>MORA</t>
        </is>
      </c>
      <c r="G47" t="n">
        <v>1.7</v>
      </c>
      <c r="H47" t="n">
        <v>4</v>
      </c>
      <c r="I47" t="n">
        <v>0</v>
      </c>
      <c r="J47" t="n">
        <v>2</v>
      </c>
      <c r="K47" t="n">
        <v>0</v>
      </c>
      <c r="L47" t="n">
        <v>0</v>
      </c>
      <c r="M47" t="n">
        <v>0</v>
      </c>
      <c r="N47" t="n">
        <v>0</v>
      </c>
      <c r="O47" t="n">
        <v>2</v>
      </c>
      <c r="P47" t="n">
        <v>0</v>
      </c>
      <c r="Q47" t="n">
        <v>4</v>
      </c>
      <c r="R47" s="2" t="inlineStr">
        <is>
          <t>Brunlångöra
Nordfladdermus
Dvärgpipistrell
Vattenfladdermus</t>
        </is>
      </c>
      <c r="S47">
        <f>HYPERLINK("https://klasma.github.io/Logging_2062/artfynd/A 17648-2024 artfynd.xlsx", "A 17648-2024")</f>
        <v/>
      </c>
      <c r="T47">
        <f>HYPERLINK("https://klasma.github.io/Logging_2062/kartor/A 17648-2024 karta.png", "A 17648-2024")</f>
        <v/>
      </c>
      <c r="V47">
        <f>HYPERLINK("https://klasma.github.io/Logging_2062/klagomål/A 17648-2024 FSC-klagomål.docx", "A 17648-2024")</f>
        <v/>
      </c>
      <c r="W47">
        <f>HYPERLINK("https://klasma.github.io/Logging_2062/klagomålsmail/A 17648-2024 FSC-klagomål mail.docx", "A 17648-2024")</f>
        <v/>
      </c>
      <c r="X47">
        <f>HYPERLINK("https://klasma.github.io/Logging_2062/tillsyn/A 17648-2024 tillsynsbegäran.docx", "A 17648-2024")</f>
        <v/>
      </c>
      <c r="Y47">
        <f>HYPERLINK("https://klasma.github.io/Logging_2062/tillsynsmail/A 17648-2024 tillsynsbegäran mail.docx", "A 17648-2024")</f>
        <v/>
      </c>
    </row>
    <row r="48" ht="15" customHeight="1">
      <c r="A48" t="inlineStr">
        <is>
          <t>A 14829-2025</t>
        </is>
      </c>
      <c r="B48" s="1" t="n">
        <v>45743.36951388889</v>
      </c>
      <c r="C48" s="1" t="n">
        <v>45932</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HYPERLINK("https://klasma.github.io/Logging_2062/artfynd/A 14829-2025 artfynd.xlsx", "A 14829-2025")</f>
        <v/>
      </c>
      <c r="T48">
        <f>HYPERLINK("https://klasma.github.io/Logging_2062/kartor/A 14829-2025 karta.png", "A 14829-2025")</f>
        <v/>
      </c>
      <c r="V48">
        <f>HYPERLINK("https://klasma.github.io/Logging_2062/klagomål/A 14829-2025 FSC-klagomål.docx", "A 14829-2025")</f>
        <v/>
      </c>
      <c r="W48">
        <f>HYPERLINK("https://klasma.github.io/Logging_2062/klagomålsmail/A 14829-2025 FSC-klagomål mail.docx", "A 14829-2025")</f>
        <v/>
      </c>
      <c r="X48">
        <f>HYPERLINK("https://klasma.github.io/Logging_2062/tillsyn/A 14829-2025 tillsynsbegäran.docx", "A 14829-2025")</f>
        <v/>
      </c>
      <c r="Y48">
        <f>HYPERLINK("https://klasma.github.io/Logging_2062/tillsynsmail/A 14829-2025 tillsynsbegäran mail.docx", "A 14829-2025")</f>
        <v/>
      </c>
      <c r="Z48">
        <f>HYPERLINK("https://klasma.github.io/Logging_2062/fåglar/A 14829-2025 prioriterade fågelarter.docx", "A 14829-2025")</f>
        <v/>
      </c>
    </row>
    <row r="49" ht="15" customHeight="1">
      <c r="A49" t="inlineStr">
        <is>
          <t>A 29392-2025</t>
        </is>
      </c>
      <c r="B49" s="1" t="n">
        <v>45824.60537037037</v>
      </c>
      <c r="C49" s="1" t="n">
        <v>45932</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45932</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45932</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24220-2025</t>
        </is>
      </c>
      <c r="B52" s="1" t="n">
        <v>45797.3635300926</v>
      </c>
      <c r="C52" s="1" t="n">
        <v>45932</v>
      </c>
      <c r="D52" t="inlineStr">
        <is>
          <t>DALARNAS LÄN</t>
        </is>
      </c>
      <c r="E52" t="inlineStr">
        <is>
          <t>MORA</t>
        </is>
      </c>
      <c r="F52" t="inlineStr">
        <is>
          <t>Bergvik skog öst AB</t>
        </is>
      </c>
      <c r="G52" t="n">
        <v>1.2</v>
      </c>
      <c r="H52" t="n">
        <v>1</v>
      </c>
      <c r="I52" t="n">
        <v>1</v>
      </c>
      <c r="J52" t="n">
        <v>1</v>
      </c>
      <c r="K52" t="n">
        <v>1</v>
      </c>
      <c r="L52" t="n">
        <v>0</v>
      </c>
      <c r="M52" t="n">
        <v>0</v>
      </c>
      <c r="N52" t="n">
        <v>0</v>
      </c>
      <c r="O52" t="n">
        <v>2</v>
      </c>
      <c r="P52" t="n">
        <v>1</v>
      </c>
      <c r="Q52" t="n">
        <v>3</v>
      </c>
      <c r="R52" s="2" t="inlineStr">
        <is>
          <t>Knärot
Garnlav
Stuplav</t>
        </is>
      </c>
      <c r="S52">
        <f>HYPERLINK("https://klasma.github.io/Logging_2062/artfynd/A 24220-2025 artfynd.xlsx", "A 24220-2025")</f>
        <v/>
      </c>
      <c r="T52">
        <f>HYPERLINK("https://klasma.github.io/Logging_2062/kartor/A 24220-2025 karta.png", "A 24220-2025")</f>
        <v/>
      </c>
      <c r="U52">
        <f>HYPERLINK("https://klasma.github.io/Logging_2062/knärot/A 24220-2025 karta knärot.png", "A 24220-2025")</f>
        <v/>
      </c>
      <c r="V52">
        <f>HYPERLINK("https://klasma.github.io/Logging_2062/klagomål/A 24220-2025 FSC-klagomål.docx", "A 24220-2025")</f>
        <v/>
      </c>
      <c r="W52">
        <f>HYPERLINK("https://klasma.github.io/Logging_2062/klagomålsmail/A 24220-2025 FSC-klagomål mail.docx", "A 24220-2025")</f>
        <v/>
      </c>
      <c r="X52">
        <f>HYPERLINK("https://klasma.github.io/Logging_2062/tillsyn/A 24220-2025 tillsynsbegäran.docx", "A 24220-2025")</f>
        <v/>
      </c>
      <c r="Y52">
        <f>HYPERLINK("https://klasma.github.io/Logging_2062/tillsynsmail/A 24220-2025 tillsynsbegäran mail.docx", "A 24220-2025")</f>
        <v/>
      </c>
    </row>
    <row r="53" ht="15" customHeight="1">
      <c r="A53" t="inlineStr">
        <is>
          <t>A 59626-2020</t>
        </is>
      </c>
      <c r="B53" s="1" t="n">
        <v>44150</v>
      </c>
      <c r="C53" s="1" t="n">
        <v>45932</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45932</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23163-2025</t>
        </is>
      </c>
      <c r="B55" s="1" t="n">
        <v>45791.41832175926</v>
      </c>
      <c r="C55" s="1" t="n">
        <v>45932</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45932</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35068-2025</t>
        </is>
      </c>
      <c r="B57" s="1" t="n">
        <v>45852.45686342593</v>
      </c>
      <c r="C57" s="1" t="n">
        <v>45932</v>
      </c>
      <c r="D57" t="inlineStr">
        <is>
          <t>DALARNAS LÄN</t>
        </is>
      </c>
      <c r="E57" t="inlineStr">
        <is>
          <t>MORA</t>
        </is>
      </c>
      <c r="G57" t="n">
        <v>0.7</v>
      </c>
      <c r="H57" t="n">
        <v>0</v>
      </c>
      <c r="I57" t="n">
        <v>1</v>
      </c>
      <c r="J57" t="n">
        <v>1</v>
      </c>
      <c r="K57" t="n">
        <v>0</v>
      </c>
      <c r="L57" t="n">
        <v>0</v>
      </c>
      <c r="M57" t="n">
        <v>0</v>
      </c>
      <c r="N57" t="n">
        <v>0</v>
      </c>
      <c r="O57" t="n">
        <v>1</v>
      </c>
      <c r="P57" t="n">
        <v>0</v>
      </c>
      <c r="Q57" t="n">
        <v>2</v>
      </c>
      <c r="R57" s="2" t="inlineStr">
        <is>
          <t>Garnlav
Mindre märgborre</t>
        </is>
      </c>
      <c r="S57">
        <f>HYPERLINK("https://klasma.github.io/Logging_2062/artfynd/A 35068-2025 artfynd.xlsx", "A 35068-2025")</f>
        <v/>
      </c>
      <c r="T57">
        <f>HYPERLINK("https://klasma.github.io/Logging_2062/kartor/A 35068-2025 karta.png", "A 35068-2025")</f>
        <v/>
      </c>
      <c r="V57">
        <f>HYPERLINK("https://klasma.github.io/Logging_2062/klagomål/A 35068-2025 FSC-klagomål.docx", "A 35068-2025")</f>
        <v/>
      </c>
      <c r="W57">
        <f>HYPERLINK("https://klasma.github.io/Logging_2062/klagomålsmail/A 35068-2025 FSC-klagomål mail.docx", "A 35068-2025")</f>
        <v/>
      </c>
      <c r="X57">
        <f>HYPERLINK("https://klasma.github.io/Logging_2062/tillsyn/A 35068-2025 tillsynsbegäran.docx", "A 35068-2025")</f>
        <v/>
      </c>
      <c r="Y57">
        <f>HYPERLINK("https://klasma.github.io/Logging_2062/tillsynsmail/A 35068-2025 tillsynsbegäran mail.docx", "A 35068-2025")</f>
        <v/>
      </c>
    </row>
    <row r="58" ht="15" customHeight="1">
      <c r="A58" t="inlineStr">
        <is>
          <t>A 24126-2025</t>
        </is>
      </c>
      <c r="B58" s="1" t="n">
        <v>45796.63011574074</v>
      </c>
      <c r="C58" s="1" t="n">
        <v>45932</v>
      </c>
      <c r="D58" t="inlineStr">
        <is>
          <t>DALARNAS LÄN</t>
        </is>
      </c>
      <c r="E58" t="inlineStr">
        <is>
          <t>MORA</t>
        </is>
      </c>
      <c r="F58" t="inlineStr">
        <is>
          <t>Bergvik skog öst AB</t>
        </is>
      </c>
      <c r="G58" t="n">
        <v>0.9</v>
      </c>
      <c r="H58" t="n">
        <v>0</v>
      </c>
      <c r="I58" t="n">
        <v>1</v>
      </c>
      <c r="J58" t="n">
        <v>1</v>
      </c>
      <c r="K58" t="n">
        <v>0</v>
      </c>
      <c r="L58" t="n">
        <v>0</v>
      </c>
      <c r="M58" t="n">
        <v>0</v>
      </c>
      <c r="N58" t="n">
        <v>0</v>
      </c>
      <c r="O58" t="n">
        <v>1</v>
      </c>
      <c r="P58" t="n">
        <v>0</v>
      </c>
      <c r="Q58" t="n">
        <v>2</v>
      </c>
      <c r="R58" s="2" t="inlineStr">
        <is>
          <t>Garnlav
Bollvitmossa</t>
        </is>
      </c>
      <c r="S58">
        <f>HYPERLINK("https://klasma.github.io/Logging_2062/artfynd/A 24126-2025 artfynd.xlsx", "A 24126-2025")</f>
        <v/>
      </c>
      <c r="T58">
        <f>HYPERLINK("https://klasma.github.io/Logging_2062/kartor/A 24126-2025 karta.png", "A 24126-2025")</f>
        <v/>
      </c>
      <c r="V58">
        <f>HYPERLINK("https://klasma.github.io/Logging_2062/klagomål/A 24126-2025 FSC-klagomål.docx", "A 24126-2025")</f>
        <v/>
      </c>
      <c r="W58">
        <f>HYPERLINK("https://klasma.github.io/Logging_2062/klagomålsmail/A 24126-2025 FSC-klagomål mail.docx", "A 24126-2025")</f>
        <v/>
      </c>
      <c r="X58">
        <f>HYPERLINK("https://klasma.github.io/Logging_2062/tillsyn/A 24126-2025 tillsynsbegäran.docx", "A 24126-2025")</f>
        <v/>
      </c>
      <c r="Y58">
        <f>HYPERLINK("https://klasma.github.io/Logging_2062/tillsynsmail/A 24126-2025 tillsynsbegäran mail.docx", "A 24126-2025")</f>
        <v/>
      </c>
    </row>
    <row r="59" ht="15" customHeight="1">
      <c r="A59" t="inlineStr">
        <is>
          <t>A 5304-2023</t>
        </is>
      </c>
      <c r="B59" s="1" t="n">
        <v>44959.55116898148</v>
      </c>
      <c r="C59" s="1" t="n">
        <v>45932</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16094-2024</t>
        </is>
      </c>
      <c r="B60" s="1" t="n">
        <v>45406.41648148148</v>
      </c>
      <c r="C60" s="1" t="n">
        <v>45932</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831-2025</t>
        </is>
      </c>
      <c r="B61" s="1" t="n">
        <v>45665.58001157407</v>
      </c>
      <c r="C61" s="1" t="n">
        <v>45932</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27113-2024</t>
        </is>
      </c>
      <c r="B62" s="1" t="n">
        <v>45471</v>
      </c>
      <c r="C62" s="1" t="n">
        <v>45932</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37552-2023</t>
        </is>
      </c>
      <c r="B63" s="1" t="n">
        <v>45159.32799768518</v>
      </c>
      <c r="C63" s="1" t="n">
        <v>45932</v>
      </c>
      <c r="D63" t="inlineStr">
        <is>
          <t>DALARNAS LÄN</t>
        </is>
      </c>
      <c r="E63" t="inlineStr">
        <is>
          <t>MORA</t>
        </is>
      </c>
      <c r="G63" t="n">
        <v>4</v>
      </c>
      <c r="H63" t="n">
        <v>0</v>
      </c>
      <c r="I63" t="n">
        <v>0</v>
      </c>
      <c r="J63" t="n">
        <v>1</v>
      </c>
      <c r="K63" t="n">
        <v>0</v>
      </c>
      <c r="L63" t="n">
        <v>0</v>
      </c>
      <c r="M63" t="n">
        <v>0</v>
      </c>
      <c r="N63" t="n">
        <v>0</v>
      </c>
      <c r="O63" t="n">
        <v>1</v>
      </c>
      <c r="P63" t="n">
        <v>0</v>
      </c>
      <c r="Q63" t="n">
        <v>1</v>
      </c>
      <c r="R63" s="2" t="inlineStr">
        <is>
          <t>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45344-2024</t>
        </is>
      </c>
      <c r="B64" s="1" t="n">
        <v>45576</v>
      </c>
      <c r="C64" s="1" t="n">
        <v>45932</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30328-2021</t>
        </is>
      </c>
      <c r="B65" s="1" t="n">
        <v>44364</v>
      </c>
      <c r="C65" s="1" t="n">
        <v>45932</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57669-2022</t>
        </is>
      </c>
      <c r="B66" s="1" t="n">
        <v>44897</v>
      </c>
      <c r="C66" s="1" t="n">
        <v>45932</v>
      </c>
      <c r="D66" t="inlineStr">
        <is>
          <t>DALARNAS LÄN</t>
        </is>
      </c>
      <c r="E66" t="inlineStr">
        <is>
          <t>MORA</t>
        </is>
      </c>
      <c r="G66" t="n">
        <v>4.1</v>
      </c>
      <c r="H66" t="n">
        <v>0</v>
      </c>
      <c r="I66" t="n">
        <v>0</v>
      </c>
      <c r="J66" t="n">
        <v>1</v>
      </c>
      <c r="K66" t="n">
        <v>0</v>
      </c>
      <c r="L66" t="n">
        <v>0</v>
      </c>
      <c r="M66" t="n">
        <v>0</v>
      </c>
      <c r="N66" t="n">
        <v>0</v>
      </c>
      <c r="O66" t="n">
        <v>1</v>
      </c>
      <c r="P66" t="n">
        <v>0</v>
      </c>
      <c r="Q66" t="n">
        <v>1</v>
      </c>
      <c r="R66" s="2" t="inlineStr">
        <is>
          <t>Igelkott</t>
        </is>
      </c>
      <c r="S66">
        <f>HYPERLINK("https://klasma.github.io/Logging_2062/artfynd/A 57669-2022 artfynd.xlsx", "A 57669-2022")</f>
        <v/>
      </c>
      <c r="T66">
        <f>HYPERLINK("https://klasma.github.io/Logging_2062/kartor/A 57669-2022 karta.png", "A 57669-2022")</f>
        <v/>
      </c>
      <c r="V66">
        <f>HYPERLINK("https://klasma.github.io/Logging_2062/klagomål/A 57669-2022 FSC-klagomål.docx", "A 57669-2022")</f>
        <v/>
      </c>
      <c r="W66">
        <f>HYPERLINK("https://klasma.github.io/Logging_2062/klagomålsmail/A 57669-2022 FSC-klagomål mail.docx", "A 57669-2022")</f>
        <v/>
      </c>
      <c r="X66">
        <f>HYPERLINK("https://klasma.github.io/Logging_2062/tillsyn/A 57669-2022 tillsynsbegäran.docx", "A 57669-2022")</f>
        <v/>
      </c>
      <c r="Y66">
        <f>HYPERLINK("https://klasma.github.io/Logging_2062/tillsynsmail/A 57669-2022 tillsynsbegäran mail.docx", "A 57669-2022")</f>
        <v/>
      </c>
    </row>
    <row r="67" ht="15" customHeight="1">
      <c r="A67" t="inlineStr">
        <is>
          <t>A 23736-2023</t>
        </is>
      </c>
      <c r="B67" s="1" t="n">
        <v>45077</v>
      </c>
      <c r="C67" s="1" t="n">
        <v>45932</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13717-2023</t>
        </is>
      </c>
      <c r="B68" s="1" t="n">
        <v>45007</v>
      </c>
      <c r="C68" s="1" t="n">
        <v>45932</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20538-2025</t>
        </is>
      </c>
      <c r="B69" s="1" t="n">
        <v>45775.62283564815</v>
      </c>
      <c r="C69" s="1" t="n">
        <v>45932</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66990-2020</t>
        </is>
      </c>
      <c r="B70" s="1" t="n">
        <v>44180</v>
      </c>
      <c r="C70" s="1" t="n">
        <v>45932</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45932</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45932</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45932</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45932</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45932</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66158-2021</t>
        </is>
      </c>
      <c r="B76" s="1" t="n">
        <v>44517.934375</v>
      </c>
      <c r="C76" s="1" t="n">
        <v>45932</v>
      </c>
      <c r="D76" t="inlineStr">
        <is>
          <t>DALARNAS LÄN</t>
        </is>
      </c>
      <c r="E76" t="inlineStr">
        <is>
          <t>MORA</t>
        </is>
      </c>
      <c r="G76" t="n">
        <v>3.3</v>
      </c>
      <c r="H76" t="n">
        <v>0</v>
      </c>
      <c r="I76" t="n">
        <v>0</v>
      </c>
      <c r="J76" t="n">
        <v>0</v>
      </c>
      <c r="K76" t="n">
        <v>0</v>
      </c>
      <c r="L76" t="n">
        <v>0</v>
      </c>
      <c r="M76" t="n">
        <v>0</v>
      </c>
      <c r="N76" t="n">
        <v>0</v>
      </c>
      <c r="O76" t="n">
        <v>0</v>
      </c>
      <c r="P76" t="n">
        <v>0</v>
      </c>
      <c r="Q76" t="n">
        <v>0</v>
      </c>
      <c r="R76" s="2" t="inlineStr"/>
    </row>
    <row r="77" ht="15" customHeight="1">
      <c r="A77" t="inlineStr">
        <is>
          <t>A 42505-2021</t>
        </is>
      </c>
      <c r="B77" s="1" t="n">
        <v>44427</v>
      </c>
      <c r="C77" s="1" t="n">
        <v>45932</v>
      </c>
      <c r="D77" t="inlineStr">
        <is>
          <t>DALARNAS LÄN</t>
        </is>
      </c>
      <c r="E77" t="inlineStr">
        <is>
          <t>MORA</t>
        </is>
      </c>
      <c r="G77" t="n">
        <v>0.9</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45932</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45932</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45932</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45932</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45932</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45932</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45932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45932</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45932</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45932</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45932</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45932</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45932</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45932</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45932</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45932</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45932</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45932</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45932</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45932</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45932</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45932</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45932</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45932</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45932</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45932</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45932</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45932</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45932</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45932</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45932</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45932</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45932</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45932</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45932</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45932</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45932</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45932</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45932</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45932</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45932</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45932</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45932</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45932</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655-2021</t>
        </is>
      </c>
      <c r="B123" s="1" t="n">
        <v>44203</v>
      </c>
      <c r="C123" s="1" t="n">
        <v>45932</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57848-2020</t>
        </is>
      </c>
      <c r="B124" s="1" t="n">
        <v>44141</v>
      </c>
      <c r="C124" s="1" t="n">
        <v>45932</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4488-2022</t>
        </is>
      </c>
      <c r="B125" s="1" t="n">
        <v>44589.65528935185</v>
      </c>
      <c r="C125" s="1" t="n">
        <v>45932</v>
      </c>
      <c r="D125" t="inlineStr">
        <is>
          <t>DALARNAS LÄN</t>
        </is>
      </c>
      <c r="E125" t="inlineStr">
        <is>
          <t>MORA</t>
        </is>
      </c>
      <c r="G125" t="n">
        <v>1.1</v>
      </c>
      <c r="H125" t="n">
        <v>0</v>
      </c>
      <c r="I125" t="n">
        <v>0</v>
      </c>
      <c r="J125" t="n">
        <v>0</v>
      </c>
      <c r="K125" t="n">
        <v>0</v>
      </c>
      <c r="L125" t="n">
        <v>0</v>
      </c>
      <c r="M125" t="n">
        <v>0</v>
      </c>
      <c r="N125" t="n">
        <v>0</v>
      </c>
      <c r="O125" t="n">
        <v>0</v>
      </c>
      <c r="P125" t="n">
        <v>0</v>
      </c>
      <c r="Q125" t="n">
        <v>0</v>
      </c>
      <c r="R125" s="2" t="inlineStr"/>
    </row>
    <row r="126" ht="15" customHeight="1">
      <c r="A126" t="inlineStr">
        <is>
          <t>A 28914-2022</t>
        </is>
      </c>
      <c r="B126" s="1" t="n">
        <v>44749.56221064815</v>
      </c>
      <c r="C126" s="1" t="n">
        <v>45932</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45932</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45932</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71702-2021</t>
        </is>
      </c>
      <c r="B129" s="1" t="n">
        <v>44543</v>
      </c>
      <c r="C129" s="1" t="n">
        <v>45932</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45932</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17904-2021</t>
        </is>
      </c>
      <c r="B131" s="1" t="n">
        <v>44301</v>
      </c>
      <c r="C131" s="1" t="n">
        <v>45932</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45932</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17622-2022</t>
        </is>
      </c>
      <c r="B133" s="1" t="n">
        <v>44680.4265162037</v>
      </c>
      <c r="C133" s="1" t="n">
        <v>45932</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45932</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58961-2021</t>
        </is>
      </c>
      <c r="B135" s="1" t="n">
        <v>44489.94246527777</v>
      </c>
      <c r="C135" s="1" t="n">
        <v>45932</v>
      </c>
      <c r="D135" t="inlineStr">
        <is>
          <t>DALARNAS LÄN</t>
        </is>
      </c>
      <c r="E135" t="inlineStr">
        <is>
          <t>MORA</t>
        </is>
      </c>
      <c r="G135" t="n">
        <v>18</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45932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45932</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45932</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15127-2022</t>
        </is>
      </c>
      <c r="B139" s="1" t="n">
        <v>44658</v>
      </c>
      <c r="C139" s="1" t="n">
        <v>45932</v>
      </c>
      <c r="D139" t="inlineStr">
        <is>
          <t>DALARNAS LÄN</t>
        </is>
      </c>
      <c r="E139" t="inlineStr">
        <is>
          <t>MORA</t>
        </is>
      </c>
      <c r="G139" t="n">
        <v>4.9</v>
      </c>
      <c r="H139" t="n">
        <v>0</v>
      </c>
      <c r="I139" t="n">
        <v>0</v>
      </c>
      <c r="J139" t="n">
        <v>0</v>
      </c>
      <c r="K139" t="n">
        <v>0</v>
      </c>
      <c r="L139" t="n">
        <v>0</v>
      </c>
      <c r="M139" t="n">
        <v>0</v>
      </c>
      <c r="N139" t="n">
        <v>0</v>
      </c>
      <c r="O139" t="n">
        <v>0</v>
      </c>
      <c r="P139" t="n">
        <v>0</v>
      </c>
      <c r="Q139" t="n">
        <v>0</v>
      </c>
      <c r="R139" s="2" t="inlineStr"/>
    </row>
    <row r="140" ht="15" customHeight="1">
      <c r="A140" t="inlineStr">
        <is>
          <t>A 72659-2021</t>
        </is>
      </c>
      <c r="B140" s="1" t="n">
        <v>44546.60960648148</v>
      </c>
      <c r="C140" s="1" t="n">
        <v>45932</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68966-2021</t>
        </is>
      </c>
      <c r="B141" s="1" t="n">
        <v>44530</v>
      </c>
      <c r="C141" s="1" t="n">
        <v>45932</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45932</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57475-2022</t>
        </is>
      </c>
      <c r="B143" s="1" t="n">
        <v>44896</v>
      </c>
      <c r="C143" s="1" t="n">
        <v>45932</v>
      </c>
      <c r="D143" t="inlineStr">
        <is>
          <t>DALARNAS LÄN</t>
        </is>
      </c>
      <c r="E143" t="inlineStr">
        <is>
          <t>MORA</t>
        </is>
      </c>
      <c r="G143" t="n">
        <v>5.7</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45932</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55249-2020</t>
        </is>
      </c>
      <c r="B145" s="1" t="n">
        <v>44130</v>
      </c>
      <c r="C145" s="1" t="n">
        <v>45932</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35363-2024</t>
        </is>
      </c>
      <c r="B146" s="1" t="n">
        <v>45531.34050925926</v>
      </c>
      <c r="C146" s="1" t="n">
        <v>45932</v>
      </c>
      <c r="D146" t="inlineStr">
        <is>
          <t>DALARNAS LÄN</t>
        </is>
      </c>
      <c r="E146" t="inlineStr">
        <is>
          <t>MORA</t>
        </is>
      </c>
      <c r="G146" t="n">
        <v>2.5</v>
      </c>
      <c r="H146" t="n">
        <v>0</v>
      </c>
      <c r="I146" t="n">
        <v>0</v>
      </c>
      <c r="J146" t="n">
        <v>0</v>
      </c>
      <c r="K146" t="n">
        <v>0</v>
      </c>
      <c r="L146" t="n">
        <v>0</v>
      </c>
      <c r="M146" t="n">
        <v>0</v>
      </c>
      <c r="N146" t="n">
        <v>0</v>
      </c>
      <c r="O146" t="n">
        <v>0</v>
      </c>
      <c r="P146" t="n">
        <v>0</v>
      </c>
      <c r="Q146" t="n">
        <v>0</v>
      </c>
      <c r="R146" s="2" t="inlineStr"/>
    </row>
    <row r="147" ht="15" customHeight="1">
      <c r="A147" t="inlineStr">
        <is>
          <t>A 44307-2021</t>
        </is>
      </c>
      <c r="B147" s="1" t="n">
        <v>44435</v>
      </c>
      <c r="C147" s="1" t="n">
        <v>45932</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45932</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34923-2022</t>
        </is>
      </c>
      <c r="B149" s="1" t="n">
        <v>44796</v>
      </c>
      <c r="C149" s="1" t="n">
        <v>45932</v>
      </c>
      <c r="D149" t="inlineStr">
        <is>
          <t>DALARNAS LÄN</t>
        </is>
      </c>
      <c r="E149" t="inlineStr">
        <is>
          <t>MORA</t>
        </is>
      </c>
      <c r="G149" t="n">
        <v>5</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45932</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62301-2020</t>
        </is>
      </c>
      <c r="B151" s="1" t="n">
        <v>44160</v>
      </c>
      <c r="C151" s="1" t="n">
        <v>45932</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56501-2021</t>
        </is>
      </c>
      <c r="B152" s="1" t="n">
        <v>44480.57549768518</v>
      </c>
      <c r="C152" s="1" t="n">
        <v>45932</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60250-2020</t>
        </is>
      </c>
      <c r="B153" s="1" t="n">
        <v>44152</v>
      </c>
      <c r="C153" s="1" t="n">
        <v>45932</v>
      </c>
      <c r="D153" t="inlineStr">
        <is>
          <t>DALARNAS LÄN</t>
        </is>
      </c>
      <c r="E153" t="inlineStr">
        <is>
          <t>MORA</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5922-2025</t>
        </is>
      </c>
      <c r="B154" s="1" t="n">
        <v>45695.42762731481</v>
      </c>
      <c r="C154" s="1" t="n">
        <v>45932</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43533-2023</t>
        </is>
      </c>
      <c r="B155" s="1" t="n">
        <v>45184.53412037037</v>
      </c>
      <c r="C155" s="1" t="n">
        <v>45932</v>
      </c>
      <c r="D155" t="inlineStr">
        <is>
          <t>DALARNAS LÄN</t>
        </is>
      </c>
      <c r="E155" t="inlineStr">
        <is>
          <t>MORA</t>
        </is>
      </c>
      <c r="F155" t="inlineStr">
        <is>
          <t>Bergvik skog väst AB</t>
        </is>
      </c>
      <c r="G155" t="n">
        <v>10.3</v>
      </c>
      <c r="H155" t="n">
        <v>0</v>
      </c>
      <c r="I155" t="n">
        <v>0</v>
      </c>
      <c r="J155" t="n">
        <v>0</v>
      </c>
      <c r="K155" t="n">
        <v>0</v>
      </c>
      <c r="L155" t="n">
        <v>0</v>
      </c>
      <c r="M155" t="n">
        <v>0</v>
      </c>
      <c r="N155" t="n">
        <v>0</v>
      </c>
      <c r="O155" t="n">
        <v>0</v>
      </c>
      <c r="P155" t="n">
        <v>0</v>
      </c>
      <c r="Q155" t="n">
        <v>0</v>
      </c>
      <c r="R155" s="2" t="inlineStr"/>
    </row>
    <row r="156" ht="15" customHeight="1">
      <c r="A156" t="inlineStr">
        <is>
          <t>A 37774-2022</t>
        </is>
      </c>
      <c r="B156" s="1" t="n">
        <v>44810.64164351852</v>
      </c>
      <c r="C156" s="1" t="n">
        <v>45932</v>
      </c>
      <c r="D156" t="inlineStr">
        <is>
          <t>DALARNAS LÄN</t>
        </is>
      </c>
      <c r="E156" t="inlineStr">
        <is>
          <t>MORA</t>
        </is>
      </c>
      <c r="F156" t="inlineStr">
        <is>
          <t>Bergvik skog väst AB</t>
        </is>
      </c>
      <c r="G156" t="n">
        <v>8.5</v>
      </c>
      <c r="H156" t="n">
        <v>0</v>
      </c>
      <c r="I156" t="n">
        <v>0</v>
      </c>
      <c r="J156" t="n">
        <v>0</v>
      </c>
      <c r="K156" t="n">
        <v>0</v>
      </c>
      <c r="L156" t="n">
        <v>0</v>
      </c>
      <c r="M156" t="n">
        <v>0</v>
      </c>
      <c r="N156" t="n">
        <v>0</v>
      </c>
      <c r="O156" t="n">
        <v>0</v>
      </c>
      <c r="P156" t="n">
        <v>0</v>
      </c>
      <c r="Q156" t="n">
        <v>0</v>
      </c>
      <c r="R156" s="2" t="inlineStr"/>
    </row>
    <row r="157" ht="15" customHeight="1">
      <c r="A157" t="inlineStr">
        <is>
          <t>A 52573-2021</t>
        </is>
      </c>
      <c r="B157" s="1" t="n">
        <v>44466</v>
      </c>
      <c r="C157" s="1" t="n">
        <v>45932</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33513-2024</t>
        </is>
      </c>
      <c r="B158" s="1" t="n">
        <v>45519.644375</v>
      </c>
      <c r="C158" s="1" t="n">
        <v>45932</v>
      </c>
      <c r="D158" t="inlineStr">
        <is>
          <t>DALARNAS LÄN</t>
        </is>
      </c>
      <c r="E158" t="inlineStr">
        <is>
          <t>MORA</t>
        </is>
      </c>
      <c r="G158" t="n">
        <v>5.9</v>
      </c>
      <c r="H158" t="n">
        <v>0</v>
      </c>
      <c r="I158" t="n">
        <v>0</v>
      </c>
      <c r="J158" t="n">
        <v>0</v>
      </c>
      <c r="K158" t="n">
        <v>0</v>
      </c>
      <c r="L158" t="n">
        <v>0</v>
      </c>
      <c r="M158" t="n">
        <v>0</v>
      </c>
      <c r="N158" t="n">
        <v>0</v>
      </c>
      <c r="O158" t="n">
        <v>0</v>
      </c>
      <c r="P158" t="n">
        <v>0</v>
      </c>
      <c r="Q158" t="n">
        <v>0</v>
      </c>
      <c r="R158" s="2" t="inlineStr"/>
    </row>
    <row r="159" ht="15" customHeight="1">
      <c r="A159" t="inlineStr">
        <is>
          <t>A 35040-2023</t>
        </is>
      </c>
      <c r="B159" s="1" t="n">
        <v>45145.36853009259</v>
      </c>
      <c r="C159" s="1" t="n">
        <v>45932</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64327-2023</t>
        </is>
      </c>
      <c r="B160" s="1" t="n">
        <v>45280</v>
      </c>
      <c r="C160" s="1" t="n">
        <v>45932</v>
      </c>
      <c r="D160" t="inlineStr">
        <is>
          <t>DALARNAS LÄN</t>
        </is>
      </c>
      <c r="E160" t="inlineStr">
        <is>
          <t>MORA</t>
        </is>
      </c>
      <c r="G160" t="n">
        <v>0.8</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45932</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39348-2024</t>
        </is>
      </c>
      <c r="B162" s="1" t="n">
        <v>45551.45322916667</v>
      </c>
      <c r="C162" s="1" t="n">
        <v>45932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22931-2021</t>
        </is>
      </c>
      <c r="B163" s="1" t="n">
        <v>44326</v>
      </c>
      <c r="C163" s="1" t="n">
        <v>45932</v>
      </c>
      <c r="D163" t="inlineStr">
        <is>
          <t>DALARNAS LÄN</t>
        </is>
      </c>
      <c r="E163" t="inlineStr">
        <is>
          <t>MORA</t>
        </is>
      </c>
      <c r="G163" t="n">
        <v>4.4</v>
      </c>
      <c r="H163" t="n">
        <v>0</v>
      </c>
      <c r="I163" t="n">
        <v>0</v>
      </c>
      <c r="J163" t="n">
        <v>0</v>
      </c>
      <c r="K163" t="n">
        <v>0</v>
      </c>
      <c r="L163" t="n">
        <v>0</v>
      </c>
      <c r="M163" t="n">
        <v>0</v>
      </c>
      <c r="N163" t="n">
        <v>0</v>
      </c>
      <c r="O163" t="n">
        <v>0</v>
      </c>
      <c r="P163" t="n">
        <v>0</v>
      </c>
      <c r="Q163" t="n">
        <v>0</v>
      </c>
      <c r="R163" s="2" t="inlineStr"/>
    </row>
    <row r="164" ht="15" customHeight="1">
      <c r="A164" t="inlineStr">
        <is>
          <t>A 48728-2022</t>
        </is>
      </c>
      <c r="B164" s="1" t="n">
        <v>44859.52145833334</v>
      </c>
      <c r="C164" s="1" t="n">
        <v>45932</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24393-2022</t>
        </is>
      </c>
      <c r="B165" s="1" t="n">
        <v>44726</v>
      </c>
      <c r="C165" s="1" t="n">
        <v>45932</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54903-2024</t>
        </is>
      </c>
      <c r="B166" s="1" t="n">
        <v>45618</v>
      </c>
      <c r="C166" s="1" t="n">
        <v>45932</v>
      </c>
      <c r="D166" t="inlineStr">
        <is>
          <t>DALARNAS LÄN</t>
        </is>
      </c>
      <c r="E166" t="inlineStr">
        <is>
          <t>MORA</t>
        </is>
      </c>
      <c r="G166" t="n">
        <v>28.2</v>
      </c>
      <c r="H166" t="n">
        <v>0</v>
      </c>
      <c r="I166" t="n">
        <v>0</v>
      </c>
      <c r="J166" t="n">
        <v>0</v>
      </c>
      <c r="K166" t="n">
        <v>0</v>
      </c>
      <c r="L166" t="n">
        <v>0</v>
      </c>
      <c r="M166" t="n">
        <v>0</v>
      </c>
      <c r="N166" t="n">
        <v>0</v>
      </c>
      <c r="O166" t="n">
        <v>0</v>
      </c>
      <c r="P166" t="n">
        <v>0</v>
      </c>
      <c r="Q166" t="n">
        <v>0</v>
      </c>
      <c r="R166" s="2" t="inlineStr"/>
    </row>
    <row r="167" ht="15" customHeight="1">
      <c r="A167" t="inlineStr">
        <is>
          <t>A 23302-2024</t>
        </is>
      </c>
      <c r="B167" s="1" t="n">
        <v>45453.44091435185</v>
      </c>
      <c r="C167" s="1" t="n">
        <v>45932</v>
      </c>
      <c r="D167" t="inlineStr">
        <is>
          <t>DALARNAS LÄN</t>
        </is>
      </c>
      <c r="E167" t="inlineStr">
        <is>
          <t>MORA</t>
        </is>
      </c>
      <c r="G167" t="n">
        <v>1.3</v>
      </c>
      <c r="H167" t="n">
        <v>0</v>
      </c>
      <c r="I167" t="n">
        <v>0</v>
      </c>
      <c r="J167" t="n">
        <v>0</v>
      </c>
      <c r="K167" t="n">
        <v>0</v>
      </c>
      <c r="L167" t="n">
        <v>0</v>
      </c>
      <c r="M167" t="n">
        <v>0</v>
      </c>
      <c r="N167" t="n">
        <v>0</v>
      </c>
      <c r="O167" t="n">
        <v>0</v>
      </c>
      <c r="P167" t="n">
        <v>0</v>
      </c>
      <c r="Q167" t="n">
        <v>0</v>
      </c>
      <c r="R167" s="2" t="inlineStr"/>
    </row>
    <row r="168" ht="15" customHeight="1">
      <c r="A168" t="inlineStr">
        <is>
          <t>A 32410-2024</t>
        </is>
      </c>
      <c r="B168" s="1" t="n">
        <v>45512.70077546296</v>
      </c>
      <c r="C168" s="1" t="n">
        <v>45932</v>
      </c>
      <c r="D168" t="inlineStr">
        <is>
          <t>DALARNAS LÄN</t>
        </is>
      </c>
      <c r="E168" t="inlineStr">
        <is>
          <t>MORA</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4994-2025</t>
        </is>
      </c>
      <c r="B169" s="1" t="n">
        <v>45691.35427083333</v>
      </c>
      <c r="C169" s="1" t="n">
        <v>45932</v>
      </c>
      <c r="D169" t="inlineStr">
        <is>
          <t>DALARNAS LÄN</t>
        </is>
      </c>
      <c r="E169" t="inlineStr">
        <is>
          <t>MORA</t>
        </is>
      </c>
      <c r="G169" t="n">
        <v>4.6</v>
      </c>
      <c r="H169" t="n">
        <v>0</v>
      </c>
      <c r="I169" t="n">
        <v>0</v>
      </c>
      <c r="J169" t="n">
        <v>0</v>
      </c>
      <c r="K169" t="n">
        <v>0</v>
      </c>
      <c r="L169" t="n">
        <v>0</v>
      </c>
      <c r="M169" t="n">
        <v>0</v>
      </c>
      <c r="N169" t="n">
        <v>0</v>
      </c>
      <c r="O169" t="n">
        <v>0</v>
      </c>
      <c r="P169" t="n">
        <v>0</v>
      </c>
      <c r="Q169" t="n">
        <v>0</v>
      </c>
      <c r="R169" s="2" t="inlineStr"/>
    </row>
    <row r="170" ht="15" customHeight="1">
      <c r="A170" t="inlineStr">
        <is>
          <t>A 44595-2024</t>
        </is>
      </c>
      <c r="B170" s="1" t="n">
        <v>45574.51053240741</v>
      </c>
      <c r="C170" s="1" t="n">
        <v>45932</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15993-2025</t>
        </is>
      </c>
      <c r="B171" s="1" t="n">
        <v>45749.58428240741</v>
      </c>
      <c r="C171" s="1" t="n">
        <v>45932</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61293-2022</t>
        </is>
      </c>
      <c r="B172" s="1" t="n">
        <v>44915.62751157407</v>
      </c>
      <c r="C172" s="1" t="n">
        <v>45932</v>
      </c>
      <c r="D172" t="inlineStr">
        <is>
          <t>DALARNAS LÄN</t>
        </is>
      </c>
      <c r="E172" t="inlineStr">
        <is>
          <t>MORA</t>
        </is>
      </c>
      <c r="G172" t="n">
        <v>0.3</v>
      </c>
      <c r="H172" t="n">
        <v>0</v>
      </c>
      <c r="I172" t="n">
        <v>0</v>
      </c>
      <c r="J172" t="n">
        <v>0</v>
      </c>
      <c r="K172" t="n">
        <v>0</v>
      </c>
      <c r="L172" t="n">
        <v>0</v>
      </c>
      <c r="M172" t="n">
        <v>0</v>
      </c>
      <c r="N172" t="n">
        <v>0</v>
      </c>
      <c r="O172" t="n">
        <v>0</v>
      </c>
      <c r="P172" t="n">
        <v>0</v>
      </c>
      <c r="Q172" t="n">
        <v>0</v>
      </c>
      <c r="R172" s="2" t="inlineStr"/>
    </row>
    <row r="173" ht="15" customHeight="1">
      <c r="A173" t="inlineStr">
        <is>
          <t>A 51253-2023</t>
        </is>
      </c>
      <c r="B173" s="1" t="n">
        <v>45219</v>
      </c>
      <c r="C173" s="1" t="n">
        <v>45932</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57110-2021</t>
        </is>
      </c>
      <c r="B174" s="1" t="n">
        <v>44482</v>
      </c>
      <c r="C174" s="1" t="n">
        <v>45932</v>
      </c>
      <c r="D174" t="inlineStr">
        <is>
          <t>DALARNAS LÄN</t>
        </is>
      </c>
      <c r="E174" t="inlineStr">
        <is>
          <t>MORA</t>
        </is>
      </c>
      <c r="G174" t="n">
        <v>5.4</v>
      </c>
      <c r="H174" t="n">
        <v>0</v>
      </c>
      <c r="I174" t="n">
        <v>0</v>
      </c>
      <c r="J174" t="n">
        <v>0</v>
      </c>
      <c r="K174" t="n">
        <v>0</v>
      </c>
      <c r="L174" t="n">
        <v>0</v>
      </c>
      <c r="M174" t="n">
        <v>0</v>
      </c>
      <c r="N174" t="n">
        <v>0</v>
      </c>
      <c r="O174" t="n">
        <v>0</v>
      </c>
      <c r="P174" t="n">
        <v>0</v>
      </c>
      <c r="Q174" t="n">
        <v>0</v>
      </c>
      <c r="R174" s="2" t="inlineStr"/>
    </row>
    <row r="175" ht="15" customHeight="1">
      <c r="A175" t="inlineStr">
        <is>
          <t>A 46412-2024</t>
        </is>
      </c>
      <c r="B175" s="1" t="n">
        <v>45582.44894675926</v>
      </c>
      <c r="C175" s="1" t="n">
        <v>45932</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57091-2021</t>
        </is>
      </c>
      <c r="B176" s="1" t="n">
        <v>44482</v>
      </c>
      <c r="C176" s="1" t="n">
        <v>45932</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50685-2023</t>
        </is>
      </c>
      <c r="B177" s="1" t="n">
        <v>45210</v>
      </c>
      <c r="C177" s="1" t="n">
        <v>45932</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36740-2023</t>
        </is>
      </c>
      <c r="B178" s="1" t="n">
        <v>45153</v>
      </c>
      <c r="C178" s="1" t="n">
        <v>45932</v>
      </c>
      <c r="D178" t="inlineStr">
        <is>
          <t>DALARNAS LÄN</t>
        </is>
      </c>
      <c r="E178" t="inlineStr">
        <is>
          <t>MORA</t>
        </is>
      </c>
      <c r="G178" t="n">
        <v>0.2</v>
      </c>
      <c r="H178" t="n">
        <v>0</v>
      </c>
      <c r="I178" t="n">
        <v>0</v>
      </c>
      <c r="J178" t="n">
        <v>0</v>
      </c>
      <c r="K178" t="n">
        <v>0</v>
      </c>
      <c r="L178" t="n">
        <v>0</v>
      </c>
      <c r="M178" t="n">
        <v>0</v>
      </c>
      <c r="N178" t="n">
        <v>0</v>
      </c>
      <c r="O178" t="n">
        <v>0</v>
      </c>
      <c r="P178" t="n">
        <v>0</v>
      </c>
      <c r="Q178" t="n">
        <v>0</v>
      </c>
      <c r="R178" s="2" t="inlineStr"/>
    </row>
    <row r="179" ht="15" customHeight="1">
      <c r="A179" t="inlineStr">
        <is>
          <t>A 50759-2023</t>
        </is>
      </c>
      <c r="B179" s="1" t="n">
        <v>45217.60914351852</v>
      </c>
      <c r="C179" s="1" t="n">
        <v>45932</v>
      </c>
      <c r="D179" t="inlineStr">
        <is>
          <t>DALARNAS LÄN</t>
        </is>
      </c>
      <c r="E179" t="inlineStr">
        <is>
          <t>MORA</t>
        </is>
      </c>
      <c r="G179" t="n">
        <v>5.3</v>
      </c>
      <c r="H179" t="n">
        <v>0</v>
      </c>
      <c r="I179" t="n">
        <v>0</v>
      </c>
      <c r="J179" t="n">
        <v>0</v>
      </c>
      <c r="K179" t="n">
        <v>0</v>
      </c>
      <c r="L179" t="n">
        <v>0</v>
      </c>
      <c r="M179" t="n">
        <v>0</v>
      </c>
      <c r="N179" t="n">
        <v>0</v>
      </c>
      <c r="O179" t="n">
        <v>0</v>
      </c>
      <c r="P179" t="n">
        <v>0</v>
      </c>
      <c r="Q179" t="n">
        <v>0</v>
      </c>
      <c r="R179" s="2" t="inlineStr"/>
    </row>
    <row r="180" ht="15" customHeight="1">
      <c r="A180" t="inlineStr">
        <is>
          <t>A 11857-2023</t>
        </is>
      </c>
      <c r="B180" s="1" t="n">
        <v>44995</v>
      </c>
      <c r="C180" s="1" t="n">
        <v>45932</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31177-2021</t>
        </is>
      </c>
      <c r="B181" s="1" t="n">
        <v>44368</v>
      </c>
      <c r="C181" s="1" t="n">
        <v>45932</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65186-2021</t>
        </is>
      </c>
      <c r="B182" s="1" t="n">
        <v>44515</v>
      </c>
      <c r="C182" s="1" t="n">
        <v>45932</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21877-2025</t>
        </is>
      </c>
      <c r="B183" s="1" t="n">
        <v>45784.40041666666</v>
      </c>
      <c r="C183" s="1" t="n">
        <v>45932</v>
      </c>
      <c r="D183" t="inlineStr">
        <is>
          <t>DALARNAS LÄN</t>
        </is>
      </c>
      <c r="E183" t="inlineStr">
        <is>
          <t>MORA</t>
        </is>
      </c>
      <c r="G183" t="n">
        <v>5.9</v>
      </c>
      <c r="H183" t="n">
        <v>0</v>
      </c>
      <c r="I183" t="n">
        <v>0</v>
      </c>
      <c r="J183" t="n">
        <v>0</v>
      </c>
      <c r="K183" t="n">
        <v>0</v>
      </c>
      <c r="L183" t="n">
        <v>0</v>
      </c>
      <c r="M183" t="n">
        <v>0</v>
      </c>
      <c r="N183" t="n">
        <v>0</v>
      </c>
      <c r="O183" t="n">
        <v>0</v>
      </c>
      <c r="P183" t="n">
        <v>0</v>
      </c>
      <c r="Q183" t="n">
        <v>0</v>
      </c>
      <c r="R183" s="2" t="inlineStr"/>
    </row>
    <row r="184" ht="15" customHeight="1">
      <c r="A184" t="inlineStr">
        <is>
          <t>A 16573-2024</t>
        </is>
      </c>
      <c r="B184" s="1" t="n">
        <v>45408.46980324074</v>
      </c>
      <c r="C184" s="1" t="n">
        <v>45932</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21894-2025</t>
        </is>
      </c>
      <c r="B185" s="1" t="n">
        <v>45784.45060185185</v>
      </c>
      <c r="C185" s="1" t="n">
        <v>45932</v>
      </c>
      <c r="D185" t="inlineStr">
        <is>
          <t>DALARNAS LÄN</t>
        </is>
      </c>
      <c r="E185" t="inlineStr">
        <is>
          <t>MORA</t>
        </is>
      </c>
      <c r="G185" t="n">
        <v>0.7</v>
      </c>
      <c r="H185" t="n">
        <v>0</v>
      </c>
      <c r="I185" t="n">
        <v>0</v>
      </c>
      <c r="J185" t="n">
        <v>0</v>
      </c>
      <c r="K185" t="n">
        <v>0</v>
      </c>
      <c r="L185" t="n">
        <v>0</v>
      </c>
      <c r="M185" t="n">
        <v>0</v>
      </c>
      <c r="N185" t="n">
        <v>0</v>
      </c>
      <c r="O185" t="n">
        <v>0</v>
      </c>
      <c r="P185" t="n">
        <v>0</v>
      </c>
      <c r="Q185" t="n">
        <v>0</v>
      </c>
      <c r="R185" s="2" t="inlineStr"/>
    </row>
    <row r="186" ht="15" customHeight="1">
      <c r="A186" t="inlineStr">
        <is>
          <t>A 56012-2023</t>
        </is>
      </c>
      <c r="B186" s="1" t="n">
        <v>45240</v>
      </c>
      <c r="C186" s="1" t="n">
        <v>45932</v>
      </c>
      <c r="D186" t="inlineStr">
        <is>
          <t>DALARNAS LÄN</t>
        </is>
      </c>
      <c r="E186" t="inlineStr">
        <is>
          <t>MORA</t>
        </is>
      </c>
      <c r="G186" t="n">
        <v>0.3</v>
      </c>
      <c r="H186" t="n">
        <v>0</v>
      </c>
      <c r="I186" t="n">
        <v>0</v>
      </c>
      <c r="J186" t="n">
        <v>0</v>
      </c>
      <c r="K186" t="n">
        <v>0</v>
      </c>
      <c r="L186" t="n">
        <v>0</v>
      </c>
      <c r="M186" t="n">
        <v>0</v>
      </c>
      <c r="N186" t="n">
        <v>0</v>
      </c>
      <c r="O186" t="n">
        <v>0</v>
      </c>
      <c r="P186" t="n">
        <v>0</v>
      </c>
      <c r="Q186" t="n">
        <v>0</v>
      </c>
      <c r="R186" s="2" t="inlineStr"/>
    </row>
    <row r="187" ht="15" customHeight="1">
      <c r="A187" t="inlineStr">
        <is>
          <t>A 60674-2023</t>
        </is>
      </c>
      <c r="B187" s="1" t="n">
        <v>45260.46609953704</v>
      </c>
      <c r="C187" s="1" t="n">
        <v>45932</v>
      </c>
      <c r="D187" t="inlineStr">
        <is>
          <t>DALARNAS LÄN</t>
        </is>
      </c>
      <c r="E187" t="inlineStr">
        <is>
          <t>MORA</t>
        </is>
      </c>
      <c r="G187" t="n">
        <v>2.9</v>
      </c>
      <c r="H187" t="n">
        <v>0</v>
      </c>
      <c r="I187" t="n">
        <v>0</v>
      </c>
      <c r="J187" t="n">
        <v>0</v>
      </c>
      <c r="K187" t="n">
        <v>0</v>
      </c>
      <c r="L187" t="n">
        <v>0</v>
      </c>
      <c r="M187" t="n">
        <v>0</v>
      </c>
      <c r="N187" t="n">
        <v>0</v>
      </c>
      <c r="O187" t="n">
        <v>0</v>
      </c>
      <c r="P187" t="n">
        <v>0</v>
      </c>
      <c r="Q187" t="n">
        <v>0</v>
      </c>
      <c r="R187" s="2" t="inlineStr"/>
    </row>
    <row r="188" ht="15" customHeight="1">
      <c r="A188" t="inlineStr">
        <is>
          <t>A 5298-2023</t>
        </is>
      </c>
      <c r="B188" s="1" t="n">
        <v>44959.54355324074</v>
      </c>
      <c r="C188" s="1" t="n">
        <v>45932</v>
      </c>
      <c r="D188" t="inlineStr">
        <is>
          <t>DALARNAS LÄN</t>
        </is>
      </c>
      <c r="E188" t="inlineStr">
        <is>
          <t>MORA</t>
        </is>
      </c>
      <c r="F188" t="inlineStr">
        <is>
          <t>Bergvik skog väst AB</t>
        </is>
      </c>
      <c r="G188" t="n">
        <v>6.2</v>
      </c>
      <c r="H188" t="n">
        <v>0</v>
      </c>
      <c r="I188" t="n">
        <v>0</v>
      </c>
      <c r="J188" t="n">
        <v>0</v>
      </c>
      <c r="K188" t="n">
        <v>0</v>
      </c>
      <c r="L188" t="n">
        <v>0</v>
      </c>
      <c r="M188" t="n">
        <v>0</v>
      </c>
      <c r="N188" t="n">
        <v>0</v>
      </c>
      <c r="O188" t="n">
        <v>0</v>
      </c>
      <c r="P188" t="n">
        <v>0</v>
      </c>
      <c r="Q188" t="n">
        <v>0</v>
      </c>
      <c r="R188" s="2" t="inlineStr"/>
    </row>
    <row r="189" ht="15" customHeight="1">
      <c r="A189" t="inlineStr">
        <is>
          <t>A 57859-2022</t>
        </is>
      </c>
      <c r="B189" s="1" t="n">
        <v>44898</v>
      </c>
      <c r="C189" s="1" t="n">
        <v>45932</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21890-2025</t>
        </is>
      </c>
      <c r="B190" s="1" t="n">
        <v>45784.44481481481</v>
      </c>
      <c r="C190" s="1" t="n">
        <v>45932</v>
      </c>
      <c r="D190" t="inlineStr">
        <is>
          <t>DALARNAS LÄN</t>
        </is>
      </c>
      <c r="E190" t="inlineStr">
        <is>
          <t>MORA</t>
        </is>
      </c>
      <c r="G190" t="n">
        <v>3.8</v>
      </c>
      <c r="H190" t="n">
        <v>0</v>
      </c>
      <c r="I190" t="n">
        <v>0</v>
      </c>
      <c r="J190" t="n">
        <v>0</v>
      </c>
      <c r="K190" t="n">
        <v>0</v>
      </c>
      <c r="L190" t="n">
        <v>0</v>
      </c>
      <c r="M190" t="n">
        <v>0</v>
      </c>
      <c r="N190" t="n">
        <v>0</v>
      </c>
      <c r="O190" t="n">
        <v>0</v>
      </c>
      <c r="P190" t="n">
        <v>0</v>
      </c>
      <c r="Q190" t="n">
        <v>0</v>
      </c>
      <c r="R190" s="2" t="inlineStr"/>
    </row>
    <row r="191" ht="15" customHeight="1">
      <c r="A191" t="inlineStr">
        <is>
          <t>A 21895-2025</t>
        </is>
      </c>
      <c r="B191" s="1" t="n">
        <v>45784.45273148148</v>
      </c>
      <c r="C191" s="1" t="n">
        <v>45932</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20594-2025</t>
        </is>
      </c>
      <c r="B192" s="1" t="n">
        <v>45775.74009259259</v>
      </c>
      <c r="C192" s="1" t="n">
        <v>45932</v>
      </c>
      <c r="D192" t="inlineStr">
        <is>
          <t>DALARNAS LÄN</t>
        </is>
      </c>
      <c r="E192" t="inlineStr">
        <is>
          <t>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58171-2024</t>
        </is>
      </c>
      <c r="B193" s="1" t="n">
        <v>45632.46545138889</v>
      </c>
      <c r="C193" s="1" t="n">
        <v>45932</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61249-2023</t>
        </is>
      </c>
      <c r="B194" s="1" t="n">
        <v>45264</v>
      </c>
      <c r="C194" s="1" t="n">
        <v>45932</v>
      </c>
      <c r="D194" t="inlineStr">
        <is>
          <t>DALARNAS LÄN</t>
        </is>
      </c>
      <c r="E194" t="inlineStr">
        <is>
          <t>MORA</t>
        </is>
      </c>
      <c r="F194" t="inlineStr">
        <is>
          <t>Allmännings- och besparingsskogar</t>
        </is>
      </c>
      <c r="G194" t="n">
        <v>1.7</v>
      </c>
      <c r="H194" t="n">
        <v>0</v>
      </c>
      <c r="I194" t="n">
        <v>0</v>
      </c>
      <c r="J194" t="n">
        <v>0</v>
      </c>
      <c r="K194" t="n">
        <v>0</v>
      </c>
      <c r="L194" t="n">
        <v>0</v>
      </c>
      <c r="M194" t="n">
        <v>0</v>
      </c>
      <c r="N194" t="n">
        <v>0</v>
      </c>
      <c r="O194" t="n">
        <v>0</v>
      </c>
      <c r="P194" t="n">
        <v>0</v>
      </c>
      <c r="Q194" t="n">
        <v>0</v>
      </c>
      <c r="R194" s="2" t="inlineStr"/>
    </row>
    <row r="195" ht="15" customHeight="1">
      <c r="A195" t="inlineStr">
        <is>
          <t>A 17167-2025</t>
        </is>
      </c>
      <c r="B195" s="1" t="n">
        <v>45756.36844907407</v>
      </c>
      <c r="C195" s="1" t="n">
        <v>45932</v>
      </c>
      <c r="D195" t="inlineStr">
        <is>
          <t>DALARNAS LÄN</t>
        </is>
      </c>
      <c r="E195" t="inlineStr">
        <is>
          <t>MORA</t>
        </is>
      </c>
      <c r="F195" t="inlineStr">
        <is>
          <t>Bergvik skog öst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20504-2023</t>
        </is>
      </c>
      <c r="B196" s="1" t="n">
        <v>45057</v>
      </c>
      <c r="C196" s="1" t="n">
        <v>45932</v>
      </c>
      <c r="D196" t="inlineStr">
        <is>
          <t>DALARNAS LÄN</t>
        </is>
      </c>
      <c r="E196" t="inlineStr">
        <is>
          <t>MORA</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35287-2024</t>
        </is>
      </c>
      <c r="B197" s="1" t="n">
        <v>45530</v>
      </c>
      <c r="C197" s="1" t="n">
        <v>45932</v>
      </c>
      <c r="D197" t="inlineStr">
        <is>
          <t>DALARNAS LÄN</t>
        </is>
      </c>
      <c r="E197" t="inlineStr">
        <is>
          <t>MORA</t>
        </is>
      </c>
      <c r="G197" t="n">
        <v>1</v>
      </c>
      <c r="H197" t="n">
        <v>0</v>
      </c>
      <c r="I197" t="n">
        <v>0</v>
      </c>
      <c r="J197" t="n">
        <v>0</v>
      </c>
      <c r="K197" t="n">
        <v>0</v>
      </c>
      <c r="L197" t="n">
        <v>0</v>
      </c>
      <c r="M197" t="n">
        <v>0</v>
      </c>
      <c r="N197" t="n">
        <v>0</v>
      </c>
      <c r="O197" t="n">
        <v>0</v>
      </c>
      <c r="P197" t="n">
        <v>0</v>
      </c>
      <c r="Q197" t="n">
        <v>0</v>
      </c>
      <c r="R197" s="2" t="inlineStr"/>
    </row>
    <row r="198" ht="15" customHeight="1">
      <c r="A198" t="inlineStr">
        <is>
          <t>A 25935-2023</t>
        </is>
      </c>
      <c r="B198" s="1" t="n">
        <v>45090.68675925926</v>
      </c>
      <c r="C198" s="1" t="n">
        <v>45932</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36184-2021</t>
        </is>
      </c>
      <c r="B199" s="1" t="n">
        <v>44389</v>
      </c>
      <c r="C199" s="1" t="n">
        <v>45932</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23057-2024</t>
        </is>
      </c>
      <c r="B200" s="1" t="n">
        <v>45450</v>
      </c>
      <c r="C200" s="1" t="n">
        <v>45932</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8068-2024</t>
        </is>
      </c>
      <c r="B201" s="1" t="n">
        <v>45351.41524305556</v>
      </c>
      <c r="C201" s="1" t="n">
        <v>45932</v>
      </c>
      <c r="D201" t="inlineStr">
        <is>
          <t>DALARNAS LÄN</t>
        </is>
      </c>
      <c r="E201" t="inlineStr">
        <is>
          <t>MORA</t>
        </is>
      </c>
      <c r="G201" t="n">
        <v>6.4</v>
      </c>
      <c r="H201" t="n">
        <v>0</v>
      </c>
      <c r="I201" t="n">
        <v>0</v>
      </c>
      <c r="J201" t="n">
        <v>0</v>
      </c>
      <c r="K201" t="n">
        <v>0</v>
      </c>
      <c r="L201" t="n">
        <v>0</v>
      </c>
      <c r="M201" t="n">
        <v>0</v>
      </c>
      <c r="N201" t="n">
        <v>0</v>
      </c>
      <c r="O201" t="n">
        <v>0</v>
      </c>
      <c r="P201" t="n">
        <v>0</v>
      </c>
      <c r="Q201" t="n">
        <v>0</v>
      </c>
      <c r="R201" s="2" t="inlineStr"/>
    </row>
    <row r="202" ht="15" customHeight="1">
      <c r="A202" t="inlineStr">
        <is>
          <t>A 8100-2024</t>
        </is>
      </c>
      <c r="B202" s="1" t="n">
        <v>45351.46583333334</v>
      </c>
      <c r="C202" s="1" t="n">
        <v>45932</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51168-2024</t>
        </is>
      </c>
      <c r="B203" s="1" t="n">
        <v>45603.58619212963</v>
      </c>
      <c r="C203" s="1" t="n">
        <v>45932</v>
      </c>
      <c r="D203" t="inlineStr">
        <is>
          <t>DALARNAS LÄN</t>
        </is>
      </c>
      <c r="E203" t="inlineStr">
        <is>
          <t>MORA</t>
        </is>
      </c>
      <c r="G203" t="n">
        <v>3</v>
      </c>
      <c r="H203" t="n">
        <v>0</v>
      </c>
      <c r="I203" t="n">
        <v>0</v>
      </c>
      <c r="J203" t="n">
        <v>0</v>
      </c>
      <c r="K203" t="n">
        <v>0</v>
      </c>
      <c r="L203" t="n">
        <v>0</v>
      </c>
      <c r="M203" t="n">
        <v>0</v>
      </c>
      <c r="N203" t="n">
        <v>0</v>
      </c>
      <c r="O203" t="n">
        <v>0</v>
      </c>
      <c r="P203" t="n">
        <v>0</v>
      </c>
      <c r="Q203" t="n">
        <v>0</v>
      </c>
      <c r="R203" s="2" t="inlineStr"/>
    </row>
    <row r="204" ht="15" customHeight="1">
      <c r="A204" t="inlineStr">
        <is>
          <t>A 59182-2023</t>
        </is>
      </c>
      <c r="B204" s="1" t="n">
        <v>45253</v>
      </c>
      <c r="C204" s="1" t="n">
        <v>45932</v>
      </c>
      <c r="D204" t="inlineStr">
        <is>
          <t>DALARNAS LÄN</t>
        </is>
      </c>
      <c r="E204" t="inlineStr">
        <is>
          <t>MORA</t>
        </is>
      </c>
      <c r="G204" t="n">
        <v>3.3</v>
      </c>
      <c r="H204" t="n">
        <v>0</v>
      </c>
      <c r="I204" t="n">
        <v>0</v>
      </c>
      <c r="J204" t="n">
        <v>0</v>
      </c>
      <c r="K204" t="n">
        <v>0</v>
      </c>
      <c r="L204" t="n">
        <v>0</v>
      </c>
      <c r="M204" t="n">
        <v>0</v>
      </c>
      <c r="N204" t="n">
        <v>0</v>
      </c>
      <c r="O204" t="n">
        <v>0</v>
      </c>
      <c r="P204" t="n">
        <v>0</v>
      </c>
      <c r="Q204" t="n">
        <v>0</v>
      </c>
      <c r="R204" s="2" t="inlineStr"/>
    </row>
    <row r="205" ht="15" customHeight="1">
      <c r="A205" t="inlineStr">
        <is>
          <t>A 17529-2023</t>
        </is>
      </c>
      <c r="B205" s="1" t="n">
        <v>45036.46804398148</v>
      </c>
      <c r="C205" s="1" t="n">
        <v>45932</v>
      </c>
      <c r="D205" t="inlineStr">
        <is>
          <t>DALARNAS LÄN</t>
        </is>
      </c>
      <c r="E205" t="inlineStr">
        <is>
          <t>MORA</t>
        </is>
      </c>
      <c r="G205" t="n">
        <v>6</v>
      </c>
      <c r="H205" t="n">
        <v>0</v>
      </c>
      <c r="I205" t="n">
        <v>0</v>
      </c>
      <c r="J205" t="n">
        <v>0</v>
      </c>
      <c r="K205" t="n">
        <v>0</v>
      </c>
      <c r="L205" t="n">
        <v>0</v>
      </c>
      <c r="M205" t="n">
        <v>0</v>
      </c>
      <c r="N205" t="n">
        <v>0</v>
      </c>
      <c r="O205" t="n">
        <v>0</v>
      </c>
      <c r="P205" t="n">
        <v>0</v>
      </c>
      <c r="Q205" t="n">
        <v>0</v>
      </c>
      <c r="R205" s="2" t="inlineStr"/>
    </row>
    <row r="206" ht="15" customHeight="1">
      <c r="A206" t="inlineStr">
        <is>
          <t>A 44201-2023</t>
        </is>
      </c>
      <c r="B206" s="1" t="n">
        <v>45188</v>
      </c>
      <c r="C206" s="1" t="n">
        <v>45932</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16522-2024</t>
        </is>
      </c>
      <c r="B207" s="1" t="n">
        <v>45408.41166666667</v>
      </c>
      <c r="C207" s="1" t="n">
        <v>45932</v>
      </c>
      <c r="D207" t="inlineStr">
        <is>
          <t>DALARNAS LÄN</t>
        </is>
      </c>
      <c r="E207" t="inlineStr">
        <is>
          <t>MORA</t>
        </is>
      </c>
      <c r="G207" t="n">
        <v>11.2</v>
      </c>
      <c r="H207" t="n">
        <v>0</v>
      </c>
      <c r="I207" t="n">
        <v>0</v>
      </c>
      <c r="J207" t="n">
        <v>0</v>
      </c>
      <c r="K207" t="n">
        <v>0</v>
      </c>
      <c r="L207" t="n">
        <v>0</v>
      </c>
      <c r="M207" t="n">
        <v>0</v>
      </c>
      <c r="N207" t="n">
        <v>0</v>
      </c>
      <c r="O207" t="n">
        <v>0</v>
      </c>
      <c r="P207" t="n">
        <v>0</v>
      </c>
      <c r="Q207" t="n">
        <v>0</v>
      </c>
      <c r="R207" s="2" t="inlineStr"/>
    </row>
    <row r="208" ht="15" customHeight="1">
      <c r="A208" t="inlineStr">
        <is>
          <t>A 36058-2024</t>
        </is>
      </c>
      <c r="B208" s="1" t="n">
        <v>45533</v>
      </c>
      <c r="C208" s="1" t="n">
        <v>45932</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36038-2024</t>
        </is>
      </c>
      <c r="B209" s="1" t="n">
        <v>45533</v>
      </c>
      <c r="C209" s="1" t="n">
        <v>45932</v>
      </c>
      <c r="D209" t="inlineStr">
        <is>
          <t>DALARNAS LÄN</t>
        </is>
      </c>
      <c r="E209" t="inlineStr">
        <is>
          <t>MORA</t>
        </is>
      </c>
      <c r="G209" t="n">
        <v>5.1</v>
      </c>
      <c r="H209" t="n">
        <v>0</v>
      </c>
      <c r="I209" t="n">
        <v>0</v>
      </c>
      <c r="J209" t="n">
        <v>0</v>
      </c>
      <c r="K209" t="n">
        <v>0</v>
      </c>
      <c r="L209" t="n">
        <v>0</v>
      </c>
      <c r="M209" t="n">
        <v>0</v>
      </c>
      <c r="N209" t="n">
        <v>0</v>
      </c>
      <c r="O209" t="n">
        <v>0</v>
      </c>
      <c r="P209" t="n">
        <v>0</v>
      </c>
      <c r="Q209" t="n">
        <v>0</v>
      </c>
      <c r="R209" s="2" t="inlineStr"/>
    </row>
    <row r="210" ht="15" customHeight="1">
      <c r="A210" t="inlineStr">
        <is>
          <t>A 36600-2023</t>
        </is>
      </c>
      <c r="B210" s="1" t="n">
        <v>45153</v>
      </c>
      <c r="C210" s="1" t="n">
        <v>45932</v>
      </c>
      <c r="D210" t="inlineStr">
        <is>
          <t>DALARNAS LÄN</t>
        </is>
      </c>
      <c r="E210" t="inlineStr">
        <is>
          <t>MORA</t>
        </is>
      </c>
      <c r="G210" t="n">
        <v>7.3</v>
      </c>
      <c r="H210" t="n">
        <v>0</v>
      </c>
      <c r="I210" t="n">
        <v>0</v>
      </c>
      <c r="J210" t="n">
        <v>0</v>
      </c>
      <c r="K210" t="n">
        <v>0</v>
      </c>
      <c r="L210" t="n">
        <v>0</v>
      </c>
      <c r="M210" t="n">
        <v>0</v>
      </c>
      <c r="N210" t="n">
        <v>0</v>
      </c>
      <c r="O210" t="n">
        <v>0</v>
      </c>
      <c r="P210" t="n">
        <v>0</v>
      </c>
      <c r="Q210" t="n">
        <v>0</v>
      </c>
      <c r="R210" s="2" t="inlineStr"/>
    </row>
    <row r="211" ht="15" customHeight="1">
      <c r="A211" t="inlineStr">
        <is>
          <t>A 2865-2022</t>
        </is>
      </c>
      <c r="B211" s="1" t="n">
        <v>44581</v>
      </c>
      <c r="C211" s="1" t="n">
        <v>45932</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56834-2024</t>
        </is>
      </c>
      <c r="B212" s="1" t="n">
        <v>45628.49931712963</v>
      </c>
      <c r="C212" s="1" t="n">
        <v>45932</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47036-2023</t>
        </is>
      </c>
      <c r="B213" s="1" t="n">
        <v>45196</v>
      </c>
      <c r="C213" s="1" t="n">
        <v>45932</v>
      </c>
      <c r="D213" t="inlineStr">
        <is>
          <t>DALARNAS LÄN</t>
        </is>
      </c>
      <c r="E213" t="inlineStr">
        <is>
          <t>MORA</t>
        </is>
      </c>
      <c r="G213" t="n">
        <v>2.7</v>
      </c>
      <c r="H213" t="n">
        <v>0</v>
      </c>
      <c r="I213" t="n">
        <v>0</v>
      </c>
      <c r="J213" t="n">
        <v>0</v>
      </c>
      <c r="K213" t="n">
        <v>0</v>
      </c>
      <c r="L213" t="n">
        <v>0</v>
      </c>
      <c r="M213" t="n">
        <v>0</v>
      </c>
      <c r="N213" t="n">
        <v>0</v>
      </c>
      <c r="O213" t="n">
        <v>0</v>
      </c>
      <c r="P213" t="n">
        <v>0</v>
      </c>
      <c r="Q213" t="n">
        <v>0</v>
      </c>
      <c r="R213" s="2" t="inlineStr"/>
    </row>
    <row r="214" ht="15" customHeight="1">
      <c r="A214" t="inlineStr">
        <is>
          <t>A 22354-2025</t>
        </is>
      </c>
      <c r="B214" s="1" t="n">
        <v>45786.45721064815</v>
      </c>
      <c r="C214" s="1" t="n">
        <v>45932</v>
      </c>
      <c r="D214" t="inlineStr">
        <is>
          <t>DALARNAS LÄN</t>
        </is>
      </c>
      <c r="E214" t="inlineStr">
        <is>
          <t>MORA</t>
        </is>
      </c>
      <c r="F214" t="inlineStr">
        <is>
          <t>Bergvik skog öst AB</t>
        </is>
      </c>
      <c r="G214" t="n">
        <v>2</v>
      </c>
      <c r="H214" t="n">
        <v>0</v>
      </c>
      <c r="I214" t="n">
        <v>0</v>
      </c>
      <c r="J214" t="n">
        <v>0</v>
      </c>
      <c r="K214" t="n">
        <v>0</v>
      </c>
      <c r="L214" t="n">
        <v>0</v>
      </c>
      <c r="M214" t="n">
        <v>0</v>
      </c>
      <c r="N214" t="n">
        <v>0</v>
      </c>
      <c r="O214" t="n">
        <v>0</v>
      </c>
      <c r="P214" t="n">
        <v>0</v>
      </c>
      <c r="Q214" t="n">
        <v>0</v>
      </c>
      <c r="R214" s="2" t="inlineStr"/>
    </row>
    <row r="215" ht="15" customHeight="1">
      <c r="A215" t="inlineStr">
        <is>
          <t>A 69519-2020</t>
        </is>
      </c>
      <c r="B215" s="1" t="n">
        <v>44194</v>
      </c>
      <c r="C215" s="1" t="n">
        <v>45932</v>
      </c>
      <c r="D215" t="inlineStr">
        <is>
          <t>DALARNAS LÄN</t>
        </is>
      </c>
      <c r="E215" t="inlineStr">
        <is>
          <t>MORA</t>
        </is>
      </c>
      <c r="G215" t="n">
        <v>0.4</v>
      </c>
      <c r="H215" t="n">
        <v>0</v>
      </c>
      <c r="I215" t="n">
        <v>0</v>
      </c>
      <c r="J215" t="n">
        <v>0</v>
      </c>
      <c r="K215" t="n">
        <v>0</v>
      </c>
      <c r="L215" t="n">
        <v>0</v>
      </c>
      <c r="M215" t="n">
        <v>0</v>
      </c>
      <c r="N215" t="n">
        <v>0</v>
      </c>
      <c r="O215" t="n">
        <v>0</v>
      </c>
      <c r="P215" t="n">
        <v>0</v>
      </c>
      <c r="Q215" t="n">
        <v>0</v>
      </c>
      <c r="R215" s="2" t="inlineStr"/>
    </row>
    <row r="216" ht="15" customHeight="1">
      <c r="A216" t="inlineStr">
        <is>
          <t>A 59101-2024</t>
        </is>
      </c>
      <c r="B216" s="1" t="n">
        <v>45637.34074074074</v>
      </c>
      <c r="C216" s="1" t="n">
        <v>45932</v>
      </c>
      <c r="D216" t="inlineStr">
        <is>
          <t>DALARNAS LÄN</t>
        </is>
      </c>
      <c r="E216" t="inlineStr">
        <is>
          <t>MORA</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35325-2024</t>
        </is>
      </c>
      <c r="B217" s="1" t="n">
        <v>45530.71158564815</v>
      </c>
      <c r="C217" s="1" t="n">
        <v>45932</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20544-2025</t>
        </is>
      </c>
      <c r="B218" s="1" t="n">
        <v>45775.63119212963</v>
      </c>
      <c r="C218" s="1" t="n">
        <v>45932</v>
      </c>
      <c r="D218" t="inlineStr">
        <is>
          <t>DALARNAS LÄN</t>
        </is>
      </c>
      <c r="E218" t="inlineStr">
        <is>
          <t>MORA</t>
        </is>
      </c>
      <c r="G218" t="n">
        <v>3.6</v>
      </c>
      <c r="H218" t="n">
        <v>0</v>
      </c>
      <c r="I218" t="n">
        <v>0</v>
      </c>
      <c r="J218" t="n">
        <v>0</v>
      </c>
      <c r="K218" t="n">
        <v>0</v>
      </c>
      <c r="L218" t="n">
        <v>0</v>
      </c>
      <c r="M218" t="n">
        <v>0</v>
      </c>
      <c r="N218" t="n">
        <v>0</v>
      </c>
      <c r="O218" t="n">
        <v>0</v>
      </c>
      <c r="P218" t="n">
        <v>0</v>
      </c>
      <c r="Q218" t="n">
        <v>0</v>
      </c>
      <c r="R218" s="2" t="inlineStr"/>
    </row>
    <row r="219" ht="15" customHeight="1">
      <c r="A219" t="inlineStr">
        <is>
          <t>A 66232-2021</t>
        </is>
      </c>
      <c r="B219" s="1" t="n">
        <v>44518.39234953704</v>
      </c>
      <c r="C219" s="1" t="n">
        <v>45932</v>
      </c>
      <c r="D219" t="inlineStr">
        <is>
          <t>DALARNAS LÄN</t>
        </is>
      </c>
      <c r="E219" t="inlineStr">
        <is>
          <t>MORA</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45562-2023</t>
        </is>
      </c>
      <c r="B220" s="1" t="n">
        <v>45194.59378472222</v>
      </c>
      <c r="C220" s="1" t="n">
        <v>45932</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5418-2025</t>
        </is>
      </c>
      <c r="B221" s="1" t="n">
        <v>45692.68561342593</v>
      </c>
      <c r="C221" s="1" t="n">
        <v>45932</v>
      </c>
      <c r="D221" t="inlineStr">
        <is>
          <t>DALARNAS LÄN</t>
        </is>
      </c>
      <c r="E221" t="inlineStr">
        <is>
          <t>MORA</t>
        </is>
      </c>
      <c r="G221" t="n">
        <v>0.9</v>
      </c>
      <c r="H221" t="n">
        <v>0</v>
      </c>
      <c r="I221" t="n">
        <v>0</v>
      </c>
      <c r="J221" t="n">
        <v>0</v>
      </c>
      <c r="K221" t="n">
        <v>0</v>
      </c>
      <c r="L221" t="n">
        <v>0</v>
      </c>
      <c r="M221" t="n">
        <v>0</v>
      </c>
      <c r="N221" t="n">
        <v>0</v>
      </c>
      <c r="O221" t="n">
        <v>0</v>
      </c>
      <c r="P221" t="n">
        <v>0</v>
      </c>
      <c r="Q221" t="n">
        <v>0</v>
      </c>
      <c r="R221" s="2" t="inlineStr"/>
    </row>
    <row r="222" ht="15" customHeight="1">
      <c r="A222" t="inlineStr">
        <is>
          <t>A 51570-2023</t>
        </is>
      </c>
      <c r="B222" s="1" t="n">
        <v>45222</v>
      </c>
      <c r="C222" s="1" t="n">
        <v>45932</v>
      </c>
      <c r="D222" t="inlineStr">
        <is>
          <t>DALARNAS LÄN</t>
        </is>
      </c>
      <c r="E222" t="inlineStr">
        <is>
          <t>MORA</t>
        </is>
      </c>
      <c r="G222" t="n">
        <v>10.1</v>
      </c>
      <c r="H222" t="n">
        <v>0</v>
      </c>
      <c r="I222" t="n">
        <v>0</v>
      </c>
      <c r="J222" t="n">
        <v>0</v>
      </c>
      <c r="K222" t="n">
        <v>0</v>
      </c>
      <c r="L222" t="n">
        <v>0</v>
      </c>
      <c r="M222" t="n">
        <v>0</v>
      </c>
      <c r="N222" t="n">
        <v>0</v>
      </c>
      <c r="O222" t="n">
        <v>0</v>
      </c>
      <c r="P222" t="n">
        <v>0</v>
      </c>
      <c r="Q222" t="n">
        <v>0</v>
      </c>
      <c r="R222" s="2" t="inlineStr"/>
    </row>
    <row r="223" ht="15" customHeight="1">
      <c r="A223" t="inlineStr">
        <is>
          <t>A 17176-2025</t>
        </is>
      </c>
      <c r="B223" s="1" t="n">
        <v>45756.37520833333</v>
      </c>
      <c r="C223" s="1" t="n">
        <v>45932</v>
      </c>
      <c r="D223" t="inlineStr">
        <is>
          <t>DALARNAS LÄN</t>
        </is>
      </c>
      <c r="E223" t="inlineStr">
        <is>
          <t>MORA</t>
        </is>
      </c>
      <c r="F223" t="inlineStr">
        <is>
          <t>Bergvik skog öst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11442-2022</t>
        </is>
      </c>
      <c r="B224" s="1" t="n">
        <v>44630.62788194444</v>
      </c>
      <c r="C224" s="1" t="n">
        <v>45932</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52525-2022</t>
        </is>
      </c>
      <c r="B225" s="1" t="n">
        <v>44874</v>
      </c>
      <c r="C225" s="1" t="n">
        <v>45932</v>
      </c>
      <c r="D225" t="inlineStr">
        <is>
          <t>DALARNAS LÄN</t>
        </is>
      </c>
      <c r="E225" t="inlineStr">
        <is>
          <t>MORA</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22409-2025</t>
        </is>
      </c>
      <c r="B226" s="1" t="n">
        <v>45786.54940972223</v>
      </c>
      <c r="C226" s="1" t="n">
        <v>45932</v>
      </c>
      <c r="D226" t="inlineStr">
        <is>
          <t>DALARNAS LÄN</t>
        </is>
      </c>
      <c r="E226" t="inlineStr">
        <is>
          <t>MORA</t>
        </is>
      </c>
      <c r="F226" t="inlineStr">
        <is>
          <t>Bergvik skog öst AB</t>
        </is>
      </c>
      <c r="G226" t="n">
        <v>5</v>
      </c>
      <c r="H226" t="n">
        <v>0</v>
      </c>
      <c r="I226" t="n">
        <v>0</v>
      </c>
      <c r="J226" t="n">
        <v>0</v>
      </c>
      <c r="K226" t="n">
        <v>0</v>
      </c>
      <c r="L226" t="n">
        <v>0</v>
      </c>
      <c r="M226" t="n">
        <v>0</v>
      </c>
      <c r="N226" t="n">
        <v>0</v>
      </c>
      <c r="O226" t="n">
        <v>0</v>
      </c>
      <c r="P226" t="n">
        <v>0</v>
      </c>
      <c r="Q226" t="n">
        <v>0</v>
      </c>
      <c r="R226" s="2" t="inlineStr"/>
    </row>
    <row r="227" ht="15" customHeight="1">
      <c r="A227" t="inlineStr">
        <is>
          <t>A 48390-2024</t>
        </is>
      </c>
      <c r="B227" s="1" t="n">
        <v>45590.60216435185</v>
      </c>
      <c r="C227" s="1" t="n">
        <v>45932</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59995-2023</t>
        </is>
      </c>
      <c r="B228" s="1" t="n">
        <v>45254</v>
      </c>
      <c r="C228" s="1" t="n">
        <v>45932</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51965-2024</t>
        </is>
      </c>
      <c r="B229" s="1" t="n">
        <v>45607.65123842593</v>
      </c>
      <c r="C229" s="1" t="n">
        <v>45932</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43874-2024</t>
        </is>
      </c>
      <c r="B230" s="1" t="n">
        <v>45572.38476851852</v>
      </c>
      <c r="C230" s="1" t="n">
        <v>45932</v>
      </c>
      <c r="D230" t="inlineStr">
        <is>
          <t>DALARNAS LÄN</t>
        </is>
      </c>
      <c r="E230" t="inlineStr">
        <is>
          <t>MORA</t>
        </is>
      </c>
      <c r="G230" t="n">
        <v>3.6</v>
      </c>
      <c r="H230" t="n">
        <v>0</v>
      </c>
      <c r="I230" t="n">
        <v>0</v>
      </c>
      <c r="J230" t="n">
        <v>0</v>
      </c>
      <c r="K230" t="n">
        <v>0</v>
      </c>
      <c r="L230" t="n">
        <v>0</v>
      </c>
      <c r="M230" t="n">
        <v>0</v>
      </c>
      <c r="N230" t="n">
        <v>0</v>
      </c>
      <c r="O230" t="n">
        <v>0</v>
      </c>
      <c r="P230" t="n">
        <v>0</v>
      </c>
      <c r="Q230" t="n">
        <v>0</v>
      </c>
      <c r="R230" s="2" t="inlineStr"/>
    </row>
    <row r="231" ht="15" customHeight="1">
      <c r="A231" t="inlineStr">
        <is>
          <t>A 60673-2023</t>
        </is>
      </c>
      <c r="B231" s="1" t="n">
        <v>45260.46438657407</v>
      </c>
      <c r="C231" s="1" t="n">
        <v>45932</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23368-2025</t>
        </is>
      </c>
      <c r="B232" s="1" t="n">
        <v>45791.70299768518</v>
      </c>
      <c r="C232" s="1" t="n">
        <v>45932</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56935-2024</t>
        </is>
      </c>
      <c r="B233" s="1" t="n">
        <v>45625</v>
      </c>
      <c r="C233" s="1" t="n">
        <v>45932</v>
      </c>
      <c r="D233" t="inlineStr">
        <is>
          <t>DALARNAS LÄN</t>
        </is>
      </c>
      <c r="E233" t="inlineStr">
        <is>
          <t>MORA</t>
        </is>
      </c>
      <c r="G233" t="n">
        <v>1.1</v>
      </c>
      <c r="H233" t="n">
        <v>0</v>
      </c>
      <c r="I233" t="n">
        <v>0</v>
      </c>
      <c r="J233" t="n">
        <v>0</v>
      </c>
      <c r="K233" t="n">
        <v>0</v>
      </c>
      <c r="L233" t="n">
        <v>0</v>
      </c>
      <c r="M233" t="n">
        <v>0</v>
      </c>
      <c r="N233" t="n">
        <v>0</v>
      </c>
      <c r="O233" t="n">
        <v>0</v>
      </c>
      <c r="P233" t="n">
        <v>0</v>
      </c>
      <c r="Q233" t="n">
        <v>0</v>
      </c>
      <c r="R233" s="2" t="inlineStr"/>
    </row>
    <row r="234" ht="15" customHeight="1">
      <c r="A234" t="inlineStr">
        <is>
          <t>A 56927-2024</t>
        </is>
      </c>
      <c r="B234" s="1" t="n">
        <v>45625</v>
      </c>
      <c r="C234" s="1" t="n">
        <v>45932</v>
      </c>
      <c r="D234" t="inlineStr">
        <is>
          <t>DALARNAS LÄN</t>
        </is>
      </c>
      <c r="E234" t="inlineStr">
        <is>
          <t>MORA</t>
        </is>
      </c>
      <c r="G234" t="n">
        <v>2.8</v>
      </c>
      <c r="H234" t="n">
        <v>0</v>
      </c>
      <c r="I234" t="n">
        <v>0</v>
      </c>
      <c r="J234" t="n">
        <v>0</v>
      </c>
      <c r="K234" t="n">
        <v>0</v>
      </c>
      <c r="L234" t="n">
        <v>0</v>
      </c>
      <c r="M234" t="n">
        <v>0</v>
      </c>
      <c r="N234" t="n">
        <v>0</v>
      </c>
      <c r="O234" t="n">
        <v>0</v>
      </c>
      <c r="P234" t="n">
        <v>0</v>
      </c>
      <c r="Q234" t="n">
        <v>0</v>
      </c>
      <c r="R234" s="2" t="inlineStr"/>
    </row>
    <row r="235" ht="15" customHeight="1">
      <c r="A235" t="inlineStr">
        <is>
          <t>A 22185-2025</t>
        </is>
      </c>
      <c r="B235" s="1" t="n">
        <v>45785</v>
      </c>
      <c r="C235" s="1" t="n">
        <v>45932</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60099-2024</t>
        </is>
      </c>
      <c r="B236" s="1" t="n">
        <v>45642.55645833333</v>
      </c>
      <c r="C236" s="1" t="n">
        <v>45932</v>
      </c>
      <c r="D236" t="inlineStr">
        <is>
          <t>DALARNAS LÄN</t>
        </is>
      </c>
      <c r="E236" t="inlineStr">
        <is>
          <t>MORA</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63958-2023</t>
        </is>
      </c>
      <c r="B237" s="1" t="n">
        <v>45278</v>
      </c>
      <c r="C237" s="1" t="n">
        <v>45932</v>
      </c>
      <c r="D237" t="inlineStr">
        <is>
          <t>DALARNAS LÄN</t>
        </is>
      </c>
      <c r="E237" t="inlineStr">
        <is>
          <t>MORA</t>
        </is>
      </c>
      <c r="G237" t="n">
        <v>1.9</v>
      </c>
      <c r="H237" t="n">
        <v>0</v>
      </c>
      <c r="I237" t="n">
        <v>0</v>
      </c>
      <c r="J237" t="n">
        <v>0</v>
      </c>
      <c r="K237" t="n">
        <v>0</v>
      </c>
      <c r="L237" t="n">
        <v>0</v>
      </c>
      <c r="M237" t="n">
        <v>0</v>
      </c>
      <c r="N237" t="n">
        <v>0</v>
      </c>
      <c r="O237" t="n">
        <v>0</v>
      </c>
      <c r="P237" t="n">
        <v>0</v>
      </c>
      <c r="Q237" t="n">
        <v>0</v>
      </c>
      <c r="R237" s="2" t="inlineStr"/>
    </row>
    <row r="238" ht="15" customHeight="1">
      <c r="A238" t="inlineStr">
        <is>
          <t>A 20401-2022</t>
        </is>
      </c>
      <c r="B238" s="1" t="n">
        <v>44699</v>
      </c>
      <c r="C238" s="1" t="n">
        <v>45932</v>
      </c>
      <c r="D238" t="inlineStr">
        <is>
          <t>DALARNAS LÄN</t>
        </is>
      </c>
      <c r="E238" t="inlineStr">
        <is>
          <t>MORA</t>
        </is>
      </c>
      <c r="G238" t="n">
        <v>3.2</v>
      </c>
      <c r="H238" t="n">
        <v>0</v>
      </c>
      <c r="I238" t="n">
        <v>0</v>
      </c>
      <c r="J238" t="n">
        <v>0</v>
      </c>
      <c r="K238" t="n">
        <v>0</v>
      </c>
      <c r="L238" t="n">
        <v>0</v>
      </c>
      <c r="M238" t="n">
        <v>0</v>
      </c>
      <c r="N238" t="n">
        <v>0</v>
      </c>
      <c r="O238" t="n">
        <v>0</v>
      </c>
      <c r="P238" t="n">
        <v>0</v>
      </c>
      <c r="Q238" t="n">
        <v>0</v>
      </c>
      <c r="R238" s="2" t="inlineStr"/>
    </row>
    <row r="239" ht="15" customHeight="1">
      <c r="A239" t="inlineStr">
        <is>
          <t>A 59404-2024</t>
        </is>
      </c>
      <c r="B239" s="1" t="n">
        <v>45638</v>
      </c>
      <c r="C239" s="1" t="n">
        <v>45932</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11193-2025</t>
        </is>
      </c>
      <c r="B240" s="1" t="n">
        <v>45725</v>
      </c>
      <c r="C240" s="1" t="n">
        <v>45932</v>
      </c>
      <c r="D240" t="inlineStr">
        <is>
          <t>DALARNAS LÄN</t>
        </is>
      </c>
      <c r="E240" t="inlineStr">
        <is>
          <t>MORA</t>
        </is>
      </c>
      <c r="G240" t="n">
        <v>4.1</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45932</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55691-2023</t>
        </is>
      </c>
      <c r="B242" s="1" t="n">
        <v>45239.36509259259</v>
      </c>
      <c r="C242" s="1" t="n">
        <v>45932</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61270-2024</t>
        </is>
      </c>
      <c r="B243" s="1" t="n">
        <v>45645.74694444444</v>
      </c>
      <c r="C243" s="1" t="n">
        <v>45932</v>
      </c>
      <c r="D243" t="inlineStr">
        <is>
          <t>DALARNAS LÄN</t>
        </is>
      </c>
      <c r="E243" t="inlineStr">
        <is>
          <t>MORA</t>
        </is>
      </c>
      <c r="G243" t="n">
        <v>5.1</v>
      </c>
      <c r="H243" t="n">
        <v>0</v>
      </c>
      <c r="I243" t="n">
        <v>0</v>
      </c>
      <c r="J243" t="n">
        <v>0</v>
      </c>
      <c r="K243" t="n">
        <v>0</v>
      </c>
      <c r="L243" t="n">
        <v>0</v>
      </c>
      <c r="M243" t="n">
        <v>0</v>
      </c>
      <c r="N243" t="n">
        <v>0</v>
      </c>
      <c r="O243" t="n">
        <v>0</v>
      </c>
      <c r="P243" t="n">
        <v>0</v>
      </c>
      <c r="Q243" t="n">
        <v>0</v>
      </c>
      <c r="R243" s="2" t="inlineStr"/>
    </row>
    <row r="244" ht="15" customHeight="1">
      <c r="A244" t="inlineStr">
        <is>
          <t>A 56900-2024</t>
        </is>
      </c>
      <c r="B244" s="1" t="n">
        <v>45625</v>
      </c>
      <c r="C244" s="1" t="n">
        <v>45932</v>
      </c>
      <c r="D244" t="inlineStr">
        <is>
          <t>DALARNAS LÄN</t>
        </is>
      </c>
      <c r="E244" t="inlineStr">
        <is>
          <t>MORA</t>
        </is>
      </c>
      <c r="G244" t="n">
        <v>2.7</v>
      </c>
      <c r="H244" t="n">
        <v>0</v>
      </c>
      <c r="I244" t="n">
        <v>0</v>
      </c>
      <c r="J244" t="n">
        <v>0</v>
      </c>
      <c r="K244" t="n">
        <v>0</v>
      </c>
      <c r="L244" t="n">
        <v>0</v>
      </c>
      <c r="M244" t="n">
        <v>0</v>
      </c>
      <c r="N244" t="n">
        <v>0</v>
      </c>
      <c r="O244" t="n">
        <v>0</v>
      </c>
      <c r="P244" t="n">
        <v>0</v>
      </c>
      <c r="Q244" t="n">
        <v>0</v>
      </c>
      <c r="R244" s="2" t="inlineStr"/>
    </row>
    <row r="245" ht="15" customHeight="1">
      <c r="A245" t="inlineStr">
        <is>
          <t>A 25494-2024</t>
        </is>
      </c>
      <c r="B245" s="1" t="n">
        <v>45463</v>
      </c>
      <c r="C245" s="1" t="n">
        <v>45932</v>
      </c>
      <c r="D245" t="inlineStr">
        <is>
          <t>DALARNAS LÄN</t>
        </is>
      </c>
      <c r="E245" t="inlineStr">
        <is>
          <t>MORA</t>
        </is>
      </c>
      <c r="G245" t="n">
        <v>4.9</v>
      </c>
      <c r="H245" t="n">
        <v>0</v>
      </c>
      <c r="I245" t="n">
        <v>0</v>
      </c>
      <c r="J245" t="n">
        <v>0</v>
      </c>
      <c r="K245" t="n">
        <v>0</v>
      </c>
      <c r="L245" t="n">
        <v>0</v>
      </c>
      <c r="M245" t="n">
        <v>0</v>
      </c>
      <c r="N245" t="n">
        <v>0</v>
      </c>
      <c r="O245" t="n">
        <v>0</v>
      </c>
      <c r="P245" t="n">
        <v>0</v>
      </c>
      <c r="Q245" t="n">
        <v>0</v>
      </c>
      <c r="R245" s="2" t="inlineStr"/>
    </row>
    <row r="246" ht="15" customHeight="1">
      <c r="A246" t="inlineStr">
        <is>
          <t>A 15443-2025</t>
        </is>
      </c>
      <c r="B246" s="1" t="n">
        <v>45747.48371527778</v>
      </c>
      <c r="C246" s="1" t="n">
        <v>45932</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20930-2024</t>
        </is>
      </c>
      <c r="B247" s="1" t="n">
        <v>45439.51907407407</v>
      </c>
      <c r="C247" s="1" t="n">
        <v>45932</v>
      </c>
      <c r="D247" t="inlineStr">
        <is>
          <t>DALARNAS LÄN</t>
        </is>
      </c>
      <c r="E247" t="inlineStr">
        <is>
          <t>MORA</t>
        </is>
      </c>
      <c r="F247" t="inlineStr">
        <is>
          <t>Bergvik skog väst AB</t>
        </is>
      </c>
      <c r="G247" t="n">
        <v>5.3</v>
      </c>
      <c r="H247" t="n">
        <v>0</v>
      </c>
      <c r="I247" t="n">
        <v>0</v>
      </c>
      <c r="J247" t="n">
        <v>0</v>
      </c>
      <c r="K247" t="n">
        <v>0</v>
      </c>
      <c r="L247" t="n">
        <v>0</v>
      </c>
      <c r="M247" t="n">
        <v>0</v>
      </c>
      <c r="N247" t="n">
        <v>0</v>
      </c>
      <c r="O247" t="n">
        <v>0</v>
      </c>
      <c r="P247" t="n">
        <v>0</v>
      </c>
      <c r="Q247" t="n">
        <v>0</v>
      </c>
      <c r="R247" s="2" t="inlineStr"/>
    </row>
    <row r="248" ht="15" customHeight="1">
      <c r="A248" t="inlineStr">
        <is>
          <t>A 42611-2022</t>
        </is>
      </c>
      <c r="B248" s="1" t="n">
        <v>44831.81482638889</v>
      </c>
      <c r="C248" s="1" t="n">
        <v>45932</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23354-2022</t>
        </is>
      </c>
      <c r="B249" s="1" t="n">
        <v>44720</v>
      </c>
      <c r="C249" s="1" t="n">
        <v>45932</v>
      </c>
      <c r="D249" t="inlineStr">
        <is>
          <t>DALARNAS LÄN</t>
        </is>
      </c>
      <c r="E249" t="inlineStr">
        <is>
          <t>MORA</t>
        </is>
      </c>
      <c r="G249" t="n">
        <v>5.2</v>
      </c>
      <c r="H249" t="n">
        <v>0</v>
      </c>
      <c r="I249" t="n">
        <v>0</v>
      </c>
      <c r="J249" t="n">
        <v>0</v>
      </c>
      <c r="K249" t="n">
        <v>0</v>
      </c>
      <c r="L249" t="n">
        <v>0</v>
      </c>
      <c r="M249" t="n">
        <v>0</v>
      </c>
      <c r="N249" t="n">
        <v>0</v>
      </c>
      <c r="O249" t="n">
        <v>0</v>
      </c>
      <c r="P249" t="n">
        <v>0</v>
      </c>
      <c r="Q249" t="n">
        <v>0</v>
      </c>
      <c r="R249" s="2" t="inlineStr"/>
    </row>
    <row r="250" ht="15" customHeight="1">
      <c r="A250" t="inlineStr">
        <is>
          <t>A 54192-2023</t>
        </is>
      </c>
      <c r="B250" s="1" t="n">
        <v>45232.53052083333</v>
      </c>
      <c r="C250" s="1" t="n">
        <v>45932</v>
      </c>
      <c r="D250" t="inlineStr">
        <is>
          <t>DALARNAS LÄN</t>
        </is>
      </c>
      <c r="E250" t="inlineStr">
        <is>
          <t>MORA</t>
        </is>
      </c>
      <c r="G250" t="n">
        <v>3.4</v>
      </c>
      <c r="H250" t="n">
        <v>0</v>
      </c>
      <c r="I250" t="n">
        <v>0</v>
      </c>
      <c r="J250" t="n">
        <v>0</v>
      </c>
      <c r="K250" t="n">
        <v>0</v>
      </c>
      <c r="L250" t="n">
        <v>0</v>
      </c>
      <c r="M250" t="n">
        <v>0</v>
      </c>
      <c r="N250" t="n">
        <v>0</v>
      </c>
      <c r="O250" t="n">
        <v>0</v>
      </c>
      <c r="P250" t="n">
        <v>0</v>
      </c>
      <c r="Q250" t="n">
        <v>0</v>
      </c>
      <c r="R250" s="2" t="inlineStr"/>
    </row>
    <row r="251" ht="15" customHeight="1">
      <c r="A251" t="inlineStr">
        <is>
          <t>A 23229-2025</t>
        </is>
      </c>
      <c r="B251" s="1" t="n">
        <v>45791</v>
      </c>
      <c r="C251" s="1" t="n">
        <v>45932</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17865-2025</t>
        </is>
      </c>
      <c r="B252" s="1" t="n">
        <v>45758.62951388889</v>
      </c>
      <c r="C252" s="1" t="n">
        <v>45932</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62854-2023</t>
        </is>
      </c>
      <c r="B253" s="1" t="n">
        <v>45272</v>
      </c>
      <c r="C253" s="1" t="n">
        <v>45932</v>
      </c>
      <c r="D253" t="inlineStr">
        <is>
          <t>DALARNAS LÄN</t>
        </is>
      </c>
      <c r="E253" t="inlineStr">
        <is>
          <t>MORA</t>
        </is>
      </c>
      <c r="G253" t="n">
        <v>11.3</v>
      </c>
      <c r="H253" t="n">
        <v>0</v>
      </c>
      <c r="I253" t="n">
        <v>0</v>
      </c>
      <c r="J253" t="n">
        <v>0</v>
      </c>
      <c r="K253" t="n">
        <v>0</v>
      </c>
      <c r="L253" t="n">
        <v>0</v>
      </c>
      <c r="M253" t="n">
        <v>0</v>
      </c>
      <c r="N253" t="n">
        <v>0</v>
      </c>
      <c r="O253" t="n">
        <v>0</v>
      </c>
      <c r="P253" t="n">
        <v>0</v>
      </c>
      <c r="Q253" t="n">
        <v>0</v>
      </c>
      <c r="R253" s="2" t="inlineStr"/>
    </row>
    <row r="254" ht="15" customHeight="1">
      <c r="A254" t="inlineStr">
        <is>
          <t>A 33676-2023</t>
        </is>
      </c>
      <c r="B254" s="1" t="n">
        <v>45132.6291550926</v>
      </c>
      <c r="C254" s="1" t="n">
        <v>45932</v>
      </c>
      <c r="D254" t="inlineStr">
        <is>
          <t>DALARNAS LÄN</t>
        </is>
      </c>
      <c r="E254" t="inlineStr">
        <is>
          <t>MORA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24127-2025</t>
        </is>
      </c>
      <c r="B255" s="1" t="n">
        <v>45796.63137731481</v>
      </c>
      <c r="C255" s="1" t="n">
        <v>45932</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61188-2024</t>
        </is>
      </c>
      <c r="B256" s="1" t="n">
        <v>45645.62282407407</v>
      </c>
      <c r="C256" s="1" t="n">
        <v>45932</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38627-2023</t>
        </is>
      </c>
      <c r="B257" s="1" t="n">
        <v>45162.68787037037</v>
      </c>
      <c r="C257" s="1" t="n">
        <v>45932</v>
      </c>
      <c r="D257" t="inlineStr">
        <is>
          <t>DALARNAS LÄN</t>
        </is>
      </c>
      <c r="E257" t="inlineStr">
        <is>
          <t>MORA</t>
        </is>
      </c>
      <c r="G257" t="n">
        <v>6.5</v>
      </c>
      <c r="H257" t="n">
        <v>0</v>
      </c>
      <c r="I257" t="n">
        <v>0</v>
      </c>
      <c r="J257" t="n">
        <v>0</v>
      </c>
      <c r="K257" t="n">
        <v>0</v>
      </c>
      <c r="L257" t="n">
        <v>0</v>
      </c>
      <c r="M257" t="n">
        <v>0</v>
      </c>
      <c r="N257" t="n">
        <v>0</v>
      </c>
      <c r="O257" t="n">
        <v>0</v>
      </c>
      <c r="P257" t="n">
        <v>0</v>
      </c>
      <c r="Q257" t="n">
        <v>0</v>
      </c>
      <c r="R257" s="2" t="inlineStr"/>
    </row>
    <row r="258" ht="15" customHeight="1">
      <c r="A258" t="inlineStr">
        <is>
          <t>A 64088-2023</t>
        </is>
      </c>
      <c r="B258" s="1" t="n">
        <v>45279.43570601852</v>
      </c>
      <c r="C258" s="1" t="n">
        <v>45932</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31929-2024</t>
        </is>
      </c>
      <c r="B259" s="1" t="n">
        <v>45510.40587962963</v>
      </c>
      <c r="C259" s="1" t="n">
        <v>45932</v>
      </c>
      <c r="D259" t="inlineStr">
        <is>
          <t>DALARNAS LÄN</t>
        </is>
      </c>
      <c r="E259" t="inlineStr">
        <is>
          <t>MORA</t>
        </is>
      </c>
      <c r="G259" t="n">
        <v>10.8</v>
      </c>
      <c r="H259" t="n">
        <v>0</v>
      </c>
      <c r="I259" t="n">
        <v>0</v>
      </c>
      <c r="J259" t="n">
        <v>0</v>
      </c>
      <c r="K259" t="n">
        <v>0</v>
      </c>
      <c r="L259" t="n">
        <v>0</v>
      </c>
      <c r="M259" t="n">
        <v>0</v>
      </c>
      <c r="N259" t="n">
        <v>0</v>
      </c>
      <c r="O259" t="n">
        <v>0</v>
      </c>
      <c r="P259" t="n">
        <v>0</v>
      </c>
      <c r="Q259" t="n">
        <v>0</v>
      </c>
      <c r="R259" s="2" t="inlineStr"/>
    </row>
    <row r="260" ht="15" customHeight="1">
      <c r="A260" t="inlineStr">
        <is>
          <t>A 37710-2023</t>
        </is>
      </c>
      <c r="B260" s="1" t="n">
        <v>45159.59186342593</v>
      </c>
      <c r="C260" s="1" t="n">
        <v>45932</v>
      </c>
      <c r="D260" t="inlineStr">
        <is>
          <t>DALARNAS LÄN</t>
        </is>
      </c>
      <c r="E260" t="inlineStr">
        <is>
          <t>MORA</t>
        </is>
      </c>
      <c r="G260" t="n">
        <v>1.9</v>
      </c>
      <c r="H260" t="n">
        <v>0</v>
      </c>
      <c r="I260" t="n">
        <v>0</v>
      </c>
      <c r="J260" t="n">
        <v>0</v>
      </c>
      <c r="K260" t="n">
        <v>0</v>
      </c>
      <c r="L260" t="n">
        <v>0</v>
      </c>
      <c r="M260" t="n">
        <v>0</v>
      </c>
      <c r="N260" t="n">
        <v>0</v>
      </c>
      <c r="O260" t="n">
        <v>0</v>
      </c>
      <c r="P260" t="n">
        <v>0</v>
      </c>
      <c r="Q260" t="n">
        <v>0</v>
      </c>
      <c r="R260" s="2" t="inlineStr"/>
    </row>
    <row r="261" ht="15" customHeight="1">
      <c r="A261" t="inlineStr">
        <is>
          <t>A 61405-2023</t>
        </is>
      </c>
      <c r="B261" s="1" t="n">
        <v>45264.65987268519</v>
      </c>
      <c r="C261" s="1" t="n">
        <v>45932</v>
      </c>
      <c r="D261" t="inlineStr">
        <is>
          <t>DALARNAS LÄN</t>
        </is>
      </c>
      <c r="E261" t="inlineStr">
        <is>
          <t>MORA</t>
        </is>
      </c>
      <c r="G261" t="n">
        <v>0.4</v>
      </c>
      <c r="H261" t="n">
        <v>0</v>
      </c>
      <c r="I261" t="n">
        <v>0</v>
      </c>
      <c r="J261" t="n">
        <v>0</v>
      </c>
      <c r="K261" t="n">
        <v>0</v>
      </c>
      <c r="L261" t="n">
        <v>0</v>
      </c>
      <c r="M261" t="n">
        <v>0</v>
      </c>
      <c r="N261" t="n">
        <v>0</v>
      </c>
      <c r="O261" t="n">
        <v>0</v>
      </c>
      <c r="P261" t="n">
        <v>0</v>
      </c>
      <c r="Q261" t="n">
        <v>0</v>
      </c>
      <c r="R261" s="2" t="inlineStr"/>
    </row>
    <row r="262" ht="15" customHeight="1">
      <c r="A262" t="inlineStr">
        <is>
          <t>A 14832-2025</t>
        </is>
      </c>
      <c r="B262" s="1" t="n">
        <v>45743</v>
      </c>
      <c r="C262" s="1" t="n">
        <v>45932</v>
      </c>
      <c r="D262" t="inlineStr">
        <is>
          <t>DALARNAS LÄN</t>
        </is>
      </c>
      <c r="E262" t="inlineStr">
        <is>
          <t>MORA</t>
        </is>
      </c>
      <c r="G262" t="n">
        <v>9.1</v>
      </c>
      <c r="H262" t="n">
        <v>0</v>
      </c>
      <c r="I262" t="n">
        <v>0</v>
      </c>
      <c r="J262" t="n">
        <v>0</v>
      </c>
      <c r="K262" t="n">
        <v>0</v>
      </c>
      <c r="L262" t="n">
        <v>0</v>
      </c>
      <c r="M262" t="n">
        <v>0</v>
      </c>
      <c r="N262" t="n">
        <v>0</v>
      </c>
      <c r="O262" t="n">
        <v>0</v>
      </c>
      <c r="P262" t="n">
        <v>0</v>
      </c>
      <c r="Q262" t="n">
        <v>0</v>
      </c>
      <c r="R262" s="2" t="inlineStr"/>
    </row>
    <row r="263" ht="15" customHeight="1">
      <c r="A263" t="inlineStr">
        <is>
          <t>A 24249-2025</t>
        </is>
      </c>
      <c r="B263" s="1" t="n">
        <v>45797.40260416667</v>
      </c>
      <c r="C263" s="1" t="n">
        <v>45932</v>
      </c>
      <c r="D263" t="inlineStr">
        <is>
          <t>DALARNAS LÄN</t>
        </is>
      </c>
      <c r="E263" t="inlineStr">
        <is>
          <t>MORA</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45355-2024</t>
        </is>
      </c>
      <c r="B264" s="1" t="n">
        <v>45576</v>
      </c>
      <c r="C264" s="1" t="n">
        <v>45932</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37695-2024</t>
        </is>
      </c>
      <c r="B265" s="1" t="n">
        <v>45541.61094907407</v>
      </c>
      <c r="C265" s="1" t="n">
        <v>45932</v>
      </c>
      <c r="D265" t="inlineStr">
        <is>
          <t>DALARNAS LÄN</t>
        </is>
      </c>
      <c r="E265" t="inlineStr">
        <is>
          <t>MORA</t>
        </is>
      </c>
      <c r="G265" t="n">
        <v>19.7</v>
      </c>
      <c r="H265" t="n">
        <v>0</v>
      </c>
      <c r="I265" t="n">
        <v>0</v>
      </c>
      <c r="J265" t="n">
        <v>0</v>
      </c>
      <c r="K265" t="n">
        <v>0</v>
      </c>
      <c r="L265" t="n">
        <v>0</v>
      </c>
      <c r="M265" t="n">
        <v>0</v>
      </c>
      <c r="N265" t="n">
        <v>0</v>
      </c>
      <c r="O265" t="n">
        <v>0</v>
      </c>
      <c r="P265" t="n">
        <v>0</v>
      </c>
      <c r="Q265" t="n">
        <v>0</v>
      </c>
      <c r="R265" s="2" t="inlineStr"/>
    </row>
    <row r="266" ht="15" customHeight="1">
      <c r="A266" t="inlineStr">
        <is>
          <t>A 2830-2023</t>
        </is>
      </c>
      <c r="B266" s="1" t="n">
        <v>44945.32997685186</v>
      </c>
      <c r="C266" s="1" t="n">
        <v>45932</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39882-2024</t>
        </is>
      </c>
      <c r="B267" s="1" t="n">
        <v>45553</v>
      </c>
      <c r="C267" s="1" t="n">
        <v>45932</v>
      </c>
      <c r="D267" t="inlineStr">
        <is>
          <t>DALARNAS LÄN</t>
        </is>
      </c>
      <c r="E267" t="inlineStr">
        <is>
          <t>MORA</t>
        </is>
      </c>
      <c r="G267" t="n">
        <v>14.6</v>
      </c>
      <c r="H267" t="n">
        <v>0</v>
      </c>
      <c r="I267" t="n">
        <v>0</v>
      </c>
      <c r="J267" t="n">
        <v>0</v>
      </c>
      <c r="K267" t="n">
        <v>0</v>
      </c>
      <c r="L267" t="n">
        <v>0</v>
      </c>
      <c r="M267" t="n">
        <v>0</v>
      </c>
      <c r="N267" t="n">
        <v>0</v>
      </c>
      <c r="O267" t="n">
        <v>0</v>
      </c>
      <c r="P267" t="n">
        <v>0</v>
      </c>
      <c r="Q267" t="n">
        <v>0</v>
      </c>
      <c r="R267" s="2" t="inlineStr"/>
    </row>
    <row r="268" ht="15" customHeight="1">
      <c r="A268" t="inlineStr">
        <is>
          <t>A 28934-2023</t>
        </is>
      </c>
      <c r="B268" s="1" t="n">
        <v>45104</v>
      </c>
      <c r="C268" s="1" t="n">
        <v>45932</v>
      </c>
      <c r="D268" t="inlineStr">
        <is>
          <t>DALARNAS LÄN</t>
        </is>
      </c>
      <c r="E268" t="inlineStr">
        <is>
          <t>MORA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39674-2023</t>
        </is>
      </c>
      <c r="B269" s="1" t="n">
        <v>45167</v>
      </c>
      <c r="C269" s="1" t="n">
        <v>45932</v>
      </c>
      <c r="D269" t="inlineStr">
        <is>
          <t>DALARNAS LÄN</t>
        </is>
      </c>
      <c r="E269" t="inlineStr">
        <is>
          <t>MORA</t>
        </is>
      </c>
      <c r="G269" t="n">
        <v>2.4</v>
      </c>
      <c r="H269" t="n">
        <v>0</v>
      </c>
      <c r="I269" t="n">
        <v>0</v>
      </c>
      <c r="J269" t="n">
        <v>0</v>
      </c>
      <c r="K269" t="n">
        <v>0</v>
      </c>
      <c r="L269" t="n">
        <v>0</v>
      </c>
      <c r="M269" t="n">
        <v>0</v>
      </c>
      <c r="N269" t="n">
        <v>0</v>
      </c>
      <c r="O269" t="n">
        <v>0</v>
      </c>
      <c r="P269" t="n">
        <v>0</v>
      </c>
      <c r="Q269" t="n">
        <v>0</v>
      </c>
      <c r="R269" s="2" t="inlineStr"/>
    </row>
    <row r="270" ht="15" customHeight="1">
      <c r="A270" t="inlineStr">
        <is>
          <t>A 43566-2023</t>
        </is>
      </c>
      <c r="B270" s="1" t="n">
        <v>45184.58199074074</v>
      </c>
      <c r="C270" s="1" t="n">
        <v>45932</v>
      </c>
      <c r="D270" t="inlineStr">
        <is>
          <t>DALARNAS LÄN</t>
        </is>
      </c>
      <c r="E270" t="inlineStr">
        <is>
          <t>MORA</t>
        </is>
      </c>
      <c r="F270" t="inlineStr">
        <is>
          <t>Bergvik skog väst AB</t>
        </is>
      </c>
      <c r="G270" t="n">
        <v>4.3</v>
      </c>
      <c r="H270" t="n">
        <v>0</v>
      </c>
      <c r="I270" t="n">
        <v>0</v>
      </c>
      <c r="J270" t="n">
        <v>0</v>
      </c>
      <c r="K270" t="n">
        <v>0</v>
      </c>
      <c r="L270" t="n">
        <v>0</v>
      </c>
      <c r="M270" t="n">
        <v>0</v>
      </c>
      <c r="N270" t="n">
        <v>0</v>
      </c>
      <c r="O270" t="n">
        <v>0</v>
      </c>
      <c r="P270" t="n">
        <v>0</v>
      </c>
      <c r="Q270" t="n">
        <v>0</v>
      </c>
      <c r="R270" s="2" t="inlineStr"/>
    </row>
    <row r="271" ht="15" customHeight="1">
      <c r="A271" t="inlineStr">
        <is>
          <t>A 9461-2025</t>
        </is>
      </c>
      <c r="B271" s="1" t="n">
        <v>45715.45341435185</v>
      </c>
      <c r="C271" s="1" t="n">
        <v>45932</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34928-2022</t>
        </is>
      </c>
      <c r="B272" s="1" t="n">
        <v>44796.60479166666</v>
      </c>
      <c r="C272" s="1" t="n">
        <v>45932</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19286-2023</t>
        </is>
      </c>
      <c r="B273" s="1" t="n">
        <v>45049</v>
      </c>
      <c r="C273" s="1" t="n">
        <v>45932</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18559-2024</t>
        </is>
      </c>
      <c r="B274" s="1" t="n">
        <v>45425.66265046296</v>
      </c>
      <c r="C274" s="1" t="n">
        <v>45932</v>
      </c>
      <c r="D274" t="inlineStr">
        <is>
          <t>DALARNAS LÄN</t>
        </is>
      </c>
      <c r="E274" t="inlineStr">
        <is>
          <t>MORA</t>
        </is>
      </c>
      <c r="G274" t="n">
        <v>3.6</v>
      </c>
      <c r="H274" t="n">
        <v>0</v>
      </c>
      <c r="I274" t="n">
        <v>0</v>
      </c>
      <c r="J274" t="n">
        <v>0</v>
      </c>
      <c r="K274" t="n">
        <v>0</v>
      </c>
      <c r="L274" t="n">
        <v>0</v>
      </c>
      <c r="M274" t="n">
        <v>0</v>
      </c>
      <c r="N274" t="n">
        <v>0</v>
      </c>
      <c r="O274" t="n">
        <v>0</v>
      </c>
      <c r="P274" t="n">
        <v>0</v>
      </c>
      <c r="Q274" t="n">
        <v>0</v>
      </c>
      <c r="R274" s="2" t="inlineStr"/>
    </row>
    <row r="275" ht="15" customHeight="1">
      <c r="A275" t="inlineStr">
        <is>
          <t>A 24230-2025</t>
        </is>
      </c>
      <c r="B275" s="1" t="n">
        <v>45797.37607638889</v>
      </c>
      <c r="C275" s="1" t="n">
        <v>45932</v>
      </c>
      <c r="D275" t="inlineStr">
        <is>
          <t>DALARNAS LÄN</t>
        </is>
      </c>
      <c r="E275" t="inlineStr">
        <is>
          <t>MORA</t>
        </is>
      </c>
      <c r="G275" t="n">
        <v>6.8</v>
      </c>
      <c r="H275" t="n">
        <v>0</v>
      </c>
      <c r="I275" t="n">
        <v>0</v>
      </c>
      <c r="J275" t="n">
        <v>0</v>
      </c>
      <c r="K275" t="n">
        <v>0</v>
      </c>
      <c r="L275" t="n">
        <v>0</v>
      </c>
      <c r="M275" t="n">
        <v>0</v>
      </c>
      <c r="N275" t="n">
        <v>0</v>
      </c>
      <c r="O275" t="n">
        <v>0</v>
      </c>
      <c r="P275" t="n">
        <v>0</v>
      </c>
      <c r="Q275" t="n">
        <v>0</v>
      </c>
      <c r="R275" s="2" t="inlineStr"/>
    </row>
    <row r="276" ht="15" customHeight="1">
      <c r="A276" t="inlineStr">
        <is>
          <t>A 24280-2025</t>
        </is>
      </c>
      <c r="B276" s="1" t="n">
        <v>45797.45581018519</v>
      </c>
      <c r="C276" s="1" t="n">
        <v>45932</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15416-2023</t>
        </is>
      </c>
      <c r="B277" s="1" t="n">
        <v>45019.71342592593</v>
      </c>
      <c r="C277" s="1" t="n">
        <v>45932</v>
      </c>
      <c r="D277" t="inlineStr">
        <is>
          <t>DALARNAS LÄN</t>
        </is>
      </c>
      <c r="E277" t="inlineStr">
        <is>
          <t>MORA</t>
        </is>
      </c>
      <c r="G277" t="n">
        <v>2</v>
      </c>
      <c r="H277" t="n">
        <v>0</v>
      </c>
      <c r="I277" t="n">
        <v>0</v>
      </c>
      <c r="J277" t="n">
        <v>0</v>
      </c>
      <c r="K277" t="n">
        <v>0</v>
      </c>
      <c r="L277" t="n">
        <v>0</v>
      </c>
      <c r="M277" t="n">
        <v>0</v>
      </c>
      <c r="N277" t="n">
        <v>0</v>
      </c>
      <c r="O277" t="n">
        <v>0</v>
      </c>
      <c r="P277" t="n">
        <v>0</v>
      </c>
      <c r="Q277" t="n">
        <v>0</v>
      </c>
      <c r="R277" s="2" t="inlineStr"/>
    </row>
    <row r="278" ht="15" customHeight="1">
      <c r="A278" t="inlineStr">
        <is>
          <t>A 18702-2025</t>
        </is>
      </c>
      <c r="B278" s="1" t="n">
        <v>45763.63166666667</v>
      </c>
      <c r="C278" s="1" t="n">
        <v>45932</v>
      </c>
      <c r="D278" t="inlineStr">
        <is>
          <t>DALARNAS LÄN</t>
        </is>
      </c>
      <c r="E278" t="inlineStr">
        <is>
          <t>MORA</t>
        </is>
      </c>
      <c r="G278" t="n">
        <v>3.6</v>
      </c>
      <c r="H278" t="n">
        <v>0</v>
      </c>
      <c r="I278" t="n">
        <v>0</v>
      </c>
      <c r="J278" t="n">
        <v>0</v>
      </c>
      <c r="K278" t="n">
        <v>0</v>
      </c>
      <c r="L278" t="n">
        <v>0</v>
      </c>
      <c r="M278" t="n">
        <v>0</v>
      </c>
      <c r="N278" t="n">
        <v>0</v>
      </c>
      <c r="O278" t="n">
        <v>0</v>
      </c>
      <c r="P278" t="n">
        <v>0</v>
      </c>
      <c r="Q278" t="n">
        <v>0</v>
      </c>
      <c r="R278" s="2" t="inlineStr"/>
    </row>
    <row r="279" ht="15" customHeight="1">
      <c r="A279" t="inlineStr">
        <is>
          <t>A 19183-2025</t>
        </is>
      </c>
      <c r="B279" s="1" t="n">
        <v>45769</v>
      </c>
      <c r="C279" s="1" t="n">
        <v>45932</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43432-2024</t>
        </is>
      </c>
      <c r="B280" s="1" t="n">
        <v>45568.64337962963</v>
      </c>
      <c r="C280" s="1" t="n">
        <v>45932</v>
      </c>
      <c r="D280" t="inlineStr">
        <is>
          <t>DALARNAS LÄN</t>
        </is>
      </c>
      <c r="E280" t="inlineStr">
        <is>
          <t>MORA</t>
        </is>
      </c>
      <c r="G280" t="n">
        <v>0.4</v>
      </c>
      <c r="H280" t="n">
        <v>0</v>
      </c>
      <c r="I280" t="n">
        <v>0</v>
      </c>
      <c r="J280" t="n">
        <v>0</v>
      </c>
      <c r="K280" t="n">
        <v>0</v>
      </c>
      <c r="L280" t="n">
        <v>0</v>
      </c>
      <c r="M280" t="n">
        <v>0</v>
      </c>
      <c r="N280" t="n">
        <v>0</v>
      </c>
      <c r="O280" t="n">
        <v>0</v>
      </c>
      <c r="P280" t="n">
        <v>0</v>
      </c>
      <c r="Q280" t="n">
        <v>0</v>
      </c>
      <c r="R280" s="2" t="inlineStr"/>
    </row>
    <row r="281" ht="15" customHeight="1">
      <c r="A281" t="inlineStr">
        <is>
          <t>A 46414-2024</t>
        </is>
      </c>
      <c r="B281" s="1" t="n">
        <v>45582.45226851852</v>
      </c>
      <c r="C281" s="1" t="n">
        <v>45932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46417-2024</t>
        </is>
      </c>
      <c r="B282" s="1" t="n">
        <v>45582.45449074074</v>
      </c>
      <c r="C282" s="1" t="n">
        <v>45932</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48342-2023</t>
        </is>
      </c>
      <c r="B283" s="1" t="n">
        <v>45205</v>
      </c>
      <c r="C283" s="1" t="n">
        <v>45932</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5769-2025</t>
        </is>
      </c>
      <c r="B284" s="1" t="n">
        <v>45694.59288194445</v>
      </c>
      <c r="C284" s="1" t="n">
        <v>45932</v>
      </c>
      <c r="D284" t="inlineStr">
        <is>
          <t>DALARNAS LÄN</t>
        </is>
      </c>
      <c r="E284" t="inlineStr">
        <is>
          <t>MORA</t>
        </is>
      </c>
      <c r="G284" t="n">
        <v>15.7</v>
      </c>
      <c r="H284" t="n">
        <v>0</v>
      </c>
      <c r="I284" t="n">
        <v>0</v>
      </c>
      <c r="J284" t="n">
        <v>0</v>
      </c>
      <c r="K284" t="n">
        <v>0</v>
      </c>
      <c r="L284" t="n">
        <v>0</v>
      </c>
      <c r="M284" t="n">
        <v>0</v>
      </c>
      <c r="N284" t="n">
        <v>0</v>
      </c>
      <c r="O284" t="n">
        <v>0</v>
      </c>
      <c r="P284" t="n">
        <v>0</v>
      </c>
      <c r="Q284" t="n">
        <v>0</v>
      </c>
      <c r="R284" s="2" t="inlineStr"/>
    </row>
    <row r="285" ht="15" customHeight="1">
      <c r="A285" t="inlineStr">
        <is>
          <t>A 37971-2024</t>
        </is>
      </c>
      <c r="B285" s="1" t="n">
        <v>45544</v>
      </c>
      <c r="C285" s="1" t="n">
        <v>45932</v>
      </c>
      <c r="D285" t="inlineStr">
        <is>
          <t>DALARNAS LÄN</t>
        </is>
      </c>
      <c r="E285" t="inlineStr">
        <is>
          <t>MORA</t>
        </is>
      </c>
      <c r="G285" t="n">
        <v>2.3</v>
      </c>
      <c r="H285" t="n">
        <v>0</v>
      </c>
      <c r="I285" t="n">
        <v>0</v>
      </c>
      <c r="J285" t="n">
        <v>0</v>
      </c>
      <c r="K285" t="n">
        <v>0</v>
      </c>
      <c r="L285" t="n">
        <v>0</v>
      </c>
      <c r="M285" t="n">
        <v>0</v>
      </c>
      <c r="N285" t="n">
        <v>0</v>
      </c>
      <c r="O285" t="n">
        <v>0</v>
      </c>
      <c r="P285" t="n">
        <v>0</v>
      </c>
      <c r="Q285" t="n">
        <v>0</v>
      </c>
      <c r="R285" s="2" t="inlineStr"/>
    </row>
    <row r="286" ht="15" customHeight="1">
      <c r="A286" t="inlineStr">
        <is>
          <t>A 54253-2023</t>
        </is>
      </c>
      <c r="B286" s="1" t="n">
        <v>45232.63217592592</v>
      </c>
      <c r="C286" s="1" t="n">
        <v>45932</v>
      </c>
      <c r="D286" t="inlineStr">
        <is>
          <t>DALARNAS LÄN</t>
        </is>
      </c>
      <c r="E286" t="inlineStr">
        <is>
          <t>MORA</t>
        </is>
      </c>
      <c r="G286" t="n">
        <v>4.5</v>
      </c>
      <c r="H286" t="n">
        <v>0</v>
      </c>
      <c r="I286" t="n">
        <v>0</v>
      </c>
      <c r="J286" t="n">
        <v>0</v>
      </c>
      <c r="K286" t="n">
        <v>0</v>
      </c>
      <c r="L286" t="n">
        <v>0</v>
      </c>
      <c r="M286" t="n">
        <v>0</v>
      </c>
      <c r="N286" t="n">
        <v>0</v>
      </c>
      <c r="O286" t="n">
        <v>0</v>
      </c>
      <c r="P286" t="n">
        <v>0</v>
      </c>
      <c r="Q286" t="n">
        <v>0</v>
      </c>
      <c r="R286" s="2" t="inlineStr"/>
    </row>
    <row r="287" ht="15" customHeight="1">
      <c r="A287" t="inlineStr">
        <is>
          <t>A 12490-2025</t>
        </is>
      </c>
      <c r="B287" s="1" t="n">
        <v>45730.59239583334</v>
      </c>
      <c r="C287" s="1" t="n">
        <v>45932</v>
      </c>
      <c r="D287" t="inlineStr">
        <is>
          <t>DALARNAS LÄN</t>
        </is>
      </c>
      <c r="E287" t="inlineStr">
        <is>
          <t>MORA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24640-2025</t>
        </is>
      </c>
      <c r="B288" s="1" t="n">
        <v>45798.62243055556</v>
      </c>
      <c r="C288" s="1" t="n">
        <v>45932</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5491-2023</t>
        </is>
      </c>
      <c r="B289" s="1" t="n">
        <v>44957</v>
      </c>
      <c r="C289" s="1" t="n">
        <v>45932</v>
      </c>
      <c r="D289" t="inlineStr">
        <is>
          <t>DALARNAS LÄN</t>
        </is>
      </c>
      <c r="E289" t="inlineStr">
        <is>
          <t>MORA</t>
        </is>
      </c>
      <c r="G289" t="n">
        <v>3.5</v>
      </c>
      <c r="H289" t="n">
        <v>0</v>
      </c>
      <c r="I289" t="n">
        <v>0</v>
      </c>
      <c r="J289" t="n">
        <v>0</v>
      </c>
      <c r="K289" t="n">
        <v>0</v>
      </c>
      <c r="L289" t="n">
        <v>0</v>
      </c>
      <c r="M289" t="n">
        <v>0</v>
      </c>
      <c r="N289" t="n">
        <v>0</v>
      </c>
      <c r="O289" t="n">
        <v>0</v>
      </c>
      <c r="P289" t="n">
        <v>0</v>
      </c>
      <c r="Q289" t="n">
        <v>0</v>
      </c>
      <c r="R289" s="2" t="inlineStr"/>
    </row>
    <row r="290" ht="15" customHeight="1">
      <c r="A290" t="inlineStr">
        <is>
          <t>A 5493-2023</t>
        </is>
      </c>
      <c r="B290" s="1" t="n">
        <v>44957</v>
      </c>
      <c r="C290" s="1" t="n">
        <v>45932</v>
      </c>
      <c r="D290" t="inlineStr">
        <is>
          <t>DALARNAS LÄN</t>
        </is>
      </c>
      <c r="E290" t="inlineStr">
        <is>
          <t>MORA</t>
        </is>
      </c>
      <c r="F290" t="inlineStr">
        <is>
          <t>Allmännings- och besparingsskogar</t>
        </is>
      </c>
      <c r="G290" t="n">
        <v>14.9</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45932</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55671-2024</t>
        </is>
      </c>
      <c r="B292" s="1" t="n">
        <v>45622.65269675926</v>
      </c>
      <c r="C292" s="1" t="n">
        <v>45932</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48825-2023</t>
        </is>
      </c>
      <c r="B293" s="1" t="n">
        <v>45203</v>
      </c>
      <c r="C293" s="1" t="n">
        <v>45932</v>
      </c>
      <c r="D293" t="inlineStr">
        <is>
          <t>DALARNAS LÄN</t>
        </is>
      </c>
      <c r="E293" t="inlineStr">
        <is>
          <t>MORA</t>
        </is>
      </c>
      <c r="G293" t="n">
        <v>7.9</v>
      </c>
      <c r="H293" t="n">
        <v>0</v>
      </c>
      <c r="I293" t="n">
        <v>0</v>
      </c>
      <c r="J293" t="n">
        <v>0</v>
      </c>
      <c r="K293" t="n">
        <v>0</v>
      </c>
      <c r="L293" t="n">
        <v>0</v>
      </c>
      <c r="M293" t="n">
        <v>0</v>
      </c>
      <c r="N293" t="n">
        <v>0</v>
      </c>
      <c r="O293" t="n">
        <v>0</v>
      </c>
      <c r="P293" t="n">
        <v>0</v>
      </c>
      <c r="Q293" t="n">
        <v>0</v>
      </c>
      <c r="R293" s="2" t="inlineStr"/>
    </row>
    <row r="294" ht="15" customHeight="1">
      <c r="A294" t="inlineStr">
        <is>
          <t>A 45349-2024</t>
        </is>
      </c>
      <c r="B294" s="1" t="n">
        <v>45576</v>
      </c>
      <c r="C294" s="1" t="n">
        <v>45932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69483-2021</t>
        </is>
      </c>
      <c r="B295" s="1" t="n">
        <v>44531</v>
      </c>
      <c r="C295" s="1" t="n">
        <v>45932</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29193-2023</t>
        </is>
      </c>
      <c r="B296" s="1" t="n">
        <v>45105.54791666667</v>
      </c>
      <c r="C296" s="1" t="n">
        <v>45932</v>
      </c>
      <c r="D296" t="inlineStr">
        <is>
          <t>DALARNAS LÄN</t>
        </is>
      </c>
      <c r="E296" t="inlineStr">
        <is>
          <t>MORA</t>
        </is>
      </c>
      <c r="G296" t="n">
        <v>0.4</v>
      </c>
      <c r="H296" t="n">
        <v>0</v>
      </c>
      <c r="I296" t="n">
        <v>0</v>
      </c>
      <c r="J296" t="n">
        <v>0</v>
      </c>
      <c r="K296" t="n">
        <v>0</v>
      </c>
      <c r="L296" t="n">
        <v>0</v>
      </c>
      <c r="M296" t="n">
        <v>0</v>
      </c>
      <c r="N296" t="n">
        <v>0</v>
      </c>
      <c r="O296" t="n">
        <v>0</v>
      </c>
      <c r="P296" t="n">
        <v>0</v>
      </c>
      <c r="Q296" t="n">
        <v>0</v>
      </c>
      <c r="R296" s="2" t="inlineStr"/>
    </row>
    <row r="297" ht="15" customHeight="1">
      <c r="A297" t="inlineStr">
        <is>
          <t>A 18444-2024</t>
        </is>
      </c>
      <c r="B297" s="1" t="n">
        <v>45425.45568287037</v>
      </c>
      <c r="C297" s="1" t="n">
        <v>45932</v>
      </c>
      <c r="D297" t="inlineStr">
        <is>
          <t>DALARNAS LÄN</t>
        </is>
      </c>
      <c r="E297" t="inlineStr">
        <is>
          <t>MORA</t>
        </is>
      </c>
      <c r="G297" t="n">
        <v>5</v>
      </c>
      <c r="H297" t="n">
        <v>0</v>
      </c>
      <c r="I297" t="n">
        <v>0</v>
      </c>
      <c r="J297" t="n">
        <v>0</v>
      </c>
      <c r="K297" t="n">
        <v>0</v>
      </c>
      <c r="L297" t="n">
        <v>0</v>
      </c>
      <c r="M297" t="n">
        <v>0</v>
      </c>
      <c r="N297" t="n">
        <v>0</v>
      </c>
      <c r="O297" t="n">
        <v>0</v>
      </c>
      <c r="P297" t="n">
        <v>0</v>
      </c>
      <c r="Q297" t="n">
        <v>0</v>
      </c>
      <c r="R297" s="2" t="inlineStr"/>
    </row>
    <row r="298" ht="15" customHeight="1">
      <c r="A298" t="inlineStr">
        <is>
          <t>A 24947-2025</t>
        </is>
      </c>
      <c r="B298" s="1" t="n">
        <v>45799.56524305556</v>
      </c>
      <c r="C298" s="1" t="n">
        <v>45932</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47784-2024</t>
        </is>
      </c>
      <c r="B299" s="1" t="n">
        <v>45588.59290509259</v>
      </c>
      <c r="C299" s="1" t="n">
        <v>45932</v>
      </c>
      <c r="D299" t="inlineStr">
        <is>
          <t>DALARNAS LÄN</t>
        </is>
      </c>
      <c r="E299" t="inlineStr">
        <is>
          <t>MORA</t>
        </is>
      </c>
      <c r="G299" t="n">
        <v>15.3</v>
      </c>
      <c r="H299" t="n">
        <v>0</v>
      </c>
      <c r="I299" t="n">
        <v>0</v>
      </c>
      <c r="J299" t="n">
        <v>0</v>
      </c>
      <c r="K299" t="n">
        <v>0</v>
      </c>
      <c r="L299" t="n">
        <v>0</v>
      </c>
      <c r="M299" t="n">
        <v>0</v>
      </c>
      <c r="N299" t="n">
        <v>0</v>
      </c>
      <c r="O299" t="n">
        <v>0</v>
      </c>
      <c r="P299" t="n">
        <v>0</v>
      </c>
      <c r="Q299" t="n">
        <v>0</v>
      </c>
      <c r="R299" s="2" t="inlineStr"/>
    </row>
    <row r="300" ht="15" customHeight="1">
      <c r="A300" t="inlineStr">
        <is>
          <t>A 24630-2025</t>
        </is>
      </c>
      <c r="B300" s="1" t="n">
        <v>45798.6003587963</v>
      </c>
      <c r="C300" s="1" t="n">
        <v>45932</v>
      </c>
      <c r="D300" t="inlineStr">
        <is>
          <t>DALARNAS LÄN</t>
        </is>
      </c>
      <c r="E300" t="inlineStr">
        <is>
          <t>MORA</t>
        </is>
      </c>
      <c r="F300" t="inlineStr">
        <is>
          <t>Bergvik skog väst AB</t>
        </is>
      </c>
      <c r="G300" t="n">
        <v>10.4</v>
      </c>
      <c r="H300" t="n">
        <v>0</v>
      </c>
      <c r="I300" t="n">
        <v>0</v>
      </c>
      <c r="J300" t="n">
        <v>0</v>
      </c>
      <c r="K300" t="n">
        <v>0</v>
      </c>
      <c r="L300" t="n">
        <v>0</v>
      </c>
      <c r="M300" t="n">
        <v>0</v>
      </c>
      <c r="N300" t="n">
        <v>0</v>
      </c>
      <c r="O300" t="n">
        <v>0</v>
      </c>
      <c r="P300" t="n">
        <v>0</v>
      </c>
      <c r="Q300" t="n">
        <v>0</v>
      </c>
      <c r="R300" s="2" t="inlineStr"/>
    </row>
    <row r="301" ht="15" customHeight="1">
      <c r="A301" t="inlineStr">
        <is>
          <t>A 24653-2025</t>
        </is>
      </c>
      <c r="B301" s="1" t="n">
        <v>45798.63875</v>
      </c>
      <c r="C301" s="1" t="n">
        <v>45932</v>
      </c>
      <c r="D301" t="inlineStr">
        <is>
          <t>DALARNAS LÄN</t>
        </is>
      </c>
      <c r="E301" t="inlineStr">
        <is>
          <t>MORA</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24960-2025</t>
        </is>
      </c>
      <c r="B302" s="1" t="n">
        <v>45799.57666666667</v>
      </c>
      <c r="C302" s="1" t="n">
        <v>45932</v>
      </c>
      <c r="D302" t="inlineStr">
        <is>
          <t>DALARNAS LÄN</t>
        </is>
      </c>
      <c r="E302" t="inlineStr">
        <is>
          <t>MORA</t>
        </is>
      </c>
      <c r="G302" t="n">
        <v>3.2</v>
      </c>
      <c r="H302" t="n">
        <v>0</v>
      </c>
      <c r="I302" t="n">
        <v>0</v>
      </c>
      <c r="J302" t="n">
        <v>0</v>
      </c>
      <c r="K302" t="n">
        <v>0</v>
      </c>
      <c r="L302" t="n">
        <v>0</v>
      </c>
      <c r="M302" t="n">
        <v>0</v>
      </c>
      <c r="N302" t="n">
        <v>0</v>
      </c>
      <c r="O302" t="n">
        <v>0</v>
      </c>
      <c r="P302" t="n">
        <v>0</v>
      </c>
      <c r="Q302" t="n">
        <v>0</v>
      </c>
      <c r="R302" s="2" t="inlineStr"/>
    </row>
    <row r="303" ht="15" customHeight="1">
      <c r="A303" t="inlineStr">
        <is>
          <t>A 17393-2025</t>
        </is>
      </c>
      <c r="B303" s="1" t="n">
        <v>45757.34350694445</v>
      </c>
      <c r="C303" s="1" t="n">
        <v>45932</v>
      </c>
      <c r="D303" t="inlineStr">
        <is>
          <t>DALARNAS LÄN</t>
        </is>
      </c>
      <c r="E303" t="inlineStr">
        <is>
          <t>MORA</t>
        </is>
      </c>
      <c r="G303" t="n">
        <v>10.1</v>
      </c>
      <c r="H303" t="n">
        <v>0</v>
      </c>
      <c r="I303" t="n">
        <v>0</v>
      </c>
      <c r="J303" t="n">
        <v>0</v>
      </c>
      <c r="K303" t="n">
        <v>0</v>
      </c>
      <c r="L303" t="n">
        <v>0</v>
      </c>
      <c r="M303" t="n">
        <v>0</v>
      </c>
      <c r="N303" t="n">
        <v>0</v>
      </c>
      <c r="O303" t="n">
        <v>0</v>
      </c>
      <c r="P303" t="n">
        <v>0</v>
      </c>
      <c r="Q303" t="n">
        <v>0</v>
      </c>
      <c r="R303" s="2" t="inlineStr"/>
    </row>
    <row r="304" ht="15" customHeight="1">
      <c r="A304" t="inlineStr">
        <is>
          <t>A 24642-2025</t>
        </is>
      </c>
      <c r="B304" s="1" t="n">
        <v>45798.62894675926</v>
      </c>
      <c r="C304" s="1" t="n">
        <v>45932</v>
      </c>
      <c r="D304" t="inlineStr">
        <is>
          <t>DALARNAS LÄN</t>
        </is>
      </c>
      <c r="E304" t="inlineStr">
        <is>
          <t>MORA</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24620-2025</t>
        </is>
      </c>
      <c r="B305" s="1" t="n">
        <v>45798.59290509259</v>
      </c>
      <c r="C305" s="1" t="n">
        <v>45932</v>
      </c>
      <c r="D305" t="inlineStr">
        <is>
          <t>DALARNAS LÄN</t>
        </is>
      </c>
      <c r="E305" t="inlineStr">
        <is>
          <t>MORA</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17494-2025</t>
        </is>
      </c>
      <c r="B306" s="1" t="n">
        <v>45757.52033564815</v>
      </c>
      <c r="C306" s="1" t="n">
        <v>45932</v>
      </c>
      <c r="D306" t="inlineStr">
        <is>
          <t>DALARNAS LÄN</t>
        </is>
      </c>
      <c r="E306" t="inlineStr">
        <is>
          <t>MORA</t>
        </is>
      </c>
      <c r="G306" t="n">
        <v>5.3</v>
      </c>
      <c r="H306" t="n">
        <v>0</v>
      </c>
      <c r="I306" t="n">
        <v>0</v>
      </c>
      <c r="J306" t="n">
        <v>0</v>
      </c>
      <c r="K306" t="n">
        <v>0</v>
      </c>
      <c r="L306" t="n">
        <v>0</v>
      </c>
      <c r="M306" t="n">
        <v>0</v>
      </c>
      <c r="N306" t="n">
        <v>0</v>
      </c>
      <c r="O306" t="n">
        <v>0</v>
      </c>
      <c r="P306" t="n">
        <v>0</v>
      </c>
      <c r="Q306" t="n">
        <v>0</v>
      </c>
      <c r="R306" s="2" t="inlineStr"/>
    </row>
    <row r="307" ht="15" customHeight="1">
      <c r="A307" t="inlineStr">
        <is>
          <t>A 35551-2023</t>
        </is>
      </c>
      <c r="B307" s="1" t="n">
        <v>45147.3934837963</v>
      </c>
      <c r="C307" s="1" t="n">
        <v>45932</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59174-2023</t>
        </is>
      </c>
      <c r="B308" s="1" t="n">
        <v>45253.43202546296</v>
      </c>
      <c r="C308" s="1" t="n">
        <v>45932</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25887-2023</t>
        </is>
      </c>
      <c r="B309" s="1" t="n">
        <v>45090.62493055555</v>
      </c>
      <c r="C309" s="1" t="n">
        <v>45932</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30998-2022</t>
        </is>
      </c>
      <c r="B310" s="1" t="n">
        <v>44768</v>
      </c>
      <c r="C310" s="1" t="n">
        <v>45932</v>
      </c>
      <c r="D310" t="inlineStr">
        <is>
          <t>DALARNAS LÄN</t>
        </is>
      </c>
      <c r="E310" t="inlineStr">
        <is>
          <t>MORA</t>
        </is>
      </c>
      <c r="G310" t="n">
        <v>1.7</v>
      </c>
      <c r="H310" t="n">
        <v>0</v>
      </c>
      <c r="I310" t="n">
        <v>0</v>
      </c>
      <c r="J310" t="n">
        <v>0</v>
      </c>
      <c r="K310" t="n">
        <v>0</v>
      </c>
      <c r="L310" t="n">
        <v>0</v>
      </c>
      <c r="M310" t="n">
        <v>0</v>
      </c>
      <c r="N310" t="n">
        <v>0</v>
      </c>
      <c r="O310" t="n">
        <v>0</v>
      </c>
      <c r="P310" t="n">
        <v>0</v>
      </c>
      <c r="Q310" t="n">
        <v>0</v>
      </c>
      <c r="R310" s="2" t="inlineStr"/>
    </row>
    <row r="311" ht="15" customHeight="1">
      <c r="A311" t="inlineStr">
        <is>
          <t>A 47143-2022</t>
        </is>
      </c>
      <c r="B311" s="1" t="n">
        <v>44852</v>
      </c>
      <c r="C311" s="1" t="n">
        <v>45932</v>
      </c>
      <c r="D311" t="inlineStr">
        <is>
          <t>DALARNAS LÄN</t>
        </is>
      </c>
      <c r="E311" t="inlineStr">
        <is>
          <t>MORA</t>
        </is>
      </c>
      <c r="G311" t="n">
        <v>3.9</v>
      </c>
      <c r="H311" t="n">
        <v>0</v>
      </c>
      <c r="I311" t="n">
        <v>0</v>
      </c>
      <c r="J311" t="n">
        <v>0</v>
      </c>
      <c r="K311" t="n">
        <v>0</v>
      </c>
      <c r="L311" t="n">
        <v>0</v>
      </c>
      <c r="M311" t="n">
        <v>0</v>
      </c>
      <c r="N311" t="n">
        <v>0</v>
      </c>
      <c r="O311" t="n">
        <v>0</v>
      </c>
      <c r="P311" t="n">
        <v>0</v>
      </c>
      <c r="Q311" t="n">
        <v>0</v>
      </c>
      <c r="R311" s="2" t="inlineStr"/>
    </row>
    <row r="312" ht="15" customHeight="1">
      <c r="A312" t="inlineStr">
        <is>
          <t>A 55331-2022</t>
        </is>
      </c>
      <c r="B312" s="1" t="n">
        <v>44887.43714120371</v>
      </c>
      <c r="C312" s="1" t="n">
        <v>45932</v>
      </c>
      <c r="D312" t="inlineStr">
        <is>
          <t>DALARNAS LÄN</t>
        </is>
      </c>
      <c r="E312" t="inlineStr">
        <is>
          <t>MORA</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54398-2021</t>
        </is>
      </c>
      <c r="B313" s="1" t="n">
        <v>44473.39252314815</v>
      </c>
      <c r="C313" s="1" t="n">
        <v>45932</v>
      </c>
      <c r="D313" t="inlineStr">
        <is>
          <t>DALARNAS LÄN</t>
        </is>
      </c>
      <c r="E313" t="inlineStr">
        <is>
          <t>MORA</t>
        </is>
      </c>
      <c r="G313" t="n">
        <v>0.9</v>
      </c>
      <c r="H313" t="n">
        <v>0</v>
      </c>
      <c r="I313" t="n">
        <v>0</v>
      </c>
      <c r="J313" t="n">
        <v>0</v>
      </c>
      <c r="K313" t="n">
        <v>0</v>
      </c>
      <c r="L313" t="n">
        <v>0</v>
      </c>
      <c r="M313" t="n">
        <v>0</v>
      </c>
      <c r="N313" t="n">
        <v>0</v>
      </c>
      <c r="O313" t="n">
        <v>0</v>
      </c>
      <c r="P313" t="n">
        <v>0</v>
      </c>
      <c r="Q313" t="n">
        <v>0</v>
      </c>
      <c r="R313" s="2" t="inlineStr"/>
    </row>
    <row r="314" ht="15" customHeight="1">
      <c r="A314" t="inlineStr">
        <is>
          <t>A 42085-2024</t>
        </is>
      </c>
      <c r="B314" s="1" t="n">
        <v>45562.33179398148</v>
      </c>
      <c r="C314" s="1" t="n">
        <v>45932</v>
      </c>
      <c r="D314" t="inlineStr">
        <is>
          <t>DALARNAS LÄN</t>
        </is>
      </c>
      <c r="E314" t="inlineStr">
        <is>
          <t>MORA</t>
        </is>
      </c>
      <c r="G314" t="n">
        <v>4.9</v>
      </c>
      <c r="H314" t="n">
        <v>0</v>
      </c>
      <c r="I314" t="n">
        <v>0</v>
      </c>
      <c r="J314" t="n">
        <v>0</v>
      </c>
      <c r="K314" t="n">
        <v>0</v>
      </c>
      <c r="L314" t="n">
        <v>0</v>
      </c>
      <c r="M314" t="n">
        <v>0</v>
      </c>
      <c r="N314" t="n">
        <v>0</v>
      </c>
      <c r="O314" t="n">
        <v>0</v>
      </c>
      <c r="P314" t="n">
        <v>0</v>
      </c>
      <c r="Q314" t="n">
        <v>0</v>
      </c>
      <c r="R314" s="2" t="inlineStr"/>
    </row>
    <row r="315" ht="15" customHeight="1">
      <c r="A315" t="inlineStr">
        <is>
          <t>A 50911-2024</t>
        </is>
      </c>
      <c r="B315" s="1" t="n">
        <v>45602.7022337963</v>
      </c>
      <c r="C315" s="1" t="n">
        <v>45932</v>
      </c>
      <c r="D315" t="inlineStr">
        <is>
          <t>DALARNAS LÄN</t>
        </is>
      </c>
      <c r="E315" t="inlineStr">
        <is>
          <t>MORA</t>
        </is>
      </c>
      <c r="G315" t="n">
        <v>1.7</v>
      </c>
      <c r="H315" t="n">
        <v>0</v>
      </c>
      <c r="I315" t="n">
        <v>0</v>
      </c>
      <c r="J315" t="n">
        <v>0</v>
      </c>
      <c r="K315" t="n">
        <v>0</v>
      </c>
      <c r="L315" t="n">
        <v>0</v>
      </c>
      <c r="M315" t="n">
        <v>0</v>
      </c>
      <c r="N315" t="n">
        <v>0</v>
      </c>
      <c r="O315" t="n">
        <v>0</v>
      </c>
      <c r="P315" t="n">
        <v>0</v>
      </c>
      <c r="Q315" t="n">
        <v>0</v>
      </c>
      <c r="R315" s="2" t="inlineStr"/>
    </row>
    <row r="316" ht="15" customHeight="1">
      <c r="A316" t="inlineStr">
        <is>
          <t>A 15440-2024</t>
        </is>
      </c>
      <c r="B316" s="1" t="n">
        <v>45401.4194212963</v>
      </c>
      <c r="C316" s="1" t="n">
        <v>45932</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64099-2023</t>
        </is>
      </c>
      <c r="B317" s="1" t="n">
        <v>45279.46009259259</v>
      </c>
      <c r="C317" s="1" t="n">
        <v>45932</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25737-2025</t>
        </is>
      </c>
      <c r="B318" s="1" t="n">
        <v>45800</v>
      </c>
      <c r="C318" s="1" t="n">
        <v>45932</v>
      </c>
      <c r="D318" t="inlineStr">
        <is>
          <t>DALARNAS LÄN</t>
        </is>
      </c>
      <c r="E318" t="inlineStr">
        <is>
          <t>MORA</t>
        </is>
      </c>
      <c r="G318" t="n">
        <v>9.6</v>
      </c>
      <c r="H318" t="n">
        <v>0</v>
      </c>
      <c r="I318" t="n">
        <v>0</v>
      </c>
      <c r="J318" t="n">
        <v>0</v>
      </c>
      <c r="K318" t="n">
        <v>0</v>
      </c>
      <c r="L318" t="n">
        <v>0</v>
      </c>
      <c r="M318" t="n">
        <v>0</v>
      </c>
      <c r="N318" t="n">
        <v>0</v>
      </c>
      <c r="O318" t="n">
        <v>0</v>
      </c>
      <c r="P318" t="n">
        <v>0</v>
      </c>
      <c r="Q318" t="n">
        <v>0</v>
      </c>
      <c r="R318" s="2" t="inlineStr"/>
    </row>
    <row r="319" ht="15" customHeight="1">
      <c r="A319" t="inlineStr">
        <is>
          <t>A 19910-2024</t>
        </is>
      </c>
      <c r="B319" s="1" t="n">
        <v>45433.5741087963</v>
      </c>
      <c r="C319" s="1" t="n">
        <v>45932</v>
      </c>
      <c r="D319" t="inlineStr">
        <is>
          <t>DALARNAS LÄN</t>
        </is>
      </c>
      <c r="E319" t="inlineStr">
        <is>
          <t>MORA</t>
        </is>
      </c>
      <c r="G319" t="n">
        <v>0.9</v>
      </c>
      <c r="H319" t="n">
        <v>0</v>
      </c>
      <c r="I319" t="n">
        <v>0</v>
      </c>
      <c r="J319" t="n">
        <v>0</v>
      </c>
      <c r="K319" t="n">
        <v>0</v>
      </c>
      <c r="L319" t="n">
        <v>0</v>
      </c>
      <c r="M319" t="n">
        <v>0</v>
      </c>
      <c r="N319" t="n">
        <v>0</v>
      </c>
      <c r="O319" t="n">
        <v>0</v>
      </c>
      <c r="P319" t="n">
        <v>0</v>
      </c>
      <c r="Q319" t="n">
        <v>0</v>
      </c>
      <c r="R319" s="2" t="inlineStr"/>
    </row>
    <row r="320" ht="15" customHeight="1">
      <c r="A320" t="inlineStr">
        <is>
          <t>A 60187-2024</t>
        </is>
      </c>
      <c r="B320" s="1" t="n">
        <v>45642.64803240741</v>
      </c>
      <c r="C320" s="1" t="n">
        <v>45932</v>
      </c>
      <c r="D320" t="inlineStr">
        <is>
          <t>DALARNAS LÄN</t>
        </is>
      </c>
      <c r="E320" t="inlineStr">
        <is>
          <t>MORA</t>
        </is>
      </c>
      <c r="F320" t="inlineStr">
        <is>
          <t>Allmännings- och besparingsskogar</t>
        </is>
      </c>
      <c r="G320" t="n">
        <v>24.6</v>
      </c>
      <c r="H320" t="n">
        <v>0</v>
      </c>
      <c r="I320" t="n">
        <v>0</v>
      </c>
      <c r="J320" t="n">
        <v>0</v>
      </c>
      <c r="K320" t="n">
        <v>0</v>
      </c>
      <c r="L320" t="n">
        <v>0</v>
      </c>
      <c r="M320" t="n">
        <v>0</v>
      </c>
      <c r="N320" t="n">
        <v>0</v>
      </c>
      <c r="O320" t="n">
        <v>0</v>
      </c>
      <c r="P320" t="n">
        <v>0</v>
      </c>
      <c r="Q320" t="n">
        <v>0</v>
      </c>
      <c r="R320" s="2" t="inlineStr"/>
    </row>
    <row r="321" ht="15" customHeight="1">
      <c r="A321" t="inlineStr">
        <is>
          <t>A 23300-2024</t>
        </is>
      </c>
      <c r="B321" s="1" t="n">
        <v>45453.43695601852</v>
      </c>
      <c r="C321" s="1" t="n">
        <v>45932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61222-2023</t>
        </is>
      </c>
      <c r="B322" s="1" t="n">
        <v>45264</v>
      </c>
      <c r="C322" s="1" t="n">
        <v>45932</v>
      </c>
      <c r="D322" t="inlineStr">
        <is>
          <t>DALARNAS LÄN</t>
        </is>
      </c>
      <c r="E322" t="inlineStr">
        <is>
          <t>MORA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19896-2021</t>
        </is>
      </c>
      <c r="B323" s="1" t="n">
        <v>44313.54942129629</v>
      </c>
      <c r="C323" s="1" t="n">
        <v>45932</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40949-2023</t>
        </is>
      </c>
      <c r="B324" s="1" t="n">
        <v>45173</v>
      </c>
      <c r="C324" s="1" t="n">
        <v>45932</v>
      </c>
      <c r="D324" t="inlineStr">
        <is>
          <t>DALARNAS LÄN</t>
        </is>
      </c>
      <c r="E324" t="inlineStr">
        <is>
          <t>MORA</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5216-2025</t>
        </is>
      </c>
      <c r="B325" s="1" t="n">
        <v>45691.69671296296</v>
      </c>
      <c r="C325" s="1" t="n">
        <v>45932</v>
      </c>
      <c r="D325" t="inlineStr">
        <is>
          <t>DALARNAS LÄN</t>
        </is>
      </c>
      <c r="E325" t="inlineStr">
        <is>
          <t>MORA</t>
        </is>
      </c>
      <c r="G325" t="n">
        <v>2.5</v>
      </c>
      <c r="H325" t="n">
        <v>0</v>
      </c>
      <c r="I325" t="n">
        <v>0</v>
      </c>
      <c r="J325" t="n">
        <v>0</v>
      </c>
      <c r="K325" t="n">
        <v>0</v>
      </c>
      <c r="L325" t="n">
        <v>0</v>
      </c>
      <c r="M325" t="n">
        <v>0</v>
      </c>
      <c r="N325" t="n">
        <v>0</v>
      </c>
      <c r="O325" t="n">
        <v>0</v>
      </c>
      <c r="P325" t="n">
        <v>0</v>
      </c>
      <c r="Q325" t="n">
        <v>0</v>
      </c>
      <c r="R325" s="2" t="inlineStr"/>
    </row>
    <row r="326" ht="15" customHeight="1">
      <c r="A326" t="inlineStr">
        <is>
          <t>A 9599-2022</t>
        </is>
      </c>
      <c r="B326" s="1" t="n">
        <v>44617.48909722222</v>
      </c>
      <c r="C326" s="1" t="n">
        <v>45932</v>
      </c>
      <c r="D326" t="inlineStr">
        <is>
          <t>DALARNAS LÄN</t>
        </is>
      </c>
      <c r="E326" t="inlineStr">
        <is>
          <t>MORA</t>
        </is>
      </c>
      <c r="G326" t="n">
        <v>2.1</v>
      </c>
      <c r="H326" t="n">
        <v>0</v>
      </c>
      <c r="I326" t="n">
        <v>0</v>
      </c>
      <c r="J326" t="n">
        <v>0</v>
      </c>
      <c r="K326" t="n">
        <v>0</v>
      </c>
      <c r="L326" t="n">
        <v>0</v>
      </c>
      <c r="M326" t="n">
        <v>0</v>
      </c>
      <c r="N326" t="n">
        <v>0</v>
      </c>
      <c r="O326" t="n">
        <v>0</v>
      </c>
      <c r="P326" t="n">
        <v>0</v>
      </c>
      <c r="Q326" t="n">
        <v>0</v>
      </c>
      <c r="R326" s="2" t="inlineStr"/>
    </row>
    <row r="327" ht="15" customHeight="1">
      <c r="A327" t="inlineStr">
        <is>
          <t>A 35521-2023</t>
        </is>
      </c>
      <c r="B327" s="1" t="n">
        <v>45147.33251157407</v>
      </c>
      <c r="C327" s="1" t="n">
        <v>45932</v>
      </c>
      <c r="D327" t="inlineStr">
        <is>
          <t>DALARNAS LÄN</t>
        </is>
      </c>
      <c r="E327" t="inlineStr">
        <is>
          <t>MORA</t>
        </is>
      </c>
      <c r="G327" t="n">
        <v>3.7</v>
      </c>
      <c r="H327" t="n">
        <v>0</v>
      </c>
      <c r="I327" t="n">
        <v>0</v>
      </c>
      <c r="J327" t="n">
        <v>0</v>
      </c>
      <c r="K327" t="n">
        <v>0</v>
      </c>
      <c r="L327" t="n">
        <v>0</v>
      </c>
      <c r="M327" t="n">
        <v>0</v>
      </c>
      <c r="N327" t="n">
        <v>0</v>
      </c>
      <c r="O327" t="n">
        <v>0</v>
      </c>
      <c r="P327" t="n">
        <v>0</v>
      </c>
      <c r="Q327" t="n">
        <v>0</v>
      </c>
      <c r="R327" s="2" t="inlineStr"/>
    </row>
    <row r="328" ht="15" customHeight="1">
      <c r="A328" t="inlineStr">
        <is>
          <t>A 60715-2023</t>
        </is>
      </c>
      <c r="B328" s="1" t="n">
        <v>45260.52684027778</v>
      </c>
      <c r="C328" s="1" t="n">
        <v>45932</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54257-2023</t>
        </is>
      </c>
      <c r="B329" s="1" t="n">
        <v>45232.64195601852</v>
      </c>
      <c r="C329" s="1" t="n">
        <v>45932</v>
      </c>
      <c r="D329" t="inlineStr">
        <is>
          <t>DALARNAS LÄN</t>
        </is>
      </c>
      <c r="E329" t="inlineStr">
        <is>
          <t>MORA</t>
        </is>
      </c>
      <c r="G329" t="n">
        <v>4</v>
      </c>
      <c r="H329" t="n">
        <v>0</v>
      </c>
      <c r="I329" t="n">
        <v>0</v>
      </c>
      <c r="J329" t="n">
        <v>0</v>
      </c>
      <c r="K329" t="n">
        <v>0</v>
      </c>
      <c r="L329" t="n">
        <v>0</v>
      </c>
      <c r="M329" t="n">
        <v>0</v>
      </c>
      <c r="N329" t="n">
        <v>0</v>
      </c>
      <c r="O329" t="n">
        <v>0</v>
      </c>
      <c r="P329" t="n">
        <v>0</v>
      </c>
      <c r="Q329" t="n">
        <v>0</v>
      </c>
      <c r="R329" s="2" t="inlineStr"/>
    </row>
    <row r="330" ht="15" customHeight="1">
      <c r="A330" t="inlineStr">
        <is>
          <t>A 47081-2025</t>
        </is>
      </c>
      <c r="B330" s="1" t="n">
        <v>45929.64153935185</v>
      </c>
      <c r="C330" s="1" t="n">
        <v>45932</v>
      </c>
      <c r="D330" t="inlineStr">
        <is>
          <t>DALARNAS LÄN</t>
        </is>
      </c>
      <c r="E330" t="inlineStr">
        <is>
          <t>MORA</t>
        </is>
      </c>
      <c r="F330" t="inlineStr">
        <is>
          <t>Allmännings- och besparingsskogar</t>
        </is>
      </c>
      <c r="G330" t="n">
        <v>9.1</v>
      </c>
      <c r="H330" t="n">
        <v>0</v>
      </c>
      <c r="I330" t="n">
        <v>0</v>
      </c>
      <c r="J330" t="n">
        <v>0</v>
      </c>
      <c r="K330" t="n">
        <v>0</v>
      </c>
      <c r="L330" t="n">
        <v>0</v>
      </c>
      <c r="M330" t="n">
        <v>0</v>
      </c>
      <c r="N330" t="n">
        <v>0</v>
      </c>
      <c r="O330" t="n">
        <v>0</v>
      </c>
      <c r="P330" t="n">
        <v>0</v>
      </c>
      <c r="Q330" t="n">
        <v>0</v>
      </c>
      <c r="R330" s="2" t="inlineStr"/>
    </row>
    <row r="331" ht="15" customHeight="1">
      <c r="A331" t="inlineStr">
        <is>
          <t>A 26577-2025</t>
        </is>
      </c>
      <c r="B331" s="1" t="n">
        <v>45807</v>
      </c>
      <c r="C331" s="1" t="n">
        <v>45932</v>
      </c>
      <c r="D331" t="inlineStr">
        <is>
          <t>DALARNAS LÄN</t>
        </is>
      </c>
      <c r="E331" t="inlineStr">
        <is>
          <t>MORA</t>
        </is>
      </c>
      <c r="G331" t="n">
        <v>2.8</v>
      </c>
      <c r="H331" t="n">
        <v>0</v>
      </c>
      <c r="I331" t="n">
        <v>0</v>
      </c>
      <c r="J331" t="n">
        <v>0</v>
      </c>
      <c r="K331" t="n">
        <v>0</v>
      </c>
      <c r="L331" t="n">
        <v>0</v>
      </c>
      <c r="M331" t="n">
        <v>0</v>
      </c>
      <c r="N331" t="n">
        <v>0</v>
      </c>
      <c r="O331" t="n">
        <v>0</v>
      </c>
      <c r="P331" t="n">
        <v>0</v>
      </c>
      <c r="Q331" t="n">
        <v>0</v>
      </c>
      <c r="R331" s="2" t="inlineStr"/>
    </row>
    <row r="332" ht="15" customHeight="1">
      <c r="A332" t="inlineStr">
        <is>
          <t>A 26532-2025</t>
        </is>
      </c>
      <c r="B332" s="1" t="n">
        <v>45807</v>
      </c>
      <c r="C332" s="1" t="n">
        <v>45932</v>
      </c>
      <c r="D332" t="inlineStr">
        <is>
          <t>DALARNAS LÄN</t>
        </is>
      </c>
      <c r="E332" t="inlineStr">
        <is>
          <t>MORA</t>
        </is>
      </c>
      <c r="G332" t="n">
        <v>4.4</v>
      </c>
      <c r="H332" t="n">
        <v>0</v>
      </c>
      <c r="I332" t="n">
        <v>0</v>
      </c>
      <c r="J332" t="n">
        <v>0</v>
      </c>
      <c r="K332" t="n">
        <v>0</v>
      </c>
      <c r="L332" t="n">
        <v>0</v>
      </c>
      <c r="M332" t="n">
        <v>0</v>
      </c>
      <c r="N332" t="n">
        <v>0</v>
      </c>
      <c r="O332" t="n">
        <v>0</v>
      </c>
      <c r="P332" t="n">
        <v>0</v>
      </c>
      <c r="Q332" t="n">
        <v>0</v>
      </c>
      <c r="R332" s="2" t="inlineStr"/>
    </row>
    <row r="333" ht="15" customHeight="1">
      <c r="A333" t="inlineStr">
        <is>
          <t>A 26545-2025</t>
        </is>
      </c>
      <c r="B333" s="1" t="n">
        <v>45807</v>
      </c>
      <c r="C333" s="1" t="n">
        <v>45932</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26546-2025</t>
        </is>
      </c>
      <c r="B334" s="1" t="n">
        <v>45807</v>
      </c>
      <c r="C334" s="1" t="n">
        <v>45932</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45674-2024</t>
        </is>
      </c>
      <c r="B335" s="1" t="n">
        <v>45573</v>
      </c>
      <c r="C335" s="1" t="n">
        <v>45932</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26573-2025</t>
        </is>
      </c>
      <c r="B336" s="1" t="n">
        <v>45807</v>
      </c>
      <c r="C336" s="1" t="n">
        <v>45932</v>
      </c>
      <c r="D336" t="inlineStr">
        <is>
          <t>DALARNAS LÄN</t>
        </is>
      </c>
      <c r="E336" t="inlineStr">
        <is>
          <t>MORA</t>
        </is>
      </c>
      <c r="G336" t="n">
        <v>4.3</v>
      </c>
      <c r="H336" t="n">
        <v>0</v>
      </c>
      <c r="I336" t="n">
        <v>0</v>
      </c>
      <c r="J336" t="n">
        <v>0</v>
      </c>
      <c r="K336" t="n">
        <v>0</v>
      </c>
      <c r="L336" t="n">
        <v>0</v>
      </c>
      <c r="M336" t="n">
        <v>0</v>
      </c>
      <c r="N336" t="n">
        <v>0</v>
      </c>
      <c r="O336" t="n">
        <v>0</v>
      </c>
      <c r="P336" t="n">
        <v>0</v>
      </c>
      <c r="Q336" t="n">
        <v>0</v>
      </c>
      <c r="R336" s="2" t="inlineStr"/>
    </row>
    <row r="337" ht="15" customHeight="1">
      <c r="A337" t="inlineStr">
        <is>
          <t>A 30819-2024</t>
        </is>
      </c>
      <c r="B337" s="1" t="n">
        <v>45497</v>
      </c>
      <c r="C337" s="1" t="n">
        <v>45932</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26731-2025</t>
        </is>
      </c>
      <c r="B338" s="1" t="n">
        <v>45810.50702546296</v>
      </c>
      <c r="C338" s="1" t="n">
        <v>45932</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20885-2024</t>
        </is>
      </c>
      <c r="B339" s="1" t="n">
        <v>45439.45527777778</v>
      </c>
      <c r="C339" s="1" t="n">
        <v>45932</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56425-2024</t>
        </is>
      </c>
      <c r="B340" s="1" t="n">
        <v>45625.38677083333</v>
      </c>
      <c r="C340" s="1" t="n">
        <v>45932</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26711-2025</t>
        </is>
      </c>
      <c r="B341" s="1" t="n">
        <v>45810.46144675926</v>
      </c>
      <c r="C341" s="1" t="n">
        <v>45932</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25499-2024</t>
        </is>
      </c>
      <c r="B342" s="1" t="n">
        <v>45463</v>
      </c>
      <c r="C342" s="1" t="n">
        <v>45932</v>
      </c>
      <c r="D342" t="inlineStr">
        <is>
          <t>DALARNAS LÄN</t>
        </is>
      </c>
      <c r="E342" t="inlineStr">
        <is>
          <t>MORA</t>
        </is>
      </c>
      <c r="G342" t="n">
        <v>0.8</v>
      </c>
      <c r="H342" t="n">
        <v>0</v>
      </c>
      <c r="I342" t="n">
        <v>0</v>
      </c>
      <c r="J342" t="n">
        <v>0</v>
      </c>
      <c r="K342" t="n">
        <v>0</v>
      </c>
      <c r="L342" t="n">
        <v>0</v>
      </c>
      <c r="M342" t="n">
        <v>0</v>
      </c>
      <c r="N342" t="n">
        <v>0</v>
      </c>
      <c r="O342" t="n">
        <v>0</v>
      </c>
      <c r="P342" t="n">
        <v>0</v>
      </c>
      <c r="Q342" t="n">
        <v>0</v>
      </c>
      <c r="R342" s="2" t="inlineStr"/>
    </row>
    <row r="343" ht="15" customHeight="1">
      <c r="A343" t="inlineStr">
        <is>
          <t>A 18139-2025</t>
        </is>
      </c>
      <c r="B343" s="1" t="n">
        <v>45761.60459490741</v>
      </c>
      <c r="C343" s="1" t="n">
        <v>45932</v>
      </c>
      <c r="D343" t="inlineStr">
        <is>
          <t>DALARNAS LÄN</t>
        </is>
      </c>
      <c r="E343" t="inlineStr">
        <is>
          <t>MORA</t>
        </is>
      </c>
      <c r="F343" t="inlineStr">
        <is>
          <t>Bergvik skog öst AB</t>
        </is>
      </c>
      <c r="G343" t="n">
        <v>3</v>
      </c>
      <c r="H343" t="n">
        <v>0</v>
      </c>
      <c r="I343" t="n">
        <v>0</v>
      </c>
      <c r="J343" t="n">
        <v>0</v>
      </c>
      <c r="K343" t="n">
        <v>0</v>
      </c>
      <c r="L343" t="n">
        <v>0</v>
      </c>
      <c r="M343" t="n">
        <v>0</v>
      </c>
      <c r="N343" t="n">
        <v>0</v>
      </c>
      <c r="O343" t="n">
        <v>0</v>
      </c>
      <c r="P343" t="n">
        <v>0</v>
      </c>
      <c r="Q343" t="n">
        <v>0</v>
      </c>
      <c r="R343" s="2" t="inlineStr"/>
    </row>
    <row r="344" ht="15" customHeight="1">
      <c r="A344" t="inlineStr">
        <is>
          <t>A 7565-2025</t>
        </is>
      </c>
      <c r="B344" s="1" t="n">
        <v>45705.59269675926</v>
      </c>
      <c r="C344" s="1" t="n">
        <v>45932</v>
      </c>
      <c r="D344" t="inlineStr">
        <is>
          <t>DALARNAS LÄN</t>
        </is>
      </c>
      <c r="E344" t="inlineStr">
        <is>
          <t>MORA</t>
        </is>
      </c>
      <c r="G344" t="n">
        <v>3</v>
      </c>
      <c r="H344" t="n">
        <v>0</v>
      </c>
      <c r="I344" t="n">
        <v>0</v>
      </c>
      <c r="J344" t="n">
        <v>0</v>
      </c>
      <c r="K344" t="n">
        <v>0</v>
      </c>
      <c r="L344" t="n">
        <v>0</v>
      </c>
      <c r="M344" t="n">
        <v>0</v>
      </c>
      <c r="N344" t="n">
        <v>0</v>
      </c>
      <c r="O344" t="n">
        <v>0</v>
      </c>
      <c r="P344" t="n">
        <v>0</v>
      </c>
      <c r="Q344" t="n">
        <v>0</v>
      </c>
      <c r="R344" s="2" t="inlineStr"/>
    </row>
    <row r="345" ht="15" customHeight="1">
      <c r="A345" t="inlineStr">
        <is>
          <t>A 26854-2025</t>
        </is>
      </c>
      <c r="B345" s="1" t="n">
        <v>45810.67462962963</v>
      </c>
      <c r="C345" s="1" t="n">
        <v>45932</v>
      </c>
      <c r="D345" t="inlineStr">
        <is>
          <t>DALARNAS LÄN</t>
        </is>
      </c>
      <c r="E345" t="inlineStr">
        <is>
          <t>MORA</t>
        </is>
      </c>
      <c r="G345" t="n">
        <v>4.4</v>
      </c>
      <c r="H345" t="n">
        <v>0</v>
      </c>
      <c r="I345" t="n">
        <v>0</v>
      </c>
      <c r="J345" t="n">
        <v>0</v>
      </c>
      <c r="K345" t="n">
        <v>0</v>
      </c>
      <c r="L345" t="n">
        <v>0</v>
      </c>
      <c r="M345" t="n">
        <v>0</v>
      </c>
      <c r="N345" t="n">
        <v>0</v>
      </c>
      <c r="O345" t="n">
        <v>0</v>
      </c>
      <c r="P345" t="n">
        <v>0</v>
      </c>
      <c r="Q345" t="n">
        <v>0</v>
      </c>
      <c r="R345" s="2" t="inlineStr"/>
    </row>
    <row r="346" ht="15" customHeight="1">
      <c r="A346" t="inlineStr">
        <is>
          <t>A 58958-2022</t>
        </is>
      </c>
      <c r="B346" s="1" t="n">
        <v>44903.6605324074</v>
      </c>
      <c r="C346" s="1" t="n">
        <v>45932</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57999-2023</t>
        </is>
      </c>
      <c r="B347" s="1" t="n">
        <v>45247</v>
      </c>
      <c r="C347" s="1" t="n">
        <v>45932</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26647-2025</t>
        </is>
      </c>
      <c r="B348" s="1" t="n">
        <v>45810.38439814815</v>
      </c>
      <c r="C348" s="1" t="n">
        <v>45932</v>
      </c>
      <c r="D348" t="inlineStr">
        <is>
          <t>DALARNAS LÄN</t>
        </is>
      </c>
      <c r="E348" t="inlineStr">
        <is>
          <t>MORA</t>
        </is>
      </c>
      <c r="G348" t="n">
        <v>7.9</v>
      </c>
      <c r="H348" t="n">
        <v>0</v>
      </c>
      <c r="I348" t="n">
        <v>0</v>
      </c>
      <c r="J348" t="n">
        <v>0</v>
      </c>
      <c r="K348" t="n">
        <v>0</v>
      </c>
      <c r="L348" t="n">
        <v>0</v>
      </c>
      <c r="M348" t="n">
        <v>0</v>
      </c>
      <c r="N348" t="n">
        <v>0</v>
      </c>
      <c r="O348" t="n">
        <v>0</v>
      </c>
      <c r="P348" t="n">
        <v>0</v>
      </c>
      <c r="Q348" t="n">
        <v>0</v>
      </c>
      <c r="R348" s="2" t="inlineStr"/>
    </row>
    <row r="349" ht="15" customHeight="1">
      <c r="A349" t="inlineStr">
        <is>
          <t>A 24335-2022</t>
        </is>
      </c>
      <c r="B349" s="1" t="n">
        <v>44725</v>
      </c>
      <c r="C349" s="1" t="n">
        <v>45932</v>
      </c>
      <c r="D349" t="inlineStr">
        <is>
          <t>DALARNAS LÄN</t>
        </is>
      </c>
      <c r="E349" t="inlineStr">
        <is>
          <t>MORA</t>
        </is>
      </c>
      <c r="G349" t="n">
        <v>16</v>
      </c>
      <c r="H349" t="n">
        <v>0</v>
      </c>
      <c r="I349" t="n">
        <v>0</v>
      </c>
      <c r="J349" t="n">
        <v>0</v>
      </c>
      <c r="K349" t="n">
        <v>0</v>
      </c>
      <c r="L349" t="n">
        <v>0</v>
      </c>
      <c r="M349" t="n">
        <v>0</v>
      </c>
      <c r="N349" t="n">
        <v>0</v>
      </c>
      <c r="O349" t="n">
        <v>0</v>
      </c>
      <c r="P349" t="n">
        <v>0</v>
      </c>
      <c r="Q349" t="n">
        <v>0</v>
      </c>
      <c r="R349" s="2" t="inlineStr"/>
    </row>
    <row r="350" ht="15" customHeight="1">
      <c r="A350" t="inlineStr">
        <is>
          <t>A 52908-2023</t>
        </is>
      </c>
      <c r="B350" s="1" t="n">
        <v>45226.49950231481</v>
      </c>
      <c r="C350" s="1" t="n">
        <v>45932</v>
      </c>
      <c r="D350" t="inlineStr">
        <is>
          <t>DALARNAS LÄN</t>
        </is>
      </c>
      <c r="E350" t="inlineStr">
        <is>
          <t>MORA</t>
        </is>
      </c>
      <c r="G350" t="n">
        <v>3.3</v>
      </c>
      <c r="H350" t="n">
        <v>0</v>
      </c>
      <c r="I350" t="n">
        <v>0</v>
      </c>
      <c r="J350" t="n">
        <v>0</v>
      </c>
      <c r="K350" t="n">
        <v>0</v>
      </c>
      <c r="L350" t="n">
        <v>0</v>
      </c>
      <c r="M350" t="n">
        <v>0</v>
      </c>
      <c r="N350" t="n">
        <v>0</v>
      </c>
      <c r="O350" t="n">
        <v>0</v>
      </c>
      <c r="P350" t="n">
        <v>0</v>
      </c>
      <c r="Q350" t="n">
        <v>0</v>
      </c>
      <c r="R350" s="2" t="inlineStr"/>
    </row>
    <row r="351" ht="15" customHeight="1">
      <c r="A351" t="inlineStr">
        <is>
          <t>A 55120-2024</t>
        </is>
      </c>
      <c r="B351" s="1" t="n">
        <v>45621.45765046297</v>
      </c>
      <c r="C351" s="1" t="n">
        <v>45932</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34660-2021</t>
        </is>
      </c>
      <c r="B352" s="1" t="n">
        <v>44382.57981481482</v>
      </c>
      <c r="C352" s="1" t="n">
        <v>45932</v>
      </c>
      <c r="D352" t="inlineStr">
        <is>
          <t>DALARNAS LÄN</t>
        </is>
      </c>
      <c r="E352" t="inlineStr">
        <is>
          <t>MORA</t>
        </is>
      </c>
      <c r="G352" t="n">
        <v>7.5</v>
      </c>
      <c r="H352" t="n">
        <v>0</v>
      </c>
      <c r="I352" t="n">
        <v>0</v>
      </c>
      <c r="J352" t="n">
        <v>0</v>
      </c>
      <c r="K352" t="n">
        <v>0</v>
      </c>
      <c r="L352" t="n">
        <v>0</v>
      </c>
      <c r="M352" t="n">
        <v>0</v>
      </c>
      <c r="N352" t="n">
        <v>0</v>
      </c>
      <c r="O352" t="n">
        <v>0</v>
      </c>
      <c r="P352" t="n">
        <v>0</v>
      </c>
      <c r="Q352" t="n">
        <v>0</v>
      </c>
      <c r="R352" s="2" t="inlineStr"/>
    </row>
    <row r="353" ht="15" customHeight="1">
      <c r="A353" t="inlineStr">
        <is>
          <t>A 42934-2024</t>
        </is>
      </c>
      <c r="B353" s="1" t="n">
        <v>45567.33655092592</v>
      </c>
      <c r="C353" s="1" t="n">
        <v>45932</v>
      </c>
      <c r="D353" t="inlineStr">
        <is>
          <t>DALARNAS LÄN</t>
        </is>
      </c>
      <c r="E353" t="inlineStr">
        <is>
          <t>MORA</t>
        </is>
      </c>
      <c r="G353" t="n">
        <v>0.7</v>
      </c>
      <c r="H353" t="n">
        <v>0</v>
      </c>
      <c r="I353" t="n">
        <v>0</v>
      </c>
      <c r="J353" t="n">
        <v>0</v>
      </c>
      <c r="K353" t="n">
        <v>0</v>
      </c>
      <c r="L353" t="n">
        <v>0</v>
      </c>
      <c r="M353" t="n">
        <v>0</v>
      </c>
      <c r="N353" t="n">
        <v>0</v>
      </c>
      <c r="O353" t="n">
        <v>0</v>
      </c>
      <c r="P353" t="n">
        <v>0</v>
      </c>
      <c r="Q353" t="n">
        <v>0</v>
      </c>
      <c r="R353" s="2" t="inlineStr"/>
    </row>
    <row r="354" ht="15" customHeight="1">
      <c r="A354" t="inlineStr">
        <is>
          <t>A 18214-2024</t>
        </is>
      </c>
      <c r="B354" s="1" t="n">
        <v>45420</v>
      </c>
      <c r="C354" s="1" t="n">
        <v>45932</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17516-2024</t>
        </is>
      </c>
      <c r="B355" s="1" t="n">
        <v>45415.58502314815</v>
      </c>
      <c r="C355" s="1" t="n">
        <v>45932</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49159-2023</t>
        </is>
      </c>
      <c r="B356" s="1" t="n">
        <v>45210</v>
      </c>
      <c r="C356" s="1" t="n">
        <v>45932</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29188-2023</t>
        </is>
      </c>
      <c r="B357" s="1" t="n">
        <v>45105.54270833333</v>
      </c>
      <c r="C357" s="1" t="n">
        <v>45932</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60465-2023</t>
        </is>
      </c>
      <c r="B358" s="1" t="n">
        <v>45259.57872685185</v>
      </c>
      <c r="C358" s="1" t="n">
        <v>45932</v>
      </c>
      <c r="D358" t="inlineStr">
        <is>
          <t>DALARNAS LÄN</t>
        </is>
      </c>
      <c r="E358" t="inlineStr">
        <is>
          <t>MORA</t>
        </is>
      </c>
      <c r="G358" t="n">
        <v>1.3</v>
      </c>
      <c r="H358" t="n">
        <v>0</v>
      </c>
      <c r="I358" t="n">
        <v>0</v>
      </c>
      <c r="J358" t="n">
        <v>0</v>
      </c>
      <c r="K358" t="n">
        <v>0</v>
      </c>
      <c r="L358" t="n">
        <v>0</v>
      </c>
      <c r="M358" t="n">
        <v>0</v>
      </c>
      <c r="N358" t="n">
        <v>0</v>
      </c>
      <c r="O358" t="n">
        <v>0</v>
      </c>
      <c r="P358" t="n">
        <v>0</v>
      </c>
      <c r="Q358" t="n">
        <v>0</v>
      </c>
      <c r="R358" s="2" t="inlineStr"/>
    </row>
    <row r="359" ht="15" customHeight="1">
      <c r="A359" t="inlineStr">
        <is>
          <t>A 61654-2024</t>
        </is>
      </c>
      <c r="B359" s="1" t="n">
        <v>45646.74988425926</v>
      </c>
      <c r="C359" s="1" t="n">
        <v>45932</v>
      </c>
      <c r="D359" t="inlineStr">
        <is>
          <t>DALARNAS LÄN</t>
        </is>
      </c>
      <c r="E359" t="inlineStr">
        <is>
          <t>MORA</t>
        </is>
      </c>
      <c r="G359" t="n">
        <v>1.7</v>
      </c>
      <c r="H359" t="n">
        <v>0</v>
      </c>
      <c r="I359" t="n">
        <v>0</v>
      </c>
      <c r="J359" t="n">
        <v>0</v>
      </c>
      <c r="K359" t="n">
        <v>0</v>
      </c>
      <c r="L359" t="n">
        <v>0</v>
      </c>
      <c r="M359" t="n">
        <v>0</v>
      </c>
      <c r="N359" t="n">
        <v>0</v>
      </c>
      <c r="O359" t="n">
        <v>0</v>
      </c>
      <c r="P359" t="n">
        <v>0</v>
      </c>
      <c r="Q359" t="n">
        <v>0</v>
      </c>
      <c r="R359" s="2" t="inlineStr"/>
    </row>
    <row r="360" ht="15" customHeight="1">
      <c r="A360" t="inlineStr">
        <is>
          <t>A 60428-2023</t>
        </is>
      </c>
      <c r="B360" s="1" t="n">
        <v>45259.50996527778</v>
      </c>
      <c r="C360" s="1" t="n">
        <v>45932</v>
      </c>
      <c r="D360" t="inlineStr">
        <is>
          <t>DALARNAS LÄN</t>
        </is>
      </c>
      <c r="E360" t="inlineStr">
        <is>
          <t>MORA</t>
        </is>
      </c>
      <c r="G360" t="n">
        <v>4.9</v>
      </c>
      <c r="H360" t="n">
        <v>0</v>
      </c>
      <c r="I360" t="n">
        <v>0</v>
      </c>
      <c r="J360" t="n">
        <v>0</v>
      </c>
      <c r="K360" t="n">
        <v>0</v>
      </c>
      <c r="L360" t="n">
        <v>0</v>
      </c>
      <c r="M360" t="n">
        <v>0</v>
      </c>
      <c r="N360" t="n">
        <v>0</v>
      </c>
      <c r="O360" t="n">
        <v>0</v>
      </c>
      <c r="P360" t="n">
        <v>0</v>
      </c>
      <c r="Q360" t="n">
        <v>0</v>
      </c>
      <c r="R360" s="2" t="inlineStr"/>
    </row>
    <row r="361" ht="15" customHeight="1">
      <c r="A361" t="inlineStr">
        <is>
          <t>A 12151-2021</t>
        </is>
      </c>
      <c r="B361" s="1" t="n">
        <v>44266</v>
      </c>
      <c r="C361" s="1" t="n">
        <v>45932</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2308-2023</t>
        </is>
      </c>
      <c r="B362" s="1" t="n">
        <v>44942.57987268519</v>
      </c>
      <c r="C362" s="1" t="n">
        <v>45932</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26630-2025</t>
        </is>
      </c>
      <c r="B363" s="1" t="n">
        <v>45809</v>
      </c>
      <c r="C363" s="1" t="n">
        <v>45932</v>
      </c>
      <c r="D363" t="inlineStr">
        <is>
          <t>DALARNAS LÄN</t>
        </is>
      </c>
      <c r="E363" t="inlineStr">
        <is>
          <t>MORA</t>
        </is>
      </c>
      <c r="G363" t="n">
        <v>32.1</v>
      </c>
      <c r="H363" t="n">
        <v>0</v>
      </c>
      <c r="I363" t="n">
        <v>0</v>
      </c>
      <c r="J363" t="n">
        <v>0</v>
      </c>
      <c r="K363" t="n">
        <v>0</v>
      </c>
      <c r="L363" t="n">
        <v>0</v>
      </c>
      <c r="M363" t="n">
        <v>0</v>
      </c>
      <c r="N363" t="n">
        <v>0</v>
      </c>
      <c r="O363" t="n">
        <v>0</v>
      </c>
      <c r="P363" t="n">
        <v>0</v>
      </c>
      <c r="Q363" t="n">
        <v>0</v>
      </c>
      <c r="R363" s="2" t="inlineStr"/>
    </row>
    <row r="364" ht="15" customHeight="1">
      <c r="A364" t="inlineStr">
        <is>
          <t>A 27194-2025</t>
        </is>
      </c>
      <c r="B364" s="1" t="n">
        <v>45812.37965277778</v>
      </c>
      <c r="C364" s="1" t="n">
        <v>45932</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17268-2025</t>
        </is>
      </c>
      <c r="B365" s="1" t="n">
        <v>45756</v>
      </c>
      <c r="C365" s="1" t="n">
        <v>45932</v>
      </c>
      <c r="D365" t="inlineStr">
        <is>
          <t>DALARNAS LÄN</t>
        </is>
      </c>
      <c r="E365" t="inlineStr">
        <is>
          <t>MORA</t>
        </is>
      </c>
      <c r="G365" t="n">
        <v>6.8</v>
      </c>
      <c r="H365" t="n">
        <v>0</v>
      </c>
      <c r="I365" t="n">
        <v>0</v>
      </c>
      <c r="J365" t="n">
        <v>0</v>
      </c>
      <c r="K365" t="n">
        <v>0</v>
      </c>
      <c r="L365" t="n">
        <v>0</v>
      </c>
      <c r="M365" t="n">
        <v>0</v>
      </c>
      <c r="N365" t="n">
        <v>0</v>
      </c>
      <c r="O365" t="n">
        <v>0</v>
      </c>
      <c r="P365" t="n">
        <v>0</v>
      </c>
      <c r="Q365" t="n">
        <v>0</v>
      </c>
      <c r="R365" s="2" t="inlineStr"/>
    </row>
    <row r="366" ht="15" customHeight="1">
      <c r="A366" t="inlineStr">
        <is>
          <t>A 26314-2021</t>
        </is>
      </c>
      <c r="B366" s="1" t="n">
        <v>44347</v>
      </c>
      <c r="C366" s="1" t="n">
        <v>45932</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30985-2024</t>
        </is>
      </c>
      <c r="B367" s="1" t="n">
        <v>45499.51721064815</v>
      </c>
      <c r="C367" s="1" t="n">
        <v>45932</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18202-2024</t>
        </is>
      </c>
      <c r="B368" s="1" t="n">
        <v>45420.68172453704</v>
      </c>
      <c r="C368" s="1" t="n">
        <v>45932</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40286-2024</t>
        </is>
      </c>
      <c r="B369" s="1" t="n">
        <v>45554.6687037037</v>
      </c>
      <c r="C369" s="1" t="n">
        <v>45932</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27642-2025</t>
        </is>
      </c>
      <c r="B370" s="1" t="n">
        <v>45813.59405092592</v>
      </c>
      <c r="C370" s="1" t="n">
        <v>45932</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27184-2025</t>
        </is>
      </c>
      <c r="B371" s="1" t="n">
        <v>45812.36133101852</v>
      </c>
      <c r="C371" s="1" t="n">
        <v>45932</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27177-2025</t>
        </is>
      </c>
      <c r="B372" s="1" t="n">
        <v>45812.3533912037</v>
      </c>
      <c r="C372" s="1" t="n">
        <v>45932</v>
      </c>
      <c r="D372" t="inlineStr">
        <is>
          <t>DALARNAS LÄN</t>
        </is>
      </c>
      <c r="E372" t="inlineStr">
        <is>
          <t>MORA</t>
        </is>
      </c>
      <c r="F372" t="inlineStr">
        <is>
          <t>Bergvik skog öst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14611-2025</t>
        </is>
      </c>
      <c r="B373" s="1" t="n">
        <v>45742.38511574074</v>
      </c>
      <c r="C373" s="1" t="n">
        <v>45932</v>
      </c>
      <c r="D373" t="inlineStr">
        <is>
          <t>DALARNAS LÄN</t>
        </is>
      </c>
      <c r="E373" t="inlineStr">
        <is>
          <t>MORA</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7766-2025</t>
        </is>
      </c>
      <c r="B374" s="1" t="n">
        <v>45706.5562037037</v>
      </c>
      <c r="C374" s="1" t="n">
        <v>45932</v>
      </c>
      <c r="D374" t="inlineStr">
        <is>
          <t>DALARNAS LÄN</t>
        </is>
      </c>
      <c r="E374" t="inlineStr">
        <is>
          <t>MORA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41169-2023</t>
        </is>
      </c>
      <c r="B375" s="1" t="n">
        <v>45174.34662037037</v>
      </c>
      <c r="C375" s="1" t="n">
        <v>45932</v>
      </c>
      <c r="D375" t="inlineStr">
        <is>
          <t>DALARNAS LÄN</t>
        </is>
      </c>
      <c r="E375" t="inlineStr">
        <is>
          <t>MORA</t>
        </is>
      </c>
      <c r="G375" t="n">
        <v>3</v>
      </c>
      <c r="H375" t="n">
        <v>0</v>
      </c>
      <c r="I375" t="n">
        <v>0</v>
      </c>
      <c r="J375" t="n">
        <v>0</v>
      </c>
      <c r="K375" t="n">
        <v>0</v>
      </c>
      <c r="L375" t="n">
        <v>0</v>
      </c>
      <c r="M375" t="n">
        <v>0</v>
      </c>
      <c r="N375" t="n">
        <v>0</v>
      </c>
      <c r="O375" t="n">
        <v>0</v>
      </c>
      <c r="P375" t="n">
        <v>0</v>
      </c>
      <c r="Q375" t="n">
        <v>0</v>
      </c>
      <c r="R375" s="2" t="inlineStr"/>
    </row>
    <row r="376" ht="15" customHeight="1">
      <c r="A376" t="inlineStr">
        <is>
          <t>A 27175-2025</t>
        </is>
      </c>
      <c r="B376" s="1" t="n">
        <v>45812.35072916667</v>
      </c>
      <c r="C376" s="1" t="n">
        <v>45932</v>
      </c>
      <c r="D376" t="inlineStr">
        <is>
          <t>DALARNAS LÄN</t>
        </is>
      </c>
      <c r="E376" t="inlineStr">
        <is>
          <t>MORA</t>
        </is>
      </c>
      <c r="F376" t="inlineStr">
        <is>
          <t>Bergvik skog öst AB</t>
        </is>
      </c>
      <c r="G376" t="n">
        <v>4</v>
      </c>
      <c r="H376" t="n">
        <v>0</v>
      </c>
      <c r="I376" t="n">
        <v>0</v>
      </c>
      <c r="J376" t="n">
        <v>0</v>
      </c>
      <c r="K376" t="n">
        <v>0</v>
      </c>
      <c r="L376" t="n">
        <v>0</v>
      </c>
      <c r="M376" t="n">
        <v>0</v>
      </c>
      <c r="N376" t="n">
        <v>0</v>
      </c>
      <c r="O376" t="n">
        <v>0</v>
      </c>
      <c r="P376" t="n">
        <v>0</v>
      </c>
      <c r="Q376" t="n">
        <v>0</v>
      </c>
      <c r="R376" s="2" t="inlineStr"/>
    </row>
    <row r="377" ht="15" customHeight="1">
      <c r="A377" t="inlineStr">
        <is>
          <t>A 53159-2024</t>
        </is>
      </c>
      <c r="B377" s="1" t="n">
        <v>45611.63849537037</v>
      </c>
      <c r="C377" s="1" t="n">
        <v>45932</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29754-2022</t>
        </is>
      </c>
      <c r="B378" s="1" t="n">
        <v>44755.59188657408</v>
      </c>
      <c r="C378" s="1" t="n">
        <v>45932</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27188-2023</t>
        </is>
      </c>
      <c r="B379" s="1" t="n">
        <v>45096</v>
      </c>
      <c r="C379" s="1" t="n">
        <v>45932</v>
      </c>
      <c r="D379" t="inlineStr">
        <is>
          <t>DALARNAS LÄN</t>
        </is>
      </c>
      <c r="E379" t="inlineStr">
        <is>
          <t>MORA</t>
        </is>
      </c>
      <c r="G379" t="n">
        <v>4.8</v>
      </c>
      <c r="H379" t="n">
        <v>0</v>
      </c>
      <c r="I379" t="n">
        <v>0</v>
      </c>
      <c r="J379" t="n">
        <v>0</v>
      </c>
      <c r="K379" t="n">
        <v>0</v>
      </c>
      <c r="L379" t="n">
        <v>0</v>
      </c>
      <c r="M379" t="n">
        <v>0</v>
      </c>
      <c r="N379" t="n">
        <v>0</v>
      </c>
      <c r="O379" t="n">
        <v>0</v>
      </c>
      <c r="P379" t="n">
        <v>0</v>
      </c>
      <c r="Q379" t="n">
        <v>0</v>
      </c>
      <c r="R379" s="2" t="inlineStr"/>
    </row>
    <row r="380" ht="15" customHeight="1">
      <c r="A380" t="inlineStr">
        <is>
          <t>A 56268-2024</t>
        </is>
      </c>
      <c r="B380" s="1" t="n">
        <v>45624.65785879629</v>
      </c>
      <c r="C380" s="1" t="n">
        <v>45932</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14641-2023</t>
        </is>
      </c>
      <c r="B381" s="1" t="n">
        <v>45013</v>
      </c>
      <c r="C381" s="1" t="n">
        <v>45932</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28033-2025</t>
        </is>
      </c>
      <c r="B382" s="1" t="n">
        <v>45817.6325462963</v>
      </c>
      <c r="C382" s="1" t="n">
        <v>45932</v>
      </c>
      <c r="D382" t="inlineStr">
        <is>
          <t>DALARNAS LÄN</t>
        </is>
      </c>
      <c r="E382" t="inlineStr">
        <is>
          <t>MORA</t>
        </is>
      </c>
      <c r="F382" t="inlineStr">
        <is>
          <t>Bergvik skog öst AB</t>
        </is>
      </c>
      <c r="G382" t="n">
        <v>12.8</v>
      </c>
      <c r="H382" t="n">
        <v>0</v>
      </c>
      <c r="I382" t="n">
        <v>0</v>
      </c>
      <c r="J382" t="n">
        <v>0</v>
      </c>
      <c r="K382" t="n">
        <v>0</v>
      </c>
      <c r="L382" t="n">
        <v>0</v>
      </c>
      <c r="M382" t="n">
        <v>0</v>
      </c>
      <c r="N382" t="n">
        <v>0</v>
      </c>
      <c r="O382" t="n">
        <v>0</v>
      </c>
      <c r="P382" t="n">
        <v>0</v>
      </c>
      <c r="Q382" t="n">
        <v>0</v>
      </c>
      <c r="R382" s="2" t="inlineStr"/>
    </row>
    <row r="383" ht="15" customHeight="1">
      <c r="A383" t="inlineStr">
        <is>
          <t>A 57408-2024</t>
        </is>
      </c>
      <c r="B383" s="1" t="n">
        <v>45629</v>
      </c>
      <c r="C383" s="1" t="n">
        <v>45932</v>
      </c>
      <c r="D383" t="inlineStr">
        <is>
          <t>DALARNAS LÄN</t>
        </is>
      </c>
      <c r="E383" t="inlineStr">
        <is>
          <t>MORA</t>
        </is>
      </c>
      <c r="F383" t="inlineStr">
        <is>
          <t>Allmännings- och besparingsskogar</t>
        </is>
      </c>
      <c r="G383" t="n">
        <v>2.5</v>
      </c>
      <c r="H383" t="n">
        <v>0</v>
      </c>
      <c r="I383" t="n">
        <v>0</v>
      </c>
      <c r="J383" t="n">
        <v>0</v>
      </c>
      <c r="K383" t="n">
        <v>0</v>
      </c>
      <c r="L383" t="n">
        <v>0</v>
      </c>
      <c r="M383" t="n">
        <v>0</v>
      </c>
      <c r="N383" t="n">
        <v>0</v>
      </c>
      <c r="O383" t="n">
        <v>0</v>
      </c>
      <c r="P383" t="n">
        <v>0</v>
      </c>
      <c r="Q383" t="n">
        <v>0</v>
      </c>
      <c r="R383" s="2" t="inlineStr"/>
    </row>
    <row r="384" ht="15" customHeight="1">
      <c r="A384" t="inlineStr">
        <is>
          <t>A 1252-2025</t>
        </is>
      </c>
      <c r="B384" s="1" t="n">
        <v>45667.46648148148</v>
      </c>
      <c r="C384" s="1" t="n">
        <v>45932</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43826-2022</t>
        </is>
      </c>
      <c r="B385" s="1" t="n">
        <v>44838</v>
      </c>
      <c r="C385" s="1" t="n">
        <v>45932</v>
      </c>
      <c r="D385" t="inlineStr">
        <is>
          <t>DALARNAS LÄN</t>
        </is>
      </c>
      <c r="E385" t="inlineStr">
        <is>
          <t>MORA</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44106-2023</t>
        </is>
      </c>
      <c r="B386" s="1" t="n">
        <v>45188</v>
      </c>
      <c r="C386" s="1" t="n">
        <v>45932</v>
      </c>
      <c r="D386" t="inlineStr">
        <is>
          <t>DALARNAS LÄN</t>
        </is>
      </c>
      <c r="E386" t="inlineStr">
        <is>
          <t>MORA</t>
        </is>
      </c>
      <c r="G386" t="n">
        <v>10.1</v>
      </c>
      <c r="H386" t="n">
        <v>0</v>
      </c>
      <c r="I386" t="n">
        <v>0</v>
      </c>
      <c r="J386" t="n">
        <v>0</v>
      </c>
      <c r="K386" t="n">
        <v>0</v>
      </c>
      <c r="L386" t="n">
        <v>0</v>
      </c>
      <c r="M386" t="n">
        <v>0</v>
      </c>
      <c r="N386" t="n">
        <v>0</v>
      </c>
      <c r="O386" t="n">
        <v>0</v>
      </c>
      <c r="P386" t="n">
        <v>0</v>
      </c>
      <c r="Q386" t="n">
        <v>0</v>
      </c>
      <c r="R386" s="2" t="inlineStr"/>
    </row>
    <row r="387" ht="15" customHeight="1">
      <c r="A387" t="inlineStr">
        <is>
          <t>A 62268-2020</t>
        </is>
      </c>
      <c r="B387" s="1" t="n">
        <v>44160</v>
      </c>
      <c r="C387" s="1" t="n">
        <v>45932</v>
      </c>
      <c r="D387" t="inlineStr">
        <is>
          <t>DALARNAS LÄN</t>
        </is>
      </c>
      <c r="E387" t="inlineStr">
        <is>
          <t>MORA</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9554-2025</t>
        </is>
      </c>
      <c r="B388" s="1" t="n">
        <v>45715.59936342593</v>
      </c>
      <c r="C388" s="1" t="n">
        <v>45932</v>
      </c>
      <c r="D388" t="inlineStr">
        <is>
          <t>DALARNAS LÄN</t>
        </is>
      </c>
      <c r="E388" t="inlineStr">
        <is>
          <t>MORA</t>
        </is>
      </c>
      <c r="G388" t="n">
        <v>0.9</v>
      </c>
      <c r="H388" t="n">
        <v>0</v>
      </c>
      <c r="I388" t="n">
        <v>0</v>
      </c>
      <c r="J388" t="n">
        <v>0</v>
      </c>
      <c r="K388" t="n">
        <v>0</v>
      </c>
      <c r="L388" t="n">
        <v>0</v>
      </c>
      <c r="M388" t="n">
        <v>0</v>
      </c>
      <c r="N388" t="n">
        <v>0</v>
      </c>
      <c r="O388" t="n">
        <v>0</v>
      </c>
      <c r="P388" t="n">
        <v>0</v>
      </c>
      <c r="Q388" t="n">
        <v>0</v>
      </c>
      <c r="R388" s="2" t="inlineStr"/>
    </row>
    <row r="389" ht="15" customHeight="1">
      <c r="A389" t="inlineStr">
        <is>
          <t>A 59002-2024</t>
        </is>
      </c>
      <c r="B389" s="1" t="n">
        <v>45636</v>
      </c>
      <c r="C389" s="1" t="n">
        <v>45932</v>
      </c>
      <c r="D389" t="inlineStr">
        <is>
          <t>DALARNAS LÄN</t>
        </is>
      </c>
      <c r="E389" t="inlineStr">
        <is>
          <t>MORA</t>
        </is>
      </c>
      <c r="F389" t="inlineStr">
        <is>
          <t>Bergvik skog väst AB</t>
        </is>
      </c>
      <c r="G389" t="n">
        <v>24.8</v>
      </c>
      <c r="H389" t="n">
        <v>0</v>
      </c>
      <c r="I389" t="n">
        <v>0</v>
      </c>
      <c r="J389" t="n">
        <v>0</v>
      </c>
      <c r="K389" t="n">
        <v>0</v>
      </c>
      <c r="L389" t="n">
        <v>0</v>
      </c>
      <c r="M389" t="n">
        <v>0</v>
      </c>
      <c r="N389" t="n">
        <v>0</v>
      </c>
      <c r="O389" t="n">
        <v>0</v>
      </c>
      <c r="P389" t="n">
        <v>0</v>
      </c>
      <c r="Q389" t="n">
        <v>0</v>
      </c>
      <c r="R389" s="2" t="inlineStr"/>
    </row>
    <row r="390" ht="15" customHeight="1">
      <c r="A390" t="inlineStr">
        <is>
          <t>A 5980-2025</t>
        </is>
      </c>
      <c r="B390" s="1" t="n">
        <v>45695.54651620371</v>
      </c>
      <c r="C390" s="1" t="n">
        <v>45932</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571-2024</t>
        </is>
      </c>
      <c r="B391" s="1" t="n">
        <v>45299</v>
      </c>
      <c r="C391" s="1" t="n">
        <v>45932</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29068-2025</t>
        </is>
      </c>
      <c r="B392" s="1" t="n">
        <v>45821.50900462963</v>
      </c>
      <c r="C392" s="1" t="n">
        <v>45932</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28976-2025</t>
        </is>
      </c>
      <c r="B393" s="1" t="n">
        <v>45821.34855324074</v>
      </c>
      <c r="C393" s="1" t="n">
        <v>45932</v>
      </c>
      <c r="D393" t="inlineStr">
        <is>
          <t>DALARNAS LÄN</t>
        </is>
      </c>
      <c r="E393" t="inlineStr">
        <is>
          <t>MORA</t>
        </is>
      </c>
      <c r="F393" t="inlineStr">
        <is>
          <t>Bergvik skog öst AB</t>
        </is>
      </c>
      <c r="G393" t="n">
        <v>1.2</v>
      </c>
      <c r="H393" t="n">
        <v>0</v>
      </c>
      <c r="I393" t="n">
        <v>0</v>
      </c>
      <c r="J393" t="n">
        <v>0</v>
      </c>
      <c r="K393" t="n">
        <v>0</v>
      </c>
      <c r="L393" t="n">
        <v>0</v>
      </c>
      <c r="M393" t="n">
        <v>0</v>
      </c>
      <c r="N393" t="n">
        <v>0</v>
      </c>
      <c r="O393" t="n">
        <v>0</v>
      </c>
      <c r="P393" t="n">
        <v>0</v>
      </c>
      <c r="Q393" t="n">
        <v>0</v>
      </c>
      <c r="R393" s="2" t="inlineStr"/>
    </row>
    <row r="394" ht="15" customHeight="1">
      <c r="A394" t="inlineStr">
        <is>
          <t>A 28925-2025</t>
        </is>
      </c>
      <c r="B394" s="1" t="n">
        <v>45820.67107638889</v>
      </c>
      <c r="C394" s="1" t="n">
        <v>45932</v>
      </c>
      <c r="D394" t="inlineStr">
        <is>
          <t>DALARNAS LÄN</t>
        </is>
      </c>
      <c r="E394" t="inlineStr">
        <is>
          <t>MORA</t>
        </is>
      </c>
      <c r="G394" t="n">
        <v>3.7</v>
      </c>
      <c r="H394" t="n">
        <v>0</v>
      </c>
      <c r="I394" t="n">
        <v>0</v>
      </c>
      <c r="J394" t="n">
        <v>0</v>
      </c>
      <c r="K394" t="n">
        <v>0</v>
      </c>
      <c r="L394" t="n">
        <v>0</v>
      </c>
      <c r="M394" t="n">
        <v>0</v>
      </c>
      <c r="N394" t="n">
        <v>0</v>
      </c>
      <c r="O394" t="n">
        <v>0</v>
      </c>
      <c r="P394" t="n">
        <v>0</v>
      </c>
      <c r="Q394" t="n">
        <v>0</v>
      </c>
      <c r="R394" s="2" t="inlineStr"/>
    </row>
    <row r="395" ht="15" customHeight="1">
      <c r="A395" t="inlineStr">
        <is>
          <t>A 28927-2025</t>
        </is>
      </c>
      <c r="B395" s="1" t="n">
        <v>45820.67221064815</v>
      </c>
      <c r="C395" s="1" t="n">
        <v>45932</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20549-2025</t>
        </is>
      </c>
      <c r="B396" s="1" t="n">
        <v>45775.63459490741</v>
      </c>
      <c r="C396" s="1" t="n">
        <v>45932</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12478-2025</t>
        </is>
      </c>
      <c r="B397" s="1" t="n">
        <v>45730.57429398148</v>
      </c>
      <c r="C397" s="1" t="n">
        <v>45932</v>
      </c>
      <c r="D397" t="inlineStr">
        <is>
          <t>DALARNAS LÄN</t>
        </is>
      </c>
      <c r="E397" t="inlineStr">
        <is>
          <t>MORA</t>
        </is>
      </c>
      <c r="F397" t="inlineStr">
        <is>
          <t>Bergvik skog öst AB</t>
        </is>
      </c>
      <c r="G397" t="n">
        <v>1.6</v>
      </c>
      <c r="H397" t="n">
        <v>0</v>
      </c>
      <c r="I397" t="n">
        <v>0</v>
      </c>
      <c r="J397" t="n">
        <v>0</v>
      </c>
      <c r="K397" t="n">
        <v>0</v>
      </c>
      <c r="L397" t="n">
        <v>0</v>
      </c>
      <c r="M397" t="n">
        <v>0</v>
      </c>
      <c r="N397" t="n">
        <v>0</v>
      </c>
      <c r="O397" t="n">
        <v>0</v>
      </c>
      <c r="P397" t="n">
        <v>0</v>
      </c>
      <c r="Q397" t="n">
        <v>0</v>
      </c>
      <c r="R397" s="2" t="inlineStr"/>
    </row>
    <row r="398" ht="15" customHeight="1">
      <c r="A398" t="inlineStr">
        <is>
          <t>A 28924-2025</t>
        </is>
      </c>
      <c r="B398" s="1" t="n">
        <v>45820.66846064815</v>
      </c>
      <c r="C398" s="1" t="n">
        <v>45932</v>
      </c>
      <c r="D398" t="inlineStr">
        <is>
          <t>DALARNAS LÄN</t>
        </is>
      </c>
      <c r="E398" t="inlineStr">
        <is>
          <t>MORA</t>
        </is>
      </c>
      <c r="G398" t="n">
        <v>0.6</v>
      </c>
      <c r="H398" t="n">
        <v>0</v>
      </c>
      <c r="I398" t="n">
        <v>0</v>
      </c>
      <c r="J398" t="n">
        <v>0</v>
      </c>
      <c r="K398" t="n">
        <v>0</v>
      </c>
      <c r="L398" t="n">
        <v>0</v>
      </c>
      <c r="M398" t="n">
        <v>0</v>
      </c>
      <c r="N398" t="n">
        <v>0</v>
      </c>
      <c r="O398" t="n">
        <v>0</v>
      </c>
      <c r="P398" t="n">
        <v>0</v>
      </c>
      <c r="Q398" t="n">
        <v>0</v>
      </c>
      <c r="R398" s="2" t="inlineStr"/>
    </row>
    <row r="399" ht="15" customHeight="1">
      <c r="A399" t="inlineStr">
        <is>
          <t>A 28751-2025</t>
        </is>
      </c>
      <c r="B399" s="1" t="n">
        <v>45820.40034722222</v>
      </c>
      <c r="C399" s="1" t="n">
        <v>45932</v>
      </c>
      <c r="D399" t="inlineStr">
        <is>
          <t>DALARNAS LÄN</t>
        </is>
      </c>
      <c r="E399" t="inlineStr">
        <is>
          <t>MORA</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53743-2024</t>
        </is>
      </c>
      <c r="B400" s="1" t="n">
        <v>45615.47137731482</v>
      </c>
      <c r="C400" s="1" t="n">
        <v>45932</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29528-2025</t>
        </is>
      </c>
      <c r="B401" s="1" t="n">
        <v>45825.34322916667</v>
      </c>
      <c r="C401" s="1" t="n">
        <v>45932</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5527-2024</t>
        </is>
      </c>
      <c r="B402" s="1" t="n">
        <v>45334.38981481481</v>
      </c>
      <c r="C402" s="1" t="n">
        <v>45932</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29440-2025</t>
        </is>
      </c>
      <c r="B403" s="1" t="n">
        <v>45824.65862268519</v>
      </c>
      <c r="C403" s="1" t="n">
        <v>45932</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29425-2025</t>
        </is>
      </c>
      <c r="B404" s="1" t="n">
        <v>45824.64524305556</v>
      </c>
      <c r="C404" s="1" t="n">
        <v>45932</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47140-2025</t>
        </is>
      </c>
      <c r="B405" s="1" t="n">
        <v>45929</v>
      </c>
      <c r="C405" s="1" t="n">
        <v>45932</v>
      </c>
      <c r="D405" t="inlineStr">
        <is>
          <t>DALARNAS LÄN</t>
        </is>
      </c>
      <c r="E405" t="inlineStr">
        <is>
          <t>MORA</t>
        </is>
      </c>
      <c r="G405" t="n">
        <v>6.7</v>
      </c>
      <c r="H405" t="n">
        <v>0</v>
      </c>
      <c r="I405" t="n">
        <v>0</v>
      </c>
      <c r="J405" t="n">
        <v>0</v>
      </c>
      <c r="K405" t="n">
        <v>0</v>
      </c>
      <c r="L405" t="n">
        <v>0</v>
      </c>
      <c r="M405" t="n">
        <v>0</v>
      </c>
      <c r="N405" t="n">
        <v>0</v>
      </c>
      <c r="O405" t="n">
        <v>0</v>
      </c>
      <c r="P405" t="n">
        <v>0</v>
      </c>
      <c r="Q405" t="n">
        <v>0</v>
      </c>
      <c r="R405" s="2" t="inlineStr"/>
    </row>
    <row r="406" ht="15" customHeight="1">
      <c r="A406" t="inlineStr">
        <is>
          <t>A 39856-2024</t>
        </is>
      </c>
      <c r="B406" s="1" t="n">
        <v>45553.44084490741</v>
      </c>
      <c r="C406" s="1" t="n">
        <v>45932</v>
      </c>
      <c r="D406" t="inlineStr">
        <is>
          <t>DALARNAS LÄN</t>
        </is>
      </c>
      <c r="E406" t="inlineStr">
        <is>
          <t>MORA</t>
        </is>
      </c>
      <c r="G406" t="n">
        <v>4.8</v>
      </c>
      <c r="H406" t="n">
        <v>0</v>
      </c>
      <c r="I406" t="n">
        <v>0</v>
      </c>
      <c r="J406" t="n">
        <v>0</v>
      </c>
      <c r="K406" t="n">
        <v>0</v>
      </c>
      <c r="L406" t="n">
        <v>0</v>
      </c>
      <c r="M406" t="n">
        <v>0</v>
      </c>
      <c r="N406" t="n">
        <v>0</v>
      </c>
      <c r="O406" t="n">
        <v>0</v>
      </c>
      <c r="P406" t="n">
        <v>0</v>
      </c>
      <c r="Q406" t="n">
        <v>0</v>
      </c>
      <c r="R406" s="2" t="inlineStr"/>
    </row>
    <row r="407" ht="15" customHeight="1">
      <c r="A407" t="inlineStr">
        <is>
          <t>A 52288-2024</t>
        </is>
      </c>
      <c r="B407" s="1" t="n">
        <v>45608.69395833334</v>
      </c>
      <c r="C407" s="1" t="n">
        <v>45932</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43879-2022</t>
        </is>
      </c>
      <c r="B408" s="1" t="n">
        <v>44838.46721064814</v>
      </c>
      <c r="C408" s="1" t="n">
        <v>45932</v>
      </c>
      <c r="D408" t="inlineStr">
        <is>
          <t>DALARNAS LÄN</t>
        </is>
      </c>
      <c r="E408" t="inlineStr">
        <is>
          <t>MORA</t>
        </is>
      </c>
      <c r="G408" t="n">
        <v>3.4</v>
      </c>
      <c r="H408" t="n">
        <v>0</v>
      </c>
      <c r="I408" t="n">
        <v>0</v>
      </c>
      <c r="J408" t="n">
        <v>0</v>
      </c>
      <c r="K408" t="n">
        <v>0</v>
      </c>
      <c r="L408" t="n">
        <v>0</v>
      </c>
      <c r="M408" t="n">
        <v>0</v>
      </c>
      <c r="N408" t="n">
        <v>0</v>
      </c>
      <c r="O408" t="n">
        <v>0</v>
      </c>
      <c r="P408" t="n">
        <v>0</v>
      </c>
      <c r="Q408" t="n">
        <v>0</v>
      </c>
      <c r="R408" s="2" t="inlineStr"/>
    </row>
    <row r="409" ht="15" customHeight="1">
      <c r="A409" t="inlineStr">
        <is>
          <t>A 62266-2020</t>
        </is>
      </c>
      <c r="B409" s="1" t="n">
        <v>44160.35008101852</v>
      </c>
      <c r="C409" s="1" t="n">
        <v>45932</v>
      </c>
      <c r="D409" t="inlineStr">
        <is>
          <t>DALARNAS LÄN</t>
        </is>
      </c>
      <c r="E409" t="inlineStr">
        <is>
          <t>MORA</t>
        </is>
      </c>
      <c r="F409" t="inlineStr">
        <is>
          <t>Bergvik skog väst AB</t>
        </is>
      </c>
      <c r="G409" t="n">
        <v>5.9</v>
      </c>
      <c r="H409" t="n">
        <v>0</v>
      </c>
      <c r="I409" t="n">
        <v>0</v>
      </c>
      <c r="J409" t="n">
        <v>0</v>
      </c>
      <c r="K409" t="n">
        <v>0</v>
      </c>
      <c r="L409" t="n">
        <v>0</v>
      </c>
      <c r="M409" t="n">
        <v>0</v>
      </c>
      <c r="N409" t="n">
        <v>0</v>
      </c>
      <c r="O409" t="n">
        <v>0</v>
      </c>
      <c r="P409" t="n">
        <v>0</v>
      </c>
      <c r="Q409" t="n">
        <v>0</v>
      </c>
      <c r="R409" s="2" t="inlineStr"/>
    </row>
    <row r="410" ht="15" customHeight="1">
      <c r="A410" t="inlineStr">
        <is>
          <t>A 18806-2025</t>
        </is>
      </c>
      <c r="B410" s="1" t="n">
        <v>45764.35269675926</v>
      </c>
      <c r="C410" s="1" t="n">
        <v>45932</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30087-2025</t>
        </is>
      </c>
      <c r="B411" s="1" t="n">
        <v>45826.6575</v>
      </c>
      <c r="C411" s="1" t="n">
        <v>45932</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54628-2024</t>
        </is>
      </c>
      <c r="B412" s="1" t="n">
        <v>45617.83969907407</v>
      </c>
      <c r="C412" s="1" t="n">
        <v>45932</v>
      </c>
      <c r="D412" t="inlineStr">
        <is>
          <t>DALARNAS LÄN</t>
        </is>
      </c>
      <c r="E412" t="inlineStr">
        <is>
          <t>MORA</t>
        </is>
      </c>
      <c r="G412" t="n">
        <v>1.1</v>
      </c>
      <c r="H412" t="n">
        <v>0</v>
      </c>
      <c r="I412" t="n">
        <v>0</v>
      </c>
      <c r="J412" t="n">
        <v>0</v>
      </c>
      <c r="K412" t="n">
        <v>0</v>
      </c>
      <c r="L412" t="n">
        <v>0</v>
      </c>
      <c r="M412" t="n">
        <v>0</v>
      </c>
      <c r="N412" t="n">
        <v>0</v>
      </c>
      <c r="O412" t="n">
        <v>0</v>
      </c>
      <c r="P412" t="n">
        <v>0</v>
      </c>
      <c r="Q412" t="n">
        <v>0</v>
      </c>
      <c r="R412" s="2" t="inlineStr"/>
    </row>
    <row r="413" ht="15" customHeight="1">
      <c r="A413" t="inlineStr">
        <is>
          <t>A 12920-2022</t>
        </is>
      </c>
      <c r="B413" s="1" t="n">
        <v>44642.65418981481</v>
      </c>
      <c r="C413" s="1" t="n">
        <v>45932</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30166-2025</t>
        </is>
      </c>
      <c r="B414" s="1" t="n">
        <v>45827.33116898148</v>
      </c>
      <c r="C414" s="1" t="n">
        <v>45932</v>
      </c>
      <c r="D414" t="inlineStr">
        <is>
          <t>DALARNAS LÄN</t>
        </is>
      </c>
      <c r="E414" t="inlineStr">
        <is>
          <t>MORA</t>
        </is>
      </c>
      <c r="G414" t="n">
        <v>1.3</v>
      </c>
      <c r="H414" t="n">
        <v>0</v>
      </c>
      <c r="I414" t="n">
        <v>0</v>
      </c>
      <c r="J414" t="n">
        <v>0</v>
      </c>
      <c r="K414" t="n">
        <v>0</v>
      </c>
      <c r="L414" t="n">
        <v>0</v>
      </c>
      <c r="M414" t="n">
        <v>0</v>
      </c>
      <c r="N414" t="n">
        <v>0</v>
      </c>
      <c r="O414" t="n">
        <v>0</v>
      </c>
      <c r="P414" t="n">
        <v>0</v>
      </c>
      <c r="Q414" t="n">
        <v>0</v>
      </c>
      <c r="R414" s="2" t="inlineStr"/>
    </row>
    <row r="415" ht="15" customHeight="1">
      <c r="A415" t="inlineStr">
        <is>
          <t>A 29870-2025</t>
        </is>
      </c>
      <c r="B415" s="1" t="n">
        <v>45826.35716435185</v>
      </c>
      <c r="C415" s="1" t="n">
        <v>45932</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29873-2025</t>
        </is>
      </c>
      <c r="B416" s="1" t="n">
        <v>45826</v>
      </c>
      <c r="C416" s="1" t="n">
        <v>45932</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30507-2025</t>
        </is>
      </c>
      <c r="B417" s="1" t="n">
        <v>45831.24760416667</v>
      </c>
      <c r="C417" s="1" t="n">
        <v>45932</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30509-2025</t>
        </is>
      </c>
      <c r="B418" s="1" t="n">
        <v>45831.25519675926</v>
      </c>
      <c r="C418" s="1" t="n">
        <v>45932</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17280-2025</t>
        </is>
      </c>
      <c r="B419" s="1" t="n">
        <v>45756</v>
      </c>
      <c r="C419" s="1" t="n">
        <v>45932</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30989-2025</t>
        </is>
      </c>
      <c r="B420" s="1" t="n">
        <v>45832.48185185185</v>
      </c>
      <c r="C420" s="1" t="n">
        <v>45932</v>
      </c>
      <c r="D420" t="inlineStr">
        <is>
          <t>DALARNAS LÄN</t>
        </is>
      </c>
      <c r="E420" t="inlineStr">
        <is>
          <t>MORA</t>
        </is>
      </c>
      <c r="F420" t="inlineStr">
        <is>
          <t>Bergvik skog öst AB</t>
        </is>
      </c>
      <c r="G420" t="n">
        <v>4.1</v>
      </c>
      <c r="H420" t="n">
        <v>0</v>
      </c>
      <c r="I420" t="n">
        <v>0</v>
      </c>
      <c r="J420" t="n">
        <v>0</v>
      </c>
      <c r="K420" t="n">
        <v>0</v>
      </c>
      <c r="L420" t="n">
        <v>0</v>
      </c>
      <c r="M420" t="n">
        <v>0</v>
      </c>
      <c r="N420" t="n">
        <v>0</v>
      </c>
      <c r="O420" t="n">
        <v>0</v>
      </c>
      <c r="P420" t="n">
        <v>0</v>
      </c>
      <c r="Q420" t="n">
        <v>0</v>
      </c>
      <c r="R420" s="2" t="inlineStr"/>
    </row>
    <row r="421" ht="15" customHeight="1">
      <c r="A421" t="inlineStr">
        <is>
          <t>A 59448-2022</t>
        </is>
      </c>
      <c r="B421" s="1" t="n">
        <v>44907</v>
      </c>
      <c r="C421" s="1" t="n">
        <v>45932</v>
      </c>
      <c r="D421" t="inlineStr">
        <is>
          <t>DALARNAS LÄN</t>
        </is>
      </c>
      <c r="E421" t="inlineStr">
        <is>
          <t>MORA</t>
        </is>
      </c>
      <c r="G421" t="n">
        <v>35.7</v>
      </c>
      <c r="H421" t="n">
        <v>0</v>
      </c>
      <c r="I421" t="n">
        <v>0</v>
      </c>
      <c r="J421" t="n">
        <v>0</v>
      </c>
      <c r="K421" t="n">
        <v>0</v>
      </c>
      <c r="L421" t="n">
        <v>0</v>
      </c>
      <c r="M421" t="n">
        <v>0</v>
      </c>
      <c r="N421" t="n">
        <v>0</v>
      </c>
      <c r="O421" t="n">
        <v>0</v>
      </c>
      <c r="P421" t="n">
        <v>0</v>
      </c>
      <c r="Q421" t="n">
        <v>0</v>
      </c>
      <c r="R421" s="2" t="inlineStr"/>
    </row>
    <row r="422" ht="15" customHeight="1">
      <c r="A422" t="inlineStr">
        <is>
          <t>A 57319-2023</t>
        </is>
      </c>
      <c r="B422" s="1" t="n">
        <v>45245.64877314815</v>
      </c>
      <c r="C422" s="1" t="n">
        <v>45932</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34282-2024</t>
        </is>
      </c>
      <c r="B423" s="1" t="n">
        <v>45524.62600694445</v>
      </c>
      <c r="C423" s="1" t="n">
        <v>45932</v>
      </c>
      <c r="D423" t="inlineStr">
        <is>
          <t>DALARNAS LÄN</t>
        </is>
      </c>
      <c r="E423" t="inlineStr">
        <is>
          <t>MORA</t>
        </is>
      </c>
      <c r="G423" t="n">
        <v>0.5</v>
      </c>
      <c r="H423" t="n">
        <v>0</v>
      </c>
      <c r="I423" t="n">
        <v>0</v>
      </c>
      <c r="J423" t="n">
        <v>0</v>
      </c>
      <c r="K423" t="n">
        <v>0</v>
      </c>
      <c r="L423" t="n">
        <v>0</v>
      </c>
      <c r="M423" t="n">
        <v>0</v>
      </c>
      <c r="N423" t="n">
        <v>0</v>
      </c>
      <c r="O423" t="n">
        <v>0</v>
      </c>
      <c r="P423" t="n">
        <v>0</v>
      </c>
      <c r="Q423" t="n">
        <v>0</v>
      </c>
      <c r="R423" s="2" t="inlineStr"/>
    </row>
    <row r="424" ht="15" customHeight="1">
      <c r="A424" t="inlineStr">
        <is>
          <t>A 43498-2023</t>
        </is>
      </c>
      <c r="B424" s="1" t="n">
        <v>45184</v>
      </c>
      <c r="C424" s="1" t="n">
        <v>45932</v>
      </c>
      <c r="D424" t="inlineStr">
        <is>
          <t>DALARNAS LÄN</t>
        </is>
      </c>
      <c r="E424" t="inlineStr">
        <is>
          <t>MORA</t>
        </is>
      </c>
      <c r="F424" t="inlineStr">
        <is>
          <t>Bergvik skog väst AB</t>
        </is>
      </c>
      <c r="G424" t="n">
        <v>2.2</v>
      </c>
      <c r="H424" t="n">
        <v>0</v>
      </c>
      <c r="I424" t="n">
        <v>0</v>
      </c>
      <c r="J424" t="n">
        <v>0</v>
      </c>
      <c r="K424" t="n">
        <v>0</v>
      </c>
      <c r="L424" t="n">
        <v>0</v>
      </c>
      <c r="M424" t="n">
        <v>0</v>
      </c>
      <c r="N424" t="n">
        <v>0</v>
      </c>
      <c r="O424" t="n">
        <v>0</v>
      </c>
      <c r="P424" t="n">
        <v>0</v>
      </c>
      <c r="Q424" t="n">
        <v>0</v>
      </c>
      <c r="R424" s="2" t="inlineStr"/>
    </row>
    <row r="425" ht="15" customHeight="1">
      <c r="A425" t="inlineStr">
        <is>
          <t>A 32261-2022</t>
        </is>
      </c>
      <c r="B425" s="1" t="n">
        <v>44781.5350925926</v>
      </c>
      <c r="C425" s="1" t="n">
        <v>45932</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35381-2024</t>
        </is>
      </c>
      <c r="B426" s="1" t="n">
        <v>45531.38372685185</v>
      </c>
      <c r="C426" s="1" t="n">
        <v>45932</v>
      </c>
      <c r="D426" t="inlineStr">
        <is>
          <t>DALARNAS LÄN</t>
        </is>
      </c>
      <c r="E426" t="inlineStr">
        <is>
          <t>MORA</t>
        </is>
      </c>
      <c r="G426" t="n">
        <v>3.7</v>
      </c>
      <c r="H426" t="n">
        <v>0</v>
      </c>
      <c r="I426" t="n">
        <v>0</v>
      </c>
      <c r="J426" t="n">
        <v>0</v>
      </c>
      <c r="K426" t="n">
        <v>0</v>
      </c>
      <c r="L426" t="n">
        <v>0</v>
      </c>
      <c r="M426" t="n">
        <v>0</v>
      </c>
      <c r="N426" t="n">
        <v>0</v>
      </c>
      <c r="O426" t="n">
        <v>0</v>
      </c>
      <c r="P426" t="n">
        <v>0</v>
      </c>
      <c r="Q426" t="n">
        <v>0</v>
      </c>
      <c r="R426" s="2" t="inlineStr"/>
    </row>
    <row r="427" ht="15" customHeight="1">
      <c r="A427" t="inlineStr">
        <is>
          <t>A 13479-2024</t>
        </is>
      </c>
      <c r="B427" s="1" t="n">
        <v>45387.5900925926</v>
      </c>
      <c r="C427" s="1" t="n">
        <v>45932</v>
      </c>
      <c r="D427" t="inlineStr">
        <is>
          <t>DALARNAS LÄN</t>
        </is>
      </c>
      <c r="E427" t="inlineStr">
        <is>
          <t>MORA</t>
        </is>
      </c>
      <c r="G427" t="n">
        <v>1.4</v>
      </c>
      <c r="H427" t="n">
        <v>0</v>
      </c>
      <c r="I427" t="n">
        <v>0</v>
      </c>
      <c r="J427" t="n">
        <v>0</v>
      </c>
      <c r="K427" t="n">
        <v>0</v>
      </c>
      <c r="L427" t="n">
        <v>0</v>
      </c>
      <c r="M427" t="n">
        <v>0</v>
      </c>
      <c r="N427" t="n">
        <v>0</v>
      </c>
      <c r="O427" t="n">
        <v>0</v>
      </c>
      <c r="P427" t="n">
        <v>0</v>
      </c>
      <c r="Q427" t="n">
        <v>0</v>
      </c>
      <c r="R427" s="2" t="inlineStr"/>
    </row>
    <row r="428" ht="15" customHeight="1">
      <c r="A428" t="inlineStr">
        <is>
          <t>A 38055-2024</t>
        </is>
      </c>
      <c r="B428" s="1" t="n">
        <v>45544</v>
      </c>
      <c r="C428" s="1" t="n">
        <v>45932</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7116-2024</t>
        </is>
      </c>
      <c r="B429" s="1" t="n">
        <v>45343.95445601852</v>
      </c>
      <c r="C429" s="1" t="n">
        <v>45932</v>
      </c>
      <c r="D429" t="inlineStr">
        <is>
          <t>DALARNAS LÄN</t>
        </is>
      </c>
      <c r="E429" t="inlineStr">
        <is>
          <t>MORA</t>
        </is>
      </c>
      <c r="G429" t="n">
        <v>0.3</v>
      </c>
      <c r="H429" t="n">
        <v>0</v>
      </c>
      <c r="I429" t="n">
        <v>0</v>
      </c>
      <c r="J429" t="n">
        <v>0</v>
      </c>
      <c r="K429" t="n">
        <v>0</v>
      </c>
      <c r="L429" t="n">
        <v>0</v>
      </c>
      <c r="M429" t="n">
        <v>0</v>
      </c>
      <c r="N429" t="n">
        <v>0</v>
      </c>
      <c r="O429" t="n">
        <v>0</v>
      </c>
      <c r="P429" t="n">
        <v>0</v>
      </c>
      <c r="Q429" t="n">
        <v>0</v>
      </c>
      <c r="R429" s="2" t="inlineStr"/>
    </row>
    <row r="430" ht="15" customHeight="1">
      <c r="A430" t="inlineStr">
        <is>
          <t>A 22785-2023</t>
        </is>
      </c>
      <c r="B430" s="1" t="n">
        <v>45072.34796296297</v>
      </c>
      <c r="C430" s="1" t="n">
        <v>45932</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30858-2025</t>
        </is>
      </c>
      <c r="B431" s="1" t="n">
        <v>45831.92416666666</v>
      </c>
      <c r="C431" s="1" t="n">
        <v>45932</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30859-2025</t>
        </is>
      </c>
      <c r="B432" s="1" t="n">
        <v>45831.93105324074</v>
      </c>
      <c r="C432" s="1" t="n">
        <v>45932</v>
      </c>
      <c r="D432" t="inlineStr">
        <is>
          <t>DALARNAS LÄN</t>
        </is>
      </c>
      <c r="E432" t="inlineStr">
        <is>
          <t>MORA</t>
        </is>
      </c>
      <c r="G432" t="n">
        <v>0.7</v>
      </c>
      <c r="H432" t="n">
        <v>0</v>
      </c>
      <c r="I432" t="n">
        <v>0</v>
      </c>
      <c r="J432" t="n">
        <v>0</v>
      </c>
      <c r="K432" t="n">
        <v>0</v>
      </c>
      <c r="L432" t="n">
        <v>0</v>
      </c>
      <c r="M432" t="n">
        <v>0</v>
      </c>
      <c r="N432" t="n">
        <v>0</v>
      </c>
      <c r="O432" t="n">
        <v>0</v>
      </c>
      <c r="P432" t="n">
        <v>0</v>
      </c>
      <c r="Q432" t="n">
        <v>0</v>
      </c>
      <c r="R432" s="2" t="inlineStr"/>
    </row>
    <row r="433" ht="15" customHeight="1">
      <c r="A433" t="inlineStr">
        <is>
          <t>A 60718-2023</t>
        </is>
      </c>
      <c r="B433" s="1" t="n">
        <v>45260.5284375</v>
      </c>
      <c r="C433" s="1" t="n">
        <v>45932</v>
      </c>
      <c r="D433" t="inlineStr">
        <is>
          <t>DALARNAS LÄN</t>
        </is>
      </c>
      <c r="E433" t="inlineStr">
        <is>
          <t>MORA</t>
        </is>
      </c>
      <c r="G433" t="n">
        <v>2.6</v>
      </c>
      <c r="H433" t="n">
        <v>0</v>
      </c>
      <c r="I433" t="n">
        <v>0</v>
      </c>
      <c r="J433" t="n">
        <v>0</v>
      </c>
      <c r="K433" t="n">
        <v>0</v>
      </c>
      <c r="L433" t="n">
        <v>0</v>
      </c>
      <c r="M433" t="n">
        <v>0</v>
      </c>
      <c r="N433" t="n">
        <v>0</v>
      </c>
      <c r="O433" t="n">
        <v>0</v>
      </c>
      <c r="P433" t="n">
        <v>0</v>
      </c>
      <c r="Q433" t="n">
        <v>0</v>
      </c>
      <c r="R433" s="2" t="inlineStr"/>
    </row>
    <row r="434" ht="15" customHeight="1">
      <c r="A434" t="inlineStr">
        <is>
          <t>A 7972-2024</t>
        </is>
      </c>
      <c r="B434" s="1" t="n">
        <v>45350</v>
      </c>
      <c r="C434" s="1" t="n">
        <v>45932</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16637-2025</t>
        </is>
      </c>
      <c r="B435" s="1" t="n">
        <v>45754.36738425926</v>
      </c>
      <c r="C435" s="1" t="n">
        <v>45932</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31846-2025</t>
        </is>
      </c>
      <c r="B436" s="1" t="n">
        <v>45834.60209490741</v>
      </c>
      <c r="C436" s="1" t="n">
        <v>45932</v>
      </c>
      <c r="D436" t="inlineStr">
        <is>
          <t>DALARNAS LÄN</t>
        </is>
      </c>
      <c r="E436" t="inlineStr">
        <is>
          <t>MORA</t>
        </is>
      </c>
      <c r="G436" t="n">
        <v>3.6</v>
      </c>
      <c r="H436" t="n">
        <v>0</v>
      </c>
      <c r="I436" t="n">
        <v>0</v>
      </c>
      <c r="J436" t="n">
        <v>0</v>
      </c>
      <c r="K436" t="n">
        <v>0</v>
      </c>
      <c r="L436" t="n">
        <v>0</v>
      </c>
      <c r="M436" t="n">
        <v>0</v>
      </c>
      <c r="N436" t="n">
        <v>0</v>
      </c>
      <c r="O436" t="n">
        <v>0</v>
      </c>
      <c r="P436" t="n">
        <v>0</v>
      </c>
      <c r="Q436" t="n">
        <v>0</v>
      </c>
      <c r="R436" s="2" t="inlineStr"/>
    </row>
    <row r="437" ht="15" customHeight="1">
      <c r="A437" t="inlineStr">
        <is>
          <t>A 31849-2025</t>
        </is>
      </c>
      <c r="B437" s="1" t="n">
        <v>45834.60525462963</v>
      </c>
      <c r="C437" s="1" t="n">
        <v>45932</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8146-2021</t>
        </is>
      </c>
      <c r="B438" s="1" t="n">
        <v>44244</v>
      </c>
      <c r="C438" s="1" t="n">
        <v>45932</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31842-2025</t>
        </is>
      </c>
      <c r="B439" s="1" t="n">
        <v>45834.59822916667</v>
      </c>
      <c r="C439" s="1" t="n">
        <v>45932</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46525-2025</t>
        </is>
      </c>
      <c r="B440" s="1" t="n">
        <v>45926.3312962963</v>
      </c>
      <c r="C440" s="1" t="n">
        <v>45932</v>
      </c>
      <c r="D440" t="inlineStr">
        <is>
          <t>DALARNAS LÄN</t>
        </is>
      </c>
      <c r="E440" t="inlineStr">
        <is>
          <t>MORA</t>
        </is>
      </c>
      <c r="G440" t="n">
        <v>6.3</v>
      </c>
      <c r="H440" t="n">
        <v>0</v>
      </c>
      <c r="I440" t="n">
        <v>0</v>
      </c>
      <c r="J440" t="n">
        <v>0</v>
      </c>
      <c r="K440" t="n">
        <v>0</v>
      </c>
      <c r="L440" t="n">
        <v>0</v>
      </c>
      <c r="M440" t="n">
        <v>0</v>
      </c>
      <c r="N440" t="n">
        <v>0</v>
      </c>
      <c r="O440" t="n">
        <v>0</v>
      </c>
      <c r="P440" t="n">
        <v>0</v>
      </c>
      <c r="Q440" t="n">
        <v>0</v>
      </c>
      <c r="R440" s="2" t="inlineStr"/>
    </row>
    <row r="441" ht="15" customHeight="1">
      <c r="A441" t="inlineStr">
        <is>
          <t>A 47072-2025</t>
        </is>
      </c>
      <c r="B441" s="1" t="n">
        <v>45929.6365162037</v>
      </c>
      <c r="C441" s="1" t="n">
        <v>45932</v>
      </c>
      <c r="D441" t="inlineStr">
        <is>
          <t>DALARNAS LÄN</t>
        </is>
      </c>
      <c r="E441" t="inlineStr">
        <is>
          <t>MORA</t>
        </is>
      </c>
      <c r="G441" t="n">
        <v>3.4</v>
      </c>
      <c r="H441" t="n">
        <v>0</v>
      </c>
      <c r="I441" t="n">
        <v>0</v>
      </c>
      <c r="J441" t="n">
        <v>0</v>
      </c>
      <c r="K441" t="n">
        <v>0</v>
      </c>
      <c r="L441" t="n">
        <v>0</v>
      </c>
      <c r="M441" t="n">
        <v>0</v>
      </c>
      <c r="N441" t="n">
        <v>0</v>
      </c>
      <c r="O441" t="n">
        <v>0</v>
      </c>
      <c r="P441" t="n">
        <v>0</v>
      </c>
      <c r="Q441" t="n">
        <v>0</v>
      </c>
      <c r="R441" s="2" t="inlineStr"/>
    </row>
    <row r="442" ht="15" customHeight="1">
      <c r="A442" t="inlineStr">
        <is>
          <t>A 49991-2023</t>
        </is>
      </c>
      <c r="B442" s="1" t="n">
        <v>45215.43879629629</v>
      </c>
      <c r="C442" s="1" t="n">
        <v>45932</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28131-2024</t>
        </is>
      </c>
      <c r="B443" s="1" t="n">
        <v>45476.68435185185</v>
      </c>
      <c r="C443" s="1" t="n">
        <v>45932</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28132-2024</t>
        </is>
      </c>
      <c r="B444" s="1" t="n">
        <v>45476.68616898148</v>
      </c>
      <c r="C444" s="1" t="n">
        <v>45932</v>
      </c>
      <c r="D444" t="inlineStr">
        <is>
          <t>DALARNAS LÄN</t>
        </is>
      </c>
      <c r="E444" t="inlineStr">
        <is>
          <t>MORA</t>
        </is>
      </c>
      <c r="G444" t="n">
        <v>0.2</v>
      </c>
      <c r="H444" t="n">
        <v>0</v>
      </c>
      <c r="I444" t="n">
        <v>0</v>
      </c>
      <c r="J444" t="n">
        <v>0</v>
      </c>
      <c r="K444" t="n">
        <v>0</v>
      </c>
      <c r="L444" t="n">
        <v>0</v>
      </c>
      <c r="M444" t="n">
        <v>0</v>
      </c>
      <c r="N444" t="n">
        <v>0</v>
      </c>
      <c r="O444" t="n">
        <v>0</v>
      </c>
      <c r="P444" t="n">
        <v>0</v>
      </c>
      <c r="Q444" t="n">
        <v>0</v>
      </c>
      <c r="R444" s="2" t="inlineStr"/>
    </row>
    <row r="445" ht="15" customHeight="1">
      <c r="A445" t="inlineStr">
        <is>
          <t>A 20299-2023</t>
        </is>
      </c>
      <c r="B445" s="1" t="n">
        <v>45056</v>
      </c>
      <c r="C445" s="1" t="n">
        <v>45932</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12987-2024</t>
        </is>
      </c>
      <c r="B446" s="1" t="n">
        <v>45385.55375</v>
      </c>
      <c r="C446" s="1" t="n">
        <v>45932</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32852-2025</t>
        </is>
      </c>
      <c r="B447" s="1" t="n">
        <v>45839.57559027777</v>
      </c>
      <c r="C447" s="1" t="n">
        <v>45932</v>
      </c>
      <c r="D447" t="inlineStr">
        <is>
          <t>DALARNAS LÄN</t>
        </is>
      </c>
      <c r="E447" t="inlineStr">
        <is>
          <t>MORA</t>
        </is>
      </c>
      <c r="G447" t="n">
        <v>1.7</v>
      </c>
      <c r="H447" t="n">
        <v>0</v>
      </c>
      <c r="I447" t="n">
        <v>0</v>
      </c>
      <c r="J447" t="n">
        <v>0</v>
      </c>
      <c r="K447" t="n">
        <v>0</v>
      </c>
      <c r="L447" t="n">
        <v>0</v>
      </c>
      <c r="M447" t="n">
        <v>0</v>
      </c>
      <c r="N447" t="n">
        <v>0</v>
      </c>
      <c r="O447" t="n">
        <v>0</v>
      </c>
      <c r="P447" t="n">
        <v>0</v>
      </c>
      <c r="Q447" t="n">
        <v>0</v>
      </c>
      <c r="R447" s="2" t="inlineStr"/>
    </row>
    <row r="448" ht="15" customHeight="1">
      <c r="A448" t="inlineStr">
        <is>
          <t>A 28487-2024</t>
        </is>
      </c>
      <c r="B448" s="1" t="n">
        <v>45477.75744212963</v>
      </c>
      <c r="C448" s="1" t="n">
        <v>45932</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23586-2023</t>
        </is>
      </c>
      <c r="B449" s="1" t="n">
        <v>45077</v>
      </c>
      <c r="C449" s="1" t="n">
        <v>45932</v>
      </c>
      <c r="D449" t="inlineStr">
        <is>
          <t>DALARNAS LÄN</t>
        </is>
      </c>
      <c r="E449" t="inlineStr">
        <is>
          <t>MORA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48170-2024</t>
        </is>
      </c>
      <c r="B450" s="1" t="n">
        <v>45589.76975694444</v>
      </c>
      <c r="C450" s="1" t="n">
        <v>45932</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58892-2023</t>
        </is>
      </c>
      <c r="B451" s="1" t="n">
        <v>45252.48592592592</v>
      </c>
      <c r="C451" s="1" t="n">
        <v>45932</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33443-2025</t>
        </is>
      </c>
      <c r="B452" s="1" t="n">
        <v>45841</v>
      </c>
      <c r="C452" s="1" t="n">
        <v>45932</v>
      </c>
      <c r="D452" t="inlineStr">
        <is>
          <t>DALARNAS LÄN</t>
        </is>
      </c>
      <c r="E452" t="inlineStr">
        <is>
          <t>MORA</t>
        </is>
      </c>
      <c r="G452" t="n">
        <v>2.7</v>
      </c>
      <c r="H452" t="n">
        <v>0</v>
      </c>
      <c r="I452" t="n">
        <v>0</v>
      </c>
      <c r="J452" t="n">
        <v>0</v>
      </c>
      <c r="K452" t="n">
        <v>0</v>
      </c>
      <c r="L452" t="n">
        <v>0</v>
      </c>
      <c r="M452" t="n">
        <v>0</v>
      </c>
      <c r="N452" t="n">
        <v>0</v>
      </c>
      <c r="O452" t="n">
        <v>0</v>
      </c>
      <c r="P452" t="n">
        <v>0</v>
      </c>
      <c r="Q452" t="n">
        <v>0</v>
      </c>
      <c r="R452" s="2" t="inlineStr"/>
    </row>
    <row r="453" ht="15" customHeight="1">
      <c r="A453" t="inlineStr">
        <is>
          <t>A 27975-2023</t>
        </is>
      </c>
      <c r="B453" s="1" t="n">
        <v>45098</v>
      </c>
      <c r="C453" s="1" t="n">
        <v>45932</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58972-2023</t>
        </is>
      </c>
      <c r="B454" s="1" t="n">
        <v>45252</v>
      </c>
      <c r="C454" s="1" t="n">
        <v>45932</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55222-2023</t>
        </is>
      </c>
      <c r="B455" s="1" t="n">
        <v>45237.60775462963</v>
      </c>
      <c r="C455" s="1" t="n">
        <v>45932</v>
      </c>
      <c r="D455" t="inlineStr">
        <is>
          <t>DALARNAS LÄN</t>
        </is>
      </c>
      <c r="E455" t="inlineStr">
        <is>
          <t>MORA</t>
        </is>
      </c>
      <c r="F455" t="inlineStr">
        <is>
          <t>Allmännings- och besparingsskogar</t>
        </is>
      </c>
      <c r="G455" t="n">
        <v>19.8</v>
      </c>
      <c r="H455" t="n">
        <v>0</v>
      </c>
      <c r="I455" t="n">
        <v>0</v>
      </c>
      <c r="J455" t="n">
        <v>0</v>
      </c>
      <c r="K455" t="n">
        <v>0</v>
      </c>
      <c r="L455" t="n">
        <v>0</v>
      </c>
      <c r="M455" t="n">
        <v>0</v>
      </c>
      <c r="N455" t="n">
        <v>0</v>
      </c>
      <c r="O455" t="n">
        <v>0</v>
      </c>
      <c r="P455" t="n">
        <v>0</v>
      </c>
      <c r="Q455" t="n">
        <v>0</v>
      </c>
      <c r="R455" s="2" t="inlineStr"/>
    </row>
    <row r="456" ht="15" customHeight="1">
      <c r="A456" t="inlineStr">
        <is>
          <t>A 24772-2024</t>
        </is>
      </c>
      <c r="B456" s="1" t="n">
        <v>45460.70204861111</v>
      </c>
      <c r="C456" s="1" t="n">
        <v>45932</v>
      </c>
      <c r="D456" t="inlineStr">
        <is>
          <t>DALARNAS LÄN</t>
        </is>
      </c>
      <c r="E456" t="inlineStr">
        <is>
          <t>MORA</t>
        </is>
      </c>
      <c r="G456" t="n">
        <v>0.9</v>
      </c>
      <c r="H456" t="n">
        <v>0</v>
      </c>
      <c r="I456" t="n">
        <v>0</v>
      </c>
      <c r="J456" t="n">
        <v>0</v>
      </c>
      <c r="K456" t="n">
        <v>0</v>
      </c>
      <c r="L456" t="n">
        <v>0</v>
      </c>
      <c r="M456" t="n">
        <v>0</v>
      </c>
      <c r="N456" t="n">
        <v>0</v>
      </c>
      <c r="O456" t="n">
        <v>0</v>
      </c>
      <c r="P456" t="n">
        <v>0</v>
      </c>
      <c r="Q456" t="n">
        <v>0</v>
      </c>
      <c r="R456" s="2" t="inlineStr"/>
    </row>
    <row r="457" ht="15" customHeight="1">
      <c r="A457" t="inlineStr">
        <is>
          <t>A 5486-2023</t>
        </is>
      </c>
      <c r="B457" s="1" t="n">
        <v>44957</v>
      </c>
      <c r="C457" s="1" t="n">
        <v>45932</v>
      </c>
      <c r="D457" t="inlineStr">
        <is>
          <t>DALARNAS LÄN</t>
        </is>
      </c>
      <c r="E457" t="inlineStr">
        <is>
          <t>MORA</t>
        </is>
      </c>
      <c r="G457" t="n">
        <v>3.2</v>
      </c>
      <c r="H457" t="n">
        <v>0</v>
      </c>
      <c r="I457" t="n">
        <v>0</v>
      </c>
      <c r="J457" t="n">
        <v>0</v>
      </c>
      <c r="K457" t="n">
        <v>0</v>
      </c>
      <c r="L457" t="n">
        <v>0</v>
      </c>
      <c r="M457" t="n">
        <v>0</v>
      </c>
      <c r="N457" t="n">
        <v>0</v>
      </c>
      <c r="O457" t="n">
        <v>0</v>
      </c>
      <c r="P457" t="n">
        <v>0</v>
      </c>
      <c r="Q457" t="n">
        <v>0</v>
      </c>
      <c r="R457" s="2" t="inlineStr"/>
    </row>
    <row r="458" ht="15" customHeight="1">
      <c r="A458" t="inlineStr">
        <is>
          <t>A 42943-2024</t>
        </is>
      </c>
      <c r="B458" s="1" t="n">
        <v>45567.35359953704</v>
      </c>
      <c r="C458" s="1" t="n">
        <v>45932</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9855-2024</t>
        </is>
      </c>
      <c r="B459" s="1" t="n">
        <v>45363.40368055556</v>
      </c>
      <c r="C459" s="1" t="n">
        <v>45932</v>
      </c>
      <c r="D459" t="inlineStr">
        <is>
          <t>DALARNAS LÄN</t>
        </is>
      </c>
      <c r="E459" t="inlineStr">
        <is>
          <t>MORA</t>
        </is>
      </c>
      <c r="G459" t="n">
        <v>8.6</v>
      </c>
      <c r="H459" t="n">
        <v>0</v>
      </c>
      <c r="I459" t="n">
        <v>0</v>
      </c>
      <c r="J459" t="n">
        <v>0</v>
      </c>
      <c r="K459" t="n">
        <v>0</v>
      </c>
      <c r="L459" t="n">
        <v>0</v>
      </c>
      <c r="M459" t="n">
        <v>0</v>
      </c>
      <c r="N459" t="n">
        <v>0</v>
      </c>
      <c r="O459" t="n">
        <v>0</v>
      </c>
      <c r="P459" t="n">
        <v>0</v>
      </c>
      <c r="Q459" t="n">
        <v>0</v>
      </c>
      <c r="R459" s="2" t="inlineStr"/>
    </row>
    <row r="460" ht="15" customHeight="1">
      <c r="A460" t="inlineStr">
        <is>
          <t>A 34182-2025</t>
        </is>
      </c>
      <c r="B460" s="1" t="n">
        <v>45845.60520833333</v>
      </c>
      <c r="C460" s="1" t="n">
        <v>45932</v>
      </c>
      <c r="D460" t="inlineStr">
        <is>
          <t>DALARNAS LÄN</t>
        </is>
      </c>
      <c r="E460" t="inlineStr">
        <is>
          <t>MORA</t>
        </is>
      </c>
      <c r="G460" t="n">
        <v>3.4</v>
      </c>
      <c r="H460" t="n">
        <v>0</v>
      </c>
      <c r="I460" t="n">
        <v>0</v>
      </c>
      <c r="J460" t="n">
        <v>0</v>
      </c>
      <c r="K460" t="n">
        <v>0</v>
      </c>
      <c r="L460" t="n">
        <v>0</v>
      </c>
      <c r="M460" t="n">
        <v>0</v>
      </c>
      <c r="N460" t="n">
        <v>0</v>
      </c>
      <c r="O460" t="n">
        <v>0</v>
      </c>
      <c r="P460" t="n">
        <v>0</v>
      </c>
      <c r="Q460" t="n">
        <v>0</v>
      </c>
      <c r="R460" s="2" t="inlineStr"/>
    </row>
    <row r="461" ht="15" customHeight="1">
      <c r="A461" t="inlineStr">
        <is>
          <t>A 34005-2025</t>
        </is>
      </c>
      <c r="B461" s="1" t="n">
        <v>45844.58890046296</v>
      </c>
      <c r="C461" s="1" t="n">
        <v>45932</v>
      </c>
      <c r="D461" t="inlineStr">
        <is>
          <t>DALARNAS LÄN</t>
        </is>
      </c>
      <c r="E461" t="inlineStr">
        <is>
          <t>MORA</t>
        </is>
      </c>
      <c r="G461" t="n">
        <v>7.2</v>
      </c>
      <c r="H461" t="n">
        <v>0</v>
      </c>
      <c r="I461" t="n">
        <v>0</v>
      </c>
      <c r="J461" t="n">
        <v>0</v>
      </c>
      <c r="K461" t="n">
        <v>0</v>
      </c>
      <c r="L461" t="n">
        <v>0</v>
      </c>
      <c r="M461" t="n">
        <v>0</v>
      </c>
      <c r="N461" t="n">
        <v>0</v>
      </c>
      <c r="O461" t="n">
        <v>0</v>
      </c>
      <c r="P461" t="n">
        <v>0</v>
      </c>
      <c r="Q461" t="n">
        <v>0</v>
      </c>
      <c r="R461" s="2" t="inlineStr"/>
    </row>
    <row r="462" ht="15" customHeight="1">
      <c r="A462" t="inlineStr">
        <is>
          <t>A 34482-2025</t>
        </is>
      </c>
      <c r="B462" s="1" t="n">
        <v>45847.38469907407</v>
      </c>
      <c r="C462" s="1" t="n">
        <v>45932</v>
      </c>
      <c r="D462" t="inlineStr">
        <is>
          <t>DALARNAS LÄN</t>
        </is>
      </c>
      <c r="E462" t="inlineStr">
        <is>
          <t>MORA</t>
        </is>
      </c>
      <c r="G462" t="n">
        <v>1.5</v>
      </c>
      <c r="H462" t="n">
        <v>0</v>
      </c>
      <c r="I462" t="n">
        <v>0</v>
      </c>
      <c r="J462" t="n">
        <v>0</v>
      </c>
      <c r="K462" t="n">
        <v>0</v>
      </c>
      <c r="L462" t="n">
        <v>0</v>
      </c>
      <c r="M462" t="n">
        <v>0</v>
      </c>
      <c r="N462" t="n">
        <v>0</v>
      </c>
      <c r="O462" t="n">
        <v>0</v>
      </c>
      <c r="P462" t="n">
        <v>0</v>
      </c>
      <c r="Q462" t="n">
        <v>0</v>
      </c>
      <c r="R462" s="2" t="inlineStr"/>
    </row>
    <row r="463" ht="15" customHeight="1">
      <c r="A463" t="inlineStr">
        <is>
          <t>A 39456-2025</t>
        </is>
      </c>
      <c r="B463" s="1" t="n">
        <v>45889.76200231481</v>
      </c>
      <c r="C463" s="1" t="n">
        <v>45932</v>
      </c>
      <c r="D463" t="inlineStr">
        <is>
          <t>DALARNAS LÄN</t>
        </is>
      </c>
      <c r="E463" t="inlineStr">
        <is>
          <t>MORA</t>
        </is>
      </c>
      <c r="F463" t="inlineStr">
        <is>
          <t>Bergvik skog öst AB</t>
        </is>
      </c>
      <c r="G463" t="n">
        <v>16.7</v>
      </c>
      <c r="H463" t="n">
        <v>0</v>
      </c>
      <c r="I463" t="n">
        <v>0</v>
      </c>
      <c r="J463" t="n">
        <v>0</v>
      </c>
      <c r="K463" t="n">
        <v>0</v>
      </c>
      <c r="L463" t="n">
        <v>0</v>
      </c>
      <c r="M463" t="n">
        <v>0</v>
      </c>
      <c r="N463" t="n">
        <v>0</v>
      </c>
      <c r="O463" t="n">
        <v>0</v>
      </c>
      <c r="P463" t="n">
        <v>0</v>
      </c>
      <c r="Q463" t="n">
        <v>0</v>
      </c>
      <c r="R463" s="2" t="inlineStr"/>
    </row>
    <row r="464" ht="15" customHeight="1">
      <c r="A464" t="inlineStr">
        <is>
          <t>A 34382-2025</t>
        </is>
      </c>
      <c r="B464" s="1" t="n">
        <v>45846</v>
      </c>
      <c r="C464" s="1" t="n">
        <v>45932</v>
      </c>
      <c r="D464" t="inlineStr">
        <is>
          <t>DALARNAS LÄN</t>
        </is>
      </c>
      <c r="E464" t="inlineStr">
        <is>
          <t>MORA</t>
        </is>
      </c>
      <c r="G464" t="n">
        <v>0.7</v>
      </c>
      <c r="H464" t="n">
        <v>0</v>
      </c>
      <c r="I464" t="n">
        <v>0</v>
      </c>
      <c r="J464" t="n">
        <v>0</v>
      </c>
      <c r="K464" t="n">
        <v>0</v>
      </c>
      <c r="L464" t="n">
        <v>0</v>
      </c>
      <c r="M464" t="n">
        <v>0</v>
      </c>
      <c r="N464" t="n">
        <v>0</v>
      </c>
      <c r="O464" t="n">
        <v>0</v>
      </c>
      <c r="P464" t="n">
        <v>0</v>
      </c>
      <c r="Q464" t="n">
        <v>0</v>
      </c>
      <c r="R464" s="2" t="inlineStr"/>
    </row>
    <row r="465" ht="15" customHeight="1">
      <c r="A465" t="inlineStr">
        <is>
          <t>A 21244-2024</t>
        </is>
      </c>
      <c r="B465" s="1" t="n">
        <v>45440.59936342593</v>
      </c>
      <c r="C465" s="1" t="n">
        <v>45932</v>
      </c>
      <c r="D465" t="inlineStr">
        <is>
          <t>DALARNAS LÄN</t>
        </is>
      </c>
      <c r="E465" t="inlineStr">
        <is>
          <t>MORA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28964-2024</t>
        </is>
      </c>
      <c r="B466" s="1" t="n">
        <v>45481.42923611111</v>
      </c>
      <c r="C466" s="1" t="n">
        <v>45932</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46188-2022</t>
        </is>
      </c>
      <c r="B467" s="1" t="n">
        <v>44847.518125</v>
      </c>
      <c r="C467" s="1" t="n">
        <v>45932</v>
      </c>
      <c r="D467" t="inlineStr">
        <is>
          <t>DALARNAS LÄN</t>
        </is>
      </c>
      <c r="E467" t="inlineStr">
        <is>
          <t>MORA</t>
        </is>
      </c>
      <c r="G467" t="n">
        <v>1.8</v>
      </c>
      <c r="H467" t="n">
        <v>0</v>
      </c>
      <c r="I467" t="n">
        <v>0</v>
      </c>
      <c r="J467" t="n">
        <v>0</v>
      </c>
      <c r="K467" t="n">
        <v>0</v>
      </c>
      <c r="L467" t="n">
        <v>0</v>
      </c>
      <c r="M467" t="n">
        <v>0</v>
      </c>
      <c r="N467" t="n">
        <v>0</v>
      </c>
      <c r="O467" t="n">
        <v>0</v>
      </c>
      <c r="P467" t="n">
        <v>0</v>
      </c>
      <c r="Q467" t="n">
        <v>0</v>
      </c>
      <c r="R467" s="2" t="inlineStr"/>
    </row>
    <row r="468" ht="15" customHeight="1">
      <c r="A468" t="inlineStr">
        <is>
          <t>A 39824-2025</t>
        </is>
      </c>
      <c r="B468" s="1" t="n">
        <v>45891</v>
      </c>
      <c r="C468" s="1" t="n">
        <v>45932</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2879-2022</t>
        </is>
      </c>
      <c r="B469" s="1" t="n">
        <v>44581</v>
      </c>
      <c r="C469" s="1" t="n">
        <v>45932</v>
      </c>
      <c r="D469" t="inlineStr">
        <is>
          <t>DALARNAS LÄN</t>
        </is>
      </c>
      <c r="E469" t="inlineStr">
        <is>
          <t>MORA</t>
        </is>
      </c>
      <c r="G469" t="n">
        <v>2.3</v>
      </c>
      <c r="H469" t="n">
        <v>0</v>
      </c>
      <c r="I469" t="n">
        <v>0</v>
      </c>
      <c r="J469" t="n">
        <v>0</v>
      </c>
      <c r="K469" t="n">
        <v>0</v>
      </c>
      <c r="L469" t="n">
        <v>0</v>
      </c>
      <c r="M469" t="n">
        <v>0</v>
      </c>
      <c r="N469" t="n">
        <v>0</v>
      </c>
      <c r="O469" t="n">
        <v>0</v>
      </c>
      <c r="P469" t="n">
        <v>0</v>
      </c>
      <c r="Q469" t="n">
        <v>0</v>
      </c>
      <c r="R469" s="2" t="inlineStr"/>
    </row>
    <row r="470" ht="15" customHeight="1">
      <c r="A470" t="inlineStr">
        <is>
          <t>A 30194-2024</t>
        </is>
      </c>
      <c r="B470" s="1" t="n">
        <v>45490.33387731481</v>
      </c>
      <c r="C470" s="1" t="n">
        <v>45932</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58177-2024</t>
        </is>
      </c>
      <c r="B471" s="1" t="n">
        <v>45632.46821759259</v>
      </c>
      <c r="C471" s="1" t="n">
        <v>45932</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34933-2025</t>
        </is>
      </c>
      <c r="B472" s="1" t="n">
        <v>45849.57297453703</v>
      </c>
      <c r="C472" s="1" t="n">
        <v>45932</v>
      </c>
      <c r="D472" t="inlineStr">
        <is>
          <t>DALARNAS LÄN</t>
        </is>
      </c>
      <c r="E472" t="inlineStr">
        <is>
          <t>MORA</t>
        </is>
      </c>
      <c r="F472" t="inlineStr">
        <is>
          <t>Bergvik skog väst AB</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42035-2022</t>
        </is>
      </c>
      <c r="B473" s="1" t="n">
        <v>44830</v>
      </c>
      <c r="C473" s="1" t="n">
        <v>45932</v>
      </c>
      <c r="D473" t="inlineStr">
        <is>
          <t>DALARNAS LÄN</t>
        </is>
      </c>
      <c r="E473" t="inlineStr">
        <is>
          <t>MORA</t>
        </is>
      </c>
      <c r="G473" t="n">
        <v>2.7</v>
      </c>
      <c r="H473" t="n">
        <v>0</v>
      </c>
      <c r="I473" t="n">
        <v>0</v>
      </c>
      <c r="J473" t="n">
        <v>0</v>
      </c>
      <c r="K473" t="n">
        <v>0</v>
      </c>
      <c r="L473" t="n">
        <v>0</v>
      </c>
      <c r="M473" t="n">
        <v>0</v>
      </c>
      <c r="N473" t="n">
        <v>0</v>
      </c>
      <c r="O473" t="n">
        <v>0</v>
      </c>
      <c r="P473" t="n">
        <v>0</v>
      </c>
      <c r="Q473" t="n">
        <v>0</v>
      </c>
      <c r="R473" s="2" t="inlineStr"/>
    </row>
    <row r="474" ht="15" customHeight="1">
      <c r="A474" t="inlineStr">
        <is>
          <t>A 39787-2025</t>
        </is>
      </c>
      <c r="B474" s="1" t="n">
        <v>45891</v>
      </c>
      <c r="C474" s="1" t="n">
        <v>45932</v>
      </c>
      <c r="D474" t="inlineStr">
        <is>
          <t>DALARNAS LÄN</t>
        </is>
      </c>
      <c r="E474" t="inlineStr">
        <is>
          <t>MORA</t>
        </is>
      </c>
      <c r="G474" t="n">
        <v>1.6</v>
      </c>
      <c r="H474" t="n">
        <v>0</v>
      </c>
      <c r="I474" t="n">
        <v>0</v>
      </c>
      <c r="J474" t="n">
        <v>0</v>
      </c>
      <c r="K474" t="n">
        <v>0</v>
      </c>
      <c r="L474" t="n">
        <v>0</v>
      </c>
      <c r="M474" t="n">
        <v>0</v>
      </c>
      <c r="N474" t="n">
        <v>0</v>
      </c>
      <c r="O474" t="n">
        <v>0</v>
      </c>
      <c r="P474" t="n">
        <v>0</v>
      </c>
      <c r="Q474" t="n">
        <v>0</v>
      </c>
      <c r="R474" s="2" t="inlineStr"/>
    </row>
    <row r="475" ht="15" customHeight="1">
      <c r="A475" t="inlineStr">
        <is>
          <t>A 45390-2024</t>
        </is>
      </c>
      <c r="B475" s="1" t="n">
        <v>45576.54820601852</v>
      </c>
      <c r="C475" s="1" t="n">
        <v>45932</v>
      </c>
      <c r="D475" t="inlineStr">
        <is>
          <t>DALARNAS LÄN</t>
        </is>
      </c>
      <c r="E475" t="inlineStr">
        <is>
          <t>MORA</t>
        </is>
      </c>
      <c r="F475" t="inlineStr">
        <is>
          <t>Bergvik skog väst AB</t>
        </is>
      </c>
      <c r="G475" t="n">
        <v>5.6</v>
      </c>
      <c r="H475" t="n">
        <v>0</v>
      </c>
      <c r="I475" t="n">
        <v>0</v>
      </c>
      <c r="J475" t="n">
        <v>0</v>
      </c>
      <c r="K475" t="n">
        <v>0</v>
      </c>
      <c r="L475" t="n">
        <v>0</v>
      </c>
      <c r="M475" t="n">
        <v>0</v>
      </c>
      <c r="N475" t="n">
        <v>0</v>
      </c>
      <c r="O475" t="n">
        <v>0</v>
      </c>
      <c r="P475" t="n">
        <v>0</v>
      </c>
      <c r="Q475" t="n">
        <v>0</v>
      </c>
      <c r="R475" s="2" t="inlineStr"/>
    </row>
    <row r="476" ht="15" customHeight="1">
      <c r="A476" t="inlineStr">
        <is>
          <t>A 58089-2024</t>
        </is>
      </c>
      <c r="B476" s="1" t="n">
        <v>45632.34984953704</v>
      </c>
      <c r="C476" s="1" t="n">
        <v>45932</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40140-2025</t>
        </is>
      </c>
      <c r="B477" s="1" t="n">
        <v>45894.57016203704</v>
      </c>
      <c r="C477" s="1" t="n">
        <v>45932</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40142-2025</t>
        </is>
      </c>
      <c r="B478" s="1" t="n">
        <v>45894.57202546296</v>
      </c>
      <c r="C478" s="1" t="n">
        <v>45932</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4208-2023</t>
        </is>
      </c>
      <c r="B479" s="1" t="n">
        <v>44953</v>
      </c>
      <c r="C479" s="1" t="n">
        <v>45932</v>
      </c>
      <c r="D479" t="inlineStr">
        <is>
          <t>DALARNAS LÄN</t>
        </is>
      </c>
      <c r="E479" t="inlineStr">
        <is>
          <t>MORA</t>
        </is>
      </c>
      <c r="G479" t="n">
        <v>2.4</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44953.44965277778</v>
      </c>
      <c r="C480" s="1" t="n">
        <v>45932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40471-2025</t>
        </is>
      </c>
      <c r="B481" s="1" t="n">
        <v>45895.67356481482</v>
      </c>
      <c r="C481" s="1" t="n">
        <v>45932</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40147-2025</t>
        </is>
      </c>
      <c r="B482" s="1" t="n">
        <v>45894.57918981482</v>
      </c>
      <c r="C482" s="1" t="n">
        <v>45932</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44769-2021</t>
        </is>
      </c>
      <c r="B483" s="1" t="n">
        <v>44438</v>
      </c>
      <c r="C483" s="1" t="n">
        <v>45932</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58036-2024</t>
        </is>
      </c>
      <c r="B484" s="1" t="n">
        <v>45631.71893518518</v>
      </c>
      <c r="C484" s="1" t="n">
        <v>45932</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35121-2025</t>
        </is>
      </c>
      <c r="B485" s="1" t="n">
        <v>45852.60936342592</v>
      </c>
      <c r="C485" s="1" t="n">
        <v>45932</v>
      </c>
      <c r="D485" t="inlineStr">
        <is>
          <t>DALARNAS LÄN</t>
        </is>
      </c>
      <c r="E485" t="inlineStr">
        <is>
          <t>MORA</t>
        </is>
      </c>
      <c r="F485" t="inlineStr">
        <is>
          <t>Bergvik skog öst AB</t>
        </is>
      </c>
      <c r="G485" t="n">
        <v>15.9</v>
      </c>
      <c r="H485" t="n">
        <v>0</v>
      </c>
      <c r="I485" t="n">
        <v>0</v>
      </c>
      <c r="J485" t="n">
        <v>0</v>
      </c>
      <c r="K485" t="n">
        <v>0</v>
      </c>
      <c r="L485" t="n">
        <v>0</v>
      </c>
      <c r="M485" t="n">
        <v>0</v>
      </c>
      <c r="N485" t="n">
        <v>0</v>
      </c>
      <c r="O485" t="n">
        <v>0</v>
      </c>
      <c r="P485" t="n">
        <v>0</v>
      </c>
      <c r="Q485" t="n">
        <v>0</v>
      </c>
      <c r="R485" s="2" t="inlineStr"/>
    </row>
    <row r="486" ht="15" customHeight="1">
      <c r="A486" t="inlineStr">
        <is>
          <t>A 3430-2023</t>
        </is>
      </c>
      <c r="B486" s="1" t="n">
        <v>44949.57856481482</v>
      </c>
      <c r="C486" s="1" t="n">
        <v>45932</v>
      </c>
      <c r="D486" t="inlineStr">
        <is>
          <t>DALARNAS LÄN</t>
        </is>
      </c>
      <c r="E486" t="inlineStr">
        <is>
          <t>MORA</t>
        </is>
      </c>
      <c r="G486" t="n">
        <v>2.6</v>
      </c>
      <c r="H486" t="n">
        <v>0</v>
      </c>
      <c r="I486" t="n">
        <v>0</v>
      </c>
      <c r="J486" t="n">
        <v>0</v>
      </c>
      <c r="K486" t="n">
        <v>0</v>
      </c>
      <c r="L486" t="n">
        <v>0</v>
      </c>
      <c r="M486" t="n">
        <v>0</v>
      </c>
      <c r="N486" t="n">
        <v>0</v>
      </c>
      <c r="O486" t="n">
        <v>0</v>
      </c>
      <c r="P486" t="n">
        <v>0</v>
      </c>
      <c r="Q486" t="n">
        <v>0</v>
      </c>
      <c r="R486" s="2" t="inlineStr"/>
    </row>
    <row r="487" ht="15" customHeight="1">
      <c r="A487" t="inlineStr">
        <is>
          <t>A 15817-2024</t>
        </is>
      </c>
      <c r="B487" s="1" t="n">
        <v>45404.67387731482</v>
      </c>
      <c r="C487" s="1" t="n">
        <v>45932</v>
      </c>
      <c r="D487" t="inlineStr">
        <is>
          <t>DALARNAS LÄN</t>
        </is>
      </c>
      <c r="E487" t="inlineStr">
        <is>
          <t>MORA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40661-2025</t>
        </is>
      </c>
      <c r="B488" s="1" t="n">
        <v>45896.64715277778</v>
      </c>
      <c r="C488" s="1" t="n">
        <v>45932</v>
      </c>
      <c r="D488" t="inlineStr">
        <is>
          <t>DALARNAS LÄN</t>
        </is>
      </c>
      <c r="E488" t="inlineStr">
        <is>
          <t>MORA</t>
        </is>
      </c>
      <c r="G488" t="n">
        <v>2.8</v>
      </c>
      <c r="H488" t="n">
        <v>0</v>
      </c>
      <c r="I488" t="n">
        <v>0</v>
      </c>
      <c r="J488" t="n">
        <v>0</v>
      </c>
      <c r="K488" t="n">
        <v>0</v>
      </c>
      <c r="L488" t="n">
        <v>0</v>
      </c>
      <c r="M488" t="n">
        <v>0</v>
      </c>
      <c r="N488" t="n">
        <v>0</v>
      </c>
      <c r="O488" t="n">
        <v>0</v>
      </c>
      <c r="P488" t="n">
        <v>0</v>
      </c>
      <c r="Q488" t="n">
        <v>0</v>
      </c>
      <c r="R488" s="2" t="inlineStr"/>
    </row>
    <row r="489" ht="15" customHeight="1">
      <c r="A489" t="inlineStr">
        <is>
          <t>A 40660-2025</t>
        </is>
      </c>
      <c r="B489" s="1" t="n">
        <v>45896.64631944444</v>
      </c>
      <c r="C489" s="1" t="n">
        <v>45932</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40805-2025</t>
        </is>
      </c>
      <c r="B490" s="1" t="n">
        <v>45897.46659722222</v>
      </c>
      <c r="C490" s="1" t="n">
        <v>45932</v>
      </c>
      <c r="D490" t="inlineStr">
        <is>
          <t>DALARNAS LÄN</t>
        </is>
      </c>
      <c r="E490" t="inlineStr">
        <is>
          <t>MORA</t>
        </is>
      </c>
      <c r="G490" t="n">
        <v>1.6</v>
      </c>
      <c r="H490" t="n">
        <v>0</v>
      </c>
      <c r="I490" t="n">
        <v>0</v>
      </c>
      <c r="J490" t="n">
        <v>0</v>
      </c>
      <c r="K490" t="n">
        <v>0</v>
      </c>
      <c r="L490" t="n">
        <v>0</v>
      </c>
      <c r="M490" t="n">
        <v>0</v>
      </c>
      <c r="N490" t="n">
        <v>0</v>
      </c>
      <c r="O490" t="n">
        <v>0</v>
      </c>
      <c r="P490" t="n">
        <v>0</v>
      </c>
      <c r="Q490" t="n">
        <v>0</v>
      </c>
      <c r="R490" s="2" t="inlineStr"/>
    </row>
    <row r="491" ht="15" customHeight="1">
      <c r="A491" t="inlineStr">
        <is>
          <t>A 58116-2022</t>
        </is>
      </c>
      <c r="B491" s="1" t="n">
        <v>44900.65716435185</v>
      </c>
      <c r="C491" s="1" t="n">
        <v>45932</v>
      </c>
      <c r="D491" t="inlineStr">
        <is>
          <t>DALARNAS LÄN</t>
        </is>
      </c>
      <c r="E491" t="inlineStr">
        <is>
          <t>MORA</t>
        </is>
      </c>
      <c r="G491" t="n">
        <v>2.9</v>
      </c>
      <c r="H491" t="n">
        <v>0</v>
      </c>
      <c r="I491" t="n">
        <v>0</v>
      </c>
      <c r="J491" t="n">
        <v>0</v>
      </c>
      <c r="K491" t="n">
        <v>0</v>
      </c>
      <c r="L491" t="n">
        <v>0</v>
      </c>
      <c r="M491" t="n">
        <v>0</v>
      </c>
      <c r="N491" t="n">
        <v>0</v>
      </c>
      <c r="O491" t="n">
        <v>0</v>
      </c>
      <c r="P491" t="n">
        <v>0</v>
      </c>
      <c r="Q491" t="n">
        <v>0</v>
      </c>
      <c r="R491" s="2" t="inlineStr"/>
    </row>
    <row r="492" ht="15" customHeight="1">
      <c r="A492" t="inlineStr">
        <is>
          <t>A 15172-2025</t>
        </is>
      </c>
      <c r="B492" s="1" t="n">
        <v>45744.50722222222</v>
      </c>
      <c r="C492" s="1" t="n">
        <v>45932</v>
      </c>
      <c r="D492" t="inlineStr">
        <is>
          <t>DALARNAS LÄN</t>
        </is>
      </c>
      <c r="E492" t="inlineStr">
        <is>
          <t>MORA</t>
        </is>
      </c>
      <c r="G492" t="n">
        <v>3.2</v>
      </c>
      <c r="H492" t="n">
        <v>0</v>
      </c>
      <c r="I492" t="n">
        <v>0</v>
      </c>
      <c r="J492" t="n">
        <v>0</v>
      </c>
      <c r="K492" t="n">
        <v>0</v>
      </c>
      <c r="L492" t="n">
        <v>0</v>
      </c>
      <c r="M492" t="n">
        <v>0</v>
      </c>
      <c r="N492" t="n">
        <v>0</v>
      </c>
      <c r="O492" t="n">
        <v>0</v>
      </c>
      <c r="P492" t="n">
        <v>0</v>
      </c>
      <c r="Q492" t="n">
        <v>0</v>
      </c>
      <c r="R492" s="2" t="inlineStr"/>
    </row>
    <row r="493" ht="15" customHeight="1">
      <c r="A493" t="inlineStr">
        <is>
          <t>A 35407-2025</t>
        </is>
      </c>
      <c r="B493" s="1" t="n">
        <v>45855.35989583333</v>
      </c>
      <c r="C493" s="1" t="n">
        <v>45932</v>
      </c>
      <c r="D493" t="inlineStr">
        <is>
          <t>DALARNAS LÄN</t>
        </is>
      </c>
      <c r="E493" t="inlineStr">
        <is>
          <t>MORA</t>
        </is>
      </c>
      <c r="G493" t="n">
        <v>1.4</v>
      </c>
      <c r="H493" t="n">
        <v>0</v>
      </c>
      <c r="I493" t="n">
        <v>0</v>
      </c>
      <c r="J493" t="n">
        <v>0</v>
      </c>
      <c r="K493" t="n">
        <v>0</v>
      </c>
      <c r="L493" t="n">
        <v>0</v>
      </c>
      <c r="M493" t="n">
        <v>0</v>
      </c>
      <c r="N493" t="n">
        <v>0</v>
      </c>
      <c r="O493" t="n">
        <v>0</v>
      </c>
      <c r="P493" t="n">
        <v>0</v>
      </c>
      <c r="Q493" t="n">
        <v>0</v>
      </c>
      <c r="R493" s="2" t="inlineStr"/>
    </row>
    <row r="494" ht="15" customHeight="1">
      <c r="A494" t="inlineStr">
        <is>
          <t>A 41410-2025</t>
        </is>
      </c>
      <c r="B494" s="1" t="n">
        <v>45901.35030092593</v>
      </c>
      <c r="C494" s="1" t="n">
        <v>45932</v>
      </c>
      <c r="D494" t="inlineStr">
        <is>
          <t>DALARNAS LÄN</t>
        </is>
      </c>
      <c r="E494" t="inlineStr">
        <is>
          <t>MORA</t>
        </is>
      </c>
      <c r="G494" t="n">
        <v>4.5</v>
      </c>
      <c r="H494" t="n">
        <v>0</v>
      </c>
      <c r="I494" t="n">
        <v>0</v>
      </c>
      <c r="J494" t="n">
        <v>0</v>
      </c>
      <c r="K494" t="n">
        <v>0</v>
      </c>
      <c r="L494" t="n">
        <v>0</v>
      </c>
      <c r="M494" t="n">
        <v>0</v>
      </c>
      <c r="N494" t="n">
        <v>0</v>
      </c>
      <c r="O494" t="n">
        <v>0</v>
      </c>
      <c r="P494" t="n">
        <v>0</v>
      </c>
      <c r="Q494" t="n">
        <v>0</v>
      </c>
      <c r="R494" s="2" t="inlineStr"/>
    </row>
    <row r="495" ht="15" customHeight="1">
      <c r="A495" t="inlineStr">
        <is>
          <t>A 9277-2024</t>
        </is>
      </c>
      <c r="B495" s="1" t="n">
        <v>45358.63265046296</v>
      </c>
      <c r="C495" s="1" t="n">
        <v>45932</v>
      </c>
      <c r="D495" t="inlineStr">
        <is>
          <t>DALARNAS LÄN</t>
        </is>
      </c>
      <c r="E495" t="inlineStr">
        <is>
          <t>MORA</t>
        </is>
      </c>
      <c r="G495" t="n">
        <v>1.7</v>
      </c>
      <c r="H495" t="n">
        <v>0</v>
      </c>
      <c r="I495" t="n">
        <v>0</v>
      </c>
      <c r="J495" t="n">
        <v>0</v>
      </c>
      <c r="K495" t="n">
        <v>0</v>
      </c>
      <c r="L495" t="n">
        <v>0</v>
      </c>
      <c r="M495" t="n">
        <v>0</v>
      </c>
      <c r="N495" t="n">
        <v>0</v>
      </c>
      <c r="O495" t="n">
        <v>0</v>
      </c>
      <c r="P495" t="n">
        <v>0</v>
      </c>
      <c r="Q495" t="n">
        <v>0</v>
      </c>
      <c r="R495" s="2" t="inlineStr"/>
    </row>
    <row r="496" ht="15" customHeight="1">
      <c r="A496" t="inlineStr">
        <is>
          <t>A 18992-2024</t>
        </is>
      </c>
      <c r="B496" s="1" t="n">
        <v>45427.61516203704</v>
      </c>
      <c r="C496" s="1" t="n">
        <v>45932</v>
      </c>
      <c r="D496" t="inlineStr">
        <is>
          <t>DALARNAS LÄN</t>
        </is>
      </c>
      <c r="E496" t="inlineStr">
        <is>
          <t>MORA</t>
        </is>
      </c>
      <c r="G496" t="n">
        <v>9.9</v>
      </c>
      <c r="H496" t="n">
        <v>0</v>
      </c>
      <c r="I496" t="n">
        <v>0</v>
      </c>
      <c r="J496" t="n">
        <v>0</v>
      </c>
      <c r="K496" t="n">
        <v>0</v>
      </c>
      <c r="L496" t="n">
        <v>0</v>
      </c>
      <c r="M496" t="n">
        <v>0</v>
      </c>
      <c r="N496" t="n">
        <v>0</v>
      </c>
      <c r="O496" t="n">
        <v>0</v>
      </c>
      <c r="P496" t="n">
        <v>0</v>
      </c>
      <c r="Q496" t="n">
        <v>0</v>
      </c>
      <c r="R496" s="2" t="inlineStr"/>
    </row>
    <row r="497" ht="15" customHeight="1">
      <c r="A497" t="inlineStr">
        <is>
          <t>A 60647-2022</t>
        </is>
      </c>
      <c r="B497" s="1" t="n">
        <v>44911</v>
      </c>
      <c r="C497" s="1" t="n">
        <v>45932</v>
      </c>
      <c r="D497" t="inlineStr">
        <is>
          <t>DALARNAS LÄN</t>
        </is>
      </c>
      <c r="E497" t="inlineStr">
        <is>
          <t>MORA</t>
        </is>
      </c>
      <c r="G497" t="n">
        <v>4.8</v>
      </c>
      <c r="H497" t="n">
        <v>0</v>
      </c>
      <c r="I497" t="n">
        <v>0</v>
      </c>
      <c r="J497" t="n">
        <v>0</v>
      </c>
      <c r="K497" t="n">
        <v>0</v>
      </c>
      <c r="L497" t="n">
        <v>0</v>
      </c>
      <c r="M497" t="n">
        <v>0</v>
      </c>
      <c r="N497" t="n">
        <v>0</v>
      </c>
      <c r="O497" t="n">
        <v>0</v>
      </c>
      <c r="P497" t="n">
        <v>0</v>
      </c>
      <c r="Q497" t="n">
        <v>0</v>
      </c>
      <c r="R497" s="2" t="inlineStr"/>
    </row>
    <row r="498" ht="15" customHeight="1">
      <c r="A498" t="inlineStr">
        <is>
          <t>A 41614-2025</t>
        </is>
      </c>
      <c r="B498" s="1" t="n">
        <v>45901.68267361111</v>
      </c>
      <c r="C498" s="1" t="n">
        <v>45932</v>
      </c>
      <c r="D498" t="inlineStr">
        <is>
          <t>DALARNAS LÄN</t>
        </is>
      </c>
      <c r="E498" t="inlineStr">
        <is>
          <t>MORA</t>
        </is>
      </c>
      <c r="F498" t="inlineStr">
        <is>
          <t>Bergvik skog väst AB</t>
        </is>
      </c>
      <c r="G498" t="n">
        <v>13.8</v>
      </c>
      <c r="H498" t="n">
        <v>0</v>
      </c>
      <c r="I498" t="n">
        <v>0</v>
      </c>
      <c r="J498" t="n">
        <v>0</v>
      </c>
      <c r="K498" t="n">
        <v>0</v>
      </c>
      <c r="L498" t="n">
        <v>0</v>
      </c>
      <c r="M498" t="n">
        <v>0</v>
      </c>
      <c r="N498" t="n">
        <v>0</v>
      </c>
      <c r="O498" t="n">
        <v>0</v>
      </c>
      <c r="P498" t="n">
        <v>0</v>
      </c>
      <c r="Q498" t="n">
        <v>0</v>
      </c>
      <c r="R498" s="2" t="inlineStr"/>
    </row>
    <row r="499" ht="15" customHeight="1">
      <c r="A499" t="inlineStr">
        <is>
          <t>A 41175-2025</t>
        </is>
      </c>
      <c r="B499" s="1" t="n">
        <v>45898.55165509259</v>
      </c>
      <c r="C499" s="1" t="n">
        <v>45932</v>
      </c>
      <c r="D499" t="inlineStr">
        <is>
          <t>DALARNAS LÄN</t>
        </is>
      </c>
      <c r="E499" t="inlineStr">
        <is>
          <t>MORA</t>
        </is>
      </c>
      <c r="G499" t="n">
        <v>4.5</v>
      </c>
      <c r="H499" t="n">
        <v>0</v>
      </c>
      <c r="I499" t="n">
        <v>0</v>
      </c>
      <c r="J499" t="n">
        <v>0</v>
      </c>
      <c r="K499" t="n">
        <v>0</v>
      </c>
      <c r="L499" t="n">
        <v>0</v>
      </c>
      <c r="M499" t="n">
        <v>0</v>
      </c>
      <c r="N499" t="n">
        <v>0</v>
      </c>
      <c r="O499" t="n">
        <v>0</v>
      </c>
      <c r="P499" t="n">
        <v>0</v>
      </c>
      <c r="Q499" t="n">
        <v>0</v>
      </c>
      <c r="R499" s="2" t="inlineStr"/>
    </row>
    <row r="500" ht="15" customHeight="1">
      <c r="A500" t="inlineStr">
        <is>
          <t>A 35611-2025</t>
        </is>
      </c>
      <c r="B500" s="1" t="n">
        <v>45859.35384259259</v>
      </c>
      <c r="C500" s="1" t="n">
        <v>45932</v>
      </c>
      <c r="D500" t="inlineStr">
        <is>
          <t>DALARNAS LÄN</t>
        </is>
      </c>
      <c r="E500" t="inlineStr">
        <is>
          <t>MORA</t>
        </is>
      </c>
      <c r="G500" t="n">
        <v>2.5</v>
      </c>
      <c r="H500" t="n">
        <v>0</v>
      </c>
      <c r="I500" t="n">
        <v>0</v>
      </c>
      <c r="J500" t="n">
        <v>0</v>
      </c>
      <c r="K500" t="n">
        <v>0</v>
      </c>
      <c r="L500" t="n">
        <v>0</v>
      </c>
      <c r="M500" t="n">
        <v>0</v>
      </c>
      <c r="N500" t="n">
        <v>0</v>
      </c>
      <c r="O500" t="n">
        <v>0</v>
      </c>
      <c r="P500" t="n">
        <v>0</v>
      </c>
      <c r="Q500" t="n">
        <v>0</v>
      </c>
      <c r="R500" s="2" t="inlineStr"/>
    </row>
    <row r="501" ht="15" customHeight="1">
      <c r="A501" t="inlineStr">
        <is>
          <t>A 41200-2025</t>
        </is>
      </c>
      <c r="B501" s="1" t="n">
        <v>45898.5738425926</v>
      </c>
      <c r="C501" s="1" t="n">
        <v>45932</v>
      </c>
      <c r="D501" t="inlineStr">
        <is>
          <t>DALARNAS LÄN</t>
        </is>
      </c>
      <c r="E501" t="inlineStr">
        <is>
          <t>MORA</t>
        </is>
      </c>
      <c r="G501" t="n">
        <v>8.9</v>
      </c>
      <c r="H501" t="n">
        <v>0</v>
      </c>
      <c r="I501" t="n">
        <v>0</v>
      </c>
      <c r="J501" t="n">
        <v>0</v>
      </c>
      <c r="K501" t="n">
        <v>0</v>
      </c>
      <c r="L501" t="n">
        <v>0</v>
      </c>
      <c r="M501" t="n">
        <v>0</v>
      </c>
      <c r="N501" t="n">
        <v>0</v>
      </c>
      <c r="O501" t="n">
        <v>0</v>
      </c>
      <c r="P501" t="n">
        <v>0</v>
      </c>
      <c r="Q501" t="n">
        <v>0</v>
      </c>
      <c r="R501" s="2" t="inlineStr"/>
    </row>
    <row r="502" ht="15" customHeight="1">
      <c r="A502" t="inlineStr">
        <is>
          <t>A 39897-2022</t>
        </is>
      </c>
      <c r="B502" s="1" t="n">
        <v>44819.66083333334</v>
      </c>
      <c r="C502" s="1" t="n">
        <v>45932</v>
      </c>
      <c r="D502" t="inlineStr">
        <is>
          <t>DALARNAS LÄN</t>
        </is>
      </c>
      <c r="E502" t="inlineStr">
        <is>
          <t>MORA</t>
        </is>
      </c>
      <c r="G502" t="n">
        <v>15.8</v>
      </c>
      <c r="H502" t="n">
        <v>0</v>
      </c>
      <c r="I502" t="n">
        <v>0</v>
      </c>
      <c r="J502" t="n">
        <v>0</v>
      </c>
      <c r="K502" t="n">
        <v>0</v>
      </c>
      <c r="L502" t="n">
        <v>0</v>
      </c>
      <c r="M502" t="n">
        <v>0</v>
      </c>
      <c r="N502" t="n">
        <v>0</v>
      </c>
      <c r="O502" t="n">
        <v>0</v>
      </c>
      <c r="P502" t="n">
        <v>0</v>
      </c>
      <c r="Q502" t="n">
        <v>0</v>
      </c>
      <c r="R502" s="2" t="inlineStr"/>
    </row>
    <row r="503" ht="15" customHeight="1">
      <c r="A503" t="inlineStr">
        <is>
          <t>A 62853-2023</t>
        </is>
      </c>
      <c r="B503" s="1" t="n">
        <v>45272</v>
      </c>
      <c r="C503" s="1" t="n">
        <v>45932</v>
      </c>
      <c r="D503" t="inlineStr">
        <is>
          <t>DALARNAS LÄN</t>
        </is>
      </c>
      <c r="E503" t="inlineStr">
        <is>
          <t>MORA</t>
        </is>
      </c>
      <c r="G503" t="n">
        <v>13.6</v>
      </c>
      <c r="H503" t="n">
        <v>0</v>
      </c>
      <c r="I503" t="n">
        <v>0</v>
      </c>
      <c r="J503" t="n">
        <v>0</v>
      </c>
      <c r="K503" t="n">
        <v>0</v>
      </c>
      <c r="L503" t="n">
        <v>0</v>
      </c>
      <c r="M503" t="n">
        <v>0</v>
      </c>
      <c r="N503" t="n">
        <v>0</v>
      </c>
      <c r="O503" t="n">
        <v>0</v>
      </c>
      <c r="P503" t="n">
        <v>0</v>
      </c>
      <c r="Q503" t="n">
        <v>0</v>
      </c>
      <c r="R503" s="2" t="inlineStr"/>
    </row>
    <row r="504" ht="15" customHeight="1">
      <c r="A504" t="inlineStr">
        <is>
          <t>A 41783-2025</t>
        </is>
      </c>
      <c r="B504" s="1" t="n">
        <v>45902.58721064815</v>
      </c>
      <c r="C504" s="1" t="n">
        <v>45932</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47055-2025</t>
        </is>
      </c>
      <c r="B505" s="1" t="n">
        <v>45929.61931712963</v>
      </c>
      <c r="C505" s="1" t="n">
        <v>45932</v>
      </c>
      <c r="D505" t="inlineStr">
        <is>
          <t>DALARNAS LÄN</t>
        </is>
      </c>
      <c r="E505" t="inlineStr">
        <is>
          <t>MORA</t>
        </is>
      </c>
      <c r="G505" t="n">
        <v>28.1</v>
      </c>
      <c r="H505" t="n">
        <v>0</v>
      </c>
      <c r="I505" t="n">
        <v>0</v>
      </c>
      <c r="J505" t="n">
        <v>0</v>
      </c>
      <c r="K505" t="n">
        <v>0</v>
      </c>
      <c r="L505" t="n">
        <v>0</v>
      </c>
      <c r="M505" t="n">
        <v>0</v>
      </c>
      <c r="N505" t="n">
        <v>0</v>
      </c>
      <c r="O505" t="n">
        <v>0</v>
      </c>
      <c r="P505" t="n">
        <v>0</v>
      </c>
      <c r="Q505" t="n">
        <v>0</v>
      </c>
      <c r="R505" s="2" t="inlineStr"/>
    </row>
    <row r="506" ht="15" customHeight="1">
      <c r="A506" t="inlineStr">
        <is>
          <t>A 35734-2025</t>
        </is>
      </c>
      <c r="B506" s="1" t="n">
        <v>45860.471875</v>
      </c>
      <c r="C506" s="1" t="n">
        <v>45932</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35623-2025</t>
        </is>
      </c>
      <c r="B507" s="1" t="n">
        <v>45859</v>
      </c>
      <c r="C507" s="1" t="n">
        <v>45932</v>
      </c>
      <c r="D507" t="inlineStr">
        <is>
          <t>DALARNAS LÄN</t>
        </is>
      </c>
      <c r="E507" t="inlineStr">
        <is>
          <t>MORA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11919-2024</t>
        </is>
      </c>
      <c r="B508" s="1" t="n">
        <v>45376.61019675926</v>
      </c>
      <c r="C508" s="1" t="n">
        <v>45932</v>
      </c>
      <c r="D508" t="inlineStr">
        <is>
          <t>DALARNAS LÄN</t>
        </is>
      </c>
      <c r="E508" t="inlineStr">
        <is>
          <t>MORA</t>
        </is>
      </c>
      <c r="G508" t="n">
        <v>3.5</v>
      </c>
      <c r="H508" t="n">
        <v>0</v>
      </c>
      <c r="I508" t="n">
        <v>0</v>
      </c>
      <c r="J508" t="n">
        <v>0</v>
      </c>
      <c r="K508" t="n">
        <v>0</v>
      </c>
      <c r="L508" t="n">
        <v>0</v>
      </c>
      <c r="M508" t="n">
        <v>0</v>
      </c>
      <c r="N508" t="n">
        <v>0</v>
      </c>
      <c r="O508" t="n">
        <v>0</v>
      </c>
      <c r="P508" t="n">
        <v>0</v>
      </c>
      <c r="Q508" t="n">
        <v>0</v>
      </c>
      <c r="R508" s="2" t="inlineStr"/>
    </row>
    <row r="509" ht="15" customHeight="1">
      <c r="A509" t="inlineStr">
        <is>
          <t>A 1897-2023</t>
        </is>
      </c>
      <c r="B509" s="1" t="n">
        <v>44937</v>
      </c>
      <c r="C509" s="1" t="n">
        <v>45932</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37385-2022</t>
        </is>
      </c>
      <c r="B510" s="1" t="n">
        <v>44806</v>
      </c>
      <c r="C510" s="1" t="n">
        <v>45932</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35622-2025</t>
        </is>
      </c>
      <c r="B511" s="1" t="n">
        <v>45859</v>
      </c>
      <c r="C511" s="1" t="n">
        <v>45932</v>
      </c>
      <c r="D511" t="inlineStr">
        <is>
          <t>DALARNAS LÄN</t>
        </is>
      </c>
      <c r="E511" t="inlineStr">
        <is>
          <t>MORA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41794-2025</t>
        </is>
      </c>
      <c r="B512" s="1" t="n">
        <v>45902.60008101852</v>
      </c>
      <c r="C512" s="1" t="n">
        <v>45932</v>
      </c>
      <c r="D512" t="inlineStr">
        <is>
          <t>DALARNAS LÄN</t>
        </is>
      </c>
      <c r="E512" t="inlineStr">
        <is>
          <t>MORA</t>
        </is>
      </c>
      <c r="G512" t="n">
        <v>14.4</v>
      </c>
      <c r="H512" t="n">
        <v>0</v>
      </c>
      <c r="I512" t="n">
        <v>0</v>
      </c>
      <c r="J512" t="n">
        <v>0</v>
      </c>
      <c r="K512" t="n">
        <v>0</v>
      </c>
      <c r="L512" t="n">
        <v>0</v>
      </c>
      <c r="M512" t="n">
        <v>0</v>
      </c>
      <c r="N512" t="n">
        <v>0</v>
      </c>
      <c r="O512" t="n">
        <v>0</v>
      </c>
      <c r="P512" t="n">
        <v>0</v>
      </c>
      <c r="Q512" t="n">
        <v>0</v>
      </c>
      <c r="R512" s="2" t="inlineStr"/>
    </row>
    <row r="513" ht="15" customHeight="1">
      <c r="A513" t="inlineStr">
        <is>
          <t>A 56460-2022</t>
        </is>
      </c>
      <c r="B513" s="1" t="n">
        <v>44893</v>
      </c>
      <c r="C513" s="1" t="n">
        <v>45932</v>
      </c>
      <c r="D513" t="inlineStr">
        <is>
          <t>DALARNAS LÄN</t>
        </is>
      </c>
      <c r="E513" t="inlineStr">
        <is>
          <t>MORA</t>
        </is>
      </c>
      <c r="G513" t="n">
        <v>2.2</v>
      </c>
      <c r="H513" t="n">
        <v>0</v>
      </c>
      <c r="I513" t="n">
        <v>0</v>
      </c>
      <c r="J513" t="n">
        <v>0</v>
      </c>
      <c r="K513" t="n">
        <v>0</v>
      </c>
      <c r="L513" t="n">
        <v>0</v>
      </c>
      <c r="M513" t="n">
        <v>0</v>
      </c>
      <c r="N513" t="n">
        <v>0</v>
      </c>
      <c r="O513" t="n">
        <v>0</v>
      </c>
      <c r="P513" t="n">
        <v>0</v>
      </c>
      <c r="Q513" t="n">
        <v>0</v>
      </c>
      <c r="R513" s="2" t="inlineStr"/>
    </row>
    <row r="514" ht="15" customHeight="1">
      <c r="A514" t="inlineStr">
        <is>
          <t>A 42391-2023</t>
        </is>
      </c>
      <c r="B514" s="1" t="n">
        <v>45180</v>
      </c>
      <c r="C514" s="1" t="n">
        <v>45932</v>
      </c>
      <c r="D514" t="inlineStr">
        <is>
          <t>DALARNAS LÄN</t>
        </is>
      </c>
      <c r="E514" t="inlineStr">
        <is>
          <t>MORA</t>
        </is>
      </c>
      <c r="F514" t="inlineStr">
        <is>
          <t>Kommuner</t>
        </is>
      </c>
      <c r="G514" t="n">
        <v>0.3</v>
      </c>
      <c r="H514" t="n">
        <v>0</v>
      </c>
      <c r="I514" t="n">
        <v>0</v>
      </c>
      <c r="J514" t="n">
        <v>0</v>
      </c>
      <c r="K514" t="n">
        <v>0</v>
      </c>
      <c r="L514" t="n">
        <v>0</v>
      </c>
      <c r="M514" t="n">
        <v>0</v>
      </c>
      <c r="N514" t="n">
        <v>0</v>
      </c>
      <c r="O514" t="n">
        <v>0</v>
      </c>
      <c r="P514" t="n">
        <v>0</v>
      </c>
      <c r="Q514" t="n">
        <v>0</v>
      </c>
      <c r="R514" s="2" t="inlineStr"/>
    </row>
    <row r="515" ht="15" customHeight="1">
      <c r="A515" t="inlineStr">
        <is>
          <t>A 437-2024</t>
        </is>
      </c>
      <c r="B515" s="1" t="n">
        <v>45296</v>
      </c>
      <c r="C515" s="1" t="n">
        <v>45932</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41855-2025</t>
        </is>
      </c>
      <c r="B516" s="1" t="n">
        <v>45902.93693287037</v>
      </c>
      <c r="C516" s="1" t="n">
        <v>45932</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35624-2025</t>
        </is>
      </c>
      <c r="B517" s="1" t="n">
        <v>45859</v>
      </c>
      <c r="C517" s="1" t="n">
        <v>45932</v>
      </c>
      <c r="D517" t="inlineStr">
        <is>
          <t>DALARNAS LÄN</t>
        </is>
      </c>
      <c r="E517" t="inlineStr">
        <is>
          <t>MORA</t>
        </is>
      </c>
      <c r="F517" t="inlineStr">
        <is>
          <t>Bergvik skog öst AB</t>
        </is>
      </c>
      <c r="G517" t="n">
        <v>0.8</v>
      </c>
      <c r="H517" t="n">
        <v>0</v>
      </c>
      <c r="I517" t="n">
        <v>0</v>
      </c>
      <c r="J517" t="n">
        <v>0</v>
      </c>
      <c r="K517" t="n">
        <v>0</v>
      </c>
      <c r="L517" t="n">
        <v>0</v>
      </c>
      <c r="M517" t="n">
        <v>0</v>
      </c>
      <c r="N517" t="n">
        <v>0</v>
      </c>
      <c r="O517" t="n">
        <v>0</v>
      </c>
      <c r="P517" t="n">
        <v>0</v>
      </c>
      <c r="Q517" t="n">
        <v>0</v>
      </c>
      <c r="R517" s="2" t="inlineStr"/>
    </row>
    <row r="518" ht="15" customHeight="1">
      <c r="A518" t="inlineStr">
        <is>
          <t>A 70141-2021</t>
        </is>
      </c>
      <c r="B518" s="1" t="n">
        <v>44533</v>
      </c>
      <c r="C518" s="1" t="n">
        <v>45932</v>
      </c>
      <c r="D518" t="inlineStr">
        <is>
          <t>DALARNAS LÄN</t>
        </is>
      </c>
      <c r="E518" t="inlineStr">
        <is>
          <t>MORA</t>
        </is>
      </c>
      <c r="G518" t="n">
        <v>4.1</v>
      </c>
      <c r="H518" t="n">
        <v>0</v>
      </c>
      <c r="I518" t="n">
        <v>0</v>
      </c>
      <c r="J518" t="n">
        <v>0</v>
      </c>
      <c r="K518" t="n">
        <v>0</v>
      </c>
      <c r="L518" t="n">
        <v>0</v>
      </c>
      <c r="M518" t="n">
        <v>0</v>
      </c>
      <c r="N518" t="n">
        <v>0</v>
      </c>
      <c r="O518" t="n">
        <v>0</v>
      </c>
      <c r="P518" t="n">
        <v>0</v>
      </c>
      <c r="Q518" t="n">
        <v>0</v>
      </c>
      <c r="R518" s="2" t="inlineStr"/>
    </row>
    <row r="519" ht="15" customHeight="1">
      <c r="A519" t="inlineStr">
        <is>
          <t>A 46537-2025</t>
        </is>
      </c>
      <c r="B519" s="1" t="n">
        <v>45926.34195601852</v>
      </c>
      <c r="C519" s="1" t="n">
        <v>45932</v>
      </c>
      <c r="D519" t="inlineStr">
        <is>
          <t>DALARNAS LÄN</t>
        </is>
      </c>
      <c r="E519" t="inlineStr">
        <is>
          <t>MORA</t>
        </is>
      </c>
      <c r="G519" t="n">
        <v>10.6</v>
      </c>
      <c r="H519" t="n">
        <v>0</v>
      </c>
      <c r="I519" t="n">
        <v>0</v>
      </c>
      <c r="J519" t="n">
        <v>0</v>
      </c>
      <c r="K519" t="n">
        <v>0</v>
      </c>
      <c r="L519" t="n">
        <v>0</v>
      </c>
      <c r="M519" t="n">
        <v>0</v>
      </c>
      <c r="N519" t="n">
        <v>0</v>
      </c>
      <c r="O519" t="n">
        <v>0</v>
      </c>
      <c r="P519" t="n">
        <v>0</v>
      </c>
      <c r="Q519" t="n">
        <v>0</v>
      </c>
      <c r="R519" s="2" t="inlineStr"/>
    </row>
    <row r="520" ht="15" customHeight="1">
      <c r="A520" t="inlineStr">
        <is>
          <t>A 64093-2023</t>
        </is>
      </c>
      <c r="B520" s="1" t="n">
        <v>45279</v>
      </c>
      <c r="C520" s="1" t="n">
        <v>45932</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37471-2024</t>
        </is>
      </c>
      <c r="B521" s="1" t="n">
        <v>45540.85054398148</v>
      </c>
      <c r="C521" s="1" t="n">
        <v>45932</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14936-2025</t>
        </is>
      </c>
      <c r="B522" s="1" t="n">
        <v>45743.55756944444</v>
      </c>
      <c r="C522" s="1" t="n">
        <v>45932</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31395-2024</t>
        </is>
      </c>
      <c r="B523" s="1" t="n">
        <v>45505.47716435185</v>
      </c>
      <c r="C523" s="1" t="n">
        <v>45932</v>
      </c>
      <c r="D523" t="inlineStr">
        <is>
          <t>DALARNAS LÄN</t>
        </is>
      </c>
      <c r="E523" t="inlineStr">
        <is>
          <t>MORA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42112-2025</t>
        </is>
      </c>
      <c r="B524" s="1" t="n">
        <v>45904.32134259259</v>
      </c>
      <c r="C524" s="1" t="n">
        <v>45932</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53344-2023</t>
        </is>
      </c>
      <c r="B525" s="1" t="n">
        <v>45229</v>
      </c>
      <c r="C525" s="1" t="n">
        <v>45932</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25345-2025</t>
        </is>
      </c>
      <c r="B526" s="1" t="n">
        <v>45799</v>
      </c>
      <c r="C526" s="1" t="n">
        <v>45932</v>
      </c>
      <c r="D526" t="inlineStr">
        <is>
          <t>DALARNAS LÄN</t>
        </is>
      </c>
      <c r="E526" t="inlineStr">
        <is>
          <t>MORA</t>
        </is>
      </c>
      <c r="G526" t="n">
        <v>3.1</v>
      </c>
      <c r="H526" t="n">
        <v>0</v>
      </c>
      <c r="I526" t="n">
        <v>0</v>
      </c>
      <c r="J526" t="n">
        <v>0</v>
      </c>
      <c r="K526" t="n">
        <v>0</v>
      </c>
      <c r="L526" t="n">
        <v>0</v>
      </c>
      <c r="M526" t="n">
        <v>0</v>
      </c>
      <c r="N526" t="n">
        <v>0</v>
      </c>
      <c r="O526" t="n">
        <v>0</v>
      </c>
      <c r="P526" t="n">
        <v>0</v>
      </c>
      <c r="Q526" t="n">
        <v>0</v>
      </c>
      <c r="R526" s="2" t="inlineStr"/>
    </row>
    <row r="527" ht="15" customHeight="1">
      <c r="A527" t="inlineStr">
        <is>
          <t>A 48522-2024</t>
        </is>
      </c>
      <c r="B527" s="1" t="n">
        <v>45593.32924768519</v>
      </c>
      <c r="C527" s="1" t="n">
        <v>45932</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42830-2025</t>
        </is>
      </c>
      <c r="B528" s="1" t="n">
        <v>45908.57753472222</v>
      </c>
      <c r="C528" s="1" t="n">
        <v>45932</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60847-2021</t>
        </is>
      </c>
      <c r="B529" s="1" t="n">
        <v>44497</v>
      </c>
      <c r="C529" s="1" t="n">
        <v>45932</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36041-2025</t>
        </is>
      </c>
      <c r="B530" s="1" t="n">
        <v>45866.34385416667</v>
      </c>
      <c r="C530" s="1" t="n">
        <v>45932</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53754-2024</t>
        </is>
      </c>
      <c r="B531" s="1" t="n">
        <v>45615.49371527778</v>
      </c>
      <c r="C531" s="1" t="n">
        <v>45932</v>
      </c>
      <c r="D531" t="inlineStr">
        <is>
          <t>DALARNAS LÄN</t>
        </is>
      </c>
      <c r="E531" t="inlineStr">
        <is>
          <t>MORA</t>
        </is>
      </c>
      <c r="G531" t="n">
        <v>4.8</v>
      </c>
      <c r="H531" t="n">
        <v>0</v>
      </c>
      <c r="I531" t="n">
        <v>0</v>
      </c>
      <c r="J531" t="n">
        <v>0</v>
      </c>
      <c r="K531" t="n">
        <v>0</v>
      </c>
      <c r="L531" t="n">
        <v>0</v>
      </c>
      <c r="M531" t="n">
        <v>0</v>
      </c>
      <c r="N531" t="n">
        <v>0</v>
      </c>
      <c r="O531" t="n">
        <v>0</v>
      </c>
      <c r="P531" t="n">
        <v>0</v>
      </c>
      <c r="Q531" t="n">
        <v>0</v>
      </c>
      <c r="R531" s="2" t="inlineStr"/>
    </row>
    <row r="532" ht="15" customHeight="1">
      <c r="A532" t="inlineStr">
        <is>
          <t>A 47769-2025</t>
        </is>
      </c>
      <c r="B532" s="1" t="n">
        <v>45931.70715277778</v>
      </c>
      <c r="C532" s="1" t="n">
        <v>45932</v>
      </c>
      <c r="D532" t="inlineStr">
        <is>
          <t>DALARNAS LÄN</t>
        </is>
      </c>
      <c r="E532" t="inlineStr">
        <is>
          <t>MORA</t>
        </is>
      </c>
      <c r="G532" t="n">
        <v>6.7</v>
      </c>
      <c r="H532" t="n">
        <v>0</v>
      </c>
      <c r="I532" t="n">
        <v>0</v>
      </c>
      <c r="J532" t="n">
        <v>0</v>
      </c>
      <c r="K532" t="n">
        <v>0</v>
      </c>
      <c r="L532" t="n">
        <v>0</v>
      </c>
      <c r="M532" t="n">
        <v>0</v>
      </c>
      <c r="N532" t="n">
        <v>0</v>
      </c>
      <c r="O532" t="n">
        <v>0</v>
      </c>
      <c r="P532" t="n">
        <v>0</v>
      </c>
      <c r="Q532" t="n">
        <v>0</v>
      </c>
      <c r="R532" s="2" t="inlineStr"/>
    </row>
    <row r="533" ht="15" customHeight="1">
      <c r="A533" t="inlineStr">
        <is>
          <t>A 14040-2023</t>
        </is>
      </c>
      <c r="B533" s="1" t="n">
        <v>45008.64575231481</v>
      </c>
      <c r="C533" s="1" t="n">
        <v>45932</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42954-2025</t>
        </is>
      </c>
      <c r="B534" s="1" t="n">
        <v>45909.3578125</v>
      </c>
      <c r="C534" s="1" t="n">
        <v>45932</v>
      </c>
      <c r="D534" t="inlineStr">
        <is>
          <t>DALARNAS LÄN</t>
        </is>
      </c>
      <c r="E534" t="inlineStr">
        <is>
          <t>MORA</t>
        </is>
      </c>
      <c r="G534" t="n">
        <v>2.5</v>
      </c>
      <c r="H534" t="n">
        <v>0</v>
      </c>
      <c r="I534" t="n">
        <v>0</v>
      </c>
      <c r="J534" t="n">
        <v>0</v>
      </c>
      <c r="K534" t="n">
        <v>0</v>
      </c>
      <c r="L534" t="n">
        <v>0</v>
      </c>
      <c r="M534" t="n">
        <v>0</v>
      </c>
      <c r="N534" t="n">
        <v>0</v>
      </c>
      <c r="O534" t="n">
        <v>0</v>
      </c>
      <c r="P534" t="n">
        <v>0</v>
      </c>
      <c r="Q534" t="n">
        <v>0</v>
      </c>
      <c r="R534" s="2" t="inlineStr"/>
    </row>
    <row r="535" ht="15" customHeight="1">
      <c r="A535" t="inlineStr">
        <is>
          <t>A 42960-2025</t>
        </is>
      </c>
      <c r="B535" s="1" t="n">
        <v>45909.36631944445</v>
      </c>
      <c r="C535" s="1" t="n">
        <v>45932</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15435-2024</t>
        </is>
      </c>
      <c r="B536" s="1" t="n">
        <v>45401.40806712963</v>
      </c>
      <c r="C536" s="1" t="n">
        <v>45932</v>
      </c>
      <c r="D536" t="inlineStr">
        <is>
          <t>DALARNAS LÄN</t>
        </is>
      </c>
      <c r="E536" t="inlineStr">
        <is>
          <t>MORA</t>
        </is>
      </c>
      <c r="G536" t="n">
        <v>2.1</v>
      </c>
      <c r="H536" t="n">
        <v>0</v>
      </c>
      <c r="I536" t="n">
        <v>0</v>
      </c>
      <c r="J536" t="n">
        <v>0</v>
      </c>
      <c r="K536" t="n">
        <v>0</v>
      </c>
      <c r="L536" t="n">
        <v>0</v>
      </c>
      <c r="M536" t="n">
        <v>0</v>
      </c>
      <c r="N536" t="n">
        <v>0</v>
      </c>
      <c r="O536" t="n">
        <v>0</v>
      </c>
      <c r="P536" t="n">
        <v>0</v>
      </c>
      <c r="Q536" t="n">
        <v>0</v>
      </c>
      <c r="R536" s="2" t="inlineStr"/>
    </row>
    <row r="537" ht="15" customHeight="1">
      <c r="A537" t="inlineStr">
        <is>
          <t>A 42319-2025</t>
        </is>
      </c>
      <c r="B537" s="1" t="n">
        <v>45903</v>
      </c>
      <c r="C537" s="1" t="n">
        <v>45932</v>
      </c>
      <c r="D537" t="inlineStr">
        <is>
          <t>DALARNAS LÄN</t>
        </is>
      </c>
      <c r="E537" t="inlineStr">
        <is>
          <t>MORA</t>
        </is>
      </c>
      <c r="G537" t="n">
        <v>2.3</v>
      </c>
      <c r="H537" t="n">
        <v>0</v>
      </c>
      <c r="I537" t="n">
        <v>0</v>
      </c>
      <c r="J537" t="n">
        <v>0</v>
      </c>
      <c r="K537" t="n">
        <v>0</v>
      </c>
      <c r="L537" t="n">
        <v>0</v>
      </c>
      <c r="M537" t="n">
        <v>0</v>
      </c>
      <c r="N537" t="n">
        <v>0</v>
      </c>
      <c r="O537" t="n">
        <v>0</v>
      </c>
      <c r="P537" t="n">
        <v>0</v>
      </c>
      <c r="Q537" t="n">
        <v>0</v>
      </c>
      <c r="R537" s="2" t="inlineStr"/>
    </row>
    <row r="538" ht="15" customHeight="1">
      <c r="A538" t="inlineStr">
        <is>
          <t>A 31085-2024</t>
        </is>
      </c>
      <c r="B538" s="1" t="n">
        <v>45502.48047453703</v>
      </c>
      <c r="C538" s="1" t="n">
        <v>45932</v>
      </c>
      <c r="D538" t="inlineStr">
        <is>
          <t>DALARNAS LÄN</t>
        </is>
      </c>
      <c r="E538" t="inlineStr">
        <is>
          <t>MORA</t>
        </is>
      </c>
      <c r="G538" t="n">
        <v>1.6</v>
      </c>
      <c r="H538" t="n">
        <v>0</v>
      </c>
      <c r="I538" t="n">
        <v>0</v>
      </c>
      <c r="J538" t="n">
        <v>0</v>
      </c>
      <c r="K538" t="n">
        <v>0</v>
      </c>
      <c r="L538" t="n">
        <v>0</v>
      </c>
      <c r="M538" t="n">
        <v>0</v>
      </c>
      <c r="N538" t="n">
        <v>0</v>
      </c>
      <c r="O538" t="n">
        <v>0</v>
      </c>
      <c r="P538" t="n">
        <v>0</v>
      </c>
      <c r="Q538" t="n">
        <v>0</v>
      </c>
      <c r="R538" s="2" t="inlineStr"/>
    </row>
    <row r="539" ht="15" customHeight="1">
      <c r="A539" t="inlineStr">
        <is>
          <t>A 36179-2025</t>
        </is>
      </c>
      <c r="B539" s="1" t="n">
        <v>45867</v>
      </c>
      <c r="C539" s="1" t="n">
        <v>45932</v>
      </c>
      <c r="D539" t="inlineStr">
        <is>
          <t>DALARNAS LÄN</t>
        </is>
      </c>
      <c r="E539" t="inlineStr">
        <is>
          <t>MORA</t>
        </is>
      </c>
      <c r="G539" t="n">
        <v>2.5</v>
      </c>
      <c r="H539" t="n">
        <v>0</v>
      </c>
      <c r="I539" t="n">
        <v>0</v>
      </c>
      <c r="J539" t="n">
        <v>0</v>
      </c>
      <c r="K539" t="n">
        <v>0</v>
      </c>
      <c r="L539" t="n">
        <v>0</v>
      </c>
      <c r="M539" t="n">
        <v>0</v>
      </c>
      <c r="N539" t="n">
        <v>0</v>
      </c>
      <c r="O539" t="n">
        <v>0</v>
      </c>
      <c r="P539" t="n">
        <v>0</v>
      </c>
      <c r="Q539" t="n">
        <v>0</v>
      </c>
      <c r="R539" s="2" t="inlineStr"/>
    </row>
    <row r="540" ht="15" customHeight="1">
      <c r="A540" t="inlineStr">
        <is>
          <t>A 42947-2025</t>
        </is>
      </c>
      <c r="B540" s="1" t="n">
        <v>45909.34799768519</v>
      </c>
      <c r="C540" s="1" t="n">
        <v>45932</v>
      </c>
      <c r="D540" t="inlineStr">
        <is>
          <t>DALARNAS LÄN</t>
        </is>
      </c>
      <c r="E540" t="inlineStr">
        <is>
          <t>MORA</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42813-2025</t>
        </is>
      </c>
      <c r="B541" s="1" t="n">
        <v>45908.56168981481</v>
      </c>
      <c r="C541" s="1" t="n">
        <v>45932</v>
      </c>
      <c r="D541" t="inlineStr">
        <is>
          <t>DALARNAS LÄN</t>
        </is>
      </c>
      <c r="E541" t="inlineStr">
        <is>
          <t>MORA</t>
        </is>
      </c>
      <c r="G541" t="n">
        <v>4.3</v>
      </c>
      <c r="H541" t="n">
        <v>0</v>
      </c>
      <c r="I541" t="n">
        <v>0</v>
      </c>
      <c r="J541" t="n">
        <v>0</v>
      </c>
      <c r="K541" t="n">
        <v>0</v>
      </c>
      <c r="L541" t="n">
        <v>0</v>
      </c>
      <c r="M541" t="n">
        <v>0</v>
      </c>
      <c r="N541" t="n">
        <v>0</v>
      </c>
      <c r="O541" t="n">
        <v>0</v>
      </c>
      <c r="P541" t="n">
        <v>0</v>
      </c>
      <c r="Q541" t="n">
        <v>0</v>
      </c>
      <c r="R541" s="2" t="inlineStr"/>
    </row>
    <row r="542" ht="15" customHeight="1">
      <c r="A542" t="inlineStr">
        <is>
          <t>A 43863-2023</t>
        </is>
      </c>
      <c r="B542" s="1" t="n">
        <v>45187.62532407408</v>
      </c>
      <c r="C542" s="1" t="n">
        <v>45932</v>
      </c>
      <c r="D542" t="inlineStr">
        <is>
          <t>DALARNAS LÄN</t>
        </is>
      </c>
      <c r="E542" t="inlineStr">
        <is>
          <t>MORA</t>
        </is>
      </c>
      <c r="F542" t="inlineStr">
        <is>
          <t>Bergvik skog väst AB</t>
        </is>
      </c>
      <c r="G542" t="n">
        <v>3.9</v>
      </c>
      <c r="H542" t="n">
        <v>0</v>
      </c>
      <c r="I542" t="n">
        <v>0</v>
      </c>
      <c r="J542" t="n">
        <v>0</v>
      </c>
      <c r="K542" t="n">
        <v>0</v>
      </c>
      <c r="L542" t="n">
        <v>0</v>
      </c>
      <c r="M542" t="n">
        <v>0</v>
      </c>
      <c r="N542" t="n">
        <v>0</v>
      </c>
      <c r="O542" t="n">
        <v>0</v>
      </c>
      <c r="P542" t="n">
        <v>0</v>
      </c>
      <c r="Q542" t="n">
        <v>0</v>
      </c>
      <c r="R542" s="2" t="inlineStr"/>
    </row>
    <row r="543" ht="15" customHeight="1">
      <c r="A543" t="inlineStr">
        <is>
          <t>A 56770-2024</t>
        </is>
      </c>
      <c r="B543" s="1" t="n">
        <v>45628.41587962963</v>
      </c>
      <c r="C543" s="1" t="n">
        <v>45932</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60051-2022</t>
        </is>
      </c>
      <c r="B544" s="1" t="n">
        <v>44909.52385416667</v>
      </c>
      <c r="C544" s="1" t="n">
        <v>45932</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18120-2025</t>
        </is>
      </c>
      <c r="B545" s="1" t="n">
        <v>45761</v>
      </c>
      <c r="C545" s="1" t="n">
        <v>45932</v>
      </c>
      <c r="D545" t="inlineStr">
        <is>
          <t>DALARNAS LÄN</t>
        </is>
      </c>
      <c r="E545" t="inlineStr">
        <is>
          <t>MORA</t>
        </is>
      </c>
      <c r="F545" t="inlineStr">
        <is>
          <t>Bergvik skog väst AB</t>
        </is>
      </c>
      <c r="G545" t="n">
        <v>6.4</v>
      </c>
      <c r="H545" t="n">
        <v>0</v>
      </c>
      <c r="I545" t="n">
        <v>0</v>
      </c>
      <c r="J545" t="n">
        <v>0</v>
      </c>
      <c r="K545" t="n">
        <v>0</v>
      </c>
      <c r="L545" t="n">
        <v>0</v>
      </c>
      <c r="M545" t="n">
        <v>0</v>
      </c>
      <c r="N545" t="n">
        <v>0</v>
      </c>
      <c r="O545" t="n">
        <v>0</v>
      </c>
      <c r="P545" t="n">
        <v>0</v>
      </c>
      <c r="Q545" t="n">
        <v>0</v>
      </c>
      <c r="R545" s="2" t="inlineStr"/>
    </row>
    <row r="546" ht="15" customHeight="1">
      <c r="A546" t="inlineStr">
        <is>
          <t>A 18127-2025</t>
        </is>
      </c>
      <c r="B546" s="1" t="n">
        <v>45761.59523148148</v>
      </c>
      <c r="C546" s="1" t="n">
        <v>45932</v>
      </c>
      <c r="D546" t="inlineStr">
        <is>
          <t>DALARNAS LÄN</t>
        </is>
      </c>
      <c r="E546" t="inlineStr">
        <is>
          <t>MORA</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16174-2025</t>
        </is>
      </c>
      <c r="B547" s="1" t="n">
        <v>45750</v>
      </c>
      <c r="C547" s="1" t="n">
        <v>45932</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13262-2022</t>
        </is>
      </c>
      <c r="B548" s="1" t="n">
        <v>44644.70184027778</v>
      </c>
      <c r="C548" s="1" t="n">
        <v>45932</v>
      </c>
      <c r="D548" t="inlineStr">
        <is>
          <t>DALARNAS LÄN</t>
        </is>
      </c>
      <c r="E548" t="inlineStr">
        <is>
          <t>MORA</t>
        </is>
      </c>
      <c r="G548" t="n">
        <v>0.8</v>
      </c>
      <c r="H548" t="n">
        <v>0</v>
      </c>
      <c r="I548" t="n">
        <v>0</v>
      </c>
      <c r="J548" t="n">
        <v>0</v>
      </c>
      <c r="K548" t="n">
        <v>0</v>
      </c>
      <c r="L548" t="n">
        <v>0</v>
      </c>
      <c r="M548" t="n">
        <v>0</v>
      </c>
      <c r="N548" t="n">
        <v>0</v>
      </c>
      <c r="O548" t="n">
        <v>0</v>
      </c>
      <c r="P548" t="n">
        <v>0</v>
      </c>
      <c r="Q548" t="n">
        <v>0</v>
      </c>
      <c r="R548" s="2" t="inlineStr"/>
    </row>
    <row r="549" ht="15" customHeight="1">
      <c r="A549" t="inlineStr">
        <is>
          <t>A 4489-2022</t>
        </is>
      </c>
      <c r="B549" s="1" t="n">
        <v>44589</v>
      </c>
      <c r="C549" s="1" t="n">
        <v>45932</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47765-2025</t>
        </is>
      </c>
      <c r="B550" s="1" t="n">
        <v>45931.69100694444</v>
      </c>
      <c r="C550" s="1" t="n">
        <v>45932</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47414-2025</t>
        </is>
      </c>
      <c r="B551" s="1" t="n">
        <v>45930.61896990741</v>
      </c>
      <c r="C551" s="1" t="n">
        <v>45932</v>
      </c>
      <c r="D551" t="inlineStr">
        <is>
          <t>DALARNAS LÄN</t>
        </is>
      </c>
      <c r="E551" t="inlineStr">
        <is>
          <t>MORA</t>
        </is>
      </c>
      <c r="G551" t="n">
        <v>6.1</v>
      </c>
      <c r="H551" t="n">
        <v>0</v>
      </c>
      <c r="I551" t="n">
        <v>0</v>
      </c>
      <c r="J551" t="n">
        <v>0</v>
      </c>
      <c r="K551" t="n">
        <v>0</v>
      </c>
      <c r="L551" t="n">
        <v>0</v>
      </c>
      <c r="M551" t="n">
        <v>0</v>
      </c>
      <c r="N551" t="n">
        <v>0</v>
      </c>
      <c r="O551" t="n">
        <v>0</v>
      </c>
      <c r="P551" t="n">
        <v>0</v>
      </c>
      <c r="Q551" t="n">
        <v>0</v>
      </c>
      <c r="R551" s="2" t="inlineStr"/>
    </row>
    <row r="552" ht="15" customHeight="1">
      <c r="A552" t="inlineStr">
        <is>
          <t>A 56767-2023</t>
        </is>
      </c>
      <c r="B552" s="1" t="n">
        <v>45244</v>
      </c>
      <c r="C552" s="1" t="n">
        <v>45932</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45574-2023</t>
        </is>
      </c>
      <c r="B553" s="1" t="n">
        <v>45194</v>
      </c>
      <c r="C553" s="1" t="n">
        <v>45932</v>
      </c>
      <c r="D553" t="inlineStr">
        <is>
          <t>DALARNAS LÄN</t>
        </is>
      </c>
      <c r="E553" t="inlineStr">
        <is>
          <t>MORA</t>
        </is>
      </c>
      <c r="G553" t="n">
        <v>6.3</v>
      </c>
      <c r="H553" t="n">
        <v>0</v>
      </c>
      <c r="I553" t="n">
        <v>0</v>
      </c>
      <c r="J553" t="n">
        <v>0</v>
      </c>
      <c r="K553" t="n">
        <v>0</v>
      </c>
      <c r="L553" t="n">
        <v>0</v>
      </c>
      <c r="M553" t="n">
        <v>0</v>
      </c>
      <c r="N553" t="n">
        <v>0</v>
      </c>
      <c r="O553" t="n">
        <v>0</v>
      </c>
      <c r="P553" t="n">
        <v>0</v>
      </c>
      <c r="Q553" t="n">
        <v>0</v>
      </c>
      <c r="R553" s="2" t="inlineStr"/>
    </row>
    <row r="554" ht="15" customHeight="1">
      <c r="A554" t="inlineStr">
        <is>
          <t>A 50056-2022</t>
        </is>
      </c>
      <c r="B554" s="1" t="n">
        <v>44865</v>
      </c>
      <c r="C554" s="1" t="n">
        <v>45932</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45315-2024</t>
        </is>
      </c>
      <c r="B555" s="1" t="n">
        <v>45576.43782407408</v>
      </c>
      <c r="C555" s="1" t="n">
        <v>45932</v>
      </c>
      <c r="D555" t="inlineStr">
        <is>
          <t>DALARNAS LÄN</t>
        </is>
      </c>
      <c r="E555" t="inlineStr">
        <is>
          <t>MORA</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15499-2024</t>
        </is>
      </c>
      <c r="B556" s="1" t="n">
        <v>45401.53798611111</v>
      </c>
      <c r="C556" s="1" t="n">
        <v>45932</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68415-2021</t>
        </is>
      </c>
      <c r="B557" s="1" t="n">
        <v>44529</v>
      </c>
      <c r="C557" s="1" t="n">
        <v>45932</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17172-2025</t>
        </is>
      </c>
      <c r="B558" s="1" t="n">
        <v>45756.37201388889</v>
      </c>
      <c r="C558" s="1" t="n">
        <v>45932</v>
      </c>
      <c r="D558" t="inlineStr">
        <is>
          <t>DALARNAS LÄN</t>
        </is>
      </c>
      <c r="E558" t="inlineStr">
        <is>
          <t>MORA</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15643-2025</t>
        </is>
      </c>
      <c r="B559" s="1" t="n">
        <v>45748.39222222222</v>
      </c>
      <c r="C559" s="1" t="n">
        <v>45932</v>
      </c>
      <c r="D559" t="inlineStr">
        <is>
          <t>DALARNAS LÄN</t>
        </is>
      </c>
      <c r="E559" t="inlineStr">
        <is>
          <t>MORA</t>
        </is>
      </c>
      <c r="G559" t="n">
        <v>7.6</v>
      </c>
      <c r="H559" t="n">
        <v>0</v>
      </c>
      <c r="I559" t="n">
        <v>0</v>
      </c>
      <c r="J559" t="n">
        <v>0</v>
      </c>
      <c r="K559" t="n">
        <v>0</v>
      </c>
      <c r="L559" t="n">
        <v>0</v>
      </c>
      <c r="M559" t="n">
        <v>0</v>
      </c>
      <c r="N559" t="n">
        <v>0</v>
      </c>
      <c r="O559" t="n">
        <v>0</v>
      </c>
      <c r="P559" t="n">
        <v>0</v>
      </c>
      <c r="Q559" t="n">
        <v>0</v>
      </c>
      <c r="R559" s="2" t="inlineStr"/>
    </row>
    <row r="560" ht="15" customHeight="1">
      <c r="A560" t="inlineStr">
        <is>
          <t>A 43474-2025</t>
        </is>
      </c>
      <c r="B560" s="1" t="n">
        <v>45911.48967592593</v>
      </c>
      <c r="C560" s="1" t="n">
        <v>45932</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46755-2023</t>
        </is>
      </c>
      <c r="B561" s="1" t="n">
        <v>45198.61314814815</v>
      </c>
      <c r="C561" s="1" t="n">
        <v>45932</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45932</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18122-2025</t>
        </is>
      </c>
      <c r="B563" s="1" t="n">
        <v>45761.59221064814</v>
      </c>
      <c r="C563" s="1" t="n">
        <v>45932</v>
      </c>
      <c r="D563" t="inlineStr">
        <is>
          <t>DALARNAS LÄN</t>
        </is>
      </c>
      <c r="E563" t="inlineStr">
        <is>
          <t>MORA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39009-2023</t>
        </is>
      </c>
      <c r="B564" s="1" t="n">
        <v>45162</v>
      </c>
      <c r="C564" s="1" t="n">
        <v>45932</v>
      </c>
      <c r="D564" t="inlineStr">
        <is>
          <t>DALARNAS LÄN</t>
        </is>
      </c>
      <c r="E564" t="inlineStr">
        <is>
          <t>MORA</t>
        </is>
      </c>
      <c r="G564" t="n">
        <v>1.9</v>
      </c>
      <c r="H564" t="n">
        <v>0</v>
      </c>
      <c r="I564" t="n">
        <v>0</v>
      </c>
      <c r="J564" t="n">
        <v>0</v>
      </c>
      <c r="K564" t="n">
        <v>0</v>
      </c>
      <c r="L564" t="n">
        <v>0</v>
      </c>
      <c r="M564" t="n">
        <v>0</v>
      </c>
      <c r="N564" t="n">
        <v>0</v>
      </c>
      <c r="O564" t="n">
        <v>0</v>
      </c>
      <c r="P564" t="n">
        <v>0</v>
      </c>
      <c r="Q564" t="n">
        <v>0</v>
      </c>
      <c r="R564" s="2" t="inlineStr"/>
    </row>
    <row r="565" ht="15" customHeight="1">
      <c r="A565" t="inlineStr">
        <is>
          <t>A 36586-2025</t>
        </is>
      </c>
      <c r="B565" s="1" t="n">
        <v>45869</v>
      </c>
      <c r="C565" s="1" t="n">
        <v>45932</v>
      </c>
      <c r="D565" t="inlineStr">
        <is>
          <t>DALARNAS LÄN</t>
        </is>
      </c>
      <c r="E565" t="inlineStr">
        <is>
          <t>MORA</t>
        </is>
      </c>
      <c r="G565" t="n">
        <v>1.8</v>
      </c>
      <c r="H565" t="n">
        <v>0</v>
      </c>
      <c r="I565" t="n">
        <v>0</v>
      </c>
      <c r="J565" t="n">
        <v>0</v>
      </c>
      <c r="K565" t="n">
        <v>0</v>
      </c>
      <c r="L565" t="n">
        <v>0</v>
      </c>
      <c r="M565" t="n">
        <v>0</v>
      </c>
      <c r="N565" t="n">
        <v>0</v>
      </c>
      <c r="O565" t="n">
        <v>0</v>
      </c>
      <c r="P565" t="n">
        <v>0</v>
      </c>
      <c r="Q565" t="n">
        <v>0</v>
      </c>
      <c r="R565" s="2" t="inlineStr"/>
    </row>
    <row r="566" ht="15" customHeight="1">
      <c r="A566" t="inlineStr">
        <is>
          <t>A 56532-2024</t>
        </is>
      </c>
      <c r="B566" s="1" t="n">
        <v>45625.55440972222</v>
      </c>
      <c r="C566" s="1" t="n">
        <v>45932</v>
      </c>
      <c r="D566" t="inlineStr">
        <is>
          <t>DALARNAS LÄN</t>
        </is>
      </c>
      <c r="E566" t="inlineStr">
        <is>
          <t>MORA</t>
        </is>
      </c>
      <c r="G566" t="n">
        <v>6.9</v>
      </c>
      <c r="H566" t="n">
        <v>0</v>
      </c>
      <c r="I566" t="n">
        <v>0</v>
      </c>
      <c r="J566" t="n">
        <v>0</v>
      </c>
      <c r="K566" t="n">
        <v>0</v>
      </c>
      <c r="L566" t="n">
        <v>0</v>
      </c>
      <c r="M566" t="n">
        <v>0</v>
      </c>
      <c r="N566" t="n">
        <v>0</v>
      </c>
      <c r="O566" t="n">
        <v>0</v>
      </c>
      <c r="P566" t="n">
        <v>0</v>
      </c>
      <c r="Q566" t="n">
        <v>0</v>
      </c>
      <c r="R566" s="2" t="inlineStr"/>
    </row>
    <row r="567" ht="15" customHeight="1">
      <c r="A567" t="inlineStr">
        <is>
          <t>A 43153-2025</t>
        </is>
      </c>
      <c r="B567" s="1" t="n">
        <v>45910.34449074074</v>
      </c>
      <c r="C567" s="1" t="n">
        <v>45932</v>
      </c>
      <c r="D567" t="inlineStr">
        <is>
          <t>DALARNAS LÄN</t>
        </is>
      </c>
      <c r="E567" t="inlineStr">
        <is>
          <t>MORA</t>
        </is>
      </c>
      <c r="G567" t="n">
        <v>3.9</v>
      </c>
      <c r="H567" t="n">
        <v>0</v>
      </c>
      <c r="I567" t="n">
        <v>0</v>
      </c>
      <c r="J567" t="n">
        <v>0</v>
      </c>
      <c r="K567" t="n">
        <v>0</v>
      </c>
      <c r="L567" t="n">
        <v>0</v>
      </c>
      <c r="M567" t="n">
        <v>0</v>
      </c>
      <c r="N567" t="n">
        <v>0</v>
      </c>
      <c r="O567" t="n">
        <v>0</v>
      </c>
      <c r="P567" t="n">
        <v>0</v>
      </c>
      <c r="Q567" t="n">
        <v>0</v>
      </c>
      <c r="R567" s="2" t="inlineStr"/>
    </row>
    <row r="568" ht="15" customHeight="1">
      <c r="A568" t="inlineStr">
        <is>
          <t>A 43157-2025</t>
        </is>
      </c>
      <c r="B568" s="1" t="n">
        <v>45910.34953703704</v>
      </c>
      <c r="C568" s="1" t="n">
        <v>45932</v>
      </c>
      <c r="D568" t="inlineStr">
        <is>
          <t>DALARNAS LÄN</t>
        </is>
      </c>
      <c r="E568" t="inlineStr">
        <is>
          <t>MORA</t>
        </is>
      </c>
      <c r="G568" t="n">
        <v>1.3</v>
      </c>
      <c r="H568" t="n">
        <v>0</v>
      </c>
      <c r="I568" t="n">
        <v>0</v>
      </c>
      <c r="J568" t="n">
        <v>0</v>
      </c>
      <c r="K568" t="n">
        <v>0</v>
      </c>
      <c r="L568" t="n">
        <v>0</v>
      </c>
      <c r="M568" t="n">
        <v>0</v>
      </c>
      <c r="N568" t="n">
        <v>0</v>
      </c>
      <c r="O568" t="n">
        <v>0</v>
      </c>
      <c r="P568" t="n">
        <v>0</v>
      </c>
      <c r="Q568" t="n">
        <v>0</v>
      </c>
      <c r="R568" s="2" t="inlineStr"/>
    </row>
    <row r="569" ht="15" customHeight="1">
      <c r="A569" t="inlineStr">
        <is>
          <t>A 36760-2025</t>
        </is>
      </c>
      <c r="B569" s="1" t="n">
        <v>45873.57319444444</v>
      </c>
      <c r="C569" s="1" t="n">
        <v>45932</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5001-2025</t>
        </is>
      </c>
      <c r="B570" s="1" t="n">
        <v>45691.36403935185</v>
      </c>
      <c r="C570" s="1" t="n">
        <v>45932</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60360-2023</t>
        </is>
      </c>
      <c r="B571" s="1" t="n">
        <v>45259</v>
      </c>
      <c r="C571" s="1" t="n">
        <v>45932</v>
      </c>
      <c r="D571" t="inlineStr">
        <is>
          <t>DALARNAS LÄN</t>
        </is>
      </c>
      <c r="E571" t="inlineStr">
        <is>
          <t>MORA</t>
        </is>
      </c>
      <c r="G571" t="n">
        <v>2.9</v>
      </c>
      <c r="H571" t="n">
        <v>0</v>
      </c>
      <c r="I571" t="n">
        <v>0</v>
      </c>
      <c r="J571" t="n">
        <v>0</v>
      </c>
      <c r="K571" t="n">
        <v>0</v>
      </c>
      <c r="L571" t="n">
        <v>0</v>
      </c>
      <c r="M571" t="n">
        <v>0</v>
      </c>
      <c r="N571" t="n">
        <v>0</v>
      </c>
      <c r="O571" t="n">
        <v>0</v>
      </c>
      <c r="P571" t="n">
        <v>0</v>
      </c>
      <c r="Q571" t="n">
        <v>0</v>
      </c>
      <c r="R571" s="2" t="inlineStr"/>
    </row>
    <row r="572" ht="15" customHeight="1">
      <c r="A572" t="inlineStr">
        <is>
          <t>A 17164-2025</t>
        </is>
      </c>
      <c r="B572" s="1" t="n">
        <v>45756.36403935185</v>
      </c>
      <c r="C572" s="1" t="n">
        <v>45932</v>
      </c>
      <c r="D572" t="inlineStr">
        <is>
          <t>DALARNAS LÄN</t>
        </is>
      </c>
      <c r="E572" t="inlineStr">
        <is>
          <t>MORA</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44817-2023</t>
        </is>
      </c>
      <c r="B573" s="1" t="n">
        <v>45190.51887731482</v>
      </c>
      <c r="C573" s="1" t="n">
        <v>45932</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24768-2024</t>
        </is>
      </c>
      <c r="B574" s="1" t="n">
        <v>45460.69545138889</v>
      </c>
      <c r="C574" s="1" t="n">
        <v>45932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39511-2024</t>
        </is>
      </c>
      <c r="B575" s="1" t="n">
        <v>45551.68347222222</v>
      </c>
      <c r="C575" s="1" t="n">
        <v>45932</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57797-2022</t>
        </is>
      </c>
      <c r="B576" s="1" t="n">
        <v>44897</v>
      </c>
      <c r="C576" s="1" t="n">
        <v>45932</v>
      </c>
      <c r="D576" t="inlineStr">
        <is>
          <t>DALARNAS LÄN</t>
        </is>
      </c>
      <c r="E576" t="inlineStr">
        <is>
          <t>MORA</t>
        </is>
      </c>
      <c r="G576" t="n">
        <v>3.1</v>
      </c>
      <c r="H576" t="n">
        <v>0</v>
      </c>
      <c r="I576" t="n">
        <v>0</v>
      </c>
      <c r="J576" t="n">
        <v>0</v>
      </c>
      <c r="K576" t="n">
        <v>0</v>
      </c>
      <c r="L576" t="n">
        <v>0</v>
      </c>
      <c r="M576" t="n">
        <v>0</v>
      </c>
      <c r="N576" t="n">
        <v>0</v>
      </c>
      <c r="O576" t="n">
        <v>0</v>
      </c>
      <c r="P576" t="n">
        <v>0</v>
      </c>
      <c r="Q576" t="n">
        <v>0</v>
      </c>
      <c r="R576" s="2" t="inlineStr"/>
    </row>
    <row r="577" ht="15" customHeight="1">
      <c r="A577" t="inlineStr">
        <is>
          <t>A 17278-2025</t>
        </is>
      </c>
      <c r="B577" s="1" t="n">
        <v>45756.56131944444</v>
      </c>
      <c r="C577" s="1" t="n">
        <v>45932</v>
      </c>
      <c r="D577" t="inlineStr">
        <is>
          <t>DALARNAS LÄN</t>
        </is>
      </c>
      <c r="E577" t="inlineStr">
        <is>
          <t>MORA</t>
        </is>
      </c>
      <c r="G577" t="n">
        <v>3</v>
      </c>
      <c r="H577" t="n">
        <v>0</v>
      </c>
      <c r="I577" t="n">
        <v>0</v>
      </c>
      <c r="J577" t="n">
        <v>0</v>
      </c>
      <c r="K577" t="n">
        <v>0</v>
      </c>
      <c r="L577" t="n">
        <v>0</v>
      </c>
      <c r="M577" t="n">
        <v>0</v>
      </c>
      <c r="N577" t="n">
        <v>0</v>
      </c>
      <c r="O577" t="n">
        <v>0</v>
      </c>
      <c r="P577" t="n">
        <v>0</v>
      </c>
      <c r="Q577" t="n">
        <v>0</v>
      </c>
      <c r="R577" s="2" t="inlineStr"/>
    </row>
    <row r="578" ht="15" customHeight="1">
      <c r="A578" t="inlineStr">
        <is>
          <t>A 4209-2023</t>
        </is>
      </c>
      <c r="B578" s="1" t="n">
        <v>44953</v>
      </c>
      <c r="C578" s="1" t="n">
        <v>45932</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27125-2024</t>
        </is>
      </c>
      <c r="B579" s="1" t="n">
        <v>45471</v>
      </c>
      <c r="C579" s="1" t="n">
        <v>45932</v>
      </c>
      <c r="D579" t="inlineStr">
        <is>
          <t>DALARNAS LÄN</t>
        </is>
      </c>
      <c r="E579" t="inlineStr">
        <is>
          <t>MORA</t>
        </is>
      </c>
      <c r="G579" t="n">
        <v>2.3</v>
      </c>
      <c r="H579" t="n">
        <v>0</v>
      </c>
      <c r="I579" t="n">
        <v>0</v>
      </c>
      <c r="J579" t="n">
        <v>0</v>
      </c>
      <c r="K579" t="n">
        <v>0</v>
      </c>
      <c r="L579" t="n">
        <v>0</v>
      </c>
      <c r="M579" t="n">
        <v>0</v>
      </c>
      <c r="N579" t="n">
        <v>0</v>
      </c>
      <c r="O579" t="n">
        <v>0</v>
      </c>
      <c r="P579" t="n">
        <v>0</v>
      </c>
      <c r="Q579" t="n">
        <v>0</v>
      </c>
      <c r="R579" s="2" t="inlineStr"/>
    </row>
    <row r="580" ht="15" customHeight="1">
      <c r="A580" t="inlineStr">
        <is>
          <t>A 44205-2023</t>
        </is>
      </c>
      <c r="B580" s="1" t="n">
        <v>45188</v>
      </c>
      <c r="C580" s="1" t="n">
        <v>45932</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22732-2024</t>
        </is>
      </c>
      <c r="B581" s="1" t="n">
        <v>45448.38677083333</v>
      </c>
      <c r="C581" s="1" t="n">
        <v>45932</v>
      </c>
      <c r="D581" t="inlineStr">
        <is>
          <t>DALARNAS LÄN</t>
        </is>
      </c>
      <c r="E581" t="inlineStr">
        <is>
          <t>MORA</t>
        </is>
      </c>
      <c r="G581" t="n">
        <v>3.6</v>
      </c>
      <c r="H581" t="n">
        <v>0</v>
      </c>
      <c r="I581" t="n">
        <v>0</v>
      </c>
      <c r="J581" t="n">
        <v>0</v>
      </c>
      <c r="K581" t="n">
        <v>0</v>
      </c>
      <c r="L581" t="n">
        <v>0</v>
      </c>
      <c r="M581" t="n">
        <v>0</v>
      </c>
      <c r="N581" t="n">
        <v>0</v>
      </c>
      <c r="O581" t="n">
        <v>0</v>
      </c>
      <c r="P581" t="n">
        <v>0</v>
      </c>
      <c r="Q581" t="n">
        <v>0</v>
      </c>
      <c r="R581" s="2" t="inlineStr"/>
    </row>
    <row r="582" ht="15" customHeight="1">
      <c r="A582" t="inlineStr">
        <is>
          <t>A 19756-2022</t>
        </is>
      </c>
      <c r="B582" s="1" t="n">
        <v>44694.62913194444</v>
      </c>
      <c r="C582" s="1" t="n">
        <v>45932</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30822-2024</t>
        </is>
      </c>
      <c r="B583" s="1" t="n">
        <v>45497</v>
      </c>
      <c r="C583" s="1" t="n">
        <v>45932</v>
      </c>
      <c r="D583" t="inlineStr">
        <is>
          <t>DALARNAS LÄN</t>
        </is>
      </c>
      <c r="E583" t="inlineStr">
        <is>
          <t>MORA</t>
        </is>
      </c>
      <c r="G583" t="n">
        <v>1.8</v>
      </c>
      <c r="H583" t="n">
        <v>0</v>
      </c>
      <c r="I583" t="n">
        <v>0</v>
      </c>
      <c r="J583" t="n">
        <v>0</v>
      </c>
      <c r="K583" t="n">
        <v>0</v>
      </c>
      <c r="L583" t="n">
        <v>0</v>
      </c>
      <c r="M583" t="n">
        <v>0</v>
      </c>
      <c r="N583" t="n">
        <v>0</v>
      </c>
      <c r="O583" t="n">
        <v>0</v>
      </c>
      <c r="P583" t="n">
        <v>0</v>
      </c>
      <c r="Q583" t="n">
        <v>0</v>
      </c>
      <c r="R583" s="2" t="inlineStr"/>
    </row>
    <row r="584" ht="15" customHeight="1">
      <c r="A584" t="inlineStr">
        <is>
          <t>A 43811-2025</t>
        </is>
      </c>
      <c r="B584" s="1" t="n">
        <v>45912.58710648148</v>
      </c>
      <c r="C584" s="1" t="n">
        <v>45932</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46801-2022</t>
        </is>
      </c>
      <c r="B585" s="1" t="n">
        <v>44851</v>
      </c>
      <c r="C585" s="1" t="n">
        <v>45932</v>
      </c>
      <c r="D585" t="inlineStr">
        <is>
          <t>DALARNAS LÄN</t>
        </is>
      </c>
      <c r="E585" t="inlineStr">
        <is>
          <t>MORA</t>
        </is>
      </c>
      <c r="G585" t="n">
        <v>1.5</v>
      </c>
      <c r="H585" t="n">
        <v>0</v>
      </c>
      <c r="I585" t="n">
        <v>0</v>
      </c>
      <c r="J585" t="n">
        <v>0</v>
      </c>
      <c r="K585" t="n">
        <v>0</v>
      </c>
      <c r="L585" t="n">
        <v>0</v>
      </c>
      <c r="M585" t="n">
        <v>0</v>
      </c>
      <c r="N585" t="n">
        <v>0</v>
      </c>
      <c r="O585" t="n">
        <v>0</v>
      </c>
      <c r="P585" t="n">
        <v>0</v>
      </c>
      <c r="Q585" t="n">
        <v>0</v>
      </c>
      <c r="R585" s="2" t="inlineStr"/>
    </row>
    <row r="586" ht="15" customHeight="1">
      <c r="A586" t="inlineStr">
        <is>
          <t>A 6371-2022</t>
        </is>
      </c>
      <c r="B586" s="1" t="n">
        <v>44600</v>
      </c>
      <c r="C586" s="1" t="n">
        <v>45932</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5644-2024</t>
        </is>
      </c>
      <c r="B587" s="1" t="n">
        <v>45334</v>
      </c>
      <c r="C587" s="1" t="n">
        <v>45932</v>
      </c>
      <c r="D587" t="inlineStr">
        <is>
          <t>DALARNAS LÄN</t>
        </is>
      </c>
      <c r="E587" t="inlineStr">
        <is>
          <t>MORA</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33627-2024</t>
        </is>
      </c>
      <c r="B588" s="1" t="n">
        <v>45520</v>
      </c>
      <c r="C588" s="1" t="n">
        <v>45932</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46923-2024</t>
        </is>
      </c>
      <c r="B589" s="1" t="n">
        <v>45584.42887731481</v>
      </c>
      <c r="C589" s="1" t="n">
        <v>45932</v>
      </c>
      <c r="D589" t="inlineStr">
        <is>
          <t>DALARNAS LÄN</t>
        </is>
      </c>
      <c r="E589" t="inlineStr">
        <is>
          <t>MORA</t>
        </is>
      </c>
      <c r="G589" t="n">
        <v>3.4</v>
      </c>
      <c r="H589" t="n">
        <v>0</v>
      </c>
      <c r="I589" t="n">
        <v>0</v>
      </c>
      <c r="J589" t="n">
        <v>0</v>
      </c>
      <c r="K589" t="n">
        <v>0</v>
      </c>
      <c r="L589" t="n">
        <v>0</v>
      </c>
      <c r="M589" t="n">
        <v>0</v>
      </c>
      <c r="N589" t="n">
        <v>0</v>
      </c>
      <c r="O589" t="n">
        <v>0</v>
      </c>
      <c r="P589" t="n">
        <v>0</v>
      </c>
      <c r="Q589" t="n">
        <v>0</v>
      </c>
      <c r="R589" s="2" t="inlineStr"/>
    </row>
    <row r="590" ht="15" customHeight="1">
      <c r="A590" t="inlineStr">
        <is>
          <t>A 61350-2024</t>
        </is>
      </c>
      <c r="B590" s="1" t="n">
        <v>45646.37872685185</v>
      </c>
      <c r="C590" s="1" t="n">
        <v>45932</v>
      </c>
      <c r="D590" t="inlineStr">
        <is>
          <t>DALARNAS LÄN</t>
        </is>
      </c>
      <c r="E590" t="inlineStr">
        <is>
          <t>MORA</t>
        </is>
      </c>
      <c r="G590" t="n">
        <v>1.4</v>
      </c>
      <c r="H590" t="n">
        <v>0</v>
      </c>
      <c r="I590" t="n">
        <v>0</v>
      </c>
      <c r="J590" t="n">
        <v>0</v>
      </c>
      <c r="K590" t="n">
        <v>0</v>
      </c>
      <c r="L590" t="n">
        <v>0</v>
      </c>
      <c r="M590" t="n">
        <v>0</v>
      </c>
      <c r="N590" t="n">
        <v>0</v>
      </c>
      <c r="O590" t="n">
        <v>0</v>
      </c>
      <c r="P590" t="n">
        <v>0</v>
      </c>
      <c r="Q590" t="n">
        <v>0</v>
      </c>
      <c r="R590" s="2" t="inlineStr"/>
    </row>
    <row r="591" ht="15" customHeight="1">
      <c r="A591" t="inlineStr">
        <is>
          <t>A 39888-2024</t>
        </is>
      </c>
      <c r="B591" s="1" t="n">
        <v>45553.47538194444</v>
      </c>
      <c r="C591" s="1" t="n">
        <v>45932</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36846-2025</t>
        </is>
      </c>
      <c r="B592" s="1" t="n">
        <v>45874.38655092593</v>
      </c>
      <c r="C592" s="1" t="n">
        <v>45932</v>
      </c>
      <c r="D592" t="inlineStr">
        <is>
          <t>DALARNAS LÄN</t>
        </is>
      </c>
      <c r="E592" t="inlineStr">
        <is>
          <t>MORA</t>
        </is>
      </c>
      <c r="G592" t="n">
        <v>10.7</v>
      </c>
      <c r="H592" t="n">
        <v>0</v>
      </c>
      <c r="I592" t="n">
        <v>0</v>
      </c>
      <c r="J592" t="n">
        <v>0</v>
      </c>
      <c r="K592" t="n">
        <v>0</v>
      </c>
      <c r="L592" t="n">
        <v>0</v>
      </c>
      <c r="M592" t="n">
        <v>0</v>
      </c>
      <c r="N592" t="n">
        <v>0</v>
      </c>
      <c r="O592" t="n">
        <v>0</v>
      </c>
      <c r="P592" t="n">
        <v>0</v>
      </c>
      <c r="Q592" t="n">
        <v>0</v>
      </c>
      <c r="R592" s="2" t="inlineStr"/>
    </row>
    <row r="593" ht="15" customHeight="1">
      <c r="A593" t="inlineStr">
        <is>
          <t>A 44384-2025</t>
        </is>
      </c>
      <c r="B593" s="1" t="n">
        <v>45916.48513888889</v>
      </c>
      <c r="C593" s="1" t="n">
        <v>45932</v>
      </c>
      <c r="D593" t="inlineStr">
        <is>
          <t>DALARNAS LÄN</t>
        </is>
      </c>
      <c r="E593" t="inlineStr">
        <is>
          <t>MORA</t>
        </is>
      </c>
      <c r="F593" t="inlineStr">
        <is>
          <t>Kyrkan</t>
        </is>
      </c>
      <c r="G593" t="n">
        <v>5.1</v>
      </c>
      <c r="H593" t="n">
        <v>0</v>
      </c>
      <c r="I593" t="n">
        <v>0</v>
      </c>
      <c r="J593" t="n">
        <v>0</v>
      </c>
      <c r="K593" t="n">
        <v>0</v>
      </c>
      <c r="L593" t="n">
        <v>0</v>
      </c>
      <c r="M593" t="n">
        <v>0</v>
      </c>
      <c r="N593" t="n">
        <v>0</v>
      </c>
      <c r="O593" t="n">
        <v>0</v>
      </c>
      <c r="P593" t="n">
        <v>0</v>
      </c>
      <c r="Q593" t="n">
        <v>0</v>
      </c>
      <c r="R593" s="2" t="inlineStr"/>
    </row>
    <row r="594" ht="15" customHeight="1">
      <c r="A594" t="inlineStr">
        <is>
          <t>A 22854-2023</t>
        </is>
      </c>
      <c r="B594" s="1" t="n">
        <v>45072</v>
      </c>
      <c r="C594" s="1" t="n">
        <v>45932</v>
      </c>
      <c r="D594" t="inlineStr">
        <is>
          <t>DALARNAS LÄN</t>
        </is>
      </c>
      <c r="E594" t="inlineStr">
        <is>
          <t>MORA</t>
        </is>
      </c>
      <c r="G594" t="n">
        <v>3.3</v>
      </c>
      <c r="H594" t="n">
        <v>0</v>
      </c>
      <c r="I594" t="n">
        <v>0</v>
      </c>
      <c r="J594" t="n">
        <v>0</v>
      </c>
      <c r="K594" t="n">
        <v>0</v>
      </c>
      <c r="L594" t="n">
        <v>0</v>
      </c>
      <c r="M594" t="n">
        <v>0</v>
      </c>
      <c r="N594" t="n">
        <v>0</v>
      </c>
      <c r="O594" t="n">
        <v>0</v>
      </c>
      <c r="P594" t="n">
        <v>0</v>
      </c>
      <c r="Q594" t="n">
        <v>0</v>
      </c>
      <c r="R594" s="2" t="inlineStr"/>
    </row>
    <row r="595" ht="15" customHeight="1">
      <c r="A595" t="inlineStr">
        <is>
          <t>A 20126-2025</t>
        </is>
      </c>
      <c r="B595" s="1" t="n">
        <v>45772.49640046297</v>
      </c>
      <c r="C595" s="1" t="n">
        <v>45932</v>
      </c>
      <c r="D595" t="inlineStr">
        <is>
          <t>DALARNAS LÄN</t>
        </is>
      </c>
      <c r="E595" t="inlineStr">
        <is>
          <t>MORA</t>
        </is>
      </c>
      <c r="G595" t="n">
        <v>12.1</v>
      </c>
      <c r="H595" t="n">
        <v>0</v>
      </c>
      <c r="I595" t="n">
        <v>0</v>
      </c>
      <c r="J595" t="n">
        <v>0</v>
      </c>
      <c r="K595" t="n">
        <v>0</v>
      </c>
      <c r="L595" t="n">
        <v>0</v>
      </c>
      <c r="M595" t="n">
        <v>0</v>
      </c>
      <c r="N595" t="n">
        <v>0</v>
      </c>
      <c r="O595" t="n">
        <v>0</v>
      </c>
      <c r="P595" t="n">
        <v>0</v>
      </c>
      <c r="Q595" t="n">
        <v>0</v>
      </c>
      <c r="R595" s="2" t="inlineStr"/>
    </row>
    <row r="596" ht="15" customHeight="1">
      <c r="A596" t="inlineStr">
        <is>
          <t>A 44621-2025</t>
        </is>
      </c>
      <c r="B596" s="1" t="n">
        <v>45917.466875</v>
      </c>
      <c r="C596" s="1" t="n">
        <v>45932</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33666-2024</t>
        </is>
      </c>
      <c r="B597" s="1" t="n">
        <v>45520.48304398148</v>
      </c>
      <c r="C597" s="1" t="n">
        <v>45932</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20989-2024</t>
        </is>
      </c>
      <c r="B598" s="1" t="n">
        <v>45439</v>
      </c>
      <c r="C598" s="1" t="n">
        <v>45932</v>
      </c>
      <c r="D598" t="inlineStr">
        <is>
          <t>DALARNAS LÄN</t>
        </is>
      </c>
      <c r="E598" t="inlineStr">
        <is>
          <t>MORA</t>
        </is>
      </c>
      <c r="F598" t="inlineStr">
        <is>
          <t>Bergvik skog öst AB</t>
        </is>
      </c>
      <c r="G598" t="n">
        <v>14.7</v>
      </c>
      <c r="H598" t="n">
        <v>0</v>
      </c>
      <c r="I598" t="n">
        <v>0</v>
      </c>
      <c r="J598" t="n">
        <v>0</v>
      </c>
      <c r="K598" t="n">
        <v>0</v>
      </c>
      <c r="L598" t="n">
        <v>0</v>
      </c>
      <c r="M598" t="n">
        <v>0</v>
      </c>
      <c r="N598" t="n">
        <v>0</v>
      </c>
      <c r="O598" t="n">
        <v>0</v>
      </c>
      <c r="P598" t="n">
        <v>0</v>
      </c>
      <c r="Q598" t="n">
        <v>0</v>
      </c>
      <c r="R598" s="2" t="inlineStr"/>
    </row>
    <row r="599" ht="15" customHeight="1">
      <c r="A599" t="inlineStr">
        <is>
          <t>A 5309-2023</t>
        </is>
      </c>
      <c r="B599" s="1" t="n">
        <v>44956</v>
      </c>
      <c r="C599" s="1" t="n">
        <v>45932</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27420-2024</t>
        </is>
      </c>
      <c r="B600" s="1" t="n">
        <v>45474.37850694444</v>
      </c>
      <c r="C600" s="1" t="n">
        <v>45932</v>
      </c>
      <c r="D600" t="inlineStr">
        <is>
          <t>DALARNAS LÄN</t>
        </is>
      </c>
      <c r="E600" t="inlineStr">
        <is>
          <t>MORA</t>
        </is>
      </c>
      <c r="G600" t="n">
        <v>7.3</v>
      </c>
      <c r="H600" t="n">
        <v>0</v>
      </c>
      <c r="I600" t="n">
        <v>0</v>
      </c>
      <c r="J600" t="n">
        <v>0</v>
      </c>
      <c r="K600" t="n">
        <v>0</v>
      </c>
      <c r="L600" t="n">
        <v>0</v>
      </c>
      <c r="M600" t="n">
        <v>0</v>
      </c>
      <c r="N600" t="n">
        <v>0</v>
      </c>
      <c r="O600" t="n">
        <v>0</v>
      </c>
      <c r="P600" t="n">
        <v>0</v>
      </c>
      <c r="Q600" t="n">
        <v>0</v>
      </c>
      <c r="R600" s="2" t="inlineStr"/>
    </row>
    <row r="601" ht="15" customHeight="1">
      <c r="A601" t="inlineStr">
        <is>
          <t>A 41812-2024</t>
        </is>
      </c>
      <c r="B601" s="1" t="n">
        <v>45561.3771412037</v>
      </c>
      <c r="C601" s="1" t="n">
        <v>45932</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37070-2025</t>
        </is>
      </c>
      <c r="B602" s="1" t="n">
        <v>45875.39822916667</v>
      </c>
      <c r="C602" s="1" t="n">
        <v>45932</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51888-2024</t>
        </is>
      </c>
      <c r="B603" s="1" t="n">
        <v>45607.57142361111</v>
      </c>
      <c r="C603" s="1" t="n">
        <v>45932</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44318-2025</t>
        </is>
      </c>
      <c r="B604" s="1" t="n">
        <v>45916.39680555555</v>
      </c>
      <c r="C604" s="1" t="n">
        <v>45932</v>
      </c>
      <c r="D604" t="inlineStr">
        <is>
          <t>DALARNAS LÄN</t>
        </is>
      </c>
      <c r="E604" t="inlineStr">
        <is>
          <t>MORA</t>
        </is>
      </c>
      <c r="G604" t="n">
        <v>7.4</v>
      </c>
      <c r="H604" t="n">
        <v>0</v>
      </c>
      <c r="I604" t="n">
        <v>0</v>
      </c>
      <c r="J604" t="n">
        <v>0</v>
      </c>
      <c r="K604" t="n">
        <v>0</v>
      </c>
      <c r="L604" t="n">
        <v>0</v>
      </c>
      <c r="M604" t="n">
        <v>0</v>
      </c>
      <c r="N604" t="n">
        <v>0</v>
      </c>
      <c r="O604" t="n">
        <v>0</v>
      </c>
      <c r="P604" t="n">
        <v>0</v>
      </c>
      <c r="Q604" t="n">
        <v>0</v>
      </c>
      <c r="R604" s="2" t="inlineStr"/>
    </row>
    <row r="605" ht="15" customHeight="1">
      <c r="A605" t="inlineStr">
        <is>
          <t>A 39344-2024</t>
        </is>
      </c>
      <c r="B605" s="1" t="n">
        <v>45551.44503472222</v>
      </c>
      <c r="C605" s="1" t="n">
        <v>45932</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37268-2025</t>
        </is>
      </c>
      <c r="B606" s="1" t="n">
        <v>45876.46681712963</v>
      </c>
      <c r="C606" s="1" t="n">
        <v>45932</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24590-2024</t>
        </is>
      </c>
      <c r="B607" s="1" t="n">
        <v>45460</v>
      </c>
      <c r="C607" s="1" t="n">
        <v>45932</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45191-2025</t>
        </is>
      </c>
      <c r="B608" s="1" t="n">
        <v>45919.54811342592</v>
      </c>
      <c r="C608" s="1" t="n">
        <v>45932</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45181-2025</t>
        </is>
      </c>
      <c r="B609" s="1" t="n">
        <v>45919.53329861111</v>
      </c>
      <c r="C609" s="1" t="n">
        <v>45932</v>
      </c>
      <c r="D609" t="inlineStr">
        <is>
          <t>DALARNAS LÄN</t>
        </is>
      </c>
      <c r="E609" t="inlineStr">
        <is>
          <t>MORA</t>
        </is>
      </c>
      <c r="G609" t="n">
        <v>4.5</v>
      </c>
      <c r="H609" t="n">
        <v>0</v>
      </c>
      <c r="I609" t="n">
        <v>0</v>
      </c>
      <c r="J609" t="n">
        <v>0</v>
      </c>
      <c r="K609" t="n">
        <v>0</v>
      </c>
      <c r="L609" t="n">
        <v>0</v>
      </c>
      <c r="M609" t="n">
        <v>0</v>
      </c>
      <c r="N609" t="n">
        <v>0</v>
      </c>
      <c r="O609" t="n">
        <v>0</v>
      </c>
      <c r="P609" t="n">
        <v>0</v>
      </c>
      <c r="Q609" t="n">
        <v>0</v>
      </c>
      <c r="R609" s="2" t="inlineStr"/>
    </row>
    <row r="610" ht="15" customHeight="1">
      <c r="A610" t="inlineStr">
        <is>
          <t>A 32721-2024</t>
        </is>
      </c>
      <c r="B610" s="1" t="n">
        <v>45516.40261574074</v>
      </c>
      <c r="C610" s="1" t="n">
        <v>45932</v>
      </c>
      <c r="D610" t="inlineStr">
        <is>
          <t>DALARNAS LÄN</t>
        </is>
      </c>
      <c r="E610" t="inlineStr">
        <is>
          <t>MORA</t>
        </is>
      </c>
      <c r="G610" t="n">
        <v>4.2</v>
      </c>
      <c r="H610" t="n">
        <v>0</v>
      </c>
      <c r="I610" t="n">
        <v>0</v>
      </c>
      <c r="J610" t="n">
        <v>0</v>
      </c>
      <c r="K610" t="n">
        <v>0</v>
      </c>
      <c r="L610" t="n">
        <v>0</v>
      </c>
      <c r="M610" t="n">
        <v>0</v>
      </c>
      <c r="N610" t="n">
        <v>0</v>
      </c>
      <c r="O610" t="n">
        <v>0</v>
      </c>
      <c r="P610" t="n">
        <v>0</v>
      </c>
      <c r="Q610" t="n">
        <v>0</v>
      </c>
      <c r="R610" s="2" t="inlineStr"/>
    </row>
    <row r="611" ht="15" customHeight="1">
      <c r="A611" t="inlineStr">
        <is>
          <t>A 8153-2021</t>
        </is>
      </c>
      <c r="B611" s="1" t="n">
        <v>44244</v>
      </c>
      <c r="C611" s="1" t="n">
        <v>45932</v>
      </c>
      <c r="D611" t="inlineStr">
        <is>
          <t>DALARNAS LÄN</t>
        </is>
      </c>
      <c r="E611" t="inlineStr">
        <is>
          <t>MORA</t>
        </is>
      </c>
      <c r="G611" t="n">
        <v>2.5</v>
      </c>
      <c r="H611" t="n">
        <v>0</v>
      </c>
      <c r="I611" t="n">
        <v>0</v>
      </c>
      <c r="J611" t="n">
        <v>0</v>
      </c>
      <c r="K611" t="n">
        <v>0</v>
      </c>
      <c r="L611" t="n">
        <v>0</v>
      </c>
      <c r="M611" t="n">
        <v>0</v>
      </c>
      <c r="N611" t="n">
        <v>0</v>
      </c>
      <c r="O611" t="n">
        <v>0</v>
      </c>
      <c r="P611" t="n">
        <v>0</v>
      </c>
      <c r="Q611" t="n">
        <v>0</v>
      </c>
      <c r="R611" s="2" t="inlineStr"/>
    </row>
    <row r="612" ht="15" customHeight="1">
      <c r="A612" t="inlineStr">
        <is>
          <t>A 24169-2022</t>
        </is>
      </c>
      <c r="B612" s="1" t="n">
        <v>44725.50280092593</v>
      </c>
      <c r="C612" s="1" t="n">
        <v>45932</v>
      </c>
      <c r="D612" t="inlineStr">
        <is>
          <t>DALARNAS LÄN</t>
        </is>
      </c>
      <c r="E612" t="inlineStr">
        <is>
          <t>MORA</t>
        </is>
      </c>
      <c r="F612" t="inlineStr">
        <is>
          <t>Bergvik skog väst AB</t>
        </is>
      </c>
      <c r="G612" t="n">
        <v>1.4</v>
      </c>
      <c r="H612" t="n">
        <v>0</v>
      </c>
      <c r="I612" t="n">
        <v>0</v>
      </c>
      <c r="J612" t="n">
        <v>0</v>
      </c>
      <c r="K612" t="n">
        <v>0</v>
      </c>
      <c r="L612" t="n">
        <v>0</v>
      </c>
      <c r="M612" t="n">
        <v>0</v>
      </c>
      <c r="N612" t="n">
        <v>0</v>
      </c>
      <c r="O612" t="n">
        <v>0</v>
      </c>
      <c r="P612" t="n">
        <v>0</v>
      </c>
      <c r="Q612" t="n">
        <v>0</v>
      </c>
      <c r="R612" s="2" t="inlineStr"/>
    </row>
    <row r="613" ht="15" customHeight="1">
      <c r="A613" t="inlineStr">
        <is>
          <t>A 43641-2022</t>
        </is>
      </c>
      <c r="B613" s="1" t="n">
        <v>44837</v>
      </c>
      <c r="C613" s="1" t="n">
        <v>45932</v>
      </c>
      <c r="D613" t="inlineStr">
        <is>
          <t>DALARNAS LÄN</t>
        </is>
      </c>
      <c r="E613" t="inlineStr">
        <is>
          <t>MORA</t>
        </is>
      </c>
      <c r="G613" t="n">
        <v>1.8</v>
      </c>
      <c r="H613" t="n">
        <v>0</v>
      </c>
      <c r="I613" t="n">
        <v>0</v>
      </c>
      <c r="J613" t="n">
        <v>0</v>
      </c>
      <c r="K613" t="n">
        <v>0</v>
      </c>
      <c r="L613" t="n">
        <v>0</v>
      </c>
      <c r="M613" t="n">
        <v>0</v>
      </c>
      <c r="N613" t="n">
        <v>0</v>
      </c>
      <c r="O613" t="n">
        <v>0</v>
      </c>
      <c r="P613" t="n">
        <v>0</v>
      </c>
      <c r="Q613" t="n">
        <v>0</v>
      </c>
      <c r="R613" s="2" t="inlineStr"/>
    </row>
    <row r="614" ht="15" customHeight="1">
      <c r="A614" t="inlineStr">
        <is>
          <t>A 25749-2023</t>
        </is>
      </c>
      <c r="B614" s="1" t="n">
        <v>45090</v>
      </c>
      <c r="C614" s="1" t="n">
        <v>45932</v>
      </c>
      <c r="D614" t="inlineStr">
        <is>
          <t>DALARNAS LÄN</t>
        </is>
      </c>
      <c r="E614" t="inlineStr">
        <is>
          <t>MORA</t>
        </is>
      </c>
      <c r="G614" t="n">
        <v>2.4</v>
      </c>
      <c r="H614" t="n">
        <v>0</v>
      </c>
      <c r="I614" t="n">
        <v>0</v>
      </c>
      <c r="J614" t="n">
        <v>0</v>
      </c>
      <c r="K614" t="n">
        <v>0</v>
      </c>
      <c r="L614" t="n">
        <v>0</v>
      </c>
      <c r="M614" t="n">
        <v>0</v>
      </c>
      <c r="N614" t="n">
        <v>0</v>
      </c>
      <c r="O614" t="n">
        <v>0</v>
      </c>
      <c r="P614" t="n">
        <v>0</v>
      </c>
      <c r="Q614" t="n">
        <v>0</v>
      </c>
      <c r="R614" s="2" t="inlineStr"/>
    </row>
    <row r="615" ht="15" customHeight="1">
      <c r="A615" t="inlineStr">
        <is>
          <t>A 40325-2024</t>
        </is>
      </c>
      <c r="B615" s="1" t="n">
        <v>45554.88538194444</v>
      </c>
      <c r="C615" s="1" t="n">
        <v>45932</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53750-2024</t>
        </is>
      </c>
      <c r="B616" s="1" t="n">
        <v>45615.48465277778</v>
      </c>
      <c r="C616" s="1" t="n">
        <v>45932</v>
      </c>
      <c r="D616" t="inlineStr">
        <is>
          <t>DALARNAS LÄN</t>
        </is>
      </c>
      <c r="E616" t="inlineStr">
        <is>
          <t>MORA</t>
        </is>
      </c>
      <c r="G616" t="n">
        <v>2.3</v>
      </c>
      <c r="H616" t="n">
        <v>0</v>
      </c>
      <c r="I616" t="n">
        <v>0</v>
      </c>
      <c r="J616" t="n">
        <v>0</v>
      </c>
      <c r="K616" t="n">
        <v>0</v>
      </c>
      <c r="L616" t="n">
        <v>0</v>
      </c>
      <c r="M616" t="n">
        <v>0</v>
      </c>
      <c r="N616" t="n">
        <v>0</v>
      </c>
      <c r="O616" t="n">
        <v>0</v>
      </c>
      <c r="P616" t="n">
        <v>0</v>
      </c>
      <c r="Q616" t="n">
        <v>0</v>
      </c>
      <c r="R616" s="2" t="inlineStr"/>
    </row>
    <row r="617" ht="15" customHeight="1">
      <c r="A617" t="inlineStr">
        <is>
          <t>A 43964-2024</t>
        </is>
      </c>
      <c r="B617" s="1" t="n">
        <v>45572.48407407408</v>
      </c>
      <c r="C617" s="1" t="n">
        <v>45932</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45199-2025</t>
        </is>
      </c>
      <c r="B618" s="1" t="n">
        <v>45919.56107638889</v>
      </c>
      <c r="C618" s="1" t="n">
        <v>45932</v>
      </c>
      <c r="D618" t="inlineStr">
        <is>
          <t>DALARNAS LÄN</t>
        </is>
      </c>
      <c r="E618" t="inlineStr">
        <is>
          <t>MORA</t>
        </is>
      </c>
      <c r="G618" t="n">
        <v>12.1</v>
      </c>
      <c r="H618" t="n">
        <v>0</v>
      </c>
      <c r="I618" t="n">
        <v>0</v>
      </c>
      <c r="J618" t="n">
        <v>0</v>
      </c>
      <c r="K618" t="n">
        <v>0</v>
      </c>
      <c r="L618" t="n">
        <v>0</v>
      </c>
      <c r="M618" t="n">
        <v>0</v>
      </c>
      <c r="N618" t="n">
        <v>0</v>
      </c>
      <c r="O618" t="n">
        <v>0</v>
      </c>
      <c r="P618" t="n">
        <v>0</v>
      </c>
      <c r="Q618" t="n">
        <v>0</v>
      </c>
      <c r="R618" s="2" t="inlineStr"/>
    </row>
    <row r="619" ht="15" customHeight="1">
      <c r="A619" t="inlineStr">
        <is>
          <t>A 51883-2024</t>
        </is>
      </c>
      <c r="B619" s="1" t="n">
        <v>45607</v>
      </c>
      <c r="C619" s="1" t="n">
        <v>45932</v>
      </c>
      <c r="D619" t="inlineStr">
        <is>
          <t>DALARNAS LÄN</t>
        </is>
      </c>
      <c r="E619" t="inlineStr">
        <is>
          <t>MORA</t>
        </is>
      </c>
      <c r="G619" t="n">
        <v>0.2</v>
      </c>
      <c r="H619" t="n">
        <v>0</v>
      </c>
      <c r="I619" t="n">
        <v>0</v>
      </c>
      <c r="J619" t="n">
        <v>0</v>
      </c>
      <c r="K619" t="n">
        <v>0</v>
      </c>
      <c r="L619" t="n">
        <v>0</v>
      </c>
      <c r="M619" t="n">
        <v>0</v>
      </c>
      <c r="N619" t="n">
        <v>0</v>
      </c>
      <c r="O619" t="n">
        <v>0</v>
      </c>
      <c r="P619" t="n">
        <v>0</v>
      </c>
      <c r="Q619" t="n">
        <v>0</v>
      </c>
      <c r="R619" s="2" t="inlineStr"/>
    </row>
    <row r="620" ht="15" customHeight="1">
      <c r="A620" t="inlineStr">
        <is>
          <t>A 42941-2024</t>
        </is>
      </c>
      <c r="B620" s="1" t="n">
        <v>45567.3515162037</v>
      </c>
      <c r="C620" s="1" t="n">
        <v>45932</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43873-2024</t>
        </is>
      </c>
      <c r="B621" s="1" t="n">
        <v>45572.38429398148</v>
      </c>
      <c r="C621" s="1" t="n">
        <v>45932</v>
      </c>
      <c r="D621" t="inlineStr">
        <is>
          <t>DALARNAS LÄN</t>
        </is>
      </c>
      <c r="E621" t="inlineStr">
        <is>
          <t>MORA</t>
        </is>
      </c>
      <c r="G621" t="n">
        <v>4.1</v>
      </c>
      <c r="H621" t="n">
        <v>0</v>
      </c>
      <c r="I621" t="n">
        <v>0</v>
      </c>
      <c r="J621" t="n">
        <v>0</v>
      </c>
      <c r="K621" t="n">
        <v>0</v>
      </c>
      <c r="L621" t="n">
        <v>0</v>
      </c>
      <c r="M621" t="n">
        <v>0</v>
      </c>
      <c r="N621" t="n">
        <v>0</v>
      </c>
      <c r="O621" t="n">
        <v>0</v>
      </c>
      <c r="P621" t="n">
        <v>0</v>
      </c>
      <c r="Q621" t="n">
        <v>0</v>
      </c>
      <c r="R621" s="2" t="inlineStr"/>
    </row>
    <row r="622" ht="15" customHeight="1">
      <c r="A622" t="inlineStr">
        <is>
          <t>A 10777-2025</t>
        </is>
      </c>
      <c r="B622" s="1" t="n">
        <v>45722.47743055555</v>
      </c>
      <c r="C622" s="1" t="n">
        <v>45932</v>
      </c>
      <c r="D622" t="inlineStr">
        <is>
          <t>DALARNAS LÄN</t>
        </is>
      </c>
      <c r="E622" t="inlineStr">
        <is>
          <t>MORA</t>
        </is>
      </c>
      <c r="G622" t="n">
        <v>9.9</v>
      </c>
      <c r="H622" t="n">
        <v>0</v>
      </c>
      <c r="I622" t="n">
        <v>0</v>
      </c>
      <c r="J622" t="n">
        <v>0</v>
      </c>
      <c r="K622" t="n">
        <v>0</v>
      </c>
      <c r="L622" t="n">
        <v>0</v>
      </c>
      <c r="M622" t="n">
        <v>0</v>
      </c>
      <c r="N622" t="n">
        <v>0</v>
      </c>
      <c r="O622" t="n">
        <v>0</v>
      </c>
      <c r="P622" t="n">
        <v>0</v>
      </c>
      <c r="Q622" t="n">
        <v>0</v>
      </c>
      <c r="R622" s="2" t="inlineStr"/>
    </row>
    <row r="623" ht="15" customHeight="1">
      <c r="A623" t="inlineStr">
        <is>
          <t>A 19842-2025</t>
        </is>
      </c>
      <c r="B623" s="1" t="n">
        <v>45771.47938657407</v>
      </c>
      <c r="C623" s="1" t="n">
        <v>45932</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44177-2023</t>
        </is>
      </c>
      <c r="B624" s="1" t="n">
        <v>45188.51439814815</v>
      </c>
      <c r="C624" s="1" t="n">
        <v>45932</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14372-2025</t>
        </is>
      </c>
      <c r="B625" s="1" t="n">
        <v>45741.4050462963</v>
      </c>
      <c r="C625" s="1" t="n">
        <v>45932</v>
      </c>
      <c r="D625" t="inlineStr">
        <is>
          <t>DALARNAS LÄN</t>
        </is>
      </c>
      <c r="E625" t="inlineStr">
        <is>
          <t>MORA</t>
        </is>
      </c>
      <c r="G625" t="n">
        <v>5.1</v>
      </c>
      <c r="H625" t="n">
        <v>0</v>
      </c>
      <c r="I625" t="n">
        <v>0</v>
      </c>
      <c r="J625" t="n">
        <v>0</v>
      </c>
      <c r="K625" t="n">
        <v>0</v>
      </c>
      <c r="L625" t="n">
        <v>0</v>
      </c>
      <c r="M625" t="n">
        <v>0</v>
      </c>
      <c r="N625" t="n">
        <v>0</v>
      </c>
      <c r="O625" t="n">
        <v>0</v>
      </c>
      <c r="P625" t="n">
        <v>0</v>
      </c>
      <c r="Q625" t="n">
        <v>0</v>
      </c>
      <c r="R625" s="2" t="inlineStr"/>
    </row>
    <row r="626" ht="15" customHeight="1">
      <c r="A626" t="inlineStr">
        <is>
          <t>A 14378-2025</t>
        </is>
      </c>
      <c r="B626" s="1" t="n">
        <v>45741</v>
      </c>
      <c r="C626" s="1" t="n">
        <v>45932</v>
      </c>
      <c r="D626" t="inlineStr">
        <is>
          <t>DALARNAS LÄN</t>
        </is>
      </c>
      <c r="E626" t="inlineStr">
        <is>
          <t>MORA</t>
        </is>
      </c>
      <c r="G626" t="n">
        <v>5.2</v>
      </c>
      <c r="H626" t="n">
        <v>0</v>
      </c>
      <c r="I626" t="n">
        <v>0</v>
      </c>
      <c r="J626" t="n">
        <v>0</v>
      </c>
      <c r="K626" t="n">
        <v>0</v>
      </c>
      <c r="L626" t="n">
        <v>0</v>
      </c>
      <c r="M626" t="n">
        <v>0</v>
      </c>
      <c r="N626" t="n">
        <v>0</v>
      </c>
      <c r="O626" t="n">
        <v>0</v>
      </c>
      <c r="P626" t="n">
        <v>0</v>
      </c>
      <c r="Q626" t="n">
        <v>0</v>
      </c>
      <c r="R626" s="2" t="inlineStr"/>
    </row>
    <row r="627" ht="15" customHeight="1">
      <c r="A627" t="inlineStr">
        <is>
          <t>A 37879-2025</t>
        </is>
      </c>
      <c r="B627" s="1" t="n">
        <v>45881.48791666667</v>
      </c>
      <c r="C627" s="1" t="n">
        <v>45932</v>
      </c>
      <c r="D627" t="inlineStr">
        <is>
          <t>DALARNAS LÄN</t>
        </is>
      </c>
      <c r="E627" t="inlineStr">
        <is>
          <t>MORA</t>
        </is>
      </c>
      <c r="G627" t="n">
        <v>1.4</v>
      </c>
      <c r="H627" t="n">
        <v>0</v>
      </c>
      <c r="I627" t="n">
        <v>0</v>
      </c>
      <c r="J627" t="n">
        <v>0</v>
      </c>
      <c r="K627" t="n">
        <v>0</v>
      </c>
      <c r="L627" t="n">
        <v>0</v>
      </c>
      <c r="M627" t="n">
        <v>0</v>
      </c>
      <c r="N627" t="n">
        <v>0</v>
      </c>
      <c r="O627" t="n">
        <v>0</v>
      </c>
      <c r="P627" t="n">
        <v>0</v>
      </c>
      <c r="Q627" t="n">
        <v>0</v>
      </c>
      <c r="R627" s="2" t="inlineStr"/>
    </row>
    <row r="628" ht="15" customHeight="1">
      <c r="A628" t="inlineStr">
        <is>
          <t>A 38086-2025</t>
        </is>
      </c>
      <c r="B628" s="1" t="n">
        <v>45882.47625</v>
      </c>
      <c r="C628" s="1" t="n">
        <v>45932</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16733-2024</t>
        </is>
      </c>
      <c r="B629" s="1" t="n">
        <v>45410.78502314815</v>
      </c>
      <c r="C629" s="1" t="n">
        <v>45932</v>
      </c>
      <c r="D629" t="inlineStr">
        <is>
          <t>DALARNAS LÄN</t>
        </is>
      </c>
      <c r="E629" t="inlineStr">
        <is>
          <t>MORA</t>
        </is>
      </c>
      <c r="G629" t="n">
        <v>6.3</v>
      </c>
      <c r="H629" t="n">
        <v>0</v>
      </c>
      <c r="I629" t="n">
        <v>0</v>
      </c>
      <c r="J629" t="n">
        <v>0</v>
      </c>
      <c r="K629" t="n">
        <v>0</v>
      </c>
      <c r="L629" t="n">
        <v>0</v>
      </c>
      <c r="M629" t="n">
        <v>0</v>
      </c>
      <c r="N629" t="n">
        <v>0</v>
      </c>
      <c r="O629" t="n">
        <v>0</v>
      </c>
      <c r="P629" t="n">
        <v>0</v>
      </c>
      <c r="Q629" t="n">
        <v>0</v>
      </c>
      <c r="R629" s="2" t="inlineStr"/>
    </row>
    <row r="630" ht="15" customHeight="1">
      <c r="A630" t="inlineStr">
        <is>
          <t>A 46283-2025</t>
        </is>
      </c>
      <c r="B630" s="1" t="n">
        <v>45925.38109953704</v>
      </c>
      <c r="C630" s="1" t="n">
        <v>45932</v>
      </c>
      <c r="D630" t="inlineStr">
        <is>
          <t>DALARNAS LÄN</t>
        </is>
      </c>
      <c r="E630" t="inlineStr">
        <is>
          <t>MORA</t>
        </is>
      </c>
      <c r="G630" t="n">
        <v>0.5</v>
      </c>
      <c r="H630" t="n">
        <v>0</v>
      </c>
      <c r="I630" t="n">
        <v>0</v>
      </c>
      <c r="J630" t="n">
        <v>0</v>
      </c>
      <c r="K630" t="n">
        <v>0</v>
      </c>
      <c r="L630" t="n">
        <v>0</v>
      </c>
      <c r="M630" t="n">
        <v>0</v>
      </c>
      <c r="N630" t="n">
        <v>0</v>
      </c>
      <c r="O630" t="n">
        <v>0</v>
      </c>
      <c r="P630" t="n">
        <v>0</v>
      </c>
      <c r="Q630" t="n">
        <v>0</v>
      </c>
      <c r="R630" s="2" t="inlineStr"/>
    </row>
    <row r="631" ht="15" customHeight="1">
      <c r="A631" t="inlineStr">
        <is>
          <t>A 61217-2023</t>
        </is>
      </c>
      <c r="B631" s="1" t="n">
        <v>45264.43802083333</v>
      </c>
      <c r="C631" s="1" t="n">
        <v>45932</v>
      </c>
      <c r="D631" t="inlineStr">
        <is>
          <t>DALARNAS LÄN</t>
        </is>
      </c>
      <c r="E631" t="inlineStr">
        <is>
          <t>MORA</t>
        </is>
      </c>
      <c r="F631" t="inlineStr">
        <is>
          <t>Allmännings- och besparingsskogar</t>
        </is>
      </c>
      <c r="G631" t="n">
        <v>2</v>
      </c>
      <c r="H631" t="n">
        <v>0</v>
      </c>
      <c r="I631" t="n">
        <v>0</v>
      </c>
      <c r="J631" t="n">
        <v>0</v>
      </c>
      <c r="K631" t="n">
        <v>0</v>
      </c>
      <c r="L631" t="n">
        <v>0</v>
      </c>
      <c r="M631" t="n">
        <v>0</v>
      </c>
      <c r="N631" t="n">
        <v>0</v>
      </c>
      <c r="O631" t="n">
        <v>0</v>
      </c>
      <c r="P631" t="n">
        <v>0</v>
      </c>
      <c r="Q631" t="n">
        <v>0</v>
      </c>
      <c r="R631" s="2" t="inlineStr"/>
    </row>
    <row r="632" ht="15" customHeight="1">
      <c r="A632" t="inlineStr">
        <is>
          <t>A 61218-2023</t>
        </is>
      </c>
      <c r="B632" s="1" t="n">
        <v>45264</v>
      </c>
      <c r="C632" s="1" t="n">
        <v>45932</v>
      </c>
      <c r="D632" t="inlineStr">
        <is>
          <t>DALARNAS LÄN</t>
        </is>
      </c>
      <c r="E632" t="inlineStr">
        <is>
          <t>MORA</t>
        </is>
      </c>
      <c r="F632" t="inlineStr">
        <is>
          <t>Allmännings- och besparingsskogar</t>
        </is>
      </c>
      <c r="G632" t="n">
        <v>2.6</v>
      </c>
      <c r="H632" t="n">
        <v>0</v>
      </c>
      <c r="I632" t="n">
        <v>0</v>
      </c>
      <c r="J632" t="n">
        <v>0</v>
      </c>
      <c r="K632" t="n">
        <v>0</v>
      </c>
      <c r="L632" t="n">
        <v>0</v>
      </c>
      <c r="M632" t="n">
        <v>0</v>
      </c>
      <c r="N632" t="n">
        <v>0</v>
      </c>
      <c r="O632" t="n">
        <v>0</v>
      </c>
      <c r="P632" t="n">
        <v>0</v>
      </c>
      <c r="Q632" t="n">
        <v>0</v>
      </c>
      <c r="R632" s="2" t="inlineStr"/>
    </row>
    <row r="633" ht="15" customHeight="1">
      <c r="A633" t="inlineStr">
        <is>
          <t>A 53527-2024</t>
        </is>
      </c>
      <c r="B633" s="1" t="n">
        <v>45614.61569444444</v>
      </c>
      <c r="C633" s="1" t="n">
        <v>45932</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18134-2025</t>
        </is>
      </c>
      <c r="B634" s="1" t="n">
        <v>45761.60189814815</v>
      </c>
      <c r="C634" s="1" t="n">
        <v>45932</v>
      </c>
      <c r="D634" t="inlineStr">
        <is>
          <t>DALARNAS LÄN</t>
        </is>
      </c>
      <c r="E634" t="inlineStr">
        <is>
          <t>MORA</t>
        </is>
      </c>
      <c r="F634" t="inlineStr">
        <is>
          <t>Bergvik skog öst AB</t>
        </is>
      </c>
      <c r="G634" t="n">
        <v>0.9</v>
      </c>
      <c r="H634" t="n">
        <v>0</v>
      </c>
      <c r="I634" t="n">
        <v>0</v>
      </c>
      <c r="J634" t="n">
        <v>0</v>
      </c>
      <c r="K634" t="n">
        <v>0</v>
      </c>
      <c r="L634" t="n">
        <v>0</v>
      </c>
      <c r="M634" t="n">
        <v>0</v>
      </c>
      <c r="N634" t="n">
        <v>0</v>
      </c>
      <c r="O634" t="n">
        <v>0</v>
      </c>
      <c r="P634" t="n">
        <v>0</v>
      </c>
      <c r="Q634" t="n">
        <v>0</v>
      </c>
      <c r="R634" s="2" t="inlineStr"/>
    </row>
    <row r="635" ht="15" customHeight="1">
      <c r="A635" t="inlineStr">
        <is>
          <t>A 46090-2025</t>
        </is>
      </c>
      <c r="B635" s="1" t="n">
        <v>45924.5253125</v>
      </c>
      <c r="C635" s="1" t="n">
        <v>45932</v>
      </c>
      <c r="D635" t="inlineStr">
        <is>
          <t>DALARNAS LÄN</t>
        </is>
      </c>
      <c r="E635" t="inlineStr">
        <is>
          <t>MORA</t>
        </is>
      </c>
      <c r="G635" t="n">
        <v>1.1</v>
      </c>
      <c r="H635" t="n">
        <v>0</v>
      </c>
      <c r="I635" t="n">
        <v>0</v>
      </c>
      <c r="J635" t="n">
        <v>0</v>
      </c>
      <c r="K635" t="n">
        <v>0</v>
      </c>
      <c r="L635" t="n">
        <v>0</v>
      </c>
      <c r="M635" t="n">
        <v>0</v>
      </c>
      <c r="N635" t="n">
        <v>0</v>
      </c>
      <c r="O635" t="n">
        <v>0</v>
      </c>
      <c r="P635" t="n">
        <v>0</v>
      </c>
      <c r="Q635" t="n">
        <v>0</v>
      </c>
      <c r="R635" s="2" t="inlineStr"/>
    </row>
    <row r="636" ht="15" customHeight="1">
      <c r="A636" t="inlineStr">
        <is>
          <t>A 38073-2025</t>
        </is>
      </c>
      <c r="B636" s="1" t="n">
        <v>45882</v>
      </c>
      <c r="C636" s="1" t="n">
        <v>45932</v>
      </c>
      <c r="D636" t="inlineStr">
        <is>
          <t>DALARNAS LÄN</t>
        </is>
      </c>
      <c r="E636" t="inlineStr">
        <is>
          <t>MORA</t>
        </is>
      </c>
      <c r="G636" t="n">
        <v>2.5</v>
      </c>
      <c r="H636" t="n">
        <v>0</v>
      </c>
      <c r="I636" t="n">
        <v>0</v>
      </c>
      <c r="J636" t="n">
        <v>0</v>
      </c>
      <c r="K636" t="n">
        <v>0</v>
      </c>
      <c r="L636" t="n">
        <v>0</v>
      </c>
      <c r="M636" t="n">
        <v>0</v>
      </c>
      <c r="N636" t="n">
        <v>0</v>
      </c>
      <c r="O636" t="n">
        <v>0</v>
      </c>
      <c r="P636" t="n">
        <v>0</v>
      </c>
      <c r="Q636" t="n">
        <v>0</v>
      </c>
      <c r="R636" s="2" t="inlineStr"/>
    </row>
    <row r="637" ht="15" customHeight="1">
      <c r="A637" t="inlineStr">
        <is>
          <t>A 46091-2025</t>
        </is>
      </c>
      <c r="B637" s="1" t="n">
        <v>45924.52871527777</v>
      </c>
      <c r="C637" s="1" t="n">
        <v>45932</v>
      </c>
      <c r="D637" t="inlineStr">
        <is>
          <t>DALARNAS LÄN</t>
        </is>
      </c>
      <c r="E637" t="inlineStr">
        <is>
          <t>MORA</t>
        </is>
      </c>
      <c r="G637" t="n">
        <v>1.2</v>
      </c>
      <c r="H637" t="n">
        <v>0</v>
      </c>
      <c r="I637" t="n">
        <v>0</v>
      </c>
      <c r="J637" t="n">
        <v>0</v>
      </c>
      <c r="K637" t="n">
        <v>0</v>
      </c>
      <c r="L637" t="n">
        <v>0</v>
      </c>
      <c r="M637" t="n">
        <v>0</v>
      </c>
      <c r="N637" t="n">
        <v>0</v>
      </c>
      <c r="O637" t="n">
        <v>0</v>
      </c>
      <c r="P637" t="n">
        <v>0</v>
      </c>
      <c r="Q637" t="n">
        <v>0</v>
      </c>
      <c r="R637" s="2" t="inlineStr"/>
    </row>
    <row r="638" ht="15" customHeight="1">
      <c r="A638" t="inlineStr">
        <is>
          <t>A 46450-2025</t>
        </is>
      </c>
      <c r="B638" s="1" t="n">
        <v>45925.6530324074</v>
      </c>
      <c r="C638" s="1" t="n">
        <v>45932</v>
      </c>
      <c r="D638" t="inlineStr">
        <is>
          <t>DALARNAS LÄN</t>
        </is>
      </c>
      <c r="E638" t="inlineStr">
        <is>
          <t>MORA</t>
        </is>
      </c>
      <c r="G638" t="n">
        <v>4.2</v>
      </c>
      <c r="H638" t="n">
        <v>0</v>
      </c>
      <c r="I638" t="n">
        <v>0</v>
      </c>
      <c r="J638" t="n">
        <v>0</v>
      </c>
      <c r="K638" t="n">
        <v>0</v>
      </c>
      <c r="L638" t="n">
        <v>0</v>
      </c>
      <c r="M638" t="n">
        <v>0</v>
      </c>
      <c r="N638" t="n">
        <v>0</v>
      </c>
      <c r="O638" t="n">
        <v>0</v>
      </c>
      <c r="P638" t="n">
        <v>0</v>
      </c>
      <c r="Q638" t="n">
        <v>0</v>
      </c>
      <c r="R638" s="2" t="inlineStr"/>
    </row>
    <row r="639" ht="15" customHeight="1">
      <c r="A639" t="inlineStr">
        <is>
          <t>A 16967-2025</t>
        </is>
      </c>
      <c r="B639" s="1" t="n">
        <v>45755.46106481482</v>
      </c>
      <c r="C639" s="1" t="n">
        <v>45932</v>
      </c>
      <c r="D639" t="inlineStr">
        <is>
          <t>DALARNAS LÄN</t>
        </is>
      </c>
      <c r="E639" t="inlineStr">
        <is>
          <t>MORA</t>
        </is>
      </c>
      <c r="F639" t="inlineStr">
        <is>
          <t>Bergvik skog öst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35327-2024</t>
        </is>
      </c>
      <c r="B640" s="1" t="n">
        <v>45530.71334490741</v>
      </c>
      <c r="C640" s="1" t="n">
        <v>45932</v>
      </c>
      <c r="D640" t="inlineStr">
        <is>
          <t>DALARNAS LÄN</t>
        </is>
      </c>
      <c r="E640" t="inlineStr">
        <is>
          <t>MORA</t>
        </is>
      </c>
      <c r="G640" t="n">
        <v>5</v>
      </c>
      <c r="H640" t="n">
        <v>0</v>
      </c>
      <c r="I640" t="n">
        <v>0</v>
      </c>
      <c r="J640" t="n">
        <v>0</v>
      </c>
      <c r="K640" t="n">
        <v>0</v>
      </c>
      <c r="L640" t="n">
        <v>0</v>
      </c>
      <c r="M640" t="n">
        <v>0</v>
      </c>
      <c r="N640" t="n">
        <v>0</v>
      </c>
      <c r="O640" t="n">
        <v>0</v>
      </c>
      <c r="P640" t="n">
        <v>0</v>
      </c>
      <c r="Q640" t="n">
        <v>0</v>
      </c>
      <c r="R640" s="2" t="inlineStr"/>
    </row>
    <row r="641" ht="15" customHeight="1">
      <c r="A641" t="inlineStr">
        <is>
          <t>A 61278-2024</t>
        </is>
      </c>
      <c r="B641" s="1" t="n">
        <v>45645.76561342592</v>
      </c>
      <c r="C641" s="1" t="n">
        <v>45932</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31112-2024</t>
        </is>
      </c>
      <c r="B642" s="1" t="n">
        <v>45502.55185185185</v>
      </c>
      <c r="C642" s="1" t="n">
        <v>45932</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442-2024</t>
        </is>
      </c>
      <c r="B643" s="1" t="n">
        <v>45296.60353009259</v>
      </c>
      <c r="C643" s="1" t="n">
        <v>45932</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501-2024</t>
        </is>
      </c>
      <c r="B644" s="1" t="n">
        <v>45299</v>
      </c>
      <c r="C644" s="1" t="n">
        <v>45932</v>
      </c>
      <c r="D644" t="inlineStr">
        <is>
          <t>DALARNAS LÄN</t>
        </is>
      </c>
      <c r="E644" t="inlineStr">
        <is>
          <t>MORA</t>
        </is>
      </c>
      <c r="G644" t="n">
        <v>2.5</v>
      </c>
      <c r="H644" t="n">
        <v>0</v>
      </c>
      <c r="I644" t="n">
        <v>0</v>
      </c>
      <c r="J644" t="n">
        <v>0</v>
      </c>
      <c r="K644" t="n">
        <v>0</v>
      </c>
      <c r="L644" t="n">
        <v>0</v>
      </c>
      <c r="M644" t="n">
        <v>0</v>
      </c>
      <c r="N644" t="n">
        <v>0</v>
      </c>
      <c r="O644" t="n">
        <v>0</v>
      </c>
      <c r="P644" t="n">
        <v>0</v>
      </c>
      <c r="Q644" t="n">
        <v>0</v>
      </c>
      <c r="R644" s="2" t="inlineStr"/>
    </row>
    <row r="645" ht="15" customHeight="1">
      <c r="A645" t="inlineStr">
        <is>
          <t>A 48570-2022</t>
        </is>
      </c>
      <c r="B645" s="1" t="n">
        <v>44859</v>
      </c>
      <c r="C645" s="1" t="n">
        <v>45932</v>
      </c>
      <c r="D645" t="inlineStr">
        <is>
          <t>DALARNAS LÄN</t>
        </is>
      </c>
      <c r="E645" t="inlineStr">
        <is>
          <t>MORA</t>
        </is>
      </c>
      <c r="G645" t="n">
        <v>6.2</v>
      </c>
      <c r="H645" t="n">
        <v>0</v>
      </c>
      <c r="I645" t="n">
        <v>0</v>
      </c>
      <c r="J645" t="n">
        <v>0</v>
      </c>
      <c r="K645" t="n">
        <v>0</v>
      </c>
      <c r="L645" t="n">
        <v>0</v>
      </c>
      <c r="M645" t="n">
        <v>0</v>
      </c>
      <c r="N645" t="n">
        <v>0</v>
      </c>
      <c r="O645" t="n">
        <v>0</v>
      </c>
      <c r="P645" t="n">
        <v>0</v>
      </c>
      <c r="Q645" t="n">
        <v>0</v>
      </c>
      <c r="R645" s="2" t="inlineStr"/>
    </row>
    <row r="646" ht="15" customHeight="1">
      <c r="A646" t="inlineStr">
        <is>
          <t>A 19814-2025</t>
        </is>
      </c>
      <c r="B646" s="1" t="n">
        <v>45771.45686342593</v>
      </c>
      <c r="C646" s="1" t="n">
        <v>45932</v>
      </c>
      <c r="D646" t="inlineStr">
        <is>
          <t>DALARNAS LÄN</t>
        </is>
      </c>
      <c r="E646" t="inlineStr">
        <is>
          <t>MORA</t>
        </is>
      </c>
      <c r="G646" t="n">
        <v>2.1</v>
      </c>
      <c r="H646" t="n">
        <v>0</v>
      </c>
      <c r="I646" t="n">
        <v>0</v>
      </c>
      <c r="J646" t="n">
        <v>0</v>
      </c>
      <c r="K646" t="n">
        <v>0</v>
      </c>
      <c r="L646" t="n">
        <v>0</v>
      </c>
      <c r="M646" t="n">
        <v>0</v>
      </c>
      <c r="N646" t="n">
        <v>0</v>
      </c>
      <c r="O646" t="n">
        <v>0</v>
      </c>
      <c r="P646" t="n">
        <v>0</v>
      </c>
      <c r="Q646" t="n">
        <v>0</v>
      </c>
      <c r="R646" s="2" t="inlineStr"/>
    </row>
    <row r="647" ht="15" customHeight="1">
      <c r="A647" t="inlineStr">
        <is>
          <t>A 60526-2023</t>
        </is>
      </c>
      <c r="B647" s="1" t="n">
        <v>45259</v>
      </c>
      <c r="C647" s="1" t="n">
        <v>45932</v>
      </c>
      <c r="D647" t="inlineStr">
        <is>
          <t>DALARNAS LÄN</t>
        </is>
      </c>
      <c r="E647" t="inlineStr">
        <is>
          <t>MORA</t>
        </is>
      </c>
      <c r="G647" t="n">
        <v>6.7</v>
      </c>
      <c r="H647" t="n">
        <v>0</v>
      </c>
      <c r="I647" t="n">
        <v>0</v>
      </c>
      <c r="J647" t="n">
        <v>0</v>
      </c>
      <c r="K647" t="n">
        <v>0</v>
      </c>
      <c r="L647" t="n">
        <v>0</v>
      </c>
      <c r="M647" t="n">
        <v>0</v>
      </c>
      <c r="N647" t="n">
        <v>0</v>
      </c>
      <c r="O647" t="n">
        <v>0</v>
      </c>
      <c r="P647" t="n">
        <v>0</v>
      </c>
      <c r="Q647" t="n">
        <v>0</v>
      </c>
      <c r="R647" s="2" t="inlineStr"/>
    </row>
    <row r="648" ht="15" customHeight="1">
      <c r="A648" t="inlineStr">
        <is>
          <t>A 53341-2023</t>
        </is>
      </c>
      <c r="B648" s="1" t="n">
        <v>45229</v>
      </c>
      <c r="C648" s="1" t="n">
        <v>45932</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12828-2023</t>
        </is>
      </c>
      <c r="B649" s="1" t="n">
        <v>45001</v>
      </c>
      <c r="C649" s="1" t="n">
        <v>45932</v>
      </c>
      <c r="D649" t="inlineStr">
        <is>
          <t>DALARNAS LÄN</t>
        </is>
      </c>
      <c r="E649" t="inlineStr">
        <is>
          <t>MORA</t>
        </is>
      </c>
      <c r="F649" t="inlineStr">
        <is>
          <t>Bergvik skog väst AB</t>
        </is>
      </c>
      <c r="G649" t="n">
        <v>5.4</v>
      </c>
      <c r="H649" t="n">
        <v>0</v>
      </c>
      <c r="I649" t="n">
        <v>0</v>
      </c>
      <c r="J649" t="n">
        <v>0</v>
      </c>
      <c r="K649" t="n">
        <v>0</v>
      </c>
      <c r="L649" t="n">
        <v>0</v>
      </c>
      <c r="M649" t="n">
        <v>0</v>
      </c>
      <c r="N649" t="n">
        <v>0</v>
      </c>
      <c r="O649" t="n">
        <v>0</v>
      </c>
      <c r="P649" t="n">
        <v>0</v>
      </c>
      <c r="Q649" t="n">
        <v>0</v>
      </c>
      <c r="R649" s="2" t="inlineStr"/>
    </row>
    <row r="650" ht="15" customHeight="1">
      <c r="A650" t="inlineStr">
        <is>
          <t>A 21410-2023</t>
        </is>
      </c>
      <c r="B650" s="1" t="n">
        <v>45063</v>
      </c>
      <c r="C650" s="1" t="n">
        <v>45932</v>
      </c>
      <c r="D650" t="inlineStr">
        <is>
          <t>DALARNAS LÄN</t>
        </is>
      </c>
      <c r="E650" t="inlineStr">
        <is>
          <t>MORA</t>
        </is>
      </c>
      <c r="G650" t="n">
        <v>7</v>
      </c>
      <c r="H650" t="n">
        <v>0</v>
      </c>
      <c r="I650" t="n">
        <v>0</v>
      </c>
      <c r="J650" t="n">
        <v>0</v>
      </c>
      <c r="K650" t="n">
        <v>0</v>
      </c>
      <c r="L650" t="n">
        <v>0</v>
      </c>
      <c r="M650" t="n">
        <v>0</v>
      </c>
      <c r="N650" t="n">
        <v>0</v>
      </c>
      <c r="O650" t="n">
        <v>0</v>
      </c>
      <c r="P650" t="n">
        <v>0</v>
      </c>
      <c r="Q650" t="n">
        <v>0</v>
      </c>
      <c r="R650" s="2" t="inlineStr"/>
    </row>
    <row r="651" ht="15" customHeight="1">
      <c r="A651" t="inlineStr">
        <is>
          <t>A 3531-2024</t>
        </is>
      </c>
      <c r="B651" s="1" t="n">
        <v>45320</v>
      </c>
      <c r="C651" s="1" t="n">
        <v>45932</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c r="U651">
        <f>HYPERLINK("https://klasma.github.io/Logging_2062/knärot/A 3531-2024 karta knärot.png", "A 3531-2024")</f>
        <v/>
      </c>
      <c r="V651">
        <f>HYPERLINK("https://klasma.github.io/Logging_2062/klagomål/A 3531-2024 FSC-klagomål.docx", "A 3531-2024")</f>
        <v/>
      </c>
      <c r="W651">
        <f>HYPERLINK("https://klasma.github.io/Logging_2062/klagomålsmail/A 3531-2024 FSC-klagomål mail.docx", "A 3531-2024")</f>
        <v/>
      </c>
      <c r="X651">
        <f>HYPERLINK("https://klasma.github.io/Logging_2062/tillsyn/A 3531-2024 tillsynsbegäran.docx", "A 3531-2024")</f>
        <v/>
      </c>
      <c r="Y651">
        <f>HYPERLINK("https://klasma.github.io/Logging_2062/tillsynsmail/A 3531-2024 tillsynsbegäran mail.docx", "A 3531-2024")</f>
        <v/>
      </c>
    </row>
    <row r="652" ht="15" customHeight="1">
      <c r="A652" t="inlineStr">
        <is>
          <t>A 45475-2023</t>
        </is>
      </c>
      <c r="B652" s="1" t="n">
        <v>45188</v>
      </c>
      <c r="C652" s="1" t="n">
        <v>45932</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44071-2024</t>
        </is>
      </c>
      <c r="B653" s="1" t="n">
        <v>45572.60915509259</v>
      </c>
      <c r="C653" s="1" t="n">
        <v>45932</v>
      </c>
      <c r="D653" t="inlineStr">
        <is>
          <t>DALARNAS LÄN</t>
        </is>
      </c>
      <c r="E653" t="inlineStr">
        <is>
          <t>MORA</t>
        </is>
      </c>
      <c r="G653" t="n">
        <v>4.5</v>
      </c>
      <c r="H653" t="n">
        <v>0</v>
      </c>
      <c r="I653" t="n">
        <v>0</v>
      </c>
      <c r="J653" t="n">
        <v>0</v>
      </c>
      <c r="K653" t="n">
        <v>0</v>
      </c>
      <c r="L653" t="n">
        <v>0</v>
      </c>
      <c r="M653" t="n">
        <v>0</v>
      </c>
      <c r="N653" t="n">
        <v>0</v>
      </c>
      <c r="O653" t="n">
        <v>0</v>
      </c>
      <c r="P653" t="n">
        <v>0</v>
      </c>
      <c r="Q653" t="n">
        <v>0</v>
      </c>
      <c r="R653" s="2" t="inlineStr"/>
    </row>
    <row r="654" ht="15" customHeight="1">
      <c r="A654" t="inlineStr">
        <is>
          <t>A 11463-2024</t>
        </is>
      </c>
      <c r="B654" s="1" t="n">
        <v>45372.58969907407</v>
      </c>
      <c r="C654" s="1" t="n">
        <v>45932</v>
      </c>
      <c r="D654" t="inlineStr">
        <is>
          <t>DALARNAS LÄN</t>
        </is>
      </c>
      <c r="E654" t="inlineStr">
        <is>
          <t>MORA</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57903-2022</t>
        </is>
      </c>
      <c r="B655" s="1" t="n">
        <v>44900.3521412037</v>
      </c>
      <c r="C655" s="1" t="n">
        <v>45932</v>
      </c>
      <c r="D655" t="inlineStr">
        <is>
          <t>DALARNAS LÄN</t>
        </is>
      </c>
      <c r="E655" t="inlineStr">
        <is>
          <t>MORA</t>
        </is>
      </c>
      <c r="G655" t="n">
        <v>4.3</v>
      </c>
      <c r="H655" t="n">
        <v>0</v>
      </c>
      <c r="I655" t="n">
        <v>0</v>
      </c>
      <c r="J655" t="n">
        <v>0</v>
      </c>
      <c r="K655" t="n">
        <v>0</v>
      </c>
      <c r="L655" t="n">
        <v>0</v>
      </c>
      <c r="M655" t="n">
        <v>0</v>
      </c>
      <c r="N655" t="n">
        <v>0</v>
      </c>
      <c r="O655" t="n">
        <v>0</v>
      </c>
      <c r="P655" t="n">
        <v>0</v>
      </c>
      <c r="Q655" t="n">
        <v>0</v>
      </c>
      <c r="R655" s="2" t="inlineStr"/>
    </row>
    <row r="656" ht="15" customHeight="1">
      <c r="A656" t="inlineStr">
        <is>
          <t>A 46129-2024</t>
        </is>
      </c>
      <c r="B656" s="1" t="n">
        <v>45581.43337962963</v>
      </c>
      <c r="C656" s="1" t="n">
        <v>45932</v>
      </c>
      <c r="D656" t="inlineStr">
        <is>
          <t>DALARNAS LÄN</t>
        </is>
      </c>
      <c r="E656" t="inlineStr">
        <is>
          <t>MORA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19193-2025</t>
        </is>
      </c>
      <c r="B657" s="1" t="n">
        <v>45769.42203703704</v>
      </c>
      <c r="C657" s="1" t="n">
        <v>45932</v>
      </c>
      <c r="D657" t="inlineStr">
        <is>
          <t>DALARNAS LÄN</t>
        </is>
      </c>
      <c r="E657" t="inlineStr">
        <is>
          <t>MORA</t>
        </is>
      </c>
      <c r="F657" t="inlineStr">
        <is>
          <t>Bergvik skog öst AB</t>
        </is>
      </c>
      <c r="G657" t="n">
        <v>1</v>
      </c>
      <c r="H657" t="n">
        <v>0</v>
      </c>
      <c r="I657" t="n">
        <v>0</v>
      </c>
      <c r="J657" t="n">
        <v>0</v>
      </c>
      <c r="K657" t="n">
        <v>0</v>
      </c>
      <c r="L657" t="n">
        <v>0</v>
      </c>
      <c r="M657" t="n">
        <v>0</v>
      </c>
      <c r="N657" t="n">
        <v>0</v>
      </c>
      <c r="O657" t="n">
        <v>0</v>
      </c>
      <c r="P657" t="n">
        <v>0</v>
      </c>
      <c r="Q657" t="n">
        <v>0</v>
      </c>
      <c r="R657" s="2" t="inlineStr"/>
    </row>
    <row r="658" ht="15" customHeight="1">
      <c r="A658" t="inlineStr">
        <is>
          <t>A 6183-2024</t>
        </is>
      </c>
      <c r="B658" s="1" t="n">
        <v>45337.54135416666</v>
      </c>
      <c r="C658" s="1" t="n">
        <v>45932</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46152-2023</t>
        </is>
      </c>
      <c r="B659" s="1" t="n">
        <v>45196.58278935185</v>
      </c>
      <c r="C659" s="1" t="n">
        <v>45932</v>
      </c>
      <c r="D659" t="inlineStr">
        <is>
          <t>DALARNAS LÄN</t>
        </is>
      </c>
      <c r="E659" t="inlineStr">
        <is>
          <t>MORA</t>
        </is>
      </c>
      <c r="G659" t="n">
        <v>2</v>
      </c>
      <c r="H659" t="n">
        <v>0</v>
      </c>
      <c r="I659" t="n">
        <v>0</v>
      </c>
      <c r="J659" t="n">
        <v>0</v>
      </c>
      <c r="K659" t="n">
        <v>0</v>
      </c>
      <c r="L659" t="n">
        <v>0</v>
      </c>
      <c r="M659" t="n">
        <v>0</v>
      </c>
      <c r="N659" t="n">
        <v>0</v>
      </c>
      <c r="O659" t="n">
        <v>0</v>
      </c>
      <c r="P659" t="n">
        <v>0</v>
      </c>
      <c r="Q659" t="n">
        <v>0</v>
      </c>
      <c r="R659" s="2" t="inlineStr"/>
    </row>
    <row r="660" ht="15" customHeight="1">
      <c r="A660" t="inlineStr">
        <is>
          <t>A 28832-2023</t>
        </is>
      </c>
      <c r="B660" s="1" t="n">
        <v>45104.40493055555</v>
      </c>
      <c r="C660" s="1" t="n">
        <v>45932</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48824-2023</t>
        </is>
      </c>
      <c r="B661" s="1" t="n">
        <v>45203</v>
      </c>
      <c r="C661" s="1" t="n">
        <v>45932</v>
      </c>
      <c r="D661" t="inlineStr">
        <is>
          <t>DALARNAS LÄN</t>
        </is>
      </c>
      <c r="E661" t="inlineStr">
        <is>
          <t>MORA</t>
        </is>
      </c>
      <c r="G661" t="n">
        <v>3.3</v>
      </c>
      <c r="H661" t="n">
        <v>0</v>
      </c>
      <c r="I661" t="n">
        <v>0</v>
      </c>
      <c r="J661" t="n">
        <v>0</v>
      </c>
      <c r="K661" t="n">
        <v>0</v>
      </c>
      <c r="L661" t="n">
        <v>0</v>
      </c>
      <c r="M661" t="n">
        <v>0</v>
      </c>
      <c r="N661" t="n">
        <v>0</v>
      </c>
      <c r="O661" t="n">
        <v>0</v>
      </c>
      <c r="P661" t="n">
        <v>0</v>
      </c>
      <c r="Q661" t="n">
        <v>0</v>
      </c>
      <c r="R661" s="2" t="inlineStr"/>
    </row>
    <row r="662" ht="15" customHeight="1">
      <c r="A662" t="inlineStr">
        <is>
          <t>A 8343-2025</t>
        </is>
      </c>
      <c r="B662" s="1" t="n">
        <v>45708.67253472222</v>
      </c>
      <c r="C662" s="1" t="n">
        <v>45932</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17163-2025</t>
        </is>
      </c>
      <c r="B663" s="1" t="n">
        <v>45756.35998842592</v>
      </c>
      <c r="C663" s="1" t="n">
        <v>45932</v>
      </c>
      <c r="D663" t="inlineStr">
        <is>
          <t>DALARNAS LÄN</t>
        </is>
      </c>
      <c r="E663" t="inlineStr">
        <is>
          <t>MORA</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34272-2024</t>
        </is>
      </c>
      <c r="B664" s="1" t="n">
        <v>45524.61752314815</v>
      </c>
      <c r="C664" s="1" t="n">
        <v>45932</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36579-2022</t>
        </is>
      </c>
      <c r="B665" s="1" t="n">
        <v>44804.61636574074</v>
      </c>
      <c r="C665" s="1" t="n">
        <v>45932</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30030-2021</t>
        </is>
      </c>
      <c r="B666" s="1" t="n">
        <v>44363</v>
      </c>
      <c r="C666" s="1" t="n">
        <v>45932</v>
      </c>
      <c r="D666" t="inlineStr">
        <is>
          <t>DALARNAS LÄN</t>
        </is>
      </c>
      <c r="E666" t="inlineStr">
        <is>
          <t>MORA</t>
        </is>
      </c>
      <c r="G666" t="n">
        <v>7.1</v>
      </c>
      <c r="H666" t="n">
        <v>0</v>
      </c>
      <c r="I666" t="n">
        <v>0</v>
      </c>
      <c r="J666" t="n">
        <v>0</v>
      </c>
      <c r="K666" t="n">
        <v>0</v>
      </c>
      <c r="L666" t="n">
        <v>0</v>
      </c>
      <c r="M666" t="n">
        <v>0</v>
      </c>
      <c r="N666" t="n">
        <v>0</v>
      </c>
      <c r="O666" t="n">
        <v>0</v>
      </c>
      <c r="P666" t="n">
        <v>0</v>
      </c>
      <c r="Q666" t="n">
        <v>0</v>
      </c>
      <c r="R666" s="2" t="inlineStr"/>
    </row>
    <row r="667" ht="15" customHeight="1">
      <c r="A667" t="inlineStr">
        <is>
          <t>A 33531-2024</t>
        </is>
      </c>
      <c r="B667" s="1" t="n">
        <v>45519.67503472222</v>
      </c>
      <c r="C667" s="1" t="n">
        <v>45932</v>
      </c>
      <c r="D667" t="inlineStr">
        <is>
          <t>DALARNAS LÄN</t>
        </is>
      </c>
      <c r="E667" t="inlineStr">
        <is>
          <t>MORA</t>
        </is>
      </c>
      <c r="G667" t="n">
        <v>14.8</v>
      </c>
      <c r="H667" t="n">
        <v>0</v>
      </c>
      <c r="I667" t="n">
        <v>0</v>
      </c>
      <c r="J667" t="n">
        <v>0</v>
      </c>
      <c r="K667" t="n">
        <v>0</v>
      </c>
      <c r="L667" t="n">
        <v>0</v>
      </c>
      <c r="M667" t="n">
        <v>0</v>
      </c>
      <c r="N667" t="n">
        <v>0</v>
      </c>
      <c r="O667" t="n">
        <v>0</v>
      </c>
      <c r="P667" t="n">
        <v>0</v>
      </c>
      <c r="Q667" t="n">
        <v>0</v>
      </c>
      <c r="R667" s="2" t="inlineStr"/>
    </row>
    <row r="668" ht="15" customHeight="1">
      <c r="A668" t="inlineStr">
        <is>
          <t>A 51780-2023</t>
        </is>
      </c>
      <c r="B668" s="1" t="n">
        <v>45222</v>
      </c>
      <c r="C668" s="1" t="n">
        <v>45932</v>
      </c>
      <c r="D668" t="inlineStr">
        <is>
          <t>DALARNAS LÄN</t>
        </is>
      </c>
      <c r="E668" t="inlineStr">
        <is>
          <t>MORA</t>
        </is>
      </c>
      <c r="G668" t="n">
        <v>9.9</v>
      </c>
      <c r="H668" t="n">
        <v>0</v>
      </c>
      <c r="I668" t="n">
        <v>0</v>
      </c>
      <c r="J668" t="n">
        <v>0</v>
      </c>
      <c r="K668" t="n">
        <v>0</v>
      </c>
      <c r="L668" t="n">
        <v>0</v>
      </c>
      <c r="M668" t="n">
        <v>0</v>
      </c>
      <c r="N668" t="n">
        <v>0</v>
      </c>
      <c r="O668" t="n">
        <v>0</v>
      </c>
      <c r="P668" t="n">
        <v>0</v>
      </c>
      <c r="Q668" t="n">
        <v>0</v>
      </c>
      <c r="R668" s="2" t="inlineStr"/>
    </row>
    <row r="669">
      <c r="A669" t="inlineStr">
        <is>
          <t>A 15818-2024</t>
        </is>
      </c>
      <c r="B669" s="1" t="n">
        <v>45404.67442129629</v>
      </c>
      <c r="C669" s="1" t="n">
        <v>45932</v>
      </c>
      <c r="D669" t="inlineStr">
        <is>
          <t>DALARNAS LÄN</t>
        </is>
      </c>
      <c r="E669" t="inlineStr">
        <is>
          <t>MORA</t>
        </is>
      </c>
      <c r="G669" t="n">
        <v>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2025-10-02T12:43:24Z</dcterms:created>
  <dcterms:modified xmlns:dcterms="http://purl.org/dc/terms/" xmlns:xsi="http://www.w3.org/2001/XMLSchema-instance" xsi:type="dcterms:W3CDTF">2025-10-02T12:43:24Z</dcterms:modified>
</cp:coreProperties>
</file>