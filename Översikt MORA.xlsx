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46196</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46196</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46196</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46196</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46196</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46196</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46196</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46196</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46196</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46196</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46196</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46196</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46196</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46196</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46196</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46196</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53426-2025</t>
        </is>
      </c>
      <c r="B18" s="1" t="n">
        <v>45959</v>
      </c>
      <c r="C18" s="1" t="n">
        <v>46196</v>
      </c>
      <c r="D18" t="inlineStr">
        <is>
          <t>DALARNAS LÄN</t>
        </is>
      </c>
      <c r="E18" t="inlineStr">
        <is>
          <t>MORA</t>
        </is>
      </c>
      <c r="G18" t="n">
        <v>4.2</v>
      </c>
      <c r="H18" t="n">
        <v>4</v>
      </c>
      <c r="I18" t="n">
        <v>4</v>
      </c>
      <c r="J18" t="n">
        <v>6</v>
      </c>
      <c r="K18" t="n">
        <v>2</v>
      </c>
      <c r="L18" t="n">
        <v>0</v>
      </c>
      <c r="M18" t="n">
        <v>0</v>
      </c>
      <c r="N18" t="n">
        <v>0</v>
      </c>
      <c r="O18" t="n">
        <v>8</v>
      </c>
      <c r="P18" t="n">
        <v>2</v>
      </c>
      <c r="Q18" t="n">
        <v>15</v>
      </c>
      <c r="R18" s="2" t="inlineStr">
        <is>
          <t>Garnlav
Gräddporing
Dvärgbägarlav
Kolflarnlav
Rosenticka
Tallticka
Tretåig hackspett
Vedskivlav
Bronshjon
Mindre märgborre
Thomsons trägnagare
Vågbandad barkbock
Spillkråka
Tjäder
Revlummer</t>
        </is>
      </c>
      <c r="S18">
        <f>HYPERLINK("https://klasma.github.io/Logging_2062/artfynd/A 53426-2025 artfynd.xlsx", "A 53426-2025")</f>
        <v/>
      </c>
      <c r="T18">
        <f>HYPERLINK("https://klasma.github.io/Logging_2062/kartor/A 53426-2025 karta.png", "A 53426-2025")</f>
        <v/>
      </c>
      <c r="V18">
        <f>HYPERLINK("https://klasma.github.io/Logging_2062/klagomål/A 53426-2025 FSC-klagomål.docx", "A 53426-2025")</f>
        <v/>
      </c>
      <c r="W18">
        <f>HYPERLINK("https://klasma.github.io/Logging_2062/klagomålsmail/A 53426-2025 FSC-klagomål mail.docx", "A 53426-2025")</f>
        <v/>
      </c>
      <c r="X18">
        <f>HYPERLINK("https://klasma.github.io/Logging_2062/tillsyn/A 53426-2025 tillsynsbegäran.docx", "A 53426-2025")</f>
        <v/>
      </c>
      <c r="Y18">
        <f>HYPERLINK("https://klasma.github.io/Logging_2062/tillsynsmail/A 53426-2025 tillsynsbegäran mail.docx", "A 53426-2025")</f>
        <v/>
      </c>
      <c r="Z18">
        <f>HYPERLINK("https://klasma.github.io/Logging_2062/fåglar/A 53426-2025 prioriterade fågelarter.docx", "A 53426-2025")</f>
        <v/>
      </c>
    </row>
    <row r="19" ht="15" customHeight="1">
      <c r="A19" t="inlineStr">
        <is>
          <t>A 48348-2024</t>
        </is>
      </c>
      <c r="B19" s="1" t="n">
        <v>45590</v>
      </c>
      <c r="C19" s="1" t="n">
        <v>46196</v>
      </c>
      <c r="D19" t="inlineStr">
        <is>
          <t>DALARNAS LÄN</t>
        </is>
      </c>
      <c r="E19" t="inlineStr">
        <is>
          <t>MORA</t>
        </is>
      </c>
      <c r="G19" t="n">
        <v>31.7</v>
      </c>
      <c r="H19" t="n">
        <v>2</v>
      </c>
      <c r="I19" t="n">
        <v>2</v>
      </c>
      <c r="J19" t="n">
        <v>11</v>
      </c>
      <c r="K19" t="n">
        <v>1</v>
      </c>
      <c r="L19" t="n">
        <v>0</v>
      </c>
      <c r="M19" t="n">
        <v>0</v>
      </c>
      <c r="N19" t="n">
        <v>0</v>
      </c>
      <c r="O19" t="n">
        <v>12</v>
      </c>
      <c r="P19" t="n">
        <v>1</v>
      </c>
      <c r="Q19" t="n">
        <v>15</v>
      </c>
      <c r="R19" s="2" t="inlineStr">
        <is>
          <t>Garnlav
Doftskinn
Dvärgbägarlav
Kolflarnlav
Mörk kolflarnlav
Skarp dropptaggsvamp
Tallriska
Tallticka
Talltita
Vedflamlav
Vedskivlav
Vitgrynig nållav
Bronshjon
Vedticka
Spillkråka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35485-2025</t>
        </is>
      </c>
      <c r="B20" s="1" t="n">
        <v>45855</v>
      </c>
      <c r="C20" s="1" t="n">
        <v>46196</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46196</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46196</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23535-2025</t>
        </is>
      </c>
      <c r="B23" s="1" t="n">
        <v>45792</v>
      </c>
      <c r="C23" s="1" t="n">
        <v>46196</v>
      </c>
      <c r="D23" t="inlineStr">
        <is>
          <t>DALARNAS LÄN</t>
        </is>
      </c>
      <c r="E23" t="inlineStr">
        <is>
          <t>MORA</t>
        </is>
      </c>
      <c r="G23" t="n">
        <v>8.6</v>
      </c>
      <c r="H23" t="n">
        <v>3</v>
      </c>
      <c r="I23" t="n">
        <v>0</v>
      </c>
      <c r="J23" t="n">
        <v>10</v>
      </c>
      <c r="K23" t="n">
        <v>1</v>
      </c>
      <c r="L23" t="n">
        <v>1</v>
      </c>
      <c r="M23" t="n">
        <v>0</v>
      </c>
      <c r="N23" t="n">
        <v>0</v>
      </c>
      <c r="O23" t="n">
        <v>12</v>
      </c>
      <c r="P23" t="n">
        <v>2</v>
      </c>
      <c r="Q23" t="n">
        <v>13</v>
      </c>
      <c r="R23" s="2" t="inlineStr">
        <is>
          <t>Urskogsporing
Garnlav
Blanksvart spiklav
Blågrå svartspik
Dropptaggsvamp
Dvärgbägarlav
Kolflarnlav
Mörk kolflarnlav
Tretåig hackspett
Varglav
Vedflamlav
Vedskivlav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58839-2025</t>
        </is>
      </c>
      <c r="B24" s="1" t="n">
        <v>45987</v>
      </c>
      <c r="C24" s="1" t="n">
        <v>46196</v>
      </c>
      <c r="D24" t="inlineStr">
        <is>
          <t>DALARNAS LÄN</t>
        </is>
      </c>
      <c r="E24" t="inlineStr">
        <is>
          <t>MORA</t>
        </is>
      </c>
      <c r="F24" t="inlineStr">
        <is>
          <t>Bergvik skog öst AB</t>
        </is>
      </c>
      <c r="G24" t="n">
        <v>6.3</v>
      </c>
      <c r="H24" t="n">
        <v>3</v>
      </c>
      <c r="I24" t="n">
        <v>5</v>
      </c>
      <c r="J24" t="n">
        <v>4</v>
      </c>
      <c r="K24" t="n">
        <v>2</v>
      </c>
      <c r="L24" t="n">
        <v>0</v>
      </c>
      <c r="M24" t="n">
        <v>0</v>
      </c>
      <c r="N24" t="n">
        <v>0</v>
      </c>
      <c r="O24" t="n">
        <v>6</v>
      </c>
      <c r="P24" t="n">
        <v>2</v>
      </c>
      <c r="Q24" t="n">
        <v>13</v>
      </c>
      <c r="R24" s="2" t="inlineStr">
        <is>
          <t>Garnlav
Knärot
Kolflarnlav
Mörk kolflarnlav
Ullticka
Vedskivlav
Bollvitmossa
Korallblylav
Mindre märgborre
Skinnlav
Stuplav
Tjäder
Nattviol</t>
        </is>
      </c>
      <c r="S24">
        <f>HYPERLINK("https://klasma.github.io/Logging_2062/artfynd/A 58839-2025 artfynd.xlsx", "A 58839-2025")</f>
        <v/>
      </c>
      <c r="T24">
        <f>HYPERLINK("https://klasma.github.io/Logging_2062/kartor/A 58839-2025 karta.png", "A 58839-2025")</f>
        <v/>
      </c>
      <c r="U24">
        <f>HYPERLINK("https://klasma.github.io/Logging_2062/knärot/A 58839-2025 karta knärot.png", "A 58839-2025")</f>
        <v/>
      </c>
      <c r="V24">
        <f>HYPERLINK("https://klasma.github.io/Logging_2062/klagomål/A 58839-2025 FSC-klagomål.docx", "A 58839-2025")</f>
        <v/>
      </c>
      <c r="W24">
        <f>HYPERLINK("https://klasma.github.io/Logging_2062/klagomålsmail/A 58839-2025 FSC-klagomål mail.docx", "A 58839-2025")</f>
        <v/>
      </c>
      <c r="X24">
        <f>HYPERLINK("https://klasma.github.io/Logging_2062/tillsyn/A 58839-2025 tillsynsbegäran.docx", "A 58839-2025")</f>
        <v/>
      </c>
      <c r="Y24">
        <f>HYPERLINK("https://klasma.github.io/Logging_2062/tillsynsmail/A 58839-2025 tillsynsbegäran mail.docx", "A 58839-2025")</f>
        <v/>
      </c>
      <c r="Z24">
        <f>HYPERLINK("https://klasma.github.io/Logging_2062/fåglar/A 58839-2025 prioriterade fågelarter.docx", "A 58839-2025")</f>
        <v/>
      </c>
    </row>
    <row r="25" ht="15" customHeight="1">
      <c r="A25" t="inlineStr">
        <is>
          <t>A 50759-2023</t>
        </is>
      </c>
      <c r="B25" s="1" t="n">
        <v>45217</v>
      </c>
      <c r="C25" s="1" t="n">
        <v>46196</v>
      </c>
      <c r="D25" t="inlineStr">
        <is>
          <t>DALARNAS LÄN</t>
        </is>
      </c>
      <c r="E25" t="inlineStr">
        <is>
          <t>MORA</t>
        </is>
      </c>
      <c r="G25" t="n">
        <v>5.3</v>
      </c>
      <c r="H25" t="n">
        <v>5</v>
      </c>
      <c r="I25" t="n">
        <v>2</v>
      </c>
      <c r="J25" t="n">
        <v>7</v>
      </c>
      <c r="K25" t="n">
        <v>1</v>
      </c>
      <c r="L25" t="n">
        <v>0</v>
      </c>
      <c r="M25" t="n">
        <v>0</v>
      </c>
      <c r="N25" t="n">
        <v>0</v>
      </c>
      <c r="O25" t="n">
        <v>8</v>
      </c>
      <c r="P25" t="n">
        <v>1</v>
      </c>
      <c r="Q25" t="n">
        <v>13</v>
      </c>
      <c r="R25" s="2" t="inlineStr">
        <is>
          <t>Garnlav
Rosenticka
Rynkskinn
Talltita
Tretåig hackspett
Ullticka
Vedflamlav
Vedskivlav
Mindre märgborre
Vedticka
Spillkråka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34714-2025</t>
        </is>
      </c>
      <c r="B26" s="1" t="n">
        <v>45848</v>
      </c>
      <c r="C26" s="1" t="n">
        <v>46196</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46196</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46196</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46196</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46196</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31562-2025</t>
        </is>
      </c>
      <c r="B31" s="1" t="n">
        <v>45833</v>
      </c>
      <c r="C31" s="1" t="n">
        <v>46196</v>
      </c>
      <c r="D31" t="inlineStr">
        <is>
          <t>DALARNAS LÄN</t>
        </is>
      </c>
      <c r="E31" t="inlineStr">
        <is>
          <t>MORA</t>
        </is>
      </c>
      <c r="G31" t="n">
        <v>12.4</v>
      </c>
      <c r="H31" t="n">
        <v>4</v>
      </c>
      <c r="I31" t="n">
        <v>3</v>
      </c>
      <c r="J31" t="n">
        <v>5</v>
      </c>
      <c r="K31" t="n">
        <v>2</v>
      </c>
      <c r="L31" t="n">
        <v>0</v>
      </c>
      <c r="M31" t="n">
        <v>0</v>
      </c>
      <c r="N31" t="n">
        <v>0</v>
      </c>
      <c r="O31" t="n">
        <v>7</v>
      </c>
      <c r="P31" t="n">
        <v>2</v>
      </c>
      <c r="Q31" t="n">
        <v>11</v>
      </c>
      <c r="R31" s="2" t="inlineStr">
        <is>
          <t>Garnlav
Knärot
Kattfotslav
Tallticka
Talltita
Tretåig hackspett
Vitgrynig nållav
Mindre märgborre
Nästlav
Thomsons trägnagare
Fläcknycklar</t>
        </is>
      </c>
      <c r="S31">
        <f>HYPERLINK("https://klasma.github.io/Logging_2062/artfynd/A 31562-2025 artfynd.xlsx", "A 31562-2025")</f>
        <v/>
      </c>
      <c r="T31">
        <f>HYPERLINK("https://klasma.github.io/Logging_2062/kartor/A 31562-2025 karta.png", "A 31562-2025")</f>
        <v/>
      </c>
      <c r="U31">
        <f>HYPERLINK("https://klasma.github.io/Logging_2062/knärot/A 31562-2025 karta knärot.png", "A 31562-2025")</f>
        <v/>
      </c>
      <c r="V31">
        <f>HYPERLINK("https://klasma.github.io/Logging_2062/klagomål/A 31562-2025 FSC-klagomål.docx", "A 31562-2025")</f>
        <v/>
      </c>
      <c r="W31">
        <f>HYPERLINK("https://klasma.github.io/Logging_2062/klagomålsmail/A 31562-2025 FSC-klagomål mail.docx", "A 31562-2025")</f>
        <v/>
      </c>
      <c r="X31">
        <f>HYPERLINK("https://klasma.github.io/Logging_2062/tillsyn/A 31562-2025 tillsynsbegäran.docx", "A 31562-2025")</f>
        <v/>
      </c>
      <c r="Y31">
        <f>HYPERLINK("https://klasma.github.io/Logging_2062/tillsynsmail/A 31562-2025 tillsynsbegäran mail.docx", "A 31562-2025")</f>
        <v/>
      </c>
      <c r="Z31">
        <f>HYPERLINK("https://klasma.github.io/Logging_2062/fåglar/A 31562-2025 prioriterade fågelarter.docx", "A 31562-2025")</f>
        <v/>
      </c>
    </row>
    <row r="32" ht="15" customHeight="1">
      <c r="A32" t="inlineStr">
        <is>
          <t>A 61943-2024</t>
        </is>
      </c>
      <c r="B32" s="1" t="n">
        <v>45653</v>
      </c>
      <c r="C32" s="1" t="n">
        <v>46196</v>
      </c>
      <c r="D32" t="inlineStr">
        <is>
          <t>DALARNAS LÄN</t>
        </is>
      </c>
      <c r="E32" t="inlineStr">
        <is>
          <t>MORA</t>
        </is>
      </c>
      <c r="G32" t="n">
        <v>4.3</v>
      </c>
      <c r="H32" t="n">
        <v>2</v>
      </c>
      <c r="I32" t="n">
        <v>1</v>
      </c>
      <c r="J32" t="n">
        <v>7</v>
      </c>
      <c r="K32" t="n">
        <v>1</v>
      </c>
      <c r="L32" t="n">
        <v>0</v>
      </c>
      <c r="M32" t="n">
        <v>0</v>
      </c>
      <c r="N32" t="n">
        <v>0</v>
      </c>
      <c r="O32" t="n">
        <v>8</v>
      </c>
      <c r="P32" t="n">
        <v>1</v>
      </c>
      <c r="Q32" t="n">
        <v>11</v>
      </c>
      <c r="R32" s="2" t="inlineStr">
        <is>
          <t>Garnlav
Dvärgbägarlav
Lunglav
Mörk kolflarnlav
Tallticka
Vedskivlav
Violettgrå tagellav
Vitgrynig nållav
Mindre märgborre
Spillkråka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35944-2024</t>
        </is>
      </c>
      <c r="B33" s="1" t="n">
        <v>45533</v>
      </c>
      <c r="C33" s="1" t="n">
        <v>46196</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40313-2025</t>
        </is>
      </c>
      <c r="B34" s="1" t="n">
        <v>45895</v>
      </c>
      <c r="C34" s="1" t="n">
        <v>46196</v>
      </c>
      <c r="D34" t="inlineStr">
        <is>
          <t>DALARNAS LÄN</t>
        </is>
      </c>
      <c r="E34" t="inlineStr">
        <is>
          <t>MORA</t>
        </is>
      </c>
      <c r="G34" t="n">
        <v>16</v>
      </c>
      <c r="H34" t="n">
        <v>3</v>
      </c>
      <c r="I34" t="n">
        <v>2</v>
      </c>
      <c r="J34" t="n">
        <v>4</v>
      </c>
      <c r="K34" t="n">
        <v>1</v>
      </c>
      <c r="L34" t="n">
        <v>0</v>
      </c>
      <c r="M34" t="n">
        <v>0</v>
      </c>
      <c r="N34" t="n">
        <v>0</v>
      </c>
      <c r="O34" t="n">
        <v>5</v>
      </c>
      <c r="P34" t="n">
        <v>1</v>
      </c>
      <c r="Q34" t="n">
        <v>9</v>
      </c>
      <c r="R34" s="2" t="inlineStr">
        <is>
          <t>Garnlav
Dropptaggsvamp
Mörk kolflarnlav
Tallticka
Tretåig hackspett
Bollvitmossa
Mindre märgborre
Spillkråka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57661-2025</t>
        </is>
      </c>
      <c r="B35" s="1" t="n">
        <v>45981</v>
      </c>
      <c r="C35" s="1" t="n">
        <v>46196</v>
      </c>
      <c r="D35" t="inlineStr">
        <is>
          <t>DALARNAS LÄN</t>
        </is>
      </c>
      <c r="E35" t="inlineStr">
        <is>
          <t>MORA</t>
        </is>
      </c>
      <c r="G35" t="n">
        <v>6.3</v>
      </c>
      <c r="H35" t="n">
        <v>0</v>
      </c>
      <c r="I35" t="n">
        <v>2</v>
      </c>
      <c r="J35" t="n">
        <v>6</v>
      </c>
      <c r="K35" t="n">
        <v>1</v>
      </c>
      <c r="L35" t="n">
        <v>0</v>
      </c>
      <c r="M35" t="n">
        <v>0</v>
      </c>
      <c r="N35" t="n">
        <v>0</v>
      </c>
      <c r="O35" t="n">
        <v>7</v>
      </c>
      <c r="P35" t="n">
        <v>1</v>
      </c>
      <c r="Q35" t="n">
        <v>9</v>
      </c>
      <c r="R35" s="2" t="inlineStr">
        <is>
          <t>Garnlav
Dvärgbägarlav
Skarp dropptaggsvamp
Tallticka
Vedskivlav
Vedtrappmossa
Vitgrynig nållav
Bronshjon
Mindre märgborre</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46450-2025</t>
        </is>
      </c>
      <c r="B36" s="1" t="n">
        <v>45925</v>
      </c>
      <c r="C36" s="1" t="n">
        <v>46196</v>
      </c>
      <c r="D36" t="inlineStr">
        <is>
          <t>DALARNAS LÄN</t>
        </is>
      </c>
      <c r="E36" t="inlineStr">
        <is>
          <t>MORA</t>
        </is>
      </c>
      <c r="G36" t="n">
        <v>4.2</v>
      </c>
      <c r="H36" t="n">
        <v>3</v>
      </c>
      <c r="I36" t="n">
        <v>1</v>
      </c>
      <c r="J36" t="n">
        <v>6</v>
      </c>
      <c r="K36" t="n">
        <v>1</v>
      </c>
      <c r="L36" t="n">
        <v>0</v>
      </c>
      <c r="M36" t="n">
        <v>0</v>
      </c>
      <c r="N36" t="n">
        <v>0</v>
      </c>
      <c r="O36" t="n">
        <v>7</v>
      </c>
      <c r="P36" t="n">
        <v>1</v>
      </c>
      <c r="Q36" t="n">
        <v>9</v>
      </c>
      <c r="R36" s="2" t="inlineStr">
        <is>
          <t>Garnlav
Dropptaggsvamp
Kolflarnlav
Talltita
Tretåig hackspett
Vedflamlav
Vedskivlav
Mindre märgborre
Spillkråka</t>
        </is>
      </c>
      <c r="S36">
        <f>HYPERLINK("https://klasma.github.io/Logging_2062/artfynd/A 46450-2025 artfynd.xlsx", "A 46450-2025")</f>
        <v/>
      </c>
      <c r="T36">
        <f>HYPERLINK("https://klasma.github.io/Logging_2062/kartor/A 46450-2025 karta.png", "A 46450-2025")</f>
        <v/>
      </c>
      <c r="V36">
        <f>HYPERLINK("https://klasma.github.io/Logging_2062/klagomål/A 46450-2025 FSC-klagomål.docx", "A 46450-2025")</f>
        <v/>
      </c>
      <c r="W36">
        <f>HYPERLINK("https://klasma.github.io/Logging_2062/klagomålsmail/A 46450-2025 FSC-klagomål mail.docx", "A 46450-2025")</f>
        <v/>
      </c>
      <c r="X36">
        <f>HYPERLINK("https://klasma.github.io/Logging_2062/tillsyn/A 46450-2025 tillsynsbegäran.docx", "A 46450-2025")</f>
        <v/>
      </c>
      <c r="Y36">
        <f>HYPERLINK("https://klasma.github.io/Logging_2062/tillsynsmail/A 46450-2025 tillsynsbegäran mail.docx", "A 46450-2025")</f>
        <v/>
      </c>
      <c r="Z36">
        <f>HYPERLINK("https://klasma.github.io/Logging_2062/fåglar/A 46450-2025 prioriterade fågelarter.docx", "A 46450-2025")</f>
        <v/>
      </c>
    </row>
    <row r="37" ht="15" customHeight="1">
      <c r="A37" t="inlineStr">
        <is>
          <t>A 41794-2025</t>
        </is>
      </c>
      <c r="B37" s="1" t="n">
        <v>45902</v>
      </c>
      <c r="C37" s="1" t="n">
        <v>46196</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33380-2025</t>
        </is>
      </c>
      <c r="B38" s="1" t="n">
        <v>45841</v>
      </c>
      <c r="C38" s="1" t="n">
        <v>46196</v>
      </c>
      <c r="D38" t="inlineStr">
        <is>
          <t>DALARNAS LÄN</t>
        </is>
      </c>
      <c r="E38" t="inlineStr">
        <is>
          <t>MORA</t>
        </is>
      </c>
      <c r="G38" t="n">
        <v>6.6</v>
      </c>
      <c r="H38" t="n">
        <v>5</v>
      </c>
      <c r="I38" t="n">
        <v>1</v>
      </c>
      <c r="J38" t="n">
        <v>4</v>
      </c>
      <c r="K38" t="n">
        <v>1</v>
      </c>
      <c r="L38" t="n">
        <v>0</v>
      </c>
      <c r="M38" t="n">
        <v>0</v>
      </c>
      <c r="N38" t="n">
        <v>0</v>
      </c>
      <c r="O38" t="n">
        <v>5</v>
      </c>
      <c r="P38" t="n">
        <v>1</v>
      </c>
      <c r="Q38" t="n">
        <v>8</v>
      </c>
      <c r="R38" s="2" t="inlineStr">
        <is>
          <t>Garnlav
Rödvingetrast
Talltita
Tretåig hackspett
Ullticka
Mindre märgborre
Spillkråka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2762-2026</t>
        </is>
      </c>
      <c r="B39" s="1" t="n">
        <v>46036</v>
      </c>
      <c r="C39" s="1" t="n">
        <v>46196</v>
      </c>
      <c r="D39" t="inlineStr">
        <is>
          <t>DALARNAS LÄN</t>
        </is>
      </c>
      <c r="E39" t="inlineStr">
        <is>
          <t>MORA</t>
        </is>
      </c>
      <c r="G39" t="n">
        <v>5.7</v>
      </c>
      <c r="H39" t="n">
        <v>2</v>
      </c>
      <c r="I39" t="n">
        <v>1</v>
      </c>
      <c r="J39" t="n">
        <v>5</v>
      </c>
      <c r="K39" t="n">
        <v>1</v>
      </c>
      <c r="L39" t="n">
        <v>0</v>
      </c>
      <c r="M39" t="n">
        <v>0</v>
      </c>
      <c r="N39" t="n">
        <v>0</v>
      </c>
      <c r="O39" t="n">
        <v>6</v>
      </c>
      <c r="P39" t="n">
        <v>1</v>
      </c>
      <c r="Q39" t="n">
        <v>8</v>
      </c>
      <c r="R39" s="2" t="inlineStr">
        <is>
          <t>Garnlav
Kolflarnlav
Mörk kolflarnlav
Tretåig hackspett
Vedflamlav
Vedskivlav
Mindre märgborre
Spillkråka</t>
        </is>
      </c>
      <c r="S39">
        <f>HYPERLINK("https://klasma.github.io/Logging_2062/artfynd/A 2762-2026 artfynd.xlsx", "A 2762-2026")</f>
        <v/>
      </c>
      <c r="T39">
        <f>HYPERLINK("https://klasma.github.io/Logging_2062/kartor/A 2762-2026 karta.png", "A 2762-2026")</f>
        <v/>
      </c>
      <c r="V39">
        <f>HYPERLINK("https://klasma.github.io/Logging_2062/klagomål/A 2762-2026 FSC-klagomål.docx", "A 2762-2026")</f>
        <v/>
      </c>
      <c r="W39">
        <f>HYPERLINK("https://klasma.github.io/Logging_2062/klagomålsmail/A 2762-2026 FSC-klagomål mail.docx", "A 2762-2026")</f>
        <v/>
      </c>
      <c r="X39">
        <f>HYPERLINK("https://klasma.github.io/Logging_2062/tillsyn/A 2762-2026 tillsynsbegäran.docx", "A 2762-2026")</f>
        <v/>
      </c>
      <c r="Y39">
        <f>HYPERLINK("https://klasma.github.io/Logging_2062/tillsynsmail/A 2762-2026 tillsynsbegäran mail.docx", "A 2762-2026")</f>
        <v/>
      </c>
      <c r="Z39">
        <f>HYPERLINK("https://klasma.github.io/Logging_2062/fåglar/A 2762-2026 prioriterade fågelarter.docx", "A 2762-2026")</f>
        <v/>
      </c>
    </row>
    <row r="40" ht="15" customHeight="1">
      <c r="A40" t="inlineStr">
        <is>
          <t>A 62154-2025</t>
        </is>
      </c>
      <c r="B40" s="1" t="n">
        <v>46006</v>
      </c>
      <c r="C40" s="1" t="n">
        <v>46196</v>
      </c>
      <c r="D40" t="inlineStr">
        <is>
          <t>DALARNAS LÄN</t>
        </is>
      </c>
      <c r="E40" t="inlineStr">
        <is>
          <t>MORA</t>
        </is>
      </c>
      <c r="G40" t="n">
        <v>7.2</v>
      </c>
      <c r="H40" t="n">
        <v>4</v>
      </c>
      <c r="I40" t="n">
        <v>3</v>
      </c>
      <c r="J40" t="n">
        <v>2</v>
      </c>
      <c r="K40" t="n">
        <v>1</v>
      </c>
      <c r="L40" t="n">
        <v>0</v>
      </c>
      <c r="M40" t="n">
        <v>0</v>
      </c>
      <c r="N40" t="n">
        <v>0</v>
      </c>
      <c r="O40" t="n">
        <v>3</v>
      </c>
      <c r="P40" t="n">
        <v>1</v>
      </c>
      <c r="Q40" t="n">
        <v>8</v>
      </c>
      <c r="R40" s="2" t="inlineStr">
        <is>
          <t>Garnlav
Talltita
Tretåig hackspett
Bronshjon
Mindre märgborre
Vågbandad barkbock
Spillkråka
Tjäder</t>
        </is>
      </c>
      <c r="S40">
        <f>HYPERLINK("https://klasma.github.io/Logging_2062/artfynd/A 62154-2025 artfynd.xlsx", "A 62154-2025")</f>
        <v/>
      </c>
      <c r="T40">
        <f>HYPERLINK("https://klasma.github.io/Logging_2062/kartor/A 62154-2025 karta.png", "A 62154-2025")</f>
        <v/>
      </c>
      <c r="V40">
        <f>HYPERLINK("https://klasma.github.io/Logging_2062/klagomål/A 62154-2025 FSC-klagomål.docx", "A 62154-2025")</f>
        <v/>
      </c>
      <c r="W40">
        <f>HYPERLINK("https://klasma.github.io/Logging_2062/klagomålsmail/A 62154-2025 FSC-klagomål mail.docx", "A 62154-2025")</f>
        <v/>
      </c>
      <c r="X40">
        <f>HYPERLINK("https://klasma.github.io/Logging_2062/tillsyn/A 62154-2025 tillsynsbegäran.docx", "A 62154-2025")</f>
        <v/>
      </c>
      <c r="Y40">
        <f>HYPERLINK("https://klasma.github.io/Logging_2062/tillsynsmail/A 62154-2025 tillsynsbegäran mail.docx", "A 62154-2025")</f>
        <v/>
      </c>
      <c r="Z40">
        <f>HYPERLINK("https://klasma.github.io/Logging_2062/fåglar/A 62154-2025 prioriterade fågelarter.docx", "A 62154-2025")</f>
        <v/>
      </c>
    </row>
    <row r="41" ht="15" customHeight="1">
      <c r="A41" t="inlineStr">
        <is>
          <t>A 61259-2023</t>
        </is>
      </c>
      <c r="B41" s="1" t="n">
        <v>45264</v>
      </c>
      <c r="C41" s="1" t="n">
        <v>46196</v>
      </c>
      <c r="D41" t="inlineStr">
        <is>
          <t>DALARNAS LÄN</t>
        </is>
      </c>
      <c r="E41" t="inlineStr">
        <is>
          <t>MORA</t>
        </is>
      </c>
      <c r="F41" t="inlineStr">
        <is>
          <t>Allmännings- och besparingsskogar</t>
        </is>
      </c>
      <c r="G41" t="n">
        <v>1</v>
      </c>
      <c r="H41" t="n">
        <v>1</v>
      </c>
      <c r="I41" t="n">
        <v>4</v>
      </c>
      <c r="J41" t="n">
        <v>2</v>
      </c>
      <c r="K41" t="n">
        <v>2</v>
      </c>
      <c r="L41" t="n">
        <v>0</v>
      </c>
      <c r="M41" t="n">
        <v>0</v>
      </c>
      <c r="N41" t="n">
        <v>0</v>
      </c>
      <c r="O41" t="n">
        <v>4</v>
      </c>
      <c r="P41" t="n">
        <v>2</v>
      </c>
      <c r="Q41" t="n">
        <v>8</v>
      </c>
      <c r="R41" s="2" t="inlineStr">
        <is>
          <t>Garnlav
Knärot
Brunpudrad nållav
Vitgrynig nållav
Bollvitmossa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34447-2024</t>
        </is>
      </c>
      <c r="B42" s="1" t="n">
        <v>45525</v>
      </c>
      <c r="C42" s="1" t="n">
        <v>46196</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46196</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46196</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46196</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46196</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46196</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61770-2025</t>
        </is>
      </c>
      <c r="B48" s="1" t="n">
        <v>46002</v>
      </c>
      <c r="C48" s="1" t="n">
        <v>46196</v>
      </c>
      <c r="D48" t="inlineStr">
        <is>
          <t>DALARNAS LÄN</t>
        </is>
      </c>
      <c r="E48" t="inlineStr">
        <is>
          <t>MORA</t>
        </is>
      </c>
      <c r="G48" t="n">
        <v>10.2</v>
      </c>
      <c r="H48" t="n">
        <v>2</v>
      </c>
      <c r="I48" t="n">
        <v>1</v>
      </c>
      <c r="J48" t="n">
        <v>2</v>
      </c>
      <c r="K48" t="n">
        <v>1</v>
      </c>
      <c r="L48" t="n">
        <v>0</v>
      </c>
      <c r="M48" t="n">
        <v>0</v>
      </c>
      <c r="N48" t="n">
        <v>0</v>
      </c>
      <c r="O48" t="n">
        <v>3</v>
      </c>
      <c r="P48" t="n">
        <v>1</v>
      </c>
      <c r="Q48" t="n">
        <v>5</v>
      </c>
      <c r="R48" s="2" t="inlineStr">
        <is>
          <t>Garnlav
Talltagel
Tretåig hackspett
Mindre märgborre
Spillkråka</t>
        </is>
      </c>
      <c r="S48">
        <f>HYPERLINK("https://klasma.github.io/Logging_2062/artfynd/A 61770-2025 artfynd.xlsx", "A 61770-2025")</f>
        <v/>
      </c>
      <c r="T48">
        <f>HYPERLINK("https://klasma.github.io/Logging_2062/kartor/A 61770-2025 karta.png", "A 61770-2025")</f>
        <v/>
      </c>
      <c r="V48">
        <f>HYPERLINK("https://klasma.github.io/Logging_2062/klagomål/A 61770-2025 FSC-klagomål.docx", "A 61770-2025")</f>
        <v/>
      </c>
      <c r="W48">
        <f>HYPERLINK("https://klasma.github.io/Logging_2062/klagomålsmail/A 61770-2025 FSC-klagomål mail.docx", "A 61770-2025")</f>
        <v/>
      </c>
      <c r="X48">
        <f>HYPERLINK("https://klasma.github.io/Logging_2062/tillsyn/A 61770-2025 tillsynsbegäran.docx", "A 61770-2025")</f>
        <v/>
      </c>
      <c r="Y48">
        <f>HYPERLINK("https://klasma.github.io/Logging_2062/tillsynsmail/A 61770-2025 tillsynsbegäran mail.docx", "A 61770-2025")</f>
        <v/>
      </c>
      <c r="Z48">
        <f>HYPERLINK("https://klasma.github.io/Logging_2062/fåglar/A 61770-2025 prioriterade fågelarter.docx", "A 61770-2025")</f>
        <v/>
      </c>
    </row>
    <row r="49" ht="15" customHeight="1">
      <c r="A49" t="inlineStr">
        <is>
          <t>A 15203-2026</t>
        </is>
      </c>
      <c r="B49" s="1" t="n">
        <v>46105</v>
      </c>
      <c r="C49" s="1" t="n">
        <v>46196</v>
      </c>
      <c r="D49" t="inlineStr">
        <is>
          <t>DALARNAS LÄN</t>
        </is>
      </c>
      <c r="E49" t="inlineStr">
        <is>
          <t>MORA</t>
        </is>
      </c>
      <c r="G49" t="n">
        <v>2.5</v>
      </c>
      <c r="H49" t="n">
        <v>1</v>
      </c>
      <c r="I49" t="n">
        <v>1</v>
      </c>
      <c r="J49" t="n">
        <v>2</v>
      </c>
      <c r="K49" t="n">
        <v>1</v>
      </c>
      <c r="L49" t="n">
        <v>0</v>
      </c>
      <c r="M49" t="n">
        <v>0</v>
      </c>
      <c r="N49" t="n">
        <v>0</v>
      </c>
      <c r="O49" t="n">
        <v>3</v>
      </c>
      <c r="P49" t="n">
        <v>1</v>
      </c>
      <c r="Q49" t="n">
        <v>5</v>
      </c>
      <c r="R49" s="2" t="inlineStr">
        <is>
          <t>Garnlav
Talltagel
Tallticka
Mindre märgborre
Spillkråka</t>
        </is>
      </c>
      <c r="S49">
        <f>HYPERLINK("https://klasma.github.io/Logging_2062/artfynd/A 15203-2026 artfynd.xlsx", "A 15203-2026")</f>
        <v/>
      </c>
      <c r="T49">
        <f>HYPERLINK("https://klasma.github.io/Logging_2062/kartor/A 15203-2026 karta.png", "A 15203-2026")</f>
        <v/>
      </c>
      <c r="V49">
        <f>HYPERLINK("https://klasma.github.io/Logging_2062/klagomål/A 15203-2026 FSC-klagomål.docx", "A 15203-2026")</f>
        <v/>
      </c>
      <c r="W49">
        <f>HYPERLINK("https://klasma.github.io/Logging_2062/klagomålsmail/A 15203-2026 FSC-klagomål mail.docx", "A 15203-2026")</f>
        <v/>
      </c>
      <c r="X49">
        <f>HYPERLINK("https://klasma.github.io/Logging_2062/tillsyn/A 15203-2026 tillsynsbegäran.docx", "A 15203-2026")</f>
        <v/>
      </c>
      <c r="Y49">
        <f>HYPERLINK("https://klasma.github.io/Logging_2062/tillsynsmail/A 15203-2026 tillsynsbegäran mail.docx", "A 15203-2026")</f>
        <v/>
      </c>
      <c r="Z49">
        <f>HYPERLINK("https://klasma.github.io/Logging_2062/fåglar/A 15203-2026 prioriterade fågelarter.docx", "A 15203-2026")</f>
        <v/>
      </c>
    </row>
    <row r="50" ht="15" customHeight="1">
      <c r="A50" t="inlineStr">
        <is>
          <t>A 58478-2025</t>
        </is>
      </c>
      <c r="B50" s="1" t="n">
        <v>45985</v>
      </c>
      <c r="C50" s="1" t="n">
        <v>46196</v>
      </c>
      <c r="D50" t="inlineStr">
        <is>
          <t>DALARNAS LÄN</t>
        </is>
      </c>
      <c r="E50" t="inlineStr">
        <is>
          <t>MORA</t>
        </is>
      </c>
      <c r="G50" t="n">
        <v>6</v>
      </c>
      <c r="H50" t="n">
        <v>2</v>
      </c>
      <c r="I50" t="n">
        <v>1</v>
      </c>
      <c r="J50" t="n">
        <v>2</v>
      </c>
      <c r="K50" t="n">
        <v>1</v>
      </c>
      <c r="L50" t="n">
        <v>0</v>
      </c>
      <c r="M50" t="n">
        <v>0</v>
      </c>
      <c r="N50" t="n">
        <v>0</v>
      </c>
      <c r="O50" t="n">
        <v>3</v>
      </c>
      <c r="P50" t="n">
        <v>1</v>
      </c>
      <c r="Q50" t="n">
        <v>5</v>
      </c>
      <c r="R50" s="2" t="inlineStr">
        <is>
          <t>Garnlav
Skogshare
Tretåig hackspett
Mindre märgborre
Spillkråka</t>
        </is>
      </c>
      <c r="S50">
        <f>HYPERLINK("https://klasma.github.io/Logging_2062/artfynd/A 58478-2025 artfynd.xlsx", "A 58478-2025")</f>
        <v/>
      </c>
      <c r="T50">
        <f>HYPERLINK("https://klasma.github.io/Logging_2062/kartor/A 58478-2025 karta.png", "A 58478-2025")</f>
        <v/>
      </c>
      <c r="V50">
        <f>HYPERLINK("https://klasma.github.io/Logging_2062/klagomål/A 58478-2025 FSC-klagomål.docx", "A 58478-2025")</f>
        <v/>
      </c>
      <c r="W50">
        <f>HYPERLINK("https://klasma.github.io/Logging_2062/klagomålsmail/A 58478-2025 FSC-klagomål mail.docx", "A 58478-2025")</f>
        <v/>
      </c>
      <c r="X50">
        <f>HYPERLINK("https://klasma.github.io/Logging_2062/tillsyn/A 58478-2025 tillsynsbegäran.docx", "A 58478-2025")</f>
        <v/>
      </c>
      <c r="Y50">
        <f>HYPERLINK("https://klasma.github.io/Logging_2062/tillsynsmail/A 58478-2025 tillsynsbegäran mail.docx", "A 58478-2025")</f>
        <v/>
      </c>
      <c r="Z50">
        <f>HYPERLINK("https://klasma.github.io/Logging_2062/fåglar/A 58478-2025 prioriterade fågelarter.docx", "A 58478-2025")</f>
        <v/>
      </c>
    </row>
    <row r="51" ht="15" customHeight="1">
      <c r="A51" t="inlineStr">
        <is>
          <t>A 31539-2025</t>
        </is>
      </c>
      <c r="B51" s="1" t="n">
        <v>45833</v>
      </c>
      <c r="C51" s="1" t="n">
        <v>46196</v>
      </c>
      <c r="D51" t="inlineStr">
        <is>
          <t>DALARNAS LÄN</t>
        </is>
      </c>
      <c r="E51" t="inlineStr">
        <is>
          <t>MORA</t>
        </is>
      </c>
      <c r="G51" t="n">
        <v>5.3</v>
      </c>
      <c r="H51" t="n">
        <v>2</v>
      </c>
      <c r="I51" t="n">
        <v>1</v>
      </c>
      <c r="J51" t="n">
        <v>3</v>
      </c>
      <c r="K51" t="n">
        <v>1</v>
      </c>
      <c r="L51" t="n">
        <v>0</v>
      </c>
      <c r="M51" t="n">
        <v>0</v>
      </c>
      <c r="N51" t="n">
        <v>0</v>
      </c>
      <c r="O51" t="n">
        <v>4</v>
      </c>
      <c r="P51" t="n">
        <v>1</v>
      </c>
      <c r="Q51" t="n">
        <v>5</v>
      </c>
      <c r="R51" s="2" t="inlineStr">
        <is>
          <t>Knärot
Kattfotslav
Tallticka
Talltita
Bollvitmossa</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39481-2025</t>
        </is>
      </c>
      <c r="B52" s="1" t="n">
        <v>45890</v>
      </c>
      <c r="C52" s="1" t="n">
        <v>46196</v>
      </c>
      <c r="D52" t="inlineStr">
        <is>
          <t>DALARNAS LÄN</t>
        </is>
      </c>
      <c r="E52" t="inlineStr">
        <is>
          <t>MORA</t>
        </is>
      </c>
      <c r="G52" t="n">
        <v>0.6</v>
      </c>
      <c r="H52" t="n">
        <v>2</v>
      </c>
      <c r="I52" t="n">
        <v>0</v>
      </c>
      <c r="J52" t="n">
        <v>2</v>
      </c>
      <c r="K52" t="n">
        <v>1</v>
      </c>
      <c r="L52" t="n">
        <v>0</v>
      </c>
      <c r="M52" t="n">
        <v>0</v>
      </c>
      <c r="N52" t="n">
        <v>0</v>
      </c>
      <c r="O52" t="n">
        <v>3</v>
      </c>
      <c r="P52" t="n">
        <v>1</v>
      </c>
      <c r="Q52" t="n">
        <v>4</v>
      </c>
      <c r="R52" s="2" t="inlineStr">
        <is>
          <t>Garnlav
Tretåig hackspett
Vedskivlav
Spillkråka</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32222-2025</t>
        </is>
      </c>
      <c r="B53" s="1" t="n">
        <v>45835</v>
      </c>
      <c r="C53" s="1" t="n">
        <v>46196</v>
      </c>
      <c r="D53" t="inlineStr">
        <is>
          <t>DALARNAS LÄN</t>
        </is>
      </c>
      <c r="E53" t="inlineStr">
        <is>
          <t>MORA</t>
        </is>
      </c>
      <c r="G53" t="n">
        <v>11.5</v>
      </c>
      <c r="H53" t="n">
        <v>1</v>
      </c>
      <c r="I53" t="n">
        <v>0</v>
      </c>
      <c r="J53" t="n">
        <v>3</v>
      </c>
      <c r="K53" t="n">
        <v>1</v>
      </c>
      <c r="L53" t="n">
        <v>0</v>
      </c>
      <c r="M53" t="n">
        <v>0</v>
      </c>
      <c r="N53" t="n">
        <v>0</v>
      </c>
      <c r="O53" t="n">
        <v>4</v>
      </c>
      <c r="P53" t="n">
        <v>1</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11973-2026</t>
        </is>
      </c>
      <c r="B54" s="1" t="n">
        <v>46085</v>
      </c>
      <c r="C54" s="1" t="n">
        <v>46196</v>
      </c>
      <c r="D54" t="inlineStr">
        <is>
          <t>DALARNAS LÄN</t>
        </is>
      </c>
      <c r="E54" t="inlineStr">
        <is>
          <t>MORA</t>
        </is>
      </c>
      <c r="G54" t="n">
        <v>5.4</v>
      </c>
      <c r="H54" t="n">
        <v>1</v>
      </c>
      <c r="I54" t="n">
        <v>1</v>
      </c>
      <c r="J54" t="n">
        <v>1</v>
      </c>
      <c r="K54" t="n">
        <v>1</v>
      </c>
      <c r="L54" t="n">
        <v>0</v>
      </c>
      <c r="M54" t="n">
        <v>0</v>
      </c>
      <c r="N54" t="n">
        <v>0</v>
      </c>
      <c r="O54" t="n">
        <v>2</v>
      </c>
      <c r="P54" t="n">
        <v>1</v>
      </c>
      <c r="Q54" t="n">
        <v>4</v>
      </c>
      <c r="R54" s="2" t="inlineStr">
        <is>
          <t>Garnlav
Mörk kolflarnlav
Mindre märgborre
Spillkråka</t>
        </is>
      </c>
      <c r="S54">
        <f>HYPERLINK("https://klasma.github.io/Logging_2062/artfynd/A 11973-2026 artfynd.xlsx", "A 11973-2026")</f>
        <v/>
      </c>
      <c r="T54">
        <f>HYPERLINK("https://klasma.github.io/Logging_2062/kartor/A 11973-2026 karta.png", "A 11973-2026")</f>
        <v/>
      </c>
      <c r="V54">
        <f>HYPERLINK("https://klasma.github.io/Logging_2062/klagomål/A 11973-2026 FSC-klagomål.docx", "A 11973-2026")</f>
        <v/>
      </c>
      <c r="W54">
        <f>HYPERLINK("https://klasma.github.io/Logging_2062/klagomålsmail/A 11973-2026 FSC-klagomål mail.docx", "A 11973-2026")</f>
        <v/>
      </c>
      <c r="X54">
        <f>HYPERLINK("https://klasma.github.io/Logging_2062/tillsyn/A 11973-2026 tillsynsbegäran.docx", "A 11973-2026")</f>
        <v/>
      </c>
      <c r="Y54">
        <f>HYPERLINK("https://klasma.github.io/Logging_2062/tillsynsmail/A 11973-2026 tillsynsbegäran mail.docx", "A 11973-2026")</f>
        <v/>
      </c>
      <c r="Z54">
        <f>HYPERLINK("https://klasma.github.io/Logging_2062/fåglar/A 11973-2026 prioriterade fågelarter.docx", "A 11973-2026")</f>
        <v/>
      </c>
    </row>
    <row r="55" ht="15" customHeight="1">
      <c r="A55" t="inlineStr">
        <is>
          <t>A 34715-2025</t>
        </is>
      </c>
      <c r="B55" s="1" t="n">
        <v>45848</v>
      </c>
      <c r="C55" s="1" t="n">
        <v>46196</v>
      </c>
      <c r="D55" t="inlineStr">
        <is>
          <t>DALARNAS LÄN</t>
        </is>
      </c>
      <c r="E55" t="inlineStr">
        <is>
          <t>MORA</t>
        </is>
      </c>
      <c r="G55" t="n">
        <v>8.5</v>
      </c>
      <c r="H55" t="n">
        <v>2</v>
      </c>
      <c r="I55" t="n">
        <v>0</v>
      </c>
      <c r="J55" t="n">
        <v>2</v>
      </c>
      <c r="K55" t="n">
        <v>2</v>
      </c>
      <c r="L55" t="n">
        <v>0</v>
      </c>
      <c r="M55" t="n">
        <v>0</v>
      </c>
      <c r="N55" t="n">
        <v>0</v>
      </c>
      <c r="O55" t="n">
        <v>4</v>
      </c>
      <c r="P55" t="n">
        <v>2</v>
      </c>
      <c r="Q55" t="n">
        <v>4</v>
      </c>
      <c r="R55" s="2" t="inlineStr">
        <is>
          <t>Garnlav
Knärot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28964-2024</t>
        </is>
      </c>
      <c r="B56" s="1" t="n">
        <v>45481</v>
      </c>
      <c r="C56" s="1" t="n">
        <v>46196</v>
      </c>
      <c r="D56" t="inlineStr">
        <is>
          <t>DALARNAS LÄN</t>
        </is>
      </c>
      <c r="E56" t="inlineStr">
        <is>
          <t>MORA</t>
        </is>
      </c>
      <c r="G56" t="n">
        <v>1.3</v>
      </c>
      <c r="H56" t="n">
        <v>0</v>
      </c>
      <c r="I56" t="n">
        <v>0</v>
      </c>
      <c r="J56" t="n">
        <v>2</v>
      </c>
      <c r="K56" t="n">
        <v>2</v>
      </c>
      <c r="L56" t="n">
        <v>0</v>
      </c>
      <c r="M56" t="n">
        <v>0</v>
      </c>
      <c r="N56" t="n">
        <v>0</v>
      </c>
      <c r="O56" t="n">
        <v>4</v>
      </c>
      <c r="P56" t="n">
        <v>2</v>
      </c>
      <c r="Q56" t="n">
        <v>4</v>
      </c>
      <c r="R56" s="2" t="inlineStr">
        <is>
          <t>Lammticka
Tallgråticka
Kötticka
Tallfingersvamp</t>
        </is>
      </c>
      <c r="S56">
        <f>HYPERLINK("https://klasma.github.io/Logging_2062/artfynd/A 28964-2024 artfynd.xlsx", "A 28964-2024")</f>
        <v/>
      </c>
      <c r="T56">
        <f>HYPERLINK("https://klasma.github.io/Logging_2062/kartor/A 28964-2024 karta.png", "A 28964-2024")</f>
        <v/>
      </c>
      <c r="V56">
        <f>HYPERLINK("https://klasma.github.io/Logging_2062/klagomål/A 28964-2024 FSC-klagomål.docx", "A 28964-2024")</f>
        <v/>
      </c>
      <c r="W56">
        <f>HYPERLINK("https://klasma.github.io/Logging_2062/klagomålsmail/A 28964-2024 FSC-klagomål mail.docx", "A 28964-2024")</f>
        <v/>
      </c>
      <c r="X56">
        <f>HYPERLINK("https://klasma.github.io/Logging_2062/tillsyn/A 28964-2024 tillsynsbegäran.docx", "A 28964-2024")</f>
        <v/>
      </c>
      <c r="Y56">
        <f>HYPERLINK("https://klasma.github.io/Logging_2062/tillsynsmail/A 28964-2024 tillsynsbegäran mail.docx", "A 28964-2024")</f>
        <v/>
      </c>
    </row>
    <row r="57" ht="15" customHeight="1">
      <c r="A57" t="inlineStr">
        <is>
          <t>A 17648-2024</t>
        </is>
      </c>
      <c r="B57" s="1" t="n">
        <v>45418</v>
      </c>
      <c r="C57" s="1" t="n">
        <v>46196</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38769-2021</t>
        </is>
      </c>
      <c r="B58" s="1" t="n">
        <v>44410</v>
      </c>
      <c r="C58" s="1" t="n">
        <v>46196</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46196</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54868-2025</t>
        </is>
      </c>
      <c r="B60" s="1" t="n">
        <v>45966</v>
      </c>
      <c r="C60" s="1" t="n">
        <v>46196</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54868-2025 artfynd.xlsx", "A 54868-2025")</f>
        <v/>
      </c>
      <c r="T60">
        <f>HYPERLINK("https://klasma.github.io/Logging_2062/kartor/A 54868-2025 karta.png", "A 54868-2025")</f>
        <v/>
      </c>
      <c r="V60">
        <f>HYPERLINK("https://klasma.github.io/Logging_2062/klagomål/A 54868-2025 FSC-klagomål.docx", "A 54868-2025")</f>
        <v/>
      </c>
      <c r="W60">
        <f>HYPERLINK("https://klasma.github.io/Logging_2062/klagomålsmail/A 54868-2025 FSC-klagomål mail.docx", "A 54868-2025")</f>
        <v/>
      </c>
      <c r="X60">
        <f>HYPERLINK("https://klasma.github.io/Logging_2062/tillsyn/A 54868-2025 tillsynsbegäran.docx", "A 54868-2025")</f>
        <v/>
      </c>
      <c r="Y60">
        <f>HYPERLINK("https://klasma.github.io/Logging_2062/tillsynsmail/A 54868-2025 tillsynsbegäran mail.docx", "A 54868-2025")</f>
        <v/>
      </c>
    </row>
    <row r="61" ht="15" customHeight="1">
      <c r="A61" t="inlineStr">
        <is>
          <t>A 54919-2025</t>
        </is>
      </c>
      <c r="B61" s="1" t="n">
        <v>45967</v>
      </c>
      <c r="C61" s="1" t="n">
        <v>46196</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54919-2025 artfynd.xlsx", "A 54919-2025")</f>
        <v/>
      </c>
      <c r="T61">
        <f>HYPERLINK("https://klasma.github.io/Logging_2062/kartor/A 54919-2025 karta.png", "A 54919-2025")</f>
        <v/>
      </c>
      <c r="V61">
        <f>HYPERLINK("https://klasma.github.io/Logging_2062/klagomål/A 54919-2025 FSC-klagomål.docx", "A 54919-2025")</f>
        <v/>
      </c>
      <c r="W61">
        <f>HYPERLINK("https://klasma.github.io/Logging_2062/klagomålsmail/A 54919-2025 FSC-klagomål mail.docx", "A 54919-2025")</f>
        <v/>
      </c>
      <c r="X61">
        <f>HYPERLINK("https://klasma.github.io/Logging_2062/tillsyn/A 54919-2025 tillsynsbegäran.docx", "A 54919-2025")</f>
        <v/>
      </c>
      <c r="Y61">
        <f>HYPERLINK("https://klasma.github.io/Logging_2062/tillsynsmail/A 54919-2025 tillsynsbegäran mail.docx", "A 54919-2025")</f>
        <v/>
      </c>
    </row>
    <row r="62" ht="15" customHeight="1">
      <c r="A62" t="inlineStr">
        <is>
          <t>A 62620-2025</t>
        </is>
      </c>
      <c r="B62" s="1" t="n">
        <v>46008</v>
      </c>
      <c r="C62" s="1" t="n">
        <v>46196</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46196</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36058-2024</t>
        </is>
      </c>
      <c r="B64" s="1" t="n">
        <v>45533</v>
      </c>
      <c r="C64" s="1" t="n">
        <v>46196</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51253-2023</t>
        </is>
      </c>
      <c r="B65" s="1" t="n">
        <v>45219</v>
      </c>
      <c r="C65" s="1" t="n">
        <v>46196</v>
      </c>
      <c r="D65" t="inlineStr">
        <is>
          <t>DALARNAS LÄN</t>
        </is>
      </c>
      <c r="E65" t="inlineStr">
        <is>
          <t>MORA</t>
        </is>
      </c>
      <c r="G65" t="n">
        <v>5</v>
      </c>
      <c r="H65" t="n">
        <v>0</v>
      </c>
      <c r="I65" t="n">
        <v>1</v>
      </c>
      <c r="J65" t="n">
        <v>0</v>
      </c>
      <c r="K65" t="n">
        <v>1</v>
      </c>
      <c r="L65" t="n">
        <v>0</v>
      </c>
      <c r="M65" t="n">
        <v>0</v>
      </c>
      <c r="N65" t="n">
        <v>0</v>
      </c>
      <c r="O65" t="n">
        <v>1</v>
      </c>
      <c r="P65" t="n">
        <v>1</v>
      </c>
      <c r="Q65" t="n">
        <v>2</v>
      </c>
      <c r="R65" s="2" t="inlineStr">
        <is>
          <t>Garnlav
Mindre märgborre</t>
        </is>
      </c>
      <c r="S65">
        <f>HYPERLINK("https://klasma.github.io/Logging_2062/artfynd/A 51253-2023 artfynd.xlsx", "A 51253-2023")</f>
        <v/>
      </c>
      <c r="T65">
        <f>HYPERLINK("https://klasma.github.io/Logging_2062/kartor/A 51253-2023 karta.png", "A 51253-2023")</f>
        <v/>
      </c>
      <c r="V65">
        <f>HYPERLINK("https://klasma.github.io/Logging_2062/klagomål/A 51253-2023 FSC-klagomål.docx", "A 51253-2023")</f>
        <v/>
      </c>
      <c r="W65">
        <f>HYPERLINK("https://klasma.github.io/Logging_2062/klagomålsmail/A 51253-2023 FSC-klagomål mail.docx", "A 51253-2023")</f>
        <v/>
      </c>
      <c r="X65">
        <f>HYPERLINK("https://klasma.github.io/Logging_2062/tillsyn/A 51253-2023 tillsynsbegäran.docx", "A 51253-2023")</f>
        <v/>
      </c>
      <c r="Y65">
        <f>HYPERLINK("https://klasma.github.io/Logging_2062/tillsynsmail/A 51253-2023 tillsynsbegäran mail.docx", "A 51253-2023")</f>
        <v/>
      </c>
    </row>
    <row r="66" ht="15" customHeight="1">
      <c r="A66" t="inlineStr">
        <is>
          <t>A 35068-2025</t>
        </is>
      </c>
      <c r="B66" s="1" t="n">
        <v>45852</v>
      </c>
      <c r="C66" s="1" t="n">
        <v>46196</v>
      </c>
      <c r="D66" t="inlineStr">
        <is>
          <t>DALARNAS LÄN</t>
        </is>
      </c>
      <c r="E66" t="inlineStr">
        <is>
          <t>MORA</t>
        </is>
      </c>
      <c r="G66" t="n">
        <v>0.7</v>
      </c>
      <c r="H66" t="n">
        <v>0</v>
      </c>
      <c r="I66" t="n">
        <v>1</v>
      </c>
      <c r="J66" t="n">
        <v>0</v>
      </c>
      <c r="K66" t="n">
        <v>1</v>
      </c>
      <c r="L66" t="n">
        <v>0</v>
      </c>
      <c r="M66" t="n">
        <v>0</v>
      </c>
      <c r="N66" t="n">
        <v>0</v>
      </c>
      <c r="O66" t="n">
        <v>1</v>
      </c>
      <c r="P66" t="n">
        <v>1</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23261-2026</t>
        </is>
      </c>
      <c r="B67" s="1" t="n">
        <v>46162</v>
      </c>
      <c r="C67" s="1" t="n">
        <v>46196</v>
      </c>
      <c r="D67" t="inlineStr">
        <is>
          <t>DALARNAS LÄN</t>
        </is>
      </c>
      <c r="E67" t="inlineStr">
        <is>
          <t>MORA</t>
        </is>
      </c>
      <c r="G67" t="n">
        <v>4.1</v>
      </c>
      <c r="H67" t="n">
        <v>0</v>
      </c>
      <c r="I67" t="n">
        <v>0</v>
      </c>
      <c r="J67" t="n">
        <v>1</v>
      </c>
      <c r="K67" t="n">
        <v>1</v>
      </c>
      <c r="L67" t="n">
        <v>0</v>
      </c>
      <c r="M67" t="n">
        <v>0</v>
      </c>
      <c r="N67" t="n">
        <v>0</v>
      </c>
      <c r="O67" t="n">
        <v>2</v>
      </c>
      <c r="P67" t="n">
        <v>1</v>
      </c>
      <c r="Q67" t="n">
        <v>2</v>
      </c>
      <c r="R67" s="2" t="inlineStr">
        <is>
          <t>Garnlav
Tallticka</t>
        </is>
      </c>
      <c r="S67">
        <f>HYPERLINK("https://klasma.github.io/Logging_2062/artfynd/A 23261-2026 artfynd.xlsx", "A 23261-2026")</f>
        <v/>
      </c>
      <c r="T67">
        <f>HYPERLINK("https://klasma.github.io/Logging_2062/kartor/A 23261-2026 karta.png", "A 23261-2026")</f>
        <v/>
      </c>
      <c r="V67">
        <f>HYPERLINK("https://klasma.github.io/Logging_2062/klagomål/A 23261-2026 FSC-klagomål.docx", "A 23261-2026")</f>
        <v/>
      </c>
      <c r="W67">
        <f>HYPERLINK("https://klasma.github.io/Logging_2062/klagomålsmail/A 23261-2026 FSC-klagomål mail.docx", "A 23261-2026")</f>
        <v/>
      </c>
      <c r="X67">
        <f>HYPERLINK("https://klasma.github.io/Logging_2062/tillsyn/A 23261-2026 tillsynsbegäran.docx", "A 23261-2026")</f>
        <v/>
      </c>
      <c r="Y67">
        <f>HYPERLINK("https://klasma.github.io/Logging_2062/tillsynsmail/A 23261-2026 tillsynsbegäran mail.docx", "A 23261-2026")</f>
        <v/>
      </c>
    </row>
    <row r="68" ht="15" customHeight="1">
      <c r="A68" t="inlineStr">
        <is>
          <t>A 25724-2026</t>
        </is>
      </c>
      <c r="B68" s="1" t="n">
        <v>46178</v>
      </c>
      <c r="C68" s="1" t="n">
        <v>46196</v>
      </c>
      <c r="D68" t="inlineStr">
        <is>
          <t>DALARNAS LÄN</t>
        </is>
      </c>
      <c r="E68" t="inlineStr">
        <is>
          <t>MORA</t>
        </is>
      </c>
      <c r="F68" t="inlineStr">
        <is>
          <t>Bergvik skog öst AB</t>
        </is>
      </c>
      <c r="G68" t="n">
        <v>1.7</v>
      </c>
      <c r="H68" t="n">
        <v>0</v>
      </c>
      <c r="I68" t="n">
        <v>0</v>
      </c>
      <c r="J68" t="n">
        <v>2</v>
      </c>
      <c r="K68" t="n">
        <v>0</v>
      </c>
      <c r="L68" t="n">
        <v>0</v>
      </c>
      <c r="M68" t="n">
        <v>0</v>
      </c>
      <c r="N68" t="n">
        <v>0</v>
      </c>
      <c r="O68" t="n">
        <v>2</v>
      </c>
      <c r="P68" t="n">
        <v>0</v>
      </c>
      <c r="Q68" t="n">
        <v>2</v>
      </c>
      <c r="R68" s="2" t="inlineStr">
        <is>
          <t>Kortskaftad ärgspik
Vedflamlav</t>
        </is>
      </c>
      <c r="S68">
        <f>HYPERLINK("https://klasma.github.io/Logging_2062/artfynd/A 25724-2026 artfynd.xlsx", "A 25724-2026")</f>
        <v/>
      </c>
      <c r="T68">
        <f>HYPERLINK("https://klasma.github.io/Logging_2062/kartor/A 25724-2026 karta.png", "A 25724-2026")</f>
        <v/>
      </c>
      <c r="V68">
        <f>HYPERLINK("https://klasma.github.io/Logging_2062/klagomål/A 25724-2026 FSC-klagomål.docx", "A 25724-2026")</f>
        <v/>
      </c>
      <c r="W68">
        <f>HYPERLINK("https://klasma.github.io/Logging_2062/klagomålsmail/A 25724-2026 FSC-klagomål mail.docx", "A 25724-2026")</f>
        <v/>
      </c>
      <c r="X68">
        <f>HYPERLINK("https://klasma.github.io/Logging_2062/tillsyn/A 25724-2026 tillsynsbegäran.docx", "A 25724-2026")</f>
        <v/>
      </c>
      <c r="Y68">
        <f>HYPERLINK("https://klasma.github.io/Logging_2062/tillsynsmail/A 25724-2026 tillsynsbegäran mail.docx", "A 25724-2026")</f>
        <v/>
      </c>
    </row>
    <row r="69" ht="15" customHeight="1">
      <c r="A69" t="inlineStr">
        <is>
          <t>A 37552-2023</t>
        </is>
      </c>
      <c r="B69" s="1" t="n">
        <v>45159</v>
      </c>
      <c r="C69" s="1" t="n">
        <v>46196</v>
      </c>
      <c r="D69" t="inlineStr">
        <is>
          <t>DALARNAS LÄN</t>
        </is>
      </c>
      <c r="E69" t="inlineStr">
        <is>
          <t>MORA</t>
        </is>
      </c>
      <c r="G69" t="n">
        <v>4</v>
      </c>
      <c r="H69" t="n">
        <v>0</v>
      </c>
      <c r="I69" t="n">
        <v>0</v>
      </c>
      <c r="J69" t="n">
        <v>1</v>
      </c>
      <c r="K69" t="n">
        <v>1</v>
      </c>
      <c r="L69" t="n">
        <v>0</v>
      </c>
      <c r="M69" t="n">
        <v>0</v>
      </c>
      <c r="N69" t="n">
        <v>0</v>
      </c>
      <c r="O69" t="n">
        <v>2</v>
      </c>
      <c r="P69" t="n">
        <v>1</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3531-2024</t>
        </is>
      </c>
      <c r="B70" s="1" t="n">
        <v>45320</v>
      </c>
      <c r="C70" s="1" t="n">
        <v>46196</v>
      </c>
      <c r="D70" t="inlineStr">
        <is>
          <t>DALARNAS LÄN</t>
        </is>
      </c>
      <c r="E70" t="inlineStr">
        <is>
          <t>MORA</t>
        </is>
      </c>
      <c r="G70" t="n">
        <v>1.4</v>
      </c>
      <c r="H70" t="n">
        <v>2</v>
      </c>
      <c r="I70" t="n">
        <v>0</v>
      </c>
      <c r="J70" t="n">
        <v>0</v>
      </c>
      <c r="K70" t="n">
        <v>1</v>
      </c>
      <c r="L70" t="n">
        <v>1</v>
      </c>
      <c r="M70" t="n">
        <v>0</v>
      </c>
      <c r="N70" t="n">
        <v>0</v>
      </c>
      <c r="O70" t="n">
        <v>2</v>
      </c>
      <c r="P70" t="n">
        <v>2</v>
      </c>
      <c r="Q70" t="n">
        <v>2</v>
      </c>
      <c r="R70" s="2" t="inlineStr">
        <is>
          <t>Mosippa
Knärot</t>
        </is>
      </c>
      <c r="S70">
        <f>HYPERLINK("https://klasma.github.io/Logging_2062/artfynd/A 3531-2024 artfynd.xlsx", "A 3531-2024")</f>
        <v/>
      </c>
      <c r="T70">
        <f>HYPERLINK("https://klasma.github.io/Logging_2062/kartor/A 3531-2024 karta.png", "A 3531-2024")</f>
        <v/>
      </c>
      <c r="U70">
        <f>HYPERLINK("https://klasma.github.io/Logging_2062/knärot/A 3531-2024 karta knärot.png", "A 3531-2024")</f>
        <v/>
      </c>
      <c r="V70">
        <f>HYPERLINK("https://klasma.github.io/Logging_2062/klagomål/A 3531-2024 FSC-klagomål.docx", "A 3531-2024")</f>
        <v/>
      </c>
      <c r="W70">
        <f>HYPERLINK("https://klasma.github.io/Logging_2062/klagomålsmail/A 3531-2024 FSC-klagomål mail.docx", "A 3531-2024")</f>
        <v/>
      </c>
      <c r="X70">
        <f>HYPERLINK("https://klasma.github.io/Logging_2062/tillsyn/A 3531-2024 tillsynsbegäran.docx", "A 3531-2024")</f>
        <v/>
      </c>
      <c r="Y70">
        <f>HYPERLINK("https://klasma.github.io/Logging_2062/tillsynsmail/A 3531-2024 tillsynsbegäran mail.docx", "A 3531-2024")</f>
        <v/>
      </c>
    </row>
    <row r="71" ht="15" customHeight="1">
      <c r="A71" t="inlineStr">
        <is>
          <t>A 17163-2025</t>
        </is>
      </c>
      <c r="B71" s="1" t="n">
        <v>45756</v>
      </c>
      <c r="C71" s="1" t="n">
        <v>46196</v>
      </c>
      <c r="D71" t="inlineStr">
        <is>
          <t>DALARNAS LÄN</t>
        </is>
      </c>
      <c r="E71" t="inlineStr">
        <is>
          <t>MORA</t>
        </is>
      </c>
      <c r="F71" t="inlineStr">
        <is>
          <t>Bergvik skog öst AB</t>
        </is>
      </c>
      <c r="G71" t="n">
        <v>0.5</v>
      </c>
      <c r="H71" t="n">
        <v>0</v>
      </c>
      <c r="I71" t="n">
        <v>1</v>
      </c>
      <c r="J71" t="n">
        <v>0</v>
      </c>
      <c r="K71" t="n">
        <v>1</v>
      </c>
      <c r="L71" t="n">
        <v>0</v>
      </c>
      <c r="M71" t="n">
        <v>0</v>
      </c>
      <c r="N71" t="n">
        <v>0</v>
      </c>
      <c r="O71" t="n">
        <v>1</v>
      </c>
      <c r="P71" t="n">
        <v>1</v>
      </c>
      <c r="Q71" t="n">
        <v>2</v>
      </c>
      <c r="R71" s="2" t="inlineStr">
        <is>
          <t>Garnlav
Bronshjon</t>
        </is>
      </c>
      <c r="S71">
        <f>HYPERLINK("https://klasma.github.io/Logging_2062/artfynd/A 17163-2025 artfynd.xlsx", "A 17163-2025")</f>
        <v/>
      </c>
      <c r="T71">
        <f>HYPERLINK("https://klasma.github.io/Logging_2062/kartor/A 17163-2025 karta.png", "A 17163-2025")</f>
        <v/>
      </c>
      <c r="V71">
        <f>HYPERLINK("https://klasma.github.io/Logging_2062/klagomål/A 17163-2025 FSC-klagomål.docx", "A 17163-2025")</f>
        <v/>
      </c>
      <c r="W71">
        <f>HYPERLINK("https://klasma.github.io/Logging_2062/klagomålsmail/A 17163-2025 FSC-klagomål mail.docx", "A 17163-2025")</f>
        <v/>
      </c>
      <c r="X71">
        <f>HYPERLINK("https://klasma.github.io/Logging_2062/tillsyn/A 17163-2025 tillsynsbegäran.docx", "A 17163-2025")</f>
        <v/>
      </c>
      <c r="Y71">
        <f>HYPERLINK("https://klasma.github.io/Logging_2062/tillsynsmail/A 17163-2025 tillsynsbegäran mail.docx", "A 17163-2025")</f>
        <v/>
      </c>
    </row>
    <row r="72" ht="15" customHeight="1">
      <c r="A72" t="inlineStr">
        <is>
          <t>A 42391-2023</t>
        </is>
      </c>
      <c r="B72" s="1" t="n">
        <v>45180</v>
      </c>
      <c r="C72" s="1" t="n">
        <v>46196</v>
      </c>
      <c r="D72" t="inlineStr">
        <is>
          <t>DALARNAS LÄN</t>
        </is>
      </c>
      <c r="E72" t="inlineStr">
        <is>
          <t>MORA</t>
        </is>
      </c>
      <c r="F72" t="inlineStr">
        <is>
          <t>Kommuner</t>
        </is>
      </c>
      <c r="G72" t="n">
        <v>0.3</v>
      </c>
      <c r="H72" t="n">
        <v>0</v>
      </c>
      <c r="I72" t="n">
        <v>2</v>
      </c>
      <c r="J72" t="n">
        <v>0</v>
      </c>
      <c r="K72" t="n">
        <v>0</v>
      </c>
      <c r="L72" t="n">
        <v>0</v>
      </c>
      <c r="M72" t="n">
        <v>0</v>
      </c>
      <c r="N72" t="n">
        <v>0</v>
      </c>
      <c r="O72" t="n">
        <v>0</v>
      </c>
      <c r="P72" t="n">
        <v>0</v>
      </c>
      <c r="Q72" t="n">
        <v>2</v>
      </c>
      <c r="R72" s="2" t="inlineStr">
        <is>
          <t>Grön jordtunga
Sotriska</t>
        </is>
      </c>
      <c r="S72">
        <f>HYPERLINK("https://klasma.github.io/Logging_2062/artfynd/A 42391-2023 artfynd.xlsx", "A 42391-2023")</f>
        <v/>
      </c>
      <c r="T72">
        <f>HYPERLINK("https://klasma.github.io/Logging_2062/kartor/A 42391-2023 karta.png", "A 42391-2023")</f>
        <v/>
      </c>
      <c r="V72">
        <f>HYPERLINK("https://klasma.github.io/Logging_2062/klagomål/A 42391-2023 FSC-klagomål.docx", "A 42391-2023")</f>
        <v/>
      </c>
      <c r="W72">
        <f>HYPERLINK("https://klasma.github.io/Logging_2062/klagomålsmail/A 42391-2023 FSC-klagomål mail.docx", "A 42391-2023")</f>
        <v/>
      </c>
      <c r="X72">
        <f>HYPERLINK("https://klasma.github.io/Logging_2062/tillsyn/A 42391-2023 tillsynsbegäran.docx", "A 42391-2023")</f>
        <v/>
      </c>
      <c r="Y72">
        <f>HYPERLINK("https://klasma.github.io/Logging_2062/tillsynsmail/A 42391-2023 tillsynsbegäran mail.docx", "A 42391-2023")</f>
        <v/>
      </c>
    </row>
    <row r="73" ht="15" customHeight="1">
      <c r="A73" t="inlineStr">
        <is>
          <t>A 13717-2023</t>
        </is>
      </c>
      <c r="B73" s="1" t="n">
        <v>45007</v>
      </c>
      <c r="C73" s="1" t="n">
        <v>46196</v>
      </c>
      <c r="D73" t="inlineStr">
        <is>
          <t>DALARNAS LÄN</t>
        </is>
      </c>
      <c r="E73" t="inlineStr">
        <is>
          <t>MORA</t>
        </is>
      </c>
      <c r="G73" t="n">
        <v>5.6</v>
      </c>
      <c r="H73" t="n">
        <v>1</v>
      </c>
      <c r="I73" t="n">
        <v>0</v>
      </c>
      <c r="J73" t="n">
        <v>1</v>
      </c>
      <c r="K73" t="n">
        <v>1</v>
      </c>
      <c r="L73" t="n">
        <v>0</v>
      </c>
      <c r="M73" t="n">
        <v>0</v>
      </c>
      <c r="N73" t="n">
        <v>0</v>
      </c>
      <c r="O73" t="n">
        <v>2</v>
      </c>
      <c r="P73" t="n">
        <v>1</v>
      </c>
      <c r="Q73" t="n">
        <v>2</v>
      </c>
      <c r="R73" s="2" t="inlineStr">
        <is>
          <t>Knärot
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25749-2023</t>
        </is>
      </c>
      <c r="B74" s="1" t="n">
        <v>45090</v>
      </c>
      <c r="C74" s="1" t="n">
        <v>46196</v>
      </c>
      <c r="D74" t="inlineStr">
        <is>
          <t>DALARNAS LÄN</t>
        </is>
      </c>
      <c r="E74" t="inlineStr">
        <is>
          <t>MORA</t>
        </is>
      </c>
      <c r="G74" t="n">
        <v>2.4</v>
      </c>
      <c r="H74" t="n">
        <v>0</v>
      </c>
      <c r="I74" t="n">
        <v>0</v>
      </c>
      <c r="J74" t="n">
        <v>2</v>
      </c>
      <c r="K74" t="n">
        <v>0</v>
      </c>
      <c r="L74" t="n">
        <v>0</v>
      </c>
      <c r="M74" t="n">
        <v>0</v>
      </c>
      <c r="N74" t="n">
        <v>0</v>
      </c>
      <c r="O74" t="n">
        <v>2</v>
      </c>
      <c r="P74" t="n">
        <v>0</v>
      </c>
      <c r="Q74" t="n">
        <v>2</v>
      </c>
      <c r="R74" s="2" t="inlineStr">
        <is>
          <t>Blå taggsvamp
Orange taggsvamp</t>
        </is>
      </c>
      <c r="S74">
        <f>HYPERLINK("https://klasma.github.io/Logging_2062/artfynd/A 25749-2023 artfynd.xlsx", "A 25749-2023")</f>
        <v/>
      </c>
      <c r="T74">
        <f>HYPERLINK("https://klasma.github.io/Logging_2062/kartor/A 25749-2023 karta.png", "A 25749-2023")</f>
        <v/>
      </c>
      <c r="V74">
        <f>HYPERLINK("https://klasma.github.io/Logging_2062/klagomål/A 25749-2023 FSC-klagomål.docx", "A 25749-2023")</f>
        <v/>
      </c>
      <c r="W74">
        <f>HYPERLINK("https://klasma.github.io/Logging_2062/klagomålsmail/A 25749-2023 FSC-klagomål mail.docx", "A 25749-2023")</f>
        <v/>
      </c>
      <c r="X74">
        <f>HYPERLINK("https://klasma.github.io/Logging_2062/tillsyn/A 25749-2023 tillsynsbegäran.docx", "A 25749-2023")</f>
        <v/>
      </c>
      <c r="Y74">
        <f>HYPERLINK("https://klasma.github.io/Logging_2062/tillsynsmail/A 25749-2023 tillsynsbegäran mail.docx", "A 25749-2023")</f>
        <v/>
      </c>
    </row>
    <row r="75" ht="15" customHeight="1">
      <c r="A75" t="inlineStr">
        <is>
          <t>A 20538-2025</t>
        </is>
      </c>
      <c r="B75" s="1" t="n">
        <v>45775</v>
      </c>
      <c r="C75" s="1" t="n">
        <v>46196</v>
      </c>
      <c r="D75" t="inlineStr">
        <is>
          <t>DALARNAS LÄN</t>
        </is>
      </c>
      <c r="E75" t="inlineStr">
        <is>
          <t>MORA</t>
        </is>
      </c>
      <c r="G75" t="n">
        <v>0.9</v>
      </c>
      <c r="H75" t="n">
        <v>0</v>
      </c>
      <c r="I75" t="n">
        <v>1</v>
      </c>
      <c r="J75" t="n">
        <v>0</v>
      </c>
      <c r="K75" t="n">
        <v>1</v>
      </c>
      <c r="L75" t="n">
        <v>0</v>
      </c>
      <c r="M75" t="n">
        <v>0</v>
      </c>
      <c r="N75" t="n">
        <v>0</v>
      </c>
      <c r="O75" t="n">
        <v>1</v>
      </c>
      <c r="P75" t="n">
        <v>1</v>
      </c>
      <c r="Q75" t="n">
        <v>2</v>
      </c>
      <c r="R75" s="2" t="inlineStr">
        <is>
          <t>Garnlav
Mindre märgborre</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34897-2022</t>
        </is>
      </c>
      <c r="B76" s="1" t="n">
        <v>44796</v>
      </c>
      <c r="C76" s="1" t="n">
        <v>46196</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46196</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5304-2023</t>
        </is>
      </c>
      <c r="B78" s="1" t="n">
        <v>44959</v>
      </c>
      <c r="C78" s="1" t="n">
        <v>46196</v>
      </c>
      <c r="D78" t="inlineStr">
        <is>
          <t>DALARNAS LÄN</t>
        </is>
      </c>
      <c r="E78" t="inlineStr">
        <is>
          <t>MORA</t>
        </is>
      </c>
      <c r="F78" t="inlineStr">
        <is>
          <t>Bergvik skog väst AB</t>
        </is>
      </c>
      <c r="G78" t="n">
        <v>7.3</v>
      </c>
      <c r="H78" t="n">
        <v>0</v>
      </c>
      <c r="I78" t="n">
        <v>0</v>
      </c>
      <c r="J78" t="n">
        <v>1</v>
      </c>
      <c r="K78" t="n">
        <v>0</v>
      </c>
      <c r="L78" t="n">
        <v>0</v>
      </c>
      <c r="M78" t="n">
        <v>0</v>
      </c>
      <c r="N78" t="n">
        <v>0</v>
      </c>
      <c r="O78" t="n">
        <v>1</v>
      </c>
      <c r="P78" t="n">
        <v>0</v>
      </c>
      <c r="Q78" t="n">
        <v>1</v>
      </c>
      <c r="R78" s="2" t="inlineStr">
        <is>
          <t>Backruta</t>
        </is>
      </c>
      <c r="S78">
        <f>HYPERLINK("https://klasma.github.io/Logging_2062/artfynd/A 5304-2023 artfynd.xlsx", "A 5304-2023")</f>
        <v/>
      </c>
      <c r="T78">
        <f>HYPERLINK("https://klasma.github.io/Logging_2062/kartor/A 5304-2023 karta.png", "A 5304-2023")</f>
        <v/>
      </c>
      <c r="V78">
        <f>HYPERLINK("https://klasma.github.io/Logging_2062/klagomål/A 5304-2023 FSC-klagomål.docx", "A 5304-2023")</f>
        <v/>
      </c>
      <c r="W78">
        <f>HYPERLINK("https://klasma.github.io/Logging_2062/klagomålsmail/A 5304-2023 FSC-klagomål mail.docx", "A 5304-2023")</f>
        <v/>
      </c>
      <c r="X78">
        <f>HYPERLINK("https://klasma.github.io/Logging_2062/tillsyn/A 5304-2023 tillsynsbegäran.docx", "A 5304-2023")</f>
        <v/>
      </c>
      <c r="Y78">
        <f>HYPERLINK("https://klasma.github.io/Logging_2062/tillsynsmail/A 5304-2023 tillsynsbegäran mail.docx", "A 5304-2023")</f>
        <v/>
      </c>
    </row>
    <row r="79" ht="15" customHeight="1">
      <c r="A79" t="inlineStr">
        <is>
          <t>A 27113-2024</t>
        </is>
      </c>
      <c r="B79" s="1" t="n">
        <v>45471</v>
      </c>
      <c r="C79" s="1" t="n">
        <v>46196</v>
      </c>
      <c r="D79" t="inlineStr">
        <is>
          <t>DALARNAS LÄN</t>
        </is>
      </c>
      <c r="E79" t="inlineStr">
        <is>
          <t>MORA</t>
        </is>
      </c>
      <c r="G79" t="n">
        <v>10.3</v>
      </c>
      <c r="H79" t="n">
        <v>0</v>
      </c>
      <c r="I79" t="n">
        <v>1</v>
      </c>
      <c r="J79" t="n">
        <v>0</v>
      </c>
      <c r="K79" t="n">
        <v>0</v>
      </c>
      <c r="L79" t="n">
        <v>0</v>
      </c>
      <c r="M79" t="n">
        <v>0</v>
      </c>
      <c r="N79" t="n">
        <v>0</v>
      </c>
      <c r="O79" t="n">
        <v>0</v>
      </c>
      <c r="P79" t="n">
        <v>0</v>
      </c>
      <c r="Q79" t="n">
        <v>1</v>
      </c>
      <c r="R79" s="2" t="inlineStr">
        <is>
          <t>Stor aspticka</t>
        </is>
      </c>
      <c r="S79">
        <f>HYPERLINK("https://klasma.github.io/Logging_2062/artfynd/A 27113-2024 artfynd.xlsx", "A 27113-2024")</f>
        <v/>
      </c>
      <c r="T79">
        <f>HYPERLINK("https://klasma.github.io/Logging_2062/kartor/A 27113-2024 karta.png", "A 27113-2024")</f>
        <v/>
      </c>
      <c r="V79">
        <f>HYPERLINK("https://klasma.github.io/Logging_2062/klagomål/A 27113-2024 FSC-klagomål.docx", "A 27113-2024")</f>
        <v/>
      </c>
      <c r="W79">
        <f>HYPERLINK("https://klasma.github.io/Logging_2062/klagomålsmail/A 27113-2024 FSC-klagomål mail.docx", "A 27113-2024")</f>
        <v/>
      </c>
      <c r="X79">
        <f>HYPERLINK("https://klasma.github.io/Logging_2062/tillsyn/A 27113-2024 tillsynsbegäran.docx", "A 27113-2024")</f>
        <v/>
      </c>
      <c r="Y79">
        <f>HYPERLINK("https://klasma.github.io/Logging_2062/tillsynsmail/A 27113-2024 tillsynsbegäran mail.docx", "A 27113-2024")</f>
        <v/>
      </c>
    </row>
    <row r="80" ht="15" customHeight="1">
      <c r="A80" t="inlineStr">
        <is>
          <t>A 44307-2021</t>
        </is>
      </c>
      <c r="B80" s="1" t="n">
        <v>44435</v>
      </c>
      <c r="C80" s="1" t="n">
        <v>46196</v>
      </c>
      <c r="D80" t="inlineStr">
        <is>
          <t>DALARNAS LÄN</t>
        </is>
      </c>
      <c r="E80" t="inlineStr">
        <is>
          <t>MORA</t>
        </is>
      </c>
      <c r="G80" t="n">
        <v>1.2</v>
      </c>
      <c r="H80" t="n">
        <v>0</v>
      </c>
      <c r="I80" t="n">
        <v>0</v>
      </c>
      <c r="J80" t="n">
        <v>1</v>
      </c>
      <c r="K80" t="n">
        <v>0</v>
      </c>
      <c r="L80" t="n">
        <v>0</v>
      </c>
      <c r="M80" t="n">
        <v>0</v>
      </c>
      <c r="N80" t="n">
        <v>0</v>
      </c>
      <c r="O80" t="n">
        <v>1</v>
      </c>
      <c r="P80" t="n">
        <v>0</v>
      </c>
      <c r="Q80" t="n">
        <v>1</v>
      </c>
      <c r="R80" s="2" t="inlineStr">
        <is>
          <t>Grentaggsvamp</t>
        </is>
      </c>
      <c r="S80">
        <f>HYPERLINK("https://klasma.github.io/Logging_2062/artfynd/A 44307-2021 artfynd.xlsx", "A 44307-2021")</f>
        <v/>
      </c>
      <c r="T80">
        <f>HYPERLINK("https://klasma.github.io/Logging_2062/kartor/A 44307-2021 karta.png", "A 44307-2021")</f>
        <v/>
      </c>
      <c r="V80">
        <f>HYPERLINK("https://klasma.github.io/Logging_2062/klagomål/A 44307-2021 FSC-klagomål.docx", "A 44307-2021")</f>
        <v/>
      </c>
      <c r="W80">
        <f>HYPERLINK("https://klasma.github.io/Logging_2062/klagomålsmail/A 44307-2021 FSC-klagomål mail.docx", "A 44307-2021")</f>
        <v/>
      </c>
      <c r="X80">
        <f>HYPERLINK("https://klasma.github.io/Logging_2062/tillsyn/A 44307-2021 tillsynsbegäran.docx", "A 44307-2021")</f>
        <v/>
      </c>
      <c r="Y80">
        <f>HYPERLINK("https://klasma.github.io/Logging_2062/tillsynsmail/A 44307-2021 tillsynsbegäran mail.docx", "A 44307-2021")</f>
        <v/>
      </c>
    </row>
    <row r="81" ht="15" customHeight="1">
      <c r="A81" t="inlineStr">
        <is>
          <t>A 62096-2025</t>
        </is>
      </c>
      <c r="B81" s="1" t="n">
        <v>46006</v>
      </c>
      <c r="C81" s="1" t="n">
        <v>46196</v>
      </c>
      <c r="D81" t="inlineStr">
        <is>
          <t>DALARNAS LÄN</t>
        </is>
      </c>
      <c r="E81" t="inlineStr">
        <is>
          <t>MORA</t>
        </is>
      </c>
      <c r="G81" t="n">
        <v>4.1</v>
      </c>
      <c r="H81" t="n">
        <v>0</v>
      </c>
      <c r="I81" t="n">
        <v>0</v>
      </c>
      <c r="J81" t="n">
        <v>0</v>
      </c>
      <c r="K81" t="n">
        <v>1</v>
      </c>
      <c r="L81" t="n">
        <v>0</v>
      </c>
      <c r="M81" t="n">
        <v>0</v>
      </c>
      <c r="N81" t="n">
        <v>0</v>
      </c>
      <c r="O81" t="n">
        <v>1</v>
      </c>
      <c r="P81" t="n">
        <v>1</v>
      </c>
      <c r="Q81" t="n">
        <v>1</v>
      </c>
      <c r="R81" s="2" t="inlineStr">
        <is>
          <t>Garnlav</t>
        </is>
      </c>
      <c r="S81">
        <f>HYPERLINK("https://klasma.github.io/Logging_2062/artfynd/A 62096-2025 artfynd.xlsx", "A 62096-2025")</f>
        <v/>
      </c>
      <c r="T81">
        <f>HYPERLINK("https://klasma.github.io/Logging_2062/kartor/A 62096-2025 karta.png", "A 62096-2025")</f>
        <v/>
      </c>
      <c r="V81">
        <f>HYPERLINK("https://klasma.github.io/Logging_2062/klagomål/A 62096-2025 FSC-klagomål.docx", "A 62096-2025")</f>
        <v/>
      </c>
      <c r="W81">
        <f>HYPERLINK("https://klasma.github.io/Logging_2062/klagomålsmail/A 62096-2025 FSC-klagomål mail.docx", "A 62096-2025")</f>
        <v/>
      </c>
      <c r="X81">
        <f>HYPERLINK("https://klasma.github.io/Logging_2062/tillsyn/A 62096-2025 tillsynsbegäran.docx", "A 62096-2025")</f>
        <v/>
      </c>
      <c r="Y81">
        <f>HYPERLINK("https://klasma.github.io/Logging_2062/tillsynsmail/A 62096-2025 tillsynsbegäran mail.docx", "A 62096-2025")</f>
        <v/>
      </c>
    </row>
    <row r="82" ht="15" customHeight="1">
      <c r="A82" t="inlineStr">
        <is>
          <t>A 30087-2025</t>
        </is>
      </c>
      <c r="B82" s="1" t="n">
        <v>45826</v>
      </c>
      <c r="C82" s="1" t="n">
        <v>46196</v>
      </c>
      <c r="D82" t="inlineStr">
        <is>
          <t>DALARNAS LÄN</t>
        </is>
      </c>
      <c r="E82" t="inlineStr">
        <is>
          <t>MORA</t>
        </is>
      </c>
      <c r="G82" t="n">
        <v>1.6</v>
      </c>
      <c r="H82" t="n">
        <v>1</v>
      </c>
      <c r="I82" t="n">
        <v>0</v>
      </c>
      <c r="J82" t="n">
        <v>0</v>
      </c>
      <c r="K82" t="n">
        <v>0</v>
      </c>
      <c r="L82" t="n">
        <v>0</v>
      </c>
      <c r="M82" t="n">
        <v>0</v>
      </c>
      <c r="N82" t="n">
        <v>0</v>
      </c>
      <c r="O82" t="n">
        <v>0</v>
      </c>
      <c r="P82" t="n">
        <v>0</v>
      </c>
      <c r="Q82" t="n">
        <v>1</v>
      </c>
      <c r="R82" s="2" t="inlineStr">
        <is>
          <t>Slaguggla</t>
        </is>
      </c>
      <c r="S82">
        <f>HYPERLINK("https://klasma.github.io/Logging_2062/artfynd/A 30087-2025 artfynd.xlsx", "A 30087-2025")</f>
        <v/>
      </c>
      <c r="T82">
        <f>HYPERLINK("https://klasma.github.io/Logging_2062/kartor/A 30087-2025 karta.png", "A 30087-2025")</f>
        <v/>
      </c>
      <c r="V82">
        <f>HYPERLINK("https://klasma.github.io/Logging_2062/klagomål/A 30087-2025 FSC-klagomål.docx", "A 30087-2025")</f>
        <v/>
      </c>
      <c r="W82">
        <f>HYPERLINK("https://klasma.github.io/Logging_2062/klagomålsmail/A 30087-2025 FSC-klagomål mail.docx", "A 30087-2025")</f>
        <v/>
      </c>
      <c r="X82">
        <f>HYPERLINK("https://klasma.github.io/Logging_2062/tillsyn/A 30087-2025 tillsynsbegäran.docx", "A 30087-2025")</f>
        <v/>
      </c>
      <c r="Y82">
        <f>HYPERLINK("https://klasma.github.io/Logging_2062/tillsynsmail/A 30087-2025 tillsynsbegäran mail.docx", "A 30087-2025")</f>
        <v/>
      </c>
      <c r="Z82">
        <f>HYPERLINK("https://klasma.github.io/Logging_2062/fåglar/A 30087-2025 prioriterade fågelarter.docx", "A 30087-2025")</f>
        <v/>
      </c>
    </row>
    <row r="83" ht="15" customHeight="1">
      <c r="A83" t="inlineStr">
        <is>
          <t>A 665-2026</t>
        </is>
      </c>
      <c r="B83" s="1" t="n">
        <v>46029</v>
      </c>
      <c r="C83" s="1" t="n">
        <v>46196</v>
      </c>
      <c r="D83" t="inlineStr">
        <is>
          <t>DALARNAS LÄN</t>
        </is>
      </c>
      <c r="E83" t="inlineStr">
        <is>
          <t>MORA</t>
        </is>
      </c>
      <c r="F83" t="inlineStr">
        <is>
          <t>Kommuner</t>
        </is>
      </c>
      <c r="G83" t="n">
        <v>20.9</v>
      </c>
      <c r="H83" t="n">
        <v>1</v>
      </c>
      <c r="I83" t="n">
        <v>0</v>
      </c>
      <c r="J83" t="n">
        <v>0</v>
      </c>
      <c r="K83" t="n">
        <v>0</v>
      </c>
      <c r="L83" t="n">
        <v>0</v>
      </c>
      <c r="M83" t="n">
        <v>0</v>
      </c>
      <c r="N83" t="n">
        <v>0</v>
      </c>
      <c r="O83" t="n">
        <v>0</v>
      </c>
      <c r="P83" t="n">
        <v>0</v>
      </c>
      <c r="Q83" t="n">
        <v>1</v>
      </c>
      <c r="R83" s="2" t="inlineStr">
        <is>
          <t>Fläcknycklar</t>
        </is>
      </c>
      <c r="S83">
        <f>HYPERLINK("https://klasma.github.io/Logging_2062/artfynd/A 665-2026 artfynd.xlsx", "A 665-2026")</f>
        <v/>
      </c>
      <c r="T83">
        <f>HYPERLINK("https://klasma.github.io/Logging_2062/kartor/A 665-2026 karta.png", "A 665-2026")</f>
        <v/>
      </c>
      <c r="V83">
        <f>HYPERLINK("https://klasma.github.io/Logging_2062/klagomål/A 665-2026 FSC-klagomål.docx", "A 665-2026")</f>
        <v/>
      </c>
      <c r="W83">
        <f>HYPERLINK("https://klasma.github.io/Logging_2062/klagomålsmail/A 665-2026 FSC-klagomål mail.docx", "A 665-2026")</f>
        <v/>
      </c>
      <c r="X83">
        <f>HYPERLINK("https://klasma.github.io/Logging_2062/tillsyn/A 665-2026 tillsynsbegäran.docx", "A 665-2026")</f>
        <v/>
      </c>
      <c r="Y83">
        <f>HYPERLINK("https://klasma.github.io/Logging_2062/tillsynsmail/A 665-2026 tillsynsbegäran mail.docx", "A 665-2026")</f>
        <v/>
      </c>
    </row>
    <row r="84" ht="15" customHeight="1">
      <c r="A84" t="inlineStr">
        <is>
          <t>A 18984-2026</t>
        </is>
      </c>
      <c r="B84" s="1" t="n">
        <v>46129</v>
      </c>
      <c r="C84" s="1" t="n">
        <v>46196</v>
      </c>
      <c r="D84" t="inlineStr">
        <is>
          <t>DALARNAS LÄN</t>
        </is>
      </c>
      <c r="E84" t="inlineStr">
        <is>
          <t>MORA</t>
        </is>
      </c>
      <c r="F84" t="inlineStr">
        <is>
          <t>Bergvik skog öst AB</t>
        </is>
      </c>
      <c r="G84" t="n">
        <v>9.5</v>
      </c>
      <c r="H84" t="n">
        <v>1</v>
      </c>
      <c r="I84" t="n">
        <v>0</v>
      </c>
      <c r="J84" t="n">
        <v>0</v>
      </c>
      <c r="K84" t="n">
        <v>0</v>
      </c>
      <c r="L84" t="n">
        <v>0</v>
      </c>
      <c r="M84" t="n">
        <v>0</v>
      </c>
      <c r="N84" t="n">
        <v>0</v>
      </c>
      <c r="O84" t="n">
        <v>0</v>
      </c>
      <c r="P84" t="n">
        <v>0</v>
      </c>
      <c r="Q84" t="n">
        <v>1</v>
      </c>
      <c r="R84" s="2" t="inlineStr">
        <is>
          <t>Tjäder</t>
        </is>
      </c>
      <c r="S84">
        <f>HYPERLINK("https://klasma.github.io/Logging_2062/artfynd/A 18984-2026 artfynd.xlsx", "A 18984-2026")</f>
        <v/>
      </c>
      <c r="T84">
        <f>HYPERLINK("https://klasma.github.io/Logging_2062/kartor/A 18984-2026 karta.png", "A 18984-2026")</f>
        <v/>
      </c>
      <c r="V84">
        <f>HYPERLINK("https://klasma.github.io/Logging_2062/klagomål/A 18984-2026 FSC-klagomål.docx", "A 18984-2026")</f>
        <v/>
      </c>
      <c r="W84">
        <f>HYPERLINK("https://klasma.github.io/Logging_2062/klagomålsmail/A 18984-2026 FSC-klagomål mail.docx", "A 18984-2026")</f>
        <v/>
      </c>
      <c r="X84">
        <f>HYPERLINK("https://klasma.github.io/Logging_2062/tillsyn/A 18984-2026 tillsynsbegäran.docx", "A 18984-2026")</f>
        <v/>
      </c>
      <c r="Y84">
        <f>HYPERLINK("https://klasma.github.io/Logging_2062/tillsynsmail/A 18984-2026 tillsynsbegäran mail.docx", "A 18984-2026")</f>
        <v/>
      </c>
      <c r="Z84">
        <f>HYPERLINK("https://klasma.github.io/Logging_2062/fåglar/A 18984-2026 prioriterade fågelarter.docx", "A 18984-2026")</f>
        <v/>
      </c>
    </row>
    <row r="85" ht="15" customHeight="1">
      <c r="A85" t="inlineStr">
        <is>
          <t>A 56460-2022</t>
        </is>
      </c>
      <c r="B85" s="1" t="n">
        <v>44893</v>
      </c>
      <c r="C85" s="1" t="n">
        <v>46196</v>
      </c>
      <c r="D85" t="inlineStr">
        <is>
          <t>DALARNAS LÄN</t>
        </is>
      </c>
      <c r="E85" t="inlineStr">
        <is>
          <t>MORA</t>
        </is>
      </c>
      <c r="G85" t="n">
        <v>2.2</v>
      </c>
      <c r="H85" t="n">
        <v>0</v>
      </c>
      <c r="I85" t="n">
        <v>0</v>
      </c>
      <c r="J85" t="n">
        <v>1</v>
      </c>
      <c r="K85" t="n">
        <v>0</v>
      </c>
      <c r="L85" t="n">
        <v>0</v>
      </c>
      <c r="M85" t="n">
        <v>0</v>
      </c>
      <c r="N85" t="n">
        <v>0</v>
      </c>
      <c r="O85" t="n">
        <v>1</v>
      </c>
      <c r="P85" t="n">
        <v>0</v>
      </c>
      <c r="Q85" t="n">
        <v>1</v>
      </c>
      <c r="R85" s="2" t="inlineStr">
        <is>
          <t>Slåtterfibbla</t>
        </is>
      </c>
      <c r="S85">
        <f>HYPERLINK("https://klasma.github.io/Logging_2062/artfynd/A 56460-2022 artfynd.xlsx", "A 56460-2022")</f>
        <v/>
      </c>
      <c r="T85">
        <f>HYPERLINK("https://klasma.github.io/Logging_2062/kartor/A 56460-2022 karta.png", "A 56460-2022")</f>
        <v/>
      </c>
      <c r="V85">
        <f>HYPERLINK("https://klasma.github.io/Logging_2062/klagomål/A 56460-2022 FSC-klagomål.docx", "A 56460-2022")</f>
        <v/>
      </c>
      <c r="W85">
        <f>HYPERLINK("https://klasma.github.io/Logging_2062/klagomålsmail/A 56460-2022 FSC-klagomål mail.docx", "A 56460-2022")</f>
        <v/>
      </c>
      <c r="X85">
        <f>HYPERLINK("https://klasma.github.io/Logging_2062/tillsyn/A 56460-2022 tillsynsbegäran.docx", "A 56460-2022")</f>
        <v/>
      </c>
      <c r="Y85">
        <f>HYPERLINK("https://klasma.github.io/Logging_2062/tillsynsmail/A 56460-2022 tillsynsbegäran mail.docx", "A 56460-2022")</f>
        <v/>
      </c>
    </row>
    <row r="86" ht="15" customHeight="1">
      <c r="A86" t="inlineStr">
        <is>
          <t>A 68415-2021</t>
        </is>
      </c>
      <c r="B86" s="1" t="n">
        <v>44529</v>
      </c>
      <c r="C86" s="1" t="n">
        <v>46196</v>
      </c>
      <c r="D86" t="inlineStr">
        <is>
          <t>DALARNAS LÄN</t>
        </is>
      </c>
      <c r="E86" t="inlineStr">
        <is>
          <t>MORA</t>
        </is>
      </c>
      <c r="G86" t="n">
        <v>1.2</v>
      </c>
      <c r="H86" t="n">
        <v>1</v>
      </c>
      <c r="I86" t="n">
        <v>0</v>
      </c>
      <c r="J86" t="n">
        <v>1</v>
      </c>
      <c r="K86" t="n">
        <v>0</v>
      </c>
      <c r="L86" t="n">
        <v>0</v>
      </c>
      <c r="M86" t="n">
        <v>0</v>
      </c>
      <c r="N86" t="n">
        <v>0</v>
      </c>
      <c r="O86" t="n">
        <v>1</v>
      </c>
      <c r="P86" t="n">
        <v>0</v>
      </c>
      <c r="Q86" t="n">
        <v>1</v>
      </c>
      <c r="R86" s="2" t="inlineStr">
        <is>
          <t>Sparvuggla</t>
        </is>
      </c>
      <c r="S86">
        <f>HYPERLINK("https://klasma.github.io/Logging_2062/artfynd/A 68415-2021 artfynd.xlsx", "A 68415-2021")</f>
        <v/>
      </c>
      <c r="T86">
        <f>HYPERLINK("https://klasma.github.io/Logging_2062/kartor/A 68415-2021 karta.png", "A 68415-2021")</f>
        <v/>
      </c>
      <c r="V86">
        <f>HYPERLINK("https://klasma.github.io/Logging_2062/klagomål/A 68415-2021 FSC-klagomål.docx", "A 68415-2021")</f>
        <v/>
      </c>
      <c r="W86">
        <f>HYPERLINK("https://klasma.github.io/Logging_2062/klagomålsmail/A 68415-2021 FSC-klagomål mail.docx", "A 68415-2021")</f>
        <v/>
      </c>
      <c r="X86">
        <f>HYPERLINK("https://klasma.github.io/Logging_2062/tillsyn/A 68415-2021 tillsynsbegäran.docx", "A 68415-2021")</f>
        <v/>
      </c>
      <c r="Y86">
        <f>HYPERLINK("https://klasma.github.io/Logging_2062/tillsynsmail/A 68415-2021 tillsynsbegäran mail.docx", "A 68415-2021")</f>
        <v/>
      </c>
      <c r="Z86">
        <f>HYPERLINK("https://klasma.github.io/Logging_2062/fåglar/A 68415-2021 prioriterade fågelarter.docx", "A 68415-2021")</f>
        <v/>
      </c>
    </row>
    <row r="87" ht="15" customHeight="1">
      <c r="A87" t="inlineStr">
        <is>
          <t>A 57669-2022</t>
        </is>
      </c>
      <c r="B87" s="1" t="n">
        <v>44897</v>
      </c>
      <c r="C87" s="1" t="n">
        <v>46196</v>
      </c>
      <c r="D87" t="inlineStr">
        <is>
          <t>DALARNAS LÄN</t>
        </is>
      </c>
      <c r="E87" t="inlineStr">
        <is>
          <t>MORA</t>
        </is>
      </c>
      <c r="G87" t="n">
        <v>4.1</v>
      </c>
      <c r="H87" t="n">
        <v>0</v>
      </c>
      <c r="I87" t="n">
        <v>0</v>
      </c>
      <c r="J87" t="n">
        <v>0</v>
      </c>
      <c r="K87" t="n">
        <v>1</v>
      </c>
      <c r="L87" t="n">
        <v>0</v>
      </c>
      <c r="M87" t="n">
        <v>0</v>
      </c>
      <c r="N87" t="n">
        <v>0</v>
      </c>
      <c r="O87" t="n">
        <v>1</v>
      </c>
      <c r="P87" t="n">
        <v>1</v>
      </c>
      <c r="Q87" t="n">
        <v>1</v>
      </c>
      <c r="R87" s="2" t="inlineStr">
        <is>
          <t>Igelkott</t>
        </is>
      </c>
      <c r="S87">
        <f>HYPERLINK("https://klasma.github.io/Logging_2062/artfynd/A 57669-2022 artfynd.xlsx", "A 57669-2022")</f>
        <v/>
      </c>
      <c r="T87">
        <f>HYPERLINK("https://klasma.github.io/Logging_2062/kartor/A 57669-2022 karta.png", "A 57669-2022")</f>
        <v/>
      </c>
      <c r="V87">
        <f>HYPERLINK("https://klasma.github.io/Logging_2062/klagomål/A 57669-2022 FSC-klagomål.docx", "A 57669-2022")</f>
        <v/>
      </c>
      <c r="W87">
        <f>HYPERLINK("https://klasma.github.io/Logging_2062/klagomålsmail/A 57669-2022 FSC-klagomål mail.docx", "A 57669-2022")</f>
        <v/>
      </c>
      <c r="X87">
        <f>HYPERLINK("https://klasma.github.io/Logging_2062/tillsyn/A 57669-2022 tillsynsbegäran.docx", "A 57669-2022")</f>
        <v/>
      </c>
      <c r="Y87">
        <f>HYPERLINK("https://klasma.github.io/Logging_2062/tillsynsmail/A 57669-2022 tillsynsbegäran mail.docx", "A 57669-2022")</f>
        <v/>
      </c>
    </row>
    <row r="88" ht="15" customHeight="1">
      <c r="A88" t="inlineStr">
        <is>
          <t>A 23736-2023</t>
        </is>
      </c>
      <c r="B88" s="1" t="n">
        <v>45077</v>
      </c>
      <c r="C88" s="1" t="n">
        <v>46196</v>
      </c>
      <c r="D88" t="inlineStr">
        <is>
          <t>DALARNAS LÄN</t>
        </is>
      </c>
      <c r="E88" t="inlineStr">
        <is>
          <t>MORA</t>
        </is>
      </c>
      <c r="G88" t="n">
        <v>7.2</v>
      </c>
      <c r="H88" t="n">
        <v>0</v>
      </c>
      <c r="I88" t="n">
        <v>0</v>
      </c>
      <c r="J88" t="n">
        <v>1</v>
      </c>
      <c r="K88" t="n">
        <v>0</v>
      </c>
      <c r="L88" t="n">
        <v>0</v>
      </c>
      <c r="M88" t="n">
        <v>0</v>
      </c>
      <c r="N88" t="n">
        <v>0</v>
      </c>
      <c r="O88" t="n">
        <v>1</v>
      </c>
      <c r="P88" t="n">
        <v>0</v>
      </c>
      <c r="Q88" t="n">
        <v>1</v>
      </c>
      <c r="R88" s="2" t="inlineStr">
        <is>
          <t>Reliktbock</t>
        </is>
      </c>
      <c r="S88">
        <f>HYPERLINK("https://klasma.github.io/Logging_2062/artfynd/A 23736-2023 artfynd.xlsx", "A 23736-2023")</f>
        <v/>
      </c>
      <c r="T88">
        <f>HYPERLINK("https://klasma.github.io/Logging_2062/kartor/A 23736-2023 karta.png", "A 23736-2023")</f>
        <v/>
      </c>
      <c r="V88">
        <f>HYPERLINK("https://klasma.github.io/Logging_2062/klagomål/A 23736-2023 FSC-klagomål.docx", "A 23736-2023")</f>
        <v/>
      </c>
      <c r="W88">
        <f>HYPERLINK("https://klasma.github.io/Logging_2062/klagomålsmail/A 23736-2023 FSC-klagomål mail.docx", "A 23736-2023")</f>
        <v/>
      </c>
      <c r="X88">
        <f>HYPERLINK("https://klasma.github.io/Logging_2062/tillsyn/A 23736-2023 tillsynsbegäran.docx", "A 23736-2023")</f>
        <v/>
      </c>
      <c r="Y88">
        <f>HYPERLINK("https://klasma.github.io/Logging_2062/tillsynsmail/A 23736-2023 tillsynsbegäran mail.docx", "A 23736-2023")</f>
        <v/>
      </c>
    </row>
    <row r="89" ht="15" customHeight="1">
      <c r="A89" t="inlineStr">
        <is>
          <t>A 11463-2024</t>
        </is>
      </c>
      <c r="B89" s="1" t="n">
        <v>45372</v>
      </c>
      <c r="C89" s="1" t="n">
        <v>46196</v>
      </c>
      <c r="D89" t="inlineStr">
        <is>
          <t>DALARNAS LÄN</t>
        </is>
      </c>
      <c r="E89" t="inlineStr">
        <is>
          <t>MORA</t>
        </is>
      </c>
      <c r="F89" t="inlineStr">
        <is>
          <t>Bergvik skog väst AB</t>
        </is>
      </c>
      <c r="G89" t="n">
        <v>1.8</v>
      </c>
      <c r="H89" t="n">
        <v>0</v>
      </c>
      <c r="I89" t="n">
        <v>0</v>
      </c>
      <c r="J89" t="n">
        <v>1</v>
      </c>
      <c r="K89" t="n">
        <v>0</v>
      </c>
      <c r="L89" t="n">
        <v>0</v>
      </c>
      <c r="M89" t="n">
        <v>0</v>
      </c>
      <c r="N89" t="n">
        <v>0</v>
      </c>
      <c r="O89" t="n">
        <v>1</v>
      </c>
      <c r="P89" t="n">
        <v>0</v>
      </c>
      <c r="Q89" t="n">
        <v>1</v>
      </c>
      <c r="R89" s="2" t="inlineStr">
        <is>
          <t>Älg</t>
        </is>
      </c>
      <c r="S89">
        <f>HYPERLINK("https://klasma.github.io/Logging_2062/artfynd/A 11463-2024 artfynd.xlsx", "A 11463-2024")</f>
        <v/>
      </c>
      <c r="T89">
        <f>HYPERLINK("https://klasma.github.io/Logging_2062/kartor/A 11463-2024 karta.png", "A 11463-2024")</f>
        <v/>
      </c>
      <c r="V89">
        <f>HYPERLINK("https://klasma.github.io/Logging_2062/klagomål/A 11463-2024 FSC-klagomål.docx", "A 11463-2024")</f>
        <v/>
      </c>
      <c r="W89">
        <f>HYPERLINK("https://klasma.github.io/Logging_2062/klagomålsmail/A 11463-2024 FSC-klagomål mail.docx", "A 11463-2024")</f>
        <v/>
      </c>
      <c r="X89">
        <f>HYPERLINK("https://klasma.github.io/Logging_2062/tillsyn/A 11463-2024 tillsynsbegäran.docx", "A 11463-2024")</f>
        <v/>
      </c>
      <c r="Y89">
        <f>HYPERLINK("https://klasma.github.io/Logging_2062/tillsynsmail/A 11463-2024 tillsynsbegäran mail.docx", "A 11463-2024")</f>
        <v/>
      </c>
    </row>
    <row r="90" ht="15" customHeight="1">
      <c r="A90" t="inlineStr">
        <is>
          <t>A 36038-2024</t>
        </is>
      </c>
      <c r="B90" s="1" t="n">
        <v>45533</v>
      </c>
      <c r="C90" s="1" t="n">
        <v>46196</v>
      </c>
      <c r="D90" t="inlineStr">
        <is>
          <t>DALARNAS LÄN</t>
        </is>
      </c>
      <c r="E90" t="inlineStr">
        <is>
          <t>MORA</t>
        </is>
      </c>
      <c r="G90" t="n">
        <v>5.1</v>
      </c>
      <c r="H90" t="n">
        <v>0</v>
      </c>
      <c r="I90" t="n">
        <v>0</v>
      </c>
      <c r="J90" t="n">
        <v>0</v>
      </c>
      <c r="K90" t="n">
        <v>1</v>
      </c>
      <c r="L90" t="n">
        <v>0</v>
      </c>
      <c r="M90" t="n">
        <v>0</v>
      </c>
      <c r="N90" t="n">
        <v>0</v>
      </c>
      <c r="O90" t="n">
        <v>1</v>
      </c>
      <c r="P90" t="n">
        <v>1</v>
      </c>
      <c r="Q90" t="n">
        <v>1</v>
      </c>
      <c r="R90" s="2" t="inlineStr">
        <is>
          <t>Garnlav</t>
        </is>
      </c>
      <c r="S90">
        <f>HYPERLINK("https://klasma.github.io/Logging_2062/artfynd/A 36038-2024 artfynd.xlsx", "A 36038-2024")</f>
        <v/>
      </c>
      <c r="T90">
        <f>HYPERLINK("https://klasma.github.io/Logging_2062/kartor/A 36038-2024 karta.png", "A 36038-2024")</f>
        <v/>
      </c>
      <c r="V90">
        <f>HYPERLINK("https://klasma.github.io/Logging_2062/klagomål/A 36038-2024 FSC-klagomål.docx", "A 36038-2024")</f>
        <v/>
      </c>
      <c r="W90">
        <f>HYPERLINK("https://klasma.github.io/Logging_2062/klagomålsmail/A 36038-2024 FSC-klagomål mail.docx", "A 36038-2024")</f>
        <v/>
      </c>
      <c r="X90">
        <f>HYPERLINK("https://klasma.github.io/Logging_2062/tillsyn/A 36038-2024 tillsynsbegäran.docx", "A 36038-2024")</f>
        <v/>
      </c>
      <c r="Y90">
        <f>HYPERLINK("https://klasma.github.io/Logging_2062/tillsynsmail/A 36038-2024 tillsynsbegäran mail.docx", "A 36038-2024")</f>
        <v/>
      </c>
    </row>
    <row r="91" ht="15" customHeight="1">
      <c r="A91" t="inlineStr">
        <is>
          <t>A 27975-2023</t>
        </is>
      </c>
      <c r="B91" s="1" t="n">
        <v>45098</v>
      </c>
      <c r="C91" s="1" t="n">
        <v>46196</v>
      </c>
      <c r="D91" t="inlineStr">
        <is>
          <t>DALARNAS LÄN</t>
        </is>
      </c>
      <c r="E91" t="inlineStr">
        <is>
          <t>MORA</t>
        </is>
      </c>
      <c r="G91" t="n">
        <v>1.1</v>
      </c>
      <c r="H91" t="n">
        <v>0</v>
      </c>
      <c r="I91" t="n">
        <v>0</v>
      </c>
      <c r="J91" t="n">
        <v>1</v>
      </c>
      <c r="K91" t="n">
        <v>0</v>
      </c>
      <c r="L91" t="n">
        <v>0</v>
      </c>
      <c r="M91" t="n">
        <v>0</v>
      </c>
      <c r="N91" t="n">
        <v>0</v>
      </c>
      <c r="O91" t="n">
        <v>1</v>
      </c>
      <c r="P91" t="n">
        <v>0</v>
      </c>
      <c r="Q91" t="n">
        <v>1</v>
      </c>
      <c r="R91" s="2" t="inlineStr">
        <is>
          <t>Tallticka</t>
        </is>
      </c>
      <c r="S91">
        <f>HYPERLINK("https://klasma.github.io/Logging_2062/artfynd/A 27975-2023 artfynd.xlsx", "A 27975-2023")</f>
        <v/>
      </c>
      <c r="T91">
        <f>HYPERLINK("https://klasma.github.io/Logging_2062/kartor/A 27975-2023 karta.png", "A 27975-2023")</f>
        <v/>
      </c>
      <c r="V91">
        <f>HYPERLINK("https://klasma.github.io/Logging_2062/klagomål/A 27975-2023 FSC-klagomål.docx", "A 27975-2023")</f>
        <v/>
      </c>
      <c r="W91">
        <f>HYPERLINK("https://klasma.github.io/Logging_2062/klagomålsmail/A 27975-2023 FSC-klagomål mail.docx", "A 27975-2023")</f>
        <v/>
      </c>
      <c r="X91">
        <f>HYPERLINK("https://klasma.github.io/Logging_2062/tillsyn/A 27975-2023 tillsynsbegäran.docx", "A 27975-2023")</f>
        <v/>
      </c>
      <c r="Y91">
        <f>HYPERLINK("https://klasma.github.io/Logging_2062/tillsynsmail/A 27975-2023 tillsynsbegäran mail.docx", "A 27975-2023")</f>
        <v/>
      </c>
    </row>
    <row r="92" ht="15" customHeight="1">
      <c r="A92" t="inlineStr">
        <is>
          <t>A 45344-2024</t>
        </is>
      </c>
      <c r="B92" s="1" t="n">
        <v>45576</v>
      </c>
      <c r="C92" s="1" t="n">
        <v>46196</v>
      </c>
      <c r="D92" t="inlineStr">
        <is>
          <t>DALARNAS LÄN</t>
        </is>
      </c>
      <c r="E92" t="inlineStr">
        <is>
          <t>MORA</t>
        </is>
      </c>
      <c r="G92" t="n">
        <v>0.9</v>
      </c>
      <c r="H92" t="n">
        <v>0</v>
      </c>
      <c r="I92" t="n">
        <v>0</v>
      </c>
      <c r="J92" t="n">
        <v>0</v>
      </c>
      <c r="K92" t="n">
        <v>1</v>
      </c>
      <c r="L92" t="n">
        <v>0</v>
      </c>
      <c r="M92" t="n">
        <v>0</v>
      </c>
      <c r="N92" t="n">
        <v>0</v>
      </c>
      <c r="O92" t="n">
        <v>1</v>
      </c>
      <c r="P92" t="n">
        <v>1</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37471-2024</t>
        </is>
      </c>
      <c r="B93" s="1" t="n">
        <v>45540</v>
      </c>
      <c r="C93" s="1" t="n">
        <v>46196</v>
      </c>
      <c r="D93" t="inlineStr">
        <is>
          <t>DALARNAS LÄN</t>
        </is>
      </c>
      <c r="E93" t="inlineStr">
        <is>
          <t>MORA</t>
        </is>
      </c>
      <c r="G93" t="n">
        <v>3.5</v>
      </c>
      <c r="H93" t="n">
        <v>1</v>
      </c>
      <c r="I93" t="n">
        <v>0</v>
      </c>
      <c r="J93" t="n">
        <v>1</v>
      </c>
      <c r="K93" t="n">
        <v>0</v>
      </c>
      <c r="L93" t="n">
        <v>0</v>
      </c>
      <c r="M93" t="n">
        <v>0</v>
      </c>
      <c r="N93" t="n">
        <v>0</v>
      </c>
      <c r="O93" t="n">
        <v>1</v>
      </c>
      <c r="P93" t="n">
        <v>0</v>
      </c>
      <c r="Q93" t="n">
        <v>1</v>
      </c>
      <c r="R93" s="2" t="inlineStr">
        <is>
          <t>Talltita</t>
        </is>
      </c>
      <c r="S93">
        <f>HYPERLINK("https://klasma.github.io/Logging_2062/artfynd/A 37471-2024 artfynd.xlsx", "A 37471-2024")</f>
        <v/>
      </c>
      <c r="T93">
        <f>HYPERLINK("https://klasma.github.io/Logging_2062/kartor/A 37471-2024 karta.png", "A 37471-2024")</f>
        <v/>
      </c>
      <c r="V93">
        <f>HYPERLINK("https://klasma.github.io/Logging_2062/klagomål/A 37471-2024 FSC-klagomål.docx", "A 37471-2024")</f>
        <v/>
      </c>
      <c r="W93">
        <f>HYPERLINK("https://klasma.github.io/Logging_2062/klagomålsmail/A 37471-2024 FSC-klagomål mail.docx", "A 37471-2024")</f>
        <v/>
      </c>
      <c r="X93">
        <f>HYPERLINK("https://klasma.github.io/Logging_2062/tillsyn/A 37471-2024 tillsynsbegäran.docx", "A 37471-2024")</f>
        <v/>
      </c>
      <c r="Y93">
        <f>HYPERLINK("https://klasma.github.io/Logging_2062/tillsynsmail/A 37471-2024 tillsynsbegäran mail.docx", "A 37471-2024")</f>
        <v/>
      </c>
      <c r="Z93">
        <f>HYPERLINK("https://klasma.github.io/Logging_2062/fåglar/A 37471-2024 prioriterade fågelarter.docx", "A 37471-2024")</f>
        <v/>
      </c>
    </row>
    <row r="94" ht="15" customHeight="1">
      <c r="A94" t="inlineStr">
        <is>
          <t>A 4209-2023</t>
        </is>
      </c>
      <c r="B94" s="1" t="n">
        <v>44953</v>
      </c>
      <c r="C94" s="1" t="n">
        <v>46196</v>
      </c>
      <c r="D94" t="inlineStr">
        <is>
          <t>DALARNAS LÄN</t>
        </is>
      </c>
      <c r="E94" t="inlineStr">
        <is>
          <t>MORA</t>
        </is>
      </c>
      <c r="G94" t="n">
        <v>1</v>
      </c>
      <c r="H94" t="n">
        <v>1</v>
      </c>
      <c r="I94" t="n">
        <v>0</v>
      </c>
      <c r="J94" t="n">
        <v>0</v>
      </c>
      <c r="K94" t="n">
        <v>0</v>
      </c>
      <c r="L94" t="n">
        <v>0</v>
      </c>
      <c r="M94" t="n">
        <v>0</v>
      </c>
      <c r="N94" t="n">
        <v>0</v>
      </c>
      <c r="O94" t="n">
        <v>0</v>
      </c>
      <c r="P94" t="n">
        <v>0</v>
      </c>
      <c r="Q94" t="n">
        <v>1</v>
      </c>
      <c r="R94" s="2" t="inlineStr">
        <is>
          <t>Utter</t>
        </is>
      </c>
      <c r="S94">
        <f>HYPERLINK("https://klasma.github.io/Logging_2062/artfynd/A 4209-2023 artfynd.xlsx", "A 4209-2023")</f>
        <v/>
      </c>
      <c r="T94">
        <f>HYPERLINK("https://klasma.github.io/Logging_2062/kartor/A 4209-2023 karta.png", "A 4209-2023")</f>
        <v/>
      </c>
      <c r="V94">
        <f>HYPERLINK("https://klasma.github.io/Logging_2062/klagomål/A 4209-2023 FSC-klagomål.docx", "A 4209-2023")</f>
        <v/>
      </c>
      <c r="W94">
        <f>HYPERLINK("https://klasma.github.io/Logging_2062/klagomålsmail/A 4209-2023 FSC-klagomål mail.docx", "A 4209-2023")</f>
        <v/>
      </c>
      <c r="X94">
        <f>HYPERLINK("https://klasma.github.io/Logging_2062/tillsyn/A 4209-2023 tillsynsbegäran.docx", "A 4209-2023")</f>
        <v/>
      </c>
      <c r="Y94">
        <f>HYPERLINK("https://klasma.github.io/Logging_2062/tillsynsmail/A 4209-2023 tillsynsbegäran mail.docx", "A 4209-2023")</f>
        <v/>
      </c>
    </row>
    <row r="95" ht="15" customHeight="1">
      <c r="A95" t="inlineStr">
        <is>
          <t>A 54903-2024</t>
        </is>
      </c>
      <c r="B95" s="1" t="n">
        <v>45618</v>
      </c>
      <c r="C95" s="1" t="n">
        <v>46196</v>
      </c>
      <c r="D95" t="inlineStr">
        <is>
          <t>DALARNAS LÄN</t>
        </is>
      </c>
      <c r="E95" t="inlineStr">
        <is>
          <t>MORA</t>
        </is>
      </c>
      <c r="G95" t="n">
        <v>28.2</v>
      </c>
      <c r="H95" t="n">
        <v>0</v>
      </c>
      <c r="I95" t="n">
        <v>0</v>
      </c>
      <c r="J95" t="n">
        <v>0</v>
      </c>
      <c r="K95" t="n">
        <v>1</v>
      </c>
      <c r="L95" t="n">
        <v>0</v>
      </c>
      <c r="M95" t="n">
        <v>0</v>
      </c>
      <c r="N95" t="n">
        <v>0</v>
      </c>
      <c r="O95" t="n">
        <v>1</v>
      </c>
      <c r="P95" t="n">
        <v>1</v>
      </c>
      <c r="Q95" t="n">
        <v>1</v>
      </c>
      <c r="R95" s="2" t="inlineStr">
        <is>
          <t>Igelkott</t>
        </is>
      </c>
      <c r="S95">
        <f>HYPERLINK("https://klasma.github.io/Logging_2062/artfynd/A 54903-2024 artfynd.xlsx", "A 54903-2024")</f>
        <v/>
      </c>
      <c r="T95">
        <f>HYPERLINK("https://klasma.github.io/Logging_2062/kartor/A 54903-2024 karta.png", "A 54903-2024")</f>
        <v/>
      </c>
      <c r="V95">
        <f>HYPERLINK("https://klasma.github.io/Logging_2062/klagomål/A 54903-2024 FSC-klagomål.docx", "A 54903-2024")</f>
        <v/>
      </c>
      <c r="W95">
        <f>HYPERLINK("https://klasma.github.io/Logging_2062/klagomålsmail/A 54903-2024 FSC-klagomål mail.docx", "A 54903-2024")</f>
        <v/>
      </c>
      <c r="X95">
        <f>HYPERLINK("https://klasma.github.io/Logging_2062/tillsyn/A 54903-2024 tillsynsbegäran.docx", "A 54903-2024")</f>
        <v/>
      </c>
      <c r="Y95">
        <f>HYPERLINK("https://klasma.github.io/Logging_2062/tillsynsmail/A 54903-2024 tillsynsbegäran mail.docx", "A 54903-2024")</f>
        <v/>
      </c>
    </row>
    <row r="96" ht="15" customHeight="1">
      <c r="A96" t="inlineStr">
        <is>
          <t>A 73930-2021</t>
        </is>
      </c>
      <c r="B96" s="1" t="n">
        <v>44553</v>
      </c>
      <c r="C96" s="1" t="n">
        <v>46196</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46196</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46196</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46196</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46196</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46196</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46196</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46196</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46196</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46196</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46196</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41022-2021</t>
        </is>
      </c>
      <c r="B107" s="1" t="n">
        <v>44421</v>
      </c>
      <c r="C107" s="1" t="n">
        <v>46196</v>
      </c>
      <c r="D107" t="inlineStr">
        <is>
          <t>DALARNAS LÄN</t>
        </is>
      </c>
      <c r="E107" t="inlineStr">
        <is>
          <t>MORA</t>
        </is>
      </c>
      <c r="G107" t="n">
        <v>11.9</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46196</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46196</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46196</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46196</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46196</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46196</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46196</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46196</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46196</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46196</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v>
      </c>
      <c r="C118" s="1" t="n">
        <v>46196</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46196</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v>
      </c>
      <c r="C120" s="1" t="n">
        <v>46196</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v>
      </c>
      <c r="C121" s="1" t="n">
        <v>46196</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46196</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46196</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46196</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v>
      </c>
      <c r="C125" s="1" t="n">
        <v>46196</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v>
      </c>
      <c r="C126" s="1" t="n">
        <v>46196</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46196</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v>
      </c>
      <c r="C128" s="1" t="n">
        <v>46196</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46196</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v>
      </c>
      <c r="C131" s="1" t="n">
        <v>46196</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v>
      </c>
      <c r="C132" s="1" t="n">
        <v>46196</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46196</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46196</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46196</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v>
      </c>
      <c r="C136" s="1" t="n">
        <v>46196</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58961-2021</t>
        </is>
      </c>
      <c r="B137" s="1" t="n">
        <v>44489</v>
      </c>
      <c r="C137" s="1" t="n">
        <v>46196</v>
      </c>
      <c r="D137" t="inlineStr">
        <is>
          <t>DALARNAS LÄN</t>
        </is>
      </c>
      <c r="E137" t="inlineStr">
        <is>
          <t>MORA</t>
        </is>
      </c>
      <c r="G137" t="n">
        <v>18</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v>
      </c>
      <c r="C138" s="1" t="n">
        <v>46196</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v>
      </c>
      <c r="C139" s="1" t="n">
        <v>46196</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v>
      </c>
      <c r="C140" s="1" t="n">
        <v>46196</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67045-2021</t>
        </is>
      </c>
      <c r="B141" s="1" t="n">
        <v>44522</v>
      </c>
      <c r="C141" s="1" t="n">
        <v>46196</v>
      </c>
      <c r="D141" t="inlineStr">
        <is>
          <t>DALARNAS LÄN</t>
        </is>
      </c>
      <c r="E141" t="inlineStr">
        <is>
          <t>MORA</t>
        </is>
      </c>
      <c r="G141" t="n">
        <v>0.2</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46196</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v>
      </c>
      <c r="C143" s="1" t="n">
        <v>46196</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46196</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46196</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8068-2024</t>
        </is>
      </c>
      <c r="B146" s="1" t="n">
        <v>45351</v>
      </c>
      <c r="C146" s="1" t="n">
        <v>46196</v>
      </c>
      <c r="D146" t="inlineStr">
        <is>
          <t>DALARNAS LÄN</t>
        </is>
      </c>
      <c r="E146" t="inlineStr">
        <is>
          <t>MORA</t>
        </is>
      </c>
      <c r="G146" t="n">
        <v>6.4</v>
      </c>
      <c r="H146" t="n">
        <v>0</v>
      </c>
      <c r="I146" t="n">
        <v>0</v>
      </c>
      <c r="J146" t="n">
        <v>0</v>
      </c>
      <c r="K146" t="n">
        <v>0</v>
      </c>
      <c r="L146" t="n">
        <v>0</v>
      </c>
      <c r="M146" t="n">
        <v>0</v>
      </c>
      <c r="N146" t="n">
        <v>0</v>
      </c>
      <c r="O146" t="n">
        <v>0</v>
      </c>
      <c r="P146" t="n">
        <v>0</v>
      </c>
      <c r="Q146" t="n">
        <v>0</v>
      </c>
      <c r="R146" s="2" t="inlineStr"/>
    </row>
    <row r="147" ht="15" customHeight="1">
      <c r="A147" t="inlineStr">
        <is>
          <t>A 8100-2024</t>
        </is>
      </c>
      <c r="B147" s="1" t="n">
        <v>45351</v>
      </c>
      <c r="C147" s="1" t="n">
        <v>46196</v>
      </c>
      <c r="D147" t="inlineStr">
        <is>
          <t>DALARNAS LÄN</t>
        </is>
      </c>
      <c r="E147" t="inlineStr">
        <is>
          <t>MORA</t>
        </is>
      </c>
      <c r="G147" t="n">
        <v>3.2</v>
      </c>
      <c r="H147" t="n">
        <v>0</v>
      </c>
      <c r="I147" t="n">
        <v>0</v>
      </c>
      <c r="J147" t="n">
        <v>0</v>
      </c>
      <c r="K147" t="n">
        <v>0</v>
      </c>
      <c r="L147" t="n">
        <v>0</v>
      </c>
      <c r="M147" t="n">
        <v>0</v>
      </c>
      <c r="N147" t="n">
        <v>0</v>
      </c>
      <c r="O147" t="n">
        <v>0</v>
      </c>
      <c r="P147" t="n">
        <v>0</v>
      </c>
      <c r="Q147" t="n">
        <v>0</v>
      </c>
      <c r="R147" s="2" t="inlineStr"/>
    </row>
    <row r="148" ht="15" customHeight="1">
      <c r="A148" t="inlineStr">
        <is>
          <t>A 5418-2025</t>
        </is>
      </c>
      <c r="B148" s="1" t="n">
        <v>45692</v>
      </c>
      <c r="C148" s="1" t="n">
        <v>46196</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52525-2022</t>
        </is>
      </c>
      <c r="B149" s="1" t="n">
        <v>44874</v>
      </c>
      <c r="C149" s="1" t="n">
        <v>46196</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17176-2025</t>
        </is>
      </c>
      <c r="B150" s="1" t="n">
        <v>45756</v>
      </c>
      <c r="C150" s="1" t="n">
        <v>46196</v>
      </c>
      <c r="D150" t="inlineStr">
        <is>
          <t>DALARNAS LÄN</t>
        </is>
      </c>
      <c r="E150" t="inlineStr">
        <is>
          <t>MORA</t>
        </is>
      </c>
      <c r="F150" t="inlineStr">
        <is>
          <t>Bergvik skog öst AB</t>
        </is>
      </c>
      <c r="G150" t="n">
        <v>1.7</v>
      </c>
      <c r="H150" t="n">
        <v>0</v>
      </c>
      <c r="I150" t="n">
        <v>0</v>
      </c>
      <c r="J150" t="n">
        <v>0</v>
      </c>
      <c r="K150" t="n">
        <v>0</v>
      </c>
      <c r="L150" t="n">
        <v>0</v>
      </c>
      <c r="M150" t="n">
        <v>0</v>
      </c>
      <c r="N150" t="n">
        <v>0</v>
      </c>
      <c r="O150" t="n">
        <v>0</v>
      </c>
      <c r="P150" t="n">
        <v>0</v>
      </c>
      <c r="Q150" t="n">
        <v>0</v>
      </c>
      <c r="R150" s="2" t="inlineStr"/>
    </row>
    <row r="151" ht="15" customHeight="1">
      <c r="A151" t="inlineStr">
        <is>
          <t>A 48390-2024</t>
        </is>
      </c>
      <c r="B151" s="1" t="n">
        <v>45590</v>
      </c>
      <c r="C151" s="1" t="n">
        <v>46196</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v>
      </c>
      <c r="C152" s="1" t="n">
        <v>46196</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11442-2022</t>
        </is>
      </c>
      <c r="B153" s="1" t="n">
        <v>44630</v>
      </c>
      <c r="C153" s="1" t="n">
        <v>46196</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43874-2024</t>
        </is>
      </c>
      <c r="B154" s="1" t="n">
        <v>45572</v>
      </c>
      <c r="C154" s="1" t="n">
        <v>46196</v>
      </c>
      <c r="D154" t="inlineStr">
        <is>
          <t>DALARNAS LÄN</t>
        </is>
      </c>
      <c r="E154" t="inlineStr">
        <is>
          <t>MORA</t>
        </is>
      </c>
      <c r="G154" t="n">
        <v>3.6</v>
      </c>
      <c r="H154" t="n">
        <v>0</v>
      </c>
      <c r="I154" t="n">
        <v>0</v>
      </c>
      <c r="J154" t="n">
        <v>0</v>
      </c>
      <c r="K154" t="n">
        <v>0</v>
      </c>
      <c r="L154" t="n">
        <v>0</v>
      </c>
      <c r="M154" t="n">
        <v>0</v>
      </c>
      <c r="N154" t="n">
        <v>0</v>
      </c>
      <c r="O154" t="n">
        <v>0</v>
      </c>
      <c r="P154" t="n">
        <v>0</v>
      </c>
      <c r="Q154" t="n">
        <v>0</v>
      </c>
      <c r="R154" s="2" t="inlineStr"/>
    </row>
    <row r="155" ht="15" customHeight="1">
      <c r="A155" t="inlineStr">
        <is>
          <t>A 16573-2024</t>
        </is>
      </c>
      <c r="B155" s="1" t="n">
        <v>45408</v>
      </c>
      <c r="C155" s="1" t="n">
        <v>46196</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21895-2025</t>
        </is>
      </c>
      <c r="B156" s="1" t="n">
        <v>45784</v>
      </c>
      <c r="C156" s="1" t="n">
        <v>46196</v>
      </c>
      <c r="D156" t="inlineStr">
        <is>
          <t>DALARNAS LÄN</t>
        </is>
      </c>
      <c r="E156" t="inlineStr">
        <is>
          <t>MORA</t>
        </is>
      </c>
      <c r="G156" t="n">
        <v>0.4</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v>
      </c>
      <c r="C157" s="1" t="n">
        <v>46196</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51771-2025</t>
        </is>
      </c>
      <c r="B158" s="1" t="n">
        <v>45951</v>
      </c>
      <c r="C158" s="1" t="n">
        <v>46196</v>
      </c>
      <c r="D158" t="inlineStr">
        <is>
          <t>DALARNAS LÄN</t>
        </is>
      </c>
      <c r="E158" t="inlineStr">
        <is>
          <t>MORA</t>
        </is>
      </c>
      <c r="G158" t="n">
        <v>0.7</v>
      </c>
      <c r="H158" t="n">
        <v>0</v>
      </c>
      <c r="I158" t="n">
        <v>0</v>
      </c>
      <c r="J158" t="n">
        <v>0</v>
      </c>
      <c r="K158" t="n">
        <v>0</v>
      </c>
      <c r="L158" t="n">
        <v>0</v>
      </c>
      <c r="M158" t="n">
        <v>0</v>
      </c>
      <c r="N158" t="n">
        <v>0</v>
      </c>
      <c r="O158" t="n">
        <v>0</v>
      </c>
      <c r="P158" t="n">
        <v>0</v>
      </c>
      <c r="Q158" t="n">
        <v>0</v>
      </c>
      <c r="R158" s="2" t="inlineStr"/>
    </row>
    <row r="159" ht="15" customHeight="1">
      <c r="A159" t="inlineStr">
        <is>
          <t>A 52110-2025</t>
        </is>
      </c>
      <c r="B159" s="1" t="n">
        <v>45952</v>
      </c>
      <c r="C159" s="1" t="n">
        <v>46196</v>
      </c>
      <c r="D159" t="inlineStr">
        <is>
          <t>DALARNAS LÄN</t>
        </is>
      </c>
      <c r="E159" t="inlineStr">
        <is>
          <t>MORA</t>
        </is>
      </c>
      <c r="G159" t="n">
        <v>2.2</v>
      </c>
      <c r="H159" t="n">
        <v>0</v>
      </c>
      <c r="I159" t="n">
        <v>0</v>
      </c>
      <c r="J159" t="n">
        <v>0</v>
      </c>
      <c r="K159" t="n">
        <v>0</v>
      </c>
      <c r="L159" t="n">
        <v>0</v>
      </c>
      <c r="M159" t="n">
        <v>0</v>
      </c>
      <c r="N159" t="n">
        <v>0</v>
      </c>
      <c r="O159" t="n">
        <v>0</v>
      </c>
      <c r="P159" t="n">
        <v>0</v>
      </c>
      <c r="Q159" t="n">
        <v>0</v>
      </c>
      <c r="R159" s="2" t="inlineStr"/>
    </row>
    <row r="160" ht="15" customHeight="1">
      <c r="A160" t="inlineStr">
        <is>
          <t>A 56935-2024</t>
        </is>
      </c>
      <c r="B160" s="1" t="n">
        <v>45625</v>
      </c>
      <c r="C160" s="1" t="n">
        <v>46196</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56927-2024</t>
        </is>
      </c>
      <c r="B161" s="1" t="n">
        <v>45625</v>
      </c>
      <c r="C161" s="1" t="n">
        <v>46196</v>
      </c>
      <c r="D161" t="inlineStr">
        <is>
          <t>DALARNAS LÄN</t>
        </is>
      </c>
      <c r="E161" t="inlineStr">
        <is>
          <t>MORA</t>
        </is>
      </c>
      <c r="G161" t="n">
        <v>2.8</v>
      </c>
      <c r="H161" t="n">
        <v>0</v>
      </c>
      <c r="I161" t="n">
        <v>0</v>
      </c>
      <c r="J161" t="n">
        <v>0</v>
      </c>
      <c r="K161" t="n">
        <v>0</v>
      </c>
      <c r="L161" t="n">
        <v>0</v>
      </c>
      <c r="M161" t="n">
        <v>0</v>
      </c>
      <c r="N161" t="n">
        <v>0</v>
      </c>
      <c r="O161" t="n">
        <v>0</v>
      </c>
      <c r="P161" t="n">
        <v>0</v>
      </c>
      <c r="Q161" t="n">
        <v>0</v>
      </c>
      <c r="R161" s="2" t="inlineStr"/>
    </row>
    <row r="162" ht="15" customHeight="1">
      <c r="A162" t="inlineStr">
        <is>
          <t>A 22185-2025</t>
        </is>
      </c>
      <c r="B162" s="1" t="n">
        <v>45785</v>
      </c>
      <c r="C162" s="1" t="n">
        <v>46196</v>
      </c>
      <c r="D162" t="inlineStr">
        <is>
          <t>DALARNAS LÄN</t>
        </is>
      </c>
      <c r="E162" t="inlineStr">
        <is>
          <t>MORA</t>
        </is>
      </c>
      <c r="G162" t="n">
        <v>2.4</v>
      </c>
      <c r="H162" t="n">
        <v>0</v>
      </c>
      <c r="I162" t="n">
        <v>0</v>
      </c>
      <c r="J162" t="n">
        <v>0</v>
      </c>
      <c r="K162" t="n">
        <v>0</v>
      </c>
      <c r="L162" t="n">
        <v>0</v>
      </c>
      <c r="M162" t="n">
        <v>0</v>
      </c>
      <c r="N162" t="n">
        <v>0</v>
      </c>
      <c r="O162" t="n">
        <v>0</v>
      </c>
      <c r="P162" t="n">
        <v>0</v>
      </c>
      <c r="Q162" t="n">
        <v>0</v>
      </c>
      <c r="R162" s="2" t="inlineStr"/>
    </row>
    <row r="163" ht="15" customHeight="1">
      <c r="A163" t="inlineStr">
        <is>
          <t>A 53151-2025</t>
        </is>
      </c>
      <c r="B163" s="1" t="n">
        <v>45958</v>
      </c>
      <c r="C163" s="1" t="n">
        <v>46196</v>
      </c>
      <c r="D163" t="inlineStr">
        <is>
          <t>DALARNAS LÄN</t>
        </is>
      </c>
      <c r="E163" t="inlineStr">
        <is>
          <t>MORA</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53150-2025</t>
        </is>
      </c>
      <c r="B164" s="1" t="n">
        <v>45958</v>
      </c>
      <c r="C164" s="1" t="n">
        <v>46196</v>
      </c>
      <c r="D164" t="inlineStr">
        <is>
          <t>DALARNAS LÄN</t>
        </is>
      </c>
      <c r="E164" t="inlineStr">
        <is>
          <t>MORA</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59404-2024</t>
        </is>
      </c>
      <c r="B165" s="1" t="n">
        <v>45638</v>
      </c>
      <c r="C165" s="1" t="n">
        <v>46196</v>
      </c>
      <c r="D165" t="inlineStr">
        <is>
          <t>DALARNAS LÄN</t>
        </is>
      </c>
      <c r="E165" t="inlineStr">
        <is>
          <t>MORA</t>
        </is>
      </c>
      <c r="G165" t="n">
        <v>2.6</v>
      </c>
      <c r="H165" t="n">
        <v>0</v>
      </c>
      <c r="I165" t="n">
        <v>0</v>
      </c>
      <c r="J165" t="n">
        <v>0</v>
      </c>
      <c r="K165" t="n">
        <v>0</v>
      </c>
      <c r="L165" t="n">
        <v>0</v>
      </c>
      <c r="M165" t="n">
        <v>0</v>
      </c>
      <c r="N165" t="n">
        <v>0</v>
      </c>
      <c r="O165" t="n">
        <v>0</v>
      </c>
      <c r="P165" t="n">
        <v>0</v>
      </c>
      <c r="Q165" t="n">
        <v>0</v>
      </c>
      <c r="R165" s="2" t="inlineStr"/>
    </row>
    <row r="166" ht="15" customHeight="1">
      <c r="A166" t="inlineStr">
        <is>
          <t>A 53982-2025</t>
        </is>
      </c>
      <c r="B166" s="1" t="n">
        <v>45961</v>
      </c>
      <c r="C166" s="1" t="n">
        <v>46196</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53565-2025</t>
        </is>
      </c>
      <c r="B167" s="1" t="n">
        <v>45960</v>
      </c>
      <c r="C167" s="1" t="n">
        <v>46196</v>
      </c>
      <c r="D167" t="inlineStr">
        <is>
          <t>DALARNAS LÄN</t>
        </is>
      </c>
      <c r="E167" t="inlineStr">
        <is>
          <t>MORA</t>
        </is>
      </c>
      <c r="G167" t="n">
        <v>5.1</v>
      </c>
      <c r="H167" t="n">
        <v>0</v>
      </c>
      <c r="I167" t="n">
        <v>0</v>
      </c>
      <c r="J167" t="n">
        <v>0</v>
      </c>
      <c r="K167" t="n">
        <v>0</v>
      </c>
      <c r="L167" t="n">
        <v>0</v>
      </c>
      <c r="M167" t="n">
        <v>0</v>
      </c>
      <c r="N167" t="n">
        <v>0</v>
      </c>
      <c r="O167" t="n">
        <v>0</v>
      </c>
      <c r="P167" t="n">
        <v>0</v>
      </c>
      <c r="Q167" t="n">
        <v>0</v>
      </c>
      <c r="R167" s="2" t="inlineStr"/>
    </row>
    <row r="168" ht="15" customHeight="1">
      <c r="A168" t="inlineStr">
        <is>
          <t>A 53632-2025</t>
        </is>
      </c>
      <c r="B168" s="1" t="n">
        <v>45960</v>
      </c>
      <c r="C168" s="1" t="n">
        <v>46196</v>
      </c>
      <c r="D168" t="inlineStr">
        <is>
          <t>DALARNAS LÄN</t>
        </is>
      </c>
      <c r="E168" t="inlineStr">
        <is>
          <t>MORA</t>
        </is>
      </c>
      <c r="G168" t="n">
        <v>3.1</v>
      </c>
      <c r="H168" t="n">
        <v>0</v>
      </c>
      <c r="I168" t="n">
        <v>0</v>
      </c>
      <c r="J168" t="n">
        <v>0</v>
      </c>
      <c r="K168" t="n">
        <v>0</v>
      </c>
      <c r="L168" t="n">
        <v>0</v>
      </c>
      <c r="M168" t="n">
        <v>0</v>
      </c>
      <c r="N168" t="n">
        <v>0</v>
      </c>
      <c r="O168" t="n">
        <v>0</v>
      </c>
      <c r="P168" t="n">
        <v>0</v>
      </c>
      <c r="Q168" t="n">
        <v>0</v>
      </c>
      <c r="R168" s="2" t="inlineStr"/>
    </row>
    <row r="169" ht="15" customHeight="1">
      <c r="A169" t="inlineStr">
        <is>
          <t>A 11193-2025</t>
        </is>
      </c>
      <c r="B169" s="1" t="n">
        <v>45725</v>
      </c>
      <c r="C169" s="1" t="n">
        <v>46196</v>
      </c>
      <c r="D169" t="inlineStr">
        <is>
          <t>DALARNAS LÄN</t>
        </is>
      </c>
      <c r="E169" t="inlineStr">
        <is>
          <t>MORA</t>
        </is>
      </c>
      <c r="G169" t="n">
        <v>4.1</v>
      </c>
      <c r="H169" t="n">
        <v>0</v>
      </c>
      <c r="I169" t="n">
        <v>0</v>
      </c>
      <c r="J169" t="n">
        <v>0</v>
      </c>
      <c r="K169" t="n">
        <v>0</v>
      </c>
      <c r="L169" t="n">
        <v>0</v>
      </c>
      <c r="M169" t="n">
        <v>0</v>
      </c>
      <c r="N169" t="n">
        <v>0</v>
      </c>
      <c r="O169" t="n">
        <v>0</v>
      </c>
      <c r="P169" t="n">
        <v>0</v>
      </c>
      <c r="Q169" t="n">
        <v>0</v>
      </c>
      <c r="R169" s="2" t="inlineStr"/>
    </row>
    <row r="170" ht="15" customHeight="1">
      <c r="A170" t="inlineStr">
        <is>
          <t>A 53560-2025</t>
        </is>
      </c>
      <c r="B170" s="1" t="n">
        <v>45960</v>
      </c>
      <c r="C170" s="1" t="n">
        <v>46196</v>
      </c>
      <c r="D170" t="inlineStr">
        <is>
          <t>DALARNAS LÄN</t>
        </is>
      </c>
      <c r="E170" t="inlineStr">
        <is>
          <t>MORA</t>
        </is>
      </c>
      <c r="G170" t="n">
        <v>5.2</v>
      </c>
      <c r="H170" t="n">
        <v>0</v>
      </c>
      <c r="I170" t="n">
        <v>0</v>
      </c>
      <c r="J170" t="n">
        <v>0</v>
      </c>
      <c r="K170" t="n">
        <v>0</v>
      </c>
      <c r="L170" t="n">
        <v>0</v>
      </c>
      <c r="M170" t="n">
        <v>0</v>
      </c>
      <c r="N170" t="n">
        <v>0</v>
      </c>
      <c r="O170" t="n">
        <v>0</v>
      </c>
      <c r="P170" t="n">
        <v>0</v>
      </c>
      <c r="Q170" t="n">
        <v>0</v>
      </c>
      <c r="R170" s="2" t="inlineStr"/>
    </row>
    <row r="171" ht="15" customHeight="1">
      <c r="A171" t="inlineStr">
        <is>
          <t>A 53562-2025</t>
        </is>
      </c>
      <c r="B171" s="1" t="n">
        <v>45960</v>
      </c>
      <c r="C171" s="1" t="n">
        <v>46196</v>
      </c>
      <c r="D171" t="inlineStr">
        <is>
          <t>DALARNAS LÄN</t>
        </is>
      </c>
      <c r="E171" t="inlineStr">
        <is>
          <t>MORA</t>
        </is>
      </c>
      <c r="G171" t="n">
        <v>5.1</v>
      </c>
      <c r="H171" t="n">
        <v>0</v>
      </c>
      <c r="I171" t="n">
        <v>0</v>
      </c>
      <c r="J171" t="n">
        <v>0</v>
      </c>
      <c r="K171" t="n">
        <v>0</v>
      </c>
      <c r="L171" t="n">
        <v>0</v>
      </c>
      <c r="M171" t="n">
        <v>0</v>
      </c>
      <c r="N171" t="n">
        <v>0</v>
      </c>
      <c r="O171" t="n">
        <v>0</v>
      </c>
      <c r="P171" t="n">
        <v>0</v>
      </c>
      <c r="Q171" t="n">
        <v>0</v>
      </c>
      <c r="R171" s="2" t="inlineStr"/>
    </row>
    <row r="172" ht="15" customHeight="1">
      <c r="A172" t="inlineStr">
        <is>
          <t>A 53591-2025</t>
        </is>
      </c>
      <c r="B172" s="1" t="n">
        <v>45960</v>
      </c>
      <c r="C172" s="1" t="n">
        <v>46196</v>
      </c>
      <c r="D172" t="inlineStr">
        <is>
          <t>DALARNAS LÄN</t>
        </is>
      </c>
      <c r="E172" t="inlineStr">
        <is>
          <t>MORA</t>
        </is>
      </c>
      <c r="G172" t="n">
        <v>3.8</v>
      </c>
      <c r="H172" t="n">
        <v>0</v>
      </c>
      <c r="I172" t="n">
        <v>0</v>
      </c>
      <c r="J172" t="n">
        <v>0</v>
      </c>
      <c r="K172" t="n">
        <v>0</v>
      </c>
      <c r="L172" t="n">
        <v>0</v>
      </c>
      <c r="M172" t="n">
        <v>0</v>
      </c>
      <c r="N172" t="n">
        <v>0</v>
      </c>
      <c r="O172" t="n">
        <v>0</v>
      </c>
      <c r="P172" t="n">
        <v>0</v>
      </c>
      <c r="Q172" t="n">
        <v>0</v>
      </c>
      <c r="R172" s="2" t="inlineStr"/>
    </row>
    <row r="173" ht="15" customHeight="1">
      <c r="A173" t="inlineStr">
        <is>
          <t>A 56900-2024</t>
        </is>
      </c>
      <c r="B173" s="1" t="n">
        <v>45625</v>
      </c>
      <c r="C173" s="1" t="n">
        <v>46196</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53556-2025</t>
        </is>
      </c>
      <c r="B174" s="1" t="n">
        <v>45960</v>
      </c>
      <c r="C174" s="1" t="n">
        <v>46196</v>
      </c>
      <c r="D174" t="inlineStr">
        <is>
          <t>DALARNAS LÄN</t>
        </is>
      </c>
      <c r="E174" t="inlineStr">
        <is>
          <t>MORA</t>
        </is>
      </c>
      <c r="G174" t="n">
        <v>3.3</v>
      </c>
      <c r="H174" t="n">
        <v>0</v>
      </c>
      <c r="I174" t="n">
        <v>0</v>
      </c>
      <c r="J174" t="n">
        <v>0</v>
      </c>
      <c r="K174" t="n">
        <v>0</v>
      </c>
      <c r="L174" t="n">
        <v>0</v>
      </c>
      <c r="M174" t="n">
        <v>0</v>
      </c>
      <c r="N174" t="n">
        <v>0</v>
      </c>
      <c r="O174" t="n">
        <v>0</v>
      </c>
      <c r="P174" t="n">
        <v>0</v>
      </c>
      <c r="Q174" t="n">
        <v>0</v>
      </c>
      <c r="R174" s="2" t="inlineStr"/>
    </row>
    <row r="175" ht="15" customHeight="1">
      <c r="A175" t="inlineStr">
        <is>
          <t>A 23354-2022</t>
        </is>
      </c>
      <c r="B175" s="1" t="n">
        <v>44720</v>
      </c>
      <c r="C175" s="1" t="n">
        <v>46196</v>
      </c>
      <c r="D175" t="inlineStr">
        <is>
          <t>DALARNAS LÄN</t>
        </is>
      </c>
      <c r="E175" t="inlineStr">
        <is>
          <t>MORA</t>
        </is>
      </c>
      <c r="G175" t="n">
        <v>5.2</v>
      </c>
      <c r="H175" t="n">
        <v>0</v>
      </c>
      <c r="I175" t="n">
        <v>0</v>
      </c>
      <c r="J175" t="n">
        <v>0</v>
      </c>
      <c r="K175" t="n">
        <v>0</v>
      </c>
      <c r="L175" t="n">
        <v>0</v>
      </c>
      <c r="M175" t="n">
        <v>0</v>
      </c>
      <c r="N175" t="n">
        <v>0</v>
      </c>
      <c r="O175" t="n">
        <v>0</v>
      </c>
      <c r="P175" t="n">
        <v>0</v>
      </c>
      <c r="Q175" t="n">
        <v>0</v>
      </c>
      <c r="R175" s="2" t="inlineStr"/>
    </row>
    <row r="176" ht="15" customHeight="1">
      <c r="A176" t="inlineStr">
        <is>
          <t>A 54192-2023</t>
        </is>
      </c>
      <c r="B176" s="1" t="n">
        <v>45232</v>
      </c>
      <c r="C176" s="1" t="n">
        <v>46196</v>
      </c>
      <c r="D176" t="inlineStr">
        <is>
          <t>DALARNAS LÄN</t>
        </is>
      </c>
      <c r="E176" t="inlineStr">
        <is>
          <t>MORA</t>
        </is>
      </c>
      <c r="G176" t="n">
        <v>3.4</v>
      </c>
      <c r="H176" t="n">
        <v>0</v>
      </c>
      <c r="I176" t="n">
        <v>0</v>
      </c>
      <c r="J176" t="n">
        <v>0</v>
      </c>
      <c r="K176" t="n">
        <v>0</v>
      </c>
      <c r="L176" t="n">
        <v>0</v>
      </c>
      <c r="M176" t="n">
        <v>0</v>
      </c>
      <c r="N176" t="n">
        <v>0</v>
      </c>
      <c r="O176" t="n">
        <v>0</v>
      </c>
      <c r="P176" t="n">
        <v>0</v>
      </c>
      <c r="Q176" t="n">
        <v>0</v>
      </c>
      <c r="R176" s="2" t="inlineStr"/>
    </row>
    <row r="177" ht="15" customHeight="1">
      <c r="A177" t="inlineStr">
        <is>
          <t>A 23229-2025</t>
        </is>
      </c>
      <c r="B177" s="1" t="n">
        <v>45791</v>
      </c>
      <c r="C177" s="1" t="n">
        <v>46196</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62854-2023</t>
        </is>
      </c>
      <c r="B178" s="1" t="n">
        <v>45272</v>
      </c>
      <c r="C178" s="1" t="n">
        <v>46196</v>
      </c>
      <c r="D178" t="inlineStr">
        <is>
          <t>DALARNAS LÄN</t>
        </is>
      </c>
      <c r="E178" t="inlineStr">
        <is>
          <t>MORA</t>
        </is>
      </c>
      <c r="G178" t="n">
        <v>11.3</v>
      </c>
      <c r="H178" t="n">
        <v>0</v>
      </c>
      <c r="I178" t="n">
        <v>0</v>
      </c>
      <c r="J178" t="n">
        <v>0</v>
      </c>
      <c r="K178" t="n">
        <v>0</v>
      </c>
      <c r="L178" t="n">
        <v>0</v>
      </c>
      <c r="M178" t="n">
        <v>0</v>
      </c>
      <c r="N178" t="n">
        <v>0</v>
      </c>
      <c r="O178" t="n">
        <v>0</v>
      </c>
      <c r="P178" t="n">
        <v>0</v>
      </c>
      <c r="Q178" t="n">
        <v>0</v>
      </c>
      <c r="R178" s="2" t="inlineStr"/>
    </row>
    <row r="179" ht="15" customHeight="1">
      <c r="A179" t="inlineStr">
        <is>
          <t>A 54367-2025</t>
        </is>
      </c>
      <c r="B179" s="1" t="n">
        <v>45965</v>
      </c>
      <c r="C179" s="1" t="n">
        <v>46196</v>
      </c>
      <c r="D179" t="inlineStr">
        <is>
          <t>DALARNAS LÄN</t>
        </is>
      </c>
      <c r="E179" t="inlineStr">
        <is>
          <t>MORA</t>
        </is>
      </c>
      <c r="G179" t="n">
        <v>7</v>
      </c>
      <c r="H179" t="n">
        <v>0</v>
      </c>
      <c r="I179" t="n">
        <v>0</v>
      </c>
      <c r="J179" t="n">
        <v>0</v>
      </c>
      <c r="K179" t="n">
        <v>0</v>
      </c>
      <c r="L179" t="n">
        <v>0</v>
      </c>
      <c r="M179" t="n">
        <v>0</v>
      </c>
      <c r="N179" t="n">
        <v>0</v>
      </c>
      <c r="O179" t="n">
        <v>0</v>
      </c>
      <c r="P179" t="n">
        <v>0</v>
      </c>
      <c r="Q179" t="n">
        <v>0</v>
      </c>
      <c r="R179" s="2" t="inlineStr"/>
    </row>
    <row r="180" ht="15" customHeight="1">
      <c r="A180" t="inlineStr">
        <is>
          <t>A 24249-2025</t>
        </is>
      </c>
      <c r="B180" s="1" t="n">
        <v>45797</v>
      </c>
      <c r="C180" s="1" t="n">
        <v>46196</v>
      </c>
      <c r="D180" t="inlineStr">
        <is>
          <t>DALARNAS LÄN</t>
        </is>
      </c>
      <c r="E180" t="inlineStr">
        <is>
          <t>MORA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54504-2025</t>
        </is>
      </c>
      <c r="B181" s="1" t="n">
        <v>45965</v>
      </c>
      <c r="C181" s="1" t="n">
        <v>46196</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54862-2025</t>
        </is>
      </c>
      <c r="B182" s="1" t="n">
        <v>45966</v>
      </c>
      <c r="C182" s="1" t="n">
        <v>46196</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9461-2025</t>
        </is>
      </c>
      <c r="B183" s="1" t="n">
        <v>45715</v>
      </c>
      <c r="C183" s="1" t="n">
        <v>46196</v>
      </c>
      <c r="D183" t="inlineStr">
        <is>
          <t>DALARNAS LÄN</t>
        </is>
      </c>
      <c r="E183" t="inlineStr">
        <is>
          <t>MORA</t>
        </is>
      </c>
      <c r="G183" t="n">
        <v>1.8</v>
      </c>
      <c r="H183" t="n">
        <v>0</v>
      </c>
      <c r="I183" t="n">
        <v>0</v>
      </c>
      <c r="J183" t="n">
        <v>0</v>
      </c>
      <c r="K183" t="n">
        <v>0</v>
      </c>
      <c r="L183" t="n">
        <v>0</v>
      </c>
      <c r="M183" t="n">
        <v>0</v>
      </c>
      <c r="N183" t="n">
        <v>0</v>
      </c>
      <c r="O183" t="n">
        <v>0</v>
      </c>
      <c r="P183" t="n">
        <v>0</v>
      </c>
      <c r="Q183" t="n">
        <v>0</v>
      </c>
      <c r="R183" s="2" t="inlineStr"/>
    </row>
    <row r="184" ht="15" customHeight="1">
      <c r="A184" t="inlineStr">
        <is>
          <t>A 34928-2022</t>
        </is>
      </c>
      <c r="B184" s="1" t="n">
        <v>44796</v>
      </c>
      <c r="C184" s="1" t="n">
        <v>46196</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19286-2023</t>
        </is>
      </c>
      <c r="B185" s="1" t="n">
        <v>45049</v>
      </c>
      <c r="C185" s="1" t="n">
        <v>46196</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39824-2025</t>
        </is>
      </c>
      <c r="B186" s="1" t="n">
        <v>45891</v>
      </c>
      <c r="C186" s="1" t="n">
        <v>46196</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39787-2025</t>
        </is>
      </c>
      <c r="B187" s="1" t="n">
        <v>45891</v>
      </c>
      <c r="C187" s="1" t="n">
        <v>46196</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54909-2025</t>
        </is>
      </c>
      <c r="B188" s="1" t="n">
        <v>45967</v>
      </c>
      <c r="C188" s="1" t="n">
        <v>46196</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54905-2025</t>
        </is>
      </c>
      <c r="B189" s="1" t="n">
        <v>45967</v>
      </c>
      <c r="C189" s="1" t="n">
        <v>46196</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25737-2025</t>
        </is>
      </c>
      <c r="B190" s="1" t="n">
        <v>45800</v>
      </c>
      <c r="C190" s="1" t="n">
        <v>46196</v>
      </c>
      <c r="D190" t="inlineStr">
        <is>
          <t>DALARNAS LÄN</t>
        </is>
      </c>
      <c r="E190" t="inlineStr">
        <is>
          <t>MORA</t>
        </is>
      </c>
      <c r="G190" t="n">
        <v>9.6</v>
      </c>
      <c r="H190" t="n">
        <v>0</v>
      </c>
      <c r="I190" t="n">
        <v>0</v>
      </c>
      <c r="J190" t="n">
        <v>0</v>
      </c>
      <c r="K190" t="n">
        <v>0</v>
      </c>
      <c r="L190" t="n">
        <v>0</v>
      </c>
      <c r="M190" t="n">
        <v>0</v>
      </c>
      <c r="N190" t="n">
        <v>0</v>
      </c>
      <c r="O190" t="n">
        <v>0</v>
      </c>
      <c r="P190" t="n">
        <v>0</v>
      </c>
      <c r="Q190" t="n">
        <v>0</v>
      </c>
      <c r="R190" s="2" t="inlineStr"/>
    </row>
    <row r="191" ht="15" customHeight="1">
      <c r="A191" t="inlineStr">
        <is>
          <t>A 40142-2025</t>
        </is>
      </c>
      <c r="B191" s="1" t="n">
        <v>45894</v>
      </c>
      <c r="C191" s="1" t="n">
        <v>46196</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31929-2024</t>
        </is>
      </c>
      <c r="B192" s="1" t="n">
        <v>45510</v>
      </c>
      <c r="C192" s="1" t="n">
        <v>46196</v>
      </c>
      <c r="D192" t="inlineStr">
        <is>
          <t>DALARNAS LÄN</t>
        </is>
      </c>
      <c r="E192" t="inlineStr">
        <is>
          <t>MORA</t>
        </is>
      </c>
      <c r="G192" t="n">
        <v>10.8</v>
      </c>
      <c r="H192" t="n">
        <v>0</v>
      </c>
      <c r="I192" t="n">
        <v>0</v>
      </c>
      <c r="J192" t="n">
        <v>0</v>
      </c>
      <c r="K192" t="n">
        <v>0</v>
      </c>
      <c r="L192" t="n">
        <v>0</v>
      </c>
      <c r="M192" t="n">
        <v>0</v>
      </c>
      <c r="N192" t="n">
        <v>0</v>
      </c>
      <c r="O192" t="n">
        <v>0</v>
      </c>
      <c r="P192" t="n">
        <v>0</v>
      </c>
      <c r="Q192" t="n">
        <v>0</v>
      </c>
      <c r="R192" s="2" t="inlineStr"/>
    </row>
    <row r="193" ht="15" customHeight="1">
      <c r="A193" t="inlineStr">
        <is>
          <t>A 55124-2025</t>
        </is>
      </c>
      <c r="B193" s="1" t="n">
        <v>45968</v>
      </c>
      <c r="C193" s="1" t="n">
        <v>46196</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24640-2025</t>
        </is>
      </c>
      <c r="B194" s="1" t="n">
        <v>45798</v>
      </c>
      <c r="C194" s="1" t="n">
        <v>46196</v>
      </c>
      <c r="D194" t="inlineStr">
        <is>
          <t>DALARNAS LÄN</t>
        </is>
      </c>
      <c r="E194" t="inlineStr">
        <is>
          <t>MORA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24642-2025</t>
        </is>
      </c>
      <c r="B195" s="1" t="n">
        <v>45798</v>
      </c>
      <c r="C195" s="1" t="n">
        <v>46196</v>
      </c>
      <c r="D195" t="inlineStr">
        <is>
          <t>DALARNAS LÄN</t>
        </is>
      </c>
      <c r="E195" t="inlineStr">
        <is>
          <t>MORA</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40147-2025</t>
        </is>
      </c>
      <c r="B196" s="1" t="n">
        <v>45894</v>
      </c>
      <c r="C196" s="1" t="n">
        <v>46196</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40660-2025</t>
        </is>
      </c>
      <c r="B197" s="1" t="n">
        <v>45896</v>
      </c>
      <c r="C197" s="1" t="n">
        <v>46196</v>
      </c>
      <c r="D197" t="inlineStr">
        <is>
          <t>DALARNAS LÄN</t>
        </is>
      </c>
      <c r="E197" t="inlineStr">
        <is>
          <t>MORA</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40805-2025</t>
        </is>
      </c>
      <c r="B198" s="1" t="n">
        <v>45897</v>
      </c>
      <c r="C198" s="1" t="n">
        <v>46196</v>
      </c>
      <c r="D198" t="inlineStr">
        <is>
          <t>DALARNAS LÄN</t>
        </is>
      </c>
      <c r="E198" t="inlineStr">
        <is>
          <t>MORA</t>
        </is>
      </c>
      <c r="G198" t="n">
        <v>1.6</v>
      </c>
      <c r="H198" t="n">
        <v>0</v>
      </c>
      <c r="I198" t="n">
        <v>0</v>
      </c>
      <c r="J198" t="n">
        <v>0</v>
      </c>
      <c r="K198" t="n">
        <v>0</v>
      </c>
      <c r="L198" t="n">
        <v>0</v>
      </c>
      <c r="M198" t="n">
        <v>0</v>
      </c>
      <c r="N198" t="n">
        <v>0</v>
      </c>
      <c r="O198" t="n">
        <v>0</v>
      </c>
      <c r="P198" t="n">
        <v>0</v>
      </c>
      <c r="Q198" t="n">
        <v>0</v>
      </c>
      <c r="R198" s="2" t="inlineStr"/>
    </row>
    <row r="199" ht="15" customHeight="1">
      <c r="A199" t="inlineStr">
        <is>
          <t>A 61405-2023</t>
        </is>
      </c>
      <c r="B199" s="1" t="n">
        <v>45264</v>
      </c>
      <c r="C199" s="1" t="n">
        <v>46196</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25345-2025</t>
        </is>
      </c>
      <c r="B200" s="1" t="n">
        <v>45799</v>
      </c>
      <c r="C200" s="1" t="n">
        <v>46196</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14832-2025</t>
        </is>
      </c>
      <c r="B201" s="1" t="n">
        <v>45743</v>
      </c>
      <c r="C201" s="1" t="n">
        <v>46196</v>
      </c>
      <c r="D201" t="inlineStr">
        <is>
          <t>DALARNAS LÄN</t>
        </is>
      </c>
      <c r="E201" t="inlineStr">
        <is>
          <t>MORA</t>
        </is>
      </c>
      <c r="G201" t="n">
        <v>9.1</v>
      </c>
      <c r="H201" t="n">
        <v>0</v>
      </c>
      <c r="I201" t="n">
        <v>0</v>
      </c>
      <c r="J201" t="n">
        <v>0</v>
      </c>
      <c r="K201" t="n">
        <v>0</v>
      </c>
      <c r="L201" t="n">
        <v>0</v>
      </c>
      <c r="M201" t="n">
        <v>0</v>
      </c>
      <c r="N201" t="n">
        <v>0</v>
      </c>
      <c r="O201" t="n">
        <v>0</v>
      </c>
      <c r="P201" t="n">
        <v>0</v>
      </c>
      <c r="Q201" t="n">
        <v>0</v>
      </c>
      <c r="R201" s="2" t="inlineStr"/>
    </row>
    <row r="202" ht="15" customHeight="1">
      <c r="A202" t="inlineStr">
        <is>
          <t>A 5309-2023</t>
        </is>
      </c>
      <c r="B202" s="1" t="n">
        <v>44956</v>
      </c>
      <c r="C202" s="1" t="n">
        <v>46196</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41175-2025</t>
        </is>
      </c>
      <c r="B203" s="1" t="n">
        <v>45898</v>
      </c>
      <c r="C203" s="1" t="n">
        <v>46196</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39674-2023</t>
        </is>
      </c>
      <c r="B204" s="1" t="n">
        <v>45167</v>
      </c>
      <c r="C204" s="1" t="n">
        <v>46196</v>
      </c>
      <c r="D204" t="inlineStr">
        <is>
          <t>DALARNAS LÄN</t>
        </is>
      </c>
      <c r="E204" t="inlineStr">
        <is>
          <t>MORA</t>
        </is>
      </c>
      <c r="G204" t="n">
        <v>2.4</v>
      </c>
      <c r="H204" t="n">
        <v>0</v>
      </c>
      <c r="I204" t="n">
        <v>0</v>
      </c>
      <c r="J204" t="n">
        <v>0</v>
      </c>
      <c r="K204" t="n">
        <v>0</v>
      </c>
      <c r="L204" t="n">
        <v>0</v>
      </c>
      <c r="M204" t="n">
        <v>0</v>
      </c>
      <c r="N204" t="n">
        <v>0</v>
      </c>
      <c r="O204" t="n">
        <v>0</v>
      </c>
      <c r="P204" t="n">
        <v>0</v>
      </c>
      <c r="Q204" t="n">
        <v>0</v>
      </c>
      <c r="R204" s="2" t="inlineStr"/>
    </row>
    <row r="205" ht="15" customHeight="1">
      <c r="A205" t="inlineStr">
        <is>
          <t>A 41614-2025</t>
        </is>
      </c>
      <c r="B205" s="1" t="n">
        <v>45901</v>
      </c>
      <c r="C205" s="1" t="n">
        <v>46196</v>
      </c>
      <c r="D205" t="inlineStr">
        <is>
          <t>DALARNAS LÄN</t>
        </is>
      </c>
      <c r="E205" t="inlineStr">
        <is>
          <t>MORA</t>
        </is>
      </c>
      <c r="F205" t="inlineStr">
        <is>
          <t>Bergvik skog väst AB</t>
        </is>
      </c>
      <c r="G205" t="n">
        <v>13.8</v>
      </c>
      <c r="H205" t="n">
        <v>0</v>
      </c>
      <c r="I205" t="n">
        <v>0</v>
      </c>
      <c r="J205" t="n">
        <v>0</v>
      </c>
      <c r="K205" t="n">
        <v>0</v>
      </c>
      <c r="L205" t="n">
        <v>0</v>
      </c>
      <c r="M205" t="n">
        <v>0</v>
      </c>
      <c r="N205" t="n">
        <v>0</v>
      </c>
      <c r="O205" t="n">
        <v>0</v>
      </c>
      <c r="P205" t="n">
        <v>0</v>
      </c>
      <c r="Q205" t="n">
        <v>0</v>
      </c>
      <c r="R205" s="2" t="inlineStr"/>
    </row>
    <row r="206" ht="15" customHeight="1">
      <c r="A206" t="inlineStr">
        <is>
          <t>A 2879-2022</t>
        </is>
      </c>
      <c r="B206" s="1" t="n">
        <v>44581</v>
      </c>
      <c r="C206" s="1" t="n">
        <v>46196</v>
      </c>
      <c r="D206" t="inlineStr">
        <is>
          <t>DALARNAS LÄN</t>
        </is>
      </c>
      <c r="E206" t="inlineStr">
        <is>
          <t>MORA</t>
        </is>
      </c>
      <c r="G206" t="n">
        <v>2.3</v>
      </c>
      <c r="H206" t="n">
        <v>0</v>
      </c>
      <c r="I206" t="n">
        <v>0</v>
      </c>
      <c r="J206" t="n">
        <v>0</v>
      </c>
      <c r="K206" t="n">
        <v>0</v>
      </c>
      <c r="L206" t="n">
        <v>0</v>
      </c>
      <c r="M206" t="n">
        <v>0</v>
      </c>
      <c r="N206" t="n">
        <v>0</v>
      </c>
      <c r="O206" t="n">
        <v>0</v>
      </c>
      <c r="P206" t="n">
        <v>0</v>
      </c>
      <c r="Q206" t="n">
        <v>0</v>
      </c>
      <c r="R206" s="2" t="inlineStr"/>
    </row>
    <row r="207" ht="15" customHeight="1">
      <c r="A207" t="inlineStr">
        <is>
          <t>A 41783-2025</t>
        </is>
      </c>
      <c r="B207" s="1" t="n">
        <v>45902</v>
      </c>
      <c r="C207" s="1" t="n">
        <v>46196</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54398-2021</t>
        </is>
      </c>
      <c r="B208" s="1" t="n">
        <v>44473</v>
      </c>
      <c r="C208" s="1" t="n">
        <v>46196</v>
      </c>
      <c r="D208" t="inlineStr">
        <is>
          <t>DALARNAS LÄN</t>
        </is>
      </c>
      <c r="E208" t="inlineStr">
        <is>
          <t>MORA</t>
        </is>
      </c>
      <c r="G208" t="n">
        <v>0.9</v>
      </c>
      <c r="H208" t="n">
        <v>0</v>
      </c>
      <c r="I208" t="n">
        <v>0</v>
      </c>
      <c r="J208" t="n">
        <v>0</v>
      </c>
      <c r="K208" t="n">
        <v>0</v>
      </c>
      <c r="L208" t="n">
        <v>0</v>
      </c>
      <c r="M208" t="n">
        <v>0</v>
      </c>
      <c r="N208" t="n">
        <v>0</v>
      </c>
      <c r="O208" t="n">
        <v>0</v>
      </c>
      <c r="P208" t="n">
        <v>0</v>
      </c>
      <c r="Q208" t="n">
        <v>0</v>
      </c>
      <c r="R208" s="2" t="inlineStr"/>
    </row>
    <row r="209" ht="15" customHeight="1">
      <c r="A209" t="inlineStr">
        <is>
          <t>A 56702-2025</t>
        </is>
      </c>
      <c r="B209" s="1" t="n">
        <v>45977</v>
      </c>
      <c r="C209" s="1" t="n">
        <v>46196</v>
      </c>
      <c r="D209" t="inlineStr">
        <is>
          <t>DALARNAS LÄN</t>
        </is>
      </c>
      <c r="E209" t="inlineStr">
        <is>
          <t>MORA</t>
        </is>
      </c>
      <c r="G209" t="n">
        <v>2.2</v>
      </c>
      <c r="H209" t="n">
        <v>0</v>
      </c>
      <c r="I209" t="n">
        <v>0</v>
      </c>
      <c r="J209" t="n">
        <v>0</v>
      </c>
      <c r="K209" t="n">
        <v>0</v>
      </c>
      <c r="L209" t="n">
        <v>0</v>
      </c>
      <c r="M209" t="n">
        <v>0</v>
      </c>
      <c r="N209" t="n">
        <v>0</v>
      </c>
      <c r="O209" t="n">
        <v>0</v>
      </c>
      <c r="P209" t="n">
        <v>0</v>
      </c>
      <c r="Q209" t="n">
        <v>0</v>
      </c>
      <c r="R209" s="2" t="inlineStr"/>
    </row>
    <row r="210" ht="15" customHeight="1">
      <c r="A210" t="inlineStr">
        <is>
          <t>A 41855-2025</t>
        </is>
      </c>
      <c r="B210" s="1" t="n">
        <v>45902</v>
      </c>
      <c r="C210" s="1" t="n">
        <v>46196</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57097-2025</t>
        </is>
      </c>
      <c r="B211" s="1" t="n">
        <v>45979</v>
      </c>
      <c r="C211" s="1" t="n">
        <v>46196</v>
      </c>
      <c r="D211" t="inlineStr">
        <is>
          <t>DALARNAS LÄN</t>
        </is>
      </c>
      <c r="E211" t="inlineStr">
        <is>
          <t>MORA</t>
        </is>
      </c>
      <c r="G211" t="n">
        <v>7.5</v>
      </c>
      <c r="H211" t="n">
        <v>0</v>
      </c>
      <c r="I211" t="n">
        <v>0</v>
      </c>
      <c r="J211" t="n">
        <v>0</v>
      </c>
      <c r="K211" t="n">
        <v>0</v>
      </c>
      <c r="L211" t="n">
        <v>0</v>
      </c>
      <c r="M211" t="n">
        <v>0</v>
      </c>
      <c r="N211" t="n">
        <v>0</v>
      </c>
      <c r="O211" t="n">
        <v>0</v>
      </c>
      <c r="P211" t="n">
        <v>0</v>
      </c>
      <c r="Q211" t="n">
        <v>0</v>
      </c>
      <c r="R211" s="2" t="inlineStr"/>
    </row>
    <row r="212" ht="15" customHeight="1">
      <c r="A212" t="inlineStr">
        <is>
          <t>A 57101-2025</t>
        </is>
      </c>
      <c r="B212" s="1" t="n">
        <v>45979</v>
      </c>
      <c r="C212" s="1" t="n">
        <v>46196</v>
      </c>
      <c r="D212" t="inlineStr">
        <is>
          <t>DALARNAS LÄN</t>
        </is>
      </c>
      <c r="E212" t="inlineStr">
        <is>
          <t>MORA</t>
        </is>
      </c>
      <c r="G212" t="n">
        <v>7.5</v>
      </c>
      <c r="H212" t="n">
        <v>0</v>
      </c>
      <c r="I212" t="n">
        <v>0</v>
      </c>
      <c r="J212" t="n">
        <v>0</v>
      </c>
      <c r="K212" t="n">
        <v>0</v>
      </c>
      <c r="L212" t="n">
        <v>0</v>
      </c>
      <c r="M212" t="n">
        <v>0</v>
      </c>
      <c r="N212" t="n">
        <v>0</v>
      </c>
      <c r="O212" t="n">
        <v>0</v>
      </c>
      <c r="P212" t="n">
        <v>0</v>
      </c>
      <c r="Q212" t="n">
        <v>0</v>
      </c>
      <c r="R212" s="2" t="inlineStr"/>
    </row>
    <row r="213" ht="15" customHeight="1">
      <c r="A213" t="inlineStr">
        <is>
          <t>A 42112-2025</t>
        </is>
      </c>
      <c r="B213" s="1" t="n">
        <v>45904</v>
      </c>
      <c r="C213" s="1" t="n">
        <v>46196</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57659-2025</t>
        </is>
      </c>
      <c r="B214" s="1" t="n">
        <v>45981</v>
      </c>
      <c r="C214" s="1" t="n">
        <v>46196</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57647-2025</t>
        </is>
      </c>
      <c r="B215" s="1" t="n">
        <v>45981</v>
      </c>
      <c r="C215" s="1" t="n">
        <v>46196</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43432-2024</t>
        </is>
      </c>
      <c r="B216" s="1" t="n">
        <v>45568</v>
      </c>
      <c r="C216" s="1" t="n">
        <v>46196</v>
      </c>
      <c r="D216" t="inlineStr">
        <is>
          <t>DALARNAS LÄN</t>
        </is>
      </c>
      <c r="E216" t="inlineStr">
        <is>
          <t>MORA</t>
        </is>
      </c>
      <c r="G216" t="n">
        <v>0.4</v>
      </c>
      <c r="H216" t="n">
        <v>0</v>
      </c>
      <c r="I216" t="n">
        <v>0</v>
      </c>
      <c r="J216" t="n">
        <v>0</v>
      </c>
      <c r="K216" t="n">
        <v>0</v>
      </c>
      <c r="L216" t="n">
        <v>0</v>
      </c>
      <c r="M216" t="n">
        <v>0</v>
      </c>
      <c r="N216" t="n">
        <v>0</v>
      </c>
      <c r="O216" t="n">
        <v>0</v>
      </c>
      <c r="P216" t="n">
        <v>0</v>
      </c>
      <c r="Q216" t="n">
        <v>0</v>
      </c>
      <c r="R216" s="2" t="inlineStr"/>
    </row>
    <row r="217" ht="15" customHeight="1">
      <c r="A217" t="inlineStr">
        <is>
          <t>A 57453-2025</t>
        </is>
      </c>
      <c r="B217" s="1" t="n">
        <v>45980</v>
      </c>
      <c r="C217" s="1" t="n">
        <v>46196</v>
      </c>
      <c r="D217" t="inlineStr">
        <is>
          <t>DALARNAS LÄN</t>
        </is>
      </c>
      <c r="E217" t="inlineStr">
        <is>
          <t>MORA</t>
        </is>
      </c>
      <c r="F217" t="inlineStr">
        <is>
          <t>Allmännings- och besparingsskogar</t>
        </is>
      </c>
      <c r="G217" t="n">
        <v>2.9</v>
      </c>
      <c r="H217" t="n">
        <v>0</v>
      </c>
      <c r="I217" t="n">
        <v>0</v>
      </c>
      <c r="J217" t="n">
        <v>0</v>
      </c>
      <c r="K217" t="n">
        <v>0</v>
      </c>
      <c r="L217" t="n">
        <v>0</v>
      </c>
      <c r="M217" t="n">
        <v>0</v>
      </c>
      <c r="N217" t="n">
        <v>0</v>
      </c>
      <c r="O217" t="n">
        <v>0</v>
      </c>
      <c r="P217" t="n">
        <v>0</v>
      </c>
      <c r="Q217" t="n">
        <v>0</v>
      </c>
      <c r="R217" s="2" t="inlineStr"/>
    </row>
    <row r="218" ht="15" customHeight="1">
      <c r="A218" t="inlineStr">
        <is>
          <t>A 43474-2025</t>
        </is>
      </c>
      <c r="B218" s="1" t="n">
        <v>45911</v>
      </c>
      <c r="C218" s="1" t="n">
        <v>46196</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58001-2025</t>
        </is>
      </c>
      <c r="B219" s="1" t="n">
        <v>45982</v>
      </c>
      <c r="C219" s="1" t="n">
        <v>46196</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57976-2025</t>
        </is>
      </c>
      <c r="B220" s="1" t="n">
        <v>45982</v>
      </c>
      <c r="C220" s="1" t="n">
        <v>46196</v>
      </c>
      <c r="D220" t="inlineStr">
        <is>
          <t>DALARNAS LÄN</t>
        </is>
      </c>
      <c r="E220" t="inlineStr">
        <is>
          <t>MORA</t>
        </is>
      </c>
      <c r="G220" t="n">
        <v>7.4</v>
      </c>
      <c r="H220" t="n">
        <v>0</v>
      </c>
      <c r="I220" t="n">
        <v>0</v>
      </c>
      <c r="J220" t="n">
        <v>0</v>
      </c>
      <c r="K220" t="n">
        <v>0</v>
      </c>
      <c r="L220" t="n">
        <v>0</v>
      </c>
      <c r="M220" t="n">
        <v>0</v>
      </c>
      <c r="N220" t="n">
        <v>0</v>
      </c>
      <c r="O220" t="n">
        <v>0</v>
      </c>
      <c r="P220" t="n">
        <v>0</v>
      </c>
      <c r="Q220" t="n">
        <v>0</v>
      </c>
      <c r="R220" s="2" t="inlineStr"/>
    </row>
    <row r="221" ht="15" customHeight="1">
      <c r="A221" t="inlineStr">
        <is>
          <t>A 26532-2025</t>
        </is>
      </c>
      <c r="B221" s="1" t="n">
        <v>45807</v>
      </c>
      <c r="C221" s="1" t="n">
        <v>46196</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55671-2024</t>
        </is>
      </c>
      <c r="B222" s="1" t="n">
        <v>45622</v>
      </c>
      <c r="C222" s="1" t="n">
        <v>46196</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30819-2024</t>
        </is>
      </c>
      <c r="B223" s="1" t="n">
        <v>45497</v>
      </c>
      <c r="C223" s="1" t="n">
        <v>46196</v>
      </c>
      <c r="D223" t="inlineStr">
        <is>
          <t>DALARNAS LÄN</t>
        </is>
      </c>
      <c r="E223" t="inlineStr">
        <is>
          <t>MORA</t>
        </is>
      </c>
      <c r="G223" t="n">
        <v>2.2</v>
      </c>
      <c r="H223" t="n">
        <v>0</v>
      </c>
      <c r="I223" t="n">
        <v>0</v>
      </c>
      <c r="J223" t="n">
        <v>0</v>
      </c>
      <c r="K223" t="n">
        <v>0</v>
      </c>
      <c r="L223" t="n">
        <v>0</v>
      </c>
      <c r="M223" t="n">
        <v>0</v>
      </c>
      <c r="N223" t="n">
        <v>0</v>
      </c>
      <c r="O223" t="n">
        <v>0</v>
      </c>
      <c r="P223" t="n">
        <v>0</v>
      </c>
      <c r="Q223" t="n">
        <v>0</v>
      </c>
      <c r="R223" s="2" t="inlineStr"/>
    </row>
    <row r="224" ht="15" customHeight="1">
      <c r="A224" t="inlineStr">
        <is>
          <t>A 43811-2025</t>
        </is>
      </c>
      <c r="B224" s="1" t="n">
        <v>45912</v>
      </c>
      <c r="C224" s="1" t="n">
        <v>46196</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26731-2025</t>
        </is>
      </c>
      <c r="B225" s="1" t="n">
        <v>45810</v>
      </c>
      <c r="C225" s="1" t="n">
        <v>46196</v>
      </c>
      <c r="D225" t="inlineStr">
        <is>
          <t>DALARNAS LÄN</t>
        </is>
      </c>
      <c r="E225" t="inlineStr">
        <is>
          <t>MORA</t>
        </is>
      </c>
      <c r="G225" t="n">
        <v>0.6</v>
      </c>
      <c r="H225" t="n">
        <v>0</v>
      </c>
      <c r="I225" t="n">
        <v>0</v>
      </c>
      <c r="J225" t="n">
        <v>0</v>
      </c>
      <c r="K225" t="n">
        <v>0</v>
      </c>
      <c r="L225" t="n">
        <v>0</v>
      </c>
      <c r="M225" t="n">
        <v>0</v>
      </c>
      <c r="N225" t="n">
        <v>0</v>
      </c>
      <c r="O225" t="n">
        <v>0</v>
      </c>
      <c r="P225" t="n">
        <v>0</v>
      </c>
      <c r="Q225" t="n">
        <v>0</v>
      </c>
      <c r="R225" s="2" t="inlineStr"/>
    </row>
    <row r="226" ht="15" customHeight="1">
      <c r="A226" t="inlineStr">
        <is>
          <t>A 20885-2024</t>
        </is>
      </c>
      <c r="B226" s="1" t="n">
        <v>45439</v>
      </c>
      <c r="C226" s="1" t="n">
        <v>46196</v>
      </c>
      <c r="D226" t="inlineStr">
        <is>
          <t>DALARNAS LÄN</t>
        </is>
      </c>
      <c r="E226" t="inlineStr">
        <is>
          <t>MORA</t>
        </is>
      </c>
      <c r="G226" t="n">
        <v>5</v>
      </c>
      <c r="H226" t="n">
        <v>0</v>
      </c>
      <c r="I226" t="n">
        <v>0</v>
      </c>
      <c r="J226" t="n">
        <v>0</v>
      </c>
      <c r="K226" t="n">
        <v>0</v>
      </c>
      <c r="L226" t="n">
        <v>0</v>
      </c>
      <c r="M226" t="n">
        <v>0</v>
      </c>
      <c r="N226" t="n">
        <v>0</v>
      </c>
      <c r="O226" t="n">
        <v>0</v>
      </c>
      <c r="P226" t="n">
        <v>0</v>
      </c>
      <c r="Q226" t="n">
        <v>0</v>
      </c>
      <c r="R226" s="2" t="inlineStr"/>
    </row>
    <row r="227" ht="15" customHeight="1">
      <c r="A227" t="inlineStr">
        <is>
          <t>A 56425-2024</t>
        </is>
      </c>
      <c r="B227" s="1" t="n">
        <v>45625</v>
      </c>
      <c r="C227" s="1" t="n">
        <v>46196</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26711-2025</t>
        </is>
      </c>
      <c r="B228" s="1" t="n">
        <v>45810</v>
      </c>
      <c r="C228" s="1" t="n">
        <v>46196</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69483-2021</t>
        </is>
      </c>
      <c r="B229" s="1" t="n">
        <v>44531</v>
      </c>
      <c r="C229" s="1" t="n">
        <v>46196</v>
      </c>
      <c r="D229" t="inlineStr">
        <is>
          <t>DALARNAS LÄN</t>
        </is>
      </c>
      <c r="E229" t="inlineStr">
        <is>
          <t>MORA</t>
        </is>
      </c>
      <c r="G229" t="n">
        <v>1.5</v>
      </c>
      <c r="H229" t="n">
        <v>0</v>
      </c>
      <c r="I229" t="n">
        <v>0</v>
      </c>
      <c r="J229" t="n">
        <v>0</v>
      </c>
      <c r="K229" t="n">
        <v>0</v>
      </c>
      <c r="L229" t="n">
        <v>0</v>
      </c>
      <c r="M229" t="n">
        <v>0</v>
      </c>
      <c r="N229" t="n">
        <v>0</v>
      </c>
      <c r="O229" t="n">
        <v>0</v>
      </c>
      <c r="P229" t="n">
        <v>0</v>
      </c>
      <c r="Q229" t="n">
        <v>0</v>
      </c>
      <c r="R229" s="2" t="inlineStr"/>
    </row>
    <row r="230" ht="15" customHeight="1">
      <c r="A230" t="inlineStr">
        <is>
          <t>A 7565-2025</t>
        </is>
      </c>
      <c r="B230" s="1" t="n">
        <v>45705</v>
      </c>
      <c r="C230" s="1" t="n">
        <v>46196</v>
      </c>
      <c r="D230" t="inlineStr">
        <is>
          <t>DALARNAS LÄN</t>
        </is>
      </c>
      <c r="E230" t="inlineStr">
        <is>
          <t>MORA</t>
        </is>
      </c>
      <c r="G230" t="n">
        <v>3</v>
      </c>
      <c r="H230" t="n">
        <v>0</v>
      </c>
      <c r="I230" t="n">
        <v>0</v>
      </c>
      <c r="J230" t="n">
        <v>0</v>
      </c>
      <c r="K230" t="n">
        <v>0</v>
      </c>
      <c r="L230" t="n">
        <v>0</v>
      </c>
      <c r="M230" t="n">
        <v>0</v>
      </c>
      <c r="N230" t="n">
        <v>0</v>
      </c>
      <c r="O230" t="n">
        <v>0</v>
      </c>
      <c r="P230" t="n">
        <v>0</v>
      </c>
      <c r="Q230" t="n">
        <v>0</v>
      </c>
      <c r="R230" s="2" t="inlineStr"/>
    </row>
    <row r="231" ht="15" customHeight="1">
      <c r="A231" t="inlineStr">
        <is>
          <t>A 44384-2025</t>
        </is>
      </c>
      <c r="B231" s="1" t="n">
        <v>45916</v>
      </c>
      <c r="C231" s="1" t="n">
        <v>46196</v>
      </c>
      <c r="D231" t="inlineStr">
        <is>
          <t>DALARNAS LÄN</t>
        </is>
      </c>
      <c r="E231" t="inlineStr">
        <is>
          <t>MORA</t>
        </is>
      </c>
      <c r="F231" t="inlineStr">
        <is>
          <t>Kyrkan</t>
        </is>
      </c>
      <c r="G231" t="n">
        <v>5.1</v>
      </c>
      <c r="H231" t="n">
        <v>0</v>
      </c>
      <c r="I231" t="n">
        <v>0</v>
      </c>
      <c r="J231" t="n">
        <v>0</v>
      </c>
      <c r="K231" t="n">
        <v>0</v>
      </c>
      <c r="L231" t="n">
        <v>0</v>
      </c>
      <c r="M231" t="n">
        <v>0</v>
      </c>
      <c r="N231" t="n">
        <v>0</v>
      </c>
      <c r="O231" t="n">
        <v>0</v>
      </c>
      <c r="P231" t="n">
        <v>0</v>
      </c>
      <c r="Q231" t="n">
        <v>0</v>
      </c>
      <c r="R231" s="2" t="inlineStr"/>
    </row>
    <row r="232" ht="15" customHeight="1">
      <c r="A232" t="inlineStr">
        <is>
          <t>A 26647-2025</t>
        </is>
      </c>
      <c r="B232" s="1" t="n">
        <v>45810</v>
      </c>
      <c r="C232" s="1" t="n">
        <v>46196</v>
      </c>
      <c r="D232" t="inlineStr">
        <is>
          <t>DALARNAS LÄN</t>
        </is>
      </c>
      <c r="E232" t="inlineStr">
        <is>
          <t>MORA</t>
        </is>
      </c>
      <c r="G232" t="n">
        <v>7.9</v>
      </c>
      <c r="H232" t="n">
        <v>0</v>
      </c>
      <c r="I232" t="n">
        <v>0</v>
      </c>
      <c r="J232" t="n">
        <v>0</v>
      </c>
      <c r="K232" t="n">
        <v>0</v>
      </c>
      <c r="L232" t="n">
        <v>0</v>
      </c>
      <c r="M232" t="n">
        <v>0</v>
      </c>
      <c r="N232" t="n">
        <v>0</v>
      </c>
      <c r="O232" t="n">
        <v>0</v>
      </c>
      <c r="P232" t="n">
        <v>0</v>
      </c>
      <c r="Q232" t="n">
        <v>0</v>
      </c>
      <c r="R232" s="2" t="inlineStr"/>
    </row>
    <row r="233" ht="15" customHeight="1">
      <c r="A233" t="inlineStr">
        <is>
          <t>A 44621-2025</t>
        </is>
      </c>
      <c r="B233" s="1" t="n">
        <v>45917</v>
      </c>
      <c r="C233" s="1" t="n">
        <v>46196</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55135-2025</t>
        </is>
      </c>
      <c r="B234" s="1" t="n">
        <v>45968</v>
      </c>
      <c r="C234" s="1" t="n">
        <v>46196</v>
      </c>
      <c r="D234" t="inlineStr">
        <is>
          <t>DALARNAS LÄN</t>
        </is>
      </c>
      <c r="E234" t="inlineStr">
        <is>
          <t>MORA</t>
        </is>
      </c>
      <c r="G234" t="n">
        <v>5.1</v>
      </c>
      <c r="H234" t="n">
        <v>0</v>
      </c>
      <c r="I234" t="n">
        <v>0</v>
      </c>
      <c r="J234" t="n">
        <v>0</v>
      </c>
      <c r="K234" t="n">
        <v>0</v>
      </c>
      <c r="L234" t="n">
        <v>0</v>
      </c>
      <c r="M234" t="n">
        <v>0</v>
      </c>
      <c r="N234" t="n">
        <v>0</v>
      </c>
      <c r="O234" t="n">
        <v>0</v>
      </c>
      <c r="P234" t="n">
        <v>0</v>
      </c>
      <c r="Q234" t="n">
        <v>0</v>
      </c>
      <c r="R234" s="2" t="inlineStr"/>
    </row>
    <row r="235" ht="15" customHeight="1">
      <c r="A235" t="inlineStr">
        <is>
          <t>A 17494-2025</t>
        </is>
      </c>
      <c r="B235" s="1" t="n">
        <v>45757</v>
      </c>
      <c r="C235" s="1" t="n">
        <v>46196</v>
      </c>
      <c r="D235" t="inlineStr">
        <is>
          <t>DALARNAS LÄN</t>
        </is>
      </c>
      <c r="E235" t="inlineStr">
        <is>
          <t>MORA</t>
        </is>
      </c>
      <c r="G235" t="n">
        <v>5.3</v>
      </c>
      <c r="H235" t="n">
        <v>0</v>
      </c>
      <c r="I235" t="n">
        <v>0</v>
      </c>
      <c r="J235" t="n">
        <v>0</v>
      </c>
      <c r="K235" t="n">
        <v>0</v>
      </c>
      <c r="L235" t="n">
        <v>0</v>
      </c>
      <c r="M235" t="n">
        <v>0</v>
      </c>
      <c r="N235" t="n">
        <v>0</v>
      </c>
      <c r="O235" t="n">
        <v>0</v>
      </c>
      <c r="P235" t="n">
        <v>0</v>
      </c>
      <c r="Q235" t="n">
        <v>0</v>
      </c>
      <c r="R235" s="2" t="inlineStr"/>
    </row>
    <row r="236" ht="15" customHeight="1">
      <c r="A236" t="inlineStr">
        <is>
          <t>A 45191-2025</t>
        </is>
      </c>
      <c r="B236" s="1" t="n">
        <v>45919</v>
      </c>
      <c r="C236" s="1" t="n">
        <v>46196</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59094-2025</t>
        </is>
      </c>
      <c r="B237" s="1" t="n">
        <v>45988</v>
      </c>
      <c r="C237" s="1" t="n">
        <v>46196</v>
      </c>
      <c r="D237" t="inlineStr">
        <is>
          <t>DALARNAS LÄN</t>
        </is>
      </c>
      <c r="E237" t="inlineStr">
        <is>
          <t>MORA</t>
        </is>
      </c>
      <c r="G237" t="n">
        <v>10</v>
      </c>
      <c r="H237" t="n">
        <v>0</v>
      </c>
      <c r="I237" t="n">
        <v>0</v>
      </c>
      <c r="J237" t="n">
        <v>0</v>
      </c>
      <c r="K237" t="n">
        <v>0</v>
      </c>
      <c r="L237" t="n">
        <v>0</v>
      </c>
      <c r="M237" t="n">
        <v>0</v>
      </c>
      <c r="N237" t="n">
        <v>0</v>
      </c>
      <c r="O237" t="n">
        <v>0</v>
      </c>
      <c r="P237" t="n">
        <v>0</v>
      </c>
      <c r="Q237" t="n">
        <v>0</v>
      </c>
      <c r="R237" s="2" t="inlineStr"/>
    </row>
    <row r="238" ht="15" customHeight="1">
      <c r="A238" t="inlineStr">
        <is>
          <t>A 30998-2022</t>
        </is>
      </c>
      <c r="B238" s="1" t="n">
        <v>44768</v>
      </c>
      <c r="C238" s="1" t="n">
        <v>46196</v>
      </c>
      <c r="D238" t="inlineStr">
        <is>
          <t>DALARNAS LÄN</t>
        </is>
      </c>
      <c r="E238" t="inlineStr">
        <is>
          <t>MORA</t>
        </is>
      </c>
      <c r="G238" t="n">
        <v>1.7</v>
      </c>
      <c r="H238" t="n">
        <v>0</v>
      </c>
      <c r="I238" t="n">
        <v>0</v>
      </c>
      <c r="J238" t="n">
        <v>0</v>
      </c>
      <c r="K238" t="n">
        <v>0</v>
      </c>
      <c r="L238" t="n">
        <v>0</v>
      </c>
      <c r="M238" t="n">
        <v>0</v>
      </c>
      <c r="N238" t="n">
        <v>0</v>
      </c>
      <c r="O238" t="n">
        <v>0</v>
      </c>
      <c r="P238" t="n">
        <v>0</v>
      </c>
      <c r="Q238" t="n">
        <v>0</v>
      </c>
      <c r="R238" s="2" t="inlineStr"/>
    </row>
    <row r="239" ht="15" customHeight="1">
      <c r="A239" t="inlineStr">
        <is>
          <t>A 47143-2022</t>
        </is>
      </c>
      <c r="B239" s="1" t="n">
        <v>44852</v>
      </c>
      <c r="C239" s="1" t="n">
        <v>46196</v>
      </c>
      <c r="D239" t="inlineStr">
        <is>
          <t>DALARNAS LÄN</t>
        </is>
      </c>
      <c r="E239" t="inlineStr">
        <is>
          <t>MORA</t>
        </is>
      </c>
      <c r="G239" t="n">
        <v>3.9</v>
      </c>
      <c r="H239" t="n">
        <v>0</v>
      </c>
      <c r="I239" t="n">
        <v>0</v>
      </c>
      <c r="J239" t="n">
        <v>0</v>
      </c>
      <c r="K239" t="n">
        <v>0</v>
      </c>
      <c r="L239" t="n">
        <v>0</v>
      </c>
      <c r="M239" t="n">
        <v>0</v>
      </c>
      <c r="N239" t="n">
        <v>0</v>
      </c>
      <c r="O239" t="n">
        <v>0</v>
      </c>
      <c r="P239" t="n">
        <v>0</v>
      </c>
      <c r="Q239" t="n">
        <v>0</v>
      </c>
      <c r="R239" s="2" t="inlineStr"/>
    </row>
    <row r="240" ht="15" customHeight="1">
      <c r="A240" t="inlineStr">
        <is>
          <t>A 59805-2025</t>
        </is>
      </c>
      <c r="B240" s="1" t="n">
        <v>45992</v>
      </c>
      <c r="C240" s="1" t="n">
        <v>46196</v>
      </c>
      <c r="D240" t="inlineStr">
        <is>
          <t>DALARNAS LÄN</t>
        </is>
      </c>
      <c r="E240" t="inlineStr">
        <is>
          <t>MORA</t>
        </is>
      </c>
      <c r="G240" t="n">
        <v>4.2</v>
      </c>
      <c r="H240" t="n">
        <v>0</v>
      </c>
      <c r="I240" t="n">
        <v>0</v>
      </c>
      <c r="J240" t="n">
        <v>0</v>
      </c>
      <c r="K240" t="n">
        <v>0</v>
      </c>
      <c r="L240" t="n">
        <v>0</v>
      </c>
      <c r="M240" t="n">
        <v>0</v>
      </c>
      <c r="N240" t="n">
        <v>0</v>
      </c>
      <c r="O240" t="n">
        <v>0</v>
      </c>
      <c r="P240" t="n">
        <v>0</v>
      </c>
      <c r="Q240" t="n">
        <v>0</v>
      </c>
      <c r="R240" s="2" t="inlineStr"/>
    </row>
    <row r="241" ht="15" customHeight="1">
      <c r="A241" t="inlineStr">
        <is>
          <t>A 50911-2024</t>
        </is>
      </c>
      <c r="B241" s="1" t="n">
        <v>45602</v>
      </c>
      <c r="C241" s="1" t="n">
        <v>46196</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59768-2025</t>
        </is>
      </c>
      <c r="B242" s="1" t="n">
        <v>45992</v>
      </c>
      <c r="C242" s="1" t="n">
        <v>46196</v>
      </c>
      <c r="D242" t="inlineStr">
        <is>
          <t>DALARNAS LÄN</t>
        </is>
      </c>
      <c r="E242" t="inlineStr">
        <is>
          <t>MORA</t>
        </is>
      </c>
      <c r="G242" t="n">
        <v>4</v>
      </c>
      <c r="H242" t="n">
        <v>0</v>
      </c>
      <c r="I242" t="n">
        <v>0</v>
      </c>
      <c r="J242" t="n">
        <v>0</v>
      </c>
      <c r="K242" t="n">
        <v>0</v>
      </c>
      <c r="L242" t="n">
        <v>0</v>
      </c>
      <c r="M242" t="n">
        <v>0</v>
      </c>
      <c r="N242" t="n">
        <v>0</v>
      </c>
      <c r="O242" t="n">
        <v>0</v>
      </c>
      <c r="P242" t="n">
        <v>0</v>
      </c>
      <c r="Q242" t="n">
        <v>0</v>
      </c>
      <c r="R242" s="2" t="inlineStr"/>
    </row>
    <row r="243" ht="15" customHeight="1">
      <c r="A243" t="inlineStr">
        <is>
          <t>A 59669-2025</t>
        </is>
      </c>
      <c r="B243" s="1" t="n">
        <v>45992</v>
      </c>
      <c r="C243" s="1" t="n">
        <v>46196</v>
      </c>
      <c r="D243" t="inlineStr">
        <is>
          <t>DALARNAS LÄN</t>
        </is>
      </c>
      <c r="E243" t="inlineStr">
        <is>
          <t>MORA</t>
        </is>
      </c>
      <c r="G243" t="n">
        <v>0.6</v>
      </c>
      <c r="H243" t="n">
        <v>0</v>
      </c>
      <c r="I243" t="n">
        <v>0</v>
      </c>
      <c r="J243" t="n">
        <v>0</v>
      </c>
      <c r="K243" t="n">
        <v>0</v>
      </c>
      <c r="L243" t="n">
        <v>0</v>
      </c>
      <c r="M243" t="n">
        <v>0</v>
      </c>
      <c r="N243" t="n">
        <v>0</v>
      </c>
      <c r="O243" t="n">
        <v>0</v>
      </c>
      <c r="P243" t="n">
        <v>0</v>
      </c>
      <c r="Q243" t="n">
        <v>0</v>
      </c>
      <c r="R243" s="2" t="inlineStr"/>
    </row>
    <row r="244" ht="15" customHeight="1">
      <c r="A244" t="inlineStr">
        <is>
          <t>A 46091-2025</t>
        </is>
      </c>
      <c r="B244" s="1" t="n">
        <v>45924</v>
      </c>
      <c r="C244" s="1" t="n">
        <v>46196</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46283-2025</t>
        </is>
      </c>
      <c r="B245" s="1" t="n">
        <v>45925</v>
      </c>
      <c r="C245" s="1" t="n">
        <v>46196</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27194-2025</t>
        </is>
      </c>
      <c r="B246" s="1" t="n">
        <v>45812</v>
      </c>
      <c r="C246" s="1" t="n">
        <v>46196</v>
      </c>
      <c r="D246" t="inlineStr">
        <is>
          <t>DALARNAS LÄN</t>
        </is>
      </c>
      <c r="E246" t="inlineStr">
        <is>
          <t>MORA</t>
        </is>
      </c>
      <c r="G246" t="n">
        <v>2.4</v>
      </c>
      <c r="H246" t="n">
        <v>0</v>
      </c>
      <c r="I246" t="n">
        <v>0</v>
      </c>
      <c r="J246" t="n">
        <v>0</v>
      </c>
      <c r="K246" t="n">
        <v>0</v>
      </c>
      <c r="L246" t="n">
        <v>0</v>
      </c>
      <c r="M246" t="n">
        <v>0</v>
      </c>
      <c r="N246" t="n">
        <v>0</v>
      </c>
      <c r="O246" t="n">
        <v>0</v>
      </c>
      <c r="P246" t="n">
        <v>0</v>
      </c>
      <c r="Q246" t="n">
        <v>0</v>
      </c>
      <c r="R246" s="2" t="inlineStr"/>
    </row>
    <row r="247" ht="15" customHeight="1">
      <c r="A247" t="inlineStr">
        <is>
          <t>A 48522-2024</t>
        </is>
      </c>
      <c r="B247" s="1" t="n">
        <v>45593</v>
      </c>
      <c r="C247" s="1" t="n">
        <v>46196</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48342-2023</t>
        </is>
      </c>
      <c r="B248" s="1" t="n">
        <v>45205</v>
      </c>
      <c r="C248" s="1" t="n">
        <v>46196</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57475-2022</t>
        </is>
      </c>
      <c r="B249" s="1" t="n">
        <v>44896</v>
      </c>
      <c r="C249" s="1" t="n">
        <v>46196</v>
      </c>
      <c r="D249" t="inlineStr">
        <is>
          <t>DALARNAS LÄN</t>
        </is>
      </c>
      <c r="E249" t="inlineStr">
        <is>
          <t>MORA</t>
        </is>
      </c>
      <c r="G249" t="n">
        <v>5.7</v>
      </c>
      <c r="H249" t="n">
        <v>0</v>
      </c>
      <c r="I249" t="n">
        <v>0</v>
      </c>
      <c r="J249" t="n">
        <v>0</v>
      </c>
      <c r="K249" t="n">
        <v>0</v>
      </c>
      <c r="L249" t="n">
        <v>0</v>
      </c>
      <c r="M249" t="n">
        <v>0</v>
      </c>
      <c r="N249" t="n">
        <v>0</v>
      </c>
      <c r="O249" t="n">
        <v>0</v>
      </c>
      <c r="P249" t="n">
        <v>0</v>
      </c>
      <c r="Q249" t="n">
        <v>0</v>
      </c>
      <c r="R249" s="2" t="inlineStr"/>
    </row>
    <row r="250" ht="15" customHeight="1">
      <c r="A250" t="inlineStr">
        <is>
          <t>A 60957-2025</t>
        </is>
      </c>
      <c r="B250" s="1" t="n">
        <v>45999</v>
      </c>
      <c r="C250" s="1" t="n">
        <v>46196</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55691-2023</t>
        </is>
      </c>
      <c r="B251" s="1" t="n">
        <v>45239</v>
      </c>
      <c r="C251" s="1" t="n">
        <v>46196</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63958-2023</t>
        </is>
      </c>
      <c r="B252" s="1" t="n">
        <v>45278</v>
      </c>
      <c r="C252" s="1" t="n">
        <v>46196</v>
      </c>
      <c r="D252" t="inlineStr">
        <is>
          <t>DALARNAS LÄN</t>
        </is>
      </c>
      <c r="E252" t="inlineStr">
        <is>
          <t>MORA</t>
        </is>
      </c>
      <c r="G252" t="n">
        <v>1.9</v>
      </c>
      <c r="H252" t="n">
        <v>0</v>
      </c>
      <c r="I252" t="n">
        <v>0</v>
      </c>
      <c r="J252" t="n">
        <v>0</v>
      </c>
      <c r="K252" t="n">
        <v>0</v>
      </c>
      <c r="L252" t="n">
        <v>0</v>
      </c>
      <c r="M252" t="n">
        <v>0</v>
      </c>
      <c r="N252" t="n">
        <v>0</v>
      </c>
      <c r="O252" t="n">
        <v>0</v>
      </c>
      <c r="P252" t="n">
        <v>0</v>
      </c>
      <c r="Q252" t="n">
        <v>0</v>
      </c>
      <c r="R252" s="2" t="inlineStr"/>
    </row>
    <row r="253" ht="15" customHeight="1">
      <c r="A253" t="inlineStr">
        <is>
          <t>A 25494-2024</t>
        </is>
      </c>
      <c r="B253" s="1" t="n">
        <v>45463</v>
      </c>
      <c r="C253" s="1" t="n">
        <v>46196</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27642-2025</t>
        </is>
      </c>
      <c r="B254" s="1" t="n">
        <v>45813</v>
      </c>
      <c r="C254" s="1" t="n">
        <v>46196</v>
      </c>
      <c r="D254" t="inlineStr">
        <is>
          <t>DALARNAS LÄN</t>
        </is>
      </c>
      <c r="E254" t="inlineStr">
        <is>
          <t>MORA</t>
        </is>
      </c>
      <c r="G254" t="n">
        <v>2.5</v>
      </c>
      <c r="H254" t="n">
        <v>0</v>
      </c>
      <c r="I254" t="n">
        <v>0</v>
      </c>
      <c r="J254" t="n">
        <v>0</v>
      </c>
      <c r="K254" t="n">
        <v>0</v>
      </c>
      <c r="L254" t="n">
        <v>0</v>
      </c>
      <c r="M254" t="n">
        <v>0</v>
      </c>
      <c r="N254" t="n">
        <v>0</v>
      </c>
      <c r="O254" t="n">
        <v>0</v>
      </c>
      <c r="P254" t="n">
        <v>0</v>
      </c>
      <c r="Q254" t="n">
        <v>0</v>
      </c>
      <c r="R254" s="2" t="inlineStr"/>
    </row>
    <row r="255" ht="15" customHeight="1">
      <c r="A255" t="inlineStr">
        <is>
          <t>A 47055-2025</t>
        </is>
      </c>
      <c r="B255" s="1" t="n">
        <v>45929</v>
      </c>
      <c r="C255" s="1" t="n">
        <v>46196</v>
      </c>
      <c r="D255" t="inlineStr">
        <is>
          <t>DALARNAS LÄN</t>
        </is>
      </c>
      <c r="E255" t="inlineStr">
        <is>
          <t>MORA</t>
        </is>
      </c>
      <c r="G255" t="n">
        <v>28.1</v>
      </c>
      <c r="H255" t="n">
        <v>0</v>
      </c>
      <c r="I255" t="n">
        <v>0</v>
      </c>
      <c r="J255" t="n">
        <v>0</v>
      </c>
      <c r="K255" t="n">
        <v>0</v>
      </c>
      <c r="L255" t="n">
        <v>0</v>
      </c>
      <c r="M255" t="n">
        <v>0</v>
      </c>
      <c r="N255" t="n">
        <v>0</v>
      </c>
      <c r="O255" t="n">
        <v>0</v>
      </c>
      <c r="P255" t="n">
        <v>0</v>
      </c>
      <c r="Q255" t="n">
        <v>0</v>
      </c>
      <c r="R255" s="2" t="inlineStr"/>
    </row>
    <row r="256" ht="15" customHeight="1">
      <c r="A256" t="inlineStr">
        <is>
          <t>A 47072-2025</t>
        </is>
      </c>
      <c r="B256" s="1" t="n">
        <v>45929</v>
      </c>
      <c r="C256" s="1" t="n">
        <v>46196</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27184-2025</t>
        </is>
      </c>
      <c r="B257" s="1" t="n">
        <v>45812</v>
      </c>
      <c r="C257" s="1" t="n">
        <v>46196</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14611-2025</t>
        </is>
      </c>
      <c r="B258" s="1" t="n">
        <v>45742</v>
      </c>
      <c r="C258" s="1" t="n">
        <v>46196</v>
      </c>
      <c r="D258" t="inlineStr">
        <is>
          <t>DALARNAS LÄN</t>
        </is>
      </c>
      <c r="E258" t="inlineStr">
        <is>
          <t>MORA</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61412-2025</t>
        </is>
      </c>
      <c r="B259" s="1" t="n">
        <v>46001</v>
      </c>
      <c r="C259" s="1" t="n">
        <v>46196</v>
      </c>
      <c r="D259" t="inlineStr">
        <is>
          <t>DALARNAS LÄN</t>
        </is>
      </c>
      <c r="E259" t="inlineStr">
        <is>
          <t>MORA</t>
        </is>
      </c>
      <c r="G259" t="n">
        <v>2.9</v>
      </c>
      <c r="H259" t="n">
        <v>0</v>
      </c>
      <c r="I259" t="n">
        <v>0</v>
      </c>
      <c r="J259" t="n">
        <v>0</v>
      </c>
      <c r="K259" t="n">
        <v>0</v>
      </c>
      <c r="L259" t="n">
        <v>0</v>
      </c>
      <c r="M259" t="n">
        <v>0</v>
      </c>
      <c r="N259" t="n">
        <v>0</v>
      </c>
      <c r="O259" t="n">
        <v>0</v>
      </c>
      <c r="P259" t="n">
        <v>0</v>
      </c>
      <c r="Q259" t="n">
        <v>0</v>
      </c>
      <c r="R259" s="2" t="inlineStr"/>
    </row>
    <row r="260" ht="15" customHeight="1">
      <c r="A260" t="inlineStr">
        <is>
          <t>A 47414-2025</t>
        </is>
      </c>
      <c r="B260" s="1" t="n">
        <v>45930</v>
      </c>
      <c r="C260" s="1" t="n">
        <v>46196</v>
      </c>
      <c r="D260" t="inlineStr">
        <is>
          <t>DALARNAS LÄN</t>
        </is>
      </c>
      <c r="E260" t="inlineStr">
        <is>
          <t>MORA</t>
        </is>
      </c>
      <c r="G260" t="n">
        <v>6.1</v>
      </c>
      <c r="H260" t="n">
        <v>0</v>
      </c>
      <c r="I260" t="n">
        <v>0</v>
      </c>
      <c r="J260" t="n">
        <v>0</v>
      </c>
      <c r="K260" t="n">
        <v>0</v>
      </c>
      <c r="L260" t="n">
        <v>0</v>
      </c>
      <c r="M260" t="n">
        <v>0</v>
      </c>
      <c r="N260" t="n">
        <v>0</v>
      </c>
      <c r="O260" t="n">
        <v>0</v>
      </c>
      <c r="P260" t="n">
        <v>0</v>
      </c>
      <c r="Q260" t="n">
        <v>0</v>
      </c>
      <c r="R260" s="2" t="inlineStr"/>
    </row>
    <row r="261" ht="15" customHeight="1">
      <c r="A261" t="inlineStr">
        <is>
          <t>A 35363-2024</t>
        </is>
      </c>
      <c r="B261" s="1" t="n">
        <v>45531</v>
      </c>
      <c r="C261" s="1" t="n">
        <v>46196</v>
      </c>
      <c r="D261" t="inlineStr">
        <is>
          <t>DALARNAS LÄN</t>
        </is>
      </c>
      <c r="E261" t="inlineStr">
        <is>
          <t>MORA</t>
        </is>
      </c>
      <c r="G261" t="n">
        <v>2.5</v>
      </c>
      <c r="H261" t="n">
        <v>0</v>
      </c>
      <c r="I261" t="n">
        <v>0</v>
      </c>
      <c r="J261" t="n">
        <v>0</v>
      </c>
      <c r="K261" t="n">
        <v>0</v>
      </c>
      <c r="L261" t="n">
        <v>0</v>
      </c>
      <c r="M261" t="n">
        <v>0</v>
      </c>
      <c r="N261" t="n">
        <v>0</v>
      </c>
      <c r="O261" t="n">
        <v>0</v>
      </c>
      <c r="P261" t="n">
        <v>0</v>
      </c>
      <c r="Q261" t="n">
        <v>0</v>
      </c>
      <c r="R261" s="2" t="inlineStr"/>
    </row>
    <row r="262" ht="15" customHeight="1">
      <c r="A262" t="inlineStr">
        <is>
          <t>A 47765-2025</t>
        </is>
      </c>
      <c r="B262" s="1" t="n">
        <v>45931</v>
      </c>
      <c r="C262" s="1" t="n">
        <v>46196</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61455-2025</t>
        </is>
      </c>
      <c r="B263" s="1" t="n">
        <v>46001</v>
      </c>
      <c r="C263" s="1" t="n">
        <v>46196</v>
      </c>
      <c r="D263" t="inlineStr">
        <is>
          <t>DALARNAS LÄN</t>
        </is>
      </c>
      <c r="E263" t="inlineStr">
        <is>
          <t>MORA</t>
        </is>
      </c>
      <c r="G263" t="n">
        <v>3.4</v>
      </c>
      <c r="H263" t="n">
        <v>0</v>
      </c>
      <c r="I263" t="n">
        <v>0</v>
      </c>
      <c r="J263" t="n">
        <v>0</v>
      </c>
      <c r="K263" t="n">
        <v>0</v>
      </c>
      <c r="L263" t="n">
        <v>0</v>
      </c>
      <c r="M263" t="n">
        <v>0</v>
      </c>
      <c r="N263" t="n">
        <v>0</v>
      </c>
      <c r="O263" t="n">
        <v>0</v>
      </c>
      <c r="P263" t="n">
        <v>0</v>
      </c>
      <c r="Q263" t="n">
        <v>0</v>
      </c>
      <c r="R263" s="2" t="inlineStr"/>
    </row>
    <row r="264" ht="15" customHeight="1">
      <c r="A264" t="inlineStr">
        <is>
          <t>A 61606-2025</t>
        </is>
      </c>
      <c r="B264" s="1" t="n">
        <v>46002</v>
      </c>
      <c r="C264" s="1" t="n">
        <v>46196</v>
      </c>
      <c r="D264" t="inlineStr">
        <is>
          <t>DALARNAS LÄN</t>
        </is>
      </c>
      <c r="E264" t="inlineStr">
        <is>
          <t>MORA</t>
        </is>
      </c>
      <c r="G264" t="n">
        <v>6.1</v>
      </c>
      <c r="H264" t="n">
        <v>0</v>
      </c>
      <c r="I264" t="n">
        <v>0</v>
      </c>
      <c r="J264" t="n">
        <v>0</v>
      </c>
      <c r="K264" t="n">
        <v>0</v>
      </c>
      <c r="L264" t="n">
        <v>0</v>
      </c>
      <c r="M264" t="n">
        <v>0</v>
      </c>
      <c r="N264" t="n">
        <v>0</v>
      </c>
      <c r="O264" t="n">
        <v>0</v>
      </c>
      <c r="P264" t="n">
        <v>0</v>
      </c>
      <c r="Q264" t="n">
        <v>0</v>
      </c>
      <c r="R264" s="2" t="inlineStr"/>
    </row>
    <row r="265" ht="15" customHeight="1">
      <c r="A265" t="inlineStr">
        <is>
          <t>A 61624-2025</t>
        </is>
      </c>
      <c r="B265" s="1" t="n">
        <v>46002</v>
      </c>
      <c r="C265" s="1" t="n">
        <v>46196</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61620-2025</t>
        </is>
      </c>
      <c r="B266" s="1" t="n">
        <v>46002</v>
      </c>
      <c r="C266" s="1" t="n">
        <v>46196</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61995-2025</t>
        </is>
      </c>
      <c r="B267" s="1" t="n">
        <v>46003</v>
      </c>
      <c r="C267" s="1" t="n">
        <v>46196</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47716-2025</t>
        </is>
      </c>
      <c r="B268" s="1" t="n">
        <v>45931</v>
      </c>
      <c r="C268" s="1" t="n">
        <v>46196</v>
      </c>
      <c r="D268" t="inlineStr">
        <is>
          <t>DALARNAS LÄN</t>
        </is>
      </c>
      <c r="E268" t="inlineStr">
        <is>
          <t>MORA</t>
        </is>
      </c>
      <c r="G268" t="n">
        <v>8.9</v>
      </c>
      <c r="H268" t="n">
        <v>0</v>
      </c>
      <c r="I268" t="n">
        <v>0</v>
      </c>
      <c r="J268" t="n">
        <v>0</v>
      </c>
      <c r="K268" t="n">
        <v>0</v>
      </c>
      <c r="L268" t="n">
        <v>0</v>
      </c>
      <c r="M268" t="n">
        <v>0</v>
      </c>
      <c r="N268" t="n">
        <v>0</v>
      </c>
      <c r="O268" t="n">
        <v>0</v>
      </c>
      <c r="P268" t="n">
        <v>0</v>
      </c>
      <c r="Q268" t="n">
        <v>0</v>
      </c>
      <c r="R268" s="2" t="inlineStr"/>
    </row>
    <row r="269" ht="15" customHeight="1">
      <c r="A269" t="inlineStr">
        <is>
          <t>A 48927-2025</t>
        </is>
      </c>
      <c r="B269" s="1" t="n">
        <v>45931</v>
      </c>
      <c r="C269" s="1" t="n">
        <v>46196</v>
      </c>
      <c r="D269" t="inlineStr">
        <is>
          <t>DALARNAS LÄN</t>
        </is>
      </c>
      <c r="E269" t="inlineStr">
        <is>
          <t>MORA</t>
        </is>
      </c>
      <c r="G269" t="n">
        <v>2.1</v>
      </c>
      <c r="H269" t="n">
        <v>0</v>
      </c>
      <c r="I269" t="n">
        <v>0</v>
      </c>
      <c r="J269" t="n">
        <v>0</v>
      </c>
      <c r="K269" t="n">
        <v>0</v>
      </c>
      <c r="L269" t="n">
        <v>0</v>
      </c>
      <c r="M269" t="n">
        <v>0</v>
      </c>
      <c r="N269" t="n">
        <v>0</v>
      </c>
      <c r="O269" t="n">
        <v>0</v>
      </c>
      <c r="P269" t="n">
        <v>0</v>
      </c>
      <c r="Q269" t="n">
        <v>0</v>
      </c>
      <c r="R269" s="2" t="inlineStr"/>
    </row>
    <row r="270" ht="15" customHeight="1">
      <c r="A270" t="inlineStr">
        <is>
          <t>A 48926-2025</t>
        </is>
      </c>
      <c r="B270" s="1" t="n">
        <v>45937</v>
      </c>
      <c r="C270" s="1" t="n">
        <v>46196</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62055-2025</t>
        </is>
      </c>
      <c r="B271" s="1" t="n">
        <v>46006</v>
      </c>
      <c r="C271" s="1" t="n">
        <v>46196</v>
      </c>
      <c r="D271" t="inlineStr">
        <is>
          <t>DALARNAS LÄN</t>
        </is>
      </c>
      <c r="E271" t="inlineStr">
        <is>
          <t>MORA</t>
        </is>
      </c>
      <c r="G271" t="n">
        <v>1.5</v>
      </c>
      <c r="H271" t="n">
        <v>0</v>
      </c>
      <c r="I271" t="n">
        <v>0</v>
      </c>
      <c r="J271" t="n">
        <v>0</v>
      </c>
      <c r="K271" t="n">
        <v>0</v>
      </c>
      <c r="L271" t="n">
        <v>0</v>
      </c>
      <c r="M271" t="n">
        <v>0</v>
      </c>
      <c r="N271" t="n">
        <v>0</v>
      </c>
      <c r="O271" t="n">
        <v>0</v>
      </c>
      <c r="P271" t="n">
        <v>0</v>
      </c>
      <c r="Q271" t="n">
        <v>0</v>
      </c>
      <c r="R271" s="2" t="inlineStr"/>
    </row>
    <row r="272" ht="15" customHeight="1">
      <c r="A272" t="inlineStr">
        <is>
          <t>A 48929-2025</t>
        </is>
      </c>
      <c r="B272" s="1" t="n">
        <v>45937</v>
      </c>
      <c r="C272" s="1" t="n">
        <v>46196</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62054-2025</t>
        </is>
      </c>
      <c r="B273" s="1" t="n">
        <v>46006</v>
      </c>
      <c r="C273" s="1" t="n">
        <v>46196</v>
      </c>
      <c r="D273" t="inlineStr">
        <is>
          <t>DALARNAS LÄN</t>
        </is>
      </c>
      <c r="E273" t="inlineStr">
        <is>
          <t>MORA</t>
        </is>
      </c>
      <c r="G273" t="n">
        <v>1.6</v>
      </c>
      <c r="H273" t="n">
        <v>0</v>
      </c>
      <c r="I273" t="n">
        <v>0</v>
      </c>
      <c r="J273" t="n">
        <v>0</v>
      </c>
      <c r="K273" t="n">
        <v>0</v>
      </c>
      <c r="L273" t="n">
        <v>0</v>
      </c>
      <c r="M273" t="n">
        <v>0</v>
      </c>
      <c r="N273" t="n">
        <v>0</v>
      </c>
      <c r="O273" t="n">
        <v>0</v>
      </c>
      <c r="P273" t="n">
        <v>0</v>
      </c>
      <c r="Q273" t="n">
        <v>0</v>
      </c>
      <c r="R273" s="2" t="inlineStr"/>
    </row>
    <row r="274" ht="15" customHeight="1">
      <c r="A274" t="inlineStr">
        <is>
          <t>A 5922-2025</t>
        </is>
      </c>
      <c r="B274" s="1" t="n">
        <v>45695</v>
      </c>
      <c r="C274" s="1" t="n">
        <v>46196</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62548-2025</t>
        </is>
      </c>
      <c r="B275" s="1" t="n">
        <v>46007</v>
      </c>
      <c r="C275" s="1" t="n">
        <v>46196</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28976-2025</t>
        </is>
      </c>
      <c r="B276" s="1" t="n">
        <v>45821</v>
      </c>
      <c r="C276" s="1" t="n">
        <v>46196</v>
      </c>
      <c r="D276" t="inlineStr">
        <is>
          <t>DALARNAS LÄN</t>
        </is>
      </c>
      <c r="E276" t="inlineStr">
        <is>
          <t>MORA</t>
        </is>
      </c>
      <c r="F276" t="inlineStr">
        <is>
          <t>Bergvik skog öst AB</t>
        </is>
      </c>
      <c r="G276" t="n">
        <v>1.2</v>
      </c>
      <c r="H276" t="n">
        <v>0</v>
      </c>
      <c r="I276" t="n">
        <v>0</v>
      </c>
      <c r="J276" t="n">
        <v>0</v>
      </c>
      <c r="K276" t="n">
        <v>0</v>
      </c>
      <c r="L276" t="n">
        <v>0</v>
      </c>
      <c r="M276" t="n">
        <v>0</v>
      </c>
      <c r="N276" t="n">
        <v>0</v>
      </c>
      <c r="O276" t="n">
        <v>0</v>
      </c>
      <c r="P276" t="n">
        <v>0</v>
      </c>
      <c r="Q276" t="n">
        <v>0</v>
      </c>
      <c r="R276" s="2" t="inlineStr"/>
    </row>
    <row r="277" ht="15" customHeight="1">
      <c r="A277" t="inlineStr">
        <is>
          <t>A 49404-2025</t>
        </is>
      </c>
      <c r="B277" s="1" t="n">
        <v>45938</v>
      </c>
      <c r="C277" s="1" t="n">
        <v>46196</v>
      </c>
      <c r="D277" t="inlineStr">
        <is>
          <t>DALARNAS LÄN</t>
        </is>
      </c>
      <c r="E277" t="inlineStr">
        <is>
          <t>MORA</t>
        </is>
      </c>
      <c r="F277" t="inlineStr">
        <is>
          <t>Bergvik skog väst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28927-2025</t>
        </is>
      </c>
      <c r="B278" s="1" t="n">
        <v>45820</v>
      </c>
      <c r="C278" s="1" t="n">
        <v>46196</v>
      </c>
      <c r="D278" t="inlineStr">
        <is>
          <t>DALARNAS LÄN</t>
        </is>
      </c>
      <c r="E278" t="inlineStr">
        <is>
          <t>MORA</t>
        </is>
      </c>
      <c r="G278" t="n">
        <v>0.4</v>
      </c>
      <c r="H278" t="n">
        <v>0</v>
      </c>
      <c r="I278" t="n">
        <v>0</v>
      </c>
      <c r="J278" t="n">
        <v>0</v>
      </c>
      <c r="K278" t="n">
        <v>0</v>
      </c>
      <c r="L278" t="n">
        <v>0</v>
      </c>
      <c r="M278" t="n">
        <v>0</v>
      </c>
      <c r="N278" t="n">
        <v>0</v>
      </c>
      <c r="O278" t="n">
        <v>0</v>
      </c>
      <c r="P278" t="n">
        <v>0</v>
      </c>
      <c r="Q278" t="n">
        <v>0</v>
      </c>
      <c r="R278" s="2" t="inlineStr"/>
    </row>
    <row r="279" ht="15" customHeight="1">
      <c r="A279" t="inlineStr">
        <is>
          <t>A 28924-2025</t>
        </is>
      </c>
      <c r="B279" s="1" t="n">
        <v>45820</v>
      </c>
      <c r="C279" s="1" t="n">
        <v>46196</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43533-2023</t>
        </is>
      </c>
      <c r="B280" s="1" t="n">
        <v>45184</v>
      </c>
      <c r="C280" s="1" t="n">
        <v>46196</v>
      </c>
      <c r="D280" t="inlineStr">
        <is>
          <t>DALARNAS LÄN</t>
        </is>
      </c>
      <c r="E280" t="inlineStr">
        <is>
          <t>MORA</t>
        </is>
      </c>
      <c r="F280" t="inlineStr">
        <is>
          <t>Bergvik skog väst AB</t>
        </is>
      </c>
      <c r="G280" t="n">
        <v>10.3</v>
      </c>
      <c r="H280" t="n">
        <v>0</v>
      </c>
      <c r="I280" t="n">
        <v>0</v>
      </c>
      <c r="J280" t="n">
        <v>0</v>
      </c>
      <c r="K280" t="n">
        <v>0</v>
      </c>
      <c r="L280" t="n">
        <v>0</v>
      </c>
      <c r="M280" t="n">
        <v>0</v>
      </c>
      <c r="N280" t="n">
        <v>0</v>
      </c>
      <c r="O280" t="n">
        <v>0</v>
      </c>
      <c r="P280" t="n">
        <v>0</v>
      </c>
      <c r="Q280" t="n">
        <v>0</v>
      </c>
      <c r="R280" s="2" t="inlineStr"/>
    </row>
    <row r="281" ht="15" customHeight="1">
      <c r="A281" t="inlineStr">
        <is>
          <t>A 28751-2025</t>
        </is>
      </c>
      <c r="B281" s="1" t="n">
        <v>45820</v>
      </c>
      <c r="C281" s="1" t="n">
        <v>46196</v>
      </c>
      <c r="D281" t="inlineStr">
        <is>
          <t>DALARNAS LÄN</t>
        </is>
      </c>
      <c r="E281" t="inlineStr">
        <is>
          <t>MORA</t>
        </is>
      </c>
      <c r="F281" t="inlineStr">
        <is>
          <t>Bergvik skog öst AB</t>
        </is>
      </c>
      <c r="G281" t="n">
        <v>1</v>
      </c>
      <c r="H281" t="n">
        <v>0</v>
      </c>
      <c r="I281" t="n">
        <v>0</v>
      </c>
      <c r="J281" t="n">
        <v>0</v>
      </c>
      <c r="K281" t="n">
        <v>0</v>
      </c>
      <c r="L281" t="n">
        <v>0</v>
      </c>
      <c r="M281" t="n">
        <v>0</v>
      </c>
      <c r="N281" t="n">
        <v>0</v>
      </c>
      <c r="O281" t="n">
        <v>0</v>
      </c>
      <c r="P281" t="n">
        <v>0</v>
      </c>
      <c r="Q281" t="n">
        <v>0</v>
      </c>
      <c r="R281" s="2" t="inlineStr"/>
    </row>
    <row r="282" ht="15" customHeight="1">
      <c r="A282" t="inlineStr">
        <is>
          <t>A 37774-2022</t>
        </is>
      </c>
      <c r="B282" s="1" t="n">
        <v>44810</v>
      </c>
      <c r="C282" s="1" t="n">
        <v>46196</v>
      </c>
      <c r="D282" t="inlineStr">
        <is>
          <t>DALARNAS LÄN</t>
        </is>
      </c>
      <c r="E282" t="inlineStr">
        <is>
          <t>MORA</t>
        </is>
      </c>
      <c r="F282" t="inlineStr">
        <is>
          <t>Bergvik skog väst AB</t>
        </is>
      </c>
      <c r="G282" t="n">
        <v>8.5</v>
      </c>
      <c r="H282" t="n">
        <v>0</v>
      </c>
      <c r="I282" t="n">
        <v>0</v>
      </c>
      <c r="J282" t="n">
        <v>0</v>
      </c>
      <c r="K282" t="n">
        <v>0</v>
      </c>
      <c r="L282" t="n">
        <v>0</v>
      </c>
      <c r="M282" t="n">
        <v>0</v>
      </c>
      <c r="N282" t="n">
        <v>0</v>
      </c>
      <c r="O282" t="n">
        <v>0</v>
      </c>
      <c r="P282" t="n">
        <v>0</v>
      </c>
      <c r="Q282" t="n">
        <v>0</v>
      </c>
      <c r="R282" s="2" t="inlineStr"/>
    </row>
    <row r="283" ht="15" customHeight="1">
      <c r="A283" t="inlineStr">
        <is>
          <t>A 62959-2025</t>
        </is>
      </c>
      <c r="B283" s="1" t="n">
        <v>46009</v>
      </c>
      <c r="C283" s="1" t="n">
        <v>46196</v>
      </c>
      <c r="D283" t="inlineStr">
        <is>
          <t>DALARNAS LÄN</t>
        </is>
      </c>
      <c r="E283" t="inlineStr">
        <is>
          <t>MORA</t>
        </is>
      </c>
      <c r="G283" t="n">
        <v>2.6</v>
      </c>
      <c r="H283" t="n">
        <v>0</v>
      </c>
      <c r="I283" t="n">
        <v>0</v>
      </c>
      <c r="J283" t="n">
        <v>0</v>
      </c>
      <c r="K283" t="n">
        <v>0</v>
      </c>
      <c r="L283" t="n">
        <v>0</v>
      </c>
      <c r="M283" t="n">
        <v>0</v>
      </c>
      <c r="N283" t="n">
        <v>0</v>
      </c>
      <c r="O283" t="n">
        <v>0</v>
      </c>
      <c r="P283" t="n">
        <v>0</v>
      </c>
      <c r="Q283" t="n">
        <v>0</v>
      </c>
      <c r="R283" s="2" t="inlineStr"/>
    </row>
    <row r="284" ht="15" customHeight="1">
      <c r="A284" t="inlineStr">
        <is>
          <t>A 62965-2025</t>
        </is>
      </c>
      <c r="B284" s="1" t="n">
        <v>46009</v>
      </c>
      <c r="C284" s="1" t="n">
        <v>46196</v>
      </c>
      <c r="D284" t="inlineStr">
        <is>
          <t>DALARNAS LÄN</t>
        </is>
      </c>
      <c r="E284" t="inlineStr">
        <is>
          <t>MORA</t>
        </is>
      </c>
      <c r="G284" t="n">
        <v>9.1</v>
      </c>
      <c r="H284" t="n">
        <v>0</v>
      </c>
      <c r="I284" t="n">
        <v>0</v>
      </c>
      <c r="J284" t="n">
        <v>0</v>
      </c>
      <c r="K284" t="n">
        <v>0</v>
      </c>
      <c r="L284" t="n">
        <v>0</v>
      </c>
      <c r="M284" t="n">
        <v>0</v>
      </c>
      <c r="N284" t="n">
        <v>0</v>
      </c>
      <c r="O284" t="n">
        <v>0</v>
      </c>
      <c r="P284" t="n">
        <v>0</v>
      </c>
      <c r="Q284" t="n">
        <v>0</v>
      </c>
      <c r="R284" s="2" t="inlineStr"/>
    </row>
    <row r="285" ht="15" customHeight="1">
      <c r="A285" t="inlineStr">
        <is>
          <t>A 49401-2025</t>
        </is>
      </c>
      <c r="B285" s="1" t="n">
        <v>45938</v>
      </c>
      <c r="C285" s="1" t="n">
        <v>46196</v>
      </c>
      <c r="D285" t="inlineStr">
        <is>
          <t>DALARNAS LÄN</t>
        </is>
      </c>
      <c r="E285" t="inlineStr">
        <is>
          <t>MORA</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62619-2025</t>
        </is>
      </c>
      <c r="B286" s="1" t="n">
        <v>46008</v>
      </c>
      <c r="C286" s="1" t="n">
        <v>46196</v>
      </c>
      <c r="D286" t="inlineStr">
        <is>
          <t>DALARNAS LÄN</t>
        </is>
      </c>
      <c r="E286" t="inlineStr">
        <is>
          <t>MORA</t>
        </is>
      </c>
      <c r="G286" t="n">
        <v>3.3</v>
      </c>
      <c r="H286" t="n">
        <v>0</v>
      </c>
      <c r="I286" t="n">
        <v>0</v>
      </c>
      <c r="J286" t="n">
        <v>0</v>
      </c>
      <c r="K286" t="n">
        <v>0</v>
      </c>
      <c r="L286" t="n">
        <v>0</v>
      </c>
      <c r="M286" t="n">
        <v>0</v>
      </c>
      <c r="N286" t="n">
        <v>0</v>
      </c>
      <c r="O286" t="n">
        <v>0</v>
      </c>
      <c r="P286" t="n">
        <v>0</v>
      </c>
      <c r="Q286" t="n">
        <v>0</v>
      </c>
      <c r="R286" s="2" t="inlineStr"/>
    </row>
    <row r="287" ht="15" customHeight="1">
      <c r="A287" t="inlineStr">
        <is>
          <t>A 62853-2025</t>
        </is>
      </c>
      <c r="B287" s="1" t="n">
        <v>46008</v>
      </c>
      <c r="C287" s="1" t="n">
        <v>46196</v>
      </c>
      <c r="D287" t="inlineStr">
        <is>
          <t>DALARNAS LÄN</t>
        </is>
      </c>
      <c r="E287" t="inlineStr">
        <is>
          <t>MORA</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62626-2025</t>
        </is>
      </c>
      <c r="B288" s="1" t="n">
        <v>46008</v>
      </c>
      <c r="C288" s="1" t="n">
        <v>46196</v>
      </c>
      <c r="D288" t="inlineStr">
        <is>
          <t>DALARNAS LÄN</t>
        </is>
      </c>
      <c r="E288" t="inlineStr">
        <is>
          <t>MORA</t>
        </is>
      </c>
      <c r="G288" t="n">
        <v>6.7</v>
      </c>
      <c r="H288" t="n">
        <v>0</v>
      </c>
      <c r="I288" t="n">
        <v>0</v>
      </c>
      <c r="J288" t="n">
        <v>0</v>
      </c>
      <c r="K288" t="n">
        <v>0</v>
      </c>
      <c r="L288" t="n">
        <v>0</v>
      </c>
      <c r="M288" t="n">
        <v>0</v>
      </c>
      <c r="N288" t="n">
        <v>0</v>
      </c>
      <c r="O288" t="n">
        <v>0</v>
      </c>
      <c r="P288" t="n">
        <v>0</v>
      </c>
      <c r="Q288" t="n">
        <v>0</v>
      </c>
      <c r="R288" s="2" t="inlineStr"/>
    </row>
    <row r="289" ht="15" customHeight="1">
      <c r="A289" t="inlineStr">
        <is>
          <t>A 64327-2023</t>
        </is>
      </c>
      <c r="B289" s="1" t="n">
        <v>45280</v>
      </c>
      <c r="C289" s="1" t="n">
        <v>46196</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17145-2024</t>
        </is>
      </c>
      <c r="B290" s="1" t="n">
        <v>45412</v>
      </c>
      <c r="C290" s="1" t="n">
        <v>46196</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26546-2025</t>
        </is>
      </c>
      <c r="B291" s="1" t="n">
        <v>45807</v>
      </c>
      <c r="C291" s="1" t="n">
        <v>46196</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26573-2025</t>
        </is>
      </c>
      <c r="B292" s="1" t="n">
        <v>45807</v>
      </c>
      <c r="C292" s="1" t="n">
        <v>46196</v>
      </c>
      <c r="D292" t="inlineStr">
        <is>
          <t>DALARNAS LÄN</t>
        </is>
      </c>
      <c r="E292" t="inlineStr">
        <is>
          <t>MORA</t>
        </is>
      </c>
      <c r="G292" t="n">
        <v>4.3</v>
      </c>
      <c r="H292" t="n">
        <v>0</v>
      </c>
      <c r="I292" t="n">
        <v>0</v>
      </c>
      <c r="J292" t="n">
        <v>0</v>
      </c>
      <c r="K292" t="n">
        <v>0</v>
      </c>
      <c r="L292" t="n">
        <v>0</v>
      </c>
      <c r="M292" t="n">
        <v>0</v>
      </c>
      <c r="N292" t="n">
        <v>0</v>
      </c>
      <c r="O292" t="n">
        <v>0</v>
      </c>
      <c r="P292" t="n">
        <v>0</v>
      </c>
      <c r="Q292" t="n">
        <v>0</v>
      </c>
      <c r="R292" s="2" t="inlineStr"/>
    </row>
    <row r="293" ht="15" customHeight="1">
      <c r="A293" t="inlineStr">
        <is>
          <t>A 26577-2025</t>
        </is>
      </c>
      <c r="B293" s="1" t="n">
        <v>45807</v>
      </c>
      <c r="C293" s="1" t="n">
        <v>46196</v>
      </c>
      <c r="D293" t="inlineStr">
        <is>
          <t>DALARNAS LÄN</t>
        </is>
      </c>
      <c r="E293" t="inlineStr">
        <is>
          <t>MORA</t>
        </is>
      </c>
      <c r="G293" t="n">
        <v>2.8</v>
      </c>
      <c r="H293" t="n">
        <v>0</v>
      </c>
      <c r="I293" t="n">
        <v>0</v>
      </c>
      <c r="J293" t="n">
        <v>0</v>
      </c>
      <c r="K293" t="n">
        <v>0</v>
      </c>
      <c r="L293" t="n">
        <v>0</v>
      </c>
      <c r="M293" t="n">
        <v>0</v>
      </c>
      <c r="N293" t="n">
        <v>0</v>
      </c>
      <c r="O293" t="n">
        <v>0</v>
      </c>
      <c r="P293" t="n">
        <v>0</v>
      </c>
      <c r="Q293" t="n">
        <v>0</v>
      </c>
      <c r="R293" s="2" t="inlineStr"/>
    </row>
    <row r="294" ht="15" customHeight="1">
      <c r="A294" t="inlineStr">
        <is>
          <t>A 26545-2025</t>
        </is>
      </c>
      <c r="B294" s="1" t="n">
        <v>45807</v>
      </c>
      <c r="C294" s="1" t="n">
        <v>46196</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63434-2025</t>
        </is>
      </c>
      <c r="B295" s="1" t="n">
        <v>46013</v>
      </c>
      <c r="C295" s="1" t="n">
        <v>46196</v>
      </c>
      <c r="D295" t="inlineStr">
        <is>
          <t>DALARNAS LÄN</t>
        </is>
      </c>
      <c r="E295" t="inlineStr">
        <is>
          <t>MORA</t>
        </is>
      </c>
      <c r="F295" t="inlineStr">
        <is>
          <t>Allmännings- och besparingsskogar</t>
        </is>
      </c>
      <c r="G295" t="n">
        <v>3.6</v>
      </c>
      <c r="H295" t="n">
        <v>0</v>
      </c>
      <c r="I295" t="n">
        <v>0</v>
      </c>
      <c r="J295" t="n">
        <v>0</v>
      </c>
      <c r="K295" t="n">
        <v>0</v>
      </c>
      <c r="L295" t="n">
        <v>0</v>
      </c>
      <c r="M295" t="n">
        <v>0</v>
      </c>
      <c r="N295" t="n">
        <v>0</v>
      </c>
      <c r="O295" t="n">
        <v>0</v>
      </c>
      <c r="P295" t="n">
        <v>0</v>
      </c>
      <c r="Q295" t="n">
        <v>0</v>
      </c>
      <c r="R295" s="2" t="inlineStr"/>
    </row>
    <row r="296" ht="15" customHeight="1">
      <c r="A296" t="inlineStr">
        <is>
          <t>A 63431-2025</t>
        </is>
      </c>
      <c r="B296" s="1" t="n">
        <v>46013</v>
      </c>
      <c r="C296" s="1" t="n">
        <v>46196</v>
      </c>
      <c r="D296" t="inlineStr">
        <is>
          <t>DALARNAS LÄN</t>
        </is>
      </c>
      <c r="E296" t="inlineStr">
        <is>
          <t>MORA</t>
        </is>
      </c>
      <c r="F296" t="inlineStr">
        <is>
          <t>Allmännings- och besparingsskogar</t>
        </is>
      </c>
      <c r="G296" t="n">
        <v>5.7</v>
      </c>
      <c r="H296" t="n">
        <v>0</v>
      </c>
      <c r="I296" t="n">
        <v>0</v>
      </c>
      <c r="J296" t="n">
        <v>0</v>
      </c>
      <c r="K296" t="n">
        <v>0</v>
      </c>
      <c r="L296" t="n">
        <v>0</v>
      </c>
      <c r="M296" t="n">
        <v>0</v>
      </c>
      <c r="N296" t="n">
        <v>0</v>
      </c>
      <c r="O296" t="n">
        <v>0</v>
      </c>
      <c r="P296" t="n">
        <v>0</v>
      </c>
      <c r="Q296" t="n">
        <v>0</v>
      </c>
      <c r="R296" s="2" t="inlineStr"/>
    </row>
    <row r="297" ht="15" customHeight="1">
      <c r="A297" t="inlineStr">
        <is>
          <t>A 48728-2022</t>
        </is>
      </c>
      <c r="B297" s="1" t="n">
        <v>44859</v>
      </c>
      <c r="C297" s="1" t="n">
        <v>46196</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63457-2025</t>
        </is>
      </c>
      <c r="B298" s="1" t="n">
        <v>46013</v>
      </c>
      <c r="C298" s="1" t="n">
        <v>46196</v>
      </c>
      <c r="D298" t="inlineStr">
        <is>
          <t>DALARNAS LÄN</t>
        </is>
      </c>
      <c r="E298" t="inlineStr">
        <is>
          <t>MORA</t>
        </is>
      </c>
      <c r="F298" t="inlineStr">
        <is>
          <t>Allmännings- och besparingsskogar</t>
        </is>
      </c>
      <c r="G298" t="n">
        <v>34.4</v>
      </c>
      <c r="H298" t="n">
        <v>0</v>
      </c>
      <c r="I298" t="n">
        <v>0</v>
      </c>
      <c r="J298" t="n">
        <v>0</v>
      </c>
      <c r="K298" t="n">
        <v>0</v>
      </c>
      <c r="L298" t="n">
        <v>0</v>
      </c>
      <c r="M298" t="n">
        <v>0</v>
      </c>
      <c r="N298" t="n">
        <v>0</v>
      </c>
      <c r="O298" t="n">
        <v>0</v>
      </c>
      <c r="P298" t="n">
        <v>0</v>
      </c>
      <c r="Q298" t="n">
        <v>0</v>
      </c>
      <c r="R298" s="2" t="inlineStr"/>
    </row>
    <row r="299" ht="15" customHeight="1">
      <c r="A299" t="inlineStr">
        <is>
          <t>A 52599-2025</t>
        </is>
      </c>
      <c r="B299" s="1" t="n">
        <v>45954</v>
      </c>
      <c r="C299" s="1" t="n">
        <v>46196</v>
      </c>
      <c r="D299" t="inlineStr">
        <is>
          <t>DALARNAS LÄN</t>
        </is>
      </c>
      <c r="E299" t="inlineStr">
        <is>
          <t>MORA</t>
        </is>
      </c>
      <c r="G299" t="n">
        <v>10.8</v>
      </c>
      <c r="H299" t="n">
        <v>0</v>
      </c>
      <c r="I299" t="n">
        <v>0</v>
      </c>
      <c r="J299" t="n">
        <v>0</v>
      </c>
      <c r="K299" t="n">
        <v>0</v>
      </c>
      <c r="L299" t="n">
        <v>0</v>
      </c>
      <c r="M299" t="n">
        <v>0</v>
      </c>
      <c r="N299" t="n">
        <v>0</v>
      </c>
      <c r="O299" t="n">
        <v>0</v>
      </c>
      <c r="P299" t="n">
        <v>0</v>
      </c>
      <c r="Q299" t="n">
        <v>0</v>
      </c>
      <c r="R299" s="2" t="inlineStr"/>
    </row>
    <row r="300" ht="15" customHeight="1">
      <c r="A300" t="inlineStr">
        <is>
          <t>A 63596-2025</t>
        </is>
      </c>
      <c r="B300" s="1" t="n">
        <v>46013</v>
      </c>
      <c r="C300" s="1" t="n">
        <v>46196</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63692-2025</t>
        </is>
      </c>
      <c r="B301" s="1" t="n">
        <v>46014</v>
      </c>
      <c r="C301" s="1" t="n">
        <v>46196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63689-2025</t>
        </is>
      </c>
      <c r="B302" s="1" t="n">
        <v>46014</v>
      </c>
      <c r="C302" s="1" t="n">
        <v>46196</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29528-2025</t>
        </is>
      </c>
      <c r="B303" s="1" t="n">
        <v>45825</v>
      </c>
      <c r="C303" s="1" t="n">
        <v>46196</v>
      </c>
      <c r="D303" t="inlineStr">
        <is>
          <t>DALARNAS LÄN</t>
        </is>
      </c>
      <c r="E303" t="inlineStr">
        <is>
          <t>MORA</t>
        </is>
      </c>
      <c r="G303" t="n">
        <v>2.2</v>
      </c>
      <c r="H303" t="n">
        <v>0</v>
      </c>
      <c r="I303" t="n">
        <v>0</v>
      </c>
      <c r="J303" t="n">
        <v>0</v>
      </c>
      <c r="K303" t="n">
        <v>0</v>
      </c>
      <c r="L303" t="n">
        <v>0</v>
      </c>
      <c r="M303" t="n">
        <v>0</v>
      </c>
      <c r="N303" t="n">
        <v>0</v>
      </c>
      <c r="O303" t="n">
        <v>0</v>
      </c>
      <c r="P303" t="n">
        <v>0</v>
      </c>
      <c r="Q303" t="n">
        <v>0</v>
      </c>
      <c r="R303" s="2" t="inlineStr"/>
    </row>
    <row r="304" ht="15" customHeight="1">
      <c r="A304" t="inlineStr">
        <is>
          <t>A 29870-2025</t>
        </is>
      </c>
      <c r="B304" s="1" t="n">
        <v>45826</v>
      </c>
      <c r="C304" s="1" t="n">
        <v>46196</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29873-2025</t>
        </is>
      </c>
      <c r="B305" s="1" t="n">
        <v>45826</v>
      </c>
      <c r="C305" s="1" t="n">
        <v>46196</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141-2026</t>
        </is>
      </c>
      <c r="B306" s="1" t="n">
        <v>46024</v>
      </c>
      <c r="C306" s="1" t="n">
        <v>46196</v>
      </c>
      <c r="D306" t="inlineStr">
        <is>
          <t>DALARNAS LÄN</t>
        </is>
      </c>
      <c r="E306" t="inlineStr">
        <is>
          <t>MORA</t>
        </is>
      </c>
      <c r="G306" t="n">
        <v>4.4</v>
      </c>
      <c r="H306" t="n">
        <v>0</v>
      </c>
      <c r="I306" t="n">
        <v>0</v>
      </c>
      <c r="J306" t="n">
        <v>0</v>
      </c>
      <c r="K306" t="n">
        <v>0</v>
      </c>
      <c r="L306" t="n">
        <v>0</v>
      </c>
      <c r="M306" t="n">
        <v>0</v>
      </c>
      <c r="N306" t="n">
        <v>0</v>
      </c>
      <c r="O306" t="n">
        <v>0</v>
      </c>
      <c r="P306" t="n">
        <v>0</v>
      </c>
      <c r="Q306" t="n">
        <v>0</v>
      </c>
      <c r="R306" s="2" t="inlineStr"/>
    </row>
    <row r="307" ht="15" customHeight="1">
      <c r="A307" t="inlineStr">
        <is>
          <t>A 60962-2025</t>
        </is>
      </c>
      <c r="B307" s="1" t="n">
        <v>45999</v>
      </c>
      <c r="C307" s="1" t="n">
        <v>46196</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30507-2025</t>
        </is>
      </c>
      <c r="B308" s="1" t="n">
        <v>45831</v>
      </c>
      <c r="C308" s="1" t="n">
        <v>46196</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30509-2025</t>
        </is>
      </c>
      <c r="B309" s="1" t="n">
        <v>45831</v>
      </c>
      <c r="C309" s="1" t="n">
        <v>46196</v>
      </c>
      <c r="D309" t="inlineStr">
        <is>
          <t>DALARNAS LÄN</t>
        </is>
      </c>
      <c r="E309" t="inlineStr">
        <is>
          <t>MORA</t>
        </is>
      </c>
      <c r="G309" t="n">
        <v>1.7</v>
      </c>
      <c r="H309" t="n">
        <v>0</v>
      </c>
      <c r="I309" t="n">
        <v>0</v>
      </c>
      <c r="J309" t="n">
        <v>0</v>
      </c>
      <c r="K309" t="n">
        <v>0</v>
      </c>
      <c r="L309" t="n">
        <v>0</v>
      </c>
      <c r="M309" t="n">
        <v>0</v>
      </c>
      <c r="N309" t="n">
        <v>0</v>
      </c>
      <c r="O309" t="n">
        <v>0</v>
      </c>
      <c r="P309" t="n">
        <v>0</v>
      </c>
      <c r="Q309" t="n">
        <v>0</v>
      </c>
      <c r="R309" s="2" t="inlineStr"/>
    </row>
    <row r="310" ht="15" customHeight="1">
      <c r="A310" t="inlineStr">
        <is>
          <t>A 15993-2025</t>
        </is>
      </c>
      <c r="B310" s="1" t="n">
        <v>45749</v>
      </c>
      <c r="C310" s="1" t="n">
        <v>46196</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30858-2025</t>
        </is>
      </c>
      <c r="B311" s="1" t="n">
        <v>45831</v>
      </c>
      <c r="C311" s="1" t="n">
        <v>46196</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30859-2025</t>
        </is>
      </c>
      <c r="B312" s="1" t="n">
        <v>45831</v>
      </c>
      <c r="C312" s="1" t="n">
        <v>46196</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673-2026</t>
        </is>
      </c>
      <c r="B313" s="1" t="n">
        <v>46029</v>
      </c>
      <c r="C313" s="1" t="n">
        <v>46196</v>
      </c>
      <c r="D313" t="inlineStr">
        <is>
          <t>DALARNAS LÄN</t>
        </is>
      </c>
      <c r="E313" t="inlineStr">
        <is>
          <t>MORA</t>
        </is>
      </c>
      <c r="F313" t="inlineStr">
        <is>
          <t>Kommuner</t>
        </is>
      </c>
      <c r="G313" t="n">
        <v>25.8</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46196</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11857-2023</t>
        </is>
      </c>
      <c r="B315" s="1" t="n">
        <v>44995</v>
      </c>
      <c r="C315" s="1" t="n">
        <v>46196</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3247-2026</t>
        </is>
      </c>
      <c r="B316" s="1" t="n">
        <v>46041</v>
      </c>
      <c r="C316" s="1" t="n">
        <v>46196</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2995-2026</t>
        </is>
      </c>
      <c r="B317" s="1" t="n">
        <v>46038</v>
      </c>
      <c r="C317" s="1" t="n">
        <v>46196</v>
      </c>
      <c r="D317" t="inlineStr">
        <is>
          <t>DALARNAS LÄN</t>
        </is>
      </c>
      <c r="E317" t="inlineStr">
        <is>
          <t>MORA</t>
        </is>
      </c>
      <c r="G317" t="n">
        <v>2.3</v>
      </c>
      <c r="H317" t="n">
        <v>0</v>
      </c>
      <c r="I317" t="n">
        <v>0</v>
      </c>
      <c r="J317" t="n">
        <v>0</v>
      </c>
      <c r="K317" t="n">
        <v>0</v>
      </c>
      <c r="L317" t="n">
        <v>0</v>
      </c>
      <c r="M317" t="n">
        <v>0</v>
      </c>
      <c r="N317" t="n">
        <v>0</v>
      </c>
      <c r="O317" t="n">
        <v>0</v>
      </c>
      <c r="P317" t="n">
        <v>0</v>
      </c>
      <c r="Q317" t="n">
        <v>0</v>
      </c>
      <c r="R317" s="2" t="inlineStr"/>
    </row>
    <row r="318" ht="15" customHeight="1">
      <c r="A318" t="inlineStr">
        <is>
          <t>A 56012-2023</t>
        </is>
      </c>
      <c r="B318" s="1" t="n">
        <v>45240</v>
      </c>
      <c r="C318" s="1" t="n">
        <v>46196</v>
      </c>
      <c r="D318" t="inlineStr">
        <is>
          <t>DALARNAS LÄN</t>
        </is>
      </c>
      <c r="E318" t="inlineStr">
        <is>
          <t>MORA</t>
        </is>
      </c>
      <c r="G318" t="n">
        <v>0.3</v>
      </c>
      <c r="H318" t="n">
        <v>0</v>
      </c>
      <c r="I318" t="n">
        <v>0</v>
      </c>
      <c r="J318" t="n">
        <v>0</v>
      </c>
      <c r="K318" t="n">
        <v>0</v>
      </c>
      <c r="L318" t="n">
        <v>0</v>
      </c>
      <c r="M318" t="n">
        <v>0</v>
      </c>
      <c r="N318" t="n">
        <v>0</v>
      </c>
      <c r="O318" t="n">
        <v>0</v>
      </c>
      <c r="P318" t="n">
        <v>0</v>
      </c>
      <c r="Q318" t="n">
        <v>0</v>
      </c>
      <c r="R318" s="2" t="inlineStr"/>
    </row>
    <row r="319" ht="15" customHeight="1">
      <c r="A319" t="inlineStr">
        <is>
          <t>A 3440-2026</t>
        </is>
      </c>
      <c r="B319" s="1" t="n">
        <v>46042</v>
      </c>
      <c r="C319" s="1" t="n">
        <v>46196</v>
      </c>
      <c r="D319" t="inlineStr">
        <is>
          <t>DALARNAS LÄN</t>
        </is>
      </c>
      <c r="E319" t="inlineStr">
        <is>
          <t>MORA</t>
        </is>
      </c>
      <c r="G319" t="n">
        <v>6.7</v>
      </c>
      <c r="H319" t="n">
        <v>0</v>
      </c>
      <c r="I319" t="n">
        <v>0</v>
      </c>
      <c r="J319" t="n">
        <v>0</v>
      </c>
      <c r="K319" t="n">
        <v>0</v>
      </c>
      <c r="L319" t="n">
        <v>0</v>
      </c>
      <c r="M319" t="n">
        <v>0</v>
      </c>
      <c r="N319" t="n">
        <v>0</v>
      </c>
      <c r="O319" t="n">
        <v>0</v>
      </c>
      <c r="P319" t="n">
        <v>0</v>
      </c>
      <c r="Q319" t="n">
        <v>0</v>
      </c>
      <c r="R319" s="2" t="inlineStr"/>
    </row>
    <row r="320" ht="15" customHeight="1">
      <c r="A320" t="inlineStr">
        <is>
          <t>A 3669-2026</t>
        </is>
      </c>
      <c r="B320" s="1" t="n">
        <v>46043</v>
      </c>
      <c r="C320" s="1" t="n">
        <v>46196</v>
      </c>
      <c r="D320" t="inlineStr">
        <is>
          <t>DALARNAS LÄN</t>
        </is>
      </c>
      <c r="E320" t="inlineStr">
        <is>
          <t>MORA</t>
        </is>
      </c>
      <c r="G320" t="n">
        <v>4.6</v>
      </c>
      <c r="H320" t="n">
        <v>0</v>
      </c>
      <c r="I320" t="n">
        <v>0</v>
      </c>
      <c r="J320" t="n">
        <v>0</v>
      </c>
      <c r="K320" t="n">
        <v>0</v>
      </c>
      <c r="L320" t="n">
        <v>0</v>
      </c>
      <c r="M320" t="n">
        <v>0</v>
      </c>
      <c r="N320" t="n">
        <v>0</v>
      </c>
      <c r="O320" t="n">
        <v>0</v>
      </c>
      <c r="P320" t="n">
        <v>0</v>
      </c>
      <c r="Q320" t="n">
        <v>0</v>
      </c>
      <c r="R320" s="2" t="inlineStr"/>
    </row>
    <row r="321" ht="15" customHeight="1">
      <c r="A321" t="inlineStr">
        <is>
          <t>A 5298-2023</t>
        </is>
      </c>
      <c r="B321" s="1" t="n">
        <v>44959</v>
      </c>
      <c r="C321" s="1" t="n">
        <v>46196</v>
      </c>
      <c r="D321" t="inlineStr">
        <is>
          <t>DALARNAS LÄN</t>
        </is>
      </c>
      <c r="E321" t="inlineStr">
        <is>
          <t>MORA</t>
        </is>
      </c>
      <c r="F321" t="inlineStr">
        <is>
          <t>Bergvik skog väst AB</t>
        </is>
      </c>
      <c r="G321" t="n">
        <v>6.2</v>
      </c>
      <c r="H321" t="n">
        <v>0</v>
      </c>
      <c r="I321" t="n">
        <v>0</v>
      </c>
      <c r="J321" t="n">
        <v>0</v>
      </c>
      <c r="K321" t="n">
        <v>0</v>
      </c>
      <c r="L321" t="n">
        <v>0</v>
      </c>
      <c r="M321" t="n">
        <v>0</v>
      </c>
      <c r="N321" t="n">
        <v>0</v>
      </c>
      <c r="O321" t="n">
        <v>0</v>
      </c>
      <c r="P321" t="n">
        <v>0</v>
      </c>
      <c r="Q321" t="n">
        <v>0</v>
      </c>
      <c r="R321" s="2" t="inlineStr"/>
    </row>
    <row r="322" ht="15" customHeight="1">
      <c r="A322" t="inlineStr">
        <is>
          <t>A 4213-2026</t>
        </is>
      </c>
      <c r="B322" s="1" t="n">
        <v>46044</v>
      </c>
      <c r="C322" s="1" t="n">
        <v>46196</v>
      </c>
      <c r="D322" t="inlineStr">
        <is>
          <t>DALARNAS LÄN</t>
        </is>
      </c>
      <c r="E322" t="inlineStr">
        <is>
          <t>MORA</t>
        </is>
      </c>
      <c r="G322" t="n">
        <v>1.5</v>
      </c>
      <c r="H322" t="n">
        <v>0</v>
      </c>
      <c r="I322" t="n">
        <v>0</v>
      </c>
      <c r="J322" t="n">
        <v>0</v>
      </c>
      <c r="K322" t="n">
        <v>0</v>
      </c>
      <c r="L322" t="n">
        <v>0</v>
      </c>
      <c r="M322" t="n">
        <v>0</v>
      </c>
      <c r="N322" t="n">
        <v>0</v>
      </c>
      <c r="O322" t="n">
        <v>0</v>
      </c>
      <c r="P322" t="n">
        <v>0</v>
      </c>
      <c r="Q322" t="n">
        <v>0</v>
      </c>
      <c r="R322" s="2" t="inlineStr"/>
    </row>
    <row r="323" ht="15" customHeight="1">
      <c r="A323" t="inlineStr">
        <is>
          <t>A 34382-2025</t>
        </is>
      </c>
      <c r="B323" s="1" t="n">
        <v>45846</v>
      </c>
      <c r="C323" s="1" t="n">
        <v>46196</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57859-2022</t>
        </is>
      </c>
      <c r="B324" s="1" t="n">
        <v>44898</v>
      </c>
      <c r="C324" s="1" t="n">
        <v>46196</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25935-2023</t>
        </is>
      </c>
      <c r="B325" s="1" t="n">
        <v>45090</v>
      </c>
      <c r="C325" s="1" t="n">
        <v>46196</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35407-2025</t>
        </is>
      </c>
      <c r="B326" s="1" t="n">
        <v>45855</v>
      </c>
      <c r="C326" s="1" t="n">
        <v>46196</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9277-2024</t>
        </is>
      </c>
      <c r="B327" s="1" t="n">
        <v>45358</v>
      </c>
      <c r="C327" s="1" t="n">
        <v>46196</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35734-2025</t>
        </is>
      </c>
      <c r="B328" s="1" t="n">
        <v>45860</v>
      </c>
      <c r="C328" s="1" t="n">
        <v>46196</v>
      </c>
      <c r="D328" t="inlineStr">
        <is>
          <t>DALARNAS LÄN</t>
        </is>
      </c>
      <c r="E328" t="inlineStr">
        <is>
          <t>MORA</t>
        </is>
      </c>
      <c r="G328" t="n">
        <v>1.3</v>
      </c>
      <c r="H328" t="n">
        <v>0</v>
      </c>
      <c r="I328" t="n">
        <v>0</v>
      </c>
      <c r="J328" t="n">
        <v>0</v>
      </c>
      <c r="K328" t="n">
        <v>0</v>
      </c>
      <c r="L328" t="n">
        <v>0</v>
      </c>
      <c r="M328" t="n">
        <v>0</v>
      </c>
      <c r="N328" t="n">
        <v>0</v>
      </c>
      <c r="O328" t="n">
        <v>0</v>
      </c>
      <c r="P328" t="n">
        <v>0</v>
      </c>
      <c r="Q328" t="n">
        <v>0</v>
      </c>
      <c r="R328" s="2" t="inlineStr"/>
    </row>
    <row r="329" ht="15" customHeight="1">
      <c r="A329" t="inlineStr">
        <is>
          <t>A 6967-2026</t>
        </is>
      </c>
      <c r="B329" s="1" t="n">
        <v>46057</v>
      </c>
      <c r="C329" s="1" t="n">
        <v>46196</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6674-2026</t>
        </is>
      </c>
      <c r="B330" s="1" t="n">
        <v>46056</v>
      </c>
      <c r="C330" s="1" t="n">
        <v>46196</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6690-2026</t>
        </is>
      </c>
      <c r="B331" s="1" t="n">
        <v>46056</v>
      </c>
      <c r="C331" s="1" t="n">
        <v>46196</v>
      </c>
      <c r="D331" t="inlineStr">
        <is>
          <t>DALARNAS LÄN</t>
        </is>
      </c>
      <c r="E331" t="inlineStr">
        <is>
          <t>MORA</t>
        </is>
      </c>
      <c r="G331" t="n">
        <v>1.9</v>
      </c>
      <c r="H331" t="n">
        <v>0</v>
      </c>
      <c r="I331" t="n">
        <v>0</v>
      </c>
      <c r="J331" t="n">
        <v>0</v>
      </c>
      <c r="K331" t="n">
        <v>0</v>
      </c>
      <c r="L331" t="n">
        <v>0</v>
      </c>
      <c r="M331" t="n">
        <v>0</v>
      </c>
      <c r="N331" t="n">
        <v>0</v>
      </c>
      <c r="O331" t="n">
        <v>0</v>
      </c>
      <c r="P331" t="n">
        <v>0</v>
      </c>
      <c r="Q331" t="n">
        <v>0</v>
      </c>
      <c r="R331" s="2" t="inlineStr"/>
    </row>
    <row r="332" ht="15" customHeight="1">
      <c r="A332" t="inlineStr">
        <is>
          <t>A 59182-2023</t>
        </is>
      </c>
      <c r="B332" s="1" t="n">
        <v>45253</v>
      </c>
      <c r="C332" s="1" t="n">
        <v>46196</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35325-2024</t>
        </is>
      </c>
      <c r="B333" s="1" t="n">
        <v>45530</v>
      </c>
      <c r="C333" s="1" t="n">
        <v>46196</v>
      </c>
      <c r="D333" t="inlineStr">
        <is>
          <t>DALARNAS LÄN</t>
        </is>
      </c>
      <c r="E333" t="inlineStr">
        <is>
          <t>MORA</t>
        </is>
      </c>
      <c r="G333" t="n">
        <v>5</v>
      </c>
      <c r="H333" t="n">
        <v>0</v>
      </c>
      <c r="I333" t="n">
        <v>0</v>
      </c>
      <c r="J333" t="n">
        <v>0</v>
      </c>
      <c r="K333" t="n">
        <v>0</v>
      </c>
      <c r="L333" t="n">
        <v>0</v>
      </c>
      <c r="M333" t="n">
        <v>0</v>
      </c>
      <c r="N333" t="n">
        <v>0</v>
      </c>
      <c r="O333" t="n">
        <v>0</v>
      </c>
      <c r="P333" t="n">
        <v>0</v>
      </c>
      <c r="Q333" t="n">
        <v>0</v>
      </c>
      <c r="R333" s="2" t="inlineStr"/>
    </row>
    <row r="334" ht="15" customHeight="1">
      <c r="A334" t="inlineStr">
        <is>
          <t>A 36041-2025</t>
        </is>
      </c>
      <c r="B334" s="1" t="n">
        <v>45866</v>
      </c>
      <c r="C334" s="1" t="n">
        <v>46196</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66232-2021</t>
        </is>
      </c>
      <c r="B335" s="1" t="n">
        <v>44518</v>
      </c>
      <c r="C335" s="1" t="n">
        <v>46196</v>
      </c>
      <c r="D335" t="inlineStr">
        <is>
          <t>DALARNAS LÄN</t>
        </is>
      </c>
      <c r="E335" t="inlineStr">
        <is>
          <t>MORA</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45562-2023</t>
        </is>
      </c>
      <c r="B336" s="1" t="n">
        <v>45194</v>
      </c>
      <c r="C336" s="1" t="n">
        <v>46196</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6802-2026</t>
        </is>
      </c>
      <c r="B337" s="1" t="n">
        <v>46057</v>
      </c>
      <c r="C337" s="1" t="n">
        <v>46196</v>
      </c>
      <c r="D337" t="inlineStr">
        <is>
          <t>DALARNAS LÄN</t>
        </is>
      </c>
      <c r="E337" t="inlineStr">
        <is>
          <t>MORA</t>
        </is>
      </c>
      <c r="G337" t="n">
        <v>5.8</v>
      </c>
      <c r="H337" t="n">
        <v>0</v>
      </c>
      <c r="I337" t="n">
        <v>0</v>
      </c>
      <c r="J337" t="n">
        <v>0</v>
      </c>
      <c r="K337" t="n">
        <v>0</v>
      </c>
      <c r="L337" t="n">
        <v>0</v>
      </c>
      <c r="M337" t="n">
        <v>0</v>
      </c>
      <c r="N337" t="n">
        <v>0</v>
      </c>
      <c r="O337" t="n">
        <v>0</v>
      </c>
      <c r="P337" t="n">
        <v>0</v>
      </c>
      <c r="Q337" t="n">
        <v>0</v>
      </c>
      <c r="R337" s="2" t="inlineStr"/>
    </row>
    <row r="338" ht="15" customHeight="1">
      <c r="A338" t="inlineStr">
        <is>
          <t>A 6923-2026</t>
        </is>
      </c>
      <c r="B338" s="1" t="n">
        <v>46057</v>
      </c>
      <c r="C338" s="1" t="n">
        <v>46196</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36846-2025</t>
        </is>
      </c>
      <c r="B339" s="1" t="n">
        <v>45874</v>
      </c>
      <c r="C339" s="1" t="n">
        <v>46196</v>
      </c>
      <c r="D339" t="inlineStr">
        <is>
          <t>DALARNAS LÄN</t>
        </is>
      </c>
      <c r="E339" t="inlineStr">
        <is>
          <t>MORA</t>
        </is>
      </c>
      <c r="G339" t="n">
        <v>10.7</v>
      </c>
      <c r="H339" t="n">
        <v>0</v>
      </c>
      <c r="I339" t="n">
        <v>0</v>
      </c>
      <c r="J339" t="n">
        <v>0</v>
      </c>
      <c r="K339" t="n">
        <v>0</v>
      </c>
      <c r="L339" t="n">
        <v>0</v>
      </c>
      <c r="M339" t="n">
        <v>0</v>
      </c>
      <c r="N339" t="n">
        <v>0</v>
      </c>
      <c r="O339" t="n">
        <v>0</v>
      </c>
      <c r="P339" t="n">
        <v>0</v>
      </c>
      <c r="Q339" t="n">
        <v>0</v>
      </c>
      <c r="R339" s="2" t="inlineStr"/>
    </row>
    <row r="340" ht="15" customHeight="1">
      <c r="A340" t="inlineStr">
        <is>
          <t>A 22854-2023</t>
        </is>
      </c>
      <c r="B340" s="1" t="n">
        <v>45072</v>
      </c>
      <c r="C340" s="1" t="n">
        <v>46196</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37268-2025</t>
        </is>
      </c>
      <c r="B341" s="1" t="n">
        <v>45876</v>
      </c>
      <c r="C341" s="1" t="n">
        <v>46196</v>
      </c>
      <c r="D341" t="inlineStr">
        <is>
          <t>DALARNAS LÄN</t>
        </is>
      </c>
      <c r="E341" t="inlineStr">
        <is>
          <t>MORA</t>
        </is>
      </c>
      <c r="G341" t="n">
        <v>2.1</v>
      </c>
      <c r="H341" t="n">
        <v>0</v>
      </c>
      <c r="I341" t="n">
        <v>0</v>
      </c>
      <c r="J341" t="n">
        <v>0</v>
      </c>
      <c r="K341" t="n">
        <v>0</v>
      </c>
      <c r="L341" t="n">
        <v>0</v>
      </c>
      <c r="M341" t="n">
        <v>0</v>
      </c>
      <c r="N341" t="n">
        <v>0</v>
      </c>
      <c r="O341" t="n">
        <v>0</v>
      </c>
      <c r="P341" t="n">
        <v>0</v>
      </c>
      <c r="Q341" t="n">
        <v>0</v>
      </c>
      <c r="R341" s="2" t="inlineStr"/>
    </row>
    <row r="342" ht="15" customHeight="1">
      <c r="A342" t="inlineStr">
        <is>
          <t>A 6719-2026</t>
        </is>
      </c>
      <c r="B342" s="1" t="n">
        <v>46056</v>
      </c>
      <c r="C342" s="1" t="n">
        <v>46196</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43569-2025</t>
        </is>
      </c>
      <c r="B343" s="1" t="n">
        <v>45911</v>
      </c>
      <c r="C343" s="1" t="n">
        <v>46196</v>
      </c>
      <c r="D343" t="inlineStr">
        <is>
          <t>DALARNAS LÄN</t>
        </is>
      </c>
      <c r="E343" t="inlineStr">
        <is>
          <t>MORA</t>
        </is>
      </c>
      <c r="G343" t="n">
        <v>4.7</v>
      </c>
      <c r="H343" t="n">
        <v>0</v>
      </c>
      <c r="I343" t="n">
        <v>0</v>
      </c>
      <c r="J343" t="n">
        <v>0</v>
      </c>
      <c r="K343" t="n">
        <v>0</v>
      </c>
      <c r="L343" t="n">
        <v>0</v>
      </c>
      <c r="M343" t="n">
        <v>0</v>
      </c>
      <c r="N343" t="n">
        <v>0</v>
      </c>
      <c r="O343" t="n">
        <v>0</v>
      </c>
      <c r="P343" t="n">
        <v>0</v>
      </c>
      <c r="Q343" t="n">
        <v>0</v>
      </c>
      <c r="R343" s="2" t="inlineStr"/>
    </row>
    <row r="344" ht="15" customHeight="1">
      <c r="A344" t="inlineStr">
        <is>
          <t>A 7418-2026</t>
        </is>
      </c>
      <c r="B344" s="1" t="n">
        <v>46059</v>
      </c>
      <c r="C344" s="1" t="n">
        <v>46196</v>
      </c>
      <c r="D344" t="inlineStr">
        <is>
          <t>DALARNAS LÄN</t>
        </is>
      </c>
      <c r="E344" t="inlineStr">
        <is>
          <t>MORA</t>
        </is>
      </c>
      <c r="G344" t="n">
        <v>4</v>
      </c>
      <c r="H344" t="n">
        <v>0</v>
      </c>
      <c r="I344" t="n">
        <v>0</v>
      </c>
      <c r="J344" t="n">
        <v>0</v>
      </c>
      <c r="K344" t="n">
        <v>0</v>
      </c>
      <c r="L344" t="n">
        <v>0</v>
      </c>
      <c r="M344" t="n">
        <v>0</v>
      </c>
      <c r="N344" t="n">
        <v>0</v>
      </c>
      <c r="O344" t="n">
        <v>0</v>
      </c>
      <c r="P344" t="n">
        <v>0</v>
      </c>
      <c r="Q344" t="n">
        <v>0</v>
      </c>
      <c r="R344" s="2" t="inlineStr"/>
    </row>
    <row r="345" ht="15" customHeight="1">
      <c r="A345" t="inlineStr">
        <is>
          <t>A 8075-2026</t>
        </is>
      </c>
      <c r="B345" s="1" t="n">
        <v>46063</v>
      </c>
      <c r="C345" s="1" t="n">
        <v>46196</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37879-2025</t>
        </is>
      </c>
      <c r="B346" s="1" t="n">
        <v>45881</v>
      </c>
      <c r="C346" s="1" t="n">
        <v>46196</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53527-2024</t>
        </is>
      </c>
      <c r="B347" s="1" t="n">
        <v>45614</v>
      </c>
      <c r="C347" s="1" t="n">
        <v>46196</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8361-2026</t>
        </is>
      </c>
      <c r="B348" s="1" t="n">
        <v>46064</v>
      </c>
      <c r="C348" s="1" t="n">
        <v>46196</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8474-2026</t>
        </is>
      </c>
      <c r="B349" s="1" t="n">
        <v>46065</v>
      </c>
      <c r="C349" s="1" t="n">
        <v>46196</v>
      </c>
      <c r="D349" t="inlineStr">
        <is>
          <t>DALARNAS LÄN</t>
        </is>
      </c>
      <c r="E349" t="inlineStr">
        <is>
          <t>MORA</t>
        </is>
      </c>
      <c r="G349" t="n">
        <v>4.7</v>
      </c>
      <c r="H349" t="n">
        <v>0</v>
      </c>
      <c r="I349" t="n">
        <v>0</v>
      </c>
      <c r="J349" t="n">
        <v>0</v>
      </c>
      <c r="K349" t="n">
        <v>0</v>
      </c>
      <c r="L349" t="n">
        <v>0</v>
      </c>
      <c r="M349" t="n">
        <v>0</v>
      </c>
      <c r="N349" t="n">
        <v>0</v>
      </c>
      <c r="O349" t="n">
        <v>0</v>
      </c>
      <c r="P349" t="n">
        <v>0</v>
      </c>
      <c r="Q349" t="n">
        <v>0</v>
      </c>
      <c r="R349" s="2" t="inlineStr"/>
    </row>
    <row r="350" ht="15" customHeight="1">
      <c r="A350" t="inlineStr">
        <is>
          <t>A 8762-2026</t>
        </is>
      </c>
      <c r="B350" s="1" t="n">
        <v>46066</v>
      </c>
      <c r="C350" s="1" t="n">
        <v>46196</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16967-2025</t>
        </is>
      </c>
      <c r="B351" s="1" t="n">
        <v>45755</v>
      </c>
      <c r="C351" s="1" t="n">
        <v>46196</v>
      </c>
      <c r="D351" t="inlineStr">
        <is>
          <t>DALARNAS LÄN</t>
        </is>
      </c>
      <c r="E351" t="inlineStr">
        <is>
          <t>MORA</t>
        </is>
      </c>
      <c r="F351" t="inlineStr">
        <is>
          <t>Bergvik skog öst AB</t>
        </is>
      </c>
      <c r="G351" t="n">
        <v>2.9</v>
      </c>
      <c r="H351" t="n">
        <v>0</v>
      </c>
      <c r="I351" t="n">
        <v>0</v>
      </c>
      <c r="J351" t="n">
        <v>0</v>
      </c>
      <c r="K351" t="n">
        <v>0</v>
      </c>
      <c r="L351" t="n">
        <v>0</v>
      </c>
      <c r="M351" t="n">
        <v>0</v>
      </c>
      <c r="N351" t="n">
        <v>0</v>
      </c>
      <c r="O351" t="n">
        <v>0</v>
      </c>
      <c r="P351" t="n">
        <v>0</v>
      </c>
      <c r="Q351" t="n">
        <v>0</v>
      </c>
      <c r="R351" s="2" t="inlineStr"/>
    </row>
    <row r="352" ht="15" customHeight="1">
      <c r="A352" t="inlineStr">
        <is>
          <t>A 61278-2024</t>
        </is>
      </c>
      <c r="B352" s="1" t="n">
        <v>45645</v>
      </c>
      <c r="C352" s="1" t="n">
        <v>46196</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20930-2024</t>
        </is>
      </c>
      <c r="B353" s="1" t="n">
        <v>45439</v>
      </c>
      <c r="C353" s="1" t="n">
        <v>46196</v>
      </c>
      <c r="D353" t="inlineStr">
        <is>
          <t>DALARNAS LÄN</t>
        </is>
      </c>
      <c r="E353" t="inlineStr">
        <is>
          <t>MORA</t>
        </is>
      </c>
      <c r="F353" t="inlineStr">
        <is>
          <t>Bergvik skog väst AB</t>
        </is>
      </c>
      <c r="G353" t="n">
        <v>5.3</v>
      </c>
      <c r="H353" t="n">
        <v>0</v>
      </c>
      <c r="I353" t="n">
        <v>0</v>
      </c>
      <c r="J353" t="n">
        <v>0</v>
      </c>
      <c r="K353" t="n">
        <v>0</v>
      </c>
      <c r="L353" t="n">
        <v>0</v>
      </c>
      <c r="M353" t="n">
        <v>0</v>
      </c>
      <c r="N353" t="n">
        <v>0</v>
      </c>
      <c r="O353" t="n">
        <v>0</v>
      </c>
      <c r="P353" t="n">
        <v>0</v>
      </c>
      <c r="Q353" t="n">
        <v>0</v>
      </c>
      <c r="R353" s="2" t="inlineStr"/>
    </row>
    <row r="354" ht="15" customHeight="1">
      <c r="A354" t="inlineStr">
        <is>
          <t>A 42611-2022</t>
        </is>
      </c>
      <c r="B354" s="1" t="n">
        <v>44831</v>
      </c>
      <c r="C354" s="1" t="n">
        <v>46196</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9788-2026</t>
        </is>
      </c>
      <c r="B355" s="1" t="n">
        <v>46072</v>
      </c>
      <c r="C355" s="1" t="n">
        <v>46196</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10181-2026</t>
        </is>
      </c>
      <c r="B356" s="1" t="n">
        <v>46076</v>
      </c>
      <c r="C356" s="1" t="n">
        <v>46196</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33676-2023</t>
        </is>
      </c>
      <c r="B357" s="1" t="n">
        <v>45132</v>
      </c>
      <c r="C357" s="1" t="n">
        <v>46196</v>
      </c>
      <c r="D357" t="inlineStr">
        <is>
          <t>DALARNAS LÄN</t>
        </is>
      </c>
      <c r="E357" t="inlineStr">
        <is>
          <t>MORA</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61188-2024</t>
        </is>
      </c>
      <c r="B358" s="1" t="n">
        <v>45645</v>
      </c>
      <c r="C358" s="1" t="n">
        <v>46196</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37710-2023</t>
        </is>
      </c>
      <c r="B359" s="1" t="n">
        <v>45159</v>
      </c>
      <c r="C359" s="1" t="n">
        <v>46196</v>
      </c>
      <c r="D359" t="inlineStr">
        <is>
          <t>DALARNAS LÄN</t>
        </is>
      </c>
      <c r="E359" t="inlineStr">
        <is>
          <t>MORA</t>
        </is>
      </c>
      <c r="G359" t="n">
        <v>1.9</v>
      </c>
      <c r="H359" t="n">
        <v>0</v>
      </c>
      <c r="I359" t="n">
        <v>0</v>
      </c>
      <c r="J359" t="n">
        <v>0</v>
      </c>
      <c r="K359" t="n">
        <v>0</v>
      </c>
      <c r="L359" t="n">
        <v>0</v>
      </c>
      <c r="M359" t="n">
        <v>0</v>
      </c>
      <c r="N359" t="n">
        <v>0</v>
      </c>
      <c r="O359" t="n">
        <v>0</v>
      </c>
      <c r="P359" t="n">
        <v>0</v>
      </c>
      <c r="Q359" t="n">
        <v>0</v>
      </c>
      <c r="R359" s="2" t="inlineStr"/>
    </row>
    <row r="360" ht="15" customHeight="1">
      <c r="A360" t="inlineStr">
        <is>
          <t>A 11176-2026</t>
        </is>
      </c>
      <c r="B360" s="1" t="n">
        <v>46080</v>
      </c>
      <c r="C360" s="1" t="n">
        <v>46196</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28934-2023</t>
        </is>
      </c>
      <c r="B361" s="1" t="n">
        <v>45104</v>
      </c>
      <c r="C361" s="1" t="n">
        <v>46196</v>
      </c>
      <c r="D361" t="inlineStr">
        <is>
          <t>DALARNAS LÄN</t>
        </is>
      </c>
      <c r="E361" t="inlineStr">
        <is>
          <t>MORA</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15416-2023</t>
        </is>
      </c>
      <c r="B362" s="1" t="n">
        <v>45019</v>
      </c>
      <c r="C362" s="1" t="n">
        <v>46196</v>
      </c>
      <c r="D362" t="inlineStr">
        <is>
          <t>DALARNAS LÄN</t>
        </is>
      </c>
      <c r="E362" t="inlineStr">
        <is>
          <t>MORA</t>
        </is>
      </c>
      <c r="G362" t="n">
        <v>2</v>
      </c>
      <c r="H362" t="n">
        <v>0</v>
      </c>
      <c r="I362" t="n">
        <v>0</v>
      </c>
      <c r="J362" t="n">
        <v>0</v>
      </c>
      <c r="K362" t="n">
        <v>0</v>
      </c>
      <c r="L362" t="n">
        <v>0</v>
      </c>
      <c r="M362" t="n">
        <v>0</v>
      </c>
      <c r="N362" t="n">
        <v>0</v>
      </c>
      <c r="O362" t="n">
        <v>0</v>
      </c>
      <c r="P362" t="n">
        <v>0</v>
      </c>
      <c r="Q362" t="n">
        <v>0</v>
      </c>
      <c r="R362" s="2" t="inlineStr"/>
    </row>
    <row r="363" ht="15" customHeight="1">
      <c r="A363" t="inlineStr">
        <is>
          <t>A 11705-2026</t>
        </is>
      </c>
      <c r="B363" s="1" t="n">
        <v>46084</v>
      </c>
      <c r="C363" s="1" t="n">
        <v>46196</v>
      </c>
      <c r="D363" t="inlineStr">
        <is>
          <t>DALARNAS LÄN</t>
        </is>
      </c>
      <c r="E363" t="inlineStr">
        <is>
          <t>MORA</t>
        </is>
      </c>
      <c r="G363" t="n">
        <v>4.2</v>
      </c>
      <c r="H363" t="n">
        <v>0</v>
      </c>
      <c r="I363" t="n">
        <v>0</v>
      </c>
      <c r="J363" t="n">
        <v>0</v>
      </c>
      <c r="K363" t="n">
        <v>0</v>
      </c>
      <c r="L363" t="n">
        <v>0</v>
      </c>
      <c r="M363" t="n">
        <v>0</v>
      </c>
      <c r="N363" t="n">
        <v>0</v>
      </c>
      <c r="O363" t="n">
        <v>0</v>
      </c>
      <c r="P363" t="n">
        <v>0</v>
      </c>
      <c r="Q363" t="n">
        <v>0</v>
      </c>
      <c r="R363" s="2" t="inlineStr"/>
    </row>
    <row r="364" ht="15" customHeight="1">
      <c r="A364" t="inlineStr">
        <is>
          <t>A 54253-2023</t>
        </is>
      </c>
      <c r="B364" s="1" t="n">
        <v>45232</v>
      </c>
      <c r="C364" s="1" t="n">
        <v>46196</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57608-2021</t>
        </is>
      </c>
      <c r="B365" s="1" t="n">
        <v>44484</v>
      </c>
      <c r="C365" s="1" t="n">
        <v>46196</v>
      </c>
      <c r="D365" t="inlineStr">
        <is>
          <t>DALARNAS LÄN</t>
        </is>
      </c>
      <c r="E365" t="inlineStr">
        <is>
          <t>MORA</t>
        </is>
      </c>
      <c r="G365" t="n">
        <v>6.3</v>
      </c>
      <c r="H365" t="n">
        <v>0</v>
      </c>
      <c r="I365" t="n">
        <v>0</v>
      </c>
      <c r="J365" t="n">
        <v>0</v>
      </c>
      <c r="K365" t="n">
        <v>0</v>
      </c>
      <c r="L365" t="n">
        <v>0</v>
      </c>
      <c r="M365" t="n">
        <v>0</v>
      </c>
      <c r="N365" t="n">
        <v>0</v>
      </c>
      <c r="O365" t="n">
        <v>0</v>
      </c>
      <c r="P365" t="n">
        <v>0</v>
      </c>
      <c r="Q365" t="n">
        <v>0</v>
      </c>
      <c r="R365" s="2" t="inlineStr"/>
    </row>
    <row r="366" ht="15" customHeight="1">
      <c r="A366" t="inlineStr">
        <is>
          <t>A 11819-2026</t>
        </is>
      </c>
      <c r="B366" s="1" t="n">
        <v>46085</v>
      </c>
      <c r="C366" s="1" t="n">
        <v>46196</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11875-2026</t>
        </is>
      </c>
      <c r="B367" s="1" t="n">
        <v>46085</v>
      </c>
      <c r="C367" s="1" t="n">
        <v>46196</v>
      </c>
      <c r="D367" t="inlineStr">
        <is>
          <t>DALARNAS LÄN</t>
        </is>
      </c>
      <c r="E367" t="inlineStr">
        <is>
          <t>MORA</t>
        </is>
      </c>
      <c r="G367" t="n">
        <v>3.7</v>
      </c>
      <c r="H367" t="n">
        <v>0</v>
      </c>
      <c r="I367" t="n">
        <v>0</v>
      </c>
      <c r="J367" t="n">
        <v>0</v>
      </c>
      <c r="K367" t="n">
        <v>0</v>
      </c>
      <c r="L367" t="n">
        <v>0</v>
      </c>
      <c r="M367" t="n">
        <v>0</v>
      </c>
      <c r="N367" t="n">
        <v>0</v>
      </c>
      <c r="O367" t="n">
        <v>0</v>
      </c>
      <c r="P367" t="n">
        <v>0</v>
      </c>
      <c r="Q367" t="n">
        <v>0</v>
      </c>
      <c r="R367" s="2" t="inlineStr"/>
    </row>
    <row r="368" ht="15" customHeight="1">
      <c r="A368" t="inlineStr">
        <is>
          <t>A 12527-2026</t>
        </is>
      </c>
      <c r="B368" s="1" t="n">
        <v>46090</v>
      </c>
      <c r="C368" s="1" t="n">
        <v>46196</v>
      </c>
      <c r="D368" t="inlineStr">
        <is>
          <t>DALARNAS LÄN</t>
        </is>
      </c>
      <c r="E368" t="inlineStr">
        <is>
          <t>MORA</t>
        </is>
      </c>
      <c r="G368" t="n">
        <v>17.5</v>
      </c>
      <c r="H368" t="n">
        <v>0</v>
      </c>
      <c r="I368" t="n">
        <v>0</v>
      </c>
      <c r="J368" t="n">
        <v>0</v>
      </c>
      <c r="K368" t="n">
        <v>0</v>
      </c>
      <c r="L368" t="n">
        <v>0</v>
      </c>
      <c r="M368" t="n">
        <v>0</v>
      </c>
      <c r="N368" t="n">
        <v>0</v>
      </c>
      <c r="O368" t="n">
        <v>0</v>
      </c>
      <c r="P368" t="n">
        <v>0</v>
      </c>
      <c r="Q368" t="n">
        <v>0</v>
      </c>
      <c r="R368" s="2" t="inlineStr"/>
    </row>
    <row r="369" ht="15" customHeight="1">
      <c r="A369" t="inlineStr">
        <is>
          <t>A 25887-2023</t>
        </is>
      </c>
      <c r="B369" s="1" t="n">
        <v>45090</v>
      </c>
      <c r="C369" s="1" t="n">
        <v>46196</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12664-2026</t>
        </is>
      </c>
      <c r="B370" s="1" t="n">
        <v>46091</v>
      </c>
      <c r="C370" s="1" t="n">
        <v>46196</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12610-2026</t>
        </is>
      </c>
      <c r="B371" s="1" t="n">
        <v>46091</v>
      </c>
      <c r="C371" s="1" t="n">
        <v>46196</v>
      </c>
      <c r="D371" t="inlineStr">
        <is>
          <t>DALARNAS LÄN</t>
        </is>
      </c>
      <c r="E371" t="inlineStr">
        <is>
          <t>MORA</t>
        </is>
      </c>
      <c r="G371" t="n">
        <v>8.1</v>
      </c>
      <c r="H371" t="n">
        <v>0</v>
      </c>
      <c r="I371" t="n">
        <v>0</v>
      </c>
      <c r="J371" t="n">
        <v>0</v>
      </c>
      <c r="K371" t="n">
        <v>0</v>
      </c>
      <c r="L371" t="n">
        <v>0</v>
      </c>
      <c r="M371" t="n">
        <v>0</v>
      </c>
      <c r="N371" t="n">
        <v>0</v>
      </c>
      <c r="O371" t="n">
        <v>0</v>
      </c>
      <c r="P371" t="n">
        <v>0</v>
      </c>
      <c r="Q371" t="n">
        <v>0</v>
      </c>
      <c r="R371" s="2" t="inlineStr"/>
    </row>
    <row r="372" ht="15" customHeight="1">
      <c r="A372" t="inlineStr">
        <is>
          <t>A 64099-2023</t>
        </is>
      </c>
      <c r="B372" s="1" t="n">
        <v>45279</v>
      </c>
      <c r="C372" s="1" t="n">
        <v>46196</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5936-2026</t>
        </is>
      </c>
      <c r="B373" s="1" t="n">
        <v>46052</v>
      </c>
      <c r="C373" s="1" t="n">
        <v>46196</v>
      </c>
      <c r="D373" t="inlineStr">
        <is>
          <t>DALARNAS LÄN</t>
        </is>
      </c>
      <c r="E373" t="inlineStr">
        <is>
          <t>MORA</t>
        </is>
      </c>
      <c r="G373" t="n">
        <v>11.1</v>
      </c>
      <c r="H373" t="n">
        <v>0</v>
      </c>
      <c r="I373" t="n">
        <v>0</v>
      </c>
      <c r="J373" t="n">
        <v>0</v>
      </c>
      <c r="K373" t="n">
        <v>0</v>
      </c>
      <c r="L373" t="n">
        <v>0</v>
      </c>
      <c r="M373" t="n">
        <v>0</v>
      </c>
      <c r="N373" t="n">
        <v>0</v>
      </c>
      <c r="O373" t="n">
        <v>0</v>
      </c>
      <c r="P373" t="n">
        <v>0</v>
      </c>
      <c r="Q373" t="n">
        <v>0</v>
      </c>
      <c r="R373" s="2" t="inlineStr"/>
    </row>
    <row r="374" ht="15" customHeight="1">
      <c r="A374" t="inlineStr">
        <is>
          <t>A 19910-2024</t>
        </is>
      </c>
      <c r="B374" s="1" t="n">
        <v>45433</v>
      </c>
      <c r="C374" s="1" t="n">
        <v>46196</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23300-2024</t>
        </is>
      </c>
      <c r="B375" s="1" t="n">
        <v>45453</v>
      </c>
      <c r="C375" s="1" t="n">
        <v>46196</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13543-2026</t>
        </is>
      </c>
      <c r="B376" s="1" t="n">
        <v>46094</v>
      </c>
      <c r="C376" s="1" t="n">
        <v>46196</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13853-2026</t>
        </is>
      </c>
      <c r="B377" s="1" t="n">
        <v>46098</v>
      </c>
      <c r="C377" s="1" t="n">
        <v>46196</v>
      </c>
      <c r="D377" t="inlineStr">
        <is>
          <t>DALARNAS LÄN</t>
        </is>
      </c>
      <c r="E377" t="inlineStr">
        <is>
          <t>MORA</t>
        </is>
      </c>
      <c r="G377" t="n">
        <v>1.4</v>
      </c>
      <c r="H377" t="n">
        <v>0</v>
      </c>
      <c r="I377" t="n">
        <v>0</v>
      </c>
      <c r="J377" t="n">
        <v>0</v>
      </c>
      <c r="K377" t="n">
        <v>0</v>
      </c>
      <c r="L377" t="n">
        <v>0</v>
      </c>
      <c r="M377" t="n">
        <v>0</v>
      </c>
      <c r="N377" t="n">
        <v>0</v>
      </c>
      <c r="O377" t="n">
        <v>0</v>
      </c>
      <c r="P377" t="n">
        <v>0</v>
      </c>
      <c r="Q377" t="n">
        <v>0</v>
      </c>
      <c r="R377" s="2" t="inlineStr"/>
    </row>
    <row r="378" ht="15" customHeight="1">
      <c r="A378" t="inlineStr">
        <is>
          <t>A 13902-2026</t>
        </is>
      </c>
      <c r="B378" s="1" t="n">
        <v>46098</v>
      </c>
      <c r="C378" s="1" t="n">
        <v>46196</v>
      </c>
      <c r="D378" t="inlineStr">
        <is>
          <t>DALARNAS LÄN</t>
        </is>
      </c>
      <c r="E378" t="inlineStr">
        <is>
          <t>MORA</t>
        </is>
      </c>
      <c r="G378" t="n">
        <v>5.3</v>
      </c>
      <c r="H378" t="n">
        <v>0</v>
      </c>
      <c r="I378" t="n">
        <v>0</v>
      </c>
      <c r="J378" t="n">
        <v>0</v>
      </c>
      <c r="K378" t="n">
        <v>0</v>
      </c>
      <c r="L378" t="n">
        <v>0</v>
      </c>
      <c r="M378" t="n">
        <v>0</v>
      </c>
      <c r="N378" t="n">
        <v>0</v>
      </c>
      <c r="O378" t="n">
        <v>0</v>
      </c>
      <c r="P378" t="n">
        <v>0</v>
      </c>
      <c r="Q378" t="n">
        <v>0</v>
      </c>
      <c r="R378" s="2" t="inlineStr"/>
    </row>
    <row r="379" ht="15" customHeight="1">
      <c r="A379" t="inlineStr">
        <is>
          <t>A 9599-2022</t>
        </is>
      </c>
      <c r="B379" s="1" t="n">
        <v>44617</v>
      </c>
      <c r="C379" s="1" t="n">
        <v>46196</v>
      </c>
      <c r="D379" t="inlineStr">
        <is>
          <t>DALARNAS LÄN</t>
        </is>
      </c>
      <c r="E379" t="inlineStr">
        <is>
          <t>MORA</t>
        </is>
      </c>
      <c r="G379" t="n">
        <v>2.1</v>
      </c>
      <c r="H379" t="n">
        <v>0</v>
      </c>
      <c r="I379" t="n">
        <v>0</v>
      </c>
      <c r="J379" t="n">
        <v>0</v>
      </c>
      <c r="K379" t="n">
        <v>0</v>
      </c>
      <c r="L379" t="n">
        <v>0</v>
      </c>
      <c r="M379" t="n">
        <v>0</v>
      </c>
      <c r="N379" t="n">
        <v>0</v>
      </c>
      <c r="O379" t="n">
        <v>0</v>
      </c>
      <c r="P379" t="n">
        <v>0</v>
      </c>
      <c r="Q379" t="n">
        <v>0</v>
      </c>
      <c r="R379" s="2" t="inlineStr"/>
    </row>
    <row r="380" ht="15" customHeight="1">
      <c r="A380" t="inlineStr">
        <is>
          <t>A 54257-2023</t>
        </is>
      </c>
      <c r="B380" s="1" t="n">
        <v>45232</v>
      </c>
      <c r="C380" s="1" t="n">
        <v>46196</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15343-2026</t>
        </is>
      </c>
      <c r="B381" s="1" t="n">
        <v>46105</v>
      </c>
      <c r="C381" s="1" t="n">
        <v>46196</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15860-2026</t>
        </is>
      </c>
      <c r="B382" s="1" t="n">
        <v>46107</v>
      </c>
      <c r="C382" s="1" t="n">
        <v>46196</v>
      </c>
      <c r="D382" t="inlineStr">
        <is>
          <t>DALARNAS LÄN</t>
        </is>
      </c>
      <c r="E382" t="inlineStr">
        <is>
          <t>MORA</t>
        </is>
      </c>
      <c r="G382" t="n">
        <v>2</v>
      </c>
      <c r="H382" t="n">
        <v>0</v>
      </c>
      <c r="I382" t="n">
        <v>0</v>
      </c>
      <c r="J382" t="n">
        <v>0</v>
      </c>
      <c r="K382" t="n">
        <v>0</v>
      </c>
      <c r="L382" t="n">
        <v>0</v>
      </c>
      <c r="M382" t="n">
        <v>0</v>
      </c>
      <c r="N382" t="n">
        <v>0</v>
      </c>
      <c r="O382" t="n">
        <v>0</v>
      </c>
      <c r="P382" t="n">
        <v>0</v>
      </c>
      <c r="Q382" t="n">
        <v>0</v>
      </c>
      <c r="R382" s="2" t="inlineStr"/>
    </row>
    <row r="383" ht="15" customHeight="1">
      <c r="A383" t="inlineStr">
        <is>
          <t>A 16547-2026</t>
        </is>
      </c>
      <c r="B383" s="1" t="n">
        <v>46112</v>
      </c>
      <c r="C383" s="1" t="n">
        <v>46196</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25499-2024</t>
        </is>
      </c>
      <c r="B384" s="1" t="n">
        <v>45463</v>
      </c>
      <c r="C384" s="1" t="n">
        <v>46196</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58958-2022</t>
        </is>
      </c>
      <c r="B385" s="1" t="n">
        <v>44903</v>
      </c>
      <c r="C385" s="1" t="n">
        <v>46196</v>
      </c>
      <c r="D385" t="inlineStr">
        <is>
          <t>DALARNAS LÄN</t>
        </is>
      </c>
      <c r="E385" t="inlineStr">
        <is>
          <t>MORA</t>
        </is>
      </c>
      <c r="G385" t="n">
        <v>1.1</v>
      </c>
      <c r="H385" t="n">
        <v>0</v>
      </c>
      <c r="I385" t="n">
        <v>0</v>
      </c>
      <c r="J385" t="n">
        <v>0</v>
      </c>
      <c r="K385" t="n">
        <v>0</v>
      </c>
      <c r="L385" t="n">
        <v>0</v>
      </c>
      <c r="M385" t="n">
        <v>0</v>
      </c>
      <c r="N385" t="n">
        <v>0</v>
      </c>
      <c r="O385" t="n">
        <v>0</v>
      </c>
      <c r="P385" t="n">
        <v>0</v>
      </c>
      <c r="Q385" t="n">
        <v>0</v>
      </c>
      <c r="R385" s="2" t="inlineStr"/>
    </row>
    <row r="386" ht="15" customHeight="1">
      <c r="A386" t="inlineStr">
        <is>
          <t>A 22536-2026</t>
        </is>
      </c>
      <c r="B386" s="1" t="n">
        <v>46155</v>
      </c>
      <c r="C386" s="1" t="n">
        <v>46196</v>
      </c>
      <c r="D386" t="inlineStr">
        <is>
          <t>DALARNAS LÄN</t>
        </is>
      </c>
      <c r="E386" t="inlineStr">
        <is>
          <t>MORA</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18214-2024</t>
        </is>
      </c>
      <c r="B387" s="1" t="n">
        <v>45420</v>
      </c>
      <c r="C387" s="1" t="n">
        <v>46196</v>
      </c>
      <c r="D387" t="inlineStr">
        <is>
          <t>DALARNAS LÄN</t>
        </is>
      </c>
      <c r="E387" t="inlineStr">
        <is>
          <t>MORA</t>
        </is>
      </c>
      <c r="G387" t="n">
        <v>1</v>
      </c>
      <c r="H387" t="n">
        <v>0</v>
      </c>
      <c r="I387" t="n">
        <v>0</v>
      </c>
      <c r="J387" t="n">
        <v>0</v>
      </c>
      <c r="K387" t="n">
        <v>0</v>
      </c>
      <c r="L387" t="n">
        <v>0</v>
      </c>
      <c r="M387" t="n">
        <v>0</v>
      </c>
      <c r="N387" t="n">
        <v>0</v>
      </c>
      <c r="O387" t="n">
        <v>0</v>
      </c>
      <c r="P387" t="n">
        <v>0</v>
      </c>
      <c r="Q387" t="n">
        <v>0</v>
      </c>
      <c r="R387" s="2" t="inlineStr"/>
    </row>
    <row r="388" ht="15" customHeight="1">
      <c r="A388" t="inlineStr">
        <is>
          <t>A 22568-2026</t>
        </is>
      </c>
      <c r="B388" s="1" t="n">
        <v>46155</v>
      </c>
      <c r="C388" s="1" t="n">
        <v>46196</v>
      </c>
      <c r="D388" t="inlineStr">
        <is>
          <t>DALARNAS LÄN</t>
        </is>
      </c>
      <c r="E388" t="inlineStr">
        <is>
          <t>MORA</t>
        </is>
      </c>
      <c r="F388" t="inlineStr">
        <is>
          <t>Bergvik skog öst AB</t>
        </is>
      </c>
      <c r="G388" t="n">
        <v>6.7</v>
      </c>
      <c r="H388" t="n">
        <v>0</v>
      </c>
      <c r="I388" t="n">
        <v>0</v>
      </c>
      <c r="J388" t="n">
        <v>0</v>
      </c>
      <c r="K388" t="n">
        <v>0</v>
      </c>
      <c r="L388" t="n">
        <v>0</v>
      </c>
      <c r="M388" t="n">
        <v>0</v>
      </c>
      <c r="N388" t="n">
        <v>0</v>
      </c>
      <c r="O388" t="n">
        <v>0</v>
      </c>
      <c r="P388" t="n">
        <v>0</v>
      </c>
      <c r="Q388" t="n">
        <v>0</v>
      </c>
      <c r="R388" s="2" t="inlineStr"/>
    </row>
    <row r="389" ht="15" customHeight="1">
      <c r="A389" t="inlineStr">
        <is>
          <t>A 22962-2026</t>
        </is>
      </c>
      <c r="B389" s="1" t="n">
        <v>46160</v>
      </c>
      <c r="C389" s="1" t="n">
        <v>46196</v>
      </c>
      <c r="D389" t="inlineStr">
        <is>
          <t>DALARNAS LÄN</t>
        </is>
      </c>
      <c r="E389" t="inlineStr">
        <is>
          <t>MORA</t>
        </is>
      </c>
      <c r="F389" t="inlineStr">
        <is>
          <t>Bergvik skog öst AB</t>
        </is>
      </c>
      <c r="G389" t="n">
        <v>1.9</v>
      </c>
      <c r="H389" t="n">
        <v>0</v>
      </c>
      <c r="I389" t="n">
        <v>0</v>
      </c>
      <c r="J389" t="n">
        <v>0</v>
      </c>
      <c r="K389" t="n">
        <v>0</v>
      </c>
      <c r="L389" t="n">
        <v>0</v>
      </c>
      <c r="M389" t="n">
        <v>0</v>
      </c>
      <c r="N389" t="n">
        <v>0</v>
      </c>
      <c r="O389" t="n">
        <v>0</v>
      </c>
      <c r="P389" t="n">
        <v>0</v>
      </c>
      <c r="Q389" t="n">
        <v>0</v>
      </c>
      <c r="R389" s="2" t="inlineStr"/>
    </row>
    <row r="390" ht="15" customHeight="1">
      <c r="A390" t="inlineStr">
        <is>
          <t>A 23267-2026</t>
        </is>
      </c>
      <c r="B390" s="1" t="n">
        <v>46162</v>
      </c>
      <c r="C390" s="1" t="n">
        <v>46196</v>
      </c>
      <c r="D390" t="inlineStr">
        <is>
          <t>DALARNAS LÄN</t>
        </is>
      </c>
      <c r="E390" t="inlineStr">
        <is>
          <t>MORA</t>
        </is>
      </c>
      <c r="G390" t="n">
        <v>0.5</v>
      </c>
      <c r="H390" t="n">
        <v>0</v>
      </c>
      <c r="I390" t="n">
        <v>0</v>
      </c>
      <c r="J390" t="n">
        <v>0</v>
      </c>
      <c r="K390" t="n">
        <v>0</v>
      </c>
      <c r="L390" t="n">
        <v>0</v>
      </c>
      <c r="M390" t="n">
        <v>0</v>
      </c>
      <c r="N390" t="n">
        <v>0</v>
      </c>
      <c r="O390" t="n">
        <v>0</v>
      </c>
      <c r="P390" t="n">
        <v>0</v>
      </c>
      <c r="Q390" t="n">
        <v>0</v>
      </c>
      <c r="R390" s="2" t="inlineStr"/>
    </row>
    <row r="391" ht="15" customHeight="1">
      <c r="A391" t="inlineStr">
        <is>
          <t>A 17393-2026</t>
        </is>
      </c>
      <c r="B391" s="1" t="n">
        <v>46119</v>
      </c>
      <c r="C391" s="1" t="n">
        <v>46196</v>
      </c>
      <c r="D391" t="inlineStr">
        <is>
          <t>DALARNAS LÄN</t>
        </is>
      </c>
      <c r="E391" t="inlineStr">
        <is>
          <t>MORA</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23122-2026</t>
        </is>
      </c>
      <c r="B392" s="1" t="n">
        <v>46161</v>
      </c>
      <c r="C392" s="1" t="n">
        <v>46196</v>
      </c>
      <c r="D392" t="inlineStr">
        <is>
          <t>DALARNAS LÄN</t>
        </is>
      </c>
      <c r="E392" t="inlineStr">
        <is>
          <t>MORA</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23139-2026</t>
        </is>
      </c>
      <c r="B393" s="1" t="n">
        <v>46161</v>
      </c>
      <c r="C393" s="1" t="n">
        <v>46196</v>
      </c>
      <c r="D393" t="inlineStr">
        <is>
          <t>DALARNAS LÄN</t>
        </is>
      </c>
      <c r="E393" t="inlineStr">
        <is>
          <t>MORA</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17394-2026</t>
        </is>
      </c>
      <c r="B394" s="1" t="n">
        <v>46119</v>
      </c>
      <c r="C394" s="1" t="n">
        <v>46196</v>
      </c>
      <c r="D394" t="inlineStr">
        <is>
          <t>DALARNAS LÄN</t>
        </is>
      </c>
      <c r="E394" t="inlineStr">
        <is>
          <t>MORA</t>
        </is>
      </c>
      <c r="F394" t="inlineStr">
        <is>
          <t>Bergvik skog öst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17392-2026</t>
        </is>
      </c>
      <c r="B395" s="1" t="n">
        <v>46119</v>
      </c>
      <c r="C395" s="1" t="n">
        <v>46196</v>
      </c>
      <c r="D395" t="inlineStr">
        <is>
          <t>DALARNAS LÄN</t>
        </is>
      </c>
      <c r="E395" t="inlineStr">
        <is>
          <t>MORA</t>
        </is>
      </c>
      <c r="F395" t="inlineStr">
        <is>
          <t>Bergvik skog öst AB</t>
        </is>
      </c>
      <c r="G395" t="n">
        <v>4</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v>
      </c>
      <c r="C396" s="1" t="n">
        <v>46196</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23690-2026</t>
        </is>
      </c>
      <c r="B397" s="1" t="n">
        <v>46164</v>
      </c>
      <c r="C397" s="1" t="n">
        <v>46196</v>
      </c>
      <c r="D397" t="inlineStr">
        <is>
          <t>DALARNAS LÄN</t>
        </is>
      </c>
      <c r="E397" t="inlineStr">
        <is>
          <t>MORA</t>
        </is>
      </c>
      <c r="F397" t="inlineStr">
        <is>
          <t>Bergvik skog öst AB</t>
        </is>
      </c>
      <c r="G397" t="n">
        <v>2</v>
      </c>
      <c r="H397" t="n">
        <v>0</v>
      </c>
      <c r="I397" t="n">
        <v>0</v>
      </c>
      <c r="J397" t="n">
        <v>0</v>
      </c>
      <c r="K397" t="n">
        <v>0</v>
      </c>
      <c r="L397" t="n">
        <v>0</v>
      </c>
      <c r="M397" t="n">
        <v>0</v>
      </c>
      <c r="N397" t="n">
        <v>0</v>
      </c>
      <c r="O397" t="n">
        <v>0</v>
      </c>
      <c r="P397" t="n">
        <v>0</v>
      </c>
      <c r="Q397" t="n">
        <v>0</v>
      </c>
      <c r="R397" s="2" t="inlineStr"/>
    </row>
    <row r="398" ht="15" customHeight="1">
      <c r="A398" t="inlineStr">
        <is>
          <t>A 17805-2026</t>
        </is>
      </c>
      <c r="B398" s="1" t="n">
        <v>46121</v>
      </c>
      <c r="C398" s="1" t="n">
        <v>46196</v>
      </c>
      <c r="D398" t="inlineStr">
        <is>
          <t>DALARNAS LÄN</t>
        </is>
      </c>
      <c r="E398" t="inlineStr">
        <is>
          <t>MORA</t>
        </is>
      </c>
      <c r="G398" t="n">
        <v>1.3</v>
      </c>
      <c r="H398" t="n">
        <v>0</v>
      </c>
      <c r="I398" t="n">
        <v>0</v>
      </c>
      <c r="J398" t="n">
        <v>0</v>
      </c>
      <c r="K398" t="n">
        <v>0</v>
      </c>
      <c r="L398" t="n">
        <v>0</v>
      </c>
      <c r="M398" t="n">
        <v>0</v>
      </c>
      <c r="N398" t="n">
        <v>0</v>
      </c>
      <c r="O398" t="n">
        <v>0</v>
      </c>
      <c r="P398" t="n">
        <v>0</v>
      </c>
      <c r="Q398" t="n">
        <v>0</v>
      </c>
      <c r="R398" s="2" t="inlineStr"/>
    </row>
    <row r="399" ht="15" customHeight="1">
      <c r="A399" t="inlineStr">
        <is>
          <t>A 17756-2026</t>
        </is>
      </c>
      <c r="B399" s="1" t="n">
        <v>46122</v>
      </c>
      <c r="C399" s="1" t="n">
        <v>46196</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22953-2026</t>
        </is>
      </c>
      <c r="B400" s="1" t="n">
        <v>46160</v>
      </c>
      <c r="C400" s="1" t="n">
        <v>46196</v>
      </c>
      <c r="D400" t="inlineStr">
        <is>
          <t>DALARNAS LÄN</t>
        </is>
      </c>
      <c r="E400" t="inlineStr">
        <is>
          <t>MORA</t>
        </is>
      </c>
      <c r="G400" t="n">
        <v>2.4</v>
      </c>
      <c r="H400" t="n">
        <v>0</v>
      </c>
      <c r="I400" t="n">
        <v>0</v>
      </c>
      <c r="J400" t="n">
        <v>0</v>
      </c>
      <c r="K400" t="n">
        <v>0</v>
      </c>
      <c r="L400" t="n">
        <v>0</v>
      </c>
      <c r="M400" t="n">
        <v>0</v>
      </c>
      <c r="N400" t="n">
        <v>0</v>
      </c>
      <c r="O400" t="n">
        <v>0</v>
      </c>
      <c r="P400" t="n">
        <v>0</v>
      </c>
      <c r="Q400" t="n">
        <v>0</v>
      </c>
      <c r="R400" s="2" t="inlineStr"/>
    </row>
    <row r="401" ht="15" customHeight="1">
      <c r="A401" t="inlineStr">
        <is>
          <t>A 18412-2026</t>
        </is>
      </c>
      <c r="B401" s="1" t="n">
        <v>46126</v>
      </c>
      <c r="C401" s="1" t="n">
        <v>46196</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24043-2026</t>
        </is>
      </c>
      <c r="B402" s="1" t="n">
        <v>46168</v>
      </c>
      <c r="C402" s="1" t="n">
        <v>46196</v>
      </c>
      <c r="D402" t="inlineStr">
        <is>
          <t>DALARNAS LÄN</t>
        </is>
      </c>
      <c r="E402" t="inlineStr">
        <is>
          <t>MORA</t>
        </is>
      </c>
      <c r="F402" t="inlineStr">
        <is>
          <t>Bergvik skog öst AB</t>
        </is>
      </c>
      <c r="G402" t="n">
        <v>0.3</v>
      </c>
      <c r="H402" t="n">
        <v>0</v>
      </c>
      <c r="I402" t="n">
        <v>0</v>
      </c>
      <c r="J402" t="n">
        <v>0</v>
      </c>
      <c r="K402" t="n">
        <v>0</v>
      </c>
      <c r="L402" t="n">
        <v>0</v>
      </c>
      <c r="M402" t="n">
        <v>0</v>
      </c>
      <c r="N402" t="n">
        <v>0</v>
      </c>
      <c r="O402" t="n">
        <v>0</v>
      </c>
      <c r="P402" t="n">
        <v>0</v>
      </c>
      <c r="Q402" t="n">
        <v>0</v>
      </c>
      <c r="R402" s="2" t="inlineStr"/>
    </row>
    <row r="403" ht="15" customHeight="1">
      <c r="A403" t="inlineStr">
        <is>
          <t>A 23972-2026</t>
        </is>
      </c>
      <c r="B403" s="1" t="n">
        <v>46167</v>
      </c>
      <c r="C403" s="1" t="n">
        <v>46196</v>
      </c>
      <c r="D403" t="inlineStr">
        <is>
          <t>DALARNAS LÄN</t>
        </is>
      </c>
      <c r="E403" t="inlineStr">
        <is>
          <t>MORA</t>
        </is>
      </c>
      <c r="G403" t="n">
        <v>4.1</v>
      </c>
      <c r="H403" t="n">
        <v>0</v>
      </c>
      <c r="I403" t="n">
        <v>0</v>
      </c>
      <c r="J403" t="n">
        <v>0</v>
      </c>
      <c r="K403" t="n">
        <v>0</v>
      </c>
      <c r="L403" t="n">
        <v>0</v>
      </c>
      <c r="M403" t="n">
        <v>0</v>
      </c>
      <c r="N403" t="n">
        <v>0</v>
      </c>
      <c r="O403" t="n">
        <v>0</v>
      </c>
      <c r="P403" t="n">
        <v>0</v>
      </c>
      <c r="Q403" t="n">
        <v>0</v>
      </c>
      <c r="R403" s="2" t="inlineStr"/>
    </row>
    <row r="404" ht="15" customHeight="1">
      <c r="A404" t="inlineStr">
        <is>
          <t>A 24048-2026</t>
        </is>
      </c>
      <c r="B404" s="1" t="n">
        <v>46168</v>
      </c>
      <c r="C404" s="1" t="n">
        <v>46196</v>
      </c>
      <c r="D404" t="inlineStr">
        <is>
          <t>DALARNAS LÄN</t>
        </is>
      </c>
      <c r="E404" t="inlineStr">
        <is>
          <t>MORA</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18674-2026</t>
        </is>
      </c>
      <c r="B405" s="1" t="n">
        <v>46128</v>
      </c>
      <c r="C405" s="1" t="n">
        <v>46196</v>
      </c>
      <c r="D405" t="inlineStr">
        <is>
          <t>DALARNAS LÄN</t>
        </is>
      </c>
      <c r="E405" t="inlineStr">
        <is>
          <t>MORA</t>
        </is>
      </c>
      <c r="G405" t="n">
        <v>0.6</v>
      </c>
      <c r="H405" t="n">
        <v>0</v>
      </c>
      <c r="I405" t="n">
        <v>0</v>
      </c>
      <c r="J405" t="n">
        <v>0</v>
      </c>
      <c r="K405" t="n">
        <v>0</v>
      </c>
      <c r="L405" t="n">
        <v>0</v>
      </c>
      <c r="M405" t="n">
        <v>0</v>
      </c>
      <c r="N405" t="n">
        <v>0</v>
      </c>
      <c r="O405" t="n">
        <v>0</v>
      </c>
      <c r="P405" t="n">
        <v>0</v>
      </c>
      <c r="Q405" t="n">
        <v>0</v>
      </c>
      <c r="R405" s="2" t="inlineStr"/>
    </row>
    <row r="406" ht="15" customHeight="1">
      <c r="A406" t="inlineStr">
        <is>
          <t>A 18626-2026</t>
        </is>
      </c>
      <c r="B406" s="1" t="n">
        <v>46127</v>
      </c>
      <c r="C406" s="1" t="n">
        <v>46196</v>
      </c>
      <c r="D406" t="inlineStr">
        <is>
          <t>DALARNAS LÄN</t>
        </is>
      </c>
      <c r="E406" t="inlineStr">
        <is>
          <t>MORA</t>
        </is>
      </c>
      <c r="G406" t="n">
        <v>3.1</v>
      </c>
      <c r="H406" t="n">
        <v>0</v>
      </c>
      <c r="I406" t="n">
        <v>0</v>
      </c>
      <c r="J406" t="n">
        <v>0</v>
      </c>
      <c r="K406" t="n">
        <v>0</v>
      </c>
      <c r="L406" t="n">
        <v>0</v>
      </c>
      <c r="M406" t="n">
        <v>0</v>
      </c>
      <c r="N406" t="n">
        <v>0</v>
      </c>
      <c r="O406" t="n">
        <v>0</v>
      </c>
      <c r="P406" t="n">
        <v>0</v>
      </c>
      <c r="Q406" t="n">
        <v>0</v>
      </c>
      <c r="R406" s="2" t="inlineStr"/>
    </row>
    <row r="407" ht="15" customHeight="1">
      <c r="A407" t="inlineStr">
        <is>
          <t>A 18514-2026</t>
        </is>
      </c>
      <c r="B407" s="1" t="n">
        <v>46127</v>
      </c>
      <c r="C407" s="1" t="n">
        <v>46196</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61654-2024</t>
        </is>
      </c>
      <c r="B408" s="1" t="n">
        <v>45646</v>
      </c>
      <c r="C408" s="1" t="n">
        <v>46196</v>
      </c>
      <c r="D408" t="inlineStr">
        <is>
          <t>DALARNAS LÄN</t>
        </is>
      </c>
      <c r="E408" t="inlineStr">
        <is>
          <t>MORA</t>
        </is>
      </c>
      <c r="G408" t="n">
        <v>1.7</v>
      </c>
      <c r="H408" t="n">
        <v>0</v>
      </c>
      <c r="I408" t="n">
        <v>0</v>
      </c>
      <c r="J408" t="n">
        <v>0</v>
      </c>
      <c r="K408" t="n">
        <v>0</v>
      </c>
      <c r="L408" t="n">
        <v>0</v>
      </c>
      <c r="M408" t="n">
        <v>0</v>
      </c>
      <c r="N408" t="n">
        <v>0</v>
      </c>
      <c r="O408" t="n">
        <v>0</v>
      </c>
      <c r="P408" t="n">
        <v>0</v>
      </c>
      <c r="Q408" t="n">
        <v>0</v>
      </c>
      <c r="R408" s="2" t="inlineStr"/>
    </row>
    <row r="409" ht="15" customHeight="1">
      <c r="A409" t="inlineStr">
        <is>
          <t>A 24526-2026</t>
        </is>
      </c>
      <c r="B409" s="1" t="n">
        <v>46170</v>
      </c>
      <c r="C409" s="1" t="n">
        <v>46196</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24571-2026</t>
        </is>
      </c>
      <c r="B410" s="1" t="n">
        <v>46170</v>
      </c>
      <c r="C410" s="1" t="n">
        <v>46196</v>
      </c>
      <c r="D410" t="inlineStr">
        <is>
          <t>DALARNAS LÄN</t>
        </is>
      </c>
      <c r="E410" t="inlineStr">
        <is>
          <t>MORA</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24525-2026</t>
        </is>
      </c>
      <c r="B411" s="1" t="n">
        <v>46170</v>
      </c>
      <c r="C411" s="1" t="n">
        <v>46196</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60428-2023</t>
        </is>
      </c>
      <c r="B412" s="1" t="n">
        <v>45259</v>
      </c>
      <c r="C412" s="1" t="n">
        <v>46196</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2308-2023</t>
        </is>
      </c>
      <c r="B413" s="1" t="n">
        <v>44942</v>
      </c>
      <c r="C413" s="1" t="n">
        <v>46196</v>
      </c>
      <c r="D413" t="inlineStr">
        <is>
          <t>DALARNAS LÄN</t>
        </is>
      </c>
      <c r="E413" t="inlineStr">
        <is>
          <t>MORA</t>
        </is>
      </c>
      <c r="G413" t="n">
        <v>2.2</v>
      </c>
      <c r="H413" t="n">
        <v>0</v>
      </c>
      <c r="I413" t="n">
        <v>0</v>
      </c>
      <c r="J413" t="n">
        <v>0</v>
      </c>
      <c r="K413" t="n">
        <v>0</v>
      </c>
      <c r="L413" t="n">
        <v>0</v>
      </c>
      <c r="M413" t="n">
        <v>0</v>
      </c>
      <c r="N413" t="n">
        <v>0</v>
      </c>
      <c r="O413" t="n">
        <v>0</v>
      </c>
      <c r="P413" t="n">
        <v>0</v>
      </c>
      <c r="Q413" t="n">
        <v>0</v>
      </c>
      <c r="R413" s="2" t="inlineStr"/>
    </row>
    <row r="414" ht="15" customHeight="1">
      <c r="A414" t="inlineStr">
        <is>
          <t>A 23392-2026</t>
        </is>
      </c>
      <c r="B414" s="1" t="n">
        <v>46162</v>
      </c>
      <c r="C414" s="1" t="n">
        <v>46196</v>
      </c>
      <c r="D414" t="inlineStr">
        <is>
          <t>DALARNAS LÄN</t>
        </is>
      </c>
      <c r="E414" t="inlineStr">
        <is>
          <t>MORA</t>
        </is>
      </c>
      <c r="G414" t="n">
        <v>13</v>
      </c>
      <c r="H414" t="n">
        <v>0</v>
      </c>
      <c r="I414" t="n">
        <v>0</v>
      </c>
      <c r="J414" t="n">
        <v>0</v>
      </c>
      <c r="K414" t="n">
        <v>0</v>
      </c>
      <c r="L414" t="n">
        <v>0</v>
      </c>
      <c r="M414" t="n">
        <v>0</v>
      </c>
      <c r="N414" t="n">
        <v>0</v>
      </c>
      <c r="O414" t="n">
        <v>0</v>
      </c>
      <c r="P414" t="n">
        <v>0</v>
      </c>
      <c r="Q414" t="n">
        <v>0</v>
      </c>
      <c r="R414" s="2" t="inlineStr"/>
    </row>
    <row r="415" ht="15" customHeight="1">
      <c r="A415" t="inlineStr">
        <is>
          <t>A 19549-2026</t>
        </is>
      </c>
      <c r="B415" s="1" t="n">
        <v>46134</v>
      </c>
      <c r="C415" s="1" t="n">
        <v>46196</v>
      </c>
      <c r="D415" t="inlineStr">
        <is>
          <t>DALARNAS LÄN</t>
        </is>
      </c>
      <c r="E415" t="inlineStr">
        <is>
          <t>MORA</t>
        </is>
      </c>
      <c r="G415" t="n">
        <v>14.9</v>
      </c>
      <c r="H415" t="n">
        <v>0</v>
      </c>
      <c r="I415" t="n">
        <v>0</v>
      </c>
      <c r="J415" t="n">
        <v>0</v>
      </c>
      <c r="K415" t="n">
        <v>0</v>
      </c>
      <c r="L415" t="n">
        <v>0</v>
      </c>
      <c r="M415" t="n">
        <v>0</v>
      </c>
      <c r="N415" t="n">
        <v>0</v>
      </c>
      <c r="O415" t="n">
        <v>0</v>
      </c>
      <c r="P415" t="n">
        <v>0</v>
      </c>
      <c r="Q415" t="n">
        <v>0</v>
      </c>
      <c r="R415" s="2" t="inlineStr"/>
    </row>
    <row r="416" ht="15" customHeight="1">
      <c r="A416" t="inlineStr">
        <is>
          <t>A 20089-2026</t>
        </is>
      </c>
      <c r="B416" s="1" t="n">
        <v>46135</v>
      </c>
      <c r="C416" s="1" t="n">
        <v>46196</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15552-2026</t>
        </is>
      </c>
      <c r="B417" s="1" t="n">
        <v>46106</v>
      </c>
      <c r="C417" s="1" t="n">
        <v>46196</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19462-2026</t>
        </is>
      </c>
      <c r="B418" s="1" t="n">
        <v>46133</v>
      </c>
      <c r="C418" s="1" t="n">
        <v>46196</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15294-2026</t>
        </is>
      </c>
      <c r="B419" s="1" t="n">
        <v>46105</v>
      </c>
      <c r="C419" s="1" t="n">
        <v>46196</v>
      </c>
      <c r="D419" t="inlineStr">
        <is>
          <t>DALARNAS LÄN</t>
        </is>
      </c>
      <c r="E419" t="inlineStr">
        <is>
          <t>MORA</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25556-2026</t>
        </is>
      </c>
      <c r="B420" s="1" t="n">
        <v>46177</v>
      </c>
      <c r="C420" s="1" t="n">
        <v>46196</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31842-2025</t>
        </is>
      </c>
      <c r="B421" s="1" t="n">
        <v>45834</v>
      </c>
      <c r="C421" s="1" t="n">
        <v>46196</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26854-2025</t>
        </is>
      </c>
      <c r="B422" s="1" t="n">
        <v>45810</v>
      </c>
      <c r="C422" s="1" t="n">
        <v>46196</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57855-2025</t>
        </is>
      </c>
      <c r="B423" s="1" t="n">
        <v>45981</v>
      </c>
      <c r="C423" s="1" t="n">
        <v>46196</v>
      </c>
      <c r="D423" t="inlineStr">
        <is>
          <t>DALARNAS LÄN</t>
        </is>
      </c>
      <c r="E423" t="inlineStr">
        <is>
          <t>MORA</t>
        </is>
      </c>
      <c r="G423" t="n">
        <v>9.9</v>
      </c>
      <c r="H423" t="n">
        <v>0</v>
      </c>
      <c r="I423" t="n">
        <v>0</v>
      </c>
      <c r="J423" t="n">
        <v>0</v>
      </c>
      <c r="K423" t="n">
        <v>0</v>
      </c>
      <c r="L423" t="n">
        <v>0</v>
      </c>
      <c r="M423" t="n">
        <v>0</v>
      </c>
      <c r="N423" t="n">
        <v>0</v>
      </c>
      <c r="O423" t="n">
        <v>0</v>
      </c>
      <c r="P423" t="n">
        <v>0</v>
      </c>
      <c r="Q423" t="n">
        <v>0</v>
      </c>
      <c r="R423" s="2" t="inlineStr"/>
    </row>
    <row r="424" ht="15" customHeight="1">
      <c r="A424" t="inlineStr">
        <is>
          <t>A 7849-2026</t>
        </is>
      </c>
      <c r="B424" s="1" t="n">
        <v>46062</v>
      </c>
      <c r="C424" s="1" t="n">
        <v>46196</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56767-2024</t>
        </is>
      </c>
      <c r="B425" s="1" t="n">
        <v>45628</v>
      </c>
      <c r="C425" s="1" t="n">
        <v>46196</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28925-2025</t>
        </is>
      </c>
      <c r="B426" s="1" t="n">
        <v>45820</v>
      </c>
      <c r="C426" s="1" t="n">
        <v>46196</v>
      </c>
      <c r="D426" t="inlineStr">
        <is>
          <t>DALARNAS LÄN</t>
        </is>
      </c>
      <c r="E426" t="inlineStr">
        <is>
          <t>MORA</t>
        </is>
      </c>
      <c r="G426" t="n">
        <v>3.7</v>
      </c>
      <c r="H426" t="n">
        <v>0</v>
      </c>
      <c r="I426" t="n">
        <v>0</v>
      </c>
      <c r="J426" t="n">
        <v>0</v>
      </c>
      <c r="K426" t="n">
        <v>0</v>
      </c>
      <c r="L426" t="n">
        <v>0</v>
      </c>
      <c r="M426" t="n">
        <v>0</v>
      </c>
      <c r="N426" t="n">
        <v>0</v>
      </c>
      <c r="O426" t="n">
        <v>0</v>
      </c>
      <c r="P426" t="n">
        <v>0</v>
      </c>
      <c r="Q426" t="n">
        <v>0</v>
      </c>
      <c r="R426" s="2" t="inlineStr"/>
    </row>
    <row r="427" ht="15" customHeight="1">
      <c r="A427" t="inlineStr">
        <is>
          <t>A 58473-2025</t>
        </is>
      </c>
      <c r="B427" s="1" t="n">
        <v>45985</v>
      </c>
      <c r="C427" s="1" t="n">
        <v>46196</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56268-2024</t>
        </is>
      </c>
      <c r="B428" s="1" t="n">
        <v>45624</v>
      </c>
      <c r="C428" s="1" t="n">
        <v>46196</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66158-2021</t>
        </is>
      </c>
      <c r="B429" s="1" t="n">
        <v>44517</v>
      </c>
      <c r="C429" s="1" t="n">
        <v>46196</v>
      </c>
      <c r="D429" t="inlineStr">
        <is>
          <t>DALARNAS LÄN</t>
        </is>
      </c>
      <c r="E429" t="inlineStr">
        <is>
          <t>MORA</t>
        </is>
      </c>
      <c r="G429" t="n">
        <v>3.3</v>
      </c>
      <c r="H429" t="n">
        <v>0</v>
      </c>
      <c r="I429" t="n">
        <v>0</v>
      </c>
      <c r="J429" t="n">
        <v>0</v>
      </c>
      <c r="K429" t="n">
        <v>0</v>
      </c>
      <c r="L429" t="n">
        <v>0</v>
      </c>
      <c r="M429" t="n">
        <v>0</v>
      </c>
      <c r="N429" t="n">
        <v>0</v>
      </c>
      <c r="O429" t="n">
        <v>0</v>
      </c>
      <c r="P429" t="n">
        <v>0</v>
      </c>
      <c r="Q429" t="n">
        <v>0</v>
      </c>
      <c r="R429" s="2" t="inlineStr"/>
    </row>
    <row r="430" ht="15" customHeight="1">
      <c r="A430" t="inlineStr">
        <is>
          <t>A 53159-2024</t>
        </is>
      </c>
      <c r="B430" s="1" t="n">
        <v>45611</v>
      </c>
      <c r="C430" s="1" t="n">
        <v>46196</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29754-2022</t>
        </is>
      </c>
      <c r="B431" s="1" t="n">
        <v>44755</v>
      </c>
      <c r="C431" s="1" t="n">
        <v>46196</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37971-2024</t>
        </is>
      </c>
      <c r="B432" s="1" t="n">
        <v>45544</v>
      </c>
      <c r="C432" s="1" t="n">
        <v>46196</v>
      </c>
      <c r="D432" t="inlineStr">
        <is>
          <t>DALARNAS LÄN</t>
        </is>
      </c>
      <c r="E432" t="inlineStr">
        <is>
          <t>MORA</t>
        </is>
      </c>
      <c r="G432" t="n">
        <v>2.3</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46196</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15127-2022</t>
        </is>
      </c>
      <c r="B434" s="1" t="n">
        <v>44658</v>
      </c>
      <c r="C434" s="1" t="n">
        <v>46196</v>
      </c>
      <c r="D434" t="inlineStr">
        <is>
          <t>DALARNAS LÄN</t>
        </is>
      </c>
      <c r="E434" t="inlineStr">
        <is>
          <t>MORA</t>
        </is>
      </c>
      <c r="G434" t="n">
        <v>4.9</v>
      </c>
      <c r="H434" t="n">
        <v>0</v>
      </c>
      <c r="I434" t="n">
        <v>0</v>
      </c>
      <c r="J434" t="n">
        <v>0</v>
      </c>
      <c r="K434" t="n">
        <v>0</v>
      </c>
      <c r="L434" t="n">
        <v>0</v>
      </c>
      <c r="M434" t="n">
        <v>0</v>
      </c>
      <c r="N434" t="n">
        <v>0</v>
      </c>
      <c r="O434" t="n">
        <v>0</v>
      </c>
      <c r="P434" t="n">
        <v>0</v>
      </c>
      <c r="Q434" t="n">
        <v>0</v>
      </c>
      <c r="R434" s="2" t="inlineStr"/>
    </row>
    <row r="435" ht="15" customHeight="1">
      <c r="A435" t="inlineStr">
        <is>
          <t>A 60718-2023</t>
        </is>
      </c>
      <c r="B435" s="1" t="n">
        <v>45260</v>
      </c>
      <c r="C435" s="1" t="n">
        <v>46196</v>
      </c>
      <c r="D435" t="inlineStr">
        <is>
          <t>DALARNAS LÄN</t>
        </is>
      </c>
      <c r="E435" t="inlineStr">
        <is>
          <t>MORA</t>
        </is>
      </c>
      <c r="G435" t="n">
        <v>2.6</v>
      </c>
      <c r="H435" t="n">
        <v>0</v>
      </c>
      <c r="I435" t="n">
        <v>0</v>
      </c>
      <c r="J435" t="n">
        <v>0</v>
      </c>
      <c r="K435" t="n">
        <v>0</v>
      </c>
      <c r="L435" t="n">
        <v>0</v>
      </c>
      <c r="M435" t="n">
        <v>0</v>
      </c>
      <c r="N435" t="n">
        <v>0</v>
      </c>
      <c r="O435" t="n">
        <v>0</v>
      </c>
      <c r="P435" t="n">
        <v>0</v>
      </c>
      <c r="Q435" t="n">
        <v>0</v>
      </c>
      <c r="R435" s="2" t="inlineStr"/>
    </row>
    <row r="436" ht="15" customHeight="1">
      <c r="A436" t="inlineStr">
        <is>
          <t>A 4906-2026</t>
        </is>
      </c>
      <c r="B436" s="1" t="n">
        <v>46048</v>
      </c>
      <c r="C436" s="1" t="n">
        <v>46196</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17237-2026</t>
        </is>
      </c>
      <c r="B437" s="1" t="n">
        <v>46119</v>
      </c>
      <c r="C437" s="1" t="n">
        <v>46196</v>
      </c>
      <c r="D437" t="inlineStr">
        <is>
          <t>DALARNAS LÄN</t>
        </is>
      </c>
      <c r="E437" t="inlineStr">
        <is>
          <t>MORA</t>
        </is>
      </c>
      <c r="F437" t="inlineStr">
        <is>
          <t>Bergvik skog öst AB</t>
        </is>
      </c>
      <c r="G437" t="n">
        <v>10</v>
      </c>
      <c r="H437" t="n">
        <v>0</v>
      </c>
      <c r="I437" t="n">
        <v>0</v>
      </c>
      <c r="J437" t="n">
        <v>0</v>
      </c>
      <c r="K437" t="n">
        <v>0</v>
      </c>
      <c r="L437" t="n">
        <v>0</v>
      </c>
      <c r="M437" t="n">
        <v>0</v>
      </c>
      <c r="N437" t="n">
        <v>0</v>
      </c>
      <c r="O437" t="n">
        <v>0</v>
      </c>
      <c r="P437" t="n">
        <v>0</v>
      </c>
      <c r="Q437" t="n">
        <v>0</v>
      </c>
      <c r="R437" s="2" t="inlineStr"/>
    </row>
    <row r="438" ht="15" customHeight="1">
      <c r="A438" t="inlineStr">
        <is>
          <t>A 27177-2025</t>
        </is>
      </c>
      <c r="B438" s="1" t="n">
        <v>45812</v>
      </c>
      <c r="C438" s="1" t="n">
        <v>46196</v>
      </c>
      <c r="D438" t="inlineStr">
        <is>
          <t>DALARNAS LÄN</t>
        </is>
      </c>
      <c r="E438" t="inlineStr">
        <is>
          <t>MORA</t>
        </is>
      </c>
      <c r="F438" t="inlineStr">
        <is>
          <t>Bergvik skog öst AB</t>
        </is>
      </c>
      <c r="G438" t="n">
        <v>2.5</v>
      </c>
      <c r="H438" t="n">
        <v>0</v>
      </c>
      <c r="I438" t="n">
        <v>0</v>
      </c>
      <c r="J438" t="n">
        <v>0</v>
      </c>
      <c r="K438" t="n">
        <v>0</v>
      </c>
      <c r="L438" t="n">
        <v>0</v>
      </c>
      <c r="M438" t="n">
        <v>0</v>
      </c>
      <c r="N438" t="n">
        <v>0</v>
      </c>
      <c r="O438" t="n">
        <v>0</v>
      </c>
      <c r="P438" t="n">
        <v>0</v>
      </c>
      <c r="Q438" t="n">
        <v>0</v>
      </c>
      <c r="R438" s="2" t="inlineStr"/>
    </row>
    <row r="439" ht="15" customHeight="1">
      <c r="A439" t="inlineStr">
        <is>
          <t>A 58892-2023</t>
        </is>
      </c>
      <c r="B439" s="1" t="n">
        <v>45252</v>
      </c>
      <c r="C439" s="1" t="n">
        <v>46196</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42085-2024</t>
        </is>
      </c>
      <c r="B440" s="1" t="n">
        <v>45562</v>
      </c>
      <c r="C440" s="1" t="n">
        <v>46196</v>
      </c>
      <c r="D440" t="inlineStr">
        <is>
          <t>DALARNAS LÄN</t>
        </is>
      </c>
      <c r="E440" t="inlineStr">
        <is>
          <t>MORA</t>
        </is>
      </c>
      <c r="G440" t="n">
        <v>4.9</v>
      </c>
      <c r="H440" t="n">
        <v>0</v>
      </c>
      <c r="I440" t="n">
        <v>0</v>
      </c>
      <c r="J440" t="n">
        <v>0</v>
      </c>
      <c r="K440" t="n">
        <v>0</v>
      </c>
      <c r="L440" t="n">
        <v>0</v>
      </c>
      <c r="M440" t="n">
        <v>0</v>
      </c>
      <c r="N440" t="n">
        <v>0</v>
      </c>
      <c r="O440" t="n">
        <v>0</v>
      </c>
      <c r="P440" t="n">
        <v>0</v>
      </c>
      <c r="Q440" t="n">
        <v>0</v>
      </c>
      <c r="R440" s="2" t="inlineStr"/>
    </row>
    <row r="441" ht="15" customHeight="1">
      <c r="A441" t="inlineStr">
        <is>
          <t>A 20649-2026</t>
        </is>
      </c>
      <c r="B441" s="1" t="n">
        <v>46141</v>
      </c>
      <c r="C441" s="1" t="n">
        <v>46196</v>
      </c>
      <c r="D441" t="inlineStr">
        <is>
          <t>DALARNAS LÄN</t>
        </is>
      </c>
      <c r="E441" t="inlineStr">
        <is>
          <t>MORA</t>
        </is>
      </c>
      <c r="G441" t="n">
        <v>2.2</v>
      </c>
      <c r="H441" t="n">
        <v>0</v>
      </c>
      <c r="I441" t="n">
        <v>0</v>
      </c>
      <c r="J441" t="n">
        <v>0</v>
      </c>
      <c r="K441" t="n">
        <v>0</v>
      </c>
      <c r="L441" t="n">
        <v>0</v>
      </c>
      <c r="M441" t="n">
        <v>0</v>
      </c>
      <c r="N441" t="n">
        <v>0</v>
      </c>
      <c r="O441" t="n">
        <v>0</v>
      </c>
      <c r="P441" t="n">
        <v>0</v>
      </c>
      <c r="Q441" t="n">
        <v>0</v>
      </c>
      <c r="R441" s="2" t="inlineStr"/>
    </row>
    <row r="442" ht="15" customHeight="1">
      <c r="A442" t="inlineStr">
        <is>
          <t>A 20655-2026</t>
        </is>
      </c>
      <c r="B442" s="1" t="n">
        <v>46141</v>
      </c>
      <c r="C442" s="1" t="n">
        <v>46196</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26425-2026</t>
        </is>
      </c>
      <c r="B443" s="1" t="n">
        <v>46183</v>
      </c>
      <c r="C443" s="1" t="n">
        <v>46196</v>
      </c>
      <c r="D443" t="inlineStr">
        <is>
          <t>DALARNAS LÄN</t>
        </is>
      </c>
      <c r="E443" t="inlineStr">
        <is>
          <t>MORA</t>
        </is>
      </c>
      <c r="F443" t="inlineStr">
        <is>
          <t>Bergvik skog väst AB</t>
        </is>
      </c>
      <c r="G443" t="n">
        <v>2.5</v>
      </c>
      <c r="H443" t="n">
        <v>0</v>
      </c>
      <c r="I443" t="n">
        <v>0</v>
      </c>
      <c r="J443" t="n">
        <v>0</v>
      </c>
      <c r="K443" t="n">
        <v>0</v>
      </c>
      <c r="L443" t="n">
        <v>0</v>
      </c>
      <c r="M443" t="n">
        <v>0</v>
      </c>
      <c r="N443" t="n">
        <v>0</v>
      </c>
      <c r="O443" t="n">
        <v>0</v>
      </c>
      <c r="P443" t="n">
        <v>0</v>
      </c>
      <c r="Q443" t="n">
        <v>0</v>
      </c>
      <c r="R443" s="2" t="inlineStr"/>
    </row>
    <row r="444" ht="15" customHeight="1">
      <c r="A444" t="inlineStr">
        <is>
          <t>A 12987-2024</t>
        </is>
      </c>
      <c r="B444" s="1" t="n">
        <v>45385</v>
      </c>
      <c r="C444" s="1" t="n">
        <v>46196</v>
      </c>
      <c r="D444" t="inlineStr">
        <is>
          <t>DALARNAS LÄN</t>
        </is>
      </c>
      <c r="E444" t="inlineStr">
        <is>
          <t>MORA</t>
        </is>
      </c>
      <c r="G444" t="n">
        <v>1.3</v>
      </c>
      <c r="H444" t="n">
        <v>0</v>
      </c>
      <c r="I444" t="n">
        <v>0</v>
      </c>
      <c r="J444" t="n">
        <v>0</v>
      </c>
      <c r="K444" t="n">
        <v>0</v>
      </c>
      <c r="L444" t="n">
        <v>0</v>
      </c>
      <c r="M444" t="n">
        <v>0</v>
      </c>
      <c r="N444" t="n">
        <v>0</v>
      </c>
      <c r="O444" t="n">
        <v>0</v>
      </c>
      <c r="P444" t="n">
        <v>0</v>
      </c>
      <c r="Q444" t="n">
        <v>0</v>
      </c>
      <c r="R444" s="2" t="inlineStr"/>
    </row>
    <row r="445" ht="15" customHeight="1">
      <c r="A445" t="inlineStr">
        <is>
          <t>A 20491-2026</t>
        </is>
      </c>
      <c r="B445" s="1" t="n">
        <v>46140</v>
      </c>
      <c r="C445" s="1" t="n">
        <v>46196</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20652-2026</t>
        </is>
      </c>
      <c r="B446" s="1" t="n">
        <v>46141</v>
      </c>
      <c r="C446" s="1" t="n">
        <v>46196</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1252-2025</t>
        </is>
      </c>
      <c r="B447" s="1" t="n">
        <v>45667</v>
      </c>
      <c r="C447" s="1" t="n">
        <v>46196</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20656-2026</t>
        </is>
      </c>
      <c r="B448" s="1" t="n">
        <v>46141</v>
      </c>
      <c r="C448" s="1" t="n">
        <v>46196</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20650-2026</t>
        </is>
      </c>
      <c r="B449" s="1" t="n">
        <v>46141</v>
      </c>
      <c r="C449" s="1" t="n">
        <v>46196</v>
      </c>
      <c r="D449" t="inlineStr">
        <is>
          <t>DALARNAS LÄN</t>
        </is>
      </c>
      <c r="E449" t="inlineStr">
        <is>
          <t>MORA</t>
        </is>
      </c>
      <c r="G449" t="n">
        <v>9.9</v>
      </c>
      <c r="H449" t="n">
        <v>0</v>
      </c>
      <c r="I449" t="n">
        <v>0</v>
      </c>
      <c r="J449" t="n">
        <v>0</v>
      </c>
      <c r="K449" t="n">
        <v>0</v>
      </c>
      <c r="L449" t="n">
        <v>0</v>
      </c>
      <c r="M449" t="n">
        <v>0</v>
      </c>
      <c r="N449" t="n">
        <v>0</v>
      </c>
      <c r="O449" t="n">
        <v>0</v>
      </c>
      <c r="P449" t="n">
        <v>0</v>
      </c>
      <c r="Q449" t="n">
        <v>0</v>
      </c>
      <c r="R449" s="2" t="inlineStr"/>
    </row>
    <row r="450" ht="15" customHeight="1">
      <c r="A450" t="inlineStr">
        <is>
          <t>A 20677-2026</t>
        </is>
      </c>
      <c r="B450" s="1" t="n">
        <v>46141</v>
      </c>
      <c r="C450" s="1" t="n">
        <v>46196</v>
      </c>
      <c r="D450" t="inlineStr">
        <is>
          <t>DALARNAS LÄN</t>
        </is>
      </c>
      <c r="E450" t="inlineStr">
        <is>
          <t>MORA</t>
        </is>
      </c>
      <c r="G450" t="n">
        <v>1.7</v>
      </c>
      <c r="H450" t="n">
        <v>0</v>
      </c>
      <c r="I450" t="n">
        <v>0</v>
      </c>
      <c r="J450" t="n">
        <v>0</v>
      </c>
      <c r="K450" t="n">
        <v>0</v>
      </c>
      <c r="L450" t="n">
        <v>0</v>
      </c>
      <c r="M450" t="n">
        <v>0</v>
      </c>
      <c r="N450" t="n">
        <v>0</v>
      </c>
      <c r="O450" t="n">
        <v>0</v>
      </c>
      <c r="P450" t="n">
        <v>0</v>
      </c>
      <c r="Q450" t="n">
        <v>0</v>
      </c>
      <c r="R450" s="2" t="inlineStr"/>
    </row>
    <row r="451" ht="15" customHeight="1">
      <c r="A451" t="inlineStr">
        <is>
          <t>A 45355-2024</t>
        </is>
      </c>
      <c r="B451" s="1" t="n">
        <v>45576</v>
      </c>
      <c r="C451" s="1" t="n">
        <v>46196</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24899-2026</t>
        </is>
      </c>
      <c r="B452" s="1" t="n">
        <v>46174</v>
      </c>
      <c r="C452" s="1" t="n">
        <v>46196</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4744-2026</t>
        </is>
      </c>
      <c r="B453" s="1" t="n">
        <v>46048</v>
      </c>
      <c r="C453" s="1" t="n">
        <v>46196</v>
      </c>
      <c r="D453" t="inlineStr">
        <is>
          <t>DALARNAS LÄN</t>
        </is>
      </c>
      <c r="E453" t="inlineStr">
        <is>
          <t>MORA</t>
        </is>
      </c>
      <c r="G453" t="n">
        <v>15.8</v>
      </c>
      <c r="H453" t="n">
        <v>0</v>
      </c>
      <c r="I453" t="n">
        <v>0</v>
      </c>
      <c r="J453" t="n">
        <v>0</v>
      </c>
      <c r="K453" t="n">
        <v>0</v>
      </c>
      <c r="L453" t="n">
        <v>0</v>
      </c>
      <c r="M453" t="n">
        <v>0</v>
      </c>
      <c r="N453" t="n">
        <v>0</v>
      </c>
      <c r="O453" t="n">
        <v>0</v>
      </c>
      <c r="P453" t="n">
        <v>0</v>
      </c>
      <c r="Q453" t="n">
        <v>0</v>
      </c>
      <c r="R453" s="2" t="inlineStr"/>
    </row>
    <row r="454" ht="15" customHeight="1">
      <c r="A454" t="inlineStr">
        <is>
          <t>A 44177-2023</t>
        </is>
      </c>
      <c r="B454" s="1" t="n">
        <v>45188</v>
      </c>
      <c r="C454" s="1" t="n">
        <v>46196</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20594-2025</t>
        </is>
      </c>
      <c r="B455" s="1" t="n">
        <v>45775</v>
      </c>
      <c r="C455" s="1" t="n">
        <v>46196</v>
      </c>
      <c r="D455" t="inlineStr">
        <is>
          <t>DALARNAS LÄN</t>
        </is>
      </c>
      <c r="E455" t="inlineStr">
        <is>
          <t>MORA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26761-2026</t>
        </is>
      </c>
      <c r="B456" s="1" t="n">
        <v>46184</v>
      </c>
      <c r="C456" s="1" t="n">
        <v>46196</v>
      </c>
      <c r="D456" t="inlineStr">
        <is>
          <t>DALARNAS LÄN</t>
        </is>
      </c>
      <c r="E456" t="inlineStr">
        <is>
          <t>MORA</t>
        </is>
      </c>
      <c r="G456" t="n">
        <v>3.8</v>
      </c>
      <c r="H456" t="n">
        <v>0</v>
      </c>
      <c r="I456" t="n">
        <v>0</v>
      </c>
      <c r="J456" t="n">
        <v>0</v>
      </c>
      <c r="K456" t="n">
        <v>0</v>
      </c>
      <c r="L456" t="n">
        <v>0</v>
      </c>
      <c r="M456" t="n">
        <v>0</v>
      </c>
      <c r="N456" t="n">
        <v>0</v>
      </c>
      <c r="O456" t="n">
        <v>0</v>
      </c>
      <c r="P456" t="n">
        <v>0</v>
      </c>
      <c r="Q456" t="n">
        <v>0</v>
      </c>
      <c r="R456" s="2" t="inlineStr"/>
    </row>
    <row r="457" ht="15" customHeight="1">
      <c r="A457" t="inlineStr">
        <is>
          <t>A 26827-2026</t>
        </is>
      </c>
      <c r="B457" s="1" t="n">
        <v>46185</v>
      </c>
      <c r="C457" s="1" t="n">
        <v>46196</v>
      </c>
      <c r="D457" t="inlineStr">
        <is>
          <t>DALARNAS LÄN</t>
        </is>
      </c>
      <c r="E457" t="inlineStr">
        <is>
          <t>MORA</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20972-2026</t>
        </is>
      </c>
      <c r="B458" s="1" t="n">
        <v>46142</v>
      </c>
      <c r="C458" s="1" t="n">
        <v>46196</v>
      </c>
      <c r="D458" t="inlineStr">
        <is>
          <t>DALARNAS LÄN</t>
        </is>
      </c>
      <c r="E458" t="inlineStr">
        <is>
          <t>MORA</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20978-2026</t>
        </is>
      </c>
      <c r="B459" s="1" t="n">
        <v>46142</v>
      </c>
      <c r="C459" s="1" t="n">
        <v>46196</v>
      </c>
      <c r="D459" t="inlineStr">
        <is>
          <t>DALARNAS LÄN</t>
        </is>
      </c>
      <c r="E459" t="inlineStr">
        <is>
          <t>MORA</t>
        </is>
      </c>
      <c r="F459" t="inlineStr">
        <is>
          <t>Bergvik skog öst AB</t>
        </is>
      </c>
      <c r="G459" t="n">
        <v>5.2</v>
      </c>
      <c r="H459" t="n">
        <v>0</v>
      </c>
      <c r="I459" t="n">
        <v>0</v>
      </c>
      <c r="J459" t="n">
        <v>0</v>
      </c>
      <c r="K459" t="n">
        <v>0</v>
      </c>
      <c r="L459" t="n">
        <v>0</v>
      </c>
      <c r="M459" t="n">
        <v>0</v>
      </c>
      <c r="N459" t="n">
        <v>0</v>
      </c>
      <c r="O459" t="n">
        <v>0</v>
      </c>
      <c r="P459" t="n">
        <v>0</v>
      </c>
      <c r="Q459" t="n">
        <v>0</v>
      </c>
      <c r="R459" s="2" t="inlineStr"/>
    </row>
    <row r="460" ht="15" customHeight="1">
      <c r="A460" t="inlineStr">
        <is>
          <t>A 20837-2026</t>
        </is>
      </c>
      <c r="B460" s="1" t="n">
        <v>46142</v>
      </c>
      <c r="C460" s="1" t="n">
        <v>46196</v>
      </c>
      <c r="D460" t="inlineStr">
        <is>
          <t>DALARNAS LÄN</t>
        </is>
      </c>
      <c r="E460" t="inlineStr">
        <is>
          <t>MORA</t>
        </is>
      </c>
      <c r="G460" t="n">
        <v>12.4</v>
      </c>
      <c r="H460" t="n">
        <v>0</v>
      </c>
      <c r="I460" t="n">
        <v>0</v>
      </c>
      <c r="J460" t="n">
        <v>0</v>
      </c>
      <c r="K460" t="n">
        <v>0</v>
      </c>
      <c r="L460" t="n">
        <v>0</v>
      </c>
      <c r="M460" t="n">
        <v>0</v>
      </c>
      <c r="N460" t="n">
        <v>0</v>
      </c>
      <c r="O460" t="n">
        <v>0</v>
      </c>
      <c r="P460" t="n">
        <v>0</v>
      </c>
      <c r="Q460" t="n">
        <v>0</v>
      </c>
      <c r="R460" s="2" t="inlineStr"/>
    </row>
    <row r="461" ht="15" customHeight="1">
      <c r="A461" t="inlineStr">
        <is>
          <t>A 26774-2026</t>
        </is>
      </c>
      <c r="B461" s="1" t="n">
        <v>46184</v>
      </c>
      <c r="C461" s="1" t="n">
        <v>46196</v>
      </c>
      <c r="D461" t="inlineStr">
        <is>
          <t>DALARNAS LÄN</t>
        </is>
      </c>
      <c r="E461" t="inlineStr">
        <is>
          <t>MORA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20952-2026</t>
        </is>
      </c>
      <c r="B462" s="1" t="n">
        <v>46142</v>
      </c>
      <c r="C462" s="1" t="n">
        <v>46196</v>
      </c>
      <c r="D462" t="inlineStr">
        <is>
          <t>DALARNAS LÄN</t>
        </is>
      </c>
      <c r="E462" t="inlineStr">
        <is>
          <t>MORA</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23437-2026</t>
        </is>
      </c>
      <c r="B463" s="1" t="n">
        <v>46163</v>
      </c>
      <c r="C463" s="1" t="n">
        <v>46196</v>
      </c>
      <c r="D463" t="inlineStr">
        <is>
          <t>DALARNAS LÄN</t>
        </is>
      </c>
      <c r="E463" t="inlineStr">
        <is>
          <t>MORA</t>
        </is>
      </c>
      <c r="G463" t="n">
        <v>15.5</v>
      </c>
      <c r="H463" t="n">
        <v>0</v>
      </c>
      <c r="I463" t="n">
        <v>0</v>
      </c>
      <c r="J463" t="n">
        <v>0</v>
      </c>
      <c r="K463" t="n">
        <v>0</v>
      </c>
      <c r="L463" t="n">
        <v>0</v>
      </c>
      <c r="M463" t="n">
        <v>0</v>
      </c>
      <c r="N463" t="n">
        <v>0</v>
      </c>
      <c r="O463" t="n">
        <v>0</v>
      </c>
      <c r="P463" t="n">
        <v>0</v>
      </c>
      <c r="Q463" t="n">
        <v>0</v>
      </c>
      <c r="R463" s="2" t="inlineStr"/>
    </row>
    <row r="464" ht="15" customHeight="1">
      <c r="A464" t="inlineStr">
        <is>
          <t>A 21391-2026</t>
        </is>
      </c>
      <c r="B464" s="1" t="n">
        <v>46147</v>
      </c>
      <c r="C464" s="1" t="n">
        <v>46196</v>
      </c>
      <c r="D464" t="inlineStr">
        <is>
          <t>DALARNAS LÄN</t>
        </is>
      </c>
      <c r="E464" t="inlineStr">
        <is>
          <t>MORA</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21393-2026</t>
        </is>
      </c>
      <c r="B465" s="1" t="n">
        <v>46147</v>
      </c>
      <c r="C465" s="1" t="n">
        <v>46196</v>
      </c>
      <c r="D465" t="inlineStr">
        <is>
          <t>DALARNAS LÄN</t>
        </is>
      </c>
      <c r="E465" t="inlineStr">
        <is>
          <t>MORA</t>
        </is>
      </c>
      <c r="F465" t="inlineStr">
        <is>
          <t>Bergvik skog öst AB</t>
        </is>
      </c>
      <c r="G465" t="n">
        <v>1.7</v>
      </c>
      <c r="H465" t="n">
        <v>0</v>
      </c>
      <c r="I465" t="n">
        <v>0</v>
      </c>
      <c r="J465" t="n">
        <v>0</v>
      </c>
      <c r="K465" t="n">
        <v>0</v>
      </c>
      <c r="L465" t="n">
        <v>0</v>
      </c>
      <c r="M465" t="n">
        <v>0</v>
      </c>
      <c r="N465" t="n">
        <v>0</v>
      </c>
      <c r="O465" t="n">
        <v>0</v>
      </c>
      <c r="P465" t="n">
        <v>0</v>
      </c>
      <c r="Q465" t="n">
        <v>0</v>
      </c>
      <c r="R465" s="2" t="inlineStr"/>
    </row>
    <row r="466" ht="15" customHeight="1">
      <c r="A466" t="inlineStr">
        <is>
          <t>A 23435-2026</t>
        </is>
      </c>
      <c r="B466" s="1" t="n">
        <v>46163</v>
      </c>
      <c r="C466" s="1" t="n">
        <v>46196</v>
      </c>
      <c r="D466" t="inlineStr">
        <is>
          <t>DALARNAS LÄN</t>
        </is>
      </c>
      <c r="E466" t="inlineStr">
        <is>
          <t>MORA</t>
        </is>
      </c>
      <c r="G466" t="n">
        <v>2.9</v>
      </c>
      <c r="H466" t="n">
        <v>0</v>
      </c>
      <c r="I466" t="n">
        <v>0</v>
      </c>
      <c r="J466" t="n">
        <v>0</v>
      </c>
      <c r="K466" t="n">
        <v>0</v>
      </c>
      <c r="L466" t="n">
        <v>0</v>
      </c>
      <c r="M466" t="n">
        <v>0</v>
      </c>
      <c r="N466" t="n">
        <v>0</v>
      </c>
      <c r="O466" t="n">
        <v>0</v>
      </c>
      <c r="P466" t="n">
        <v>0</v>
      </c>
      <c r="Q466" t="n">
        <v>0</v>
      </c>
      <c r="R466" s="2" t="inlineStr"/>
    </row>
    <row r="467" ht="15" customHeight="1">
      <c r="A467" t="inlineStr">
        <is>
          <t>A 23442-2026</t>
        </is>
      </c>
      <c r="B467" s="1" t="n">
        <v>46163</v>
      </c>
      <c r="C467" s="1" t="n">
        <v>46196</v>
      </c>
      <c r="D467" t="inlineStr">
        <is>
          <t>DALARNAS LÄN</t>
        </is>
      </c>
      <c r="E467" t="inlineStr">
        <is>
          <t>MORA</t>
        </is>
      </c>
      <c r="G467" t="n">
        <v>1.9</v>
      </c>
      <c r="H467" t="n">
        <v>0</v>
      </c>
      <c r="I467" t="n">
        <v>0</v>
      </c>
      <c r="J467" t="n">
        <v>0</v>
      </c>
      <c r="K467" t="n">
        <v>0</v>
      </c>
      <c r="L467" t="n">
        <v>0</v>
      </c>
      <c r="M467" t="n">
        <v>0</v>
      </c>
      <c r="N467" t="n">
        <v>0</v>
      </c>
      <c r="O467" t="n">
        <v>0</v>
      </c>
      <c r="P467" t="n">
        <v>0</v>
      </c>
      <c r="Q467" t="n">
        <v>0</v>
      </c>
      <c r="R467" s="2" t="inlineStr"/>
    </row>
    <row r="468" ht="15" customHeight="1">
      <c r="A468" t="inlineStr">
        <is>
          <t>A 20634-2026</t>
        </is>
      </c>
      <c r="B468" s="1" t="n">
        <v>46141</v>
      </c>
      <c r="C468" s="1" t="n">
        <v>46196</v>
      </c>
      <c r="D468" t="inlineStr">
        <is>
          <t>DALARNAS LÄN</t>
        </is>
      </c>
      <c r="E468" t="inlineStr">
        <is>
          <t>MORA</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21209-2026</t>
        </is>
      </c>
      <c r="B469" s="1" t="n">
        <v>46146</v>
      </c>
      <c r="C469" s="1" t="n">
        <v>46196</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27168-2026</t>
        </is>
      </c>
      <c r="B470" s="1" t="n">
        <v>46188</v>
      </c>
      <c r="C470" s="1" t="n">
        <v>46196</v>
      </c>
      <c r="D470" t="inlineStr">
        <is>
          <t>DALARNAS LÄN</t>
        </is>
      </c>
      <c r="E470" t="inlineStr">
        <is>
          <t>MORA</t>
        </is>
      </c>
      <c r="G470" t="n">
        <v>0.9</v>
      </c>
      <c r="H470" t="n">
        <v>0</v>
      </c>
      <c r="I470" t="n">
        <v>0</v>
      </c>
      <c r="J470" t="n">
        <v>0</v>
      </c>
      <c r="K470" t="n">
        <v>0</v>
      </c>
      <c r="L470" t="n">
        <v>0</v>
      </c>
      <c r="M470" t="n">
        <v>0</v>
      </c>
      <c r="N470" t="n">
        <v>0</v>
      </c>
      <c r="O470" t="n">
        <v>0</v>
      </c>
      <c r="P470" t="n">
        <v>0</v>
      </c>
      <c r="Q470" t="n">
        <v>0</v>
      </c>
      <c r="R470" s="2" t="inlineStr"/>
    </row>
    <row r="471" ht="15" customHeight="1">
      <c r="A471" t="inlineStr">
        <is>
          <t>A 20400-2026</t>
        </is>
      </c>
      <c r="B471" s="1" t="n">
        <v>46139</v>
      </c>
      <c r="C471" s="1" t="n">
        <v>46196</v>
      </c>
      <c r="D471" t="inlineStr">
        <is>
          <t>DALARNAS LÄN</t>
        </is>
      </c>
      <c r="E471" t="inlineStr">
        <is>
          <t>MORA</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14745-2026</t>
        </is>
      </c>
      <c r="B472" s="1" t="n">
        <v>46101</v>
      </c>
      <c r="C472" s="1" t="n">
        <v>46196</v>
      </c>
      <c r="D472" t="inlineStr">
        <is>
          <t>DALARNAS LÄN</t>
        </is>
      </c>
      <c r="E472" t="inlineStr">
        <is>
          <t>MORA</t>
        </is>
      </c>
      <c r="F472" t="inlineStr">
        <is>
          <t>Bergvik skog öst AB</t>
        </is>
      </c>
      <c r="G472" t="n">
        <v>10.9</v>
      </c>
      <c r="H472" t="n">
        <v>0</v>
      </c>
      <c r="I472" t="n">
        <v>0</v>
      </c>
      <c r="J472" t="n">
        <v>0</v>
      </c>
      <c r="K472" t="n">
        <v>0</v>
      </c>
      <c r="L472" t="n">
        <v>0</v>
      </c>
      <c r="M472" t="n">
        <v>0</v>
      </c>
      <c r="N472" t="n">
        <v>0</v>
      </c>
      <c r="O472" t="n">
        <v>0</v>
      </c>
      <c r="P472" t="n">
        <v>0</v>
      </c>
      <c r="Q472" t="n">
        <v>0</v>
      </c>
      <c r="R472" s="2" t="inlineStr"/>
    </row>
    <row r="473" ht="15" customHeight="1">
      <c r="A473" t="inlineStr">
        <is>
          <t>A 5763-2026</t>
        </is>
      </c>
      <c r="B473" s="1" t="n">
        <v>46051</v>
      </c>
      <c r="C473" s="1" t="n">
        <v>46196</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21498-2026</t>
        </is>
      </c>
      <c r="B474" s="1" t="n">
        <v>46148</v>
      </c>
      <c r="C474" s="1" t="n">
        <v>46196</v>
      </c>
      <c r="D474" t="inlineStr">
        <is>
          <t>DALARNAS LÄN</t>
        </is>
      </c>
      <c r="E474" t="inlineStr">
        <is>
          <t>MORA</t>
        </is>
      </c>
      <c r="F474" t="inlineStr">
        <is>
          <t>Bergvik skog öst AB</t>
        </is>
      </c>
      <c r="G474" t="n">
        <v>4</v>
      </c>
      <c r="H474" t="n">
        <v>0</v>
      </c>
      <c r="I474" t="n">
        <v>0</v>
      </c>
      <c r="J474" t="n">
        <v>0</v>
      </c>
      <c r="K474" t="n">
        <v>0</v>
      </c>
      <c r="L474" t="n">
        <v>0</v>
      </c>
      <c r="M474" t="n">
        <v>0</v>
      </c>
      <c r="N474" t="n">
        <v>0</v>
      </c>
      <c r="O474" t="n">
        <v>0</v>
      </c>
      <c r="P474" t="n">
        <v>0</v>
      </c>
      <c r="Q474" t="n">
        <v>0</v>
      </c>
      <c r="R474" s="2" t="inlineStr"/>
    </row>
    <row r="475" ht="15" customHeight="1">
      <c r="A475" t="inlineStr">
        <is>
          <t>A 21480-2026</t>
        </is>
      </c>
      <c r="B475" s="1" t="n">
        <v>46148</v>
      </c>
      <c r="C475" s="1" t="n">
        <v>46196</v>
      </c>
      <c r="D475" t="inlineStr">
        <is>
          <t>DALARNAS LÄN</t>
        </is>
      </c>
      <c r="E475" t="inlineStr">
        <is>
          <t>MORA</t>
        </is>
      </c>
      <c r="G475" t="n">
        <v>12.8</v>
      </c>
      <c r="H475" t="n">
        <v>0</v>
      </c>
      <c r="I475" t="n">
        <v>0</v>
      </c>
      <c r="J475" t="n">
        <v>0</v>
      </c>
      <c r="K475" t="n">
        <v>0</v>
      </c>
      <c r="L475" t="n">
        <v>0</v>
      </c>
      <c r="M475" t="n">
        <v>0</v>
      </c>
      <c r="N475" t="n">
        <v>0</v>
      </c>
      <c r="O475" t="n">
        <v>0</v>
      </c>
      <c r="P475" t="n">
        <v>0</v>
      </c>
      <c r="Q475" t="n">
        <v>0</v>
      </c>
      <c r="R475" s="2" t="inlineStr"/>
    </row>
    <row r="476" ht="15" customHeight="1">
      <c r="A476" t="inlineStr">
        <is>
          <t>A 27696-2026</t>
        </is>
      </c>
      <c r="B476" s="1" t="n">
        <v>46190</v>
      </c>
      <c r="C476" s="1" t="n">
        <v>46196</v>
      </c>
      <c r="D476" t="inlineStr">
        <is>
          <t>DALARNAS LÄN</t>
        </is>
      </c>
      <c r="E476" t="inlineStr">
        <is>
          <t>MORA</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27901-2026</t>
        </is>
      </c>
      <c r="B477" s="1" t="n">
        <v>46191</v>
      </c>
      <c r="C477" s="1" t="n">
        <v>46196</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21506-2026</t>
        </is>
      </c>
      <c r="B478" s="1" t="n">
        <v>46148</v>
      </c>
      <c r="C478" s="1" t="n">
        <v>46196</v>
      </c>
      <c r="D478" t="inlineStr">
        <is>
          <t>DALARNAS LÄN</t>
        </is>
      </c>
      <c r="E478" t="inlineStr">
        <is>
          <t>MORA</t>
        </is>
      </c>
      <c r="F478" t="inlineStr">
        <is>
          <t>Bergvik skog öst AB</t>
        </is>
      </c>
      <c r="G478" t="n">
        <v>4.7</v>
      </c>
      <c r="H478" t="n">
        <v>0</v>
      </c>
      <c r="I478" t="n">
        <v>0</v>
      </c>
      <c r="J478" t="n">
        <v>0</v>
      </c>
      <c r="K478" t="n">
        <v>0</v>
      </c>
      <c r="L478" t="n">
        <v>0</v>
      </c>
      <c r="M478" t="n">
        <v>0</v>
      </c>
      <c r="N478" t="n">
        <v>0</v>
      </c>
      <c r="O478" t="n">
        <v>0</v>
      </c>
      <c r="P478" t="n">
        <v>0</v>
      </c>
      <c r="Q478" t="n">
        <v>0</v>
      </c>
      <c r="R478" s="2" t="inlineStr"/>
    </row>
    <row r="479" ht="15" customHeight="1">
      <c r="A479" t="inlineStr">
        <is>
          <t>A 27792-2026</t>
        </is>
      </c>
      <c r="B479" s="1" t="n">
        <v>46191</v>
      </c>
      <c r="C479" s="1" t="n">
        <v>46196</v>
      </c>
      <c r="D479" t="inlineStr">
        <is>
          <t>DALARNAS LÄN</t>
        </is>
      </c>
      <c r="E479" t="inlineStr">
        <is>
          <t>MORA</t>
        </is>
      </c>
      <c r="F479" t="inlineStr">
        <is>
          <t>Bergvik skog väst AB</t>
        </is>
      </c>
      <c r="G479" t="n">
        <v>5.4</v>
      </c>
      <c r="H479" t="n">
        <v>0</v>
      </c>
      <c r="I479" t="n">
        <v>0</v>
      </c>
      <c r="J479" t="n">
        <v>0</v>
      </c>
      <c r="K479" t="n">
        <v>0</v>
      </c>
      <c r="L479" t="n">
        <v>0</v>
      </c>
      <c r="M479" t="n">
        <v>0</v>
      </c>
      <c r="N479" t="n">
        <v>0</v>
      </c>
      <c r="O479" t="n">
        <v>0</v>
      </c>
      <c r="P479" t="n">
        <v>0</v>
      </c>
      <c r="Q479" t="n">
        <v>0</v>
      </c>
      <c r="R479" s="2" t="inlineStr"/>
    </row>
    <row r="480" ht="15" customHeight="1">
      <c r="A480" t="inlineStr">
        <is>
          <t>A 21502-2026</t>
        </is>
      </c>
      <c r="B480" s="1" t="n">
        <v>46148</v>
      </c>
      <c r="C480" s="1" t="n">
        <v>46196</v>
      </c>
      <c r="D480" t="inlineStr">
        <is>
          <t>DALARNAS LÄN</t>
        </is>
      </c>
      <c r="E480" t="inlineStr">
        <is>
          <t>MORA</t>
        </is>
      </c>
      <c r="F480" t="inlineStr">
        <is>
          <t>Bergvik skog öst AB</t>
        </is>
      </c>
      <c r="G480" t="n">
        <v>5.1</v>
      </c>
      <c r="H480" t="n">
        <v>0</v>
      </c>
      <c r="I480" t="n">
        <v>0</v>
      </c>
      <c r="J480" t="n">
        <v>0</v>
      </c>
      <c r="K480" t="n">
        <v>0</v>
      </c>
      <c r="L480" t="n">
        <v>0</v>
      </c>
      <c r="M480" t="n">
        <v>0</v>
      </c>
      <c r="N480" t="n">
        <v>0</v>
      </c>
      <c r="O480" t="n">
        <v>0</v>
      </c>
      <c r="P480" t="n">
        <v>0</v>
      </c>
      <c r="Q480" t="n">
        <v>0</v>
      </c>
      <c r="R480" s="2" t="inlineStr"/>
    </row>
    <row r="481" ht="15" customHeight="1">
      <c r="A481" t="inlineStr">
        <is>
          <t>A 27885-2026</t>
        </is>
      </c>
      <c r="B481" s="1" t="n">
        <v>46191</v>
      </c>
      <c r="C481" s="1" t="n">
        <v>46196</v>
      </c>
      <c r="D481" t="inlineStr">
        <is>
          <t>DALARNAS LÄN</t>
        </is>
      </c>
      <c r="E481" t="inlineStr">
        <is>
          <t>MORA</t>
        </is>
      </c>
      <c r="F481" t="inlineStr">
        <is>
          <t>Bergvik skog väst AB</t>
        </is>
      </c>
      <c r="G481" t="n">
        <v>9.5</v>
      </c>
      <c r="H481" t="n">
        <v>0</v>
      </c>
      <c r="I481" t="n">
        <v>0</v>
      </c>
      <c r="J481" t="n">
        <v>0</v>
      </c>
      <c r="K481" t="n">
        <v>0</v>
      </c>
      <c r="L481" t="n">
        <v>0</v>
      </c>
      <c r="M481" t="n">
        <v>0</v>
      </c>
      <c r="N481" t="n">
        <v>0</v>
      </c>
      <c r="O481" t="n">
        <v>0</v>
      </c>
      <c r="P481" t="n">
        <v>0</v>
      </c>
      <c r="Q481" t="n">
        <v>0</v>
      </c>
      <c r="R481" s="2" t="inlineStr"/>
    </row>
    <row r="482" ht="15" customHeight="1">
      <c r="A482" t="inlineStr">
        <is>
          <t>A 21499-2026</t>
        </is>
      </c>
      <c r="B482" s="1" t="n">
        <v>46148</v>
      </c>
      <c r="C482" s="1" t="n">
        <v>46196</v>
      </c>
      <c r="D482" t="inlineStr">
        <is>
          <t>DALARNAS LÄN</t>
        </is>
      </c>
      <c r="E482" t="inlineStr">
        <is>
          <t>MORA</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27871-2026</t>
        </is>
      </c>
      <c r="B483" s="1" t="n">
        <v>46191</v>
      </c>
      <c r="C483" s="1" t="n">
        <v>46196</v>
      </c>
      <c r="D483" t="inlineStr">
        <is>
          <t>DALARNAS LÄN</t>
        </is>
      </c>
      <c r="E483" t="inlineStr">
        <is>
          <t>MORA</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27886-2026</t>
        </is>
      </c>
      <c r="B484" s="1" t="n">
        <v>46191</v>
      </c>
      <c r="C484" s="1" t="n">
        <v>46196</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27699-2026</t>
        </is>
      </c>
      <c r="B485" s="1" t="n">
        <v>46190</v>
      </c>
      <c r="C485" s="1" t="n">
        <v>46196</v>
      </c>
      <c r="D485" t="inlineStr">
        <is>
          <t>DALARNAS LÄN</t>
        </is>
      </c>
      <c r="E485" t="inlineStr">
        <is>
          <t>MORA</t>
        </is>
      </c>
      <c r="F485" t="inlineStr">
        <is>
          <t>Bergvik skog öst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27938-2026</t>
        </is>
      </c>
      <c r="B486" s="1" t="n">
        <v>46191</v>
      </c>
      <c r="C486" s="1" t="n">
        <v>46196</v>
      </c>
      <c r="D486" t="inlineStr">
        <is>
          <t>DALARNAS LÄN</t>
        </is>
      </c>
      <c r="E486" t="inlineStr">
        <is>
          <t>MORA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27939-2026</t>
        </is>
      </c>
      <c r="B487" s="1" t="n">
        <v>46191</v>
      </c>
      <c r="C487" s="1" t="n">
        <v>46196</v>
      </c>
      <c r="D487" t="inlineStr">
        <is>
          <t>DALARNAS LÄN</t>
        </is>
      </c>
      <c r="E487" t="inlineStr">
        <is>
          <t>MORA</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27936-2026</t>
        </is>
      </c>
      <c r="B488" s="1" t="n">
        <v>46191</v>
      </c>
      <c r="C488" s="1" t="n">
        <v>46196</v>
      </c>
      <c r="D488" t="inlineStr">
        <is>
          <t>DALARNAS LÄN</t>
        </is>
      </c>
      <c r="E488" t="inlineStr">
        <is>
          <t>MORA</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571-2024</t>
        </is>
      </c>
      <c r="B489" s="1" t="n">
        <v>45299</v>
      </c>
      <c r="C489" s="1" t="n">
        <v>46196</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28087-2026</t>
        </is>
      </c>
      <c r="B490" s="1" t="n">
        <v>46195</v>
      </c>
      <c r="C490" s="1" t="n">
        <v>46196</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22909-2026</t>
        </is>
      </c>
      <c r="B491" s="1" t="n">
        <v>46160</v>
      </c>
      <c r="C491" s="1" t="n">
        <v>46196</v>
      </c>
      <c r="D491" t="inlineStr">
        <is>
          <t>DALARNAS LÄN</t>
        </is>
      </c>
      <c r="E491" t="inlineStr">
        <is>
          <t>MORA</t>
        </is>
      </c>
      <c r="G491" t="n">
        <v>3.5</v>
      </c>
      <c r="H491" t="n">
        <v>0</v>
      </c>
      <c r="I491" t="n">
        <v>0</v>
      </c>
      <c r="J491" t="n">
        <v>0</v>
      </c>
      <c r="K491" t="n">
        <v>0</v>
      </c>
      <c r="L491" t="n">
        <v>0</v>
      </c>
      <c r="M491" t="n">
        <v>0</v>
      </c>
      <c r="N491" t="n">
        <v>0</v>
      </c>
      <c r="O491" t="n">
        <v>0</v>
      </c>
      <c r="P491" t="n">
        <v>0</v>
      </c>
      <c r="Q491" t="n">
        <v>0</v>
      </c>
      <c r="R491" s="2" t="inlineStr"/>
    </row>
    <row r="492" ht="15" customHeight="1">
      <c r="A492" t="inlineStr">
        <is>
          <t>A 26306-2026</t>
        </is>
      </c>
      <c r="B492" s="1" t="n">
        <v>46182</v>
      </c>
      <c r="C492" s="1" t="n">
        <v>46196</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20549-2025</t>
        </is>
      </c>
      <c r="B493" s="1" t="n">
        <v>45775</v>
      </c>
      <c r="C493" s="1" t="n">
        <v>46196</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59995-2023</t>
        </is>
      </c>
      <c r="B494" s="1" t="n">
        <v>45254</v>
      </c>
      <c r="C494" s="1" t="n">
        <v>46196</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22113-2026</t>
        </is>
      </c>
      <c r="B495" s="1" t="n">
        <v>46153</v>
      </c>
      <c r="C495" s="1" t="n">
        <v>46196</v>
      </c>
      <c r="D495" t="inlineStr">
        <is>
          <t>DALARNAS LÄN</t>
        </is>
      </c>
      <c r="E495" t="inlineStr">
        <is>
          <t>MORA</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35521-2023</t>
        </is>
      </c>
      <c r="B496" s="1" t="n">
        <v>45147</v>
      </c>
      <c r="C496" s="1" t="n">
        <v>46196</v>
      </c>
      <c r="D496" t="inlineStr">
        <is>
          <t>DALARNAS LÄN</t>
        </is>
      </c>
      <c r="E496" t="inlineStr">
        <is>
          <t>MORA</t>
        </is>
      </c>
      <c r="G496" t="n">
        <v>3.7</v>
      </c>
      <c r="H496" t="n">
        <v>0</v>
      </c>
      <c r="I496" t="n">
        <v>0</v>
      </c>
      <c r="J496" t="n">
        <v>0</v>
      </c>
      <c r="K496" t="n">
        <v>0</v>
      </c>
      <c r="L496" t="n">
        <v>0</v>
      </c>
      <c r="M496" t="n">
        <v>0</v>
      </c>
      <c r="N496" t="n">
        <v>0</v>
      </c>
      <c r="O496" t="n">
        <v>0</v>
      </c>
      <c r="P496" t="n">
        <v>0</v>
      </c>
      <c r="Q496" t="n">
        <v>0</v>
      </c>
      <c r="R496" s="2" t="inlineStr"/>
    </row>
    <row r="497" ht="15" customHeight="1">
      <c r="A497" t="inlineStr">
        <is>
          <t>A 53743-2024</t>
        </is>
      </c>
      <c r="B497" s="1" t="n">
        <v>45615</v>
      </c>
      <c r="C497" s="1" t="n">
        <v>46196</v>
      </c>
      <c r="D497" t="inlineStr">
        <is>
          <t>DALARNAS LÄN</t>
        </is>
      </c>
      <c r="E497" t="inlineStr">
        <is>
          <t>MORA</t>
        </is>
      </c>
      <c r="G497" t="n">
        <v>1.4</v>
      </c>
      <c r="H497" t="n">
        <v>0</v>
      </c>
      <c r="I497" t="n">
        <v>0</v>
      </c>
      <c r="J497" t="n">
        <v>0</v>
      </c>
      <c r="K497" t="n">
        <v>0</v>
      </c>
      <c r="L497" t="n">
        <v>0</v>
      </c>
      <c r="M497" t="n">
        <v>0</v>
      </c>
      <c r="N497" t="n">
        <v>0</v>
      </c>
      <c r="O497" t="n">
        <v>0</v>
      </c>
      <c r="P497" t="n">
        <v>0</v>
      </c>
      <c r="Q497" t="n">
        <v>0</v>
      </c>
      <c r="R497" s="2" t="inlineStr"/>
    </row>
    <row r="498" ht="15" customHeight="1">
      <c r="A498" t="inlineStr">
        <is>
          <t>A 18806-2025</t>
        </is>
      </c>
      <c r="B498" s="1" t="n">
        <v>45764</v>
      </c>
      <c r="C498" s="1" t="n">
        <v>46196</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54628-2024</t>
        </is>
      </c>
      <c r="B499" s="1" t="n">
        <v>45617</v>
      </c>
      <c r="C499" s="1" t="n">
        <v>46196</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59448-2022</t>
        </is>
      </c>
      <c r="B500" s="1" t="n">
        <v>44907</v>
      </c>
      <c r="C500" s="1" t="n">
        <v>46196</v>
      </c>
      <c r="D500" t="inlineStr">
        <is>
          <t>DALARNAS LÄN</t>
        </is>
      </c>
      <c r="E500" t="inlineStr">
        <is>
          <t>MORA</t>
        </is>
      </c>
      <c r="G500" t="n">
        <v>35.7</v>
      </c>
      <c r="H500" t="n">
        <v>0</v>
      </c>
      <c r="I500" t="n">
        <v>0</v>
      </c>
      <c r="J500" t="n">
        <v>0</v>
      </c>
      <c r="K500" t="n">
        <v>0</v>
      </c>
      <c r="L500" t="n">
        <v>0</v>
      </c>
      <c r="M500" t="n">
        <v>0</v>
      </c>
      <c r="N500" t="n">
        <v>0</v>
      </c>
      <c r="O500" t="n">
        <v>0</v>
      </c>
      <c r="P500" t="n">
        <v>0</v>
      </c>
      <c r="Q500" t="n">
        <v>0</v>
      </c>
      <c r="R500" s="2" t="inlineStr"/>
    </row>
    <row r="501" ht="15" customHeight="1">
      <c r="A501" t="inlineStr">
        <is>
          <t>A 57319-2023</t>
        </is>
      </c>
      <c r="B501" s="1" t="n">
        <v>45245</v>
      </c>
      <c r="C501" s="1" t="n">
        <v>46196</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32261-2022</t>
        </is>
      </c>
      <c r="B502" s="1" t="n">
        <v>44781</v>
      </c>
      <c r="C502" s="1" t="n">
        <v>46196</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35381-2024</t>
        </is>
      </c>
      <c r="B503" s="1" t="n">
        <v>45531</v>
      </c>
      <c r="C503" s="1" t="n">
        <v>46196</v>
      </c>
      <c r="D503" t="inlineStr">
        <is>
          <t>DALARNAS LÄN</t>
        </is>
      </c>
      <c r="E503" t="inlineStr">
        <is>
          <t>MORA</t>
        </is>
      </c>
      <c r="G503" t="n">
        <v>3.7</v>
      </c>
      <c r="H503" t="n">
        <v>0</v>
      </c>
      <c r="I503" t="n">
        <v>0</v>
      </c>
      <c r="J503" t="n">
        <v>0</v>
      </c>
      <c r="K503" t="n">
        <v>0</v>
      </c>
      <c r="L503" t="n">
        <v>0</v>
      </c>
      <c r="M503" t="n">
        <v>0</v>
      </c>
      <c r="N503" t="n">
        <v>0</v>
      </c>
      <c r="O503" t="n">
        <v>0</v>
      </c>
      <c r="P503" t="n">
        <v>0</v>
      </c>
      <c r="Q503" t="n">
        <v>0</v>
      </c>
      <c r="R503" s="2" t="inlineStr"/>
    </row>
    <row r="504" ht="15" customHeight="1">
      <c r="A504" t="inlineStr">
        <is>
          <t>A 13479-2024</t>
        </is>
      </c>
      <c r="B504" s="1" t="n">
        <v>45387</v>
      </c>
      <c r="C504" s="1" t="n">
        <v>46196</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28487-2024</t>
        </is>
      </c>
      <c r="B505" s="1" t="n">
        <v>45477</v>
      </c>
      <c r="C505" s="1" t="n">
        <v>46196</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23586-2023</t>
        </is>
      </c>
      <c r="B506" s="1" t="n">
        <v>45077</v>
      </c>
      <c r="C506" s="1" t="n">
        <v>46196</v>
      </c>
      <c r="D506" t="inlineStr">
        <is>
          <t>DALARNAS LÄN</t>
        </is>
      </c>
      <c r="E506" t="inlineStr">
        <is>
          <t>MORA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58972-2023</t>
        </is>
      </c>
      <c r="B507" s="1" t="n">
        <v>45252</v>
      </c>
      <c r="C507" s="1" t="n">
        <v>46196</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46188-2022</t>
        </is>
      </c>
      <c r="B508" s="1" t="n">
        <v>44847</v>
      </c>
      <c r="C508" s="1" t="n">
        <v>46196</v>
      </c>
      <c r="D508" t="inlineStr">
        <is>
          <t>DALARNAS LÄN</t>
        </is>
      </c>
      <c r="E508" t="inlineStr">
        <is>
          <t>MORA</t>
        </is>
      </c>
      <c r="G508" t="n">
        <v>1.8</v>
      </c>
      <c r="H508" t="n">
        <v>0</v>
      </c>
      <c r="I508" t="n">
        <v>0</v>
      </c>
      <c r="J508" t="n">
        <v>0</v>
      </c>
      <c r="K508" t="n">
        <v>0</v>
      </c>
      <c r="L508" t="n">
        <v>0</v>
      </c>
      <c r="M508" t="n">
        <v>0</v>
      </c>
      <c r="N508" t="n">
        <v>0</v>
      </c>
      <c r="O508" t="n">
        <v>0</v>
      </c>
      <c r="P508" t="n">
        <v>0</v>
      </c>
      <c r="Q508" t="n">
        <v>0</v>
      </c>
      <c r="R508" s="2" t="inlineStr"/>
    </row>
    <row r="509" ht="15" customHeight="1">
      <c r="A509" t="inlineStr">
        <is>
          <t>A 42035-2022</t>
        </is>
      </c>
      <c r="B509" s="1" t="n">
        <v>44830</v>
      </c>
      <c r="C509" s="1" t="n">
        <v>46196</v>
      </c>
      <c r="D509" t="inlineStr">
        <is>
          <t>DALARNAS LÄN</t>
        </is>
      </c>
      <c r="E509" t="inlineStr">
        <is>
          <t>MORA</t>
        </is>
      </c>
      <c r="G509" t="n">
        <v>2.7</v>
      </c>
      <c r="H509" t="n">
        <v>0</v>
      </c>
      <c r="I509" t="n">
        <v>0</v>
      </c>
      <c r="J509" t="n">
        <v>0</v>
      </c>
      <c r="K509" t="n">
        <v>0</v>
      </c>
      <c r="L509" t="n">
        <v>0</v>
      </c>
      <c r="M509" t="n">
        <v>0</v>
      </c>
      <c r="N509" t="n">
        <v>0</v>
      </c>
      <c r="O509" t="n">
        <v>0</v>
      </c>
      <c r="P509" t="n">
        <v>0</v>
      </c>
      <c r="Q509" t="n">
        <v>0</v>
      </c>
      <c r="R509" s="2" t="inlineStr"/>
    </row>
    <row r="510" ht="15" customHeight="1">
      <c r="A510" t="inlineStr">
        <is>
          <t>A 15817-2024</t>
        </is>
      </c>
      <c r="B510" s="1" t="n">
        <v>45404</v>
      </c>
      <c r="C510" s="1" t="n">
        <v>46196</v>
      </c>
      <c r="D510" t="inlineStr">
        <is>
          <t>DALARNAS LÄN</t>
        </is>
      </c>
      <c r="E510" t="inlineStr">
        <is>
          <t>MORA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58116-2022</t>
        </is>
      </c>
      <c r="B511" s="1" t="n">
        <v>44900</v>
      </c>
      <c r="C511" s="1" t="n">
        <v>46196</v>
      </c>
      <c r="D511" t="inlineStr">
        <is>
          <t>DALARNAS LÄN</t>
        </is>
      </c>
      <c r="E511" t="inlineStr">
        <is>
          <t>MORA</t>
        </is>
      </c>
      <c r="G511" t="n">
        <v>2.9</v>
      </c>
      <c r="H511" t="n">
        <v>0</v>
      </c>
      <c r="I511" t="n">
        <v>0</v>
      </c>
      <c r="J511" t="n">
        <v>0</v>
      </c>
      <c r="K511" t="n">
        <v>0</v>
      </c>
      <c r="L511" t="n">
        <v>0</v>
      </c>
      <c r="M511" t="n">
        <v>0</v>
      </c>
      <c r="N511" t="n">
        <v>0</v>
      </c>
      <c r="O511" t="n">
        <v>0</v>
      </c>
      <c r="P511" t="n">
        <v>0</v>
      </c>
      <c r="Q511" t="n">
        <v>0</v>
      </c>
      <c r="R511" s="2" t="inlineStr"/>
    </row>
    <row r="512" ht="15" customHeight="1">
      <c r="A512" t="inlineStr">
        <is>
          <t>A 60647-2022</t>
        </is>
      </c>
      <c r="B512" s="1" t="n">
        <v>44911</v>
      </c>
      <c r="C512" s="1" t="n">
        <v>46196</v>
      </c>
      <c r="D512" t="inlineStr">
        <is>
          <t>DALARNAS LÄN</t>
        </is>
      </c>
      <c r="E512" t="inlineStr">
        <is>
          <t>MORA</t>
        </is>
      </c>
      <c r="G512" t="n">
        <v>4.8</v>
      </c>
      <c r="H512" t="n">
        <v>0</v>
      </c>
      <c r="I512" t="n">
        <v>0</v>
      </c>
      <c r="J512" t="n">
        <v>0</v>
      </c>
      <c r="K512" t="n">
        <v>0</v>
      </c>
      <c r="L512" t="n">
        <v>0</v>
      </c>
      <c r="M512" t="n">
        <v>0</v>
      </c>
      <c r="N512" t="n">
        <v>0</v>
      </c>
      <c r="O512" t="n">
        <v>0</v>
      </c>
      <c r="P512" t="n">
        <v>0</v>
      </c>
      <c r="Q512" t="n">
        <v>0</v>
      </c>
      <c r="R512" s="2" t="inlineStr"/>
    </row>
    <row r="513" ht="15" customHeight="1">
      <c r="A513" t="inlineStr">
        <is>
          <t>A 437-2024</t>
        </is>
      </c>
      <c r="B513" s="1" t="n">
        <v>45296</v>
      </c>
      <c r="C513" s="1" t="n">
        <v>46196</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31395-2024</t>
        </is>
      </c>
      <c r="B514" s="1" t="n">
        <v>45505</v>
      </c>
      <c r="C514" s="1" t="n">
        <v>46196</v>
      </c>
      <c r="D514" t="inlineStr">
        <is>
          <t>DALARNAS LÄN</t>
        </is>
      </c>
      <c r="E514" t="inlineStr">
        <is>
          <t>MORA</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60847-2021</t>
        </is>
      </c>
      <c r="B515" s="1" t="n">
        <v>44497</v>
      </c>
      <c r="C515" s="1" t="n">
        <v>46196</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31085-2024</t>
        </is>
      </c>
      <c r="B516" s="1" t="n">
        <v>45502</v>
      </c>
      <c r="C516" s="1" t="n">
        <v>46196</v>
      </c>
      <c r="D516" t="inlineStr">
        <is>
          <t>DALARNAS LÄN</t>
        </is>
      </c>
      <c r="E516" t="inlineStr">
        <is>
          <t>MORA</t>
        </is>
      </c>
      <c r="G516" t="n">
        <v>1.6</v>
      </c>
      <c r="H516" t="n">
        <v>0</v>
      </c>
      <c r="I516" t="n">
        <v>0</v>
      </c>
      <c r="J516" t="n">
        <v>0</v>
      </c>
      <c r="K516" t="n">
        <v>0</v>
      </c>
      <c r="L516" t="n">
        <v>0</v>
      </c>
      <c r="M516" t="n">
        <v>0</v>
      </c>
      <c r="N516" t="n">
        <v>0</v>
      </c>
      <c r="O516" t="n">
        <v>0</v>
      </c>
      <c r="P516" t="n">
        <v>0</v>
      </c>
      <c r="Q516" t="n">
        <v>0</v>
      </c>
      <c r="R516" s="2" t="inlineStr"/>
    </row>
    <row r="517" ht="15" customHeight="1">
      <c r="A517" t="inlineStr">
        <is>
          <t>A 60051-2022</t>
        </is>
      </c>
      <c r="B517" s="1" t="n">
        <v>44909</v>
      </c>
      <c r="C517" s="1" t="n">
        <v>46196</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13262-2022</t>
        </is>
      </c>
      <c r="B518" s="1" t="n">
        <v>44644</v>
      </c>
      <c r="C518" s="1" t="n">
        <v>46196</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50056-2022</t>
        </is>
      </c>
      <c r="B519" s="1" t="n">
        <v>44865</v>
      </c>
      <c r="C519" s="1" t="n">
        <v>46196</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15643-2025</t>
        </is>
      </c>
      <c r="B520" s="1" t="n">
        <v>45748</v>
      </c>
      <c r="C520" s="1" t="n">
        <v>46196</v>
      </c>
      <c r="D520" t="inlineStr">
        <is>
          <t>DALARNAS LÄN</t>
        </is>
      </c>
      <c r="E520" t="inlineStr">
        <is>
          <t>MORA</t>
        </is>
      </c>
      <c r="G520" t="n">
        <v>7.6</v>
      </c>
      <c r="H520" t="n">
        <v>0</v>
      </c>
      <c r="I520" t="n">
        <v>0</v>
      </c>
      <c r="J520" t="n">
        <v>0</v>
      </c>
      <c r="K520" t="n">
        <v>0</v>
      </c>
      <c r="L520" t="n">
        <v>0</v>
      </c>
      <c r="M520" t="n">
        <v>0</v>
      </c>
      <c r="N520" t="n">
        <v>0</v>
      </c>
      <c r="O520" t="n">
        <v>0</v>
      </c>
      <c r="P520" t="n">
        <v>0</v>
      </c>
      <c r="Q520" t="n">
        <v>0</v>
      </c>
      <c r="R520" s="2" t="inlineStr"/>
    </row>
    <row r="521" ht="15" customHeight="1">
      <c r="A521" t="inlineStr">
        <is>
          <t>A 46755-2023</t>
        </is>
      </c>
      <c r="B521" s="1" t="n">
        <v>45198</v>
      </c>
      <c r="C521" s="1" t="n">
        <v>46196</v>
      </c>
      <c r="D521" t="inlineStr">
        <is>
          <t>DALARNAS LÄN</t>
        </is>
      </c>
      <c r="E521" t="inlineStr">
        <is>
          <t>MORA</t>
        </is>
      </c>
      <c r="G521" t="n">
        <v>0.6</v>
      </c>
      <c r="H521" t="n">
        <v>0</v>
      </c>
      <c r="I521" t="n">
        <v>0</v>
      </c>
      <c r="J521" t="n">
        <v>0</v>
      </c>
      <c r="K521" t="n">
        <v>0</v>
      </c>
      <c r="L521" t="n">
        <v>0</v>
      </c>
      <c r="M521" t="n">
        <v>0</v>
      </c>
      <c r="N521" t="n">
        <v>0</v>
      </c>
      <c r="O521" t="n">
        <v>0</v>
      </c>
      <c r="P521" t="n">
        <v>0</v>
      </c>
      <c r="Q521" t="n">
        <v>0</v>
      </c>
      <c r="R521" s="2" t="inlineStr"/>
    </row>
    <row r="522" ht="15" customHeight="1">
      <c r="A522" t="inlineStr">
        <is>
          <t>A 18122-2025</t>
        </is>
      </c>
      <c r="B522" s="1" t="n">
        <v>45761</v>
      </c>
      <c r="C522" s="1" t="n">
        <v>46196</v>
      </c>
      <c r="D522" t="inlineStr">
        <is>
          <t>DALARNAS LÄN</t>
        </is>
      </c>
      <c r="E522" t="inlineStr">
        <is>
          <t>MORA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44817-2023</t>
        </is>
      </c>
      <c r="B523" s="1" t="n">
        <v>45190</v>
      </c>
      <c r="C523" s="1" t="n">
        <v>46196</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39511-2024</t>
        </is>
      </c>
      <c r="B524" s="1" t="n">
        <v>45551</v>
      </c>
      <c r="C524" s="1" t="n">
        <v>46196</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57797-2022</t>
        </is>
      </c>
      <c r="B525" s="1" t="n">
        <v>44897</v>
      </c>
      <c r="C525" s="1" t="n">
        <v>46196</v>
      </c>
      <c r="D525" t="inlineStr">
        <is>
          <t>DALARNAS LÄN</t>
        </is>
      </c>
      <c r="E525" t="inlineStr">
        <is>
          <t>MORA</t>
        </is>
      </c>
      <c r="G525" t="n">
        <v>3.1</v>
      </c>
      <c r="H525" t="n">
        <v>0</v>
      </c>
      <c r="I525" t="n">
        <v>0</v>
      </c>
      <c r="J525" t="n">
        <v>0</v>
      </c>
      <c r="K525" t="n">
        <v>0</v>
      </c>
      <c r="L525" t="n">
        <v>0</v>
      </c>
      <c r="M525" t="n">
        <v>0</v>
      </c>
      <c r="N525" t="n">
        <v>0</v>
      </c>
      <c r="O525" t="n">
        <v>0</v>
      </c>
      <c r="P525" t="n">
        <v>0</v>
      </c>
      <c r="Q525" t="n">
        <v>0</v>
      </c>
      <c r="R525" s="2" t="inlineStr"/>
    </row>
    <row r="526" ht="15" customHeight="1">
      <c r="A526" t="inlineStr">
        <is>
          <t>A 27125-2024</t>
        </is>
      </c>
      <c r="B526" s="1" t="n">
        <v>45471</v>
      </c>
      <c r="C526" s="1" t="n">
        <v>46196</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30822-2024</t>
        </is>
      </c>
      <c r="B527" s="1" t="n">
        <v>45497</v>
      </c>
      <c r="C527" s="1" t="n">
        <v>46196</v>
      </c>
      <c r="D527" t="inlineStr">
        <is>
          <t>DALARNAS LÄN</t>
        </is>
      </c>
      <c r="E527" t="inlineStr">
        <is>
          <t>MORA</t>
        </is>
      </c>
      <c r="G527" t="n">
        <v>1.8</v>
      </c>
      <c r="H527" t="n">
        <v>0</v>
      </c>
      <c r="I527" t="n">
        <v>0</v>
      </c>
      <c r="J527" t="n">
        <v>0</v>
      </c>
      <c r="K527" t="n">
        <v>0</v>
      </c>
      <c r="L527" t="n">
        <v>0</v>
      </c>
      <c r="M527" t="n">
        <v>0</v>
      </c>
      <c r="N527" t="n">
        <v>0</v>
      </c>
      <c r="O527" t="n">
        <v>0</v>
      </c>
      <c r="P527" t="n">
        <v>0</v>
      </c>
      <c r="Q527" t="n">
        <v>0</v>
      </c>
      <c r="R527" s="2" t="inlineStr"/>
    </row>
    <row r="528" ht="15" customHeight="1">
      <c r="A528" t="inlineStr">
        <is>
          <t>A 6371-2022</t>
        </is>
      </c>
      <c r="B528" s="1" t="n">
        <v>44600</v>
      </c>
      <c r="C528" s="1" t="n">
        <v>46196</v>
      </c>
      <c r="D528" t="inlineStr">
        <is>
          <t>DALARNAS LÄN</t>
        </is>
      </c>
      <c r="E528" t="inlineStr">
        <is>
          <t>MORA</t>
        </is>
      </c>
      <c r="G528" t="n">
        <v>4.6</v>
      </c>
      <c r="H528" t="n">
        <v>0</v>
      </c>
      <c r="I528" t="n">
        <v>0</v>
      </c>
      <c r="J528" t="n">
        <v>0</v>
      </c>
      <c r="K528" t="n">
        <v>0</v>
      </c>
      <c r="L528" t="n">
        <v>0</v>
      </c>
      <c r="M528" t="n">
        <v>0</v>
      </c>
      <c r="N528" t="n">
        <v>0</v>
      </c>
      <c r="O528" t="n">
        <v>0</v>
      </c>
      <c r="P528" t="n">
        <v>0</v>
      </c>
      <c r="Q528" t="n">
        <v>0</v>
      </c>
      <c r="R528" s="2" t="inlineStr"/>
    </row>
    <row r="529" ht="15" customHeight="1">
      <c r="A529" t="inlineStr">
        <is>
          <t>A 27420-2024</t>
        </is>
      </c>
      <c r="B529" s="1" t="n">
        <v>45474</v>
      </c>
      <c r="C529" s="1" t="n">
        <v>46196</v>
      </c>
      <c r="D529" t="inlineStr">
        <is>
          <t>DALARNAS LÄN</t>
        </is>
      </c>
      <c r="E529" t="inlineStr">
        <is>
          <t>MORA</t>
        </is>
      </c>
      <c r="G529" t="n">
        <v>7.3</v>
      </c>
      <c r="H529" t="n">
        <v>0</v>
      </c>
      <c r="I529" t="n">
        <v>0</v>
      </c>
      <c r="J529" t="n">
        <v>0</v>
      </c>
      <c r="K529" t="n">
        <v>0</v>
      </c>
      <c r="L529" t="n">
        <v>0</v>
      </c>
      <c r="M529" t="n">
        <v>0</v>
      </c>
      <c r="N529" t="n">
        <v>0</v>
      </c>
      <c r="O529" t="n">
        <v>0</v>
      </c>
      <c r="P529" t="n">
        <v>0</v>
      </c>
      <c r="Q529" t="n">
        <v>0</v>
      </c>
      <c r="R529" s="2" t="inlineStr"/>
    </row>
    <row r="530" ht="15" customHeight="1">
      <c r="A530" t="inlineStr">
        <is>
          <t>A 39344-2024</t>
        </is>
      </c>
      <c r="B530" s="1" t="n">
        <v>45551</v>
      </c>
      <c r="C530" s="1" t="n">
        <v>46196</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24590-2024</t>
        </is>
      </c>
      <c r="B531" s="1" t="n">
        <v>45460</v>
      </c>
      <c r="C531" s="1" t="n">
        <v>46196</v>
      </c>
      <c r="D531" t="inlineStr">
        <is>
          <t>DALARNAS LÄN</t>
        </is>
      </c>
      <c r="E531" t="inlineStr">
        <is>
          <t>MORA</t>
        </is>
      </c>
      <c r="G531" t="n">
        <v>0.6</v>
      </c>
      <c r="H531" t="n">
        <v>0</v>
      </c>
      <c r="I531" t="n">
        <v>0</v>
      </c>
      <c r="J531" t="n">
        <v>0</v>
      </c>
      <c r="K531" t="n">
        <v>0</v>
      </c>
      <c r="L531" t="n">
        <v>0</v>
      </c>
      <c r="M531" t="n">
        <v>0</v>
      </c>
      <c r="N531" t="n">
        <v>0</v>
      </c>
      <c r="O531" t="n">
        <v>0</v>
      </c>
      <c r="P531" t="n">
        <v>0</v>
      </c>
      <c r="Q531" t="n">
        <v>0</v>
      </c>
      <c r="R531" s="2" t="inlineStr"/>
    </row>
    <row r="532" ht="15" customHeight="1">
      <c r="A532" t="inlineStr">
        <is>
          <t>A 24169-2022</t>
        </is>
      </c>
      <c r="B532" s="1" t="n">
        <v>44725</v>
      </c>
      <c r="C532" s="1" t="n">
        <v>46196</v>
      </c>
      <c r="D532" t="inlineStr">
        <is>
          <t>DALARNAS LÄN</t>
        </is>
      </c>
      <c r="E532" t="inlineStr">
        <is>
          <t>MORA</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43641-2022</t>
        </is>
      </c>
      <c r="B533" s="1" t="n">
        <v>44837</v>
      </c>
      <c r="C533" s="1" t="n">
        <v>46196</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53750-2024</t>
        </is>
      </c>
      <c r="B534" s="1" t="n">
        <v>45615</v>
      </c>
      <c r="C534" s="1" t="n">
        <v>46196</v>
      </c>
      <c r="D534" t="inlineStr">
        <is>
          <t>DALARNAS LÄN</t>
        </is>
      </c>
      <c r="E534" t="inlineStr">
        <is>
          <t>MORA</t>
        </is>
      </c>
      <c r="G534" t="n">
        <v>2.3</v>
      </c>
      <c r="H534" t="n">
        <v>0</v>
      </c>
      <c r="I534" t="n">
        <v>0</v>
      </c>
      <c r="J534" t="n">
        <v>0</v>
      </c>
      <c r="K534" t="n">
        <v>0</v>
      </c>
      <c r="L534" t="n">
        <v>0</v>
      </c>
      <c r="M534" t="n">
        <v>0</v>
      </c>
      <c r="N534" t="n">
        <v>0</v>
      </c>
      <c r="O534" t="n">
        <v>0</v>
      </c>
      <c r="P534" t="n">
        <v>0</v>
      </c>
      <c r="Q534" t="n">
        <v>0</v>
      </c>
      <c r="R534" s="2" t="inlineStr"/>
    </row>
    <row r="535" ht="15" customHeight="1">
      <c r="A535" t="inlineStr">
        <is>
          <t>A 19842-2025</t>
        </is>
      </c>
      <c r="B535" s="1" t="n">
        <v>45771</v>
      </c>
      <c r="C535" s="1" t="n">
        <v>46196</v>
      </c>
      <c r="D535" t="inlineStr">
        <is>
          <t>DALARNAS LÄN</t>
        </is>
      </c>
      <c r="E535" t="inlineStr">
        <is>
          <t>MORA</t>
        </is>
      </c>
      <c r="G535" t="n">
        <v>1.9</v>
      </c>
      <c r="H535" t="n">
        <v>0</v>
      </c>
      <c r="I535" t="n">
        <v>0</v>
      </c>
      <c r="J535" t="n">
        <v>0</v>
      </c>
      <c r="K535" t="n">
        <v>0</v>
      </c>
      <c r="L535" t="n">
        <v>0</v>
      </c>
      <c r="M535" t="n">
        <v>0</v>
      </c>
      <c r="N535" t="n">
        <v>0</v>
      </c>
      <c r="O535" t="n">
        <v>0</v>
      </c>
      <c r="P535" t="n">
        <v>0</v>
      </c>
      <c r="Q535" t="n">
        <v>0</v>
      </c>
      <c r="R535" s="2" t="inlineStr"/>
    </row>
    <row r="536" ht="15" customHeight="1">
      <c r="A536" t="inlineStr">
        <is>
          <t>A 18134-2025</t>
        </is>
      </c>
      <c r="B536" s="1" t="n">
        <v>45761</v>
      </c>
      <c r="C536" s="1" t="n">
        <v>46196</v>
      </c>
      <c r="D536" t="inlineStr">
        <is>
          <t>DALARNAS LÄN</t>
        </is>
      </c>
      <c r="E536" t="inlineStr">
        <is>
          <t>MORA</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35327-2024</t>
        </is>
      </c>
      <c r="B537" s="1" t="n">
        <v>45530</v>
      </c>
      <c r="C537" s="1" t="n">
        <v>46196</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31112-2024</t>
        </is>
      </c>
      <c r="B538" s="1" t="n">
        <v>45502</v>
      </c>
      <c r="C538" s="1" t="n">
        <v>46196</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442-2024</t>
        </is>
      </c>
      <c r="B539" s="1" t="n">
        <v>45296</v>
      </c>
      <c r="C539" s="1" t="n">
        <v>46196</v>
      </c>
      <c r="D539" t="inlineStr">
        <is>
          <t>DALARNAS LÄN</t>
        </is>
      </c>
      <c r="E539" t="inlineStr">
        <is>
          <t>MORA</t>
        </is>
      </c>
      <c r="G539" t="n">
        <v>0.5</v>
      </c>
      <c r="H539" t="n">
        <v>0</v>
      </c>
      <c r="I539" t="n">
        <v>0</v>
      </c>
      <c r="J539" t="n">
        <v>0</v>
      </c>
      <c r="K539" t="n">
        <v>0</v>
      </c>
      <c r="L539" t="n">
        <v>0</v>
      </c>
      <c r="M539" t="n">
        <v>0</v>
      </c>
      <c r="N539" t="n">
        <v>0</v>
      </c>
      <c r="O539" t="n">
        <v>0</v>
      </c>
      <c r="P539" t="n">
        <v>0</v>
      </c>
      <c r="Q539" t="n">
        <v>0</v>
      </c>
      <c r="R539" s="2" t="inlineStr"/>
    </row>
    <row r="540" ht="15" customHeight="1">
      <c r="A540" t="inlineStr">
        <is>
          <t>A 501-2024</t>
        </is>
      </c>
      <c r="B540" s="1" t="n">
        <v>45299</v>
      </c>
      <c r="C540" s="1" t="n">
        <v>46196</v>
      </c>
      <c r="D540" t="inlineStr">
        <is>
          <t>DALARNAS LÄN</t>
        </is>
      </c>
      <c r="E540" t="inlineStr">
        <is>
          <t>MORA</t>
        </is>
      </c>
      <c r="G540" t="n">
        <v>2.5</v>
      </c>
      <c r="H540" t="n">
        <v>0</v>
      </c>
      <c r="I540" t="n">
        <v>0</v>
      </c>
      <c r="J540" t="n">
        <v>0</v>
      </c>
      <c r="K540" t="n">
        <v>0</v>
      </c>
      <c r="L540" t="n">
        <v>0</v>
      </c>
      <c r="M540" t="n">
        <v>0</v>
      </c>
      <c r="N540" t="n">
        <v>0</v>
      </c>
      <c r="O540" t="n">
        <v>0</v>
      </c>
      <c r="P540" t="n">
        <v>0</v>
      </c>
      <c r="Q540" t="n">
        <v>0</v>
      </c>
      <c r="R540" s="2" t="inlineStr"/>
    </row>
    <row r="541" ht="15" customHeight="1">
      <c r="A541" t="inlineStr">
        <is>
          <t>A 48570-2022</t>
        </is>
      </c>
      <c r="B541" s="1" t="n">
        <v>44859</v>
      </c>
      <c r="C541" s="1" t="n">
        <v>46196</v>
      </c>
      <c r="D541" t="inlineStr">
        <is>
          <t>DALARNAS LÄN</t>
        </is>
      </c>
      <c r="E541" t="inlineStr">
        <is>
          <t>MORA</t>
        </is>
      </c>
      <c r="G541" t="n">
        <v>6.2</v>
      </c>
      <c r="H541" t="n">
        <v>0</v>
      </c>
      <c r="I541" t="n">
        <v>0</v>
      </c>
      <c r="J541" t="n">
        <v>0</v>
      </c>
      <c r="K541" t="n">
        <v>0</v>
      </c>
      <c r="L541" t="n">
        <v>0</v>
      </c>
      <c r="M541" t="n">
        <v>0</v>
      </c>
      <c r="N541" t="n">
        <v>0</v>
      </c>
      <c r="O541" t="n">
        <v>0</v>
      </c>
      <c r="P541" t="n">
        <v>0</v>
      </c>
      <c r="Q541" t="n">
        <v>0</v>
      </c>
      <c r="R541" s="2" t="inlineStr"/>
    </row>
    <row r="542" ht="15" customHeight="1">
      <c r="A542" t="inlineStr">
        <is>
          <t>A 19814-2025</t>
        </is>
      </c>
      <c r="B542" s="1" t="n">
        <v>45771</v>
      </c>
      <c r="C542" s="1" t="n">
        <v>46196</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60526-2023</t>
        </is>
      </c>
      <c r="B543" s="1" t="n">
        <v>45259</v>
      </c>
      <c r="C543" s="1" t="n">
        <v>46196</v>
      </c>
      <c r="D543" t="inlineStr">
        <is>
          <t>DALARNAS LÄN</t>
        </is>
      </c>
      <c r="E543" t="inlineStr">
        <is>
          <t>MORA</t>
        </is>
      </c>
      <c r="G543" t="n">
        <v>6.7</v>
      </c>
      <c r="H543" t="n">
        <v>0</v>
      </c>
      <c r="I543" t="n">
        <v>0</v>
      </c>
      <c r="J543" t="n">
        <v>0</v>
      </c>
      <c r="K543" t="n">
        <v>0</v>
      </c>
      <c r="L543" t="n">
        <v>0</v>
      </c>
      <c r="M543" t="n">
        <v>0</v>
      </c>
      <c r="N543" t="n">
        <v>0</v>
      </c>
      <c r="O543" t="n">
        <v>0</v>
      </c>
      <c r="P543" t="n">
        <v>0</v>
      </c>
      <c r="Q543" t="n">
        <v>0</v>
      </c>
      <c r="R543" s="2" t="inlineStr"/>
    </row>
    <row r="544" ht="15" customHeight="1">
      <c r="A544" t="inlineStr">
        <is>
          <t>A 53341-2023</t>
        </is>
      </c>
      <c r="B544" s="1" t="n">
        <v>45229</v>
      </c>
      <c r="C544" s="1" t="n">
        <v>46196</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12828-2023</t>
        </is>
      </c>
      <c r="B545" s="1" t="n">
        <v>45001</v>
      </c>
      <c r="C545" s="1" t="n">
        <v>46196</v>
      </c>
      <c r="D545" t="inlineStr">
        <is>
          <t>DALARNAS LÄN</t>
        </is>
      </c>
      <c r="E545" t="inlineStr">
        <is>
          <t>MORA</t>
        </is>
      </c>
      <c r="F545" t="inlineStr">
        <is>
          <t>Bergvik skog väst AB</t>
        </is>
      </c>
      <c r="G545" t="n">
        <v>5.4</v>
      </c>
      <c r="H545" t="n">
        <v>0</v>
      </c>
      <c r="I545" t="n">
        <v>0</v>
      </c>
      <c r="J545" t="n">
        <v>0</v>
      </c>
      <c r="K545" t="n">
        <v>0</v>
      </c>
      <c r="L545" t="n">
        <v>0</v>
      </c>
      <c r="M545" t="n">
        <v>0</v>
      </c>
      <c r="N545" t="n">
        <v>0</v>
      </c>
      <c r="O545" t="n">
        <v>0</v>
      </c>
      <c r="P545" t="n">
        <v>0</v>
      </c>
      <c r="Q545" t="n">
        <v>0</v>
      </c>
      <c r="R545" s="2" t="inlineStr"/>
    </row>
    <row r="546" ht="15" customHeight="1">
      <c r="A546" t="inlineStr">
        <is>
          <t>A 21410-2023</t>
        </is>
      </c>
      <c r="B546" s="1" t="n">
        <v>45063</v>
      </c>
      <c r="C546" s="1" t="n">
        <v>46196</v>
      </c>
      <c r="D546" t="inlineStr">
        <is>
          <t>DALARNAS LÄN</t>
        </is>
      </c>
      <c r="E546" t="inlineStr">
        <is>
          <t>MORA</t>
        </is>
      </c>
      <c r="G546" t="n">
        <v>7</v>
      </c>
      <c r="H546" t="n">
        <v>0</v>
      </c>
      <c r="I546" t="n">
        <v>0</v>
      </c>
      <c r="J546" t="n">
        <v>0</v>
      </c>
      <c r="K546" t="n">
        <v>0</v>
      </c>
      <c r="L546" t="n">
        <v>0</v>
      </c>
      <c r="M546" t="n">
        <v>0</v>
      </c>
      <c r="N546" t="n">
        <v>0</v>
      </c>
      <c r="O546" t="n">
        <v>0</v>
      </c>
      <c r="P546" t="n">
        <v>0</v>
      </c>
      <c r="Q546" t="n">
        <v>0</v>
      </c>
      <c r="R546" s="2" t="inlineStr"/>
    </row>
    <row r="547" ht="15" customHeight="1">
      <c r="A547" t="inlineStr">
        <is>
          <t>A 45475-2023</t>
        </is>
      </c>
      <c r="B547" s="1" t="n">
        <v>45188</v>
      </c>
      <c r="C547" s="1" t="n">
        <v>46196</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44071-2024</t>
        </is>
      </c>
      <c r="B548" s="1" t="n">
        <v>45572</v>
      </c>
      <c r="C548" s="1" t="n">
        <v>46196</v>
      </c>
      <c r="D548" t="inlineStr">
        <is>
          <t>DALARNAS LÄN</t>
        </is>
      </c>
      <c r="E548" t="inlineStr">
        <is>
          <t>MORA</t>
        </is>
      </c>
      <c r="G548" t="n">
        <v>4.5</v>
      </c>
      <c r="H548" t="n">
        <v>0</v>
      </c>
      <c r="I548" t="n">
        <v>0</v>
      </c>
      <c r="J548" t="n">
        <v>0</v>
      </c>
      <c r="K548" t="n">
        <v>0</v>
      </c>
      <c r="L548" t="n">
        <v>0</v>
      </c>
      <c r="M548" t="n">
        <v>0</v>
      </c>
      <c r="N548" t="n">
        <v>0</v>
      </c>
      <c r="O548" t="n">
        <v>0</v>
      </c>
      <c r="P548" t="n">
        <v>0</v>
      </c>
      <c r="Q548" t="n">
        <v>0</v>
      </c>
      <c r="R548" s="2" t="inlineStr"/>
    </row>
    <row r="549" ht="15" customHeight="1">
      <c r="A549" t="inlineStr">
        <is>
          <t>A 57903-2022</t>
        </is>
      </c>
      <c r="B549" s="1" t="n">
        <v>44900</v>
      </c>
      <c r="C549" s="1" t="n">
        <v>46196</v>
      </c>
      <c r="D549" t="inlineStr">
        <is>
          <t>DALARNAS LÄN</t>
        </is>
      </c>
      <c r="E549" t="inlineStr">
        <is>
          <t>MORA</t>
        </is>
      </c>
      <c r="G549" t="n">
        <v>4.3</v>
      </c>
      <c r="H549" t="n">
        <v>0</v>
      </c>
      <c r="I549" t="n">
        <v>0</v>
      </c>
      <c r="J549" t="n">
        <v>0</v>
      </c>
      <c r="K549" t="n">
        <v>0</v>
      </c>
      <c r="L549" t="n">
        <v>0</v>
      </c>
      <c r="M549" t="n">
        <v>0</v>
      </c>
      <c r="N549" t="n">
        <v>0</v>
      </c>
      <c r="O549" t="n">
        <v>0</v>
      </c>
      <c r="P549" t="n">
        <v>0</v>
      </c>
      <c r="Q549" t="n">
        <v>0</v>
      </c>
      <c r="R549" s="2" t="inlineStr"/>
    </row>
    <row r="550" ht="15" customHeight="1">
      <c r="A550" t="inlineStr">
        <is>
          <t>A 19193-2025</t>
        </is>
      </c>
      <c r="B550" s="1" t="n">
        <v>45769</v>
      </c>
      <c r="C550" s="1" t="n">
        <v>46196</v>
      </c>
      <c r="D550" t="inlineStr">
        <is>
          <t>DALARNAS LÄN</t>
        </is>
      </c>
      <c r="E550" t="inlineStr">
        <is>
          <t>MORA</t>
        </is>
      </c>
      <c r="F550" t="inlineStr">
        <is>
          <t>Bergvik skog öst AB</t>
        </is>
      </c>
      <c r="G550" t="n">
        <v>1</v>
      </c>
      <c r="H550" t="n">
        <v>0</v>
      </c>
      <c r="I550" t="n">
        <v>0</v>
      </c>
      <c r="J550" t="n">
        <v>0</v>
      </c>
      <c r="K550" t="n">
        <v>0</v>
      </c>
      <c r="L550" t="n">
        <v>0</v>
      </c>
      <c r="M550" t="n">
        <v>0</v>
      </c>
      <c r="N550" t="n">
        <v>0</v>
      </c>
      <c r="O550" t="n">
        <v>0</v>
      </c>
      <c r="P550" t="n">
        <v>0</v>
      </c>
      <c r="Q550" t="n">
        <v>0</v>
      </c>
      <c r="R550" s="2" t="inlineStr"/>
    </row>
    <row r="551" ht="15" customHeight="1">
      <c r="A551" t="inlineStr">
        <is>
          <t>A 6183-2024</t>
        </is>
      </c>
      <c r="B551" s="1" t="n">
        <v>45337</v>
      </c>
      <c r="C551" s="1" t="n">
        <v>46196</v>
      </c>
      <c r="D551" t="inlineStr">
        <is>
          <t>DALARNAS LÄN</t>
        </is>
      </c>
      <c r="E551" t="inlineStr">
        <is>
          <t>MORA</t>
        </is>
      </c>
      <c r="G551" t="n">
        <v>7.9</v>
      </c>
      <c r="H551" t="n">
        <v>0</v>
      </c>
      <c r="I551" t="n">
        <v>0</v>
      </c>
      <c r="J551" t="n">
        <v>0</v>
      </c>
      <c r="K551" t="n">
        <v>0</v>
      </c>
      <c r="L551" t="n">
        <v>0</v>
      </c>
      <c r="M551" t="n">
        <v>0</v>
      </c>
      <c r="N551" t="n">
        <v>0</v>
      </c>
      <c r="O551" t="n">
        <v>0</v>
      </c>
      <c r="P551" t="n">
        <v>0</v>
      </c>
      <c r="Q551" t="n">
        <v>0</v>
      </c>
      <c r="R551" s="2" t="inlineStr"/>
    </row>
    <row r="552" ht="15" customHeight="1">
      <c r="A552" t="inlineStr">
        <is>
          <t>A 46152-2023</t>
        </is>
      </c>
      <c r="B552" s="1" t="n">
        <v>45196</v>
      </c>
      <c r="C552" s="1" t="n">
        <v>46196</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48824-2023</t>
        </is>
      </c>
      <c r="B553" s="1" t="n">
        <v>45203</v>
      </c>
      <c r="C553" s="1" t="n">
        <v>46196</v>
      </c>
      <c r="D553" t="inlineStr">
        <is>
          <t>DALARNAS LÄN</t>
        </is>
      </c>
      <c r="E553" t="inlineStr">
        <is>
          <t>MORA</t>
        </is>
      </c>
      <c r="G553" t="n">
        <v>3.3</v>
      </c>
      <c r="H553" t="n">
        <v>0</v>
      </c>
      <c r="I553" t="n">
        <v>0</v>
      </c>
      <c r="J553" t="n">
        <v>0</v>
      </c>
      <c r="K553" t="n">
        <v>0</v>
      </c>
      <c r="L553" t="n">
        <v>0</v>
      </c>
      <c r="M553" t="n">
        <v>0</v>
      </c>
      <c r="N553" t="n">
        <v>0</v>
      </c>
      <c r="O553" t="n">
        <v>0</v>
      </c>
      <c r="P553" t="n">
        <v>0</v>
      </c>
      <c r="Q553" t="n">
        <v>0</v>
      </c>
      <c r="R553" s="2" t="inlineStr"/>
    </row>
    <row r="554" ht="15" customHeight="1">
      <c r="A554" t="inlineStr">
        <is>
          <t>A 34272-2024</t>
        </is>
      </c>
      <c r="B554" s="1" t="n">
        <v>45524</v>
      </c>
      <c r="C554" s="1" t="n">
        <v>46196</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36579-2022</t>
        </is>
      </c>
      <c r="B555" s="1" t="n">
        <v>44804</v>
      </c>
      <c r="C555" s="1" t="n">
        <v>46196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51780-2023</t>
        </is>
      </c>
      <c r="B556" s="1" t="n">
        <v>45222</v>
      </c>
      <c r="C556" s="1" t="n">
        <v>46196</v>
      </c>
      <c r="D556" t="inlineStr">
        <is>
          <t>DALARNAS LÄN</t>
        </is>
      </c>
      <c r="E556" t="inlineStr">
        <is>
          <t>MORA</t>
        </is>
      </c>
      <c r="G556" t="n">
        <v>9.9</v>
      </c>
      <c r="H556" t="n">
        <v>0</v>
      </c>
      <c r="I556" t="n">
        <v>0</v>
      </c>
      <c r="J556" t="n">
        <v>0</v>
      </c>
      <c r="K556" t="n">
        <v>0</v>
      </c>
      <c r="L556" t="n">
        <v>0</v>
      </c>
      <c r="M556" t="n">
        <v>0</v>
      </c>
      <c r="N556" t="n">
        <v>0</v>
      </c>
      <c r="O556" t="n">
        <v>0</v>
      </c>
      <c r="P556" t="n">
        <v>0</v>
      </c>
      <c r="Q556" t="n">
        <v>0</v>
      </c>
      <c r="R556" s="2" t="inlineStr"/>
    </row>
    <row r="557" ht="15" customHeight="1">
      <c r="A557" t="inlineStr">
        <is>
          <t>A 15818-2024</t>
        </is>
      </c>
      <c r="B557" s="1" t="n">
        <v>45404</v>
      </c>
      <c r="C557" s="1" t="n">
        <v>46196</v>
      </c>
      <c r="D557" t="inlineStr">
        <is>
          <t>DALARNAS LÄN</t>
        </is>
      </c>
      <c r="E557" t="inlineStr">
        <is>
          <t>MORA</t>
        </is>
      </c>
      <c r="G557" t="n">
        <v>7</v>
      </c>
      <c r="H557" t="n">
        <v>0</v>
      </c>
      <c r="I557" t="n">
        <v>0</v>
      </c>
      <c r="J557" t="n">
        <v>0</v>
      </c>
      <c r="K557" t="n">
        <v>0</v>
      </c>
      <c r="L557" t="n">
        <v>0</v>
      </c>
      <c r="M557" t="n">
        <v>0</v>
      </c>
      <c r="N557" t="n">
        <v>0</v>
      </c>
      <c r="O557" t="n">
        <v>0</v>
      </c>
      <c r="P557" t="n">
        <v>0</v>
      </c>
      <c r="Q557" t="n">
        <v>0</v>
      </c>
      <c r="R557" s="2" t="inlineStr"/>
    </row>
    <row r="558" ht="15" customHeight="1">
      <c r="A558" t="inlineStr">
        <is>
          <t>A 35040-2023</t>
        </is>
      </c>
      <c r="B558" s="1" t="n">
        <v>45145</v>
      </c>
      <c r="C558" s="1" t="n">
        <v>46196</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44595-2024</t>
        </is>
      </c>
      <c r="B559" s="1" t="n">
        <v>45574</v>
      </c>
      <c r="C559" s="1" t="n">
        <v>46196</v>
      </c>
      <c r="D559" t="inlineStr">
        <is>
          <t>DALARNAS LÄN</t>
        </is>
      </c>
      <c r="E559" t="inlineStr">
        <is>
          <t>MORA</t>
        </is>
      </c>
      <c r="G559" t="n">
        <v>0.8</v>
      </c>
      <c r="H559" t="n">
        <v>0</v>
      </c>
      <c r="I559" t="n">
        <v>0</v>
      </c>
      <c r="J559" t="n">
        <v>0</v>
      </c>
      <c r="K559" t="n">
        <v>0</v>
      </c>
      <c r="L559" t="n">
        <v>0</v>
      </c>
      <c r="M559" t="n">
        <v>0</v>
      </c>
      <c r="N559" t="n">
        <v>0</v>
      </c>
      <c r="O559" t="n">
        <v>0</v>
      </c>
      <c r="P559" t="n">
        <v>0</v>
      </c>
      <c r="Q559" t="n">
        <v>0</v>
      </c>
      <c r="R559" s="2" t="inlineStr"/>
    </row>
    <row r="560" ht="15" customHeight="1">
      <c r="A560" t="inlineStr">
        <is>
          <t>A 61293-2022</t>
        </is>
      </c>
      <c r="B560" s="1" t="n">
        <v>44915</v>
      </c>
      <c r="C560" s="1" t="n">
        <v>46196</v>
      </c>
      <c r="D560" t="inlineStr">
        <is>
          <t>DALARNAS LÄN</t>
        </is>
      </c>
      <c r="E560" t="inlineStr">
        <is>
          <t>MORA</t>
        </is>
      </c>
      <c r="G560" t="n">
        <v>0.3</v>
      </c>
      <c r="H560" t="n">
        <v>0</v>
      </c>
      <c r="I560" t="n">
        <v>0</v>
      </c>
      <c r="J560" t="n">
        <v>0</v>
      </c>
      <c r="K560" t="n">
        <v>0</v>
      </c>
      <c r="L560" t="n">
        <v>0</v>
      </c>
      <c r="M560" t="n">
        <v>0</v>
      </c>
      <c r="N560" t="n">
        <v>0</v>
      </c>
      <c r="O560" t="n">
        <v>0</v>
      </c>
      <c r="P560" t="n">
        <v>0</v>
      </c>
      <c r="Q560" t="n">
        <v>0</v>
      </c>
      <c r="R560" s="2" t="inlineStr"/>
    </row>
    <row r="561" ht="15" customHeight="1">
      <c r="A561" t="inlineStr">
        <is>
          <t>A 57091-2021</t>
        </is>
      </c>
      <c r="B561" s="1" t="n">
        <v>44482</v>
      </c>
      <c r="C561" s="1" t="n">
        <v>46196</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50685-2023</t>
        </is>
      </c>
      <c r="B562" s="1" t="n">
        <v>45210</v>
      </c>
      <c r="C562" s="1" t="n">
        <v>46196</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36740-2023</t>
        </is>
      </c>
      <c r="B563" s="1" t="n">
        <v>45153</v>
      </c>
      <c r="C563" s="1" t="n">
        <v>46196</v>
      </c>
      <c r="D563" t="inlineStr">
        <is>
          <t>DALARNAS LÄN</t>
        </is>
      </c>
      <c r="E563" t="inlineStr">
        <is>
          <t>MORA</t>
        </is>
      </c>
      <c r="G563" t="n">
        <v>0.2</v>
      </c>
      <c r="H563" t="n">
        <v>0</v>
      </c>
      <c r="I563" t="n">
        <v>0</v>
      </c>
      <c r="J563" t="n">
        <v>0</v>
      </c>
      <c r="K563" t="n">
        <v>0</v>
      </c>
      <c r="L563" t="n">
        <v>0</v>
      </c>
      <c r="M563" t="n">
        <v>0</v>
      </c>
      <c r="N563" t="n">
        <v>0</v>
      </c>
      <c r="O563" t="n">
        <v>0</v>
      </c>
      <c r="P563" t="n">
        <v>0</v>
      </c>
      <c r="Q563" t="n">
        <v>0</v>
      </c>
      <c r="R563" s="2" t="inlineStr"/>
    </row>
    <row r="564" ht="15" customHeight="1">
      <c r="A564" t="inlineStr">
        <is>
          <t>A 65186-2021</t>
        </is>
      </c>
      <c r="B564" s="1" t="n">
        <v>44515</v>
      </c>
      <c r="C564" s="1" t="n">
        <v>46196</v>
      </c>
      <c r="D564" t="inlineStr">
        <is>
          <t>DALARNAS LÄN</t>
        </is>
      </c>
      <c r="E564" t="inlineStr">
        <is>
          <t>MORA</t>
        </is>
      </c>
      <c r="G564" t="n">
        <v>1.4</v>
      </c>
      <c r="H564" t="n">
        <v>0</v>
      </c>
      <c r="I564" t="n">
        <v>0</v>
      </c>
      <c r="J564" t="n">
        <v>0</v>
      </c>
      <c r="K564" t="n">
        <v>0</v>
      </c>
      <c r="L564" t="n">
        <v>0</v>
      </c>
      <c r="M564" t="n">
        <v>0</v>
      </c>
      <c r="N564" t="n">
        <v>0</v>
      </c>
      <c r="O564" t="n">
        <v>0</v>
      </c>
      <c r="P564" t="n">
        <v>0</v>
      </c>
      <c r="Q564" t="n">
        <v>0</v>
      </c>
      <c r="R564" s="2" t="inlineStr"/>
    </row>
    <row r="565" ht="15" customHeight="1">
      <c r="A565" t="inlineStr">
        <is>
          <t>A 58171-2024</t>
        </is>
      </c>
      <c r="B565" s="1" t="n">
        <v>45632</v>
      </c>
      <c r="C565" s="1" t="n">
        <v>46196</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17167-2025</t>
        </is>
      </c>
      <c r="B566" s="1" t="n">
        <v>45756</v>
      </c>
      <c r="C566" s="1" t="n">
        <v>46196</v>
      </c>
      <c r="D566" t="inlineStr">
        <is>
          <t>DALARNAS LÄN</t>
        </is>
      </c>
      <c r="E566" t="inlineStr">
        <is>
          <t>MORA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20504-2023</t>
        </is>
      </c>
      <c r="B567" s="1" t="n">
        <v>45057</v>
      </c>
      <c r="C567" s="1" t="n">
        <v>46196</v>
      </c>
      <c r="D567" t="inlineStr">
        <is>
          <t>DALARNAS LÄN</t>
        </is>
      </c>
      <c r="E567" t="inlineStr">
        <is>
          <t>MORA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36184-2021</t>
        </is>
      </c>
      <c r="B568" s="1" t="n">
        <v>44389</v>
      </c>
      <c r="C568" s="1" t="n">
        <v>46196</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17529-2023</t>
        </is>
      </c>
      <c r="B569" s="1" t="n">
        <v>45036</v>
      </c>
      <c r="C569" s="1" t="n">
        <v>46196</v>
      </c>
      <c r="D569" t="inlineStr">
        <is>
          <t>DALARNAS LÄN</t>
        </is>
      </c>
      <c r="E569" t="inlineStr">
        <is>
          <t>MORA</t>
        </is>
      </c>
      <c r="G569" t="n">
        <v>6</v>
      </c>
      <c r="H569" t="n">
        <v>0</v>
      </c>
      <c r="I569" t="n">
        <v>0</v>
      </c>
      <c r="J569" t="n">
        <v>0</v>
      </c>
      <c r="K569" t="n">
        <v>0</v>
      </c>
      <c r="L569" t="n">
        <v>0</v>
      </c>
      <c r="M569" t="n">
        <v>0</v>
      </c>
      <c r="N569" t="n">
        <v>0</v>
      </c>
      <c r="O569" t="n">
        <v>0</v>
      </c>
      <c r="P569" t="n">
        <v>0</v>
      </c>
      <c r="Q569" t="n">
        <v>0</v>
      </c>
      <c r="R569" s="2" t="inlineStr"/>
    </row>
    <row r="570" ht="15" customHeight="1">
      <c r="A570" t="inlineStr">
        <is>
          <t>A 44201-2023</t>
        </is>
      </c>
      <c r="B570" s="1" t="n">
        <v>45188</v>
      </c>
      <c r="C570" s="1" t="n">
        <v>46196</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2865-2022</t>
        </is>
      </c>
      <c r="B571" s="1" t="n">
        <v>44581</v>
      </c>
      <c r="C571" s="1" t="n">
        <v>46196</v>
      </c>
      <c r="D571" t="inlineStr">
        <is>
          <t>DALARNAS LÄN</t>
        </is>
      </c>
      <c r="E571" t="inlineStr">
        <is>
          <t>MORA</t>
        </is>
      </c>
      <c r="G571" t="n">
        <v>2</v>
      </c>
      <c r="H571" t="n">
        <v>0</v>
      </c>
      <c r="I571" t="n">
        <v>0</v>
      </c>
      <c r="J571" t="n">
        <v>0</v>
      </c>
      <c r="K571" t="n">
        <v>0</v>
      </c>
      <c r="L571" t="n">
        <v>0</v>
      </c>
      <c r="M571" t="n">
        <v>0</v>
      </c>
      <c r="N571" t="n">
        <v>0</v>
      </c>
      <c r="O571" t="n">
        <v>0</v>
      </c>
      <c r="P571" t="n">
        <v>0</v>
      </c>
      <c r="Q571" t="n">
        <v>0</v>
      </c>
      <c r="R571" s="2" t="inlineStr"/>
    </row>
    <row r="572" ht="15" customHeight="1">
      <c r="A572" t="inlineStr">
        <is>
          <t>A 56834-2024</t>
        </is>
      </c>
      <c r="B572" s="1" t="n">
        <v>45628</v>
      </c>
      <c r="C572" s="1" t="n">
        <v>46196</v>
      </c>
      <c r="D572" t="inlineStr">
        <is>
          <t>DALARNAS LÄN</t>
        </is>
      </c>
      <c r="E572" t="inlineStr">
        <is>
          <t>MORA</t>
        </is>
      </c>
      <c r="G572" t="n">
        <v>0.4</v>
      </c>
      <c r="H572" t="n">
        <v>0</v>
      </c>
      <c r="I572" t="n">
        <v>0</v>
      </c>
      <c r="J572" t="n">
        <v>0</v>
      </c>
      <c r="K572" t="n">
        <v>0</v>
      </c>
      <c r="L572" t="n">
        <v>0</v>
      </c>
      <c r="M572" t="n">
        <v>0</v>
      </c>
      <c r="N572" t="n">
        <v>0</v>
      </c>
      <c r="O572" t="n">
        <v>0</v>
      </c>
      <c r="P572" t="n">
        <v>0</v>
      </c>
      <c r="Q572" t="n">
        <v>0</v>
      </c>
      <c r="R572" s="2" t="inlineStr"/>
    </row>
    <row r="573" ht="15" customHeight="1">
      <c r="A573" t="inlineStr">
        <is>
          <t>A 47036-2023</t>
        </is>
      </c>
      <c r="B573" s="1" t="n">
        <v>45196</v>
      </c>
      <c r="C573" s="1" t="n">
        <v>46196</v>
      </c>
      <c r="D573" t="inlineStr">
        <is>
          <t>DALARNAS LÄN</t>
        </is>
      </c>
      <c r="E573" t="inlineStr">
        <is>
          <t>MORA</t>
        </is>
      </c>
      <c r="G573" t="n">
        <v>2.7</v>
      </c>
      <c r="H573" t="n">
        <v>0</v>
      </c>
      <c r="I573" t="n">
        <v>0</v>
      </c>
      <c r="J573" t="n">
        <v>0</v>
      </c>
      <c r="K573" t="n">
        <v>0</v>
      </c>
      <c r="L573" t="n">
        <v>0</v>
      </c>
      <c r="M573" t="n">
        <v>0</v>
      </c>
      <c r="N573" t="n">
        <v>0</v>
      </c>
      <c r="O573" t="n">
        <v>0</v>
      </c>
      <c r="P573" t="n">
        <v>0</v>
      </c>
      <c r="Q573" t="n">
        <v>0</v>
      </c>
      <c r="R573" s="2" t="inlineStr"/>
    </row>
    <row r="574" ht="15" customHeight="1">
      <c r="A574" t="inlineStr">
        <is>
          <t>A 20544-2025</t>
        </is>
      </c>
      <c r="B574" s="1" t="n">
        <v>45775</v>
      </c>
      <c r="C574" s="1" t="n">
        <v>46196</v>
      </c>
      <c r="D574" t="inlineStr">
        <is>
          <t>DALARNAS LÄN</t>
        </is>
      </c>
      <c r="E574" t="inlineStr">
        <is>
          <t>MORA</t>
        </is>
      </c>
      <c r="G574" t="n">
        <v>3.6</v>
      </c>
      <c r="H574" t="n">
        <v>0</v>
      </c>
      <c r="I574" t="n">
        <v>0</v>
      </c>
      <c r="J574" t="n">
        <v>0</v>
      </c>
      <c r="K574" t="n">
        <v>0</v>
      </c>
      <c r="L574" t="n">
        <v>0</v>
      </c>
      <c r="M574" t="n">
        <v>0</v>
      </c>
      <c r="N574" t="n">
        <v>0</v>
      </c>
      <c r="O574" t="n">
        <v>0</v>
      </c>
      <c r="P574" t="n">
        <v>0</v>
      </c>
      <c r="Q574" t="n">
        <v>0</v>
      </c>
      <c r="R574" s="2" t="inlineStr"/>
    </row>
    <row r="575" ht="15" customHeight="1">
      <c r="A575" t="inlineStr">
        <is>
          <t>A 20401-2022</t>
        </is>
      </c>
      <c r="B575" s="1" t="n">
        <v>44699</v>
      </c>
      <c r="C575" s="1" t="n">
        <v>46196</v>
      </c>
      <c r="D575" t="inlineStr">
        <is>
          <t>DALARNAS LÄN</t>
        </is>
      </c>
      <c r="E575" t="inlineStr">
        <is>
          <t>MORA</t>
        </is>
      </c>
      <c r="G575" t="n">
        <v>3.2</v>
      </c>
      <c r="H575" t="n">
        <v>0</v>
      </c>
      <c r="I575" t="n">
        <v>0</v>
      </c>
      <c r="J575" t="n">
        <v>0</v>
      </c>
      <c r="K575" t="n">
        <v>0</v>
      </c>
      <c r="L575" t="n">
        <v>0</v>
      </c>
      <c r="M575" t="n">
        <v>0</v>
      </c>
      <c r="N575" t="n">
        <v>0</v>
      </c>
      <c r="O575" t="n">
        <v>0</v>
      </c>
      <c r="P575" t="n">
        <v>0</v>
      </c>
      <c r="Q575" t="n">
        <v>0</v>
      </c>
      <c r="R575" s="2" t="inlineStr"/>
    </row>
    <row r="576" ht="15" customHeight="1">
      <c r="A576" t="inlineStr">
        <is>
          <t>A 38627-2023</t>
        </is>
      </c>
      <c r="B576" s="1" t="n">
        <v>45162</v>
      </c>
      <c r="C576" s="1" t="n">
        <v>46196</v>
      </c>
      <c r="D576" t="inlineStr">
        <is>
          <t>DALARNAS LÄN</t>
        </is>
      </c>
      <c r="E576" t="inlineStr">
        <is>
          <t>MORA</t>
        </is>
      </c>
      <c r="G576" t="n">
        <v>6.5</v>
      </c>
      <c r="H576" t="n">
        <v>0</v>
      </c>
      <c r="I576" t="n">
        <v>0</v>
      </c>
      <c r="J576" t="n">
        <v>0</v>
      </c>
      <c r="K576" t="n">
        <v>0</v>
      </c>
      <c r="L576" t="n">
        <v>0</v>
      </c>
      <c r="M576" t="n">
        <v>0</v>
      </c>
      <c r="N576" t="n">
        <v>0</v>
      </c>
      <c r="O576" t="n">
        <v>0</v>
      </c>
      <c r="P576" t="n">
        <v>0</v>
      </c>
      <c r="Q576" t="n">
        <v>0</v>
      </c>
      <c r="R576" s="2" t="inlineStr"/>
    </row>
    <row r="577" ht="15" customHeight="1">
      <c r="A577" t="inlineStr">
        <is>
          <t>A 64088-2023</t>
        </is>
      </c>
      <c r="B577" s="1" t="n">
        <v>45279</v>
      </c>
      <c r="C577" s="1" t="n">
        <v>46196</v>
      </c>
      <c r="D577" t="inlineStr">
        <is>
          <t>DALARNAS LÄN</t>
        </is>
      </c>
      <c r="E577" t="inlineStr">
        <is>
          <t>MORA</t>
        </is>
      </c>
      <c r="G577" t="n">
        <v>1</v>
      </c>
      <c r="H577" t="n">
        <v>0</v>
      </c>
      <c r="I577" t="n">
        <v>0</v>
      </c>
      <c r="J577" t="n">
        <v>0</v>
      </c>
      <c r="K577" t="n">
        <v>0</v>
      </c>
      <c r="L577" t="n">
        <v>0</v>
      </c>
      <c r="M577" t="n">
        <v>0</v>
      </c>
      <c r="N577" t="n">
        <v>0</v>
      </c>
      <c r="O577" t="n">
        <v>0</v>
      </c>
      <c r="P577" t="n">
        <v>0</v>
      </c>
      <c r="Q577" t="n">
        <v>0</v>
      </c>
      <c r="R577" s="2" t="inlineStr"/>
    </row>
    <row r="578" ht="15" customHeight="1">
      <c r="A578" t="inlineStr">
        <is>
          <t>A 2830-2023</t>
        </is>
      </c>
      <c r="B578" s="1" t="n">
        <v>44945</v>
      </c>
      <c r="C578" s="1" t="n">
        <v>46196</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43566-2023</t>
        </is>
      </c>
      <c r="B579" s="1" t="n">
        <v>45184</v>
      </c>
      <c r="C579" s="1" t="n">
        <v>46196</v>
      </c>
      <c r="D579" t="inlineStr">
        <is>
          <t>DALARNAS LÄN</t>
        </is>
      </c>
      <c r="E579" t="inlineStr">
        <is>
          <t>MORA</t>
        </is>
      </c>
      <c r="F579" t="inlineStr">
        <is>
          <t>Bergvik skog väst AB</t>
        </is>
      </c>
      <c r="G579" t="n">
        <v>4.3</v>
      </c>
      <c r="H579" t="n">
        <v>0</v>
      </c>
      <c r="I579" t="n">
        <v>0</v>
      </c>
      <c r="J579" t="n">
        <v>0</v>
      </c>
      <c r="K579" t="n">
        <v>0</v>
      </c>
      <c r="L579" t="n">
        <v>0</v>
      </c>
      <c r="M579" t="n">
        <v>0</v>
      </c>
      <c r="N579" t="n">
        <v>0</v>
      </c>
      <c r="O579" t="n">
        <v>0</v>
      </c>
      <c r="P579" t="n">
        <v>0</v>
      </c>
      <c r="Q579" t="n">
        <v>0</v>
      </c>
      <c r="R579" s="2" t="inlineStr"/>
    </row>
    <row r="580" ht="15" customHeight="1">
      <c r="A580" t="inlineStr">
        <is>
          <t>A 5491-2023</t>
        </is>
      </c>
      <c r="B580" s="1" t="n">
        <v>44957</v>
      </c>
      <c r="C580" s="1" t="n">
        <v>46196</v>
      </c>
      <c r="D580" t="inlineStr">
        <is>
          <t>DALARNAS LÄN</t>
        </is>
      </c>
      <c r="E580" t="inlineStr">
        <is>
          <t>MORA</t>
        </is>
      </c>
      <c r="G580" t="n">
        <v>3.5</v>
      </c>
      <c r="H580" t="n">
        <v>0</v>
      </c>
      <c r="I580" t="n">
        <v>0</v>
      </c>
      <c r="J580" t="n">
        <v>0</v>
      </c>
      <c r="K580" t="n">
        <v>0</v>
      </c>
      <c r="L580" t="n">
        <v>0</v>
      </c>
      <c r="M580" t="n">
        <v>0</v>
      </c>
      <c r="N580" t="n">
        <v>0</v>
      </c>
      <c r="O580" t="n">
        <v>0</v>
      </c>
      <c r="P580" t="n">
        <v>0</v>
      </c>
      <c r="Q580" t="n">
        <v>0</v>
      </c>
      <c r="R580" s="2" t="inlineStr"/>
    </row>
    <row r="581" ht="15" customHeight="1">
      <c r="A581" t="inlineStr">
        <is>
          <t>A 5493-2023</t>
        </is>
      </c>
      <c r="B581" s="1" t="n">
        <v>44957</v>
      </c>
      <c r="C581" s="1" t="n">
        <v>46196</v>
      </c>
      <c r="D581" t="inlineStr">
        <is>
          <t>DALARNAS LÄN</t>
        </is>
      </c>
      <c r="E581" t="inlineStr">
        <is>
          <t>MORA</t>
        </is>
      </c>
      <c r="F581" t="inlineStr">
        <is>
          <t>Allmännings- och besparingsskogar</t>
        </is>
      </c>
      <c r="G581" t="n">
        <v>14.9</v>
      </c>
      <c r="H581" t="n">
        <v>0</v>
      </c>
      <c r="I581" t="n">
        <v>0</v>
      </c>
      <c r="J581" t="n">
        <v>0</v>
      </c>
      <c r="K581" t="n">
        <v>0</v>
      </c>
      <c r="L581" t="n">
        <v>0</v>
      </c>
      <c r="M581" t="n">
        <v>0</v>
      </c>
      <c r="N581" t="n">
        <v>0</v>
      </c>
      <c r="O581" t="n">
        <v>0</v>
      </c>
      <c r="P581" t="n">
        <v>0</v>
      </c>
      <c r="Q581" t="n">
        <v>0</v>
      </c>
      <c r="R581" s="2" t="inlineStr"/>
    </row>
    <row r="582" ht="15" customHeight="1">
      <c r="A582" t="inlineStr">
        <is>
          <t>A 48825-2023</t>
        </is>
      </c>
      <c r="B582" s="1" t="n">
        <v>45203</v>
      </c>
      <c r="C582" s="1" t="n">
        <v>46196</v>
      </c>
      <c r="D582" t="inlineStr">
        <is>
          <t>DALARNAS LÄN</t>
        </is>
      </c>
      <c r="E582" t="inlineStr">
        <is>
          <t>MORA</t>
        </is>
      </c>
      <c r="G582" t="n">
        <v>7.9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46196</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18444-2024</t>
        </is>
      </c>
      <c r="B584" s="1" t="n">
        <v>45425</v>
      </c>
      <c r="C584" s="1" t="n">
        <v>46196</v>
      </c>
      <c r="D584" t="inlineStr">
        <is>
          <t>DALARNAS LÄN</t>
        </is>
      </c>
      <c r="E584" t="inlineStr">
        <is>
          <t>MORA</t>
        </is>
      </c>
      <c r="G584" t="n">
        <v>5</v>
      </c>
      <c r="H584" t="n">
        <v>0</v>
      </c>
      <c r="I584" t="n">
        <v>0</v>
      </c>
      <c r="J584" t="n">
        <v>0</v>
      </c>
      <c r="K584" t="n">
        <v>0</v>
      </c>
      <c r="L584" t="n">
        <v>0</v>
      </c>
      <c r="M584" t="n">
        <v>0</v>
      </c>
      <c r="N584" t="n">
        <v>0</v>
      </c>
      <c r="O584" t="n">
        <v>0</v>
      </c>
      <c r="P584" t="n">
        <v>0</v>
      </c>
      <c r="Q584" t="n">
        <v>0</v>
      </c>
      <c r="R584" s="2" t="inlineStr"/>
    </row>
    <row r="585" ht="15" customHeight="1">
      <c r="A585" t="inlineStr">
        <is>
          <t>A 35551-2023</t>
        </is>
      </c>
      <c r="B585" s="1" t="n">
        <v>45147</v>
      </c>
      <c r="C585" s="1" t="n">
        <v>46196</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59174-2023</t>
        </is>
      </c>
      <c r="B586" s="1" t="n">
        <v>45253</v>
      </c>
      <c r="C586" s="1" t="n">
        <v>46196</v>
      </c>
      <c r="D586" t="inlineStr">
        <is>
          <t>DALARNAS LÄN</t>
        </is>
      </c>
      <c r="E586" t="inlineStr">
        <is>
          <t>MORA</t>
        </is>
      </c>
      <c r="G586" t="n">
        <v>2.5</v>
      </c>
      <c r="H586" t="n">
        <v>0</v>
      </c>
      <c r="I586" t="n">
        <v>0</v>
      </c>
      <c r="J586" t="n">
        <v>0</v>
      </c>
      <c r="K586" t="n">
        <v>0</v>
      </c>
      <c r="L586" t="n">
        <v>0</v>
      </c>
      <c r="M586" t="n">
        <v>0</v>
      </c>
      <c r="N586" t="n">
        <v>0</v>
      </c>
      <c r="O586" t="n">
        <v>0</v>
      </c>
      <c r="P586" t="n">
        <v>0</v>
      </c>
      <c r="Q586" t="n">
        <v>0</v>
      </c>
      <c r="R586" s="2" t="inlineStr"/>
    </row>
    <row r="587" ht="15" customHeight="1">
      <c r="A587" t="inlineStr">
        <is>
          <t>A 55331-2022</t>
        </is>
      </c>
      <c r="B587" s="1" t="n">
        <v>44887</v>
      </c>
      <c r="C587" s="1" t="n">
        <v>46196</v>
      </c>
      <c r="D587" t="inlineStr">
        <is>
          <t>DALARNAS LÄN</t>
        </is>
      </c>
      <c r="E587" t="inlineStr">
        <is>
          <t>MORA</t>
        </is>
      </c>
      <c r="F587" t="inlineStr">
        <is>
          <t>Bergvik skog väst AB</t>
        </is>
      </c>
      <c r="G587" t="n">
        <v>2.2</v>
      </c>
      <c r="H587" t="n">
        <v>0</v>
      </c>
      <c r="I587" t="n">
        <v>0</v>
      </c>
      <c r="J587" t="n">
        <v>0</v>
      </c>
      <c r="K587" t="n">
        <v>0</v>
      </c>
      <c r="L587" t="n">
        <v>0</v>
      </c>
      <c r="M587" t="n">
        <v>0</v>
      </c>
      <c r="N587" t="n">
        <v>0</v>
      </c>
      <c r="O587" t="n">
        <v>0</v>
      </c>
      <c r="P587" t="n">
        <v>0</v>
      </c>
      <c r="Q587" t="n">
        <v>0</v>
      </c>
      <c r="R587" s="2" t="inlineStr"/>
    </row>
    <row r="588" ht="15" customHeight="1">
      <c r="A588" t="inlineStr">
        <is>
          <t>A 40949-2023</t>
        </is>
      </c>
      <c r="B588" s="1" t="n">
        <v>45173</v>
      </c>
      <c r="C588" s="1" t="n">
        <v>46196</v>
      </c>
      <c r="D588" t="inlineStr">
        <is>
          <t>DALARNAS LÄN</t>
        </is>
      </c>
      <c r="E588" t="inlineStr">
        <is>
          <t>MORA</t>
        </is>
      </c>
      <c r="F588" t="inlineStr">
        <is>
          <t>Kyrkan</t>
        </is>
      </c>
      <c r="G588" t="n">
        <v>0.5</v>
      </c>
      <c r="H588" t="n">
        <v>0</v>
      </c>
      <c r="I588" t="n">
        <v>0</v>
      </c>
      <c r="J588" t="n">
        <v>0</v>
      </c>
      <c r="K588" t="n">
        <v>0</v>
      </c>
      <c r="L588" t="n">
        <v>0</v>
      </c>
      <c r="M588" t="n">
        <v>0</v>
      </c>
      <c r="N588" t="n">
        <v>0</v>
      </c>
      <c r="O588" t="n">
        <v>0</v>
      </c>
      <c r="P588" t="n">
        <v>0</v>
      </c>
      <c r="Q588" t="n">
        <v>0</v>
      </c>
      <c r="R588" s="2" t="inlineStr"/>
    </row>
    <row r="589" ht="15" customHeight="1">
      <c r="A589" t="inlineStr">
        <is>
          <t>A 5216-2025</t>
        </is>
      </c>
      <c r="B589" s="1" t="n">
        <v>45691</v>
      </c>
      <c r="C589" s="1" t="n">
        <v>46196</v>
      </c>
      <c r="D589" t="inlineStr">
        <is>
          <t>DALARNAS LÄN</t>
        </is>
      </c>
      <c r="E589" t="inlineStr">
        <is>
          <t>MORA</t>
        </is>
      </c>
      <c r="G589" t="n">
        <v>2.5</v>
      </c>
      <c r="H589" t="n">
        <v>0</v>
      </c>
      <c r="I589" t="n">
        <v>0</v>
      </c>
      <c r="J589" t="n">
        <v>0</v>
      </c>
      <c r="K589" t="n">
        <v>0</v>
      </c>
      <c r="L589" t="n">
        <v>0</v>
      </c>
      <c r="M589" t="n">
        <v>0</v>
      </c>
      <c r="N589" t="n">
        <v>0</v>
      </c>
      <c r="O589" t="n">
        <v>0</v>
      </c>
      <c r="P589" t="n">
        <v>0</v>
      </c>
      <c r="Q589" t="n">
        <v>0</v>
      </c>
      <c r="R589" s="2" t="inlineStr"/>
    </row>
    <row r="590" ht="15" customHeight="1">
      <c r="A590" t="inlineStr">
        <is>
          <t>A 45674-2024</t>
        </is>
      </c>
      <c r="B590" s="1" t="n">
        <v>45573</v>
      </c>
      <c r="C590" s="1" t="n">
        <v>46196</v>
      </c>
      <c r="D590" t="inlineStr">
        <is>
          <t>DALARNAS LÄN</t>
        </is>
      </c>
      <c r="E590" t="inlineStr">
        <is>
          <t>MORA</t>
        </is>
      </c>
      <c r="G590" t="n">
        <v>3.2</v>
      </c>
      <c r="H590" t="n">
        <v>0</v>
      </c>
      <c r="I590" t="n">
        <v>0</v>
      </c>
      <c r="J590" t="n">
        <v>0</v>
      </c>
      <c r="K590" t="n">
        <v>0</v>
      </c>
      <c r="L590" t="n">
        <v>0</v>
      </c>
      <c r="M590" t="n">
        <v>0</v>
      </c>
      <c r="N590" t="n">
        <v>0</v>
      </c>
      <c r="O590" t="n">
        <v>0</v>
      </c>
      <c r="P590" t="n">
        <v>0</v>
      </c>
      <c r="Q590" t="n">
        <v>0</v>
      </c>
      <c r="R590" s="2" t="inlineStr"/>
    </row>
    <row r="591" ht="15" customHeight="1">
      <c r="A591" t="inlineStr">
        <is>
          <t>A 18139-2025</t>
        </is>
      </c>
      <c r="B591" s="1" t="n">
        <v>45761</v>
      </c>
      <c r="C591" s="1" t="n">
        <v>46196</v>
      </c>
      <c r="D591" t="inlineStr">
        <is>
          <t>DALARNAS LÄN</t>
        </is>
      </c>
      <c r="E591" t="inlineStr">
        <is>
          <t>MORA</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57999-2023</t>
        </is>
      </c>
      <c r="B592" s="1" t="n">
        <v>45247</v>
      </c>
      <c r="C592" s="1" t="n">
        <v>46196</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24335-2022</t>
        </is>
      </c>
      <c r="B593" s="1" t="n">
        <v>44725</v>
      </c>
      <c r="C593" s="1" t="n">
        <v>46196</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34660-2021</t>
        </is>
      </c>
      <c r="B594" s="1" t="n">
        <v>44382</v>
      </c>
      <c r="C594" s="1" t="n">
        <v>46196</v>
      </c>
      <c r="D594" t="inlineStr">
        <is>
          <t>DALARNAS LÄN</t>
        </is>
      </c>
      <c r="E594" t="inlineStr">
        <is>
          <t>MORA</t>
        </is>
      </c>
      <c r="G594" t="n">
        <v>7.5</v>
      </c>
      <c r="H594" t="n">
        <v>0</v>
      </c>
      <c r="I594" t="n">
        <v>0</v>
      </c>
      <c r="J594" t="n">
        <v>0</v>
      </c>
      <c r="K594" t="n">
        <v>0</v>
      </c>
      <c r="L594" t="n">
        <v>0</v>
      </c>
      <c r="M594" t="n">
        <v>0</v>
      </c>
      <c r="N594" t="n">
        <v>0</v>
      </c>
      <c r="O594" t="n">
        <v>0</v>
      </c>
      <c r="P594" t="n">
        <v>0</v>
      </c>
      <c r="Q594" t="n">
        <v>0</v>
      </c>
      <c r="R594" s="2" t="inlineStr"/>
    </row>
    <row r="595" ht="15" customHeight="1">
      <c r="A595" t="inlineStr">
        <is>
          <t>A 42934-2024</t>
        </is>
      </c>
      <c r="B595" s="1" t="n">
        <v>45567</v>
      </c>
      <c r="C595" s="1" t="n">
        <v>46196</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17516-2024</t>
        </is>
      </c>
      <c r="B596" s="1" t="n">
        <v>45415</v>
      </c>
      <c r="C596" s="1" t="n">
        <v>46196</v>
      </c>
      <c r="D596" t="inlineStr">
        <is>
          <t>DALARNAS LÄN</t>
        </is>
      </c>
      <c r="E596" t="inlineStr">
        <is>
          <t>MORA</t>
        </is>
      </c>
      <c r="G596" t="n">
        <v>1.4</v>
      </c>
      <c r="H596" t="n">
        <v>0</v>
      </c>
      <c r="I596" t="n">
        <v>0</v>
      </c>
      <c r="J596" t="n">
        <v>0</v>
      </c>
      <c r="K596" t="n">
        <v>0</v>
      </c>
      <c r="L596" t="n">
        <v>0</v>
      </c>
      <c r="M596" t="n">
        <v>0</v>
      </c>
      <c r="N596" t="n">
        <v>0</v>
      </c>
      <c r="O596" t="n">
        <v>0</v>
      </c>
      <c r="P596" t="n">
        <v>0</v>
      </c>
      <c r="Q596" t="n">
        <v>0</v>
      </c>
      <c r="R596" s="2" t="inlineStr"/>
    </row>
    <row r="597" ht="15" customHeight="1">
      <c r="A597" t="inlineStr">
        <is>
          <t>A 49159-2023</t>
        </is>
      </c>
      <c r="B597" s="1" t="n">
        <v>45210</v>
      </c>
      <c r="C597" s="1" t="n">
        <v>46196</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46196</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30985-2024</t>
        </is>
      </c>
      <c r="B599" s="1" t="n">
        <v>45499</v>
      </c>
      <c r="C599" s="1" t="n">
        <v>46196</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18202-2024</t>
        </is>
      </c>
      <c r="B600" s="1" t="n">
        <v>45420</v>
      </c>
      <c r="C600" s="1" t="n">
        <v>46196</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40286-2024</t>
        </is>
      </c>
      <c r="B601" s="1" t="n">
        <v>45554</v>
      </c>
      <c r="C601" s="1" t="n">
        <v>46196</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41169-2023</t>
        </is>
      </c>
      <c r="B602" s="1" t="n">
        <v>45174</v>
      </c>
      <c r="C602" s="1" t="n">
        <v>46196</v>
      </c>
      <c r="D602" t="inlineStr">
        <is>
          <t>DALARNAS LÄN</t>
        </is>
      </c>
      <c r="E602" t="inlineStr">
        <is>
          <t>MORA</t>
        </is>
      </c>
      <c r="G602" t="n">
        <v>3</v>
      </c>
      <c r="H602" t="n">
        <v>0</v>
      </c>
      <c r="I602" t="n">
        <v>0</v>
      </c>
      <c r="J602" t="n">
        <v>0</v>
      </c>
      <c r="K602" t="n">
        <v>0</v>
      </c>
      <c r="L602" t="n">
        <v>0</v>
      </c>
      <c r="M602" t="n">
        <v>0</v>
      </c>
      <c r="N602" t="n">
        <v>0</v>
      </c>
      <c r="O602" t="n">
        <v>0</v>
      </c>
      <c r="P602" t="n">
        <v>0</v>
      </c>
      <c r="Q602" t="n">
        <v>0</v>
      </c>
      <c r="R602" s="2" t="inlineStr"/>
    </row>
    <row r="603" ht="15" customHeight="1">
      <c r="A603" t="inlineStr">
        <is>
          <t>A 43826-2022</t>
        </is>
      </c>
      <c r="B603" s="1" t="n">
        <v>44838</v>
      </c>
      <c r="C603" s="1" t="n">
        <v>46196</v>
      </c>
      <c r="D603" t="inlineStr">
        <is>
          <t>DALARNAS LÄN</t>
        </is>
      </c>
      <c r="E603" t="inlineStr">
        <is>
          <t>MORA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5980-2025</t>
        </is>
      </c>
      <c r="B604" s="1" t="n">
        <v>45695</v>
      </c>
      <c r="C604" s="1" t="n">
        <v>46196</v>
      </c>
      <c r="D604" t="inlineStr">
        <is>
          <t>DALARNAS LÄN</t>
        </is>
      </c>
      <c r="E604" t="inlineStr">
        <is>
          <t>MORA</t>
        </is>
      </c>
      <c r="G604" t="n">
        <v>2.7</v>
      </c>
      <c r="H604" t="n">
        <v>0</v>
      </c>
      <c r="I604" t="n">
        <v>0</v>
      </c>
      <c r="J604" t="n">
        <v>0</v>
      </c>
      <c r="K604" t="n">
        <v>0</v>
      </c>
      <c r="L604" t="n">
        <v>0</v>
      </c>
      <c r="M604" t="n">
        <v>0</v>
      </c>
      <c r="N604" t="n">
        <v>0</v>
      </c>
      <c r="O604" t="n">
        <v>0</v>
      </c>
      <c r="P604" t="n">
        <v>0</v>
      </c>
      <c r="Q604" t="n">
        <v>0</v>
      </c>
      <c r="R604" s="2" t="inlineStr"/>
    </row>
    <row r="605" ht="15" customHeight="1">
      <c r="A605" t="inlineStr">
        <is>
          <t>A 5527-2024</t>
        </is>
      </c>
      <c r="B605" s="1" t="n">
        <v>45334</v>
      </c>
      <c r="C605" s="1" t="n">
        <v>46196</v>
      </c>
      <c r="D605" t="inlineStr">
        <is>
          <t>DALARNAS LÄN</t>
        </is>
      </c>
      <c r="E605" t="inlineStr">
        <is>
          <t>MORA</t>
        </is>
      </c>
      <c r="G605" t="n">
        <v>1</v>
      </c>
      <c r="H605" t="n">
        <v>0</v>
      </c>
      <c r="I605" t="n">
        <v>0</v>
      </c>
      <c r="J605" t="n">
        <v>0</v>
      </c>
      <c r="K605" t="n">
        <v>0</v>
      </c>
      <c r="L605" t="n">
        <v>0</v>
      </c>
      <c r="M605" t="n">
        <v>0</v>
      </c>
      <c r="N605" t="n">
        <v>0</v>
      </c>
      <c r="O605" t="n">
        <v>0</v>
      </c>
      <c r="P605" t="n">
        <v>0</v>
      </c>
      <c r="Q605" t="n">
        <v>0</v>
      </c>
      <c r="R605" s="2" t="inlineStr"/>
    </row>
    <row r="606" ht="15" customHeight="1">
      <c r="A606" t="inlineStr">
        <is>
          <t>A 43879-2022</t>
        </is>
      </c>
      <c r="B606" s="1" t="n">
        <v>44838</v>
      </c>
      <c r="C606" s="1" t="n">
        <v>46196</v>
      </c>
      <c r="D606" t="inlineStr">
        <is>
          <t>DALARNAS LÄN</t>
        </is>
      </c>
      <c r="E606" t="inlineStr">
        <is>
          <t>MORA</t>
        </is>
      </c>
      <c r="G606" t="n">
        <v>3.4</v>
      </c>
      <c r="H606" t="n">
        <v>0</v>
      </c>
      <c r="I606" t="n">
        <v>0</v>
      </c>
      <c r="J606" t="n">
        <v>0</v>
      </c>
      <c r="K606" t="n">
        <v>0</v>
      </c>
      <c r="L606" t="n">
        <v>0</v>
      </c>
      <c r="M606" t="n">
        <v>0</v>
      </c>
      <c r="N606" t="n">
        <v>0</v>
      </c>
      <c r="O606" t="n">
        <v>0</v>
      </c>
      <c r="P606" t="n">
        <v>0</v>
      </c>
      <c r="Q606" t="n">
        <v>0</v>
      </c>
      <c r="R606" s="2" t="inlineStr"/>
    </row>
    <row r="607" ht="15" customHeight="1">
      <c r="A607" t="inlineStr">
        <is>
          <t>A 12920-2022</t>
        </is>
      </c>
      <c r="B607" s="1" t="n">
        <v>44642</v>
      </c>
      <c r="C607" s="1" t="n">
        <v>46196</v>
      </c>
      <c r="D607" t="inlineStr">
        <is>
          <t>DALARNAS LÄN</t>
        </is>
      </c>
      <c r="E607" t="inlineStr">
        <is>
          <t>MORA</t>
        </is>
      </c>
      <c r="G607" t="n">
        <v>0.8</v>
      </c>
      <c r="H607" t="n">
        <v>0</v>
      </c>
      <c r="I607" t="n">
        <v>0</v>
      </c>
      <c r="J607" t="n">
        <v>0</v>
      </c>
      <c r="K607" t="n">
        <v>0</v>
      </c>
      <c r="L607" t="n">
        <v>0</v>
      </c>
      <c r="M607" t="n">
        <v>0</v>
      </c>
      <c r="N607" t="n">
        <v>0</v>
      </c>
      <c r="O607" t="n">
        <v>0</v>
      </c>
      <c r="P607" t="n">
        <v>0</v>
      </c>
      <c r="Q607" t="n">
        <v>0</v>
      </c>
      <c r="R607" s="2" t="inlineStr"/>
    </row>
    <row r="608" ht="15" customHeight="1">
      <c r="A608" t="inlineStr">
        <is>
          <t>A 17280-2025</t>
        </is>
      </c>
      <c r="B608" s="1" t="n">
        <v>45756</v>
      </c>
      <c r="C608" s="1" t="n">
        <v>46196</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34282-2024</t>
        </is>
      </c>
      <c r="B609" s="1" t="n">
        <v>45524</v>
      </c>
      <c r="C609" s="1" t="n">
        <v>46196</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38055-2024</t>
        </is>
      </c>
      <c r="B610" s="1" t="n">
        <v>45544</v>
      </c>
      <c r="C610" s="1" t="n">
        <v>46196</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7116-2024</t>
        </is>
      </c>
      <c r="B611" s="1" t="n">
        <v>45343</v>
      </c>
      <c r="C611" s="1" t="n">
        <v>46196</v>
      </c>
      <c r="D611" t="inlineStr">
        <is>
          <t>DALARNAS LÄN</t>
        </is>
      </c>
      <c r="E611" t="inlineStr">
        <is>
          <t>MORA</t>
        </is>
      </c>
      <c r="G611" t="n">
        <v>0.3</v>
      </c>
      <c r="H611" t="n">
        <v>0</v>
      </c>
      <c r="I611" t="n">
        <v>0</v>
      </c>
      <c r="J611" t="n">
        <v>0</v>
      </c>
      <c r="K611" t="n">
        <v>0</v>
      </c>
      <c r="L611" t="n">
        <v>0</v>
      </c>
      <c r="M611" t="n">
        <v>0</v>
      </c>
      <c r="N611" t="n">
        <v>0</v>
      </c>
      <c r="O611" t="n">
        <v>0</v>
      </c>
      <c r="P611" t="n">
        <v>0</v>
      </c>
      <c r="Q611" t="n">
        <v>0</v>
      </c>
      <c r="R611" s="2" t="inlineStr"/>
    </row>
    <row r="612" ht="15" customHeight="1">
      <c r="A612" t="inlineStr">
        <is>
          <t>A 22785-2023</t>
        </is>
      </c>
      <c r="B612" s="1" t="n">
        <v>45072</v>
      </c>
      <c r="C612" s="1" t="n">
        <v>46196</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16637-2025</t>
        </is>
      </c>
      <c r="B613" s="1" t="n">
        <v>45754</v>
      </c>
      <c r="C613" s="1" t="n">
        <v>46196</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49991-2023</t>
        </is>
      </c>
      <c r="B614" s="1" t="n">
        <v>45215</v>
      </c>
      <c r="C614" s="1" t="n">
        <v>46196</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28131-2024</t>
        </is>
      </c>
      <c r="B615" s="1" t="n">
        <v>45476</v>
      </c>
      <c r="C615" s="1" t="n">
        <v>46196</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28132-2024</t>
        </is>
      </c>
      <c r="B616" s="1" t="n">
        <v>45476</v>
      </c>
      <c r="C616" s="1" t="n">
        <v>46196</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24772-2024</t>
        </is>
      </c>
      <c r="B617" s="1" t="n">
        <v>45460</v>
      </c>
      <c r="C617" s="1" t="n">
        <v>46196</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5486-2023</t>
        </is>
      </c>
      <c r="B618" s="1" t="n">
        <v>44957</v>
      </c>
      <c r="C618" s="1" t="n">
        <v>46196</v>
      </c>
      <c r="D618" t="inlineStr">
        <is>
          <t>DALARNAS LÄN</t>
        </is>
      </c>
      <c r="E618" t="inlineStr">
        <is>
          <t>MORA</t>
        </is>
      </c>
      <c r="G618" t="n">
        <v>3.2</v>
      </c>
      <c r="H618" t="n">
        <v>0</v>
      </c>
      <c r="I618" t="n">
        <v>0</v>
      </c>
      <c r="J618" t="n">
        <v>0</v>
      </c>
      <c r="K618" t="n">
        <v>0</v>
      </c>
      <c r="L618" t="n">
        <v>0</v>
      </c>
      <c r="M618" t="n">
        <v>0</v>
      </c>
      <c r="N618" t="n">
        <v>0</v>
      </c>
      <c r="O618" t="n">
        <v>0</v>
      </c>
      <c r="P618" t="n">
        <v>0</v>
      </c>
      <c r="Q618" t="n">
        <v>0</v>
      </c>
      <c r="R618" s="2" t="inlineStr"/>
    </row>
    <row r="619" ht="15" customHeight="1">
      <c r="A619" t="inlineStr">
        <is>
          <t>A 42943-2024</t>
        </is>
      </c>
      <c r="B619" s="1" t="n">
        <v>45567</v>
      </c>
      <c r="C619" s="1" t="n">
        <v>46196</v>
      </c>
      <c r="D619" t="inlineStr">
        <is>
          <t>DALARNAS LÄN</t>
        </is>
      </c>
      <c r="E619" t="inlineStr">
        <is>
          <t>MORA</t>
        </is>
      </c>
      <c r="G619" t="n">
        <v>0.5</v>
      </c>
      <c r="H619" t="n">
        <v>0</v>
      </c>
      <c r="I619" t="n">
        <v>0</v>
      </c>
      <c r="J619" t="n">
        <v>0</v>
      </c>
      <c r="K619" t="n">
        <v>0</v>
      </c>
      <c r="L619" t="n">
        <v>0</v>
      </c>
      <c r="M619" t="n">
        <v>0</v>
      </c>
      <c r="N619" t="n">
        <v>0</v>
      </c>
      <c r="O619" t="n">
        <v>0</v>
      </c>
      <c r="P619" t="n">
        <v>0</v>
      </c>
      <c r="Q619" t="n">
        <v>0</v>
      </c>
      <c r="R619" s="2" t="inlineStr"/>
    </row>
    <row r="620" ht="15" customHeight="1">
      <c r="A620" t="inlineStr">
        <is>
          <t>A 9855-2024</t>
        </is>
      </c>
      <c r="B620" s="1" t="n">
        <v>45363</v>
      </c>
      <c r="C620" s="1" t="n">
        <v>46196</v>
      </c>
      <c r="D620" t="inlineStr">
        <is>
          <t>DALARNAS LÄN</t>
        </is>
      </c>
      <c r="E620" t="inlineStr">
        <is>
          <t>MORA</t>
        </is>
      </c>
      <c r="G620" t="n">
        <v>8.6</v>
      </c>
      <c r="H620" t="n">
        <v>0</v>
      </c>
      <c r="I620" t="n">
        <v>0</v>
      </c>
      <c r="J620" t="n">
        <v>0</v>
      </c>
      <c r="K620" t="n">
        <v>0</v>
      </c>
      <c r="L620" t="n">
        <v>0</v>
      </c>
      <c r="M620" t="n">
        <v>0</v>
      </c>
      <c r="N620" t="n">
        <v>0</v>
      </c>
      <c r="O620" t="n">
        <v>0</v>
      </c>
      <c r="P620" t="n">
        <v>0</v>
      </c>
      <c r="Q620" t="n">
        <v>0</v>
      </c>
      <c r="R620" s="2" t="inlineStr"/>
    </row>
    <row r="621" ht="15" customHeight="1">
      <c r="A621" t="inlineStr">
        <is>
          <t>A 21244-2024</t>
        </is>
      </c>
      <c r="B621" s="1" t="n">
        <v>45440</v>
      </c>
      <c r="C621" s="1" t="n">
        <v>46196</v>
      </c>
      <c r="D621" t="inlineStr">
        <is>
          <t>DALARNAS LÄN</t>
        </is>
      </c>
      <c r="E621" t="inlineStr">
        <is>
          <t>MORA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58177-2024</t>
        </is>
      </c>
      <c r="B622" s="1" t="n">
        <v>45632</v>
      </c>
      <c r="C622" s="1" t="n">
        <v>46196</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45390-2024</t>
        </is>
      </c>
      <c r="B623" s="1" t="n">
        <v>45576</v>
      </c>
      <c r="C623" s="1" t="n">
        <v>46196</v>
      </c>
      <c r="D623" t="inlineStr">
        <is>
          <t>DALARNAS LÄN</t>
        </is>
      </c>
      <c r="E623" t="inlineStr">
        <is>
          <t>MORA</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58089-2024</t>
        </is>
      </c>
      <c r="B624" s="1" t="n">
        <v>45632</v>
      </c>
      <c r="C624" s="1" t="n">
        <v>46196</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4208-2023</t>
        </is>
      </c>
      <c r="B625" s="1" t="n">
        <v>44953</v>
      </c>
      <c r="C625" s="1" t="n">
        <v>46196</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4210-2023</t>
        </is>
      </c>
      <c r="B626" s="1" t="n">
        <v>44953</v>
      </c>
      <c r="C626" s="1" t="n">
        <v>46196</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44769-2021</t>
        </is>
      </c>
      <c r="B627" s="1" t="n">
        <v>44438</v>
      </c>
      <c r="C627" s="1" t="n">
        <v>46196</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58036-2024</t>
        </is>
      </c>
      <c r="B628" s="1" t="n">
        <v>45631</v>
      </c>
      <c r="C628" s="1" t="n">
        <v>46196</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39897-2022</t>
        </is>
      </c>
      <c r="B629" s="1" t="n">
        <v>44819</v>
      </c>
      <c r="C629" s="1" t="n">
        <v>46196</v>
      </c>
      <c r="D629" t="inlineStr">
        <is>
          <t>DALARNAS LÄN</t>
        </is>
      </c>
      <c r="E629" t="inlineStr">
        <is>
          <t>MORA</t>
        </is>
      </c>
      <c r="G629" t="n">
        <v>15.8</v>
      </c>
      <c r="H629" t="n">
        <v>0</v>
      </c>
      <c r="I629" t="n">
        <v>0</v>
      </c>
      <c r="J629" t="n">
        <v>0</v>
      </c>
      <c r="K629" t="n">
        <v>0</v>
      </c>
      <c r="L629" t="n">
        <v>0</v>
      </c>
      <c r="M629" t="n">
        <v>0</v>
      </c>
      <c r="N629" t="n">
        <v>0</v>
      </c>
      <c r="O629" t="n">
        <v>0</v>
      </c>
      <c r="P629" t="n">
        <v>0</v>
      </c>
      <c r="Q629" t="n">
        <v>0</v>
      </c>
      <c r="R629" s="2" t="inlineStr"/>
    </row>
    <row r="630" ht="15" customHeight="1">
      <c r="A630" t="inlineStr">
        <is>
          <t>A 62853-2023</t>
        </is>
      </c>
      <c r="B630" s="1" t="n">
        <v>45272</v>
      </c>
      <c r="C630" s="1" t="n">
        <v>46196</v>
      </c>
      <c r="D630" t="inlineStr">
        <is>
          <t>DALARNAS LÄN</t>
        </is>
      </c>
      <c r="E630" t="inlineStr">
        <is>
          <t>MORA</t>
        </is>
      </c>
      <c r="G630" t="n">
        <v>13.6</v>
      </c>
      <c r="H630" t="n">
        <v>0</v>
      </c>
      <c r="I630" t="n">
        <v>0</v>
      </c>
      <c r="J630" t="n">
        <v>0</v>
      </c>
      <c r="K630" t="n">
        <v>0</v>
      </c>
      <c r="L630" t="n">
        <v>0</v>
      </c>
      <c r="M630" t="n">
        <v>0</v>
      </c>
      <c r="N630" t="n">
        <v>0</v>
      </c>
      <c r="O630" t="n">
        <v>0</v>
      </c>
      <c r="P630" t="n">
        <v>0</v>
      </c>
      <c r="Q630" t="n">
        <v>0</v>
      </c>
      <c r="R630" s="2" t="inlineStr"/>
    </row>
    <row r="631" ht="15" customHeight="1">
      <c r="A631" t="inlineStr">
        <is>
          <t>A 11919-2024</t>
        </is>
      </c>
      <c r="B631" s="1" t="n">
        <v>45376</v>
      </c>
      <c r="C631" s="1" t="n">
        <v>46196</v>
      </c>
      <c r="D631" t="inlineStr">
        <is>
          <t>DALARNAS LÄN</t>
        </is>
      </c>
      <c r="E631" t="inlineStr">
        <is>
          <t>MORA</t>
        </is>
      </c>
      <c r="G631" t="n">
        <v>3.5</v>
      </c>
      <c r="H631" t="n">
        <v>0</v>
      </c>
      <c r="I631" t="n">
        <v>0</v>
      </c>
      <c r="J631" t="n">
        <v>0</v>
      </c>
      <c r="K631" t="n">
        <v>0</v>
      </c>
      <c r="L631" t="n">
        <v>0</v>
      </c>
      <c r="M631" t="n">
        <v>0</v>
      </c>
      <c r="N631" t="n">
        <v>0</v>
      </c>
      <c r="O631" t="n">
        <v>0</v>
      </c>
      <c r="P631" t="n">
        <v>0</v>
      </c>
      <c r="Q631" t="n">
        <v>0</v>
      </c>
      <c r="R631" s="2" t="inlineStr"/>
    </row>
    <row r="632" ht="15" customHeight="1">
      <c r="A632" t="inlineStr">
        <is>
          <t>A 1897-2023</t>
        </is>
      </c>
      <c r="B632" s="1" t="n">
        <v>44937</v>
      </c>
      <c r="C632" s="1" t="n">
        <v>46196</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37385-2022</t>
        </is>
      </c>
      <c r="B633" s="1" t="n">
        <v>44806</v>
      </c>
      <c r="C633" s="1" t="n">
        <v>46196</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70141-2021</t>
        </is>
      </c>
      <c r="B634" s="1" t="n">
        <v>44533</v>
      </c>
      <c r="C634" s="1" t="n">
        <v>46196</v>
      </c>
      <c r="D634" t="inlineStr">
        <is>
          <t>DALARNAS LÄN</t>
        </is>
      </c>
      <c r="E634" t="inlineStr">
        <is>
          <t>MORA</t>
        </is>
      </c>
      <c r="G634" t="n">
        <v>4.1</v>
      </c>
      <c r="H634" t="n">
        <v>0</v>
      </c>
      <c r="I634" t="n">
        <v>0</v>
      </c>
      <c r="J634" t="n">
        <v>0</v>
      </c>
      <c r="K634" t="n">
        <v>0</v>
      </c>
      <c r="L634" t="n">
        <v>0</v>
      </c>
      <c r="M634" t="n">
        <v>0</v>
      </c>
      <c r="N634" t="n">
        <v>0</v>
      </c>
      <c r="O634" t="n">
        <v>0</v>
      </c>
      <c r="P634" t="n">
        <v>0</v>
      </c>
      <c r="Q634" t="n">
        <v>0</v>
      </c>
      <c r="R634" s="2" t="inlineStr"/>
    </row>
    <row r="635" ht="15" customHeight="1">
      <c r="A635" t="inlineStr">
        <is>
          <t>A 64093-2023</t>
        </is>
      </c>
      <c r="B635" s="1" t="n">
        <v>45279</v>
      </c>
      <c r="C635" s="1" t="n">
        <v>46196</v>
      </c>
      <c r="D635" t="inlineStr">
        <is>
          <t>DALARNAS LÄN</t>
        </is>
      </c>
      <c r="E635" t="inlineStr">
        <is>
          <t>MORA</t>
        </is>
      </c>
      <c r="G635" t="n">
        <v>0.9</v>
      </c>
      <c r="H635" t="n">
        <v>0</v>
      </c>
      <c r="I635" t="n">
        <v>0</v>
      </c>
      <c r="J635" t="n">
        <v>0</v>
      </c>
      <c r="K635" t="n">
        <v>0</v>
      </c>
      <c r="L635" t="n">
        <v>0</v>
      </c>
      <c r="M635" t="n">
        <v>0</v>
      </c>
      <c r="N635" t="n">
        <v>0</v>
      </c>
      <c r="O635" t="n">
        <v>0</v>
      </c>
      <c r="P635" t="n">
        <v>0</v>
      </c>
      <c r="Q635" t="n">
        <v>0</v>
      </c>
      <c r="R635" s="2" t="inlineStr"/>
    </row>
    <row r="636" ht="15" customHeight="1">
      <c r="A636" t="inlineStr">
        <is>
          <t>A 53344-2023</t>
        </is>
      </c>
      <c r="B636" s="1" t="n">
        <v>45229</v>
      </c>
      <c r="C636" s="1" t="n">
        <v>46196</v>
      </c>
      <c r="D636" t="inlineStr">
        <is>
          <t>DALARNAS LÄN</t>
        </is>
      </c>
      <c r="E636" t="inlineStr">
        <is>
          <t>MORA</t>
        </is>
      </c>
      <c r="G636" t="n">
        <v>2.4</v>
      </c>
      <c r="H636" t="n">
        <v>0</v>
      </c>
      <c r="I636" t="n">
        <v>0</v>
      </c>
      <c r="J636" t="n">
        <v>0</v>
      </c>
      <c r="K636" t="n">
        <v>0</v>
      </c>
      <c r="L636" t="n">
        <v>0</v>
      </c>
      <c r="M636" t="n">
        <v>0</v>
      </c>
      <c r="N636" t="n">
        <v>0</v>
      </c>
      <c r="O636" t="n">
        <v>0</v>
      </c>
      <c r="P636" t="n">
        <v>0</v>
      </c>
      <c r="Q636" t="n">
        <v>0</v>
      </c>
      <c r="R636" s="2" t="inlineStr"/>
    </row>
    <row r="637" ht="15" customHeight="1">
      <c r="A637" t="inlineStr">
        <is>
          <t>A 53754-2024</t>
        </is>
      </c>
      <c r="B637" s="1" t="n">
        <v>45615</v>
      </c>
      <c r="C637" s="1" t="n">
        <v>46196</v>
      </c>
      <c r="D637" t="inlineStr">
        <is>
          <t>DALARNAS LÄN</t>
        </is>
      </c>
      <c r="E637" t="inlineStr">
        <is>
          <t>MORA</t>
        </is>
      </c>
      <c r="G637" t="n">
        <v>4.8</v>
      </c>
      <c r="H637" t="n">
        <v>0</v>
      </c>
      <c r="I637" t="n">
        <v>0</v>
      </c>
      <c r="J637" t="n">
        <v>0</v>
      </c>
      <c r="K637" t="n">
        <v>0</v>
      </c>
      <c r="L637" t="n">
        <v>0</v>
      </c>
      <c r="M637" t="n">
        <v>0</v>
      </c>
      <c r="N637" t="n">
        <v>0</v>
      </c>
      <c r="O637" t="n">
        <v>0</v>
      </c>
      <c r="P637" t="n">
        <v>0</v>
      </c>
      <c r="Q637" t="n">
        <v>0</v>
      </c>
      <c r="R637" s="2" t="inlineStr"/>
    </row>
    <row r="638" ht="15" customHeight="1">
      <c r="A638" t="inlineStr">
        <is>
          <t>A 14040-2023</t>
        </is>
      </c>
      <c r="B638" s="1" t="n">
        <v>45008</v>
      </c>
      <c r="C638" s="1" t="n">
        <v>46196</v>
      </c>
      <c r="D638" t="inlineStr">
        <is>
          <t>DALARNAS LÄN</t>
        </is>
      </c>
      <c r="E638" t="inlineStr">
        <is>
          <t>MORA</t>
        </is>
      </c>
      <c r="G638" t="n">
        <v>1.3</v>
      </c>
      <c r="H638" t="n">
        <v>0</v>
      </c>
      <c r="I638" t="n">
        <v>0</v>
      </c>
      <c r="J638" t="n">
        <v>0</v>
      </c>
      <c r="K638" t="n">
        <v>0</v>
      </c>
      <c r="L638" t="n">
        <v>0</v>
      </c>
      <c r="M638" t="n">
        <v>0</v>
      </c>
      <c r="N638" t="n">
        <v>0</v>
      </c>
      <c r="O638" t="n">
        <v>0</v>
      </c>
      <c r="P638" t="n">
        <v>0</v>
      </c>
      <c r="Q638" t="n">
        <v>0</v>
      </c>
      <c r="R638" s="2" t="inlineStr"/>
    </row>
    <row r="639" ht="15" customHeight="1">
      <c r="A639" t="inlineStr">
        <is>
          <t>A 18120-2025</t>
        </is>
      </c>
      <c r="B639" s="1" t="n">
        <v>45761</v>
      </c>
      <c r="C639" s="1" t="n">
        <v>46196</v>
      </c>
      <c r="D639" t="inlineStr">
        <is>
          <t>DALARNAS LÄN</t>
        </is>
      </c>
      <c r="E639" t="inlineStr">
        <is>
          <t>MORA</t>
        </is>
      </c>
      <c r="F639" t="inlineStr">
        <is>
          <t>Bergvik skog väst AB</t>
        </is>
      </c>
      <c r="G639" t="n">
        <v>6.4</v>
      </c>
      <c r="H639" t="n">
        <v>0</v>
      </c>
      <c r="I639" t="n">
        <v>0</v>
      </c>
      <c r="J639" t="n">
        <v>0</v>
      </c>
      <c r="K639" t="n">
        <v>0</v>
      </c>
      <c r="L639" t="n">
        <v>0</v>
      </c>
      <c r="M639" t="n">
        <v>0</v>
      </c>
      <c r="N639" t="n">
        <v>0</v>
      </c>
      <c r="O639" t="n">
        <v>0</v>
      </c>
      <c r="P639" t="n">
        <v>0</v>
      </c>
      <c r="Q639" t="n">
        <v>0</v>
      </c>
      <c r="R639" s="2" t="inlineStr"/>
    </row>
    <row r="640" ht="15" customHeight="1">
      <c r="A640" t="inlineStr">
        <is>
          <t>A 18127-2025</t>
        </is>
      </c>
      <c r="B640" s="1" t="n">
        <v>45761</v>
      </c>
      <c r="C640" s="1" t="n">
        <v>46196</v>
      </c>
      <c r="D640" t="inlineStr">
        <is>
          <t>DALARNAS LÄN</t>
        </is>
      </c>
      <c r="E640" t="inlineStr">
        <is>
          <t>MORA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4489-2022</t>
        </is>
      </c>
      <c r="B641" s="1" t="n">
        <v>44589</v>
      </c>
      <c r="C641" s="1" t="n">
        <v>46196</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46196</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17172-2025</t>
        </is>
      </c>
      <c r="B643" s="1" t="n">
        <v>45756</v>
      </c>
      <c r="C643" s="1" t="n">
        <v>46196</v>
      </c>
      <c r="D643" t="inlineStr">
        <is>
          <t>DALARNAS LÄN</t>
        </is>
      </c>
      <c r="E643" t="inlineStr">
        <is>
          <t>MORA</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39009-2023</t>
        </is>
      </c>
      <c r="B644" s="1" t="n">
        <v>45162</v>
      </c>
      <c r="C644" s="1" t="n">
        <v>46196</v>
      </c>
      <c r="D644" t="inlineStr">
        <is>
          <t>DALARNAS LÄN</t>
        </is>
      </c>
      <c r="E644" t="inlineStr">
        <is>
          <t>MORA</t>
        </is>
      </c>
      <c r="G644" t="n">
        <v>1.9</v>
      </c>
      <c r="H644" t="n">
        <v>0</v>
      </c>
      <c r="I644" t="n">
        <v>0</v>
      </c>
      <c r="J644" t="n">
        <v>0</v>
      </c>
      <c r="K644" t="n">
        <v>0</v>
      </c>
      <c r="L644" t="n">
        <v>0</v>
      </c>
      <c r="M644" t="n">
        <v>0</v>
      </c>
      <c r="N644" t="n">
        <v>0</v>
      </c>
      <c r="O644" t="n">
        <v>0</v>
      </c>
      <c r="P644" t="n">
        <v>0</v>
      </c>
      <c r="Q644" t="n">
        <v>0</v>
      </c>
      <c r="R644" s="2" t="inlineStr"/>
    </row>
    <row r="645" ht="15" customHeight="1">
      <c r="A645" t="inlineStr">
        <is>
          <t>A 60360-2023</t>
        </is>
      </c>
      <c r="B645" s="1" t="n">
        <v>45259</v>
      </c>
      <c r="C645" s="1" t="n">
        <v>46196</v>
      </c>
      <c r="D645" t="inlineStr">
        <is>
          <t>DALARNAS LÄN</t>
        </is>
      </c>
      <c r="E645" t="inlineStr">
        <is>
          <t>MORA</t>
        </is>
      </c>
      <c r="G645" t="n">
        <v>2.9</v>
      </c>
      <c r="H645" t="n">
        <v>0</v>
      </c>
      <c r="I645" t="n">
        <v>0</v>
      </c>
      <c r="J645" t="n">
        <v>0</v>
      </c>
      <c r="K645" t="n">
        <v>0</v>
      </c>
      <c r="L645" t="n">
        <v>0</v>
      </c>
      <c r="M645" t="n">
        <v>0</v>
      </c>
      <c r="N645" t="n">
        <v>0</v>
      </c>
      <c r="O645" t="n">
        <v>0</v>
      </c>
      <c r="P645" t="n">
        <v>0</v>
      </c>
      <c r="Q645" t="n">
        <v>0</v>
      </c>
      <c r="R645" s="2" t="inlineStr"/>
    </row>
    <row r="646" ht="15" customHeight="1">
      <c r="A646" t="inlineStr">
        <is>
          <t>A 17164-2025</t>
        </is>
      </c>
      <c r="B646" s="1" t="n">
        <v>45756</v>
      </c>
      <c r="C646" s="1" t="n">
        <v>46196</v>
      </c>
      <c r="D646" t="inlineStr">
        <is>
          <t>DALARNAS LÄN</t>
        </is>
      </c>
      <c r="E646" t="inlineStr">
        <is>
          <t>MORA</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24768-2024</t>
        </is>
      </c>
      <c r="B647" s="1" t="n">
        <v>45460</v>
      </c>
      <c r="C647" s="1" t="n">
        <v>46196</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46196</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22732-2024</t>
        </is>
      </c>
      <c r="B649" s="1" t="n">
        <v>45448</v>
      </c>
      <c r="C649" s="1" t="n">
        <v>46196</v>
      </c>
      <c r="D649" t="inlineStr">
        <is>
          <t>DALARNAS LÄN</t>
        </is>
      </c>
      <c r="E649" t="inlineStr">
        <is>
          <t>MORA</t>
        </is>
      </c>
      <c r="G649" t="n">
        <v>3.6</v>
      </c>
      <c r="H649" t="n">
        <v>0</v>
      </c>
      <c r="I649" t="n">
        <v>0</v>
      </c>
      <c r="J649" t="n">
        <v>0</v>
      </c>
      <c r="K649" t="n">
        <v>0</v>
      </c>
      <c r="L649" t="n">
        <v>0</v>
      </c>
      <c r="M649" t="n">
        <v>0</v>
      </c>
      <c r="N649" t="n">
        <v>0</v>
      </c>
      <c r="O649" t="n">
        <v>0</v>
      </c>
      <c r="P649" t="n">
        <v>0</v>
      </c>
      <c r="Q649" t="n">
        <v>0</v>
      </c>
      <c r="R649" s="2" t="inlineStr"/>
    </row>
    <row r="650" ht="15" customHeight="1">
      <c r="A650" t="inlineStr">
        <is>
          <t>A 19756-2022</t>
        </is>
      </c>
      <c r="B650" s="1" t="n">
        <v>44694</v>
      </c>
      <c r="C650" s="1" t="n">
        <v>46196</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46801-2022</t>
        </is>
      </c>
      <c r="B651" s="1" t="n">
        <v>44851</v>
      </c>
      <c r="C651" s="1" t="n">
        <v>46196</v>
      </c>
      <c r="D651" t="inlineStr">
        <is>
          <t>DALARNAS LÄN</t>
        </is>
      </c>
      <c r="E651" t="inlineStr">
        <is>
          <t>MORA</t>
        </is>
      </c>
      <c r="G651" t="n">
        <v>1.5</v>
      </c>
      <c r="H651" t="n">
        <v>0</v>
      </c>
      <c r="I651" t="n">
        <v>0</v>
      </c>
      <c r="J651" t="n">
        <v>0</v>
      </c>
      <c r="K651" t="n">
        <v>0</v>
      </c>
      <c r="L651" t="n">
        <v>0</v>
      </c>
      <c r="M651" t="n">
        <v>0</v>
      </c>
      <c r="N651" t="n">
        <v>0</v>
      </c>
      <c r="O651" t="n">
        <v>0</v>
      </c>
      <c r="P651" t="n">
        <v>0</v>
      </c>
      <c r="Q651" t="n">
        <v>0</v>
      </c>
      <c r="R651" s="2" t="inlineStr"/>
    </row>
    <row r="652" ht="15" customHeight="1">
      <c r="A652" t="inlineStr">
        <is>
          <t>A 5644-2024</t>
        </is>
      </c>
      <c r="B652" s="1" t="n">
        <v>45334</v>
      </c>
      <c r="C652" s="1" t="n">
        <v>46196</v>
      </c>
      <c r="D652" t="inlineStr">
        <is>
          <t>DALARNAS LÄN</t>
        </is>
      </c>
      <c r="E652" t="inlineStr">
        <is>
          <t>MORA</t>
        </is>
      </c>
      <c r="F652" t="inlineStr">
        <is>
          <t>Bergvik skog väst AB</t>
        </is>
      </c>
      <c r="G652" t="n">
        <v>0.6</v>
      </c>
      <c r="H652" t="n">
        <v>0</v>
      </c>
      <c r="I652" t="n">
        <v>0</v>
      </c>
      <c r="J652" t="n">
        <v>0</v>
      </c>
      <c r="K652" t="n">
        <v>0</v>
      </c>
      <c r="L652" t="n">
        <v>0</v>
      </c>
      <c r="M652" t="n">
        <v>0</v>
      </c>
      <c r="N652" t="n">
        <v>0</v>
      </c>
      <c r="O652" t="n">
        <v>0</v>
      </c>
      <c r="P652" t="n">
        <v>0</v>
      </c>
      <c r="Q652" t="n">
        <v>0</v>
      </c>
      <c r="R652" s="2" t="inlineStr"/>
    </row>
    <row r="653" ht="15" customHeight="1">
      <c r="A653" t="inlineStr">
        <is>
          <t>A 33627-2024</t>
        </is>
      </c>
      <c r="B653" s="1" t="n">
        <v>45520</v>
      </c>
      <c r="C653" s="1" t="n">
        <v>46196</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33666-2024</t>
        </is>
      </c>
      <c r="B654" s="1" t="n">
        <v>45520</v>
      </c>
      <c r="C654" s="1" t="n">
        <v>46196</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20989-2024</t>
        </is>
      </c>
      <c r="B655" s="1" t="n">
        <v>45439</v>
      </c>
      <c r="C655" s="1" t="n">
        <v>46196</v>
      </c>
      <c r="D655" t="inlineStr">
        <is>
          <t>DALARNAS LÄN</t>
        </is>
      </c>
      <c r="E655" t="inlineStr">
        <is>
          <t>MORA</t>
        </is>
      </c>
      <c r="F655" t="inlineStr">
        <is>
          <t>Bergvik skog öst AB</t>
        </is>
      </c>
      <c r="G655" t="n">
        <v>14.7</v>
      </c>
      <c r="H655" t="n">
        <v>0</v>
      </c>
      <c r="I655" t="n">
        <v>0</v>
      </c>
      <c r="J655" t="n">
        <v>0</v>
      </c>
      <c r="K655" t="n">
        <v>0</v>
      </c>
      <c r="L655" t="n">
        <v>0</v>
      </c>
      <c r="M655" t="n">
        <v>0</v>
      </c>
      <c r="N655" t="n">
        <v>0</v>
      </c>
      <c r="O655" t="n">
        <v>0</v>
      </c>
      <c r="P655" t="n">
        <v>0</v>
      </c>
      <c r="Q655" t="n">
        <v>0</v>
      </c>
      <c r="R655" s="2" t="inlineStr"/>
    </row>
    <row r="656" ht="15" customHeight="1">
      <c r="A656" t="inlineStr">
        <is>
          <t>A 41812-2024</t>
        </is>
      </c>
      <c r="B656" s="1" t="n">
        <v>45561</v>
      </c>
      <c r="C656" s="1" t="n">
        <v>46196</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43964-2024</t>
        </is>
      </c>
      <c r="B657" s="1" t="n">
        <v>45572</v>
      </c>
      <c r="C657" s="1" t="n">
        <v>46196</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51883-2024</t>
        </is>
      </c>
      <c r="B658" s="1" t="n">
        <v>45607</v>
      </c>
      <c r="C658" s="1" t="n">
        <v>46196</v>
      </c>
      <c r="D658" t="inlineStr">
        <is>
          <t>DALARNAS LÄN</t>
        </is>
      </c>
      <c r="E658" t="inlineStr">
        <is>
          <t>MORA</t>
        </is>
      </c>
      <c r="G658" t="n">
        <v>0.2</v>
      </c>
      <c r="H658" t="n">
        <v>0</v>
      </c>
      <c r="I658" t="n">
        <v>0</v>
      </c>
      <c r="J658" t="n">
        <v>0</v>
      </c>
      <c r="K658" t="n">
        <v>0</v>
      </c>
      <c r="L658" t="n">
        <v>0</v>
      </c>
      <c r="M658" t="n">
        <v>0</v>
      </c>
      <c r="N658" t="n">
        <v>0</v>
      </c>
      <c r="O658" t="n">
        <v>0</v>
      </c>
      <c r="P658" t="n">
        <v>0</v>
      </c>
      <c r="Q658" t="n">
        <v>0</v>
      </c>
      <c r="R658" s="2" t="inlineStr"/>
    </row>
    <row r="659" ht="15" customHeight="1">
      <c r="A659" t="inlineStr">
        <is>
          <t>A 42941-2024</t>
        </is>
      </c>
      <c r="B659" s="1" t="n">
        <v>45567</v>
      </c>
      <c r="C659" s="1" t="n">
        <v>46196</v>
      </c>
      <c r="D659" t="inlineStr">
        <is>
          <t>DALARNAS LÄN</t>
        </is>
      </c>
      <c r="E659" t="inlineStr">
        <is>
          <t>MORA</t>
        </is>
      </c>
      <c r="G659" t="n">
        <v>1.6</v>
      </c>
      <c r="H659" t="n">
        <v>0</v>
      </c>
      <c r="I659" t="n">
        <v>0</v>
      </c>
      <c r="J659" t="n">
        <v>0</v>
      </c>
      <c r="K659" t="n">
        <v>0</v>
      </c>
      <c r="L659" t="n">
        <v>0</v>
      </c>
      <c r="M659" t="n">
        <v>0</v>
      </c>
      <c r="N659" t="n">
        <v>0</v>
      </c>
      <c r="O659" t="n">
        <v>0</v>
      </c>
      <c r="P659" t="n">
        <v>0</v>
      </c>
      <c r="Q659" t="n">
        <v>0</v>
      </c>
      <c r="R659" s="2" t="inlineStr"/>
    </row>
    <row r="660" ht="15" customHeight="1">
      <c r="A660" t="inlineStr">
        <is>
          <t>A 16733-2024</t>
        </is>
      </c>
      <c r="B660" s="1" t="n">
        <v>45410</v>
      </c>
      <c r="C660" s="1" t="n">
        <v>46196</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61217-2023</t>
        </is>
      </c>
      <c r="B661" s="1" t="n">
        <v>45264</v>
      </c>
      <c r="C661" s="1" t="n">
        <v>46196</v>
      </c>
      <c r="D661" t="inlineStr">
        <is>
          <t>DALARNAS LÄN</t>
        </is>
      </c>
      <c r="E661" t="inlineStr">
        <is>
          <t>MORA</t>
        </is>
      </c>
      <c r="F661" t="inlineStr">
        <is>
          <t>Allmännings- och besparingsskogar</t>
        </is>
      </c>
      <c r="G661" t="n">
        <v>2</v>
      </c>
      <c r="H661" t="n">
        <v>0</v>
      </c>
      <c r="I661" t="n">
        <v>0</v>
      </c>
      <c r="J661" t="n">
        <v>0</v>
      </c>
      <c r="K661" t="n">
        <v>0</v>
      </c>
      <c r="L661" t="n">
        <v>0</v>
      </c>
      <c r="M661" t="n">
        <v>0</v>
      </c>
      <c r="N661" t="n">
        <v>0</v>
      </c>
      <c r="O661" t="n">
        <v>0</v>
      </c>
      <c r="P661" t="n">
        <v>0</v>
      </c>
      <c r="Q661" t="n">
        <v>0</v>
      </c>
      <c r="R661" s="2" t="inlineStr"/>
    </row>
    <row r="662" ht="15" customHeight="1">
      <c r="A662" t="inlineStr">
        <is>
          <t>A 61218-2023</t>
        </is>
      </c>
      <c r="B662" s="1" t="n">
        <v>45264</v>
      </c>
      <c r="C662" s="1" t="n">
        <v>46196</v>
      </c>
      <c r="D662" t="inlineStr">
        <is>
          <t>DALARNAS LÄN</t>
        </is>
      </c>
      <c r="E662" t="inlineStr">
        <is>
          <t>MORA</t>
        </is>
      </c>
      <c r="F662" t="inlineStr">
        <is>
          <t>Allmännings- och besparingsskogar</t>
        </is>
      </c>
      <c r="G662" t="n">
        <v>2.6</v>
      </c>
      <c r="H662" t="n">
        <v>0</v>
      </c>
      <c r="I662" t="n">
        <v>0</v>
      </c>
      <c r="J662" t="n">
        <v>0</v>
      </c>
      <c r="K662" t="n">
        <v>0</v>
      </c>
      <c r="L662" t="n">
        <v>0</v>
      </c>
      <c r="M662" t="n">
        <v>0</v>
      </c>
      <c r="N662" t="n">
        <v>0</v>
      </c>
      <c r="O662" t="n">
        <v>0</v>
      </c>
      <c r="P662" t="n">
        <v>0</v>
      </c>
      <c r="Q662" t="n">
        <v>0</v>
      </c>
      <c r="R662" s="2" t="inlineStr"/>
    </row>
    <row r="663">
      <c r="A663" t="inlineStr">
        <is>
          <t>A 39348-2024</t>
        </is>
      </c>
      <c r="B663" s="1" t="n">
        <v>45551</v>
      </c>
      <c r="C663" s="1" t="n">
        <v>46196</v>
      </c>
      <c r="D663" t="inlineStr">
        <is>
          <t>DALARNAS LÄN</t>
        </is>
      </c>
      <c r="E663" t="inlineStr">
        <is>
          <t>MORA</t>
        </is>
      </c>
      <c r="G663" t="n">
        <v>0.5</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2026-06-23T04:32:53Z</dcterms:created>
  <dcterms:modified xmlns:dcterms="http://purl.org/dc/terms/" xmlns:xsi="http://www.w3.org/2001/XMLSchema-instance" xsi:type="dcterms:W3CDTF">2026-06-23T04:32:54Z</dcterms:modified>
</cp:coreProperties>
</file>