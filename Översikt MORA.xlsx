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45996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45996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45996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45996</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45996</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45996</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45996</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34018-2021</t>
        </is>
      </c>
      <c r="B14" s="1" t="n">
        <v>44379.34289351852</v>
      </c>
      <c r="C14" s="1" t="n">
        <v>45996</v>
      </c>
      <c r="D14" t="inlineStr">
        <is>
          <t>DALARNAS LÄN</t>
        </is>
      </c>
      <c r="E14" t="inlineStr">
        <is>
          <t>MORA</t>
        </is>
      </c>
      <c r="G14" t="n">
        <v>5.7</v>
      </c>
      <c r="H14" t="n">
        <v>4</v>
      </c>
      <c r="I14" t="n">
        <v>3</v>
      </c>
      <c r="J14" t="n">
        <v>10</v>
      </c>
      <c r="K14" t="n">
        <v>1</v>
      </c>
      <c r="L14" t="n">
        <v>0</v>
      </c>
      <c r="M14" t="n">
        <v>0</v>
      </c>
      <c r="N14" t="n">
        <v>0</v>
      </c>
      <c r="O14" t="n">
        <v>11</v>
      </c>
      <c r="P14" t="n">
        <v>1</v>
      </c>
      <c r="Q14" t="n">
        <v>17</v>
      </c>
      <c r="R14" s="2" t="inlineStr">
        <is>
          <t>Rynkskinn
Garnlav
Granticka
Knölgrynna
Kolflarnlav
Mörk kolflarnlav
Spillkråka
Vedflamlav
Vedskivlav
Violettgrå tagellav
Vitgrynig nållav
Dropptaggsvamp
Mindre märgborre
Nästlav
Kungsfågel
Tjäder
Huggorm</t>
        </is>
      </c>
      <c r="S14">
        <f>HYPERLINK("https://klasma.github.io/Logging_2062/artfynd/A 34018-2021 artfynd.xlsx", "A 34018-2021")</f>
        <v/>
      </c>
      <c r="T14">
        <f>HYPERLINK("https://klasma.github.io/Logging_2062/kartor/A 34018-2021 karta.png", "A 34018-2021")</f>
        <v/>
      </c>
      <c r="V14">
        <f>HYPERLINK("https://klasma.github.io/Logging_2062/klagomål/A 34018-2021 FSC-klagomål.docx", "A 34018-2021")</f>
        <v/>
      </c>
      <c r="W14">
        <f>HYPERLINK("https://klasma.github.io/Logging_2062/klagomålsmail/A 34018-2021 FSC-klagomål mail.docx", "A 34018-2021")</f>
        <v/>
      </c>
      <c r="X14">
        <f>HYPERLINK("https://klasma.github.io/Logging_2062/tillsyn/A 34018-2021 tillsynsbegäran.docx", "A 34018-2021")</f>
        <v/>
      </c>
      <c r="Y14">
        <f>HYPERLINK("https://klasma.github.io/Logging_2062/tillsynsmail/A 34018-2021 tillsynsbegäran mail.docx", "A 34018-2021")</f>
        <v/>
      </c>
      <c r="Z14">
        <f>HYPERLINK("https://klasma.github.io/Logging_2062/fåglar/A 34018-2021 prioriterade fågelarter.docx", "A 34018-2021")</f>
        <v/>
      </c>
    </row>
    <row r="15" ht="15" customHeight="1">
      <c r="A15" t="inlineStr">
        <is>
          <t>A 20531-2025</t>
        </is>
      </c>
      <c r="B15" s="1" t="n">
        <v>45775</v>
      </c>
      <c r="C15" s="1" t="n">
        <v>45996</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45996</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45996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45996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45996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45996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45996</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45996</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45996</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45996</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21041-2023</t>
        </is>
      </c>
      <c r="B29" s="1" t="n">
        <v>45061.58952546296</v>
      </c>
      <c r="C29" s="1" t="n">
        <v>45996</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41794-2025</t>
        </is>
      </c>
      <c r="B30" s="1" t="n">
        <v>45902.60008101852</v>
      </c>
      <c r="C30" s="1" t="n">
        <v>45996</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61943-2024</t>
        </is>
      </c>
      <c r="B31" s="1" t="n">
        <v>45653.49774305556</v>
      </c>
      <c r="C31" s="1" t="n">
        <v>45996</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45996</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45996</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45996</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45996</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45996</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45996</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45996</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58003-2025</t>
        </is>
      </c>
      <c r="B39" s="1" t="n">
        <v>45982.44465277778</v>
      </c>
      <c r="C39" s="1" t="n">
        <v>45996</v>
      </c>
      <c r="D39" t="inlineStr">
        <is>
          <t>DALARNAS LÄN</t>
        </is>
      </c>
      <c r="E39" t="inlineStr">
        <is>
          <t>MORA</t>
        </is>
      </c>
      <c r="F39" t="inlineStr">
        <is>
          <t>Allmännings- och besparingsskogar</t>
        </is>
      </c>
      <c r="G39" t="n">
        <v>12.3</v>
      </c>
      <c r="H39" t="n">
        <v>2</v>
      </c>
      <c r="I39" t="n">
        <v>1</v>
      </c>
      <c r="J39" t="n">
        <v>7</v>
      </c>
      <c r="K39" t="n">
        <v>0</v>
      </c>
      <c r="L39" t="n">
        <v>0</v>
      </c>
      <c r="M39" t="n">
        <v>0</v>
      </c>
      <c r="N39" t="n">
        <v>0</v>
      </c>
      <c r="O39" t="n">
        <v>7</v>
      </c>
      <c r="P39" t="n">
        <v>0</v>
      </c>
      <c r="Q39" t="n">
        <v>8</v>
      </c>
      <c r="R39" s="2" t="inlineStr">
        <is>
          <t>Garnlav
Kolflarnlav
Spillkråka
Tallticka
Tretåig hackspett
Vedflamlav
Vedskivlav
Mindre märgborre</t>
        </is>
      </c>
      <c r="S39">
        <f>HYPERLINK("https://klasma.github.io/Logging_2062/artfynd/A 58003-2025 artfynd.xlsx", "A 58003-2025")</f>
        <v/>
      </c>
      <c r="T39">
        <f>HYPERLINK("https://klasma.github.io/Logging_2062/kartor/A 58003-2025 karta.png", "A 58003-2025")</f>
        <v/>
      </c>
      <c r="V39">
        <f>HYPERLINK("https://klasma.github.io/Logging_2062/klagomål/A 58003-2025 FSC-klagomål.docx", "A 58003-2025")</f>
        <v/>
      </c>
      <c r="W39">
        <f>HYPERLINK("https://klasma.github.io/Logging_2062/klagomålsmail/A 58003-2025 FSC-klagomål mail.docx", "A 58003-2025")</f>
        <v/>
      </c>
      <c r="X39">
        <f>HYPERLINK("https://klasma.github.io/Logging_2062/tillsyn/A 58003-2025 tillsynsbegäran.docx", "A 58003-2025")</f>
        <v/>
      </c>
      <c r="Y39">
        <f>HYPERLINK("https://klasma.github.io/Logging_2062/tillsynsmail/A 58003-2025 tillsynsbegäran mail.docx", "A 58003-2025")</f>
        <v/>
      </c>
      <c r="Z39">
        <f>HYPERLINK("https://klasma.github.io/Logging_2062/fåglar/A 58003-2025 prioriterade fågelarter.docx", "A 58003-2025")</f>
        <v/>
      </c>
    </row>
    <row r="40" ht="15" customHeight="1">
      <c r="A40" t="inlineStr">
        <is>
          <t>A 30904-2025</t>
        </is>
      </c>
      <c r="B40" s="1" t="n">
        <v>45832</v>
      </c>
      <c r="C40" s="1" t="n">
        <v>45996</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45996</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45996</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45996</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45996</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45996</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45996</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45996</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45996</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45996</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45996</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45996</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32222-2025</t>
        </is>
      </c>
      <c r="B52" s="1" t="n">
        <v>45835.59140046296</v>
      </c>
      <c r="C52" s="1" t="n">
        <v>45996</v>
      </c>
      <c r="D52" t="inlineStr">
        <is>
          <t>DALARNAS LÄN</t>
        </is>
      </c>
      <c r="E52" t="inlineStr">
        <is>
          <t>MORA</t>
        </is>
      </c>
      <c r="G52" t="n">
        <v>11.5</v>
      </c>
      <c r="H52" t="n">
        <v>1</v>
      </c>
      <c r="I52" t="n">
        <v>0</v>
      </c>
      <c r="J52" t="n">
        <v>4</v>
      </c>
      <c r="K52" t="n">
        <v>0</v>
      </c>
      <c r="L52" t="n">
        <v>0</v>
      </c>
      <c r="M52" t="n">
        <v>0</v>
      </c>
      <c r="N52" t="n">
        <v>0</v>
      </c>
      <c r="O52" t="n">
        <v>4</v>
      </c>
      <c r="P52" t="n">
        <v>0</v>
      </c>
      <c r="Q52" t="n">
        <v>4</v>
      </c>
      <c r="R52" s="2" t="inlineStr">
        <is>
          <t>Garnlav
Reliktbock
Tallticka
Tretåig hackspett</t>
        </is>
      </c>
      <c r="S52">
        <f>HYPERLINK("https://klasma.github.io/Logging_2062/artfynd/A 32222-2025 artfynd.xlsx", "A 32222-2025")</f>
        <v/>
      </c>
      <c r="T52">
        <f>HYPERLINK("https://klasma.github.io/Logging_2062/kartor/A 32222-2025 karta.png", "A 32222-2025")</f>
        <v/>
      </c>
      <c r="V52">
        <f>HYPERLINK("https://klasma.github.io/Logging_2062/klagomål/A 32222-2025 FSC-klagomål.docx", "A 32222-2025")</f>
        <v/>
      </c>
      <c r="W52">
        <f>HYPERLINK("https://klasma.github.io/Logging_2062/klagomålsmail/A 32222-2025 FSC-klagomål mail.docx", "A 32222-2025")</f>
        <v/>
      </c>
      <c r="X52">
        <f>HYPERLINK("https://klasma.github.io/Logging_2062/tillsyn/A 32222-2025 tillsynsbegäran.docx", "A 32222-2025")</f>
        <v/>
      </c>
      <c r="Y52">
        <f>HYPERLINK("https://klasma.github.io/Logging_2062/tillsynsmail/A 32222-2025 tillsynsbegäran mail.docx", "A 32222-2025")</f>
        <v/>
      </c>
      <c r="Z52">
        <f>HYPERLINK("https://klasma.github.io/Logging_2062/fåglar/A 32222-2025 prioriterade fågelarter.docx", "A 32222-2025")</f>
        <v/>
      </c>
    </row>
    <row r="53" ht="15" customHeight="1">
      <c r="A53" t="inlineStr">
        <is>
          <t>A 39478-2025</t>
        </is>
      </c>
      <c r="B53" s="1" t="n">
        <v>45890.3469212963</v>
      </c>
      <c r="C53" s="1" t="n">
        <v>45996</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45996</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14293-2024</t>
        </is>
      </c>
      <c r="B55" s="1" t="n">
        <v>45393.63902777778</v>
      </c>
      <c r="C55" s="1" t="n">
        <v>45996</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17648-2024</t>
        </is>
      </c>
      <c r="B56" s="1" t="n">
        <v>45418.39261574074</v>
      </c>
      <c r="C56" s="1" t="n">
        <v>45996</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14829-2025</t>
        </is>
      </c>
      <c r="B57" s="1" t="n">
        <v>45743.36951388889</v>
      </c>
      <c r="C57" s="1" t="n">
        <v>45996</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HYPERLINK("https://klasma.github.io/Logging_2062/artfynd/A 14829-2025 artfynd.xlsx", "A 14829-2025")</f>
        <v/>
      </c>
      <c r="T57">
        <f>HYPERLINK("https://klasma.github.io/Logging_2062/kartor/A 14829-2025 karta.png", "A 14829-2025")</f>
        <v/>
      </c>
      <c r="V57">
        <f>HYPERLINK("https://klasma.github.io/Logging_2062/klagomål/A 14829-2025 FSC-klagomål.docx", "A 14829-2025")</f>
        <v/>
      </c>
      <c r="W57">
        <f>HYPERLINK("https://klasma.github.io/Logging_2062/klagomålsmail/A 14829-2025 FSC-klagomål mail.docx", "A 14829-2025")</f>
        <v/>
      </c>
      <c r="X57">
        <f>HYPERLINK("https://klasma.github.io/Logging_2062/tillsyn/A 14829-2025 tillsynsbegäran.docx", "A 14829-2025")</f>
        <v/>
      </c>
      <c r="Y57">
        <f>HYPERLINK("https://klasma.github.io/Logging_2062/tillsynsmail/A 14829-2025 tillsynsbegäran mail.docx", "A 14829-2025")</f>
        <v/>
      </c>
      <c r="Z57">
        <f>HYPERLINK("https://klasma.github.io/Logging_2062/fåglar/A 14829-2025 prioriterade fågelarter.docx", "A 14829-2025")</f>
        <v/>
      </c>
    </row>
    <row r="58" ht="15" customHeight="1">
      <c r="A58" t="inlineStr">
        <is>
          <t>A 34715-2025</t>
        </is>
      </c>
      <c r="B58" s="1" t="n">
        <v>45848</v>
      </c>
      <c r="C58" s="1" t="n">
        <v>45996</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29392-2025</t>
        </is>
      </c>
      <c r="B59" s="1" t="n">
        <v>45824.60537037037</v>
      </c>
      <c r="C59" s="1" t="n">
        <v>45996</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39481-2025</t>
        </is>
      </c>
      <c r="B60" s="1" t="n">
        <v>45890.35545138889</v>
      </c>
      <c r="C60" s="1" t="n">
        <v>45996</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23163-2025</t>
        </is>
      </c>
      <c r="B61" s="1" t="n">
        <v>45791.41832175926</v>
      </c>
      <c r="C61" s="1" t="n">
        <v>45996</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49695-2025</t>
        </is>
      </c>
      <c r="B62" s="1" t="n">
        <v>45939.67418981482</v>
      </c>
      <c r="C62" s="1" t="n">
        <v>45996</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45996</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45996</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45996</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5304-2023</t>
        </is>
      </c>
      <c r="B66" s="1" t="n">
        <v>44959.55116898148</v>
      </c>
      <c r="C66" s="1" t="n">
        <v>45996</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16094-2024</t>
        </is>
      </c>
      <c r="B67" s="1" t="n">
        <v>45406.41648148148</v>
      </c>
      <c r="C67" s="1" t="n">
        <v>45996</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27113-2024</t>
        </is>
      </c>
      <c r="B68" s="1" t="n">
        <v>45471</v>
      </c>
      <c r="C68" s="1" t="n">
        <v>45996</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45996</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45344-2024</t>
        </is>
      </c>
      <c r="B70" s="1" t="n">
        <v>45576</v>
      </c>
      <c r="C70" s="1" t="n">
        <v>45996</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30328-2021</t>
        </is>
      </c>
      <c r="B71" s="1" t="n">
        <v>44364</v>
      </c>
      <c r="C71" s="1" t="n">
        <v>45996</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57669-2022</t>
        </is>
      </c>
      <c r="B72" s="1" t="n">
        <v>44897</v>
      </c>
      <c r="C72" s="1" t="n">
        <v>45996</v>
      </c>
      <c r="D72" t="inlineStr">
        <is>
          <t>DALARNAS LÄN</t>
        </is>
      </c>
      <c r="E72" t="inlineStr">
        <is>
          <t>MORA</t>
        </is>
      </c>
      <c r="G72" t="n">
        <v>4.1</v>
      </c>
      <c r="H72" t="n">
        <v>0</v>
      </c>
      <c r="I72" t="n">
        <v>0</v>
      </c>
      <c r="J72" t="n">
        <v>1</v>
      </c>
      <c r="K72" t="n">
        <v>0</v>
      </c>
      <c r="L72" t="n">
        <v>0</v>
      </c>
      <c r="M72" t="n">
        <v>0</v>
      </c>
      <c r="N72" t="n">
        <v>0</v>
      </c>
      <c r="O72" t="n">
        <v>1</v>
      </c>
      <c r="P72" t="n">
        <v>0</v>
      </c>
      <c r="Q72" t="n">
        <v>1</v>
      </c>
      <c r="R72" s="2" t="inlineStr">
        <is>
          <t>Igelkott</t>
        </is>
      </c>
      <c r="S72">
        <f>HYPERLINK("https://klasma.github.io/Logging_2062/artfynd/A 57669-2022 artfynd.xlsx", "A 57669-2022")</f>
        <v/>
      </c>
      <c r="T72">
        <f>HYPERLINK("https://klasma.github.io/Logging_2062/kartor/A 57669-2022 karta.png", "A 57669-2022")</f>
        <v/>
      </c>
      <c r="V72">
        <f>HYPERLINK("https://klasma.github.io/Logging_2062/klagomål/A 57669-2022 FSC-klagomål.docx", "A 57669-2022")</f>
        <v/>
      </c>
      <c r="W72">
        <f>HYPERLINK("https://klasma.github.io/Logging_2062/klagomålsmail/A 57669-2022 FSC-klagomål mail.docx", "A 57669-2022")</f>
        <v/>
      </c>
      <c r="X72">
        <f>HYPERLINK("https://klasma.github.io/Logging_2062/tillsyn/A 57669-2022 tillsynsbegäran.docx", "A 57669-2022")</f>
        <v/>
      </c>
      <c r="Y72">
        <f>HYPERLINK("https://klasma.github.io/Logging_2062/tillsynsmail/A 57669-2022 tillsynsbegäran mail.docx", "A 57669-2022")</f>
        <v/>
      </c>
    </row>
    <row r="73" ht="15" customHeight="1">
      <c r="A73" t="inlineStr">
        <is>
          <t>A 23736-2023</t>
        </is>
      </c>
      <c r="B73" s="1" t="n">
        <v>45077</v>
      </c>
      <c r="C73" s="1" t="n">
        <v>45996</v>
      </c>
      <c r="D73" t="inlineStr">
        <is>
          <t>DALARNAS LÄN</t>
        </is>
      </c>
      <c r="E73" t="inlineStr">
        <is>
          <t>MORA</t>
        </is>
      </c>
      <c r="G73" t="n">
        <v>7.2</v>
      </c>
      <c r="H73" t="n">
        <v>0</v>
      </c>
      <c r="I73" t="n">
        <v>0</v>
      </c>
      <c r="J73" t="n">
        <v>1</v>
      </c>
      <c r="K73" t="n">
        <v>0</v>
      </c>
      <c r="L73" t="n">
        <v>0</v>
      </c>
      <c r="M73" t="n">
        <v>0</v>
      </c>
      <c r="N73" t="n">
        <v>0</v>
      </c>
      <c r="O73" t="n">
        <v>1</v>
      </c>
      <c r="P73" t="n">
        <v>0</v>
      </c>
      <c r="Q73" t="n">
        <v>1</v>
      </c>
      <c r="R73" s="2" t="inlineStr">
        <is>
          <t>Reliktbock</t>
        </is>
      </c>
      <c r="S73">
        <f>HYPERLINK("https://klasma.github.io/Logging_2062/artfynd/A 23736-2023 artfynd.xlsx", "A 23736-2023")</f>
        <v/>
      </c>
      <c r="T73">
        <f>HYPERLINK("https://klasma.github.io/Logging_2062/kartor/A 23736-2023 karta.png", "A 23736-2023")</f>
        <v/>
      </c>
      <c r="V73">
        <f>HYPERLINK("https://klasma.github.io/Logging_2062/klagomål/A 23736-2023 FSC-klagomål.docx", "A 23736-2023")</f>
        <v/>
      </c>
      <c r="W73">
        <f>HYPERLINK("https://klasma.github.io/Logging_2062/klagomålsmail/A 23736-2023 FSC-klagomål mail.docx", "A 23736-2023")</f>
        <v/>
      </c>
      <c r="X73">
        <f>HYPERLINK("https://klasma.github.io/Logging_2062/tillsyn/A 23736-2023 tillsynsbegäran.docx", "A 23736-2023")</f>
        <v/>
      </c>
      <c r="Y73">
        <f>HYPERLINK("https://klasma.github.io/Logging_2062/tillsynsmail/A 23736-2023 tillsynsbegäran mail.docx", "A 23736-2023")</f>
        <v/>
      </c>
    </row>
    <row r="74" ht="15" customHeight="1">
      <c r="A74" t="inlineStr">
        <is>
          <t>A 13717-2023</t>
        </is>
      </c>
      <c r="B74" s="1" t="n">
        <v>45007</v>
      </c>
      <c r="C74" s="1" t="n">
        <v>45996</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45996</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45996</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45996</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45996</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45996</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45996</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45996</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66158-2021</t>
        </is>
      </c>
      <c r="B82" s="1" t="n">
        <v>44517.934375</v>
      </c>
      <c r="C82" s="1" t="n">
        <v>45996</v>
      </c>
      <c r="D82" t="inlineStr">
        <is>
          <t>DALARNAS LÄN</t>
        </is>
      </c>
      <c r="E82" t="inlineStr">
        <is>
          <t>MORA</t>
        </is>
      </c>
      <c r="G82" t="n">
        <v>3.3</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45996</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45996</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45996</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45996</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45996</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45996</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45996</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45996</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45996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65253-2021</t>
        </is>
      </c>
      <c r="B92" s="1" t="n">
        <v>44515</v>
      </c>
      <c r="C92" s="1" t="n">
        <v>45996</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45996</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45996</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45996</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45996</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45996</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45996</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45996</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45996</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45996</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45996</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45996</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45996</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45996</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45996</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45996</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45996</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45996</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45996</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45996</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45996</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45996</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45996</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45996</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45996</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45996</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45996</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45996</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45996</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45996</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45996</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45996</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45996</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45996</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45996</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45996</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45996</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28914-2022</t>
        </is>
      </c>
      <c r="B129" s="1" t="n">
        <v>44749.56221064815</v>
      </c>
      <c r="C129" s="1" t="n">
        <v>45996</v>
      </c>
      <c r="D129" t="inlineStr">
        <is>
          <t>DALARNAS LÄN</t>
        </is>
      </c>
      <c r="E129" t="inlineStr">
        <is>
          <t>MORA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20594-2025</t>
        </is>
      </c>
      <c r="B130" s="1" t="n">
        <v>45775.74009259259</v>
      </c>
      <c r="C130" s="1" t="n">
        <v>45996</v>
      </c>
      <c r="D130" t="inlineStr">
        <is>
          <t>DALARNAS LÄN</t>
        </is>
      </c>
      <c r="E130" t="inlineStr">
        <is>
          <t>MORA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71702-2021</t>
        </is>
      </c>
      <c r="B131" s="1" t="n">
        <v>44543</v>
      </c>
      <c r="C131" s="1" t="n">
        <v>45996</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45996</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17904-2021</t>
        </is>
      </c>
      <c r="B133" s="1" t="n">
        <v>44301</v>
      </c>
      <c r="C133" s="1" t="n">
        <v>45996</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17622-2022</t>
        </is>
      </c>
      <c r="B134" s="1" t="n">
        <v>44680.4265162037</v>
      </c>
      <c r="C134" s="1" t="n">
        <v>45996</v>
      </c>
      <c r="D134" t="inlineStr">
        <is>
          <t>DALARNAS LÄN</t>
        </is>
      </c>
      <c r="E134" t="inlineStr">
        <is>
          <t>MORA</t>
        </is>
      </c>
      <c r="G134" t="n">
        <v>1.5</v>
      </c>
      <c r="H134" t="n">
        <v>0</v>
      </c>
      <c r="I134" t="n">
        <v>0</v>
      </c>
      <c r="J134" t="n">
        <v>0</v>
      </c>
      <c r="K134" t="n">
        <v>0</v>
      </c>
      <c r="L134" t="n">
        <v>0</v>
      </c>
      <c r="M134" t="n">
        <v>0</v>
      </c>
      <c r="N134" t="n">
        <v>0</v>
      </c>
      <c r="O134" t="n">
        <v>0</v>
      </c>
      <c r="P134" t="n">
        <v>0</v>
      </c>
      <c r="Q134" t="n">
        <v>0</v>
      </c>
      <c r="R134" s="2" t="inlineStr"/>
    </row>
    <row r="135" ht="15" customHeight="1">
      <c r="A135" t="inlineStr">
        <is>
          <t>A 35287-2024</t>
        </is>
      </c>
      <c r="B135" s="1" t="n">
        <v>45530</v>
      </c>
      <c r="C135" s="1" t="n">
        <v>45996</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45996</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45996</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8068-2024</t>
        </is>
      </c>
      <c r="B138" s="1" t="n">
        <v>45351.41524305556</v>
      </c>
      <c r="C138" s="1" t="n">
        <v>45996</v>
      </c>
      <c r="D138" t="inlineStr">
        <is>
          <t>DALARNAS LÄN</t>
        </is>
      </c>
      <c r="E138" t="inlineStr">
        <is>
          <t>MORA</t>
        </is>
      </c>
      <c r="G138" t="n">
        <v>6.4</v>
      </c>
      <c r="H138" t="n">
        <v>0</v>
      </c>
      <c r="I138" t="n">
        <v>0</v>
      </c>
      <c r="J138" t="n">
        <v>0</v>
      </c>
      <c r="K138" t="n">
        <v>0</v>
      </c>
      <c r="L138" t="n">
        <v>0</v>
      </c>
      <c r="M138" t="n">
        <v>0</v>
      </c>
      <c r="N138" t="n">
        <v>0</v>
      </c>
      <c r="O138" t="n">
        <v>0</v>
      </c>
      <c r="P138" t="n">
        <v>0</v>
      </c>
      <c r="Q138" t="n">
        <v>0</v>
      </c>
      <c r="R138" s="2" t="inlineStr"/>
    </row>
    <row r="139" ht="15" customHeight="1">
      <c r="A139" t="inlineStr">
        <is>
          <t>A 8100-2024</t>
        </is>
      </c>
      <c r="B139" s="1" t="n">
        <v>45351.46583333334</v>
      </c>
      <c r="C139" s="1" t="n">
        <v>45996</v>
      </c>
      <c r="D139" t="inlineStr">
        <is>
          <t>DALARNAS LÄN</t>
        </is>
      </c>
      <c r="E139" t="inlineStr">
        <is>
          <t>MORA</t>
        </is>
      </c>
      <c r="G139" t="n">
        <v>3.2</v>
      </c>
      <c r="H139" t="n">
        <v>0</v>
      </c>
      <c r="I139" t="n">
        <v>0</v>
      </c>
      <c r="J139" t="n">
        <v>0</v>
      </c>
      <c r="K139" t="n">
        <v>0</v>
      </c>
      <c r="L139" t="n">
        <v>0</v>
      </c>
      <c r="M139" t="n">
        <v>0</v>
      </c>
      <c r="N139" t="n">
        <v>0</v>
      </c>
      <c r="O139" t="n">
        <v>0</v>
      </c>
      <c r="P139" t="n">
        <v>0</v>
      </c>
      <c r="Q139" t="n">
        <v>0</v>
      </c>
      <c r="R139" s="2" t="inlineStr"/>
    </row>
    <row r="140" ht="15" customHeight="1">
      <c r="A140" t="inlineStr">
        <is>
          <t>A 36058-2024</t>
        </is>
      </c>
      <c r="B140" s="1" t="n">
        <v>45533</v>
      </c>
      <c r="C140" s="1" t="n">
        <v>45996</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45996</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45996</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45996</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45996</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59101-2024</t>
        </is>
      </c>
      <c r="B145" s="1" t="n">
        <v>45637.34074074074</v>
      </c>
      <c r="C145" s="1" t="n">
        <v>45996</v>
      </c>
      <c r="D145" t="inlineStr">
        <is>
          <t>DALARNAS LÄN</t>
        </is>
      </c>
      <c r="E145" t="inlineStr">
        <is>
          <t>MORA</t>
        </is>
      </c>
      <c r="F145" t="inlineStr">
        <is>
          <t>Allmännings- och besparingsskogar</t>
        </is>
      </c>
      <c r="G145" t="n">
        <v>1.2</v>
      </c>
      <c r="H145" t="n">
        <v>0</v>
      </c>
      <c r="I145" t="n">
        <v>0</v>
      </c>
      <c r="J145" t="n">
        <v>0</v>
      </c>
      <c r="K145" t="n">
        <v>0</v>
      </c>
      <c r="L145" t="n">
        <v>0</v>
      </c>
      <c r="M145" t="n">
        <v>0</v>
      </c>
      <c r="N145" t="n">
        <v>0</v>
      </c>
      <c r="O145" t="n">
        <v>0</v>
      </c>
      <c r="P145" t="n">
        <v>0</v>
      </c>
      <c r="Q145" t="n">
        <v>0</v>
      </c>
      <c r="R145" s="2" t="inlineStr"/>
    </row>
    <row r="146" ht="15" customHeight="1">
      <c r="A146" t="inlineStr">
        <is>
          <t>A 5418-2025</t>
        </is>
      </c>
      <c r="B146" s="1" t="n">
        <v>45692.68561342593</v>
      </c>
      <c r="C146" s="1" t="n">
        <v>45996</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45996</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45996</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17176-2025</t>
        </is>
      </c>
      <c r="B149" s="1" t="n">
        <v>45756.37520833333</v>
      </c>
      <c r="C149" s="1" t="n">
        <v>45996</v>
      </c>
      <c r="D149" t="inlineStr">
        <is>
          <t>DALARNAS LÄN</t>
        </is>
      </c>
      <c r="E149" t="inlineStr">
        <is>
          <t>MORA</t>
        </is>
      </c>
      <c r="F149" t="inlineStr">
        <is>
          <t>Bergvik skog öst AB</t>
        </is>
      </c>
      <c r="G149" t="n">
        <v>1.7</v>
      </c>
      <c r="H149" t="n">
        <v>0</v>
      </c>
      <c r="I149" t="n">
        <v>0</v>
      </c>
      <c r="J149" t="n">
        <v>0</v>
      </c>
      <c r="K149" t="n">
        <v>0</v>
      </c>
      <c r="L149" t="n">
        <v>0</v>
      </c>
      <c r="M149" t="n">
        <v>0</v>
      </c>
      <c r="N149" t="n">
        <v>0</v>
      </c>
      <c r="O149" t="n">
        <v>0</v>
      </c>
      <c r="P149" t="n">
        <v>0</v>
      </c>
      <c r="Q149" t="n">
        <v>0</v>
      </c>
      <c r="R149" s="2" t="inlineStr"/>
    </row>
    <row r="150" ht="15" customHeight="1">
      <c r="A150" t="inlineStr">
        <is>
          <t>A 27461-2022</t>
        </is>
      </c>
      <c r="B150" s="1" t="n">
        <v>44742.58386574074</v>
      </c>
      <c r="C150" s="1" t="n">
        <v>45996</v>
      </c>
      <c r="D150" t="inlineStr">
        <is>
          <t>DALARNAS LÄN</t>
        </is>
      </c>
      <c r="E150" t="inlineStr">
        <is>
          <t>MORA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11442-2022</t>
        </is>
      </c>
      <c r="B151" s="1" t="n">
        <v>44630.62788194444</v>
      </c>
      <c r="C151" s="1" t="n">
        <v>45996</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45996</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4488-2022</t>
        </is>
      </c>
      <c r="B153" s="1" t="n">
        <v>44589.65528935185</v>
      </c>
      <c r="C153" s="1" t="n">
        <v>45996</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52525-2022</t>
        </is>
      </c>
      <c r="B154" s="1" t="n">
        <v>44874</v>
      </c>
      <c r="C154" s="1" t="n">
        <v>45996</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48390-2024</t>
        </is>
      </c>
      <c r="B155" s="1" t="n">
        <v>45590.60216435185</v>
      </c>
      <c r="C155" s="1" t="n">
        <v>45996</v>
      </c>
      <c r="D155" t="inlineStr">
        <is>
          <t>DALARNAS LÄN</t>
        </is>
      </c>
      <c r="E155" t="inlineStr">
        <is>
          <t>MORA</t>
        </is>
      </c>
      <c r="G155" t="n">
        <v>5</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45996</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66157-2021</t>
        </is>
      </c>
      <c r="B157" s="1" t="n">
        <v>44517.92888888889</v>
      </c>
      <c r="C157" s="1" t="n">
        <v>45996</v>
      </c>
      <c r="D157" t="inlineStr">
        <is>
          <t>DALARNAS LÄN</t>
        </is>
      </c>
      <c r="E157" t="inlineStr">
        <is>
          <t>MORA</t>
        </is>
      </c>
      <c r="G157" t="n">
        <v>2.9</v>
      </c>
      <c r="H157" t="n">
        <v>0</v>
      </c>
      <c r="I157" t="n">
        <v>0</v>
      </c>
      <c r="J157" t="n">
        <v>0</v>
      </c>
      <c r="K157" t="n">
        <v>0</v>
      </c>
      <c r="L157" t="n">
        <v>0</v>
      </c>
      <c r="M157" t="n">
        <v>0</v>
      </c>
      <c r="N157" t="n">
        <v>0</v>
      </c>
      <c r="O157" t="n">
        <v>0</v>
      </c>
      <c r="P157" t="n">
        <v>0</v>
      </c>
      <c r="Q157" t="n">
        <v>0</v>
      </c>
      <c r="R157" s="2" t="inlineStr"/>
    </row>
    <row r="158" ht="15" customHeight="1">
      <c r="A158" t="inlineStr">
        <is>
          <t>A 43874-2024</t>
        </is>
      </c>
      <c r="B158" s="1" t="n">
        <v>45572.38476851852</v>
      </c>
      <c r="C158" s="1" t="n">
        <v>45996</v>
      </c>
      <c r="D158" t="inlineStr">
        <is>
          <t>DALARNAS LÄN</t>
        </is>
      </c>
      <c r="E158" t="inlineStr">
        <is>
          <t>MORA</t>
        </is>
      </c>
      <c r="G158" t="n">
        <v>3.6</v>
      </c>
      <c r="H158" t="n">
        <v>0</v>
      </c>
      <c r="I158" t="n">
        <v>0</v>
      </c>
      <c r="J158" t="n">
        <v>0</v>
      </c>
      <c r="K158" t="n">
        <v>0</v>
      </c>
      <c r="L158" t="n">
        <v>0</v>
      </c>
      <c r="M158" t="n">
        <v>0</v>
      </c>
      <c r="N158" t="n">
        <v>0</v>
      </c>
      <c r="O158" t="n">
        <v>0</v>
      </c>
      <c r="P158" t="n">
        <v>0</v>
      </c>
      <c r="Q158" t="n">
        <v>0</v>
      </c>
      <c r="R158" s="2" t="inlineStr"/>
    </row>
    <row r="159" ht="15" customHeight="1">
      <c r="A159" t="inlineStr">
        <is>
          <t>A 33513-2024</t>
        </is>
      </c>
      <c r="B159" s="1" t="n">
        <v>45519.644375</v>
      </c>
      <c r="C159" s="1" t="n">
        <v>45996</v>
      </c>
      <c r="D159" t="inlineStr">
        <is>
          <t>DALARNAS LÄN</t>
        </is>
      </c>
      <c r="E159" t="inlineStr">
        <is>
          <t>MORA</t>
        </is>
      </c>
      <c r="G159" t="n">
        <v>5.9</v>
      </c>
      <c r="H159" t="n">
        <v>0</v>
      </c>
      <c r="I159" t="n">
        <v>0</v>
      </c>
      <c r="J159" t="n">
        <v>0</v>
      </c>
      <c r="K159" t="n">
        <v>0</v>
      </c>
      <c r="L159" t="n">
        <v>0</v>
      </c>
      <c r="M159" t="n">
        <v>0</v>
      </c>
      <c r="N159" t="n">
        <v>0</v>
      </c>
      <c r="O159" t="n">
        <v>0</v>
      </c>
      <c r="P159" t="n">
        <v>0</v>
      </c>
      <c r="Q159" t="n">
        <v>0</v>
      </c>
      <c r="R159" s="2" t="inlineStr"/>
    </row>
    <row r="160" ht="15" customHeight="1">
      <c r="A160" t="inlineStr">
        <is>
          <t>A 35040-2023</t>
        </is>
      </c>
      <c r="B160" s="1" t="n">
        <v>45145.36853009259</v>
      </c>
      <c r="C160" s="1" t="n">
        <v>45996</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60099-2024</t>
        </is>
      </c>
      <c r="B161" s="1" t="n">
        <v>45642.55645833333</v>
      </c>
      <c r="C161" s="1" t="n">
        <v>45996</v>
      </c>
      <c r="D161" t="inlineStr">
        <is>
          <t>DALARNAS LÄN</t>
        </is>
      </c>
      <c r="E161" t="inlineStr">
        <is>
          <t>MORA</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63958-2023</t>
        </is>
      </c>
      <c r="B162" s="1" t="n">
        <v>45278</v>
      </c>
      <c r="C162" s="1" t="n">
        <v>45996</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62854-2023</t>
        </is>
      </c>
      <c r="B163" s="1" t="n">
        <v>45272</v>
      </c>
      <c r="C163" s="1" t="n">
        <v>45996</v>
      </c>
      <c r="D163" t="inlineStr">
        <is>
          <t>DALARNAS LÄN</t>
        </is>
      </c>
      <c r="E163" t="inlineStr">
        <is>
          <t>MORA</t>
        </is>
      </c>
      <c r="G163" t="n">
        <v>11.3</v>
      </c>
      <c r="H163" t="n">
        <v>0</v>
      </c>
      <c r="I163" t="n">
        <v>0</v>
      </c>
      <c r="J163" t="n">
        <v>0</v>
      </c>
      <c r="K163" t="n">
        <v>0</v>
      </c>
      <c r="L163" t="n">
        <v>0</v>
      </c>
      <c r="M163" t="n">
        <v>0</v>
      </c>
      <c r="N163" t="n">
        <v>0</v>
      </c>
      <c r="O163" t="n">
        <v>0</v>
      </c>
      <c r="P163" t="n">
        <v>0</v>
      </c>
      <c r="Q163" t="n">
        <v>0</v>
      </c>
      <c r="R163" s="2" t="inlineStr"/>
    </row>
    <row r="164" ht="15" customHeight="1">
      <c r="A164" t="inlineStr">
        <is>
          <t>A 24127-2025</t>
        </is>
      </c>
      <c r="B164" s="1" t="n">
        <v>45796.63137731481</v>
      </c>
      <c r="C164" s="1" t="n">
        <v>45996</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24249-2025</t>
        </is>
      </c>
      <c r="B165" s="1" t="n">
        <v>45797.40260416667</v>
      </c>
      <c r="C165" s="1" t="n">
        <v>45996</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45996</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9461-2025</t>
        </is>
      </c>
      <c r="B167" s="1" t="n">
        <v>45715.45341435185</v>
      </c>
      <c r="C167" s="1" t="n">
        <v>45996</v>
      </c>
      <c r="D167" t="inlineStr">
        <is>
          <t>DALARNAS LÄN</t>
        </is>
      </c>
      <c r="E167" t="inlineStr">
        <is>
          <t>MORA</t>
        </is>
      </c>
      <c r="G167" t="n">
        <v>1.8</v>
      </c>
      <c r="H167" t="n">
        <v>0</v>
      </c>
      <c r="I167" t="n">
        <v>0</v>
      </c>
      <c r="J167" t="n">
        <v>0</v>
      </c>
      <c r="K167" t="n">
        <v>0</v>
      </c>
      <c r="L167" t="n">
        <v>0</v>
      </c>
      <c r="M167" t="n">
        <v>0</v>
      </c>
      <c r="N167" t="n">
        <v>0</v>
      </c>
      <c r="O167" t="n">
        <v>0</v>
      </c>
      <c r="P167" t="n">
        <v>0</v>
      </c>
      <c r="Q167" t="n">
        <v>0</v>
      </c>
      <c r="R167" s="2" t="inlineStr"/>
    </row>
    <row r="168" ht="15" customHeight="1">
      <c r="A168" t="inlineStr">
        <is>
          <t>A 34928-2022</t>
        </is>
      </c>
      <c r="B168" s="1" t="n">
        <v>44796.60479166666</v>
      </c>
      <c r="C168" s="1" t="n">
        <v>45996</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19286-2023</t>
        </is>
      </c>
      <c r="B169" s="1" t="n">
        <v>45049</v>
      </c>
      <c r="C169" s="1" t="n">
        <v>45996</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24230-2025</t>
        </is>
      </c>
      <c r="B170" s="1" t="n">
        <v>45797.37607638889</v>
      </c>
      <c r="C170" s="1" t="n">
        <v>45996</v>
      </c>
      <c r="D170" t="inlineStr">
        <is>
          <t>DALARNAS LÄN</t>
        </is>
      </c>
      <c r="E170" t="inlineStr">
        <is>
          <t>MORA</t>
        </is>
      </c>
      <c r="G170" t="n">
        <v>6.8</v>
      </c>
      <c r="H170" t="n">
        <v>0</v>
      </c>
      <c r="I170" t="n">
        <v>0</v>
      </c>
      <c r="J170" t="n">
        <v>0</v>
      </c>
      <c r="K170" t="n">
        <v>0</v>
      </c>
      <c r="L170" t="n">
        <v>0</v>
      </c>
      <c r="M170" t="n">
        <v>0</v>
      </c>
      <c r="N170" t="n">
        <v>0</v>
      </c>
      <c r="O170" t="n">
        <v>0</v>
      </c>
      <c r="P170" t="n">
        <v>0</v>
      </c>
      <c r="Q170" t="n">
        <v>0</v>
      </c>
      <c r="R170" s="2" t="inlineStr"/>
    </row>
    <row r="171" ht="15" customHeight="1">
      <c r="A171" t="inlineStr">
        <is>
          <t>A 24280-2025</t>
        </is>
      </c>
      <c r="B171" s="1" t="n">
        <v>45797.45581018519</v>
      </c>
      <c r="C171" s="1" t="n">
        <v>45996</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58413-2021</t>
        </is>
      </c>
      <c r="B172" s="1" t="n">
        <v>44488</v>
      </c>
      <c r="C172" s="1" t="n">
        <v>45996</v>
      </c>
      <c r="D172" t="inlineStr">
        <is>
          <t>DALARNAS LÄN</t>
        </is>
      </c>
      <c r="E172" t="inlineStr">
        <is>
          <t>MORA</t>
        </is>
      </c>
      <c r="F172" t="inlineStr">
        <is>
          <t>Bergvik skog öst AB</t>
        </is>
      </c>
      <c r="G172" t="n">
        <v>5.3</v>
      </c>
      <c r="H172" t="n">
        <v>0</v>
      </c>
      <c r="I172" t="n">
        <v>0</v>
      </c>
      <c r="J172" t="n">
        <v>0</v>
      </c>
      <c r="K172" t="n">
        <v>0</v>
      </c>
      <c r="L172" t="n">
        <v>0</v>
      </c>
      <c r="M172" t="n">
        <v>0</v>
      </c>
      <c r="N172" t="n">
        <v>0</v>
      </c>
      <c r="O172" t="n">
        <v>0</v>
      </c>
      <c r="P172" t="n">
        <v>0</v>
      </c>
      <c r="Q172" t="n">
        <v>0</v>
      </c>
      <c r="R172" s="2" t="inlineStr"/>
    </row>
    <row r="173" ht="15" customHeight="1">
      <c r="A173" t="inlineStr">
        <is>
          <t>A 19183-2025</t>
        </is>
      </c>
      <c r="B173" s="1" t="n">
        <v>45769</v>
      </c>
      <c r="C173" s="1" t="n">
        <v>45996</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44595-2024</t>
        </is>
      </c>
      <c r="B174" s="1" t="n">
        <v>45574.51053240741</v>
      </c>
      <c r="C174" s="1" t="n">
        <v>45996</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24640-2025</t>
        </is>
      </c>
      <c r="B175" s="1" t="n">
        <v>45798.62243055556</v>
      </c>
      <c r="C175" s="1" t="n">
        <v>45996</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31929-2024</t>
        </is>
      </c>
      <c r="B176" s="1" t="n">
        <v>45510.40587962963</v>
      </c>
      <c r="C176" s="1" t="n">
        <v>45996</v>
      </c>
      <c r="D176" t="inlineStr">
        <is>
          <t>DALARNAS LÄN</t>
        </is>
      </c>
      <c r="E176" t="inlineStr">
        <is>
          <t>MORA</t>
        </is>
      </c>
      <c r="G176" t="n">
        <v>10.8</v>
      </c>
      <c r="H176" t="n">
        <v>0</v>
      </c>
      <c r="I176" t="n">
        <v>0</v>
      </c>
      <c r="J176" t="n">
        <v>0</v>
      </c>
      <c r="K176" t="n">
        <v>0</v>
      </c>
      <c r="L176" t="n">
        <v>0</v>
      </c>
      <c r="M176" t="n">
        <v>0</v>
      </c>
      <c r="N176" t="n">
        <v>0</v>
      </c>
      <c r="O176" t="n">
        <v>0</v>
      </c>
      <c r="P176" t="n">
        <v>0</v>
      </c>
      <c r="Q176" t="n">
        <v>0</v>
      </c>
      <c r="R176" s="2" t="inlineStr"/>
    </row>
    <row r="177" ht="15" customHeight="1">
      <c r="A177" t="inlineStr">
        <is>
          <t>A 61293-2022</t>
        </is>
      </c>
      <c r="B177" s="1" t="n">
        <v>44915.62751157407</v>
      </c>
      <c r="C177" s="1" t="n">
        <v>45996</v>
      </c>
      <c r="D177" t="inlineStr">
        <is>
          <t>DALARNAS LÄN</t>
        </is>
      </c>
      <c r="E177" t="inlineStr">
        <is>
          <t>MORA</t>
        </is>
      </c>
      <c r="G177" t="n">
        <v>0.3</v>
      </c>
      <c r="H177" t="n">
        <v>0</v>
      </c>
      <c r="I177" t="n">
        <v>0</v>
      </c>
      <c r="J177" t="n">
        <v>0</v>
      </c>
      <c r="K177" t="n">
        <v>0</v>
      </c>
      <c r="L177" t="n">
        <v>0</v>
      </c>
      <c r="M177" t="n">
        <v>0</v>
      </c>
      <c r="N177" t="n">
        <v>0</v>
      </c>
      <c r="O177" t="n">
        <v>0</v>
      </c>
      <c r="P177" t="n">
        <v>0</v>
      </c>
      <c r="Q177" t="n">
        <v>0</v>
      </c>
      <c r="R177" s="2" t="inlineStr"/>
    </row>
    <row r="178" ht="15" customHeight="1">
      <c r="A178" t="inlineStr">
        <is>
          <t>A 46412-2024</t>
        </is>
      </c>
      <c r="B178" s="1" t="n">
        <v>45582.44894675926</v>
      </c>
      <c r="C178" s="1" t="n">
        <v>45996</v>
      </c>
      <c r="D178" t="inlineStr">
        <is>
          <t>DALARNAS LÄN</t>
        </is>
      </c>
      <c r="E178" t="inlineStr">
        <is>
          <t>MORA</t>
        </is>
      </c>
      <c r="G178" t="n">
        <v>4.1</v>
      </c>
      <c r="H178" t="n">
        <v>0</v>
      </c>
      <c r="I178" t="n">
        <v>0</v>
      </c>
      <c r="J178" t="n">
        <v>0</v>
      </c>
      <c r="K178" t="n">
        <v>0</v>
      </c>
      <c r="L178" t="n">
        <v>0</v>
      </c>
      <c r="M178" t="n">
        <v>0</v>
      </c>
      <c r="N178" t="n">
        <v>0</v>
      </c>
      <c r="O178" t="n">
        <v>0</v>
      </c>
      <c r="P178" t="n">
        <v>0</v>
      </c>
      <c r="Q178" t="n">
        <v>0</v>
      </c>
      <c r="R178" s="2" t="inlineStr"/>
    </row>
    <row r="179" ht="15" customHeight="1">
      <c r="A179" t="inlineStr">
        <is>
          <t>A 61405-2023</t>
        </is>
      </c>
      <c r="B179" s="1" t="n">
        <v>45264.65987268519</v>
      </c>
      <c r="C179" s="1" t="n">
        <v>45996</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57091-2021</t>
        </is>
      </c>
      <c r="B180" s="1" t="n">
        <v>44482</v>
      </c>
      <c r="C180" s="1" t="n">
        <v>45996</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50685-2023</t>
        </is>
      </c>
      <c r="B181" s="1" t="n">
        <v>45210</v>
      </c>
      <c r="C181" s="1" t="n">
        <v>45996</v>
      </c>
      <c r="D181" t="inlineStr">
        <is>
          <t>DALARNAS LÄN</t>
        </is>
      </c>
      <c r="E181" t="inlineStr">
        <is>
          <t>MORA</t>
        </is>
      </c>
      <c r="G181" t="n">
        <v>1.7</v>
      </c>
      <c r="H181" t="n">
        <v>0</v>
      </c>
      <c r="I181" t="n">
        <v>0</v>
      </c>
      <c r="J181" t="n">
        <v>0</v>
      </c>
      <c r="K181" t="n">
        <v>0</v>
      </c>
      <c r="L181" t="n">
        <v>0</v>
      </c>
      <c r="M181" t="n">
        <v>0</v>
      </c>
      <c r="N181" t="n">
        <v>0</v>
      </c>
      <c r="O181" t="n">
        <v>0</v>
      </c>
      <c r="P181" t="n">
        <v>0</v>
      </c>
      <c r="Q181" t="n">
        <v>0</v>
      </c>
      <c r="R181" s="2" t="inlineStr"/>
    </row>
    <row r="182" ht="15" customHeight="1">
      <c r="A182" t="inlineStr">
        <is>
          <t>A 36740-2023</t>
        </is>
      </c>
      <c r="B182" s="1" t="n">
        <v>45153</v>
      </c>
      <c r="C182" s="1" t="n">
        <v>45996</v>
      </c>
      <c r="D182" t="inlineStr">
        <is>
          <t>DALARNAS LÄN</t>
        </is>
      </c>
      <c r="E182" t="inlineStr">
        <is>
          <t>MORA</t>
        </is>
      </c>
      <c r="G182" t="n">
        <v>0.2</v>
      </c>
      <c r="H182" t="n">
        <v>0</v>
      </c>
      <c r="I182" t="n">
        <v>0</v>
      </c>
      <c r="J182" t="n">
        <v>0</v>
      </c>
      <c r="K182" t="n">
        <v>0</v>
      </c>
      <c r="L182" t="n">
        <v>0</v>
      </c>
      <c r="M182" t="n">
        <v>0</v>
      </c>
      <c r="N182" t="n">
        <v>0</v>
      </c>
      <c r="O182" t="n">
        <v>0</v>
      </c>
      <c r="P182" t="n">
        <v>0</v>
      </c>
      <c r="Q182" t="n">
        <v>0</v>
      </c>
      <c r="R182" s="2" t="inlineStr"/>
    </row>
    <row r="183" ht="15" customHeight="1">
      <c r="A183" t="inlineStr">
        <is>
          <t>A 14832-2025</t>
        </is>
      </c>
      <c r="B183" s="1" t="n">
        <v>45743</v>
      </c>
      <c r="C183" s="1" t="n">
        <v>45996</v>
      </c>
      <c r="D183" t="inlineStr">
        <is>
          <t>DALARNAS LÄN</t>
        </is>
      </c>
      <c r="E183" t="inlineStr">
        <is>
          <t>MORA</t>
        </is>
      </c>
      <c r="G183" t="n">
        <v>9.1</v>
      </c>
      <c r="H183" t="n">
        <v>0</v>
      </c>
      <c r="I183" t="n">
        <v>0</v>
      </c>
      <c r="J183" t="n">
        <v>0</v>
      </c>
      <c r="K183" t="n">
        <v>0</v>
      </c>
      <c r="L183" t="n">
        <v>0</v>
      </c>
      <c r="M183" t="n">
        <v>0</v>
      </c>
      <c r="N183" t="n">
        <v>0</v>
      </c>
      <c r="O183" t="n">
        <v>0</v>
      </c>
      <c r="P183" t="n">
        <v>0</v>
      </c>
      <c r="Q183" t="n">
        <v>0</v>
      </c>
      <c r="R183" s="2" t="inlineStr"/>
    </row>
    <row r="184" ht="15" customHeight="1">
      <c r="A184" t="inlineStr">
        <is>
          <t>A 24947-2025</t>
        </is>
      </c>
      <c r="B184" s="1" t="n">
        <v>45799.56524305556</v>
      </c>
      <c r="C184" s="1" t="n">
        <v>45996</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24630-2025</t>
        </is>
      </c>
      <c r="B185" s="1" t="n">
        <v>45798.6003587963</v>
      </c>
      <c r="C185" s="1" t="n">
        <v>45996</v>
      </c>
      <c r="D185" t="inlineStr">
        <is>
          <t>DALARNAS LÄN</t>
        </is>
      </c>
      <c r="E185" t="inlineStr">
        <is>
          <t>MORA</t>
        </is>
      </c>
      <c r="F185" t="inlineStr">
        <is>
          <t>Bergvik skog väst AB</t>
        </is>
      </c>
      <c r="G185" t="n">
        <v>10.4</v>
      </c>
      <c r="H185" t="n">
        <v>0</v>
      </c>
      <c r="I185" t="n">
        <v>0</v>
      </c>
      <c r="J185" t="n">
        <v>0</v>
      </c>
      <c r="K185" t="n">
        <v>0</v>
      </c>
      <c r="L185" t="n">
        <v>0</v>
      </c>
      <c r="M185" t="n">
        <v>0</v>
      </c>
      <c r="N185" t="n">
        <v>0</v>
      </c>
      <c r="O185" t="n">
        <v>0</v>
      </c>
      <c r="P185" t="n">
        <v>0</v>
      </c>
      <c r="Q185" t="n">
        <v>0</v>
      </c>
      <c r="R185" s="2" t="inlineStr"/>
    </row>
    <row r="186" ht="15" customHeight="1">
      <c r="A186" t="inlineStr">
        <is>
          <t>A 31177-2021</t>
        </is>
      </c>
      <c r="B186" s="1" t="n">
        <v>44368</v>
      </c>
      <c r="C186" s="1" t="n">
        <v>45996</v>
      </c>
      <c r="D186" t="inlineStr">
        <is>
          <t>DALARNAS LÄN</t>
        </is>
      </c>
      <c r="E186" t="inlineStr">
        <is>
          <t>MORA</t>
        </is>
      </c>
      <c r="G186" t="n">
        <v>1.6</v>
      </c>
      <c r="H186" t="n">
        <v>0</v>
      </c>
      <c r="I186" t="n">
        <v>0</v>
      </c>
      <c r="J186" t="n">
        <v>0</v>
      </c>
      <c r="K186" t="n">
        <v>0</v>
      </c>
      <c r="L186" t="n">
        <v>0</v>
      </c>
      <c r="M186" t="n">
        <v>0</v>
      </c>
      <c r="N186" t="n">
        <v>0</v>
      </c>
      <c r="O186" t="n">
        <v>0</v>
      </c>
      <c r="P186" t="n">
        <v>0</v>
      </c>
      <c r="Q186" t="n">
        <v>0</v>
      </c>
      <c r="R186" s="2" t="inlineStr"/>
    </row>
    <row r="187" ht="15" customHeight="1">
      <c r="A187" t="inlineStr">
        <is>
          <t>A 65186-2021</t>
        </is>
      </c>
      <c r="B187" s="1" t="n">
        <v>44515</v>
      </c>
      <c r="C187" s="1" t="n">
        <v>45996</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24960-2025</t>
        </is>
      </c>
      <c r="B188" s="1" t="n">
        <v>45799.57666666667</v>
      </c>
      <c r="C188" s="1" t="n">
        <v>45996</v>
      </c>
      <c r="D188" t="inlineStr">
        <is>
          <t>DALARNAS LÄN</t>
        </is>
      </c>
      <c r="E188" t="inlineStr">
        <is>
          <t>MORA</t>
        </is>
      </c>
      <c r="G188" t="n">
        <v>3.2</v>
      </c>
      <c r="H188" t="n">
        <v>0</v>
      </c>
      <c r="I188" t="n">
        <v>0</v>
      </c>
      <c r="J188" t="n">
        <v>0</v>
      </c>
      <c r="K188" t="n">
        <v>0</v>
      </c>
      <c r="L188" t="n">
        <v>0</v>
      </c>
      <c r="M188" t="n">
        <v>0</v>
      </c>
      <c r="N188" t="n">
        <v>0</v>
      </c>
      <c r="O188" t="n">
        <v>0</v>
      </c>
      <c r="P188" t="n">
        <v>0</v>
      </c>
      <c r="Q188" t="n">
        <v>0</v>
      </c>
      <c r="R188" s="2" t="inlineStr"/>
    </row>
    <row r="189" ht="15" customHeight="1">
      <c r="A189" t="inlineStr">
        <is>
          <t>A 39674-2023</t>
        </is>
      </c>
      <c r="B189" s="1" t="n">
        <v>45167</v>
      </c>
      <c r="C189" s="1" t="n">
        <v>45996</v>
      </c>
      <c r="D189" t="inlineStr">
        <is>
          <t>DALARNAS LÄN</t>
        </is>
      </c>
      <c r="E189" t="inlineStr">
        <is>
          <t>MORA</t>
        </is>
      </c>
      <c r="G189" t="n">
        <v>2.4</v>
      </c>
      <c r="H189" t="n">
        <v>0</v>
      </c>
      <c r="I189" t="n">
        <v>0</v>
      </c>
      <c r="J189" t="n">
        <v>0</v>
      </c>
      <c r="K189" t="n">
        <v>0</v>
      </c>
      <c r="L189" t="n">
        <v>0</v>
      </c>
      <c r="M189" t="n">
        <v>0</v>
      </c>
      <c r="N189" t="n">
        <v>0</v>
      </c>
      <c r="O189" t="n">
        <v>0</v>
      </c>
      <c r="P189" t="n">
        <v>0</v>
      </c>
      <c r="Q189" t="n">
        <v>0</v>
      </c>
      <c r="R189" s="2" t="inlineStr"/>
    </row>
    <row r="190" ht="15" customHeight="1">
      <c r="A190" t="inlineStr">
        <is>
          <t>A 24642-2025</t>
        </is>
      </c>
      <c r="B190" s="1" t="n">
        <v>45798.62894675926</v>
      </c>
      <c r="C190" s="1" t="n">
        <v>45996</v>
      </c>
      <c r="D190" t="inlineStr">
        <is>
          <t>DALARNAS LÄN</t>
        </is>
      </c>
      <c r="E190" t="inlineStr">
        <is>
          <t>MORA</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54398-2021</t>
        </is>
      </c>
      <c r="B191" s="1" t="n">
        <v>44473.39252314815</v>
      </c>
      <c r="C191" s="1" t="n">
        <v>45996</v>
      </c>
      <c r="D191" t="inlineStr">
        <is>
          <t>DALARNAS LÄN</t>
        </is>
      </c>
      <c r="E191" t="inlineStr">
        <is>
          <t>MORA</t>
        </is>
      </c>
      <c r="G191" t="n">
        <v>0.9</v>
      </c>
      <c r="H191" t="n">
        <v>0</v>
      </c>
      <c r="I191" t="n">
        <v>0</v>
      </c>
      <c r="J191" t="n">
        <v>0</v>
      </c>
      <c r="K191" t="n">
        <v>0</v>
      </c>
      <c r="L191" t="n">
        <v>0</v>
      </c>
      <c r="M191" t="n">
        <v>0</v>
      </c>
      <c r="N191" t="n">
        <v>0</v>
      </c>
      <c r="O191" t="n">
        <v>0</v>
      </c>
      <c r="P191" t="n">
        <v>0</v>
      </c>
      <c r="Q191" t="n">
        <v>0</v>
      </c>
      <c r="R191" s="2" t="inlineStr"/>
    </row>
    <row r="192" ht="15" customHeight="1">
      <c r="A192" t="inlineStr">
        <is>
          <t>A 58171-2024</t>
        </is>
      </c>
      <c r="B192" s="1" t="n">
        <v>45632.46545138889</v>
      </c>
      <c r="C192" s="1" t="n">
        <v>45996</v>
      </c>
      <c r="D192" t="inlineStr">
        <is>
          <t>DALARNAS LÄN</t>
        </is>
      </c>
      <c r="E192" t="inlineStr">
        <is>
          <t>MORA</t>
        </is>
      </c>
      <c r="G192" t="n">
        <v>0.5</v>
      </c>
      <c r="H192" t="n">
        <v>0</v>
      </c>
      <c r="I192" t="n">
        <v>0</v>
      </c>
      <c r="J192" t="n">
        <v>0</v>
      </c>
      <c r="K192" t="n">
        <v>0</v>
      </c>
      <c r="L192" t="n">
        <v>0</v>
      </c>
      <c r="M192" t="n">
        <v>0</v>
      </c>
      <c r="N192" t="n">
        <v>0</v>
      </c>
      <c r="O192" t="n">
        <v>0</v>
      </c>
      <c r="P192" t="n">
        <v>0</v>
      </c>
      <c r="Q192" t="n">
        <v>0</v>
      </c>
      <c r="R192" s="2" t="inlineStr"/>
    </row>
    <row r="193" ht="15" customHeight="1">
      <c r="A193" t="inlineStr">
        <is>
          <t>A 18702-2025</t>
        </is>
      </c>
      <c r="B193" s="1" t="n">
        <v>45763.63166666667</v>
      </c>
      <c r="C193" s="1" t="n">
        <v>45996</v>
      </c>
      <c r="D193" t="inlineStr">
        <is>
          <t>DALARNAS LÄN</t>
        </is>
      </c>
      <c r="E193" t="inlineStr">
        <is>
          <t>MORA</t>
        </is>
      </c>
      <c r="G193" t="n">
        <v>3.6</v>
      </c>
      <c r="H193" t="n">
        <v>0</v>
      </c>
      <c r="I193" t="n">
        <v>0</v>
      </c>
      <c r="J193" t="n">
        <v>0</v>
      </c>
      <c r="K193" t="n">
        <v>0</v>
      </c>
      <c r="L193" t="n">
        <v>0</v>
      </c>
      <c r="M193" t="n">
        <v>0</v>
      </c>
      <c r="N193" t="n">
        <v>0</v>
      </c>
      <c r="O193" t="n">
        <v>0</v>
      </c>
      <c r="P193" t="n">
        <v>0</v>
      </c>
      <c r="Q193" t="n">
        <v>0</v>
      </c>
      <c r="R193" s="2" t="inlineStr"/>
    </row>
    <row r="194" ht="15" customHeight="1">
      <c r="A194" t="inlineStr">
        <is>
          <t>A 43432-2024</t>
        </is>
      </c>
      <c r="B194" s="1" t="n">
        <v>45568.64337962963</v>
      </c>
      <c r="C194" s="1" t="n">
        <v>45996</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48342-2023</t>
        </is>
      </c>
      <c r="B195" s="1" t="n">
        <v>45205</v>
      </c>
      <c r="C195" s="1" t="n">
        <v>45996</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17167-2025</t>
        </is>
      </c>
      <c r="B196" s="1" t="n">
        <v>45756.36844907407</v>
      </c>
      <c r="C196" s="1" t="n">
        <v>45996</v>
      </c>
      <c r="D196" t="inlineStr">
        <is>
          <t>DALARNAS LÄN</t>
        </is>
      </c>
      <c r="E196" t="inlineStr">
        <is>
          <t>MORA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37971-2024</t>
        </is>
      </c>
      <c r="B197" s="1" t="n">
        <v>45544</v>
      </c>
      <c r="C197" s="1" t="n">
        <v>45996</v>
      </c>
      <c r="D197" t="inlineStr">
        <is>
          <t>DALARNAS LÄN</t>
        </is>
      </c>
      <c r="E197" t="inlineStr">
        <is>
          <t>MORA</t>
        </is>
      </c>
      <c r="G197" t="n">
        <v>2.3</v>
      </c>
      <c r="H197" t="n">
        <v>0</v>
      </c>
      <c r="I197" t="n">
        <v>0</v>
      </c>
      <c r="J197" t="n">
        <v>0</v>
      </c>
      <c r="K197" t="n">
        <v>0</v>
      </c>
      <c r="L197" t="n">
        <v>0</v>
      </c>
      <c r="M197" t="n">
        <v>0</v>
      </c>
      <c r="N197" t="n">
        <v>0</v>
      </c>
      <c r="O197" t="n">
        <v>0</v>
      </c>
      <c r="P197" t="n">
        <v>0</v>
      </c>
      <c r="Q197" t="n">
        <v>0</v>
      </c>
      <c r="R197" s="2" t="inlineStr"/>
    </row>
    <row r="198" ht="15" customHeight="1">
      <c r="A198" t="inlineStr">
        <is>
          <t>A 12490-2025</t>
        </is>
      </c>
      <c r="B198" s="1" t="n">
        <v>45730.59239583334</v>
      </c>
      <c r="C198" s="1" t="n">
        <v>45996</v>
      </c>
      <c r="D198" t="inlineStr">
        <is>
          <t>DALARNAS LÄN</t>
        </is>
      </c>
      <c r="E198" t="inlineStr">
        <is>
          <t>MORA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20504-2023</t>
        </is>
      </c>
      <c r="B199" s="1" t="n">
        <v>45057</v>
      </c>
      <c r="C199" s="1" t="n">
        <v>45996</v>
      </c>
      <c r="D199" t="inlineStr">
        <is>
          <t>DALARNAS LÄN</t>
        </is>
      </c>
      <c r="E199" t="inlineStr">
        <is>
          <t>MORA</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36184-2021</t>
        </is>
      </c>
      <c r="B200" s="1" t="n">
        <v>44389</v>
      </c>
      <c r="C200" s="1" t="n">
        <v>45996</v>
      </c>
      <c r="D200" t="inlineStr">
        <is>
          <t>DALARNAS LÄN</t>
        </is>
      </c>
      <c r="E200" t="inlineStr">
        <is>
          <t>MORA</t>
        </is>
      </c>
      <c r="G200" t="n">
        <v>0.5</v>
      </c>
      <c r="H200" t="n">
        <v>0</v>
      </c>
      <c r="I200" t="n">
        <v>0</v>
      </c>
      <c r="J200" t="n">
        <v>0</v>
      </c>
      <c r="K200" t="n">
        <v>0</v>
      </c>
      <c r="L200" t="n">
        <v>0</v>
      </c>
      <c r="M200" t="n">
        <v>0</v>
      </c>
      <c r="N200" t="n">
        <v>0</v>
      </c>
      <c r="O200" t="n">
        <v>0</v>
      </c>
      <c r="P200" t="n">
        <v>0</v>
      </c>
      <c r="Q200" t="n">
        <v>0</v>
      </c>
      <c r="R200" s="2" t="inlineStr"/>
    </row>
    <row r="201" ht="15" customHeight="1">
      <c r="A201" t="inlineStr">
        <is>
          <t>A 55671-2024</t>
        </is>
      </c>
      <c r="B201" s="1" t="n">
        <v>45622.65269675926</v>
      </c>
      <c r="C201" s="1" t="n">
        <v>45996</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56501-2021</t>
        </is>
      </c>
      <c r="B202" s="1" t="n">
        <v>44480.57549768518</v>
      </c>
      <c r="C202" s="1" t="n">
        <v>45996</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17529-2023</t>
        </is>
      </c>
      <c r="B203" s="1" t="n">
        <v>45036.46804398148</v>
      </c>
      <c r="C203" s="1" t="n">
        <v>45996</v>
      </c>
      <c r="D203" t="inlineStr">
        <is>
          <t>DALARNAS LÄN</t>
        </is>
      </c>
      <c r="E203" t="inlineStr">
        <is>
          <t>MORA</t>
        </is>
      </c>
      <c r="G203" t="n">
        <v>6</v>
      </c>
      <c r="H203" t="n">
        <v>0</v>
      </c>
      <c r="I203" t="n">
        <v>0</v>
      </c>
      <c r="J203" t="n">
        <v>0</v>
      </c>
      <c r="K203" t="n">
        <v>0</v>
      </c>
      <c r="L203" t="n">
        <v>0</v>
      </c>
      <c r="M203" t="n">
        <v>0</v>
      </c>
      <c r="N203" t="n">
        <v>0</v>
      </c>
      <c r="O203" t="n">
        <v>0</v>
      </c>
      <c r="P203" t="n">
        <v>0</v>
      </c>
      <c r="Q203" t="n">
        <v>0</v>
      </c>
      <c r="R203" s="2" t="inlineStr"/>
    </row>
    <row r="204" ht="15" customHeight="1">
      <c r="A204" t="inlineStr">
        <is>
          <t>A 44201-2023</t>
        </is>
      </c>
      <c r="B204" s="1" t="n">
        <v>45188</v>
      </c>
      <c r="C204" s="1" t="n">
        <v>45996</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16522-2024</t>
        </is>
      </c>
      <c r="B205" s="1" t="n">
        <v>45408.41166666667</v>
      </c>
      <c r="C205" s="1" t="n">
        <v>45996</v>
      </c>
      <c r="D205" t="inlineStr">
        <is>
          <t>DALARNAS LÄN</t>
        </is>
      </c>
      <c r="E205" t="inlineStr">
        <is>
          <t>MORA</t>
        </is>
      </c>
      <c r="G205" t="n">
        <v>11.2</v>
      </c>
      <c r="H205" t="n">
        <v>0</v>
      </c>
      <c r="I205" t="n">
        <v>0</v>
      </c>
      <c r="J205" t="n">
        <v>0</v>
      </c>
      <c r="K205" t="n">
        <v>0</v>
      </c>
      <c r="L205" t="n">
        <v>0</v>
      </c>
      <c r="M205" t="n">
        <v>0</v>
      </c>
      <c r="N205" t="n">
        <v>0</v>
      </c>
      <c r="O205" t="n">
        <v>0</v>
      </c>
      <c r="P205" t="n">
        <v>0</v>
      </c>
      <c r="Q205" t="n">
        <v>0</v>
      </c>
      <c r="R205" s="2" t="inlineStr"/>
    </row>
    <row r="206" ht="15" customHeight="1">
      <c r="A206" t="inlineStr">
        <is>
          <t>A 36038-2024</t>
        </is>
      </c>
      <c r="B206" s="1" t="n">
        <v>45533</v>
      </c>
      <c r="C206" s="1" t="n">
        <v>45996</v>
      </c>
      <c r="D206" t="inlineStr">
        <is>
          <t>DALARNAS LÄN</t>
        </is>
      </c>
      <c r="E206" t="inlineStr">
        <is>
          <t>MORA</t>
        </is>
      </c>
      <c r="G206" t="n">
        <v>5.1</v>
      </c>
      <c r="H206" t="n">
        <v>0</v>
      </c>
      <c r="I206" t="n">
        <v>0</v>
      </c>
      <c r="J206" t="n">
        <v>0</v>
      </c>
      <c r="K206" t="n">
        <v>0</v>
      </c>
      <c r="L206" t="n">
        <v>0</v>
      </c>
      <c r="M206" t="n">
        <v>0</v>
      </c>
      <c r="N206" t="n">
        <v>0</v>
      </c>
      <c r="O206" t="n">
        <v>0</v>
      </c>
      <c r="P206" t="n">
        <v>0</v>
      </c>
      <c r="Q206" t="n">
        <v>0</v>
      </c>
      <c r="R206" s="2" t="inlineStr"/>
    </row>
    <row r="207" ht="15" customHeight="1">
      <c r="A207" t="inlineStr">
        <is>
          <t>A 2865-2022</t>
        </is>
      </c>
      <c r="B207" s="1" t="n">
        <v>44581</v>
      </c>
      <c r="C207" s="1" t="n">
        <v>45996</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45349-2024</t>
        </is>
      </c>
      <c r="B208" s="1" t="n">
        <v>45576</v>
      </c>
      <c r="C208" s="1" t="n">
        <v>45996</v>
      </c>
      <c r="D208" t="inlineStr">
        <is>
          <t>DALARNAS LÄN</t>
        </is>
      </c>
      <c r="E208" t="inlineStr">
        <is>
          <t>MORA</t>
        </is>
      </c>
      <c r="G208" t="n">
        <v>0.6</v>
      </c>
      <c r="H208" t="n">
        <v>0</v>
      </c>
      <c r="I208" t="n">
        <v>0</v>
      </c>
      <c r="J208" t="n">
        <v>0</v>
      </c>
      <c r="K208" t="n">
        <v>0</v>
      </c>
      <c r="L208" t="n">
        <v>0</v>
      </c>
      <c r="M208" t="n">
        <v>0</v>
      </c>
      <c r="N208" t="n">
        <v>0</v>
      </c>
      <c r="O208" t="n">
        <v>0</v>
      </c>
      <c r="P208" t="n">
        <v>0</v>
      </c>
      <c r="Q208" t="n">
        <v>0</v>
      </c>
      <c r="R208" s="2" t="inlineStr"/>
    </row>
    <row r="209" ht="15" customHeight="1">
      <c r="A209" t="inlineStr">
        <is>
          <t>A 56834-2024</t>
        </is>
      </c>
      <c r="B209" s="1" t="n">
        <v>45628.49931712963</v>
      </c>
      <c r="C209" s="1" t="n">
        <v>45996</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69483-2021</t>
        </is>
      </c>
      <c r="B210" s="1" t="n">
        <v>44531</v>
      </c>
      <c r="C210" s="1" t="n">
        <v>45996</v>
      </c>
      <c r="D210" t="inlineStr">
        <is>
          <t>DALARNAS LÄN</t>
        </is>
      </c>
      <c r="E210" t="inlineStr">
        <is>
          <t>MORA</t>
        </is>
      </c>
      <c r="G210" t="n">
        <v>1.5</v>
      </c>
      <c r="H210" t="n">
        <v>0</v>
      </c>
      <c r="I210" t="n">
        <v>0</v>
      </c>
      <c r="J210" t="n">
        <v>0</v>
      </c>
      <c r="K210" t="n">
        <v>0</v>
      </c>
      <c r="L210" t="n">
        <v>0</v>
      </c>
      <c r="M210" t="n">
        <v>0</v>
      </c>
      <c r="N210" t="n">
        <v>0</v>
      </c>
      <c r="O210" t="n">
        <v>0</v>
      </c>
      <c r="P210" t="n">
        <v>0</v>
      </c>
      <c r="Q210" t="n">
        <v>0</v>
      </c>
      <c r="R210" s="2" t="inlineStr"/>
    </row>
    <row r="211" ht="15" customHeight="1">
      <c r="A211" t="inlineStr">
        <is>
          <t>A 26577-2025</t>
        </is>
      </c>
      <c r="B211" s="1" t="n">
        <v>45807</v>
      </c>
      <c r="C211" s="1" t="n">
        <v>45996</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47036-2023</t>
        </is>
      </c>
      <c r="B212" s="1" t="n">
        <v>45196</v>
      </c>
      <c r="C212" s="1" t="n">
        <v>45996</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26532-2025</t>
        </is>
      </c>
      <c r="B213" s="1" t="n">
        <v>45807</v>
      </c>
      <c r="C213" s="1" t="n">
        <v>45996</v>
      </c>
      <c r="D213" t="inlineStr">
        <is>
          <t>DALARNAS LÄN</t>
        </is>
      </c>
      <c r="E213" t="inlineStr">
        <is>
          <t>MORA</t>
        </is>
      </c>
      <c r="G213" t="n">
        <v>4.4</v>
      </c>
      <c r="H213" t="n">
        <v>0</v>
      </c>
      <c r="I213" t="n">
        <v>0</v>
      </c>
      <c r="J213" t="n">
        <v>0</v>
      </c>
      <c r="K213" t="n">
        <v>0</v>
      </c>
      <c r="L213" t="n">
        <v>0</v>
      </c>
      <c r="M213" t="n">
        <v>0</v>
      </c>
      <c r="N213" t="n">
        <v>0</v>
      </c>
      <c r="O213" t="n">
        <v>0</v>
      </c>
      <c r="P213" t="n">
        <v>0</v>
      </c>
      <c r="Q213" t="n">
        <v>0</v>
      </c>
      <c r="R213" s="2" t="inlineStr"/>
    </row>
    <row r="214" ht="15" customHeight="1">
      <c r="A214" t="inlineStr">
        <is>
          <t>A 26545-2025</t>
        </is>
      </c>
      <c r="B214" s="1" t="n">
        <v>45807</v>
      </c>
      <c r="C214" s="1" t="n">
        <v>45996</v>
      </c>
      <c r="D214" t="inlineStr">
        <is>
          <t>DALARNAS LÄN</t>
        </is>
      </c>
      <c r="E214" t="inlineStr">
        <is>
          <t>MORA</t>
        </is>
      </c>
      <c r="G214" t="n">
        <v>1.3</v>
      </c>
      <c r="H214" t="n">
        <v>0</v>
      </c>
      <c r="I214" t="n">
        <v>0</v>
      </c>
      <c r="J214" t="n">
        <v>0</v>
      </c>
      <c r="K214" t="n">
        <v>0</v>
      </c>
      <c r="L214" t="n">
        <v>0</v>
      </c>
      <c r="M214" t="n">
        <v>0</v>
      </c>
      <c r="N214" t="n">
        <v>0</v>
      </c>
      <c r="O214" t="n">
        <v>0</v>
      </c>
      <c r="P214" t="n">
        <v>0</v>
      </c>
      <c r="Q214" t="n">
        <v>0</v>
      </c>
      <c r="R214" s="2" t="inlineStr"/>
    </row>
    <row r="215" ht="15" customHeight="1">
      <c r="A215" t="inlineStr">
        <is>
          <t>A 26546-2025</t>
        </is>
      </c>
      <c r="B215" s="1" t="n">
        <v>45807</v>
      </c>
      <c r="C215" s="1" t="n">
        <v>45996</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20544-2025</t>
        </is>
      </c>
      <c r="B216" s="1" t="n">
        <v>45775.63119212963</v>
      </c>
      <c r="C216" s="1" t="n">
        <v>45996</v>
      </c>
      <c r="D216" t="inlineStr">
        <is>
          <t>DALARNAS LÄN</t>
        </is>
      </c>
      <c r="E216" t="inlineStr">
        <is>
          <t>MORA</t>
        </is>
      </c>
      <c r="G216" t="n">
        <v>3.6</v>
      </c>
      <c r="H216" t="n">
        <v>0</v>
      </c>
      <c r="I216" t="n">
        <v>0</v>
      </c>
      <c r="J216" t="n">
        <v>0</v>
      </c>
      <c r="K216" t="n">
        <v>0</v>
      </c>
      <c r="L216" t="n">
        <v>0</v>
      </c>
      <c r="M216" t="n">
        <v>0</v>
      </c>
      <c r="N216" t="n">
        <v>0</v>
      </c>
      <c r="O216" t="n">
        <v>0</v>
      </c>
      <c r="P216" t="n">
        <v>0</v>
      </c>
      <c r="Q216" t="n">
        <v>0</v>
      </c>
      <c r="R216" s="2" t="inlineStr"/>
    </row>
    <row r="217" ht="15" customHeight="1">
      <c r="A217" t="inlineStr">
        <is>
          <t>A 26573-2025</t>
        </is>
      </c>
      <c r="B217" s="1" t="n">
        <v>45807</v>
      </c>
      <c r="C217" s="1" t="n">
        <v>45996</v>
      </c>
      <c r="D217" t="inlineStr">
        <is>
          <t>DALARNAS LÄN</t>
        </is>
      </c>
      <c r="E217" t="inlineStr">
        <is>
          <t>MORA</t>
        </is>
      </c>
      <c r="G217" t="n">
        <v>4.3</v>
      </c>
      <c r="H217" t="n">
        <v>0</v>
      </c>
      <c r="I217" t="n">
        <v>0</v>
      </c>
      <c r="J217" t="n">
        <v>0</v>
      </c>
      <c r="K217" t="n">
        <v>0</v>
      </c>
      <c r="L217" t="n">
        <v>0</v>
      </c>
      <c r="M217" t="n">
        <v>0</v>
      </c>
      <c r="N217" t="n">
        <v>0</v>
      </c>
      <c r="O217" t="n">
        <v>0</v>
      </c>
      <c r="P217" t="n">
        <v>0</v>
      </c>
      <c r="Q217" t="n">
        <v>0</v>
      </c>
      <c r="R217" s="2" t="inlineStr"/>
    </row>
    <row r="218" ht="15" customHeight="1">
      <c r="A218" t="inlineStr">
        <is>
          <t>A 30819-2024</t>
        </is>
      </c>
      <c r="B218" s="1" t="n">
        <v>45497</v>
      </c>
      <c r="C218" s="1" t="n">
        <v>45996</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26731-2025</t>
        </is>
      </c>
      <c r="B219" s="1" t="n">
        <v>45810.50702546296</v>
      </c>
      <c r="C219" s="1" t="n">
        <v>45996</v>
      </c>
      <c r="D219" t="inlineStr">
        <is>
          <t>DALARNAS LÄN</t>
        </is>
      </c>
      <c r="E219" t="inlineStr">
        <is>
          <t>MORA</t>
        </is>
      </c>
      <c r="G219" t="n">
        <v>0.6</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45996</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20885-2024</t>
        </is>
      </c>
      <c r="B221" s="1" t="n">
        <v>45439.45527777778</v>
      </c>
      <c r="C221" s="1" t="n">
        <v>45996</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56425-2024</t>
        </is>
      </c>
      <c r="B222" s="1" t="n">
        <v>45625.38677083333</v>
      </c>
      <c r="C222" s="1" t="n">
        <v>45996</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26711-2025</t>
        </is>
      </c>
      <c r="B223" s="1" t="n">
        <v>45810.46144675926</v>
      </c>
      <c r="C223" s="1" t="n">
        <v>45996</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7565-2025</t>
        </is>
      </c>
      <c r="B224" s="1" t="n">
        <v>45705.59269675926</v>
      </c>
      <c r="C224" s="1" t="n">
        <v>45996</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17494-2025</t>
        </is>
      </c>
      <c r="B225" s="1" t="n">
        <v>45757.52033564815</v>
      </c>
      <c r="C225" s="1" t="n">
        <v>45996</v>
      </c>
      <c r="D225" t="inlineStr">
        <is>
          <t>DALARNAS LÄN</t>
        </is>
      </c>
      <c r="E225" t="inlineStr">
        <is>
          <t>MORA</t>
        </is>
      </c>
      <c r="G225" t="n">
        <v>5.3</v>
      </c>
      <c r="H225" t="n">
        <v>0</v>
      </c>
      <c r="I225" t="n">
        <v>0</v>
      </c>
      <c r="J225" t="n">
        <v>0</v>
      </c>
      <c r="K225" t="n">
        <v>0</v>
      </c>
      <c r="L225" t="n">
        <v>0</v>
      </c>
      <c r="M225" t="n">
        <v>0</v>
      </c>
      <c r="N225" t="n">
        <v>0</v>
      </c>
      <c r="O225" t="n">
        <v>0</v>
      </c>
      <c r="P225" t="n">
        <v>0</v>
      </c>
      <c r="Q225" t="n">
        <v>0</v>
      </c>
      <c r="R225" s="2" t="inlineStr"/>
    </row>
    <row r="226" ht="15" customHeight="1">
      <c r="A226" t="inlineStr">
        <is>
          <t>A 26854-2025</t>
        </is>
      </c>
      <c r="B226" s="1" t="n">
        <v>45810.67462962963</v>
      </c>
      <c r="C226" s="1" t="n">
        <v>45996</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26647-2025</t>
        </is>
      </c>
      <c r="B227" s="1" t="n">
        <v>45810.38439814815</v>
      </c>
      <c r="C227" s="1" t="n">
        <v>45996</v>
      </c>
      <c r="D227" t="inlineStr">
        <is>
          <t>DALARNAS LÄN</t>
        </is>
      </c>
      <c r="E227" t="inlineStr">
        <is>
          <t>MORA</t>
        </is>
      </c>
      <c r="G227" t="n">
        <v>7.9</v>
      </c>
      <c r="H227" t="n">
        <v>0</v>
      </c>
      <c r="I227" t="n">
        <v>0</v>
      </c>
      <c r="J227" t="n">
        <v>0</v>
      </c>
      <c r="K227" t="n">
        <v>0</v>
      </c>
      <c r="L227" t="n">
        <v>0</v>
      </c>
      <c r="M227" t="n">
        <v>0</v>
      </c>
      <c r="N227" t="n">
        <v>0</v>
      </c>
      <c r="O227" t="n">
        <v>0</v>
      </c>
      <c r="P227" t="n">
        <v>0</v>
      </c>
      <c r="Q227" t="n">
        <v>0</v>
      </c>
      <c r="R227" s="2" t="inlineStr"/>
    </row>
    <row r="228" ht="15" customHeight="1">
      <c r="A228" t="inlineStr">
        <is>
          <t>A 51965-2024</t>
        </is>
      </c>
      <c r="B228" s="1" t="n">
        <v>45607.65123842593</v>
      </c>
      <c r="C228" s="1" t="n">
        <v>45996</v>
      </c>
      <c r="D228" t="inlineStr">
        <is>
          <t>DALARNAS LÄN</t>
        </is>
      </c>
      <c r="E228" t="inlineStr">
        <is>
          <t>MORA</t>
        </is>
      </c>
      <c r="G228" t="n">
        <v>1.3</v>
      </c>
      <c r="H228" t="n">
        <v>0</v>
      </c>
      <c r="I228" t="n">
        <v>0</v>
      </c>
      <c r="J228" t="n">
        <v>0</v>
      </c>
      <c r="K228" t="n">
        <v>0</v>
      </c>
      <c r="L228" t="n">
        <v>0</v>
      </c>
      <c r="M228" t="n">
        <v>0</v>
      </c>
      <c r="N228" t="n">
        <v>0</v>
      </c>
      <c r="O228" t="n">
        <v>0</v>
      </c>
      <c r="P228" t="n">
        <v>0</v>
      </c>
      <c r="Q228" t="n">
        <v>0</v>
      </c>
      <c r="R228" s="2" t="inlineStr"/>
    </row>
    <row r="229" ht="15" customHeight="1">
      <c r="A229" t="inlineStr">
        <is>
          <t>A 30998-2022</t>
        </is>
      </c>
      <c r="B229" s="1" t="n">
        <v>44768</v>
      </c>
      <c r="C229" s="1" t="n">
        <v>45996</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47143-2022</t>
        </is>
      </c>
      <c r="B230" s="1" t="n">
        <v>44852</v>
      </c>
      <c r="C230" s="1" t="n">
        <v>45996</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26630-2025</t>
        </is>
      </c>
      <c r="B231" s="1" t="n">
        <v>45809</v>
      </c>
      <c r="C231" s="1" t="n">
        <v>45996</v>
      </c>
      <c r="D231" t="inlineStr">
        <is>
          <t>DALARNAS LÄN</t>
        </is>
      </c>
      <c r="E231" t="inlineStr">
        <is>
          <t>MORA</t>
        </is>
      </c>
      <c r="G231" t="n">
        <v>32.1</v>
      </c>
      <c r="H231" t="n">
        <v>0</v>
      </c>
      <c r="I231" t="n">
        <v>0</v>
      </c>
      <c r="J231" t="n">
        <v>0</v>
      </c>
      <c r="K231" t="n">
        <v>0</v>
      </c>
      <c r="L231" t="n">
        <v>0</v>
      </c>
      <c r="M231" t="n">
        <v>0</v>
      </c>
      <c r="N231" t="n">
        <v>0</v>
      </c>
      <c r="O231" t="n">
        <v>0</v>
      </c>
      <c r="P231" t="n">
        <v>0</v>
      </c>
      <c r="Q231" t="n">
        <v>0</v>
      </c>
      <c r="R231" s="2" t="inlineStr"/>
    </row>
    <row r="232" ht="15" customHeight="1">
      <c r="A232" t="inlineStr">
        <is>
          <t>A 27194-2025</t>
        </is>
      </c>
      <c r="B232" s="1" t="n">
        <v>45812.37965277778</v>
      </c>
      <c r="C232" s="1" t="n">
        <v>45996</v>
      </c>
      <c r="D232" t="inlineStr">
        <is>
          <t>DALARNAS LÄN</t>
        </is>
      </c>
      <c r="E232" t="inlineStr">
        <is>
          <t>MORA</t>
        </is>
      </c>
      <c r="G232" t="n">
        <v>2.4</v>
      </c>
      <c r="H232" t="n">
        <v>0</v>
      </c>
      <c r="I232" t="n">
        <v>0</v>
      </c>
      <c r="J232" t="n">
        <v>0</v>
      </c>
      <c r="K232" t="n">
        <v>0</v>
      </c>
      <c r="L232" t="n">
        <v>0</v>
      </c>
      <c r="M232" t="n">
        <v>0</v>
      </c>
      <c r="N232" t="n">
        <v>0</v>
      </c>
      <c r="O232" t="n">
        <v>0</v>
      </c>
      <c r="P232" t="n">
        <v>0</v>
      </c>
      <c r="Q232" t="n">
        <v>0</v>
      </c>
      <c r="R232" s="2" t="inlineStr"/>
    </row>
    <row r="233" ht="15" customHeight="1">
      <c r="A233" t="inlineStr">
        <is>
          <t>A 50911-2024</t>
        </is>
      </c>
      <c r="B233" s="1" t="n">
        <v>45602.7022337963</v>
      </c>
      <c r="C233" s="1" t="n">
        <v>45996</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15440-2024</t>
        </is>
      </c>
      <c r="B234" s="1" t="n">
        <v>45401.4194212963</v>
      </c>
      <c r="C234" s="1" t="n">
        <v>45996</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20401-2022</t>
        </is>
      </c>
      <c r="B235" s="1" t="n">
        <v>44699</v>
      </c>
      <c r="C235" s="1" t="n">
        <v>45996</v>
      </c>
      <c r="D235" t="inlineStr">
        <is>
          <t>DALARNAS LÄN</t>
        </is>
      </c>
      <c r="E235" t="inlineStr">
        <is>
          <t>MORA</t>
        </is>
      </c>
      <c r="G235" t="n">
        <v>3.2</v>
      </c>
      <c r="H235" t="n">
        <v>0</v>
      </c>
      <c r="I235" t="n">
        <v>0</v>
      </c>
      <c r="J235" t="n">
        <v>0</v>
      </c>
      <c r="K235" t="n">
        <v>0</v>
      </c>
      <c r="L235" t="n">
        <v>0</v>
      </c>
      <c r="M235" t="n">
        <v>0</v>
      </c>
      <c r="N235" t="n">
        <v>0</v>
      </c>
      <c r="O235" t="n">
        <v>0</v>
      </c>
      <c r="P235" t="n">
        <v>0</v>
      </c>
      <c r="Q235" t="n">
        <v>0</v>
      </c>
      <c r="R235" s="2" t="inlineStr"/>
    </row>
    <row r="236" ht="15" customHeight="1">
      <c r="A236" t="inlineStr">
        <is>
          <t>A 17268-2025</t>
        </is>
      </c>
      <c r="B236" s="1" t="n">
        <v>45756</v>
      </c>
      <c r="C236" s="1" t="n">
        <v>45996</v>
      </c>
      <c r="D236" t="inlineStr">
        <is>
          <t>DALARNAS LÄN</t>
        </is>
      </c>
      <c r="E236" t="inlineStr">
        <is>
          <t>MORA</t>
        </is>
      </c>
      <c r="G236" t="n">
        <v>6.8</v>
      </c>
      <c r="H236" t="n">
        <v>0</v>
      </c>
      <c r="I236" t="n">
        <v>0</v>
      </c>
      <c r="J236" t="n">
        <v>0</v>
      </c>
      <c r="K236" t="n">
        <v>0</v>
      </c>
      <c r="L236" t="n">
        <v>0</v>
      </c>
      <c r="M236" t="n">
        <v>0</v>
      </c>
      <c r="N236" t="n">
        <v>0</v>
      </c>
      <c r="O236" t="n">
        <v>0</v>
      </c>
      <c r="P236" t="n">
        <v>0</v>
      </c>
      <c r="Q236" t="n">
        <v>0</v>
      </c>
      <c r="R236" s="2" t="inlineStr"/>
    </row>
    <row r="237" ht="15" customHeight="1">
      <c r="A237" t="inlineStr">
        <is>
          <t>A 27642-2025</t>
        </is>
      </c>
      <c r="B237" s="1" t="n">
        <v>45813.59405092592</v>
      </c>
      <c r="C237" s="1" t="n">
        <v>45996</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27184-2025</t>
        </is>
      </c>
      <c r="B238" s="1" t="n">
        <v>45812.36133101852</v>
      </c>
      <c r="C238" s="1" t="n">
        <v>45996</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27177-2025</t>
        </is>
      </c>
      <c r="B239" s="1" t="n">
        <v>45812.3533912037</v>
      </c>
      <c r="C239" s="1" t="n">
        <v>45996</v>
      </c>
      <c r="D239" t="inlineStr">
        <is>
          <t>DALARNAS LÄN</t>
        </is>
      </c>
      <c r="E239" t="inlineStr">
        <is>
          <t>MORA</t>
        </is>
      </c>
      <c r="F239" t="inlineStr">
        <is>
          <t>Bergvik skog öst AB</t>
        </is>
      </c>
      <c r="G239" t="n">
        <v>2.5</v>
      </c>
      <c r="H239" t="n">
        <v>0</v>
      </c>
      <c r="I239" t="n">
        <v>0</v>
      </c>
      <c r="J239" t="n">
        <v>0</v>
      </c>
      <c r="K239" t="n">
        <v>0</v>
      </c>
      <c r="L239" t="n">
        <v>0</v>
      </c>
      <c r="M239" t="n">
        <v>0</v>
      </c>
      <c r="N239" t="n">
        <v>0</v>
      </c>
      <c r="O239" t="n">
        <v>0</v>
      </c>
      <c r="P239" t="n">
        <v>0</v>
      </c>
      <c r="Q239" t="n">
        <v>0</v>
      </c>
      <c r="R239" s="2" t="inlineStr"/>
    </row>
    <row r="240" ht="15" customHeight="1">
      <c r="A240" t="inlineStr">
        <is>
          <t>A 14611-2025</t>
        </is>
      </c>
      <c r="B240" s="1" t="n">
        <v>45742.38511574074</v>
      </c>
      <c r="C240" s="1" t="n">
        <v>45996</v>
      </c>
      <c r="D240" t="inlineStr">
        <is>
          <t>DALARNAS LÄN</t>
        </is>
      </c>
      <c r="E240" t="inlineStr">
        <is>
          <t>MORA</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27175-2025</t>
        </is>
      </c>
      <c r="B241" s="1" t="n">
        <v>45812.35072916667</v>
      </c>
      <c r="C241" s="1" t="n">
        <v>45996</v>
      </c>
      <c r="D241" t="inlineStr">
        <is>
          <t>DALARNAS LÄN</t>
        </is>
      </c>
      <c r="E241" t="inlineStr">
        <is>
          <t>MORA</t>
        </is>
      </c>
      <c r="F241" t="inlineStr">
        <is>
          <t>Bergvik skog öst AB</t>
        </is>
      </c>
      <c r="G241" t="n">
        <v>4</v>
      </c>
      <c r="H241" t="n">
        <v>0</v>
      </c>
      <c r="I241" t="n">
        <v>0</v>
      </c>
      <c r="J241" t="n">
        <v>0</v>
      </c>
      <c r="K241" t="n">
        <v>0</v>
      </c>
      <c r="L241" t="n">
        <v>0</v>
      </c>
      <c r="M241" t="n">
        <v>0</v>
      </c>
      <c r="N241" t="n">
        <v>0</v>
      </c>
      <c r="O241" t="n">
        <v>0</v>
      </c>
      <c r="P241" t="n">
        <v>0</v>
      </c>
      <c r="Q241" t="n">
        <v>0</v>
      </c>
      <c r="R241" s="2" t="inlineStr"/>
    </row>
    <row r="242" ht="15" customHeight="1">
      <c r="A242" t="inlineStr">
        <is>
          <t>A 25494-2024</t>
        </is>
      </c>
      <c r="B242" s="1" t="n">
        <v>45463</v>
      </c>
      <c r="C242" s="1" t="n">
        <v>45996</v>
      </c>
      <c r="D242" t="inlineStr">
        <is>
          <t>DALARNAS LÄN</t>
        </is>
      </c>
      <c r="E242" t="inlineStr">
        <is>
          <t>MORA</t>
        </is>
      </c>
      <c r="G242" t="n">
        <v>4.9</v>
      </c>
      <c r="H242" t="n">
        <v>0</v>
      </c>
      <c r="I242" t="n">
        <v>0</v>
      </c>
      <c r="J242" t="n">
        <v>0</v>
      </c>
      <c r="K242" t="n">
        <v>0</v>
      </c>
      <c r="L242" t="n">
        <v>0</v>
      </c>
      <c r="M242" t="n">
        <v>0</v>
      </c>
      <c r="N242" t="n">
        <v>0</v>
      </c>
      <c r="O242" t="n">
        <v>0</v>
      </c>
      <c r="P242" t="n">
        <v>0</v>
      </c>
      <c r="Q242" t="n">
        <v>0</v>
      </c>
      <c r="R242" s="2" t="inlineStr"/>
    </row>
    <row r="243" ht="15" customHeight="1">
      <c r="A243" t="inlineStr">
        <is>
          <t>A 57475-2022</t>
        </is>
      </c>
      <c r="B243" s="1" t="n">
        <v>44896</v>
      </c>
      <c r="C243" s="1" t="n">
        <v>45996</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28033-2025</t>
        </is>
      </c>
      <c r="B244" s="1" t="n">
        <v>45817.6325462963</v>
      </c>
      <c r="C244" s="1" t="n">
        <v>45996</v>
      </c>
      <c r="D244" t="inlineStr">
        <is>
          <t>DALARNAS LÄN</t>
        </is>
      </c>
      <c r="E244" t="inlineStr">
        <is>
          <t>MORA</t>
        </is>
      </c>
      <c r="F244" t="inlineStr">
        <is>
          <t>Bergvik skog öst AB</t>
        </is>
      </c>
      <c r="G244" t="n">
        <v>12.8</v>
      </c>
      <c r="H244" t="n">
        <v>0</v>
      </c>
      <c r="I244" t="n">
        <v>0</v>
      </c>
      <c r="J244" t="n">
        <v>0</v>
      </c>
      <c r="K244" t="n">
        <v>0</v>
      </c>
      <c r="L244" t="n">
        <v>0</v>
      </c>
      <c r="M244" t="n">
        <v>0</v>
      </c>
      <c r="N244" t="n">
        <v>0</v>
      </c>
      <c r="O244" t="n">
        <v>0</v>
      </c>
      <c r="P244" t="n">
        <v>0</v>
      </c>
      <c r="Q244" t="n">
        <v>0</v>
      </c>
      <c r="R244" s="2" t="inlineStr"/>
    </row>
    <row r="245" ht="15" customHeight="1">
      <c r="A245" t="inlineStr">
        <is>
          <t>A 35363-2024</t>
        </is>
      </c>
      <c r="B245" s="1" t="n">
        <v>45531.34050925926</v>
      </c>
      <c r="C245" s="1" t="n">
        <v>45996</v>
      </c>
      <c r="D245" t="inlineStr">
        <is>
          <t>DALARNAS LÄN</t>
        </is>
      </c>
      <c r="E245" t="inlineStr">
        <is>
          <t>MORA</t>
        </is>
      </c>
      <c r="G245" t="n">
        <v>2.5</v>
      </c>
      <c r="H245" t="n">
        <v>0</v>
      </c>
      <c r="I245" t="n">
        <v>0</v>
      </c>
      <c r="J245" t="n">
        <v>0</v>
      </c>
      <c r="K245" t="n">
        <v>0</v>
      </c>
      <c r="L245" t="n">
        <v>0</v>
      </c>
      <c r="M245" t="n">
        <v>0</v>
      </c>
      <c r="N245" t="n">
        <v>0</v>
      </c>
      <c r="O245" t="n">
        <v>0</v>
      </c>
      <c r="P245" t="n">
        <v>0</v>
      </c>
      <c r="Q245" t="n">
        <v>0</v>
      </c>
      <c r="R245" s="2" t="inlineStr"/>
    </row>
    <row r="246" ht="15" customHeight="1">
      <c r="A246" t="inlineStr">
        <is>
          <t>A 44307-2021</t>
        </is>
      </c>
      <c r="B246" s="1" t="n">
        <v>44435</v>
      </c>
      <c r="C246" s="1" t="n">
        <v>45996</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34923-2022</t>
        </is>
      </c>
      <c r="B247" s="1" t="n">
        <v>44796</v>
      </c>
      <c r="C247" s="1" t="n">
        <v>45996</v>
      </c>
      <c r="D247" t="inlineStr">
        <is>
          <t>DALARNAS LÄN</t>
        </is>
      </c>
      <c r="E247" t="inlineStr">
        <is>
          <t>MORA</t>
        </is>
      </c>
      <c r="G247" t="n">
        <v>5</v>
      </c>
      <c r="H247" t="n">
        <v>0</v>
      </c>
      <c r="I247" t="n">
        <v>0</v>
      </c>
      <c r="J247" t="n">
        <v>0</v>
      </c>
      <c r="K247" t="n">
        <v>0</v>
      </c>
      <c r="L247" t="n">
        <v>0</v>
      </c>
      <c r="M247" t="n">
        <v>0</v>
      </c>
      <c r="N247" t="n">
        <v>0</v>
      </c>
      <c r="O247" t="n">
        <v>0</v>
      </c>
      <c r="P247" t="n">
        <v>0</v>
      </c>
      <c r="Q247" t="n">
        <v>0</v>
      </c>
      <c r="R247" s="2" t="inlineStr"/>
    </row>
    <row r="248" ht="15" customHeight="1">
      <c r="A248" t="inlineStr">
        <is>
          <t>A 38627-2023</t>
        </is>
      </c>
      <c r="B248" s="1" t="n">
        <v>45162.68787037037</v>
      </c>
      <c r="C248" s="1" t="n">
        <v>45996</v>
      </c>
      <c r="D248" t="inlineStr">
        <is>
          <t>DALARNAS LÄN</t>
        </is>
      </c>
      <c r="E248" t="inlineStr">
        <is>
          <t>MORA</t>
        </is>
      </c>
      <c r="G248" t="n">
        <v>6.5</v>
      </c>
      <c r="H248" t="n">
        <v>0</v>
      </c>
      <c r="I248" t="n">
        <v>0</v>
      </c>
      <c r="J248" t="n">
        <v>0</v>
      </c>
      <c r="K248" t="n">
        <v>0</v>
      </c>
      <c r="L248" t="n">
        <v>0</v>
      </c>
      <c r="M248" t="n">
        <v>0</v>
      </c>
      <c r="N248" t="n">
        <v>0</v>
      </c>
      <c r="O248" t="n">
        <v>0</v>
      </c>
      <c r="P248" t="n">
        <v>0</v>
      </c>
      <c r="Q248" t="n">
        <v>0</v>
      </c>
      <c r="R248" s="2" t="inlineStr"/>
    </row>
    <row r="249" ht="15" customHeight="1">
      <c r="A249" t="inlineStr">
        <is>
          <t>A 64088-2023</t>
        </is>
      </c>
      <c r="B249" s="1" t="n">
        <v>45279.43570601852</v>
      </c>
      <c r="C249" s="1" t="n">
        <v>45996</v>
      </c>
      <c r="D249" t="inlineStr">
        <is>
          <t>DALARNAS LÄN</t>
        </is>
      </c>
      <c r="E249" t="inlineStr">
        <is>
          <t>MORA</t>
        </is>
      </c>
      <c r="G249" t="n">
        <v>1</v>
      </c>
      <c r="H249" t="n">
        <v>0</v>
      </c>
      <c r="I249" t="n">
        <v>0</v>
      </c>
      <c r="J249" t="n">
        <v>0</v>
      </c>
      <c r="K249" t="n">
        <v>0</v>
      </c>
      <c r="L249" t="n">
        <v>0</v>
      </c>
      <c r="M249" t="n">
        <v>0</v>
      </c>
      <c r="N249" t="n">
        <v>0</v>
      </c>
      <c r="O249" t="n">
        <v>0</v>
      </c>
      <c r="P249" t="n">
        <v>0</v>
      </c>
      <c r="Q249" t="n">
        <v>0</v>
      </c>
      <c r="R249" s="2" t="inlineStr"/>
    </row>
    <row r="250" ht="15" customHeight="1">
      <c r="A250" t="inlineStr">
        <is>
          <t>A 5922-2025</t>
        </is>
      </c>
      <c r="B250" s="1" t="n">
        <v>45695.42762731481</v>
      </c>
      <c r="C250" s="1" t="n">
        <v>45996</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43533-2023</t>
        </is>
      </c>
      <c r="B251" s="1" t="n">
        <v>45184.53412037037</v>
      </c>
      <c r="C251" s="1" t="n">
        <v>45996</v>
      </c>
      <c r="D251" t="inlineStr">
        <is>
          <t>DALARNAS LÄN</t>
        </is>
      </c>
      <c r="E251" t="inlineStr">
        <is>
          <t>MORA</t>
        </is>
      </c>
      <c r="F251" t="inlineStr">
        <is>
          <t>Bergvik skog väst AB</t>
        </is>
      </c>
      <c r="G251" t="n">
        <v>10.3</v>
      </c>
      <c r="H251" t="n">
        <v>0</v>
      </c>
      <c r="I251" t="n">
        <v>0</v>
      </c>
      <c r="J251" t="n">
        <v>0</v>
      </c>
      <c r="K251" t="n">
        <v>0</v>
      </c>
      <c r="L251" t="n">
        <v>0</v>
      </c>
      <c r="M251" t="n">
        <v>0</v>
      </c>
      <c r="N251" t="n">
        <v>0</v>
      </c>
      <c r="O251" t="n">
        <v>0</v>
      </c>
      <c r="P251" t="n">
        <v>0</v>
      </c>
      <c r="Q251" t="n">
        <v>0</v>
      </c>
      <c r="R251" s="2" t="inlineStr"/>
    </row>
    <row r="252" ht="15" customHeight="1">
      <c r="A252" t="inlineStr">
        <is>
          <t>A 37774-2022</t>
        </is>
      </c>
      <c r="B252" s="1" t="n">
        <v>44810.64164351852</v>
      </c>
      <c r="C252" s="1" t="n">
        <v>45996</v>
      </c>
      <c r="D252" t="inlineStr">
        <is>
          <t>DALARNAS LÄN</t>
        </is>
      </c>
      <c r="E252" t="inlineStr">
        <is>
          <t>MORA</t>
        </is>
      </c>
      <c r="F252" t="inlineStr">
        <is>
          <t>Bergvik skog väst AB</t>
        </is>
      </c>
      <c r="G252" t="n">
        <v>8.5</v>
      </c>
      <c r="H252" t="n">
        <v>0</v>
      </c>
      <c r="I252" t="n">
        <v>0</v>
      </c>
      <c r="J252" t="n">
        <v>0</v>
      </c>
      <c r="K252" t="n">
        <v>0</v>
      </c>
      <c r="L252" t="n">
        <v>0</v>
      </c>
      <c r="M252" t="n">
        <v>0</v>
      </c>
      <c r="N252" t="n">
        <v>0</v>
      </c>
      <c r="O252" t="n">
        <v>0</v>
      </c>
      <c r="P252" t="n">
        <v>0</v>
      </c>
      <c r="Q252" t="n">
        <v>0</v>
      </c>
      <c r="R252" s="2" t="inlineStr"/>
    </row>
    <row r="253" ht="15" customHeight="1">
      <c r="A253" t="inlineStr">
        <is>
          <t>A 29068-2025</t>
        </is>
      </c>
      <c r="B253" s="1" t="n">
        <v>45821.50900462963</v>
      </c>
      <c r="C253" s="1" t="n">
        <v>45996</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28976-2025</t>
        </is>
      </c>
      <c r="B254" s="1" t="n">
        <v>45821.34855324074</v>
      </c>
      <c r="C254" s="1" t="n">
        <v>45996</v>
      </c>
      <c r="D254" t="inlineStr">
        <is>
          <t>DALARNAS LÄN</t>
        </is>
      </c>
      <c r="E254" t="inlineStr">
        <is>
          <t>MORA</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28925-2025</t>
        </is>
      </c>
      <c r="B255" s="1" t="n">
        <v>45820.67107638889</v>
      </c>
      <c r="C255" s="1" t="n">
        <v>45996</v>
      </c>
      <c r="D255" t="inlineStr">
        <is>
          <t>DALARNAS LÄN</t>
        </is>
      </c>
      <c r="E255" t="inlineStr">
        <is>
          <t>MORA</t>
        </is>
      </c>
      <c r="G255" t="n">
        <v>3.7</v>
      </c>
      <c r="H255" t="n">
        <v>0</v>
      </c>
      <c r="I255" t="n">
        <v>0</v>
      </c>
      <c r="J255" t="n">
        <v>0</v>
      </c>
      <c r="K255" t="n">
        <v>0</v>
      </c>
      <c r="L255" t="n">
        <v>0</v>
      </c>
      <c r="M255" t="n">
        <v>0</v>
      </c>
      <c r="N255" t="n">
        <v>0</v>
      </c>
      <c r="O255" t="n">
        <v>0</v>
      </c>
      <c r="P255" t="n">
        <v>0</v>
      </c>
      <c r="Q255" t="n">
        <v>0</v>
      </c>
      <c r="R255" s="2" t="inlineStr"/>
    </row>
    <row r="256" ht="15" customHeight="1">
      <c r="A256" t="inlineStr">
        <is>
          <t>A 28927-2025</t>
        </is>
      </c>
      <c r="B256" s="1" t="n">
        <v>45820.67221064815</v>
      </c>
      <c r="C256" s="1" t="n">
        <v>45996</v>
      </c>
      <c r="D256" t="inlineStr">
        <is>
          <t>DALARNAS LÄN</t>
        </is>
      </c>
      <c r="E256" t="inlineStr">
        <is>
          <t>MORA</t>
        </is>
      </c>
      <c r="G256" t="n">
        <v>0.4</v>
      </c>
      <c r="H256" t="n">
        <v>0</v>
      </c>
      <c r="I256" t="n">
        <v>0</v>
      </c>
      <c r="J256" t="n">
        <v>0</v>
      </c>
      <c r="K256" t="n">
        <v>0</v>
      </c>
      <c r="L256" t="n">
        <v>0</v>
      </c>
      <c r="M256" t="n">
        <v>0</v>
      </c>
      <c r="N256" t="n">
        <v>0</v>
      </c>
      <c r="O256" t="n">
        <v>0</v>
      </c>
      <c r="P256" t="n">
        <v>0</v>
      </c>
      <c r="Q256" t="n">
        <v>0</v>
      </c>
      <c r="R256" s="2" t="inlineStr"/>
    </row>
    <row r="257" ht="15" customHeight="1">
      <c r="A257" t="inlineStr">
        <is>
          <t>A 64327-2023</t>
        </is>
      </c>
      <c r="B257" s="1" t="n">
        <v>45280</v>
      </c>
      <c r="C257" s="1" t="n">
        <v>45996</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28924-2025</t>
        </is>
      </c>
      <c r="B258" s="1" t="n">
        <v>45820.66846064815</v>
      </c>
      <c r="C258" s="1" t="n">
        <v>45996</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17145-2024</t>
        </is>
      </c>
      <c r="B259" s="1" t="n">
        <v>45412</v>
      </c>
      <c r="C259" s="1" t="n">
        <v>45996</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28751-2025</t>
        </is>
      </c>
      <c r="B260" s="1" t="n">
        <v>45820.40034722222</v>
      </c>
      <c r="C260" s="1" t="n">
        <v>45996</v>
      </c>
      <c r="D260" t="inlineStr">
        <is>
          <t>DALARNAS LÄN</t>
        </is>
      </c>
      <c r="E260" t="inlineStr">
        <is>
          <t>MORA</t>
        </is>
      </c>
      <c r="F260" t="inlineStr">
        <is>
          <t>Bergvik skog öst AB</t>
        </is>
      </c>
      <c r="G260" t="n">
        <v>1</v>
      </c>
      <c r="H260" t="n">
        <v>0</v>
      </c>
      <c r="I260" t="n">
        <v>0</v>
      </c>
      <c r="J260" t="n">
        <v>0</v>
      </c>
      <c r="K260" t="n">
        <v>0</v>
      </c>
      <c r="L260" t="n">
        <v>0</v>
      </c>
      <c r="M260" t="n">
        <v>0</v>
      </c>
      <c r="N260" t="n">
        <v>0</v>
      </c>
      <c r="O260" t="n">
        <v>0</v>
      </c>
      <c r="P260" t="n">
        <v>0</v>
      </c>
      <c r="Q260" t="n">
        <v>0</v>
      </c>
      <c r="R260" s="2" t="inlineStr"/>
    </row>
    <row r="261" ht="15" customHeight="1">
      <c r="A261" t="inlineStr">
        <is>
          <t>A 2830-2023</t>
        </is>
      </c>
      <c r="B261" s="1" t="n">
        <v>44945.32997685186</v>
      </c>
      <c r="C261" s="1" t="n">
        <v>45996</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39882-2024</t>
        </is>
      </c>
      <c r="B262" s="1" t="n">
        <v>45553</v>
      </c>
      <c r="C262" s="1" t="n">
        <v>45996</v>
      </c>
      <c r="D262" t="inlineStr">
        <is>
          <t>DALARNAS LÄN</t>
        </is>
      </c>
      <c r="E262" t="inlineStr">
        <is>
          <t>MORA</t>
        </is>
      </c>
      <c r="G262" t="n">
        <v>14.6</v>
      </c>
      <c r="H262" t="n">
        <v>0</v>
      </c>
      <c r="I262" t="n">
        <v>0</v>
      </c>
      <c r="J262" t="n">
        <v>0</v>
      </c>
      <c r="K262" t="n">
        <v>0</v>
      </c>
      <c r="L262" t="n">
        <v>0</v>
      </c>
      <c r="M262" t="n">
        <v>0</v>
      </c>
      <c r="N262" t="n">
        <v>0</v>
      </c>
      <c r="O262" t="n">
        <v>0</v>
      </c>
      <c r="P262" t="n">
        <v>0</v>
      </c>
      <c r="Q262" t="n">
        <v>0</v>
      </c>
      <c r="R262" s="2" t="inlineStr"/>
    </row>
    <row r="263" ht="15" customHeight="1">
      <c r="A263" t="inlineStr">
        <is>
          <t>A 48728-2022</t>
        </is>
      </c>
      <c r="B263" s="1" t="n">
        <v>44859.52145833334</v>
      </c>
      <c r="C263" s="1" t="n">
        <v>45996</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43566-2023</t>
        </is>
      </c>
      <c r="B264" s="1" t="n">
        <v>45184.58199074074</v>
      </c>
      <c r="C264" s="1" t="n">
        <v>45996</v>
      </c>
      <c r="D264" t="inlineStr">
        <is>
          <t>DALARNAS LÄN</t>
        </is>
      </c>
      <c r="E264" t="inlineStr">
        <is>
          <t>MORA</t>
        </is>
      </c>
      <c r="F264" t="inlineStr">
        <is>
          <t>Bergvik skog väst AB</t>
        </is>
      </c>
      <c r="G264" t="n">
        <v>4.3</v>
      </c>
      <c r="H264" t="n">
        <v>0</v>
      </c>
      <c r="I264" t="n">
        <v>0</v>
      </c>
      <c r="J264" t="n">
        <v>0</v>
      </c>
      <c r="K264" t="n">
        <v>0</v>
      </c>
      <c r="L264" t="n">
        <v>0</v>
      </c>
      <c r="M264" t="n">
        <v>0</v>
      </c>
      <c r="N264" t="n">
        <v>0</v>
      </c>
      <c r="O264" t="n">
        <v>0</v>
      </c>
      <c r="P264" t="n">
        <v>0</v>
      </c>
      <c r="Q264" t="n">
        <v>0</v>
      </c>
      <c r="R264" s="2" t="inlineStr"/>
    </row>
    <row r="265" ht="15" customHeight="1">
      <c r="A265" t="inlineStr">
        <is>
          <t>A 32410-2024</t>
        </is>
      </c>
      <c r="B265" s="1" t="n">
        <v>45512.70077546296</v>
      </c>
      <c r="C265" s="1" t="n">
        <v>45996</v>
      </c>
      <c r="D265" t="inlineStr">
        <is>
          <t>DALARNAS LÄN</t>
        </is>
      </c>
      <c r="E265" t="inlineStr">
        <is>
          <t>MORA</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29528-2025</t>
        </is>
      </c>
      <c r="B266" s="1" t="n">
        <v>45825.34322916667</v>
      </c>
      <c r="C266" s="1" t="n">
        <v>45996</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4994-2025</t>
        </is>
      </c>
      <c r="B267" s="1" t="n">
        <v>45691.35427083333</v>
      </c>
      <c r="C267" s="1" t="n">
        <v>45996</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29440-2025</t>
        </is>
      </c>
      <c r="B268" s="1" t="n">
        <v>45824.65862268519</v>
      </c>
      <c r="C268" s="1" t="n">
        <v>45996</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15993-2025</t>
        </is>
      </c>
      <c r="B269" s="1" t="n">
        <v>45749.58428240741</v>
      </c>
      <c r="C269" s="1" t="n">
        <v>45996</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29425-2025</t>
        </is>
      </c>
      <c r="B270" s="1" t="n">
        <v>45824.64524305556</v>
      </c>
      <c r="C270" s="1" t="n">
        <v>45996</v>
      </c>
      <c r="D270" t="inlineStr">
        <is>
          <t>DALARNAS LÄN</t>
        </is>
      </c>
      <c r="E270" t="inlineStr">
        <is>
          <t>MORA</t>
        </is>
      </c>
      <c r="G270" t="n">
        <v>4.4</v>
      </c>
      <c r="H270" t="n">
        <v>0</v>
      </c>
      <c r="I270" t="n">
        <v>0</v>
      </c>
      <c r="J270" t="n">
        <v>0</v>
      </c>
      <c r="K270" t="n">
        <v>0</v>
      </c>
      <c r="L270" t="n">
        <v>0</v>
      </c>
      <c r="M270" t="n">
        <v>0</v>
      </c>
      <c r="N270" t="n">
        <v>0</v>
      </c>
      <c r="O270" t="n">
        <v>0</v>
      </c>
      <c r="P270" t="n">
        <v>0</v>
      </c>
      <c r="Q270" t="n">
        <v>0</v>
      </c>
      <c r="R270" s="2" t="inlineStr"/>
    </row>
    <row r="271" ht="15" customHeight="1">
      <c r="A271" t="inlineStr">
        <is>
          <t>A 51253-2023</t>
        </is>
      </c>
      <c r="B271" s="1" t="n">
        <v>45219</v>
      </c>
      <c r="C271" s="1" t="n">
        <v>45996</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57110-2021</t>
        </is>
      </c>
      <c r="B272" s="1" t="n">
        <v>44482</v>
      </c>
      <c r="C272" s="1" t="n">
        <v>45996</v>
      </c>
      <c r="D272" t="inlineStr">
        <is>
          <t>DALARNAS LÄN</t>
        </is>
      </c>
      <c r="E272" t="inlineStr">
        <is>
          <t>MORA</t>
        </is>
      </c>
      <c r="G272" t="n">
        <v>5.4</v>
      </c>
      <c r="H272" t="n">
        <v>0</v>
      </c>
      <c r="I272" t="n">
        <v>0</v>
      </c>
      <c r="J272" t="n">
        <v>0</v>
      </c>
      <c r="K272" t="n">
        <v>0</v>
      </c>
      <c r="L272" t="n">
        <v>0</v>
      </c>
      <c r="M272" t="n">
        <v>0</v>
      </c>
      <c r="N272" t="n">
        <v>0</v>
      </c>
      <c r="O272" t="n">
        <v>0</v>
      </c>
      <c r="P272" t="n">
        <v>0</v>
      </c>
      <c r="Q272" t="n">
        <v>0</v>
      </c>
      <c r="R272" s="2" t="inlineStr"/>
    </row>
    <row r="273" ht="15" customHeight="1">
      <c r="A273" t="inlineStr">
        <is>
          <t>A 46414-2024</t>
        </is>
      </c>
      <c r="B273" s="1" t="n">
        <v>45582.45226851852</v>
      </c>
      <c r="C273" s="1" t="n">
        <v>45996</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46417-2024</t>
        </is>
      </c>
      <c r="B274" s="1" t="n">
        <v>45582.45449074074</v>
      </c>
      <c r="C274" s="1" t="n">
        <v>45996</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11857-2023</t>
        </is>
      </c>
      <c r="B275" s="1" t="n">
        <v>44995</v>
      </c>
      <c r="C275" s="1" t="n">
        <v>45996</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30087-2025</t>
        </is>
      </c>
      <c r="B276" s="1" t="n">
        <v>45826.6575</v>
      </c>
      <c r="C276" s="1" t="n">
        <v>45996</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5491-2023</t>
        </is>
      </c>
      <c r="B277" s="1" t="n">
        <v>44957</v>
      </c>
      <c r="C277" s="1" t="n">
        <v>45996</v>
      </c>
      <c r="D277" t="inlineStr">
        <is>
          <t>DALARNAS LÄN</t>
        </is>
      </c>
      <c r="E277" t="inlineStr">
        <is>
          <t>MORA</t>
        </is>
      </c>
      <c r="G277" t="n">
        <v>3.5</v>
      </c>
      <c r="H277" t="n">
        <v>0</v>
      </c>
      <c r="I277" t="n">
        <v>0</v>
      </c>
      <c r="J277" t="n">
        <v>0</v>
      </c>
      <c r="K277" t="n">
        <v>0</v>
      </c>
      <c r="L277" t="n">
        <v>0</v>
      </c>
      <c r="M277" t="n">
        <v>0</v>
      </c>
      <c r="N277" t="n">
        <v>0</v>
      </c>
      <c r="O277" t="n">
        <v>0</v>
      </c>
      <c r="P277" t="n">
        <v>0</v>
      </c>
      <c r="Q277" t="n">
        <v>0</v>
      </c>
      <c r="R277" s="2" t="inlineStr"/>
    </row>
    <row r="278" ht="15" customHeight="1">
      <c r="A278" t="inlineStr">
        <is>
          <t>A 5493-2023</t>
        </is>
      </c>
      <c r="B278" s="1" t="n">
        <v>44957</v>
      </c>
      <c r="C278" s="1" t="n">
        <v>45996</v>
      </c>
      <c r="D278" t="inlineStr">
        <is>
          <t>DALARNAS LÄN</t>
        </is>
      </c>
      <c r="E278" t="inlineStr">
        <is>
          <t>MORA</t>
        </is>
      </c>
      <c r="F278" t="inlineStr">
        <is>
          <t>Allmännings- och besparingsskogar</t>
        </is>
      </c>
      <c r="G278" t="n">
        <v>14.9</v>
      </c>
      <c r="H278" t="n">
        <v>0</v>
      </c>
      <c r="I278" t="n">
        <v>0</v>
      </c>
      <c r="J278" t="n">
        <v>0</v>
      </c>
      <c r="K278" t="n">
        <v>0</v>
      </c>
      <c r="L278" t="n">
        <v>0</v>
      </c>
      <c r="M278" t="n">
        <v>0</v>
      </c>
      <c r="N278" t="n">
        <v>0</v>
      </c>
      <c r="O278" t="n">
        <v>0</v>
      </c>
      <c r="P278" t="n">
        <v>0</v>
      </c>
      <c r="Q278" t="n">
        <v>0</v>
      </c>
      <c r="R278" s="2" t="inlineStr"/>
    </row>
    <row r="279" ht="15" customHeight="1">
      <c r="A279" t="inlineStr">
        <is>
          <t>A 56012-2023</t>
        </is>
      </c>
      <c r="B279" s="1" t="n">
        <v>45240</v>
      </c>
      <c r="C279" s="1" t="n">
        <v>45996</v>
      </c>
      <c r="D279" t="inlineStr">
        <is>
          <t>DALARNAS LÄN</t>
        </is>
      </c>
      <c r="E279" t="inlineStr">
        <is>
          <t>MORA</t>
        </is>
      </c>
      <c r="G279" t="n">
        <v>0.3</v>
      </c>
      <c r="H279" t="n">
        <v>0</v>
      </c>
      <c r="I279" t="n">
        <v>0</v>
      </c>
      <c r="J279" t="n">
        <v>0</v>
      </c>
      <c r="K279" t="n">
        <v>0</v>
      </c>
      <c r="L279" t="n">
        <v>0</v>
      </c>
      <c r="M279" t="n">
        <v>0</v>
      </c>
      <c r="N279" t="n">
        <v>0</v>
      </c>
      <c r="O279" t="n">
        <v>0</v>
      </c>
      <c r="P279" t="n">
        <v>0</v>
      </c>
      <c r="Q279" t="n">
        <v>0</v>
      </c>
      <c r="R279" s="2" t="inlineStr"/>
    </row>
    <row r="280" ht="15" customHeight="1">
      <c r="A280" t="inlineStr">
        <is>
          <t>A 60674-2023</t>
        </is>
      </c>
      <c r="B280" s="1" t="n">
        <v>45260.46609953704</v>
      </c>
      <c r="C280" s="1" t="n">
        <v>45996</v>
      </c>
      <c r="D280" t="inlineStr">
        <is>
          <t>DALARNAS LÄN</t>
        </is>
      </c>
      <c r="E280" t="inlineStr">
        <is>
          <t>MORA</t>
        </is>
      </c>
      <c r="G280" t="n">
        <v>2.9</v>
      </c>
      <c r="H280" t="n">
        <v>0</v>
      </c>
      <c r="I280" t="n">
        <v>0</v>
      </c>
      <c r="J280" t="n">
        <v>0</v>
      </c>
      <c r="K280" t="n">
        <v>0</v>
      </c>
      <c r="L280" t="n">
        <v>0</v>
      </c>
      <c r="M280" t="n">
        <v>0</v>
      </c>
      <c r="N280" t="n">
        <v>0</v>
      </c>
      <c r="O280" t="n">
        <v>0</v>
      </c>
      <c r="P280" t="n">
        <v>0</v>
      </c>
      <c r="Q280" t="n">
        <v>0</v>
      </c>
      <c r="R280" s="2" t="inlineStr"/>
    </row>
    <row r="281" ht="15" customHeight="1">
      <c r="A281" t="inlineStr">
        <is>
          <t>A 5298-2023</t>
        </is>
      </c>
      <c r="B281" s="1" t="n">
        <v>44959.54355324074</v>
      </c>
      <c r="C281" s="1" t="n">
        <v>45996</v>
      </c>
      <c r="D281" t="inlineStr">
        <is>
          <t>DALARNAS LÄN</t>
        </is>
      </c>
      <c r="E281" t="inlineStr">
        <is>
          <t>MORA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48825-2023</t>
        </is>
      </c>
      <c r="B282" s="1" t="n">
        <v>45203</v>
      </c>
      <c r="C282" s="1" t="n">
        <v>45996</v>
      </c>
      <c r="D282" t="inlineStr">
        <is>
          <t>DALARNAS LÄN</t>
        </is>
      </c>
      <c r="E282" t="inlineStr">
        <is>
          <t>MORA</t>
        </is>
      </c>
      <c r="G282" t="n">
        <v>7.9</v>
      </c>
      <c r="H282" t="n">
        <v>0</v>
      </c>
      <c r="I282" t="n">
        <v>0</v>
      </c>
      <c r="J282" t="n">
        <v>0</v>
      </c>
      <c r="K282" t="n">
        <v>0</v>
      </c>
      <c r="L282" t="n">
        <v>0</v>
      </c>
      <c r="M282" t="n">
        <v>0</v>
      </c>
      <c r="N282" t="n">
        <v>0</v>
      </c>
      <c r="O282" t="n">
        <v>0</v>
      </c>
      <c r="P282" t="n">
        <v>0</v>
      </c>
      <c r="Q282" t="n">
        <v>0</v>
      </c>
      <c r="R282" s="2" t="inlineStr"/>
    </row>
    <row r="283" ht="15" customHeight="1">
      <c r="A283" t="inlineStr">
        <is>
          <t>A 57859-2022</t>
        </is>
      </c>
      <c r="B283" s="1" t="n">
        <v>44898</v>
      </c>
      <c r="C283" s="1" t="n">
        <v>45996</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30166-2025</t>
        </is>
      </c>
      <c r="B284" s="1" t="n">
        <v>45827.33116898148</v>
      </c>
      <c r="C284" s="1" t="n">
        <v>45996</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29870-2025</t>
        </is>
      </c>
      <c r="B285" s="1" t="n">
        <v>45826.35716435185</v>
      </c>
      <c r="C285" s="1" t="n">
        <v>45996</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61249-2023</t>
        </is>
      </c>
      <c r="B286" s="1" t="n">
        <v>45264</v>
      </c>
      <c r="C286" s="1" t="n">
        <v>45996</v>
      </c>
      <c r="D286" t="inlineStr">
        <is>
          <t>DALARNAS LÄN</t>
        </is>
      </c>
      <c r="E286" t="inlineStr">
        <is>
          <t>MORA</t>
        </is>
      </c>
      <c r="F286" t="inlineStr">
        <is>
          <t>Allmännings- och besparingsskogar</t>
        </is>
      </c>
      <c r="G286" t="n">
        <v>1.7</v>
      </c>
      <c r="H286" t="n">
        <v>0</v>
      </c>
      <c r="I286" t="n">
        <v>0</v>
      </c>
      <c r="J286" t="n">
        <v>0</v>
      </c>
      <c r="K286" t="n">
        <v>0</v>
      </c>
      <c r="L286" t="n">
        <v>0</v>
      </c>
      <c r="M286" t="n">
        <v>0</v>
      </c>
      <c r="N286" t="n">
        <v>0</v>
      </c>
      <c r="O286" t="n">
        <v>0</v>
      </c>
      <c r="P286" t="n">
        <v>0</v>
      </c>
      <c r="Q286" t="n">
        <v>0</v>
      </c>
      <c r="R286" s="2" t="inlineStr"/>
    </row>
    <row r="287" ht="15" customHeight="1">
      <c r="A287" t="inlineStr">
        <is>
          <t>A 29873-2025</t>
        </is>
      </c>
      <c r="B287" s="1" t="n">
        <v>45826</v>
      </c>
      <c r="C287" s="1" t="n">
        <v>45996</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25935-2023</t>
        </is>
      </c>
      <c r="B288" s="1" t="n">
        <v>45090.68675925926</v>
      </c>
      <c r="C288" s="1" t="n">
        <v>45996</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30507-2025</t>
        </is>
      </c>
      <c r="B289" s="1" t="n">
        <v>45831.24760416667</v>
      </c>
      <c r="C289" s="1" t="n">
        <v>45996</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30509-2025</t>
        </is>
      </c>
      <c r="B290" s="1" t="n">
        <v>45831.25519675926</v>
      </c>
      <c r="C290" s="1" t="n">
        <v>45996</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23057-2024</t>
        </is>
      </c>
      <c r="B291" s="1" t="n">
        <v>45450</v>
      </c>
      <c r="C291" s="1" t="n">
        <v>45996</v>
      </c>
      <c r="D291" t="inlineStr">
        <is>
          <t>DALARNAS LÄN</t>
        </is>
      </c>
      <c r="E291" t="inlineStr">
        <is>
          <t>MORA</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29193-2023</t>
        </is>
      </c>
      <c r="B292" s="1" t="n">
        <v>45105.54791666667</v>
      </c>
      <c r="C292" s="1" t="n">
        <v>45996</v>
      </c>
      <c r="D292" t="inlineStr">
        <is>
          <t>DALARNAS LÄN</t>
        </is>
      </c>
      <c r="E292" t="inlineStr">
        <is>
          <t>MORA</t>
        </is>
      </c>
      <c r="G292" t="n">
        <v>0.4</v>
      </c>
      <c r="H292" t="n">
        <v>0</v>
      </c>
      <c r="I292" t="n">
        <v>0</v>
      </c>
      <c r="J292" t="n">
        <v>0</v>
      </c>
      <c r="K292" t="n">
        <v>0</v>
      </c>
      <c r="L292" t="n">
        <v>0</v>
      </c>
      <c r="M292" t="n">
        <v>0</v>
      </c>
      <c r="N292" t="n">
        <v>0</v>
      </c>
      <c r="O292" t="n">
        <v>0</v>
      </c>
      <c r="P292" t="n">
        <v>0</v>
      </c>
      <c r="Q292" t="n">
        <v>0</v>
      </c>
      <c r="R292" s="2" t="inlineStr"/>
    </row>
    <row r="293" ht="15" customHeight="1">
      <c r="A293" t="inlineStr">
        <is>
          <t>A 18444-2024</t>
        </is>
      </c>
      <c r="B293" s="1" t="n">
        <v>45425.45568287037</v>
      </c>
      <c r="C293" s="1" t="n">
        <v>45996</v>
      </c>
      <c r="D293" t="inlineStr">
        <is>
          <t>DALARNAS LÄN</t>
        </is>
      </c>
      <c r="E293" t="inlineStr">
        <is>
          <t>MORA</t>
        </is>
      </c>
      <c r="G293" t="n">
        <v>5</v>
      </c>
      <c r="H293" t="n">
        <v>0</v>
      </c>
      <c r="I293" t="n">
        <v>0</v>
      </c>
      <c r="J293" t="n">
        <v>0</v>
      </c>
      <c r="K293" t="n">
        <v>0</v>
      </c>
      <c r="L293" t="n">
        <v>0</v>
      </c>
      <c r="M293" t="n">
        <v>0</v>
      </c>
      <c r="N293" t="n">
        <v>0</v>
      </c>
      <c r="O293" t="n">
        <v>0</v>
      </c>
      <c r="P293" t="n">
        <v>0</v>
      </c>
      <c r="Q293" t="n">
        <v>0</v>
      </c>
      <c r="R293" s="2" t="inlineStr"/>
    </row>
    <row r="294" ht="15" customHeight="1">
      <c r="A294" t="inlineStr">
        <is>
          <t>A 51168-2024</t>
        </is>
      </c>
      <c r="B294" s="1" t="n">
        <v>45603.58619212963</v>
      </c>
      <c r="C294" s="1" t="n">
        <v>45996</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59182-2023</t>
        </is>
      </c>
      <c r="B295" s="1" t="n">
        <v>45253</v>
      </c>
      <c r="C295" s="1" t="n">
        <v>45996</v>
      </c>
      <c r="D295" t="inlineStr">
        <is>
          <t>DALARNAS LÄN</t>
        </is>
      </c>
      <c r="E295" t="inlineStr">
        <is>
          <t>MORA</t>
        </is>
      </c>
      <c r="G295" t="n">
        <v>3.3</v>
      </c>
      <c r="H295" t="n">
        <v>0</v>
      </c>
      <c r="I295" t="n">
        <v>0</v>
      </c>
      <c r="J295" t="n">
        <v>0</v>
      </c>
      <c r="K295" t="n">
        <v>0</v>
      </c>
      <c r="L295" t="n">
        <v>0</v>
      </c>
      <c r="M295" t="n">
        <v>0</v>
      </c>
      <c r="N295" t="n">
        <v>0</v>
      </c>
      <c r="O295" t="n">
        <v>0</v>
      </c>
      <c r="P295" t="n">
        <v>0</v>
      </c>
      <c r="Q295" t="n">
        <v>0</v>
      </c>
      <c r="R295" s="2" t="inlineStr"/>
    </row>
    <row r="296" ht="15" customHeight="1">
      <c r="A296" t="inlineStr">
        <is>
          <t>A 30989-2025</t>
        </is>
      </c>
      <c r="B296" s="1" t="n">
        <v>45832.48185185185</v>
      </c>
      <c r="C296" s="1" t="n">
        <v>45996</v>
      </c>
      <c r="D296" t="inlineStr">
        <is>
          <t>DALARNAS LÄN</t>
        </is>
      </c>
      <c r="E296" t="inlineStr">
        <is>
          <t>MORA</t>
        </is>
      </c>
      <c r="F296" t="inlineStr">
        <is>
          <t>Bergvik skog öst AB</t>
        </is>
      </c>
      <c r="G296" t="n">
        <v>4.1</v>
      </c>
      <c r="H296" t="n">
        <v>0</v>
      </c>
      <c r="I296" t="n">
        <v>0</v>
      </c>
      <c r="J296" t="n">
        <v>0</v>
      </c>
      <c r="K296" t="n">
        <v>0</v>
      </c>
      <c r="L296" t="n">
        <v>0</v>
      </c>
      <c r="M296" t="n">
        <v>0</v>
      </c>
      <c r="N296" t="n">
        <v>0</v>
      </c>
      <c r="O296" t="n">
        <v>0</v>
      </c>
      <c r="P296" t="n">
        <v>0</v>
      </c>
      <c r="Q296" t="n">
        <v>0</v>
      </c>
      <c r="R296" s="2" t="inlineStr"/>
    </row>
    <row r="297" ht="15" customHeight="1">
      <c r="A297" t="inlineStr">
        <is>
          <t>A 36600-2023</t>
        </is>
      </c>
      <c r="B297" s="1" t="n">
        <v>45153</v>
      </c>
      <c r="C297" s="1" t="n">
        <v>45996</v>
      </c>
      <c r="D297" t="inlineStr">
        <is>
          <t>DALARNAS LÄN</t>
        </is>
      </c>
      <c r="E297" t="inlineStr">
        <is>
          <t>MORA</t>
        </is>
      </c>
      <c r="G297" t="n">
        <v>7.3</v>
      </c>
      <c r="H297" t="n">
        <v>0</v>
      </c>
      <c r="I297" t="n">
        <v>0</v>
      </c>
      <c r="J297" t="n">
        <v>0</v>
      </c>
      <c r="K297" t="n">
        <v>0</v>
      </c>
      <c r="L297" t="n">
        <v>0</v>
      </c>
      <c r="M297" t="n">
        <v>0</v>
      </c>
      <c r="N297" t="n">
        <v>0</v>
      </c>
      <c r="O297" t="n">
        <v>0</v>
      </c>
      <c r="P297" t="n">
        <v>0</v>
      </c>
      <c r="Q297" t="n">
        <v>0</v>
      </c>
      <c r="R297" s="2" t="inlineStr"/>
    </row>
    <row r="298" ht="15" customHeight="1">
      <c r="A298" t="inlineStr">
        <is>
          <t>A 47784-2024</t>
        </is>
      </c>
      <c r="B298" s="1" t="n">
        <v>45588.59290509259</v>
      </c>
      <c r="C298" s="1" t="n">
        <v>45996</v>
      </c>
      <c r="D298" t="inlineStr">
        <is>
          <t>DALARNAS LÄN</t>
        </is>
      </c>
      <c r="E298" t="inlineStr">
        <is>
          <t>MORA</t>
        </is>
      </c>
      <c r="G298" t="n">
        <v>15.3</v>
      </c>
      <c r="H298" t="n">
        <v>0</v>
      </c>
      <c r="I298" t="n">
        <v>0</v>
      </c>
      <c r="J298" t="n">
        <v>0</v>
      </c>
      <c r="K298" t="n">
        <v>0</v>
      </c>
      <c r="L298" t="n">
        <v>0</v>
      </c>
      <c r="M298" t="n">
        <v>0</v>
      </c>
      <c r="N298" t="n">
        <v>0</v>
      </c>
      <c r="O298" t="n">
        <v>0</v>
      </c>
      <c r="P298" t="n">
        <v>0</v>
      </c>
      <c r="Q298" t="n">
        <v>0</v>
      </c>
      <c r="R298" s="2" t="inlineStr"/>
    </row>
    <row r="299" ht="15" customHeight="1">
      <c r="A299" t="inlineStr">
        <is>
          <t>A 69519-2020</t>
        </is>
      </c>
      <c r="B299" s="1" t="n">
        <v>44194</v>
      </c>
      <c r="C299" s="1" t="n">
        <v>45996</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35325-2024</t>
        </is>
      </c>
      <c r="B300" s="1" t="n">
        <v>45530.71158564815</v>
      </c>
      <c r="C300" s="1" t="n">
        <v>45996</v>
      </c>
      <c r="D300" t="inlineStr">
        <is>
          <t>DALARNAS LÄN</t>
        </is>
      </c>
      <c r="E300" t="inlineStr">
        <is>
          <t>MORA</t>
        </is>
      </c>
      <c r="G300" t="n">
        <v>5</v>
      </c>
      <c r="H300" t="n">
        <v>0</v>
      </c>
      <c r="I300" t="n">
        <v>0</v>
      </c>
      <c r="J300" t="n">
        <v>0</v>
      </c>
      <c r="K300" t="n">
        <v>0</v>
      </c>
      <c r="L300" t="n">
        <v>0</v>
      </c>
      <c r="M300" t="n">
        <v>0</v>
      </c>
      <c r="N300" t="n">
        <v>0</v>
      </c>
      <c r="O300" t="n">
        <v>0</v>
      </c>
      <c r="P300" t="n">
        <v>0</v>
      </c>
      <c r="Q300" t="n">
        <v>0</v>
      </c>
      <c r="R300" s="2" t="inlineStr"/>
    </row>
    <row r="301" ht="15" customHeight="1">
      <c r="A301" t="inlineStr">
        <is>
          <t>A 66232-2021</t>
        </is>
      </c>
      <c r="B301" s="1" t="n">
        <v>44518.39234953704</v>
      </c>
      <c r="C301" s="1" t="n">
        <v>45996</v>
      </c>
      <c r="D301" t="inlineStr">
        <is>
          <t>DALARNAS LÄN</t>
        </is>
      </c>
      <c r="E301" t="inlineStr">
        <is>
          <t>MORA</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35551-2023</t>
        </is>
      </c>
      <c r="B302" s="1" t="n">
        <v>45147.3934837963</v>
      </c>
      <c r="C302" s="1" t="n">
        <v>45996</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45562-2023</t>
        </is>
      </c>
      <c r="B303" s="1" t="n">
        <v>45194.59378472222</v>
      </c>
      <c r="C303" s="1" t="n">
        <v>45996</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59174-2023</t>
        </is>
      </c>
      <c r="B304" s="1" t="n">
        <v>45253.43202546296</v>
      </c>
      <c r="C304" s="1" t="n">
        <v>45996</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51570-2023</t>
        </is>
      </c>
      <c r="B305" s="1" t="n">
        <v>45222</v>
      </c>
      <c r="C305" s="1" t="n">
        <v>45996</v>
      </c>
      <c r="D305" t="inlineStr">
        <is>
          <t>DALARNAS LÄN</t>
        </is>
      </c>
      <c r="E305" t="inlineStr">
        <is>
          <t>MORA</t>
        </is>
      </c>
      <c r="G305" t="n">
        <v>10.1</v>
      </c>
      <c r="H305" t="n">
        <v>0</v>
      </c>
      <c r="I305" t="n">
        <v>0</v>
      </c>
      <c r="J305" t="n">
        <v>0</v>
      </c>
      <c r="K305" t="n">
        <v>0</v>
      </c>
      <c r="L305" t="n">
        <v>0</v>
      </c>
      <c r="M305" t="n">
        <v>0</v>
      </c>
      <c r="N305" t="n">
        <v>0</v>
      </c>
      <c r="O305" t="n">
        <v>0</v>
      </c>
      <c r="P305" t="n">
        <v>0</v>
      </c>
      <c r="Q305" t="n">
        <v>0</v>
      </c>
      <c r="R305" s="2" t="inlineStr"/>
    </row>
    <row r="306" ht="15" customHeight="1">
      <c r="A306" t="inlineStr">
        <is>
          <t>A 59995-2023</t>
        </is>
      </c>
      <c r="B306" s="1" t="n">
        <v>45254</v>
      </c>
      <c r="C306" s="1" t="n">
        <v>45996</v>
      </c>
      <c r="D306" t="inlineStr">
        <is>
          <t>DALARNAS LÄN</t>
        </is>
      </c>
      <c r="E306" t="inlineStr">
        <is>
          <t>MORA</t>
        </is>
      </c>
      <c r="G306" t="n">
        <v>1.2</v>
      </c>
      <c r="H306" t="n">
        <v>0</v>
      </c>
      <c r="I306" t="n">
        <v>0</v>
      </c>
      <c r="J306" t="n">
        <v>0</v>
      </c>
      <c r="K306" t="n">
        <v>0</v>
      </c>
      <c r="L306" t="n">
        <v>0</v>
      </c>
      <c r="M306" t="n">
        <v>0</v>
      </c>
      <c r="N306" t="n">
        <v>0</v>
      </c>
      <c r="O306" t="n">
        <v>0</v>
      </c>
      <c r="P306" t="n">
        <v>0</v>
      </c>
      <c r="Q306" t="n">
        <v>0</v>
      </c>
      <c r="R306" s="2" t="inlineStr"/>
    </row>
    <row r="307" ht="15" customHeight="1">
      <c r="A307" t="inlineStr">
        <is>
          <t>A 30858-2025</t>
        </is>
      </c>
      <c r="B307" s="1" t="n">
        <v>45831.92416666666</v>
      </c>
      <c r="C307" s="1" t="n">
        <v>45996</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30859-2025</t>
        </is>
      </c>
      <c r="B308" s="1" t="n">
        <v>45831.93105324074</v>
      </c>
      <c r="C308" s="1" t="n">
        <v>45996</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55331-2022</t>
        </is>
      </c>
      <c r="B309" s="1" t="n">
        <v>44887.43714120371</v>
      </c>
      <c r="C309" s="1" t="n">
        <v>45996</v>
      </c>
      <c r="D309" t="inlineStr">
        <is>
          <t>DALARNAS LÄN</t>
        </is>
      </c>
      <c r="E309" t="inlineStr">
        <is>
          <t>MORA</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42085-2024</t>
        </is>
      </c>
      <c r="B310" s="1" t="n">
        <v>45562.33179398148</v>
      </c>
      <c r="C310" s="1" t="n">
        <v>45996</v>
      </c>
      <c r="D310" t="inlineStr">
        <is>
          <t>DALARNAS LÄN</t>
        </is>
      </c>
      <c r="E310" t="inlineStr">
        <is>
          <t>MORA</t>
        </is>
      </c>
      <c r="G310" t="n">
        <v>4.9</v>
      </c>
      <c r="H310" t="n">
        <v>0</v>
      </c>
      <c r="I310" t="n">
        <v>0</v>
      </c>
      <c r="J310" t="n">
        <v>0</v>
      </c>
      <c r="K310" t="n">
        <v>0</v>
      </c>
      <c r="L310" t="n">
        <v>0</v>
      </c>
      <c r="M310" t="n">
        <v>0</v>
      </c>
      <c r="N310" t="n">
        <v>0</v>
      </c>
      <c r="O310" t="n">
        <v>0</v>
      </c>
      <c r="P310" t="n">
        <v>0</v>
      </c>
      <c r="Q310" t="n">
        <v>0</v>
      </c>
      <c r="R310" s="2" t="inlineStr"/>
    </row>
    <row r="311" ht="15" customHeight="1">
      <c r="A311" t="inlineStr">
        <is>
          <t>A 31846-2025</t>
        </is>
      </c>
      <c r="B311" s="1" t="n">
        <v>45834.60209490741</v>
      </c>
      <c r="C311" s="1" t="n">
        <v>45996</v>
      </c>
      <c r="D311" t="inlineStr">
        <is>
          <t>DALARNAS LÄN</t>
        </is>
      </c>
      <c r="E311" t="inlineStr">
        <is>
          <t>MORA</t>
        </is>
      </c>
      <c r="G311" t="n">
        <v>3.6</v>
      </c>
      <c r="H311" t="n">
        <v>0</v>
      </c>
      <c r="I311" t="n">
        <v>0</v>
      </c>
      <c r="J311" t="n">
        <v>0</v>
      </c>
      <c r="K311" t="n">
        <v>0</v>
      </c>
      <c r="L311" t="n">
        <v>0</v>
      </c>
      <c r="M311" t="n">
        <v>0</v>
      </c>
      <c r="N311" t="n">
        <v>0</v>
      </c>
      <c r="O311" t="n">
        <v>0</v>
      </c>
      <c r="P311" t="n">
        <v>0</v>
      </c>
      <c r="Q311" t="n">
        <v>0</v>
      </c>
      <c r="R311" s="2" t="inlineStr"/>
    </row>
    <row r="312" ht="15" customHeight="1">
      <c r="A312" t="inlineStr">
        <is>
          <t>A 31849-2025</t>
        </is>
      </c>
      <c r="B312" s="1" t="n">
        <v>45834.60525462963</v>
      </c>
      <c r="C312" s="1" t="n">
        <v>45996</v>
      </c>
      <c r="D312" t="inlineStr">
        <is>
          <t>DALARNAS LÄN</t>
        </is>
      </c>
      <c r="E312" t="inlineStr">
        <is>
          <t>MORA</t>
        </is>
      </c>
      <c r="G312" t="n">
        <v>3.9</v>
      </c>
      <c r="H312" t="n">
        <v>0</v>
      </c>
      <c r="I312" t="n">
        <v>0</v>
      </c>
      <c r="J312" t="n">
        <v>0</v>
      </c>
      <c r="K312" t="n">
        <v>0</v>
      </c>
      <c r="L312" t="n">
        <v>0</v>
      </c>
      <c r="M312" t="n">
        <v>0</v>
      </c>
      <c r="N312" t="n">
        <v>0</v>
      </c>
      <c r="O312" t="n">
        <v>0</v>
      </c>
      <c r="P312" t="n">
        <v>0</v>
      </c>
      <c r="Q312" t="n">
        <v>0</v>
      </c>
      <c r="R312" s="2" t="inlineStr"/>
    </row>
    <row r="313" ht="15" customHeight="1">
      <c r="A313" t="inlineStr">
        <is>
          <t>A 60673-2023</t>
        </is>
      </c>
      <c r="B313" s="1" t="n">
        <v>45260.46438657407</v>
      </c>
      <c r="C313" s="1" t="n">
        <v>45996</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60187-2024</t>
        </is>
      </c>
      <c r="B314" s="1" t="n">
        <v>45642.64803240741</v>
      </c>
      <c r="C314" s="1" t="n">
        <v>45996</v>
      </c>
      <c r="D314" t="inlineStr">
        <is>
          <t>DALARNAS LÄN</t>
        </is>
      </c>
      <c r="E314" t="inlineStr">
        <is>
          <t>MORA</t>
        </is>
      </c>
      <c r="F314" t="inlineStr">
        <is>
          <t>Allmännings- och besparingsskogar</t>
        </is>
      </c>
      <c r="G314" t="n">
        <v>24.6</v>
      </c>
      <c r="H314" t="n">
        <v>0</v>
      </c>
      <c r="I314" t="n">
        <v>0</v>
      </c>
      <c r="J314" t="n">
        <v>0</v>
      </c>
      <c r="K314" t="n">
        <v>0</v>
      </c>
      <c r="L314" t="n">
        <v>0</v>
      </c>
      <c r="M314" t="n">
        <v>0</v>
      </c>
      <c r="N314" t="n">
        <v>0</v>
      </c>
      <c r="O314" t="n">
        <v>0</v>
      </c>
      <c r="P314" t="n">
        <v>0</v>
      </c>
      <c r="Q314" t="n">
        <v>0</v>
      </c>
      <c r="R314" s="2" t="inlineStr"/>
    </row>
    <row r="315" ht="15" customHeight="1">
      <c r="A315" t="inlineStr">
        <is>
          <t>A 31842-2025</t>
        </is>
      </c>
      <c r="B315" s="1" t="n">
        <v>45834.59822916667</v>
      </c>
      <c r="C315" s="1" t="n">
        <v>45996</v>
      </c>
      <c r="D315" t="inlineStr">
        <is>
          <t>DALARNAS LÄN</t>
        </is>
      </c>
      <c r="E315" t="inlineStr">
        <is>
          <t>MORA</t>
        </is>
      </c>
      <c r="G315" t="n">
        <v>1.1</v>
      </c>
      <c r="H315" t="n">
        <v>0</v>
      </c>
      <c r="I315" t="n">
        <v>0</v>
      </c>
      <c r="J315" t="n">
        <v>0</v>
      </c>
      <c r="K315" t="n">
        <v>0</v>
      </c>
      <c r="L315" t="n">
        <v>0</v>
      </c>
      <c r="M315" t="n">
        <v>0</v>
      </c>
      <c r="N315" t="n">
        <v>0</v>
      </c>
      <c r="O315" t="n">
        <v>0</v>
      </c>
      <c r="P315" t="n">
        <v>0</v>
      </c>
      <c r="Q315" t="n">
        <v>0</v>
      </c>
      <c r="R315" s="2" t="inlineStr"/>
    </row>
    <row r="316" ht="15" customHeight="1">
      <c r="A316" t="inlineStr">
        <is>
          <t>A 39456-2025</t>
        </is>
      </c>
      <c r="B316" s="1" t="n">
        <v>45889.76200231481</v>
      </c>
      <c r="C316" s="1" t="n">
        <v>45996</v>
      </c>
      <c r="D316" t="inlineStr">
        <is>
          <t>DALARNAS LÄN</t>
        </is>
      </c>
      <c r="E316" t="inlineStr">
        <is>
          <t>MORA</t>
        </is>
      </c>
      <c r="F316" t="inlineStr">
        <is>
          <t>Bergvik skog öst AB</t>
        </is>
      </c>
      <c r="G316" t="n">
        <v>16.7</v>
      </c>
      <c r="H316" t="n">
        <v>0</v>
      </c>
      <c r="I316" t="n">
        <v>0</v>
      </c>
      <c r="J316" t="n">
        <v>0</v>
      </c>
      <c r="K316" t="n">
        <v>0</v>
      </c>
      <c r="L316" t="n">
        <v>0</v>
      </c>
      <c r="M316" t="n">
        <v>0</v>
      </c>
      <c r="N316" t="n">
        <v>0</v>
      </c>
      <c r="O316" t="n">
        <v>0</v>
      </c>
      <c r="P316" t="n">
        <v>0</v>
      </c>
      <c r="Q316" t="n">
        <v>0</v>
      </c>
      <c r="R316" s="2" t="inlineStr"/>
    </row>
    <row r="317" ht="15" customHeight="1">
      <c r="A317" t="inlineStr">
        <is>
          <t>A 39824-2025</t>
        </is>
      </c>
      <c r="B317" s="1" t="n">
        <v>45891</v>
      </c>
      <c r="C317" s="1" t="n">
        <v>45996</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61222-2023</t>
        </is>
      </c>
      <c r="B318" s="1" t="n">
        <v>45264</v>
      </c>
      <c r="C318" s="1" t="n">
        <v>45996</v>
      </c>
      <c r="D318" t="inlineStr">
        <is>
          <t>DALARNAS LÄN</t>
        </is>
      </c>
      <c r="E318" t="inlineStr">
        <is>
          <t>MORA</t>
        </is>
      </c>
      <c r="F318" t="inlineStr">
        <is>
          <t>Allmännings- och besparingsskogar</t>
        </is>
      </c>
      <c r="G318" t="n">
        <v>1.1</v>
      </c>
      <c r="H318" t="n">
        <v>0</v>
      </c>
      <c r="I318" t="n">
        <v>0</v>
      </c>
      <c r="J318" t="n">
        <v>0</v>
      </c>
      <c r="K318" t="n">
        <v>0</v>
      </c>
      <c r="L318" t="n">
        <v>0</v>
      </c>
      <c r="M318" t="n">
        <v>0</v>
      </c>
      <c r="N318" t="n">
        <v>0</v>
      </c>
      <c r="O318" t="n">
        <v>0</v>
      </c>
      <c r="P318" t="n">
        <v>0</v>
      </c>
      <c r="Q318" t="n">
        <v>0</v>
      </c>
      <c r="R318" s="2" t="inlineStr"/>
    </row>
    <row r="319" ht="15" customHeight="1">
      <c r="A319" t="inlineStr">
        <is>
          <t>A 24465-2021</t>
        </is>
      </c>
      <c r="B319" s="1" t="n">
        <v>44337</v>
      </c>
      <c r="C319" s="1" t="n">
        <v>45996</v>
      </c>
      <c r="D319" t="inlineStr">
        <is>
          <t>DALARNAS LÄN</t>
        </is>
      </c>
      <c r="E319" t="inlineStr">
        <is>
          <t>MORA</t>
        </is>
      </c>
      <c r="G319" t="n">
        <v>2.6</v>
      </c>
      <c r="H319" t="n">
        <v>0</v>
      </c>
      <c r="I319" t="n">
        <v>0</v>
      </c>
      <c r="J319" t="n">
        <v>0</v>
      </c>
      <c r="K319" t="n">
        <v>0</v>
      </c>
      <c r="L319" t="n">
        <v>0</v>
      </c>
      <c r="M319" t="n">
        <v>0</v>
      </c>
      <c r="N319" t="n">
        <v>0</v>
      </c>
      <c r="O319" t="n">
        <v>0</v>
      </c>
      <c r="P319" t="n">
        <v>0</v>
      </c>
      <c r="Q319" t="n">
        <v>0</v>
      </c>
      <c r="R319" s="2" t="inlineStr"/>
    </row>
    <row r="320" ht="15" customHeight="1">
      <c r="A320" t="inlineStr">
        <is>
          <t>A 40949-2023</t>
        </is>
      </c>
      <c r="B320" s="1" t="n">
        <v>45173</v>
      </c>
      <c r="C320" s="1" t="n">
        <v>45996</v>
      </c>
      <c r="D320" t="inlineStr">
        <is>
          <t>DALARNAS LÄN</t>
        </is>
      </c>
      <c r="E320" t="inlineStr">
        <is>
          <t>MORA</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5216-2025</t>
        </is>
      </c>
      <c r="B321" s="1" t="n">
        <v>45691.69671296296</v>
      </c>
      <c r="C321" s="1" t="n">
        <v>45996</v>
      </c>
      <c r="D321" t="inlineStr">
        <is>
          <t>DALARNAS LÄN</t>
        </is>
      </c>
      <c r="E321" t="inlineStr">
        <is>
          <t>MORA</t>
        </is>
      </c>
      <c r="G321" t="n">
        <v>2.5</v>
      </c>
      <c r="H321" t="n">
        <v>0</v>
      </c>
      <c r="I321" t="n">
        <v>0</v>
      </c>
      <c r="J321" t="n">
        <v>0</v>
      </c>
      <c r="K321" t="n">
        <v>0</v>
      </c>
      <c r="L321" t="n">
        <v>0</v>
      </c>
      <c r="M321" t="n">
        <v>0</v>
      </c>
      <c r="N321" t="n">
        <v>0</v>
      </c>
      <c r="O321" t="n">
        <v>0</v>
      </c>
      <c r="P321" t="n">
        <v>0</v>
      </c>
      <c r="Q321" t="n">
        <v>0</v>
      </c>
      <c r="R321" s="2" t="inlineStr"/>
    </row>
    <row r="322" ht="15" customHeight="1">
      <c r="A322" t="inlineStr">
        <is>
          <t>A 61270-2024</t>
        </is>
      </c>
      <c r="B322" s="1" t="n">
        <v>45645.74694444444</v>
      </c>
      <c r="C322" s="1" t="n">
        <v>45996</v>
      </c>
      <c r="D322" t="inlineStr">
        <is>
          <t>DALARNAS LÄN</t>
        </is>
      </c>
      <c r="E322" t="inlineStr">
        <is>
          <t>MORA</t>
        </is>
      </c>
      <c r="G322" t="n">
        <v>5.1</v>
      </c>
      <c r="H322" t="n">
        <v>0</v>
      </c>
      <c r="I322" t="n">
        <v>0</v>
      </c>
      <c r="J322" t="n">
        <v>0</v>
      </c>
      <c r="K322" t="n">
        <v>0</v>
      </c>
      <c r="L322" t="n">
        <v>0</v>
      </c>
      <c r="M322" t="n">
        <v>0</v>
      </c>
      <c r="N322" t="n">
        <v>0</v>
      </c>
      <c r="O322" t="n">
        <v>0</v>
      </c>
      <c r="P322" t="n">
        <v>0</v>
      </c>
      <c r="Q322" t="n">
        <v>0</v>
      </c>
      <c r="R322" s="2" t="inlineStr"/>
    </row>
    <row r="323" ht="15" customHeight="1">
      <c r="A323" t="inlineStr">
        <is>
          <t>A 39787-2025</t>
        </is>
      </c>
      <c r="B323" s="1" t="n">
        <v>45891</v>
      </c>
      <c r="C323" s="1" t="n">
        <v>45996</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32852-2025</t>
        </is>
      </c>
      <c r="B324" s="1" t="n">
        <v>45839.57559027777</v>
      </c>
      <c r="C324" s="1" t="n">
        <v>45996</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20930-2024</t>
        </is>
      </c>
      <c r="B325" s="1" t="n">
        <v>45439.51907407407</v>
      </c>
      <c r="C325" s="1" t="n">
        <v>45996</v>
      </c>
      <c r="D325" t="inlineStr">
        <is>
          <t>DALARNAS LÄN</t>
        </is>
      </c>
      <c r="E325" t="inlineStr">
        <is>
          <t>MORA</t>
        </is>
      </c>
      <c r="F325" t="inlineStr">
        <is>
          <t>Bergvik skog väst AB</t>
        </is>
      </c>
      <c r="G325" t="n">
        <v>5.3</v>
      </c>
      <c r="H325" t="n">
        <v>0</v>
      </c>
      <c r="I325" t="n">
        <v>0</v>
      </c>
      <c r="J325" t="n">
        <v>0</v>
      </c>
      <c r="K325" t="n">
        <v>0</v>
      </c>
      <c r="L325" t="n">
        <v>0</v>
      </c>
      <c r="M325" t="n">
        <v>0</v>
      </c>
      <c r="N325" t="n">
        <v>0</v>
      </c>
      <c r="O325" t="n">
        <v>0</v>
      </c>
      <c r="P325" t="n">
        <v>0</v>
      </c>
      <c r="Q325" t="n">
        <v>0</v>
      </c>
      <c r="R325" s="2" t="inlineStr"/>
    </row>
    <row r="326" ht="15" customHeight="1">
      <c r="A326" t="inlineStr">
        <is>
          <t>A 42611-2022</t>
        </is>
      </c>
      <c r="B326" s="1" t="n">
        <v>44831.81482638889</v>
      </c>
      <c r="C326" s="1" t="n">
        <v>45996</v>
      </c>
      <c r="D326" t="inlineStr">
        <is>
          <t>DALARNAS LÄN</t>
        </is>
      </c>
      <c r="E326" t="inlineStr">
        <is>
          <t>MORA</t>
        </is>
      </c>
      <c r="G326" t="n">
        <v>2.1</v>
      </c>
      <c r="H326" t="n">
        <v>0</v>
      </c>
      <c r="I326" t="n">
        <v>0</v>
      </c>
      <c r="J326" t="n">
        <v>0</v>
      </c>
      <c r="K326" t="n">
        <v>0</v>
      </c>
      <c r="L326" t="n">
        <v>0</v>
      </c>
      <c r="M326" t="n">
        <v>0</v>
      </c>
      <c r="N326" t="n">
        <v>0</v>
      </c>
      <c r="O326" t="n">
        <v>0</v>
      </c>
      <c r="P326" t="n">
        <v>0</v>
      </c>
      <c r="Q326" t="n">
        <v>0</v>
      </c>
      <c r="R326" s="2" t="inlineStr"/>
    </row>
    <row r="327" ht="15" customHeight="1">
      <c r="A327" t="inlineStr">
        <is>
          <t>A 45674-2024</t>
        </is>
      </c>
      <c r="B327" s="1" t="n">
        <v>45573</v>
      </c>
      <c r="C327" s="1" t="n">
        <v>45996</v>
      </c>
      <c r="D327" t="inlineStr">
        <is>
          <t>DALARNAS LÄN</t>
        </is>
      </c>
      <c r="E327" t="inlineStr">
        <is>
          <t>MORA</t>
        </is>
      </c>
      <c r="G327" t="n">
        <v>3.2</v>
      </c>
      <c r="H327" t="n">
        <v>0</v>
      </c>
      <c r="I327" t="n">
        <v>0</v>
      </c>
      <c r="J327" t="n">
        <v>0</v>
      </c>
      <c r="K327" t="n">
        <v>0</v>
      </c>
      <c r="L327" t="n">
        <v>0</v>
      </c>
      <c r="M327" t="n">
        <v>0</v>
      </c>
      <c r="N327" t="n">
        <v>0</v>
      </c>
      <c r="O327" t="n">
        <v>0</v>
      </c>
      <c r="P327" t="n">
        <v>0</v>
      </c>
      <c r="Q327" t="n">
        <v>0</v>
      </c>
      <c r="R327" s="2" t="inlineStr"/>
    </row>
    <row r="328" ht="15" customHeight="1">
      <c r="A328" t="inlineStr">
        <is>
          <t>A 17865-2025</t>
        </is>
      </c>
      <c r="B328" s="1" t="n">
        <v>45758.62951388889</v>
      </c>
      <c r="C328" s="1" t="n">
        <v>45996</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40471-2025</t>
        </is>
      </c>
      <c r="B329" s="1" t="n">
        <v>45895.67356481482</v>
      </c>
      <c r="C329" s="1" t="n">
        <v>45996</v>
      </c>
      <c r="D329" t="inlineStr">
        <is>
          <t>DALARNAS LÄN</t>
        </is>
      </c>
      <c r="E329" t="inlineStr">
        <is>
          <t>MORA</t>
        </is>
      </c>
      <c r="G329" t="n">
        <v>2.8</v>
      </c>
      <c r="H329" t="n">
        <v>0</v>
      </c>
      <c r="I329" t="n">
        <v>0</v>
      </c>
      <c r="J329" t="n">
        <v>0</v>
      </c>
      <c r="K329" t="n">
        <v>0</v>
      </c>
      <c r="L329" t="n">
        <v>0</v>
      </c>
      <c r="M329" t="n">
        <v>0</v>
      </c>
      <c r="N329" t="n">
        <v>0</v>
      </c>
      <c r="O329" t="n">
        <v>0</v>
      </c>
      <c r="P329" t="n">
        <v>0</v>
      </c>
      <c r="Q329" t="n">
        <v>0</v>
      </c>
      <c r="R329" s="2" t="inlineStr"/>
    </row>
    <row r="330" ht="15" customHeight="1">
      <c r="A330" t="inlineStr">
        <is>
          <t>A 33676-2023</t>
        </is>
      </c>
      <c r="B330" s="1" t="n">
        <v>45132.6291550926</v>
      </c>
      <c r="C330" s="1" t="n">
        <v>45996</v>
      </c>
      <c r="D330" t="inlineStr">
        <is>
          <t>DALARNAS LÄN</t>
        </is>
      </c>
      <c r="E330" t="inlineStr">
        <is>
          <t>MORA</t>
        </is>
      </c>
      <c r="F330" t="inlineStr">
        <is>
          <t>Bergvik skog öst AB</t>
        </is>
      </c>
      <c r="G330" t="n">
        <v>2.7</v>
      </c>
      <c r="H330" t="n">
        <v>0</v>
      </c>
      <c r="I330" t="n">
        <v>0</v>
      </c>
      <c r="J330" t="n">
        <v>0</v>
      </c>
      <c r="K330" t="n">
        <v>0</v>
      </c>
      <c r="L330" t="n">
        <v>0</v>
      </c>
      <c r="M330" t="n">
        <v>0</v>
      </c>
      <c r="N330" t="n">
        <v>0</v>
      </c>
      <c r="O330" t="n">
        <v>0</v>
      </c>
      <c r="P330" t="n">
        <v>0</v>
      </c>
      <c r="Q330" t="n">
        <v>0</v>
      </c>
      <c r="R330" s="2" t="inlineStr"/>
    </row>
    <row r="331" ht="15" customHeight="1">
      <c r="A331" t="inlineStr">
        <is>
          <t>A 18139-2025</t>
        </is>
      </c>
      <c r="B331" s="1" t="n">
        <v>45761.60459490741</v>
      </c>
      <c r="C331" s="1" t="n">
        <v>45996</v>
      </c>
      <c r="D331" t="inlineStr">
        <is>
          <t>DALARNAS LÄN</t>
        </is>
      </c>
      <c r="E331" t="inlineStr">
        <is>
          <t>MORA</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61188-2024</t>
        </is>
      </c>
      <c r="B332" s="1" t="n">
        <v>45645.62282407407</v>
      </c>
      <c r="C332" s="1" t="n">
        <v>45996</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33443-2025</t>
        </is>
      </c>
      <c r="B333" s="1" t="n">
        <v>45841</v>
      </c>
      <c r="C333" s="1" t="n">
        <v>45996</v>
      </c>
      <c r="D333" t="inlineStr">
        <is>
          <t>DALARNAS LÄN</t>
        </is>
      </c>
      <c r="E333" t="inlineStr">
        <is>
          <t>MORA</t>
        </is>
      </c>
      <c r="G333" t="n">
        <v>2.7</v>
      </c>
      <c r="H333" t="n">
        <v>0</v>
      </c>
      <c r="I333" t="n">
        <v>0</v>
      </c>
      <c r="J333" t="n">
        <v>0</v>
      </c>
      <c r="K333" t="n">
        <v>0</v>
      </c>
      <c r="L333" t="n">
        <v>0</v>
      </c>
      <c r="M333" t="n">
        <v>0</v>
      </c>
      <c r="N333" t="n">
        <v>0</v>
      </c>
      <c r="O333" t="n">
        <v>0</v>
      </c>
      <c r="P333" t="n">
        <v>0</v>
      </c>
      <c r="Q333" t="n">
        <v>0</v>
      </c>
      <c r="R333" s="2" t="inlineStr"/>
    </row>
    <row r="334" ht="15" customHeight="1">
      <c r="A334" t="inlineStr">
        <is>
          <t>A 37710-2023</t>
        </is>
      </c>
      <c r="B334" s="1" t="n">
        <v>45159.59186342593</v>
      </c>
      <c r="C334" s="1" t="n">
        <v>45996</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57999-2023</t>
        </is>
      </c>
      <c r="B335" s="1" t="n">
        <v>45247</v>
      </c>
      <c r="C335" s="1" t="n">
        <v>45996</v>
      </c>
      <c r="D335" t="inlineStr">
        <is>
          <t>DALARNAS LÄN</t>
        </is>
      </c>
      <c r="E335" t="inlineStr">
        <is>
          <t>MORA</t>
        </is>
      </c>
      <c r="G335" t="n">
        <v>0.4</v>
      </c>
      <c r="H335" t="n">
        <v>0</v>
      </c>
      <c r="I335" t="n">
        <v>0</v>
      </c>
      <c r="J335" t="n">
        <v>0</v>
      </c>
      <c r="K335" t="n">
        <v>0</v>
      </c>
      <c r="L335" t="n">
        <v>0</v>
      </c>
      <c r="M335" t="n">
        <v>0</v>
      </c>
      <c r="N335" t="n">
        <v>0</v>
      </c>
      <c r="O335" t="n">
        <v>0</v>
      </c>
      <c r="P335" t="n">
        <v>0</v>
      </c>
      <c r="Q335" t="n">
        <v>0</v>
      </c>
      <c r="R335" s="2" t="inlineStr"/>
    </row>
    <row r="336" ht="15" customHeight="1">
      <c r="A336" t="inlineStr">
        <is>
          <t>A 45355-2024</t>
        </is>
      </c>
      <c r="B336" s="1" t="n">
        <v>45576</v>
      </c>
      <c r="C336" s="1" t="n">
        <v>45996</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37695-2024</t>
        </is>
      </c>
      <c r="B337" s="1" t="n">
        <v>45541.61094907407</v>
      </c>
      <c r="C337" s="1" t="n">
        <v>45996</v>
      </c>
      <c r="D337" t="inlineStr">
        <is>
          <t>DALARNAS LÄN</t>
        </is>
      </c>
      <c r="E337" t="inlineStr">
        <is>
          <t>MORA</t>
        </is>
      </c>
      <c r="G337" t="n">
        <v>19.7</v>
      </c>
      <c r="H337" t="n">
        <v>0</v>
      </c>
      <c r="I337" t="n">
        <v>0</v>
      </c>
      <c r="J337" t="n">
        <v>0</v>
      </c>
      <c r="K337" t="n">
        <v>0</v>
      </c>
      <c r="L337" t="n">
        <v>0</v>
      </c>
      <c r="M337" t="n">
        <v>0</v>
      </c>
      <c r="N337" t="n">
        <v>0</v>
      </c>
      <c r="O337" t="n">
        <v>0</v>
      </c>
      <c r="P337" t="n">
        <v>0</v>
      </c>
      <c r="Q337" t="n">
        <v>0</v>
      </c>
      <c r="R337" s="2" t="inlineStr"/>
    </row>
    <row r="338" ht="15" customHeight="1">
      <c r="A338" t="inlineStr">
        <is>
          <t>A 28934-2023</t>
        </is>
      </c>
      <c r="B338" s="1" t="n">
        <v>45104</v>
      </c>
      <c r="C338" s="1" t="n">
        <v>45996</v>
      </c>
      <c r="D338" t="inlineStr">
        <is>
          <t>DALARNAS LÄN</t>
        </is>
      </c>
      <c r="E338" t="inlineStr">
        <is>
          <t>MORA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24335-2022</t>
        </is>
      </c>
      <c r="B339" s="1" t="n">
        <v>44725</v>
      </c>
      <c r="C339" s="1" t="n">
        <v>45996</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55120-2024</t>
        </is>
      </c>
      <c r="B340" s="1" t="n">
        <v>45621.45765046297</v>
      </c>
      <c r="C340" s="1" t="n">
        <v>45996</v>
      </c>
      <c r="D340" t="inlineStr">
        <is>
          <t>DALARNAS LÄN</t>
        </is>
      </c>
      <c r="E340" t="inlineStr">
        <is>
          <t>MORA</t>
        </is>
      </c>
      <c r="G340" t="n">
        <v>1.9</v>
      </c>
      <c r="H340" t="n">
        <v>0</v>
      </c>
      <c r="I340" t="n">
        <v>0</v>
      </c>
      <c r="J340" t="n">
        <v>0</v>
      </c>
      <c r="K340" t="n">
        <v>0</v>
      </c>
      <c r="L340" t="n">
        <v>0</v>
      </c>
      <c r="M340" t="n">
        <v>0</v>
      </c>
      <c r="N340" t="n">
        <v>0</v>
      </c>
      <c r="O340" t="n">
        <v>0</v>
      </c>
      <c r="P340" t="n">
        <v>0</v>
      </c>
      <c r="Q340" t="n">
        <v>0</v>
      </c>
      <c r="R340" s="2" t="inlineStr"/>
    </row>
    <row r="341" ht="15" customHeight="1">
      <c r="A341" t="inlineStr">
        <is>
          <t>A 34660-2021</t>
        </is>
      </c>
      <c r="B341" s="1" t="n">
        <v>44382.57981481482</v>
      </c>
      <c r="C341" s="1" t="n">
        <v>45996</v>
      </c>
      <c r="D341" t="inlineStr">
        <is>
          <t>DALARNAS LÄN</t>
        </is>
      </c>
      <c r="E341" t="inlineStr">
        <is>
          <t>MORA</t>
        </is>
      </c>
      <c r="G341" t="n">
        <v>7.5</v>
      </c>
      <c r="H341" t="n">
        <v>0</v>
      </c>
      <c r="I341" t="n">
        <v>0</v>
      </c>
      <c r="J341" t="n">
        <v>0</v>
      </c>
      <c r="K341" t="n">
        <v>0</v>
      </c>
      <c r="L341" t="n">
        <v>0</v>
      </c>
      <c r="M341" t="n">
        <v>0</v>
      </c>
      <c r="N341" t="n">
        <v>0</v>
      </c>
      <c r="O341" t="n">
        <v>0</v>
      </c>
      <c r="P341" t="n">
        <v>0</v>
      </c>
      <c r="Q341" t="n">
        <v>0</v>
      </c>
      <c r="R341" s="2" t="inlineStr"/>
    </row>
    <row r="342" ht="15" customHeight="1">
      <c r="A342" t="inlineStr">
        <is>
          <t>A 15416-2023</t>
        </is>
      </c>
      <c r="B342" s="1" t="n">
        <v>45019.71342592593</v>
      </c>
      <c r="C342" s="1" t="n">
        <v>45996</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34182-2025</t>
        </is>
      </c>
      <c r="B343" s="1" t="n">
        <v>45845.60520833333</v>
      </c>
      <c r="C343" s="1" t="n">
        <v>45996</v>
      </c>
      <c r="D343" t="inlineStr">
        <is>
          <t>DALARNAS LÄN</t>
        </is>
      </c>
      <c r="E343" t="inlineStr">
        <is>
          <t>MORA</t>
        </is>
      </c>
      <c r="G343" t="n">
        <v>3.4</v>
      </c>
      <c r="H343" t="n">
        <v>0</v>
      </c>
      <c r="I343" t="n">
        <v>0</v>
      </c>
      <c r="J343" t="n">
        <v>0</v>
      </c>
      <c r="K343" t="n">
        <v>0</v>
      </c>
      <c r="L343" t="n">
        <v>0</v>
      </c>
      <c r="M343" t="n">
        <v>0</v>
      </c>
      <c r="N343" t="n">
        <v>0</v>
      </c>
      <c r="O343" t="n">
        <v>0</v>
      </c>
      <c r="P343" t="n">
        <v>0</v>
      </c>
      <c r="Q343" t="n">
        <v>0</v>
      </c>
      <c r="R343" s="2" t="inlineStr"/>
    </row>
    <row r="344" ht="15" customHeight="1">
      <c r="A344" t="inlineStr">
        <is>
          <t>A 34005-2025</t>
        </is>
      </c>
      <c r="B344" s="1" t="n">
        <v>45844.58890046296</v>
      </c>
      <c r="C344" s="1" t="n">
        <v>45996</v>
      </c>
      <c r="D344" t="inlineStr">
        <is>
          <t>DALARNAS LÄN</t>
        </is>
      </c>
      <c r="E344" t="inlineStr">
        <is>
          <t>MORA</t>
        </is>
      </c>
      <c r="G344" t="n">
        <v>7.2</v>
      </c>
      <c r="H344" t="n">
        <v>0</v>
      </c>
      <c r="I344" t="n">
        <v>0</v>
      </c>
      <c r="J344" t="n">
        <v>0</v>
      </c>
      <c r="K344" t="n">
        <v>0</v>
      </c>
      <c r="L344" t="n">
        <v>0</v>
      </c>
      <c r="M344" t="n">
        <v>0</v>
      </c>
      <c r="N344" t="n">
        <v>0</v>
      </c>
      <c r="O344" t="n">
        <v>0</v>
      </c>
      <c r="P344" t="n">
        <v>0</v>
      </c>
      <c r="Q344" t="n">
        <v>0</v>
      </c>
      <c r="R344" s="2" t="inlineStr"/>
    </row>
    <row r="345" ht="15" customHeight="1">
      <c r="A345" t="inlineStr">
        <is>
          <t>A 5769-2025</t>
        </is>
      </c>
      <c r="B345" s="1" t="n">
        <v>45694.59288194445</v>
      </c>
      <c r="C345" s="1" t="n">
        <v>45996</v>
      </c>
      <c r="D345" t="inlineStr">
        <is>
          <t>DALARNAS LÄN</t>
        </is>
      </c>
      <c r="E345" t="inlineStr">
        <is>
          <t>MORA</t>
        </is>
      </c>
      <c r="G345" t="n">
        <v>15.7</v>
      </c>
      <c r="H345" t="n">
        <v>0</v>
      </c>
      <c r="I345" t="n">
        <v>0</v>
      </c>
      <c r="J345" t="n">
        <v>0</v>
      </c>
      <c r="K345" t="n">
        <v>0</v>
      </c>
      <c r="L345" t="n">
        <v>0</v>
      </c>
      <c r="M345" t="n">
        <v>0</v>
      </c>
      <c r="N345" t="n">
        <v>0</v>
      </c>
      <c r="O345" t="n">
        <v>0</v>
      </c>
      <c r="P345" t="n">
        <v>0</v>
      </c>
      <c r="Q345" t="n">
        <v>0</v>
      </c>
      <c r="R345" s="2" t="inlineStr"/>
    </row>
    <row r="346" ht="15" customHeight="1">
      <c r="A346" t="inlineStr">
        <is>
          <t>A 42934-2024</t>
        </is>
      </c>
      <c r="B346" s="1" t="n">
        <v>45567.33655092592</v>
      </c>
      <c r="C346" s="1" t="n">
        <v>45996</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17516-2024</t>
        </is>
      </c>
      <c r="B347" s="1" t="n">
        <v>45415.58502314815</v>
      </c>
      <c r="C347" s="1" t="n">
        <v>45996</v>
      </c>
      <c r="D347" t="inlineStr">
        <is>
          <t>DALARNAS LÄN</t>
        </is>
      </c>
      <c r="E347" t="inlineStr">
        <is>
          <t>MORA</t>
        </is>
      </c>
      <c r="G347" t="n">
        <v>1.4</v>
      </c>
      <c r="H347" t="n">
        <v>0</v>
      </c>
      <c r="I347" t="n">
        <v>0</v>
      </c>
      <c r="J347" t="n">
        <v>0</v>
      </c>
      <c r="K347" t="n">
        <v>0</v>
      </c>
      <c r="L347" t="n">
        <v>0</v>
      </c>
      <c r="M347" t="n">
        <v>0</v>
      </c>
      <c r="N347" t="n">
        <v>0</v>
      </c>
      <c r="O347" t="n">
        <v>0</v>
      </c>
      <c r="P347" t="n">
        <v>0</v>
      </c>
      <c r="Q347" t="n">
        <v>0</v>
      </c>
      <c r="R347" s="2" t="inlineStr"/>
    </row>
    <row r="348" ht="15" customHeight="1">
      <c r="A348" t="inlineStr">
        <is>
          <t>A 34482-2025</t>
        </is>
      </c>
      <c r="B348" s="1" t="n">
        <v>45847.38469907407</v>
      </c>
      <c r="C348" s="1" t="n">
        <v>45996</v>
      </c>
      <c r="D348" t="inlineStr">
        <is>
          <t>DALARNAS LÄN</t>
        </is>
      </c>
      <c r="E348" t="inlineStr">
        <is>
          <t>MORA</t>
        </is>
      </c>
      <c r="G348" t="n">
        <v>1.5</v>
      </c>
      <c r="H348" t="n">
        <v>0</v>
      </c>
      <c r="I348" t="n">
        <v>0</v>
      </c>
      <c r="J348" t="n">
        <v>0</v>
      </c>
      <c r="K348" t="n">
        <v>0</v>
      </c>
      <c r="L348" t="n">
        <v>0</v>
      </c>
      <c r="M348" t="n">
        <v>0</v>
      </c>
      <c r="N348" t="n">
        <v>0</v>
      </c>
      <c r="O348" t="n">
        <v>0</v>
      </c>
      <c r="P348" t="n">
        <v>0</v>
      </c>
      <c r="Q348" t="n">
        <v>0</v>
      </c>
      <c r="R348" s="2" t="inlineStr"/>
    </row>
    <row r="349" ht="15" customHeight="1">
      <c r="A349" t="inlineStr">
        <is>
          <t>A 54253-2023</t>
        </is>
      </c>
      <c r="B349" s="1" t="n">
        <v>45232.63217592592</v>
      </c>
      <c r="C349" s="1" t="n">
        <v>45996</v>
      </c>
      <c r="D349" t="inlineStr">
        <is>
          <t>DALARNAS LÄN</t>
        </is>
      </c>
      <c r="E349" t="inlineStr">
        <is>
          <t>MORA</t>
        </is>
      </c>
      <c r="G349" t="n">
        <v>4.5</v>
      </c>
      <c r="H349" t="n">
        <v>0</v>
      </c>
      <c r="I349" t="n">
        <v>0</v>
      </c>
      <c r="J349" t="n">
        <v>0</v>
      </c>
      <c r="K349" t="n">
        <v>0</v>
      </c>
      <c r="L349" t="n">
        <v>0</v>
      </c>
      <c r="M349" t="n">
        <v>0</v>
      </c>
      <c r="N349" t="n">
        <v>0</v>
      </c>
      <c r="O349" t="n">
        <v>0</v>
      </c>
      <c r="P349" t="n">
        <v>0</v>
      </c>
      <c r="Q349" t="n">
        <v>0</v>
      </c>
      <c r="R349" s="2" t="inlineStr"/>
    </row>
    <row r="350" ht="15" customHeight="1">
      <c r="A350" t="inlineStr">
        <is>
          <t>A 49159-2023</t>
        </is>
      </c>
      <c r="B350" s="1" t="n">
        <v>45210</v>
      </c>
      <c r="C350" s="1" t="n">
        <v>45996</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29188-2023</t>
        </is>
      </c>
      <c r="B351" s="1" t="n">
        <v>45105.54270833333</v>
      </c>
      <c r="C351" s="1" t="n">
        <v>45996</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34382-2025</t>
        </is>
      </c>
      <c r="B352" s="1" t="n">
        <v>45846</v>
      </c>
      <c r="C352" s="1" t="n">
        <v>45996</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57608-2021</t>
        </is>
      </c>
      <c r="B353" s="1" t="n">
        <v>44484</v>
      </c>
      <c r="C353" s="1" t="n">
        <v>45996</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25737-2025</t>
        </is>
      </c>
      <c r="B354" s="1" t="n">
        <v>45800</v>
      </c>
      <c r="C354" s="1" t="n">
        <v>45996</v>
      </c>
      <c r="D354" t="inlineStr">
        <is>
          <t>DALARNAS LÄN</t>
        </is>
      </c>
      <c r="E354" t="inlineStr">
        <is>
          <t>MORA</t>
        </is>
      </c>
      <c r="G354" t="n">
        <v>9.6</v>
      </c>
      <c r="H354" t="n">
        <v>0</v>
      </c>
      <c r="I354" t="n">
        <v>0</v>
      </c>
      <c r="J354" t="n">
        <v>0</v>
      </c>
      <c r="K354" t="n">
        <v>0</v>
      </c>
      <c r="L354" t="n">
        <v>0</v>
      </c>
      <c r="M354" t="n">
        <v>0</v>
      </c>
      <c r="N354" t="n">
        <v>0</v>
      </c>
      <c r="O354" t="n">
        <v>0</v>
      </c>
      <c r="P354" t="n">
        <v>0</v>
      </c>
      <c r="Q354" t="n">
        <v>0</v>
      </c>
      <c r="R354" s="2" t="inlineStr"/>
    </row>
    <row r="355" ht="15" customHeight="1">
      <c r="A355" t="inlineStr">
        <is>
          <t>A 12151-2021</t>
        </is>
      </c>
      <c r="B355" s="1" t="n">
        <v>44266</v>
      </c>
      <c r="C355" s="1" t="n">
        <v>45996</v>
      </c>
      <c r="D355" t="inlineStr">
        <is>
          <t>DALARNAS LÄN</t>
        </is>
      </c>
      <c r="E355" t="inlineStr">
        <is>
          <t>MORA</t>
        </is>
      </c>
      <c r="G355" t="n">
        <v>0.5</v>
      </c>
      <c r="H355" t="n">
        <v>0</v>
      </c>
      <c r="I355" t="n">
        <v>0</v>
      </c>
      <c r="J355" t="n">
        <v>0</v>
      </c>
      <c r="K355" t="n">
        <v>0</v>
      </c>
      <c r="L355" t="n">
        <v>0</v>
      </c>
      <c r="M355" t="n">
        <v>0</v>
      </c>
      <c r="N355" t="n">
        <v>0</v>
      </c>
      <c r="O355" t="n">
        <v>0</v>
      </c>
      <c r="P355" t="n">
        <v>0</v>
      </c>
      <c r="Q355" t="n">
        <v>0</v>
      </c>
      <c r="R355" s="2" t="inlineStr"/>
    </row>
    <row r="356" ht="15" customHeight="1">
      <c r="A356" t="inlineStr">
        <is>
          <t>A 34933-2025</t>
        </is>
      </c>
      <c r="B356" s="1" t="n">
        <v>45849.57297453703</v>
      </c>
      <c r="C356" s="1" t="n">
        <v>45996</v>
      </c>
      <c r="D356" t="inlineStr">
        <is>
          <t>DALARNAS LÄN</t>
        </is>
      </c>
      <c r="E356" t="inlineStr">
        <is>
          <t>MORA</t>
        </is>
      </c>
      <c r="F356" t="inlineStr">
        <is>
          <t>Bergvik skog väst AB</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26314-2021</t>
        </is>
      </c>
      <c r="B357" s="1" t="n">
        <v>44347</v>
      </c>
      <c r="C357" s="1" t="n">
        <v>45996</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30985-2024</t>
        </is>
      </c>
      <c r="B358" s="1" t="n">
        <v>45499.51721064815</v>
      </c>
      <c r="C358" s="1" t="n">
        <v>45996</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18202-2024</t>
        </is>
      </c>
      <c r="B359" s="1" t="n">
        <v>45420.68172453704</v>
      </c>
      <c r="C359" s="1" t="n">
        <v>45996</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40286-2024</t>
        </is>
      </c>
      <c r="B360" s="1" t="n">
        <v>45554.6687037037</v>
      </c>
      <c r="C360" s="1" t="n">
        <v>45996</v>
      </c>
      <c r="D360" t="inlineStr">
        <is>
          <t>DALARNAS LÄN</t>
        </is>
      </c>
      <c r="E360" t="inlineStr">
        <is>
          <t>MORA</t>
        </is>
      </c>
      <c r="G360" t="n">
        <v>0.4</v>
      </c>
      <c r="H360" t="n">
        <v>0</v>
      </c>
      <c r="I360" t="n">
        <v>0</v>
      </c>
      <c r="J360" t="n">
        <v>0</v>
      </c>
      <c r="K360" t="n">
        <v>0</v>
      </c>
      <c r="L360" t="n">
        <v>0</v>
      </c>
      <c r="M360" t="n">
        <v>0</v>
      </c>
      <c r="N360" t="n">
        <v>0</v>
      </c>
      <c r="O360" t="n">
        <v>0</v>
      </c>
      <c r="P360" t="n">
        <v>0</v>
      </c>
      <c r="Q360" t="n">
        <v>0</v>
      </c>
      <c r="R360" s="2" t="inlineStr"/>
    </row>
    <row r="361" ht="15" customHeight="1">
      <c r="A361" t="inlineStr">
        <is>
          <t>A 17393-2025</t>
        </is>
      </c>
      <c r="B361" s="1" t="n">
        <v>45757.34350694445</v>
      </c>
      <c r="C361" s="1" t="n">
        <v>45996</v>
      </c>
      <c r="D361" t="inlineStr">
        <is>
          <t>DALARNAS LÄN</t>
        </is>
      </c>
      <c r="E361" t="inlineStr">
        <is>
          <t>MORA</t>
        </is>
      </c>
      <c r="G361" t="n">
        <v>10.1</v>
      </c>
      <c r="H361" t="n">
        <v>0</v>
      </c>
      <c r="I361" t="n">
        <v>0</v>
      </c>
      <c r="J361" t="n">
        <v>0</v>
      </c>
      <c r="K361" t="n">
        <v>0</v>
      </c>
      <c r="L361" t="n">
        <v>0</v>
      </c>
      <c r="M361" t="n">
        <v>0</v>
      </c>
      <c r="N361" t="n">
        <v>0</v>
      </c>
      <c r="O361" t="n">
        <v>0</v>
      </c>
      <c r="P361" t="n">
        <v>0</v>
      </c>
      <c r="Q361" t="n">
        <v>0</v>
      </c>
      <c r="R361" s="2" t="inlineStr"/>
    </row>
    <row r="362" ht="15" customHeight="1">
      <c r="A362" t="inlineStr">
        <is>
          <t>A 40140-2025</t>
        </is>
      </c>
      <c r="B362" s="1" t="n">
        <v>45894.57016203704</v>
      </c>
      <c r="C362" s="1" t="n">
        <v>45996</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40142-2025</t>
        </is>
      </c>
      <c r="B363" s="1" t="n">
        <v>45894.57202546296</v>
      </c>
      <c r="C363" s="1" t="n">
        <v>45996</v>
      </c>
      <c r="D363" t="inlineStr">
        <is>
          <t>DALARNAS LÄN</t>
        </is>
      </c>
      <c r="E363" t="inlineStr">
        <is>
          <t>MORA</t>
        </is>
      </c>
      <c r="G363" t="n">
        <v>0.4</v>
      </c>
      <c r="H363" t="n">
        <v>0</v>
      </c>
      <c r="I363" t="n">
        <v>0</v>
      </c>
      <c r="J363" t="n">
        <v>0</v>
      </c>
      <c r="K363" t="n">
        <v>0</v>
      </c>
      <c r="L363" t="n">
        <v>0</v>
      </c>
      <c r="M363" t="n">
        <v>0</v>
      </c>
      <c r="N363" t="n">
        <v>0</v>
      </c>
      <c r="O363" t="n">
        <v>0</v>
      </c>
      <c r="P363" t="n">
        <v>0</v>
      </c>
      <c r="Q363" t="n">
        <v>0</v>
      </c>
      <c r="R363" s="2" t="inlineStr"/>
    </row>
    <row r="364" ht="15" customHeight="1">
      <c r="A364" t="inlineStr">
        <is>
          <t>A 41169-2023</t>
        </is>
      </c>
      <c r="B364" s="1" t="n">
        <v>45174.34662037037</v>
      </c>
      <c r="C364" s="1" t="n">
        <v>45996</v>
      </c>
      <c r="D364" t="inlineStr">
        <is>
          <t>DALARNAS LÄN</t>
        </is>
      </c>
      <c r="E364" t="inlineStr">
        <is>
          <t>MORA</t>
        </is>
      </c>
      <c r="G364" t="n">
        <v>3</v>
      </c>
      <c r="H364" t="n">
        <v>0</v>
      </c>
      <c r="I364" t="n">
        <v>0</v>
      </c>
      <c r="J364" t="n">
        <v>0</v>
      </c>
      <c r="K364" t="n">
        <v>0</v>
      </c>
      <c r="L364" t="n">
        <v>0</v>
      </c>
      <c r="M364" t="n">
        <v>0</v>
      </c>
      <c r="N364" t="n">
        <v>0</v>
      </c>
      <c r="O364" t="n">
        <v>0</v>
      </c>
      <c r="P364" t="n">
        <v>0</v>
      </c>
      <c r="Q364" t="n">
        <v>0</v>
      </c>
      <c r="R364" s="2" t="inlineStr"/>
    </row>
    <row r="365" ht="15" customHeight="1">
      <c r="A365" t="inlineStr">
        <is>
          <t>A 35121-2025</t>
        </is>
      </c>
      <c r="B365" s="1" t="n">
        <v>45852.60936342592</v>
      </c>
      <c r="C365" s="1" t="n">
        <v>45996</v>
      </c>
      <c r="D365" t="inlineStr">
        <is>
          <t>DALARNAS LÄN</t>
        </is>
      </c>
      <c r="E365" t="inlineStr">
        <is>
          <t>MORA</t>
        </is>
      </c>
      <c r="F365" t="inlineStr">
        <is>
          <t>Bergvik skog öst AB</t>
        </is>
      </c>
      <c r="G365" t="n">
        <v>15.9</v>
      </c>
      <c r="H365" t="n">
        <v>0</v>
      </c>
      <c r="I365" t="n">
        <v>0</v>
      </c>
      <c r="J365" t="n">
        <v>0</v>
      </c>
      <c r="K365" t="n">
        <v>0</v>
      </c>
      <c r="L365" t="n">
        <v>0</v>
      </c>
      <c r="M365" t="n">
        <v>0</v>
      </c>
      <c r="N365" t="n">
        <v>0</v>
      </c>
      <c r="O365" t="n">
        <v>0</v>
      </c>
      <c r="P365" t="n">
        <v>0</v>
      </c>
      <c r="Q365" t="n">
        <v>0</v>
      </c>
      <c r="R365" s="2" t="inlineStr"/>
    </row>
    <row r="366" ht="15" customHeight="1">
      <c r="A366" t="inlineStr">
        <is>
          <t>A 25887-2023</t>
        </is>
      </c>
      <c r="B366" s="1" t="n">
        <v>45090.62493055555</v>
      </c>
      <c r="C366" s="1" t="n">
        <v>45996</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40147-2025</t>
        </is>
      </c>
      <c r="B367" s="1" t="n">
        <v>45894.57918981482</v>
      </c>
      <c r="C367" s="1" t="n">
        <v>45996</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35407-2025</t>
        </is>
      </c>
      <c r="B368" s="1" t="n">
        <v>45855.35989583333</v>
      </c>
      <c r="C368" s="1" t="n">
        <v>45996</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9277-2024</t>
        </is>
      </c>
      <c r="B369" s="1" t="n">
        <v>45358.63265046296</v>
      </c>
      <c r="C369" s="1" t="n">
        <v>45996</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35611-2025</t>
        </is>
      </c>
      <c r="B370" s="1" t="n">
        <v>45859.35384259259</v>
      </c>
      <c r="C370" s="1" t="n">
        <v>45996</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35734-2025</t>
        </is>
      </c>
      <c r="B371" s="1" t="n">
        <v>45860.471875</v>
      </c>
      <c r="C371" s="1" t="n">
        <v>45996</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35623-2025</t>
        </is>
      </c>
      <c r="B372" s="1" t="n">
        <v>45859</v>
      </c>
      <c r="C372" s="1" t="n">
        <v>45996</v>
      </c>
      <c r="D372" t="inlineStr">
        <is>
          <t>DALARNAS LÄN</t>
        </is>
      </c>
      <c r="E372" t="inlineStr">
        <is>
          <t>MORA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64099-2023</t>
        </is>
      </c>
      <c r="B373" s="1" t="n">
        <v>45279.46009259259</v>
      </c>
      <c r="C373" s="1" t="n">
        <v>45996</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35622-2025</t>
        </is>
      </c>
      <c r="B374" s="1" t="n">
        <v>45859</v>
      </c>
      <c r="C374" s="1" t="n">
        <v>45996</v>
      </c>
      <c r="D374" t="inlineStr">
        <is>
          <t>DALARNAS LÄN</t>
        </is>
      </c>
      <c r="E374" t="inlineStr">
        <is>
          <t>MORA</t>
        </is>
      </c>
      <c r="F374" t="inlineStr">
        <is>
          <t>Bergvik skog öst AB</t>
        </is>
      </c>
      <c r="G374" t="n">
        <v>5.8</v>
      </c>
      <c r="H374" t="n">
        <v>0</v>
      </c>
      <c r="I374" t="n">
        <v>0</v>
      </c>
      <c r="J374" t="n">
        <v>0</v>
      </c>
      <c r="K374" t="n">
        <v>0</v>
      </c>
      <c r="L374" t="n">
        <v>0</v>
      </c>
      <c r="M374" t="n">
        <v>0</v>
      </c>
      <c r="N374" t="n">
        <v>0</v>
      </c>
      <c r="O374" t="n">
        <v>0</v>
      </c>
      <c r="P374" t="n">
        <v>0</v>
      </c>
      <c r="Q374" t="n">
        <v>0</v>
      </c>
      <c r="R374" s="2" t="inlineStr"/>
    </row>
    <row r="375" ht="15" customHeight="1">
      <c r="A375" t="inlineStr">
        <is>
          <t>A 43826-2022</t>
        </is>
      </c>
      <c r="B375" s="1" t="n">
        <v>44838</v>
      </c>
      <c r="C375" s="1" t="n">
        <v>45996</v>
      </c>
      <c r="D375" t="inlineStr">
        <is>
          <t>DALARNAS LÄN</t>
        </is>
      </c>
      <c r="E375" t="inlineStr">
        <is>
          <t>MORA</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35624-2025</t>
        </is>
      </c>
      <c r="B376" s="1" t="n">
        <v>45859</v>
      </c>
      <c r="C376" s="1" t="n">
        <v>45996</v>
      </c>
      <c r="D376" t="inlineStr">
        <is>
          <t>DALARNAS LÄN</t>
        </is>
      </c>
      <c r="E376" t="inlineStr">
        <is>
          <t>MORA</t>
        </is>
      </c>
      <c r="F376" t="inlineStr">
        <is>
          <t>Bergvik skog öst AB</t>
        </is>
      </c>
      <c r="G376" t="n">
        <v>0.8</v>
      </c>
      <c r="H376" t="n">
        <v>0</v>
      </c>
      <c r="I376" t="n">
        <v>0</v>
      </c>
      <c r="J376" t="n">
        <v>0</v>
      </c>
      <c r="K376" t="n">
        <v>0</v>
      </c>
      <c r="L376" t="n">
        <v>0</v>
      </c>
      <c r="M376" t="n">
        <v>0</v>
      </c>
      <c r="N376" t="n">
        <v>0</v>
      </c>
      <c r="O376" t="n">
        <v>0</v>
      </c>
      <c r="P376" t="n">
        <v>0</v>
      </c>
      <c r="Q376" t="n">
        <v>0</v>
      </c>
      <c r="R376" s="2" t="inlineStr"/>
    </row>
    <row r="377" ht="15" customHeight="1">
      <c r="A377" t="inlineStr">
        <is>
          <t>A 44106-2023</t>
        </is>
      </c>
      <c r="B377" s="1" t="n">
        <v>45188</v>
      </c>
      <c r="C377" s="1" t="n">
        <v>45996</v>
      </c>
      <c r="D377" t="inlineStr">
        <is>
          <t>DALARNAS LÄN</t>
        </is>
      </c>
      <c r="E377" t="inlineStr">
        <is>
          <t>MORA</t>
        </is>
      </c>
      <c r="G377" t="n">
        <v>10.1</v>
      </c>
      <c r="H377" t="n">
        <v>0</v>
      </c>
      <c r="I377" t="n">
        <v>0</v>
      </c>
      <c r="J377" t="n">
        <v>0</v>
      </c>
      <c r="K377" t="n">
        <v>0</v>
      </c>
      <c r="L377" t="n">
        <v>0</v>
      </c>
      <c r="M377" t="n">
        <v>0</v>
      </c>
      <c r="N377" t="n">
        <v>0</v>
      </c>
      <c r="O377" t="n">
        <v>0</v>
      </c>
      <c r="P377" t="n">
        <v>0</v>
      </c>
      <c r="Q377" t="n">
        <v>0</v>
      </c>
      <c r="R377" s="2" t="inlineStr"/>
    </row>
    <row r="378" ht="15" customHeight="1">
      <c r="A378" t="inlineStr">
        <is>
          <t>A 19910-2024</t>
        </is>
      </c>
      <c r="B378" s="1" t="n">
        <v>45433.5741087963</v>
      </c>
      <c r="C378" s="1" t="n">
        <v>45996</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23300-2024</t>
        </is>
      </c>
      <c r="B379" s="1" t="n">
        <v>45453.43695601852</v>
      </c>
      <c r="C379" s="1" t="n">
        <v>45996</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40660-2025</t>
        </is>
      </c>
      <c r="B380" s="1" t="n">
        <v>45896.64631944444</v>
      </c>
      <c r="C380" s="1" t="n">
        <v>45996</v>
      </c>
      <c r="D380" t="inlineStr">
        <is>
          <t>DALARNAS LÄN</t>
        </is>
      </c>
      <c r="E380" t="inlineStr">
        <is>
          <t>MORA</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59002-2024</t>
        </is>
      </c>
      <c r="B381" s="1" t="n">
        <v>45636</v>
      </c>
      <c r="C381" s="1" t="n">
        <v>45996</v>
      </c>
      <c r="D381" t="inlineStr">
        <is>
          <t>DALARNAS LÄN</t>
        </is>
      </c>
      <c r="E381" t="inlineStr">
        <is>
          <t>MORA</t>
        </is>
      </c>
      <c r="F381" t="inlineStr">
        <is>
          <t>Bergvik skog väst AB</t>
        </is>
      </c>
      <c r="G381" t="n">
        <v>24.8</v>
      </c>
      <c r="H381" t="n">
        <v>0</v>
      </c>
      <c r="I381" t="n">
        <v>0</v>
      </c>
      <c r="J381" t="n">
        <v>0</v>
      </c>
      <c r="K381" t="n">
        <v>0</v>
      </c>
      <c r="L381" t="n">
        <v>0</v>
      </c>
      <c r="M381" t="n">
        <v>0</v>
      </c>
      <c r="N381" t="n">
        <v>0</v>
      </c>
      <c r="O381" t="n">
        <v>0</v>
      </c>
      <c r="P381" t="n">
        <v>0</v>
      </c>
      <c r="Q381" t="n">
        <v>0</v>
      </c>
      <c r="R381" s="2" t="inlineStr"/>
    </row>
    <row r="382" ht="15" customHeight="1">
      <c r="A382" t="inlineStr">
        <is>
          <t>A 36041-2025</t>
        </is>
      </c>
      <c r="B382" s="1" t="n">
        <v>45866.34385416667</v>
      </c>
      <c r="C382" s="1" t="n">
        <v>45996</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19896-2021</t>
        </is>
      </c>
      <c r="B383" s="1" t="n">
        <v>44313.54942129629</v>
      </c>
      <c r="C383" s="1" t="n">
        <v>45996</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5980-2025</t>
        </is>
      </c>
      <c r="B384" s="1" t="n">
        <v>45695.54651620371</v>
      </c>
      <c r="C384" s="1" t="n">
        <v>45996</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40805-2025</t>
        </is>
      </c>
      <c r="B385" s="1" t="n">
        <v>45897.46659722222</v>
      </c>
      <c r="C385" s="1" t="n">
        <v>45996</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9599-2022</t>
        </is>
      </c>
      <c r="B386" s="1" t="n">
        <v>44617.48909722222</v>
      </c>
      <c r="C386" s="1" t="n">
        <v>45996</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40661-2025</t>
        </is>
      </c>
      <c r="B387" s="1" t="n">
        <v>45896.64715277778</v>
      </c>
      <c r="C387" s="1" t="n">
        <v>45996</v>
      </c>
      <c r="D387" t="inlineStr">
        <is>
          <t>DALARNAS LÄN</t>
        </is>
      </c>
      <c r="E387" t="inlineStr">
        <is>
          <t>MORA</t>
        </is>
      </c>
      <c r="G387" t="n">
        <v>2.8</v>
      </c>
      <c r="H387" t="n">
        <v>0</v>
      </c>
      <c r="I387" t="n">
        <v>0</v>
      </c>
      <c r="J387" t="n">
        <v>0</v>
      </c>
      <c r="K387" t="n">
        <v>0</v>
      </c>
      <c r="L387" t="n">
        <v>0</v>
      </c>
      <c r="M387" t="n">
        <v>0</v>
      </c>
      <c r="N387" t="n">
        <v>0</v>
      </c>
      <c r="O387" t="n">
        <v>0</v>
      </c>
      <c r="P387" t="n">
        <v>0</v>
      </c>
      <c r="Q387" t="n">
        <v>0</v>
      </c>
      <c r="R387" s="2" t="inlineStr"/>
    </row>
    <row r="388" ht="15" customHeight="1">
      <c r="A388" t="inlineStr">
        <is>
          <t>A 35521-2023</t>
        </is>
      </c>
      <c r="B388" s="1" t="n">
        <v>45147.33251157407</v>
      </c>
      <c r="C388" s="1" t="n">
        <v>45996</v>
      </c>
      <c r="D388" t="inlineStr">
        <is>
          <t>DALARNAS LÄN</t>
        </is>
      </c>
      <c r="E388" t="inlineStr">
        <is>
          <t>MORA</t>
        </is>
      </c>
      <c r="G388" t="n">
        <v>3.7</v>
      </c>
      <c r="H388" t="n">
        <v>0</v>
      </c>
      <c r="I388" t="n">
        <v>0</v>
      </c>
      <c r="J388" t="n">
        <v>0</v>
      </c>
      <c r="K388" t="n">
        <v>0</v>
      </c>
      <c r="L388" t="n">
        <v>0</v>
      </c>
      <c r="M388" t="n">
        <v>0</v>
      </c>
      <c r="N388" t="n">
        <v>0</v>
      </c>
      <c r="O388" t="n">
        <v>0</v>
      </c>
      <c r="P388" t="n">
        <v>0</v>
      </c>
      <c r="Q388" t="n">
        <v>0</v>
      </c>
      <c r="R388" s="2" t="inlineStr"/>
    </row>
    <row r="389" ht="15" customHeight="1">
      <c r="A389" t="inlineStr">
        <is>
          <t>A 16174-2025</t>
        </is>
      </c>
      <c r="B389" s="1" t="n">
        <v>45750</v>
      </c>
      <c r="C389" s="1" t="n">
        <v>45996</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25345-2025</t>
        </is>
      </c>
      <c r="B390" s="1" t="n">
        <v>45799</v>
      </c>
      <c r="C390" s="1" t="n">
        <v>45996</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60715-2023</t>
        </is>
      </c>
      <c r="B391" s="1" t="n">
        <v>45260.52684027778</v>
      </c>
      <c r="C391" s="1" t="n">
        <v>45996</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54257-2023</t>
        </is>
      </c>
      <c r="B392" s="1" t="n">
        <v>45232.64195601852</v>
      </c>
      <c r="C392" s="1" t="n">
        <v>45996</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5309-2023</t>
        </is>
      </c>
      <c r="B393" s="1" t="n">
        <v>44956</v>
      </c>
      <c r="C393" s="1" t="n">
        <v>45996</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41200-2025</t>
        </is>
      </c>
      <c r="B394" s="1" t="n">
        <v>45898.5738425926</v>
      </c>
      <c r="C394" s="1" t="n">
        <v>45996</v>
      </c>
      <c r="D394" t="inlineStr">
        <is>
          <t>DALARNAS LÄN</t>
        </is>
      </c>
      <c r="E394" t="inlineStr">
        <is>
          <t>MORA</t>
        </is>
      </c>
      <c r="G394" t="n">
        <v>8.9</v>
      </c>
      <c r="H394" t="n">
        <v>0</v>
      </c>
      <c r="I394" t="n">
        <v>0</v>
      </c>
      <c r="J394" t="n">
        <v>0</v>
      </c>
      <c r="K394" t="n">
        <v>0</v>
      </c>
      <c r="L394" t="n">
        <v>0</v>
      </c>
      <c r="M394" t="n">
        <v>0</v>
      </c>
      <c r="N394" t="n">
        <v>0</v>
      </c>
      <c r="O394" t="n">
        <v>0</v>
      </c>
      <c r="P394" t="n">
        <v>0</v>
      </c>
      <c r="Q394" t="n">
        <v>0</v>
      </c>
      <c r="R394" s="2" t="inlineStr"/>
    </row>
    <row r="395" ht="15" customHeight="1">
      <c r="A395" t="inlineStr">
        <is>
          <t>A 41175-2025</t>
        </is>
      </c>
      <c r="B395" s="1" t="n">
        <v>45898.55165509259</v>
      </c>
      <c r="C395" s="1" t="n">
        <v>45996</v>
      </c>
      <c r="D395" t="inlineStr">
        <is>
          <t>DALARNAS LÄN</t>
        </is>
      </c>
      <c r="E395" t="inlineStr">
        <is>
          <t>MORA</t>
        </is>
      </c>
      <c r="G395" t="n">
        <v>4.5</v>
      </c>
      <c r="H395" t="n">
        <v>0</v>
      </c>
      <c r="I395" t="n">
        <v>0</v>
      </c>
      <c r="J395" t="n">
        <v>0</v>
      </c>
      <c r="K395" t="n">
        <v>0</v>
      </c>
      <c r="L395" t="n">
        <v>0</v>
      </c>
      <c r="M395" t="n">
        <v>0</v>
      </c>
      <c r="N395" t="n">
        <v>0</v>
      </c>
      <c r="O395" t="n">
        <v>0</v>
      </c>
      <c r="P395" t="n">
        <v>0</v>
      </c>
      <c r="Q395" t="n">
        <v>0</v>
      </c>
      <c r="R395" s="2" t="inlineStr"/>
    </row>
    <row r="396" ht="15" customHeight="1">
      <c r="A396" t="inlineStr">
        <is>
          <t>A 36586-2025</t>
        </is>
      </c>
      <c r="B396" s="1" t="n">
        <v>45869</v>
      </c>
      <c r="C396" s="1" t="n">
        <v>45996</v>
      </c>
      <c r="D396" t="inlineStr">
        <is>
          <t>DALARNAS LÄN</t>
        </is>
      </c>
      <c r="E396" t="inlineStr">
        <is>
          <t>MORA</t>
        </is>
      </c>
      <c r="G396" t="n">
        <v>1.8</v>
      </c>
      <c r="H396" t="n">
        <v>0</v>
      </c>
      <c r="I396" t="n">
        <v>0</v>
      </c>
      <c r="J396" t="n">
        <v>0</v>
      </c>
      <c r="K396" t="n">
        <v>0</v>
      </c>
      <c r="L396" t="n">
        <v>0</v>
      </c>
      <c r="M396" t="n">
        <v>0</v>
      </c>
      <c r="N396" t="n">
        <v>0</v>
      </c>
      <c r="O396" t="n">
        <v>0</v>
      </c>
      <c r="P396" t="n">
        <v>0</v>
      </c>
      <c r="Q396" t="n">
        <v>0</v>
      </c>
      <c r="R396" s="2" t="inlineStr"/>
    </row>
    <row r="397" ht="15" customHeight="1">
      <c r="A397" t="inlineStr">
        <is>
          <t>A 36760-2025</t>
        </is>
      </c>
      <c r="B397" s="1" t="n">
        <v>45873.57319444444</v>
      </c>
      <c r="C397" s="1" t="n">
        <v>45996</v>
      </c>
      <c r="D397" t="inlineStr">
        <is>
          <t>DALARNAS LÄN</t>
        </is>
      </c>
      <c r="E397" t="inlineStr">
        <is>
          <t>MORA</t>
        </is>
      </c>
      <c r="G397" t="n">
        <v>4.6</v>
      </c>
      <c r="H397" t="n">
        <v>0</v>
      </c>
      <c r="I397" t="n">
        <v>0</v>
      </c>
      <c r="J397" t="n">
        <v>0</v>
      </c>
      <c r="K397" t="n">
        <v>0</v>
      </c>
      <c r="L397" t="n">
        <v>0</v>
      </c>
      <c r="M397" t="n">
        <v>0</v>
      </c>
      <c r="N397" t="n">
        <v>0</v>
      </c>
      <c r="O397" t="n">
        <v>0</v>
      </c>
      <c r="P397" t="n">
        <v>0</v>
      </c>
      <c r="Q397" t="n">
        <v>0</v>
      </c>
      <c r="R397" s="2" t="inlineStr"/>
    </row>
    <row r="398" ht="15" customHeight="1">
      <c r="A398" t="inlineStr">
        <is>
          <t>A 25499-2024</t>
        </is>
      </c>
      <c r="B398" s="1" t="n">
        <v>45463</v>
      </c>
      <c r="C398" s="1" t="n">
        <v>45996</v>
      </c>
      <c r="D398" t="inlineStr">
        <is>
          <t>DALARNAS LÄN</t>
        </is>
      </c>
      <c r="E398" t="inlineStr">
        <is>
          <t>MORA</t>
        </is>
      </c>
      <c r="G398" t="n">
        <v>0.8</v>
      </c>
      <c r="H398" t="n">
        <v>0</v>
      </c>
      <c r="I398" t="n">
        <v>0</v>
      </c>
      <c r="J398" t="n">
        <v>0</v>
      </c>
      <c r="K398" t="n">
        <v>0</v>
      </c>
      <c r="L398" t="n">
        <v>0</v>
      </c>
      <c r="M398" t="n">
        <v>0</v>
      </c>
      <c r="N398" t="n">
        <v>0</v>
      </c>
      <c r="O398" t="n">
        <v>0</v>
      </c>
      <c r="P398" t="n">
        <v>0</v>
      </c>
      <c r="Q398" t="n">
        <v>0</v>
      </c>
      <c r="R398" s="2" t="inlineStr"/>
    </row>
    <row r="399" ht="15" customHeight="1">
      <c r="A399" t="inlineStr">
        <is>
          <t>A 5527-2024</t>
        </is>
      </c>
      <c r="B399" s="1" t="n">
        <v>45334.38981481481</v>
      </c>
      <c r="C399" s="1" t="n">
        <v>45996</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58958-2022</t>
        </is>
      </c>
      <c r="B400" s="1" t="n">
        <v>44903.6605324074</v>
      </c>
      <c r="C400" s="1" t="n">
        <v>45996</v>
      </c>
      <c r="D400" t="inlineStr">
        <is>
          <t>DALARNAS LÄN</t>
        </is>
      </c>
      <c r="E400" t="inlineStr">
        <is>
          <t>MORA</t>
        </is>
      </c>
      <c r="G400" t="n">
        <v>1.1</v>
      </c>
      <c r="H400" t="n">
        <v>0</v>
      </c>
      <c r="I400" t="n">
        <v>0</v>
      </c>
      <c r="J400" t="n">
        <v>0</v>
      </c>
      <c r="K400" t="n">
        <v>0</v>
      </c>
      <c r="L400" t="n">
        <v>0</v>
      </c>
      <c r="M400" t="n">
        <v>0</v>
      </c>
      <c r="N400" t="n">
        <v>0</v>
      </c>
      <c r="O400" t="n">
        <v>0</v>
      </c>
      <c r="P400" t="n">
        <v>0</v>
      </c>
      <c r="Q400" t="n">
        <v>0</v>
      </c>
      <c r="R400" s="2" t="inlineStr"/>
    </row>
    <row r="401" ht="15" customHeight="1">
      <c r="A401" t="inlineStr">
        <is>
          <t>A 52908-2023</t>
        </is>
      </c>
      <c r="B401" s="1" t="n">
        <v>45226.49950231481</v>
      </c>
      <c r="C401" s="1" t="n">
        <v>45996</v>
      </c>
      <c r="D401" t="inlineStr">
        <is>
          <t>DALARNAS LÄN</t>
        </is>
      </c>
      <c r="E401" t="inlineStr">
        <is>
          <t>MORA</t>
        </is>
      </c>
      <c r="G401" t="n">
        <v>3.3</v>
      </c>
      <c r="H401" t="n">
        <v>0</v>
      </c>
      <c r="I401" t="n">
        <v>0</v>
      </c>
      <c r="J401" t="n">
        <v>0</v>
      </c>
      <c r="K401" t="n">
        <v>0</v>
      </c>
      <c r="L401" t="n">
        <v>0</v>
      </c>
      <c r="M401" t="n">
        <v>0</v>
      </c>
      <c r="N401" t="n">
        <v>0</v>
      </c>
      <c r="O401" t="n">
        <v>0</v>
      </c>
      <c r="P401" t="n">
        <v>0</v>
      </c>
      <c r="Q401" t="n">
        <v>0</v>
      </c>
      <c r="R401" s="2" t="inlineStr"/>
    </row>
    <row r="402" ht="15" customHeight="1">
      <c r="A402" t="inlineStr">
        <is>
          <t>A 39856-2024</t>
        </is>
      </c>
      <c r="B402" s="1" t="n">
        <v>45553.44084490741</v>
      </c>
      <c r="C402" s="1" t="n">
        <v>45996</v>
      </c>
      <c r="D402" t="inlineStr">
        <is>
          <t>DALARNAS LÄN</t>
        </is>
      </c>
      <c r="E402" t="inlineStr">
        <is>
          <t>MORA</t>
        </is>
      </c>
      <c r="G402" t="n">
        <v>4.8</v>
      </c>
      <c r="H402" t="n">
        <v>0</v>
      </c>
      <c r="I402" t="n">
        <v>0</v>
      </c>
      <c r="J402" t="n">
        <v>0</v>
      </c>
      <c r="K402" t="n">
        <v>0</v>
      </c>
      <c r="L402" t="n">
        <v>0</v>
      </c>
      <c r="M402" t="n">
        <v>0</v>
      </c>
      <c r="N402" t="n">
        <v>0</v>
      </c>
      <c r="O402" t="n">
        <v>0</v>
      </c>
      <c r="P402" t="n">
        <v>0</v>
      </c>
      <c r="Q402" t="n">
        <v>0</v>
      </c>
      <c r="R402" s="2" t="inlineStr"/>
    </row>
    <row r="403" ht="15" customHeight="1">
      <c r="A403" t="inlineStr">
        <is>
          <t>A 52288-2024</t>
        </is>
      </c>
      <c r="B403" s="1" t="n">
        <v>45608.69395833334</v>
      </c>
      <c r="C403" s="1" t="n">
        <v>45996</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43879-2022</t>
        </is>
      </c>
      <c r="B404" s="1" t="n">
        <v>44838.46721064814</v>
      </c>
      <c r="C404" s="1" t="n">
        <v>45996</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41614-2025</t>
        </is>
      </c>
      <c r="B405" s="1" t="n">
        <v>45901.68267361111</v>
      </c>
      <c r="C405" s="1" t="n">
        <v>45996</v>
      </c>
      <c r="D405" t="inlineStr">
        <is>
          <t>DALARNAS LÄN</t>
        </is>
      </c>
      <c r="E405" t="inlineStr">
        <is>
          <t>MORA</t>
        </is>
      </c>
      <c r="F405" t="inlineStr">
        <is>
          <t>Bergvik skog väst AB</t>
        </is>
      </c>
      <c r="G405" t="n">
        <v>13.8</v>
      </c>
      <c r="H405" t="n">
        <v>0</v>
      </c>
      <c r="I405" t="n">
        <v>0</v>
      </c>
      <c r="J405" t="n">
        <v>0</v>
      </c>
      <c r="K405" t="n">
        <v>0</v>
      </c>
      <c r="L405" t="n">
        <v>0</v>
      </c>
      <c r="M405" t="n">
        <v>0</v>
      </c>
      <c r="N405" t="n">
        <v>0</v>
      </c>
      <c r="O405" t="n">
        <v>0</v>
      </c>
      <c r="P405" t="n">
        <v>0</v>
      </c>
      <c r="Q405" t="n">
        <v>0</v>
      </c>
      <c r="R405" s="2" t="inlineStr"/>
    </row>
    <row r="406" ht="15" customHeight="1">
      <c r="A406" t="inlineStr">
        <is>
          <t>A 18214-2024</t>
        </is>
      </c>
      <c r="B406" s="1" t="n">
        <v>45420</v>
      </c>
      <c r="C406" s="1" t="n">
        <v>45996</v>
      </c>
      <c r="D406" t="inlineStr">
        <is>
          <t>DALARNAS LÄN</t>
        </is>
      </c>
      <c r="E406" t="inlineStr">
        <is>
          <t>MORA</t>
        </is>
      </c>
      <c r="G406" t="n">
        <v>1</v>
      </c>
      <c r="H406" t="n">
        <v>0</v>
      </c>
      <c r="I406" t="n">
        <v>0</v>
      </c>
      <c r="J406" t="n">
        <v>0</v>
      </c>
      <c r="K406" t="n">
        <v>0</v>
      </c>
      <c r="L406" t="n">
        <v>0</v>
      </c>
      <c r="M406" t="n">
        <v>0</v>
      </c>
      <c r="N406" t="n">
        <v>0</v>
      </c>
      <c r="O406" t="n">
        <v>0</v>
      </c>
      <c r="P406" t="n">
        <v>0</v>
      </c>
      <c r="Q406" t="n">
        <v>0</v>
      </c>
      <c r="R406" s="2" t="inlineStr"/>
    </row>
    <row r="407" ht="15" customHeight="1">
      <c r="A407" t="inlineStr">
        <is>
          <t>A 36846-2025</t>
        </is>
      </c>
      <c r="B407" s="1" t="n">
        <v>45874.38655092593</v>
      </c>
      <c r="C407" s="1" t="n">
        <v>45996</v>
      </c>
      <c r="D407" t="inlineStr">
        <is>
          <t>DALARNAS LÄN</t>
        </is>
      </c>
      <c r="E407" t="inlineStr">
        <is>
          <t>MORA</t>
        </is>
      </c>
      <c r="G407" t="n">
        <v>10.7</v>
      </c>
      <c r="H407" t="n">
        <v>0</v>
      </c>
      <c r="I407" t="n">
        <v>0</v>
      </c>
      <c r="J407" t="n">
        <v>0</v>
      </c>
      <c r="K407" t="n">
        <v>0</v>
      </c>
      <c r="L407" t="n">
        <v>0</v>
      </c>
      <c r="M407" t="n">
        <v>0</v>
      </c>
      <c r="N407" t="n">
        <v>0</v>
      </c>
      <c r="O407" t="n">
        <v>0</v>
      </c>
      <c r="P407" t="n">
        <v>0</v>
      </c>
      <c r="Q407" t="n">
        <v>0</v>
      </c>
      <c r="R407" s="2" t="inlineStr"/>
    </row>
    <row r="408" ht="15" customHeight="1">
      <c r="A408" t="inlineStr">
        <is>
          <t>A 22854-2023</t>
        </is>
      </c>
      <c r="B408" s="1" t="n">
        <v>45072</v>
      </c>
      <c r="C408" s="1" t="n">
        <v>45996</v>
      </c>
      <c r="D408" t="inlineStr">
        <is>
          <t>DALARNAS LÄN</t>
        </is>
      </c>
      <c r="E408" t="inlineStr">
        <is>
          <t>MORA</t>
        </is>
      </c>
      <c r="G408" t="n">
        <v>3.3</v>
      </c>
      <c r="H408" t="n">
        <v>0</v>
      </c>
      <c r="I408" t="n">
        <v>0</v>
      </c>
      <c r="J408" t="n">
        <v>0</v>
      </c>
      <c r="K408" t="n">
        <v>0</v>
      </c>
      <c r="L408" t="n">
        <v>0</v>
      </c>
      <c r="M408" t="n">
        <v>0</v>
      </c>
      <c r="N408" t="n">
        <v>0</v>
      </c>
      <c r="O408" t="n">
        <v>0</v>
      </c>
      <c r="P408" t="n">
        <v>0</v>
      </c>
      <c r="Q408" t="n">
        <v>0</v>
      </c>
      <c r="R408" s="2" t="inlineStr"/>
    </row>
    <row r="409" ht="15" customHeight="1">
      <c r="A409" t="inlineStr">
        <is>
          <t>A 60465-2023</t>
        </is>
      </c>
      <c r="B409" s="1" t="n">
        <v>45259.57872685185</v>
      </c>
      <c r="C409" s="1" t="n">
        <v>45996</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12920-2022</t>
        </is>
      </c>
      <c r="B410" s="1" t="n">
        <v>44642.65418981481</v>
      </c>
      <c r="C410" s="1" t="n">
        <v>45996</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61654-2024</t>
        </is>
      </c>
      <c r="B411" s="1" t="n">
        <v>45646.74988425926</v>
      </c>
      <c r="C411" s="1" t="n">
        <v>45996</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2879-2022</t>
        </is>
      </c>
      <c r="B412" s="1" t="n">
        <v>44581</v>
      </c>
      <c r="C412" s="1" t="n">
        <v>45996</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60428-2023</t>
        </is>
      </c>
      <c r="B413" s="1" t="n">
        <v>45259.50996527778</v>
      </c>
      <c r="C413" s="1" t="n">
        <v>45996</v>
      </c>
      <c r="D413" t="inlineStr">
        <is>
          <t>DALARNAS LÄN</t>
        </is>
      </c>
      <c r="E413" t="inlineStr">
        <is>
          <t>MORA</t>
        </is>
      </c>
      <c r="G413" t="n">
        <v>4.9</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45996</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2308-2023</t>
        </is>
      </c>
      <c r="B415" s="1" t="n">
        <v>44942.57987268519</v>
      </c>
      <c r="C415" s="1" t="n">
        <v>45996</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37268-2025</t>
        </is>
      </c>
      <c r="B416" s="1" t="n">
        <v>45876.46681712963</v>
      </c>
      <c r="C416" s="1" t="n">
        <v>45996</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17280-2025</t>
        </is>
      </c>
      <c r="B417" s="1" t="n">
        <v>45756</v>
      </c>
      <c r="C417" s="1" t="n">
        <v>45996</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53159-2024</t>
        </is>
      </c>
      <c r="B418" s="1" t="n">
        <v>45611.63849537037</v>
      </c>
      <c r="C418" s="1" t="n">
        <v>45996</v>
      </c>
      <c r="D418" t="inlineStr">
        <is>
          <t>DALARNAS LÄN</t>
        </is>
      </c>
      <c r="E418" t="inlineStr">
        <is>
          <t>MORA</t>
        </is>
      </c>
      <c r="G418" t="n">
        <v>3.3</v>
      </c>
      <c r="H418" t="n">
        <v>0</v>
      </c>
      <c r="I418" t="n">
        <v>0</v>
      </c>
      <c r="J418" t="n">
        <v>0</v>
      </c>
      <c r="K418" t="n">
        <v>0</v>
      </c>
      <c r="L418" t="n">
        <v>0</v>
      </c>
      <c r="M418" t="n">
        <v>0</v>
      </c>
      <c r="N418" t="n">
        <v>0</v>
      </c>
      <c r="O418" t="n">
        <v>0</v>
      </c>
      <c r="P418" t="n">
        <v>0</v>
      </c>
      <c r="Q418" t="n">
        <v>0</v>
      </c>
      <c r="R418" s="2" t="inlineStr"/>
    </row>
    <row r="419" ht="15" customHeight="1">
      <c r="A419" t="inlineStr">
        <is>
          <t>A 29754-2022</t>
        </is>
      </c>
      <c r="B419" s="1" t="n">
        <v>44755.59188657408</v>
      </c>
      <c r="C419" s="1" t="n">
        <v>45996</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27188-2023</t>
        </is>
      </c>
      <c r="B420" s="1" t="n">
        <v>45096</v>
      </c>
      <c r="C420" s="1" t="n">
        <v>45996</v>
      </c>
      <c r="D420" t="inlineStr">
        <is>
          <t>DALARNAS LÄN</t>
        </is>
      </c>
      <c r="E420" t="inlineStr">
        <is>
          <t>MORA</t>
        </is>
      </c>
      <c r="G420" t="n">
        <v>4.8</v>
      </c>
      <c r="H420" t="n">
        <v>0</v>
      </c>
      <c r="I420" t="n">
        <v>0</v>
      </c>
      <c r="J420" t="n">
        <v>0</v>
      </c>
      <c r="K420" t="n">
        <v>0</v>
      </c>
      <c r="L420" t="n">
        <v>0</v>
      </c>
      <c r="M420" t="n">
        <v>0</v>
      </c>
      <c r="N420" t="n">
        <v>0</v>
      </c>
      <c r="O420" t="n">
        <v>0</v>
      </c>
      <c r="P420" t="n">
        <v>0</v>
      </c>
      <c r="Q420" t="n">
        <v>0</v>
      </c>
      <c r="R420" s="2" t="inlineStr"/>
    </row>
    <row r="421" ht="15" customHeight="1">
      <c r="A421" t="inlineStr">
        <is>
          <t>A 56268-2024</t>
        </is>
      </c>
      <c r="B421" s="1" t="n">
        <v>45624.65785879629</v>
      </c>
      <c r="C421" s="1" t="n">
        <v>45996</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34282-2024</t>
        </is>
      </c>
      <c r="B422" s="1" t="n">
        <v>45524.62600694445</v>
      </c>
      <c r="C422" s="1" t="n">
        <v>45996</v>
      </c>
      <c r="D422" t="inlineStr">
        <is>
          <t>DALARNAS LÄN</t>
        </is>
      </c>
      <c r="E422" t="inlineStr">
        <is>
          <t>MORA</t>
        </is>
      </c>
      <c r="G422" t="n">
        <v>0.5</v>
      </c>
      <c r="H422" t="n">
        <v>0</v>
      </c>
      <c r="I422" t="n">
        <v>0</v>
      </c>
      <c r="J422" t="n">
        <v>0</v>
      </c>
      <c r="K422" t="n">
        <v>0</v>
      </c>
      <c r="L422" t="n">
        <v>0</v>
      </c>
      <c r="M422" t="n">
        <v>0</v>
      </c>
      <c r="N422" t="n">
        <v>0</v>
      </c>
      <c r="O422" t="n">
        <v>0</v>
      </c>
      <c r="P422" t="n">
        <v>0</v>
      </c>
      <c r="Q422" t="n">
        <v>0</v>
      </c>
      <c r="R422" s="2" t="inlineStr"/>
    </row>
    <row r="423" ht="15" customHeight="1">
      <c r="A423" t="inlineStr">
        <is>
          <t>A 14641-2023</t>
        </is>
      </c>
      <c r="B423" s="1" t="n">
        <v>45013</v>
      </c>
      <c r="C423" s="1" t="n">
        <v>45996</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24620-2025</t>
        </is>
      </c>
      <c r="B424" s="1" t="n">
        <v>45798.59290509259</v>
      </c>
      <c r="C424" s="1" t="n">
        <v>45996</v>
      </c>
      <c r="D424" t="inlineStr">
        <is>
          <t>DALARNAS LÄN</t>
        </is>
      </c>
      <c r="E424" t="inlineStr">
        <is>
          <t>MORA</t>
        </is>
      </c>
      <c r="F424" t="inlineStr">
        <is>
          <t>Bergvik skog väst AB</t>
        </is>
      </c>
      <c r="G424" t="n">
        <v>4.9</v>
      </c>
      <c r="H424" t="n">
        <v>0</v>
      </c>
      <c r="I424" t="n">
        <v>0</v>
      </c>
      <c r="J424" t="n">
        <v>0</v>
      </c>
      <c r="K424" t="n">
        <v>0</v>
      </c>
      <c r="L424" t="n">
        <v>0</v>
      </c>
      <c r="M424" t="n">
        <v>0</v>
      </c>
      <c r="N424" t="n">
        <v>0</v>
      </c>
      <c r="O424" t="n">
        <v>0</v>
      </c>
      <c r="P424" t="n">
        <v>0</v>
      </c>
      <c r="Q424" t="n">
        <v>0</v>
      </c>
      <c r="R424" s="2" t="inlineStr"/>
    </row>
    <row r="425" ht="15" customHeight="1">
      <c r="A425" t="inlineStr">
        <is>
          <t>A 38055-2024</t>
        </is>
      </c>
      <c r="B425" s="1" t="n">
        <v>45544</v>
      </c>
      <c r="C425" s="1" t="n">
        <v>45996</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7116-2024</t>
        </is>
      </c>
      <c r="B426" s="1" t="n">
        <v>45343.95445601852</v>
      </c>
      <c r="C426" s="1" t="n">
        <v>45996</v>
      </c>
      <c r="D426" t="inlineStr">
        <is>
          <t>DALARNAS LÄN</t>
        </is>
      </c>
      <c r="E426" t="inlineStr">
        <is>
          <t>MORA</t>
        </is>
      </c>
      <c r="G426" t="n">
        <v>0.3</v>
      </c>
      <c r="H426" t="n">
        <v>0</v>
      </c>
      <c r="I426" t="n">
        <v>0</v>
      </c>
      <c r="J426" t="n">
        <v>0</v>
      </c>
      <c r="K426" t="n">
        <v>0</v>
      </c>
      <c r="L426" t="n">
        <v>0</v>
      </c>
      <c r="M426" t="n">
        <v>0</v>
      </c>
      <c r="N426" t="n">
        <v>0</v>
      </c>
      <c r="O426" t="n">
        <v>0</v>
      </c>
      <c r="P426" t="n">
        <v>0</v>
      </c>
      <c r="Q426" t="n">
        <v>0</v>
      </c>
      <c r="R426" s="2" t="inlineStr"/>
    </row>
    <row r="427" ht="15" customHeight="1">
      <c r="A427" t="inlineStr">
        <is>
          <t>A 22785-2023</t>
        </is>
      </c>
      <c r="B427" s="1" t="n">
        <v>45072.34796296297</v>
      </c>
      <c r="C427" s="1" t="n">
        <v>45996</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57408-2024</t>
        </is>
      </c>
      <c r="B428" s="1" t="n">
        <v>45629</v>
      </c>
      <c r="C428" s="1" t="n">
        <v>45996</v>
      </c>
      <c r="D428" t="inlineStr">
        <is>
          <t>DALARNAS LÄN</t>
        </is>
      </c>
      <c r="E428" t="inlineStr">
        <is>
          <t>MORA</t>
        </is>
      </c>
      <c r="F428" t="inlineStr">
        <is>
          <t>Allmännings- och besparingsskogar</t>
        </is>
      </c>
      <c r="G428" t="n">
        <v>2.5</v>
      </c>
      <c r="H428" t="n">
        <v>0</v>
      </c>
      <c r="I428" t="n">
        <v>0</v>
      </c>
      <c r="J428" t="n">
        <v>0</v>
      </c>
      <c r="K428" t="n">
        <v>0</v>
      </c>
      <c r="L428" t="n">
        <v>0</v>
      </c>
      <c r="M428" t="n">
        <v>0</v>
      </c>
      <c r="N428" t="n">
        <v>0</v>
      </c>
      <c r="O428" t="n">
        <v>0</v>
      </c>
      <c r="P428" t="n">
        <v>0</v>
      </c>
      <c r="Q428" t="n">
        <v>0</v>
      </c>
      <c r="R428" s="2" t="inlineStr"/>
    </row>
    <row r="429" ht="15" customHeight="1">
      <c r="A429" t="inlineStr">
        <is>
          <t>A 1252-2025</t>
        </is>
      </c>
      <c r="B429" s="1" t="n">
        <v>45667.46648148148</v>
      </c>
      <c r="C429" s="1" t="n">
        <v>45996</v>
      </c>
      <c r="D429" t="inlineStr">
        <is>
          <t>DALARNAS LÄN</t>
        </is>
      </c>
      <c r="E429" t="inlineStr">
        <is>
          <t>MORA</t>
        </is>
      </c>
      <c r="G429" t="n">
        <v>1.6</v>
      </c>
      <c r="H429" t="n">
        <v>0</v>
      </c>
      <c r="I429" t="n">
        <v>0</v>
      </c>
      <c r="J429" t="n">
        <v>0</v>
      </c>
      <c r="K429" t="n">
        <v>0</v>
      </c>
      <c r="L429" t="n">
        <v>0</v>
      </c>
      <c r="M429" t="n">
        <v>0</v>
      </c>
      <c r="N429" t="n">
        <v>0</v>
      </c>
      <c r="O429" t="n">
        <v>0</v>
      </c>
      <c r="P429" t="n">
        <v>0</v>
      </c>
      <c r="Q429" t="n">
        <v>0</v>
      </c>
      <c r="R429" s="2" t="inlineStr"/>
    </row>
    <row r="430" ht="15" customHeight="1">
      <c r="A430" t="inlineStr">
        <is>
          <t>A 37879-2025</t>
        </is>
      </c>
      <c r="B430" s="1" t="n">
        <v>45881.48791666667</v>
      </c>
      <c r="C430" s="1" t="n">
        <v>45996</v>
      </c>
      <c r="D430" t="inlineStr">
        <is>
          <t>DALARNAS LÄN</t>
        </is>
      </c>
      <c r="E430" t="inlineStr">
        <is>
          <t>MORA</t>
        </is>
      </c>
      <c r="G430" t="n">
        <v>1.4</v>
      </c>
      <c r="H430" t="n">
        <v>0</v>
      </c>
      <c r="I430" t="n">
        <v>0</v>
      </c>
      <c r="J430" t="n">
        <v>0</v>
      </c>
      <c r="K430" t="n">
        <v>0</v>
      </c>
      <c r="L430" t="n">
        <v>0</v>
      </c>
      <c r="M430" t="n">
        <v>0</v>
      </c>
      <c r="N430" t="n">
        <v>0</v>
      </c>
      <c r="O430" t="n">
        <v>0</v>
      </c>
      <c r="P430" t="n">
        <v>0</v>
      </c>
      <c r="Q430" t="n">
        <v>0</v>
      </c>
      <c r="R430" s="2" t="inlineStr"/>
    </row>
    <row r="431" ht="15" customHeight="1">
      <c r="A431" t="inlineStr">
        <is>
          <t>A 38086-2025</t>
        </is>
      </c>
      <c r="B431" s="1" t="n">
        <v>45882.47625</v>
      </c>
      <c r="C431" s="1" t="n">
        <v>45996</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60718-2023</t>
        </is>
      </c>
      <c r="B432" s="1" t="n">
        <v>45260.5284375</v>
      </c>
      <c r="C432" s="1" t="n">
        <v>45996</v>
      </c>
      <c r="D432" t="inlineStr">
        <is>
          <t>DALARNAS LÄN</t>
        </is>
      </c>
      <c r="E432" t="inlineStr">
        <is>
          <t>MORA</t>
        </is>
      </c>
      <c r="G432" t="n">
        <v>2.6</v>
      </c>
      <c r="H432" t="n">
        <v>0</v>
      </c>
      <c r="I432" t="n">
        <v>0</v>
      </c>
      <c r="J432" t="n">
        <v>0</v>
      </c>
      <c r="K432" t="n">
        <v>0</v>
      </c>
      <c r="L432" t="n">
        <v>0</v>
      </c>
      <c r="M432" t="n">
        <v>0</v>
      </c>
      <c r="N432" t="n">
        <v>0</v>
      </c>
      <c r="O432" t="n">
        <v>0</v>
      </c>
      <c r="P432" t="n">
        <v>0</v>
      </c>
      <c r="Q432" t="n">
        <v>0</v>
      </c>
      <c r="R432" s="2" t="inlineStr"/>
    </row>
    <row r="433" ht="15" customHeight="1">
      <c r="A433" t="inlineStr">
        <is>
          <t>A 7972-2024</t>
        </is>
      </c>
      <c r="B433" s="1" t="n">
        <v>45350</v>
      </c>
      <c r="C433" s="1" t="n">
        <v>45996</v>
      </c>
      <c r="D433" t="inlineStr">
        <is>
          <t>DALARNAS LÄN</t>
        </is>
      </c>
      <c r="E433" t="inlineStr">
        <is>
          <t>MORA</t>
        </is>
      </c>
      <c r="G433" t="n">
        <v>2.4</v>
      </c>
      <c r="H433" t="n">
        <v>0</v>
      </c>
      <c r="I433" t="n">
        <v>0</v>
      </c>
      <c r="J433" t="n">
        <v>0</v>
      </c>
      <c r="K433" t="n">
        <v>0</v>
      </c>
      <c r="L433" t="n">
        <v>0</v>
      </c>
      <c r="M433" t="n">
        <v>0</v>
      </c>
      <c r="N433" t="n">
        <v>0</v>
      </c>
      <c r="O433" t="n">
        <v>0</v>
      </c>
      <c r="P433" t="n">
        <v>0</v>
      </c>
      <c r="Q433" t="n">
        <v>0</v>
      </c>
      <c r="R433" s="2" t="inlineStr"/>
    </row>
    <row r="434" ht="15" customHeight="1">
      <c r="A434" t="inlineStr">
        <is>
          <t>A 53527-2024</t>
        </is>
      </c>
      <c r="B434" s="1" t="n">
        <v>45614.61569444444</v>
      </c>
      <c r="C434" s="1" t="n">
        <v>45996</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9554-2025</t>
        </is>
      </c>
      <c r="B435" s="1" t="n">
        <v>45715.59936342593</v>
      </c>
      <c r="C435" s="1" t="n">
        <v>45996</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16637-2025</t>
        </is>
      </c>
      <c r="B436" s="1" t="n">
        <v>45754.36738425926</v>
      </c>
      <c r="C436" s="1" t="n">
        <v>45996</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24653-2025</t>
        </is>
      </c>
      <c r="B437" s="1" t="n">
        <v>45798.63875</v>
      </c>
      <c r="C437" s="1" t="n">
        <v>45996</v>
      </c>
      <c r="D437" t="inlineStr">
        <is>
          <t>DALARNAS LÄN</t>
        </is>
      </c>
      <c r="E437" t="inlineStr">
        <is>
          <t>MORA</t>
        </is>
      </c>
      <c r="F437" t="inlineStr">
        <is>
          <t>Bergvik skog väst AB</t>
        </is>
      </c>
      <c r="G437" t="n">
        <v>4.9</v>
      </c>
      <c r="H437" t="n">
        <v>0</v>
      </c>
      <c r="I437" t="n">
        <v>0</v>
      </c>
      <c r="J437" t="n">
        <v>0</v>
      </c>
      <c r="K437" t="n">
        <v>0</v>
      </c>
      <c r="L437" t="n">
        <v>0</v>
      </c>
      <c r="M437" t="n">
        <v>0</v>
      </c>
      <c r="N437" t="n">
        <v>0</v>
      </c>
      <c r="O437" t="n">
        <v>0</v>
      </c>
      <c r="P437" t="n">
        <v>0</v>
      </c>
      <c r="Q437" t="n">
        <v>0</v>
      </c>
      <c r="R437" s="2" t="inlineStr"/>
    </row>
    <row r="438" ht="15" customHeight="1">
      <c r="A438" t="inlineStr">
        <is>
          <t>A 571-2024</t>
        </is>
      </c>
      <c r="B438" s="1" t="n">
        <v>45299</v>
      </c>
      <c r="C438" s="1" t="n">
        <v>45996</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20549-2025</t>
        </is>
      </c>
      <c r="B439" s="1" t="n">
        <v>45775.63459490741</v>
      </c>
      <c r="C439" s="1" t="n">
        <v>45996</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38073-2025</t>
        </is>
      </c>
      <c r="B440" s="1" t="n">
        <v>45882</v>
      </c>
      <c r="C440" s="1" t="n">
        <v>45996</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12478-2025</t>
        </is>
      </c>
      <c r="B441" s="1" t="n">
        <v>45730.57429398148</v>
      </c>
      <c r="C441" s="1" t="n">
        <v>45996</v>
      </c>
      <c r="D441" t="inlineStr">
        <is>
          <t>DALARNAS LÄN</t>
        </is>
      </c>
      <c r="E441" t="inlineStr">
        <is>
          <t>MORA</t>
        </is>
      </c>
      <c r="F441" t="inlineStr">
        <is>
          <t>Bergvik skog öst AB</t>
        </is>
      </c>
      <c r="G441" t="n">
        <v>1.6</v>
      </c>
      <c r="H441" t="n">
        <v>0</v>
      </c>
      <c r="I441" t="n">
        <v>0</v>
      </c>
      <c r="J441" t="n">
        <v>0</v>
      </c>
      <c r="K441" t="n">
        <v>0</v>
      </c>
      <c r="L441" t="n">
        <v>0</v>
      </c>
      <c r="M441" t="n">
        <v>0</v>
      </c>
      <c r="N441" t="n">
        <v>0</v>
      </c>
      <c r="O441" t="n">
        <v>0</v>
      </c>
      <c r="P441" t="n">
        <v>0</v>
      </c>
      <c r="Q441" t="n">
        <v>0</v>
      </c>
      <c r="R441" s="2" t="inlineStr"/>
    </row>
    <row r="442" ht="15" customHeight="1">
      <c r="A442" t="inlineStr">
        <is>
          <t>A 8146-2021</t>
        </is>
      </c>
      <c r="B442" s="1" t="n">
        <v>44244</v>
      </c>
      <c r="C442" s="1" t="n">
        <v>45996</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16967-2025</t>
        </is>
      </c>
      <c r="B443" s="1" t="n">
        <v>45755.46106481482</v>
      </c>
      <c r="C443" s="1" t="n">
        <v>45996</v>
      </c>
      <c r="D443" t="inlineStr">
        <is>
          <t>DALARNAS LÄN</t>
        </is>
      </c>
      <c r="E443" t="inlineStr">
        <is>
          <t>MORA</t>
        </is>
      </c>
      <c r="F443" t="inlineStr">
        <is>
          <t>Bergvik skog öst AB</t>
        </is>
      </c>
      <c r="G443" t="n">
        <v>2.9</v>
      </c>
      <c r="H443" t="n">
        <v>0</v>
      </c>
      <c r="I443" t="n">
        <v>0</v>
      </c>
      <c r="J443" t="n">
        <v>0</v>
      </c>
      <c r="K443" t="n">
        <v>0</v>
      </c>
      <c r="L443" t="n">
        <v>0</v>
      </c>
      <c r="M443" t="n">
        <v>0</v>
      </c>
      <c r="N443" t="n">
        <v>0</v>
      </c>
      <c r="O443" t="n">
        <v>0</v>
      </c>
      <c r="P443" t="n">
        <v>0</v>
      </c>
      <c r="Q443" t="n">
        <v>0</v>
      </c>
      <c r="R443" s="2" t="inlineStr"/>
    </row>
    <row r="444" ht="15" customHeight="1">
      <c r="A444" t="inlineStr">
        <is>
          <t>A 53743-2024</t>
        </is>
      </c>
      <c r="B444" s="1" t="n">
        <v>45615.47137731482</v>
      </c>
      <c r="C444" s="1" t="n">
        <v>45996</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61278-2024</t>
        </is>
      </c>
      <c r="B445" s="1" t="n">
        <v>45645.76561342592</v>
      </c>
      <c r="C445" s="1" t="n">
        <v>45996</v>
      </c>
      <c r="D445" t="inlineStr">
        <is>
          <t>DALARNAS LÄN</t>
        </is>
      </c>
      <c r="E445" t="inlineStr">
        <is>
          <t>MORA</t>
        </is>
      </c>
      <c r="G445" t="n">
        <v>1.1</v>
      </c>
      <c r="H445" t="n">
        <v>0</v>
      </c>
      <c r="I445" t="n">
        <v>0</v>
      </c>
      <c r="J445" t="n">
        <v>0</v>
      </c>
      <c r="K445" t="n">
        <v>0</v>
      </c>
      <c r="L445" t="n">
        <v>0</v>
      </c>
      <c r="M445" t="n">
        <v>0</v>
      </c>
      <c r="N445" t="n">
        <v>0</v>
      </c>
      <c r="O445" t="n">
        <v>0</v>
      </c>
      <c r="P445" t="n">
        <v>0</v>
      </c>
      <c r="Q445" t="n">
        <v>0</v>
      </c>
      <c r="R445" s="2" t="inlineStr"/>
    </row>
    <row r="446" ht="15" customHeight="1">
      <c r="A446" t="inlineStr">
        <is>
          <t>A 41783-2025</t>
        </is>
      </c>
      <c r="B446" s="1" t="n">
        <v>45902.58721064815</v>
      </c>
      <c r="C446" s="1" t="n">
        <v>45996</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49991-2023</t>
        </is>
      </c>
      <c r="B447" s="1" t="n">
        <v>45215.43879629629</v>
      </c>
      <c r="C447" s="1" t="n">
        <v>45996</v>
      </c>
      <c r="D447" t="inlineStr">
        <is>
          <t>DALARNAS LÄN</t>
        </is>
      </c>
      <c r="E447" t="inlineStr">
        <is>
          <t>MORA</t>
        </is>
      </c>
      <c r="G447" t="n">
        <v>1.8</v>
      </c>
      <c r="H447" t="n">
        <v>0</v>
      </c>
      <c r="I447" t="n">
        <v>0</v>
      </c>
      <c r="J447" t="n">
        <v>0</v>
      </c>
      <c r="K447" t="n">
        <v>0</v>
      </c>
      <c r="L447" t="n">
        <v>0</v>
      </c>
      <c r="M447" t="n">
        <v>0</v>
      </c>
      <c r="N447" t="n">
        <v>0</v>
      </c>
      <c r="O447" t="n">
        <v>0</v>
      </c>
      <c r="P447" t="n">
        <v>0</v>
      </c>
      <c r="Q447" t="n">
        <v>0</v>
      </c>
      <c r="R447" s="2" t="inlineStr"/>
    </row>
    <row r="448" ht="15" customHeight="1">
      <c r="A448" t="inlineStr">
        <is>
          <t>A 28131-2024</t>
        </is>
      </c>
      <c r="B448" s="1" t="n">
        <v>45476.68435185185</v>
      </c>
      <c r="C448" s="1" t="n">
        <v>45996</v>
      </c>
      <c r="D448" t="inlineStr">
        <is>
          <t>DALARNAS LÄN</t>
        </is>
      </c>
      <c r="E448" t="inlineStr">
        <is>
          <t>MORA</t>
        </is>
      </c>
      <c r="G448" t="n">
        <v>0.8</v>
      </c>
      <c r="H448" t="n">
        <v>0</v>
      </c>
      <c r="I448" t="n">
        <v>0</v>
      </c>
      <c r="J448" t="n">
        <v>0</v>
      </c>
      <c r="K448" t="n">
        <v>0</v>
      </c>
      <c r="L448" t="n">
        <v>0</v>
      </c>
      <c r="M448" t="n">
        <v>0</v>
      </c>
      <c r="N448" t="n">
        <v>0</v>
      </c>
      <c r="O448" t="n">
        <v>0</v>
      </c>
      <c r="P448" t="n">
        <v>0</v>
      </c>
      <c r="Q448" t="n">
        <v>0</v>
      </c>
      <c r="R448" s="2" t="inlineStr"/>
    </row>
    <row r="449" ht="15" customHeight="1">
      <c r="A449" t="inlineStr">
        <is>
          <t>A 28132-2024</t>
        </is>
      </c>
      <c r="B449" s="1" t="n">
        <v>45476.68616898148</v>
      </c>
      <c r="C449" s="1" t="n">
        <v>45996</v>
      </c>
      <c r="D449" t="inlineStr">
        <is>
          <t>DALARNAS LÄN</t>
        </is>
      </c>
      <c r="E449" t="inlineStr">
        <is>
          <t>MORA</t>
        </is>
      </c>
      <c r="G449" t="n">
        <v>0.2</v>
      </c>
      <c r="H449" t="n">
        <v>0</v>
      </c>
      <c r="I449" t="n">
        <v>0</v>
      </c>
      <c r="J449" t="n">
        <v>0</v>
      </c>
      <c r="K449" t="n">
        <v>0</v>
      </c>
      <c r="L449" t="n">
        <v>0</v>
      </c>
      <c r="M449" t="n">
        <v>0</v>
      </c>
      <c r="N449" t="n">
        <v>0</v>
      </c>
      <c r="O449" t="n">
        <v>0</v>
      </c>
      <c r="P449" t="n">
        <v>0</v>
      </c>
      <c r="Q449" t="n">
        <v>0</v>
      </c>
      <c r="R449" s="2" t="inlineStr"/>
    </row>
    <row r="450" ht="15" customHeight="1">
      <c r="A450" t="inlineStr">
        <is>
          <t>A 12987-2024</t>
        </is>
      </c>
      <c r="B450" s="1" t="n">
        <v>45385.55375</v>
      </c>
      <c r="C450" s="1" t="n">
        <v>45996</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18806-2025</t>
        </is>
      </c>
      <c r="B451" s="1" t="n">
        <v>45764.35269675926</v>
      </c>
      <c r="C451" s="1" t="n">
        <v>45996</v>
      </c>
      <c r="D451" t="inlineStr">
        <is>
          <t>DALARNAS LÄN</t>
        </is>
      </c>
      <c r="E451" t="inlineStr">
        <is>
          <t>MORA</t>
        </is>
      </c>
      <c r="G451" t="n">
        <v>1.7</v>
      </c>
      <c r="H451" t="n">
        <v>0</v>
      </c>
      <c r="I451" t="n">
        <v>0</v>
      </c>
      <c r="J451" t="n">
        <v>0</v>
      </c>
      <c r="K451" t="n">
        <v>0</v>
      </c>
      <c r="L451" t="n">
        <v>0</v>
      </c>
      <c r="M451" t="n">
        <v>0</v>
      </c>
      <c r="N451" t="n">
        <v>0</v>
      </c>
      <c r="O451" t="n">
        <v>0</v>
      </c>
      <c r="P451" t="n">
        <v>0</v>
      </c>
      <c r="Q451" t="n">
        <v>0</v>
      </c>
      <c r="R451" s="2" t="inlineStr"/>
    </row>
    <row r="452" ht="15" customHeight="1">
      <c r="A452" t="inlineStr">
        <is>
          <t>A 54628-2024</t>
        </is>
      </c>
      <c r="B452" s="1" t="n">
        <v>45617.83969907407</v>
      </c>
      <c r="C452" s="1" t="n">
        <v>45996</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48170-2024</t>
        </is>
      </c>
      <c r="B453" s="1" t="n">
        <v>45589.76975694444</v>
      </c>
      <c r="C453" s="1" t="n">
        <v>45996</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58892-2023</t>
        </is>
      </c>
      <c r="B454" s="1" t="n">
        <v>45252.48592592592</v>
      </c>
      <c r="C454" s="1" t="n">
        <v>45996</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41855-2025</t>
        </is>
      </c>
      <c r="B455" s="1" t="n">
        <v>45902.93693287037</v>
      </c>
      <c r="C455" s="1" t="n">
        <v>45996</v>
      </c>
      <c r="D455" t="inlineStr">
        <is>
          <t>DALARNAS LÄN</t>
        </is>
      </c>
      <c r="E455" t="inlineStr">
        <is>
          <t>MORA</t>
        </is>
      </c>
      <c r="G455" t="n">
        <v>0.5</v>
      </c>
      <c r="H455" t="n">
        <v>0</v>
      </c>
      <c r="I455" t="n">
        <v>0</v>
      </c>
      <c r="J455" t="n">
        <v>0</v>
      </c>
      <c r="K455" t="n">
        <v>0</v>
      </c>
      <c r="L455" t="n">
        <v>0</v>
      </c>
      <c r="M455" t="n">
        <v>0</v>
      </c>
      <c r="N455" t="n">
        <v>0</v>
      </c>
      <c r="O455" t="n">
        <v>0</v>
      </c>
      <c r="P455" t="n">
        <v>0</v>
      </c>
      <c r="Q455" t="n">
        <v>0</v>
      </c>
      <c r="R455" s="2" t="inlineStr"/>
    </row>
    <row r="456" ht="15" customHeight="1">
      <c r="A456" t="inlineStr">
        <is>
          <t>A 42319-2025</t>
        </is>
      </c>
      <c r="B456" s="1" t="n">
        <v>45903</v>
      </c>
      <c r="C456" s="1" t="n">
        <v>45996</v>
      </c>
      <c r="D456" t="inlineStr">
        <is>
          <t>DALARNAS LÄN</t>
        </is>
      </c>
      <c r="E456" t="inlineStr">
        <is>
          <t>MORA</t>
        </is>
      </c>
      <c r="G456" t="n">
        <v>2.3</v>
      </c>
      <c r="H456" t="n">
        <v>0</v>
      </c>
      <c r="I456" t="n">
        <v>0</v>
      </c>
      <c r="J456" t="n">
        <v>0</v>
      </c>
      <c r="K456" t="n">
        <v>0</v>
      </c>
      <c r="L456" t="n">
        <v>0</v>
      </c>
      <c r="M456" t="n">
        <v>0</v>
      </c>
      <c r="N456" t="n">
        <v>0</v>
      </c>
      <c r="O456" t="n">
        <v>0</v>
      </c>
      <c r="P456" t="n">
        <v>0</v>
      </c>
      <c r="Q456" t="n">
        <v>0</v>
      </c>
      <c r="R456" s="2" t="inlineStr"/>
    </row>
    <row r="457" ht="15" customHeight="1">
      <c r="A457" t="inlineStr">
        <is>
          <t>A 27975-2023</t>
        </is>
      </c>
      <c r="B457" s="1" t="n">
        <v>45098</v>
      </c>
      <c r="C457" s="1" t="n">
        <v>45996</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55222-2023</t>
        </is>
      </c>
      <c r="B458" s="1" t="n">
        <v>45237.60775462963</v>
      </c>
      <c r="C458" s="1" t="n">
        <v>45996</v>
      </c>
      <c r="D458" t="inlineStr">
        <is>
          <t>DALARNAS LÄN</t>
        </is>
      </c>
      <c r="E458" t="inlineStr">
        <is>
          <t>MORA</t>
        </is>
      </c>
      <c r="F458" t="inlineStr">
        <is>
          <t>Allmännings- och besparingsskogar</t>
        </is>
      </c>
      <c r="G458" t="n">
        <v>19.8</v>
      </c>
      <c r="H458" t="n">
        <v>0</v>
      </c>
      <c r="I458" t="n">
        <v>0</v>
      </c>
      <c r="J458" t="n">
        <v>0</v>
      </c>
      <c r="K458" t="n">
        <v>0</v>
      </c>
      <c r="L458" t="n">
        <v>0</v>
      </c>
      <c r="M458" t="n">
        <v>0</v>
      </c>
      <c r="N458" t="n">
        <v>0</v>
      </c>
      <c r="O458" t="n">
        <v>0</v>
      </c>
      <c r="P458" t="n">
        <v>0</v>
      </c>
      <c r="Q458" t="n">
        <v>0</v>
      </c>
      <c r="R458" s="2" t="inlineStr"/>
    </row>
    <row r="459" ht="15" customHeight="1">
      <c r="A459" t="inlineStr">
        <is>
          <t>A 24772-2024</t>
        </is>
      </c>
      <c r="B459" s="1" t="n">
        <v>45460.70204861111</v>
      </c>
      <c r="C459" s="1" t="n">
        <v>45996</v>
      </c>
      <c r="D459" t="inlineStr">
        <is>
          <t>DALARNAS LÄN</t>
        </is>
      </c>
      <c r="E459" t="inlineStr">
        <is>
          <t>MORA</t>
        </is>
      </c>
      <c r="G459" t="n">
        <v>0.9</v>
      </c>
      <c r="H459" t="n">
        <v>0</v>
      </c>
      <c r="I459" t="n">
        <v>0</v>
      </c>
      <c r="J459" t="n">
        <v>0</v>
      </c>
      <c r="K459" t="n">
        <v>0</v>
      </c>
      <c r="L459" t="n">
        <v>0</v>
      </c>
      <c r="M459" t="n">
        <v>0</v>
      </c>
      <c r="N459" t="n">
        <v>0</v>
      </c>
      <c r="O459" t="n">
        <v>0</v>
      </c>
      <c r="P459" t="n">
        <v>0</v>
      </c>
      <c r="Q459" t="n">
        <v>0</v>
      </c>
      <c r="R459" s="2" t="inlineStr"/>
    </row>
    <row r="460" ht="15" customHeight="1">
      <c r="A460" t="inlineStr">
        <is>
          <t>A 59448-2022</t>
        </is>
      </c>
      <c r="B460" s="1" t="n">
        <v>44907</v>
      </c>
      <c r="C460" s="1" t="n">
        <v>45996</v>
      </c>
      <c r="D460" t="inlineStr">
        <is>
          <t>DALARNAS LÄN</t>
        </is>
      </c>
      <c r="E460" t="inlineStr">
        <is>
          <t>MORA</t>
        </is>
      </c>
      <c r="G460" t="n">
        <v>35.7</v>
      </c>
      <c r="H460" t="n">
        <v>0</v>
      </c>
      <c r="I460" t="n">
        <v>0</v>
      </c>
      <c r="J460" t="n">
        <v>0</v>
      </c>
      <c r="K460" t="n">
        <v>0</v>
      </c>
      <c r="L460" t="n">
        <v>0</v>
      </c>
      <c r="M460" t="n">
        <v>0</v>
      </c>
      <c r="N460" t="n">
        <v>0</v>
      </c>
      <c r="O460" t="n">
        <v>0</v>
      </c>
      <c r="P460" t="n">
        <v>0</v>
      </c>
      <c r="Q460" t="n">
        <v>0</v>
      </c>
      <c r="R460" s="2" t="inlineStr"/>
    </row>
    <row r="461" ht="15" customHeight="1">
      <c r="A461" t="inlineStr">
        <is>
          <t>A 57319-2023</t>
        </is>
      </c>
      <c r="B461" s="1" t="n">
        <v>45245.64877314815</v>
      </c>
      <c r="C461" s="1" t="n">
        <v>45996</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5486-2023</t>
        </is>
      </c>
      <c r="B462" s="1" t="n">
        <v>44957</v>
      </c>
      <c r="C462" s="1" t="n">
        <v>45996</v>
      </c>
      <c r="D462" t="inlineStr">
        <is>
          <t>DALARNAS LÄN</t>
        </is>
      </c>
      <c r="E462" t="inlineStr">
        <is>
          <t>MORA</t>
        </is>
      </c>
      <c r="G462" t="n">
        <v>3.2</v>
      </c>
      <c r="H462" t="n">
        <v>0</v>
      </c>
      <c r="I462" t="n">
        <v>0</v>
      </c>
      <c r="J462" t="n">
        <v>0</v>
      </c>
      <c r="K462" t="n">
        <v>0</v>
      </c>
      <c r="L462" t="n">
        <v>0</v>
      </c>
      <c r="M462" t="n">
        <v>0</v>
      </c>
      <c r="N462" t="n">
        <v>0</v>
      </c>
      <c r="O462" t="n">
        <v>0</v>
      </c>
      <c r="P462" t="n">
        <v>0</v>
      </c>
      <c r="Q462" t="n">
        <v>0</v>
      </c>
      <c r="R462" s="2" t="inlineStr"/>
    </row>
    <row r="463" ht="15" customHeight="1">
      <c r="A463" t="inlineStr">
        <is>
          <t>A 42943-2024</t>
        </is>
      </c>
      <c r="B463" s="1" t="n">
        <v>45567.35359953704</v>
      </c>
      <c r="C463" s="1" t="n">
        <v>45996</v>
      </c>
      <c r="D463" t="inlineStr">
        <is>
          <t>DALARNAS LÄN</t>
        </is>
      </c>
      <c r="E463" t="inlineStr">
        <is>
          <t>MORA</t>
        </is>
      </c>
      <c r="G463" t="n">
        <v>0.5</v>
      </c>
      <c r="H463" t="n">
        <v>0</v>
      </c>
      <c r="I463" t="n">
        <v>0</v>
      </c>
      <c r="J463" t="n">
        <v>0</v>
      </c>
      <c r="K463" t="n">
        <v>0</v>
      </c>
      <c r="L463" t="n">
        <v>0</v>
      </c>
      <c r="M463" t="n">
        <v>0</v>
      </c>
      <c r="N463" t="n">
        <v>0</v>
      </c>
      <c r="O463" t="n">
        <v>0</v>
      </c>
      <c r="P463" t="n">
        <v>0</v>
      </c>
      <c r="Q463" t="n">
        <v>0</v>
      </c>
      <c r="R463" s="2" t="inlineStr"/>
    </row>
    <row r="464" ht="15" customHeight="1">
      <c r="A464" t="inlineStr">
        <is>
          <t>A 9855-2024</t>
        </is>
      </c>
      <c r="B464" s="1" t="n">
        <v>45363.40368055556</v>
      </c>
      <c r="C464" s="1" t="n">
        <v>45996</v>
      </c>
      <c r="D464" t="inlineStr">
        <is>
          <t>DALARNAS LÄN</t>
        </is>
      </c>
      <c r="E464" t="inlineStr">
        <is>
          <t>MORA</t>
        </is>
      </c>
      <c r="G464" t="n">
        <v>8.6</v>
      </c>
      <c r="H464" t="n">
        <v>0</v>
      </c>
      <c r="I464" t="n">
        <v>0</v>
      </c>
      <c r="J464" t="n">
        <v>0</v>
      </c>
      <c r="K464" t="n">
        <v>0</v>
      </c>
      <c r="L464" t="n">
        <v>0</v>
      </c>
      <c r="M464" t="n">
        <v>0</v>
      </c>
      <c r="N464" t="n">
        <v>0</v>
      </c>
      <c r="O464" t="n">
        <v>0</v>
      </c>
      <c r="P464" t="n">
        <v>0</v>
      </c>
      <c r="Q464" t="n">
        <v>0</v>
      </c>
      <c r="R464" s="2" t="inlineStr"/>
    </row>
    <row r="465" ht="15" customHeight="1">
      <c r="A465" t="inlineStr">
        <is>
          <t>A 43498-2023</t>
        </is>
      </c>
      <c r="B465" s="1" t="n">
        <v>45184</v>
      </c>
      <c r="C465" s="1" t="n">
        <v>45996</v>
      </c>
      <c r="D465" t="inlineStr">
        <is>
          <t>DALARNAS LÄN</t>
        </is>
      </c>
      <c r="E465" t="inlineStr">
        <is>
          <t>MORA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32261-2022</t>
        </is>
      </c>
      <c r="B466" s="1" t="n">
        <v>44781.5350925926</v>
      </c>
      <c r="C466" s="1" t="n">
        <v>45996</v>
      </c>
      <c r="D466" t="inlineStr">
        <is>
          <t>DALARNAS LÄN</t>
        </is>
      </c>
      <c r="E466" t="inlineStr">
        <is>
          <t>MORA</t>
        </is>
      </c>
      <c r="G466" t="n">
        <v>2.7</v>
      </c>
      <c r="H466" t="n">
        <v>0</v>
      </c>
      <c r="I466" t="n">
        <v>0</v>
      </c>
      <c r="J466" t="n">
        <v>0</v>
      </c>
      <c r="K466" t="n">
        <v>0</v>
      </c>
      <c r="L466" t="n">
        <v>0</v>
      </c>
      <c r="M466" t="n">
        <v>0</v>
      </c>
      <c r="N466" t="n">
        <v>0</v>
      </c>
      <c r="O466" t="n">
        <v>0</v>
      </c>
      <c r="P466" t="n">
        <v>0</v>
      </c>
      <c r="Q466" t="n">
        <v>0</v>
      </c>
      <c r="R466" s="2" t="inlineStr"/>
    </row>
    <row r="467" ht="15" customHeight="1">
      <c r="A467" t="inlineStr">
        <is>
          <t>A 35381-2024</t>
        </is>
      </c>
      <c r="B467" s="1" t="n">
        <v>45531.38372685185</v>
      </c>
      <c r="C467" s="1" t="n">
        <v>45996</v>
      </c>
      <c r="D467" t="inlineStr">
        <is>
          <t>DALARNAS LÄN</t>
        </is>
      </c>
      <c r="E467" t="inlineStr">
        <is>
          <t>MORA</t>
        </is>
      </c>
      <c r="G467" t="n">
        <v>3.7</v>
      </c>
      <c r="H467" t="n">
        <v>0</v>
      </c>
      <c r="I467" t="n">
        <v>0</v>
      </c>
      <c r="J467" t="n">
        <v>0</v>
      </c>
      <c r="K467" t="n">
        <v>0</v>
      </c>
      <c r="L467" t="n">
        <v>0</v>
      </c>
      <c r="M467" t="n">
        <v>0</v>
      </c>
      <c r="N467" t="n">
        <v>0</v>
      </c>
      <c r="O467" t="n">
        <v>0</v>
      </c>
      <c r="P467" t="n">
        <v>0</v>
      </c>
      <c r="Q467" t="n">
        <v>0</v>
      </c>
      <c r="R467" s="2" t="inlineStr"/>
    </row>
    <row r="468" ht="15" customHeight="1">
      <c r="A468" t="inlineStr">
        <is>
          <t>A 13479-2024</t>
        </is>
      </c>
      <c r="B468" s="1" t="n">
        <v>45387.5900925926</v>
      </c>
      <c r="C468" s="1" t="n">
        <v>45996</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42112-2025</t>
        </is>
      </c>
      <c r="B469" s="1" t="n">
        <v>45904.32134259259</v>
      </c>
      <c r="C469" s="1" t="n">
        <v>45996</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21244-2024</t>
        </is>
      </c>
      <c r="B470" s="1" t="n">
        <v>45440.59936342593</v>
      </c>
      <c r="C470" s="1" t="n">
        <v>45996</v>
      </c>
      <c r="D470" t="inlineStr">
        <is>
          <t>DALARNAS LÄN</t>
        </is>
      </c>
      <c r="E470" t="inlineStr">
        <is>
          <t>MORA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28964-2024</t>
        </is>
      </c>
      <c r="B471" s="1" t="n">
        <v>45481.42923611111</v>
      </c>
      <c r="C471" s="1" t="n">
        <v>45996</v>
      </c>
      <c r="D471" t="inlineStr">
        <is>
          <t>DALARNAS LÄN</t>
        </is>
      </c>
      <c r="E471" t="inlineStr">
        <is>
          <t>MORA</t>
        </is>
      </c>
      <c r="G471" t="n">
        <v>1.3</v>
      </c>
      <c r="H471" t="n">
        <v>0</v>
      </c>
      <c r="I471" t="n">
        <v>0</v>
      </c>
      <c r="J471" t="n">
        <v>0</v>
      </c>
      <c r="K471" t="n">
        <v>0</v>
      </c>
      <c r="L471" t="n">
        <v>0</v>
      </c>
      <c r="M471" t="n">
        <v>0</v>
      </c>
      <c r="N471" t="n">
        <v>0</v>
      </c>
      <c r="O471" t="n">
        <v>0</v>
      </c>
      <c r="P471" t="n">
        <v>0</v>
      </c>
      <c r="Q471" t="n">
        <v>0</v>
      </c>
      <c r="R471" s="2" t="inlineStr"/>
    </row>
    <row r="472" ht="15" customHeight="1">
      <c r="A472" t="inlineStr">
        <is>
          <t>A 30194-2024</t>
        </is>
      </c>
      <c r="B472" s="1" t="n">
        <v>45490.33387731481</v>
      </c>
      <c r="C472" s="1" t="n">
        <v>45996</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58177-2024</t>
        </is>
      </c>
      <c r="B473" s="1" t="n">
        <v>45632.46821759259</v>
      </c>
      <c r="C473" s="1" t="n">
        <v>45996</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42813-2025</t>
        </is>
      </c>
      <c r="B474" s="1" t="n">
        <v>45908.56168981481</v>
      </c>
      <c r="C474" s="1" t="n">
        <v>45996</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20299-2023</t>
        </is>
      </c>
      <c r="B475" s="1" t="n">
        <v>45056</v>
      </c>
      <c r="C475" s="1" t="n">
        <v>45996</v>
      </c>
      <c r="D475" t="inlineStr">
        <is>
          <t>DALARNAS LÄN</t>
        </is>
      </c>
      <c r="E475" t="inlineStr">
        <is>
          <t>MORA</t>
        </is>
      </c>
      <c r="G475" t="n">
        <v>1.2</v>
      </c>
      <c r="H475" t="n">
        <v>0</v>
      </c>
      <c r="I475" t="n">
        <v>0</v>
      </c>
      <c r="J475" t="n">
        <v>0</v>
      </c>
      <c r="K475" t="n">
        <v>0</v>
      </c>
      <c r="L475" t="n">
        <v>0</v>
      </c>
      <c r="M475" t="n">
        <v>0</v>
      </c>
      <c r="N475" t="n">
        <v>0</v>
      </c>
      <c r="O475" t="n">
        <v>0</v>
      </c>
      <c r="P475" t="n">
        <v>0</v>
      </c>
      <c r="Q475" t="n">
        <v>0</v>
      </c>
      <c r="R475" s="2" t="inlineStr"/>
    </row>
    <row r="476" ht="15" customHeight="1">
      <c r="A476" t="inlineStr">
        <is>
          <t>A 45390-2024</t>
        </is>
      </c>
      <c r="B476" s="1" t="n">
        <v>45576.54820601852</v>
      </c>
      <c r="C476" s="1" t="n">
        <v>45996</v>
      </c>
      <c r="D476" t="inlineStr">
        <is>
          <t>DALARNAS LÄN</t>
        </is>
      </c>
      <c r="E476" t="inlineStr">
        <is>
          <t>MORA</t>
        </is>
      </c>
      <c r="F476" t="inlineStr">
        <is>
          <t>Bergvik skog väst AB</t>
        </is>
      </c>
      <c r="G476" t="n">
        <v>5.6</v>
      </c>
      <c r="H476" t="n">
        <v>0</v>
      </c>
      <c r="I476" t="n">
        <v>0</v>
      </c>
      <c r="J476" t="n">
        <v>0</v>
      </c>
      <c r="K476" t="n">
        <v>0</v>
      </c>
      <c r="L476" t="n">
        <v>0</v>
      </c>
      <c r="M476" t="n">
        <v>0</v>
      </c>
      <c r="N476" t="n">
        <v>0</v>
      </c>
      <c r="O476" t="n">
        <v>0</v>
      </c>
      <c r="P476" t="n">
        <v>0</v>
      </c>
      <c r="Q476" t="n">
        <v>0</v>
      </c>
      <c r="R476" s="2" t="inlineStr"/>
    </row>
    <row r="477" ht="15" customHeight="1">
      <c r="A477" t="inlineStr">
        <is>
          <t>A 58089-2024</t>
        </is>
      </c>
      <c r="B477" s="1" t="n">
        <v>45632.34984953704</v>
      </c>
      <c r="C477" s="1" t="n">
        <v>45996</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28487-2024</t>
        </is>
      </c>
      <c r="B478" s="1" t="n">
        <v>45477.75744212963</v>
      </c>
      <c r="C478" s="1" t="n">
        <v>45996</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23586-2023</t>
        </is>
      </c>
      <c r="B479" s="1" t="n">
        <v>45077</v>
      </c>
      <c r="C479" s="1" t="n">
        <v>45996</v>
      </c>
      <c r="D479" t="inlineStr">
        <is>
          <t>DALARNAS LÄN</t>
        </is>
      </c>
      <c r="E479" t="inlineStr">
        <is>
          <t>MORA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42947-2025</t>
        </is>
      </c>
      <c r="B480" s="1" t="n">
        <v>45909.34799768519</v>
      </c>
      <c r="C480" s="1" t="n">
        <v>45996</v>
      </c>
      <c r="D480" t="inlineStr">
        <is>
          <t>DALARNAS LÄN</t>
        </is>
      </c>
      <c r="E480" t="inlineStr">
        <is>
          <t>MORA</t>
        </is>
      </c>
      <c r="F480" t="inlineStr">
        <is>
          <t>Allmännings- och besparingsskogar</t>
        </is>
      </c>
      <c r="G480" t="n">
        <v>6.2</v>
      </c>
      <c r="H480" t="n">
        <v>0</v>
      </c>
      <c r="I480" t="n">
        <v>0</v>
      </c>
      <c r="J480" t="n">
        <v>0</v>
      </c>
      <c r="K480" t="n">
        <v>0</v>
      </c>
      <c r="L480" t="n">
        <v>0</v>
      </c>
      <c r="M480" t="n">
        <v>0</v>
      </c>
      <c r="N480" t="n">
        <v>0</v>
      </c>
      <c r="O480" t="n">
        <v>0</v>
      </c>
      <c r="P480" t="n">
        <v>0</v>
      </c>
      <c r="Q480" t="n">
        <v>0</v>
      </c>
      <c r="R480" s="2" t="inlineStr"/>
    </row>
    <row r="481" ht="15" customHeight="1">
      <c r="A481" t="inlineStr">
        <is>
          <t>A 42960-2025</t>
        </is>
      </c>
      <c r="B481" s="1" t="n">
        <v>45909.36631944445</v>
      </c>
      <c r="C481" s="1" t="n">
        <v>45996</v>
      </c>
      <c r="D481" t="inlineStr">
        <is>
          <t>DALARNAS LÄN</t>
        </is>
      </c>
      <c r="E481" t="inlineStr">
        <is>
          <t>MORA</t>
        </is>
      </c>
      <c r="G481" t="n">
        <v>0.7</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45996</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4210-2023</t>
        </is>
      </c>
      <c r="B483" s="1" t="n">
        <v>44953.44965277778</v>
      </c>
      <c r="C483" s="1" t="n">
        <v>45996</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44769-2021</t>
        </is>
      </c>
      <c r="B484" s="1" t="n">
        <v>44438</v>
      </c>
      <c r="C484" s="1" t="n">
        <v>45996</v>
      </c>
      <c r="D484" t="inlineStr">
        <is>
          <t>DALARNAS LÄN</t>
        </is>
      </c>
      <c r="E484" t="inlineStr">
        <is>
          <t>MORA</t>
        </is>
      </c>
      <c r="G484" t="n">
        <v>0.9</v>
      </c>
      <c r="H484" t="n">
        <v>0</v>
      </c>
      <c r="I484" t="n">
        <v>0</v>
      </c>
      <c r="J484" t="n">
        <v>0</v>
      </c>
      <c r="K484" t="n">
        <v>0</v>
      </c>
      <c r="L484" t="n">
        <v>0</v>
      </c>
      <c r="M484" t="n">
        <v>0</v>
      </c>
      <c r="N484" t="n">
        <v>0</v>
      </c>
      <c r="O484" t="n">
        <v>0</v>
      </c>
      <c r="P484" t="n">
        <v>0</v>
      </c>
      <c r="Q484" t="n">
        <v>0</v>
      </c>
      <c r="R484" s="2" t="inlineStr"/>
    </row>
    <row r="485" ht="15" customHeight="1">
      <c r="A485" t="inlineStr">
        <is>
          <t>A 58972-2023</t>
        </is>
      </c>
      <c r="B485" s="1" t="n">
        <v>45252</v>
      </c>
      <c r="C485" s="1" t="n">
        <v>45996</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58036-2024</t>
        </is>
      </c>
      <c r="B486" s="1" t="n">
        <v>45631.71893518518</v>
      </c>
      <c r="C486" s="1" t="n">
        <v>45996</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44949.57856481482</v>
      </c>
      <c r="C487" s="1" t="n">
        <v>45996</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42954-2025</t>
        </is>
      </c>
      <c r="B488" s="1" t="n">
        <v>45909.3578125</v>
      </c>
      <c r="C488" s="1" t="n">
        <v>45996</v>
      </c>
      <c r="D488" t="inlineStr">
        <is>
          <t>DALARNAS LÄN</t>
        </is>
      </c>
      <c r="E488" t="inlineStr">
        <is>
          <t>MORA</t>
        </is>
      </c>
      <c r="G488" t="n">
        <v>2.5</v>
      </c>
      <c r="H488" t="n">
        <v>0</v>
      </c>
      <c r="I488" t="n">
        <v>0</v>
      </c>
      <c r="J488" t="n">
        <v>0</v>
      </c>
      <c r="K488" t="n">
        <v>0</v>
      </c>
      <c r="L488" t="n">
        <v>0</v>
      </c>
      <c r="M488" t="n">
        <v>0</v>
      </c>
      <c r="N488" t="n">
        <v>0</v>
      </c>
      <c r="O488" t="n">
        <v>0</v>
      </c>
      <c r="P488" t="n">
        <v>0</v>
      </c>
      <c r="Q488" t="n">
        <v>0</v>
      </c>
      <c r="R488" s="2" t="inlineStr"/>
    </row>
    <row r="489" ht="15" customHeight="1">
      <c r="A489" t="inlineStr">
        <is>
          <t>A 42830-2025</t>
        </is>
      </c>
      <c r="B489" s="1" t="n">
        <v>45908.57753472222</v>
      </c>
      <c r="C489" s="1" t="n">
        <v>45996</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46188-2022</t>
        </is>
      </c>
      <c r="B490" s="1" t="n">
        <v>44847.518125</v>
      </c>
      <c r="C490" s="1" t="n">
        <v>45996</v>
      </c>
      <c r="D490" t="inlineStr">
        <is>
          <t>DALARNAS LÄN</t>
        </is>
      </c>
      <c r="E490" t="inlineStr">
        <is>
          <t>MORA</t>
        </is>
      </c>
      <c r="G490" t="n">
        <v>1.8</v>
      </c>
      <c r="H490" t="n">
        <v>0</v>
      </c>
      <c r="I490" t="n">
        <v>0</v>
      </c>
      <c r="J490" t="n">
        <v>0</v>
      </c>
      <c r="K490" t="n">
        <v>0</v>
      </c>
      <c r="L490" t="n">
        <v>0</v>
      </c>
      <c r="M490" t="n">
        <v>0</v>
      </c>
      <c r="N490" t="n">
        <v>0</v>
      </c>
      <c r="O490" t="n">
        <v>0</v>
      </c>
      <c r="P490" t="n">
        <v>0</v>
      </c>
      <c r="Q490" t="n">
        <v>0</v>
      </c>
      <c r="R490" s="2" t="inlineStr"/>
    </row>
    <row r="491" ht="15" customHeight="1">
      <c r="A491" t="inlineStr">
        <is>
          <t>A 43157-2025</t>
        </is>
      </c>
      <c r="B491" s="1" t="n">
        <v>45910.34953703704</v>
      </c>
      <c r="C491" s="1" t="n">
        <v>45996</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15172-2025</t>
        </is>
      </c>
      <c r="B492" s="1" t="n">
        <v>45744.50722222222</v>
      </c>
      <c r="C492" s="1" t="n">
        <v>45996</v>
      </c>
      <c r="D492" t="inlineStr">
        <is>
          <t>DALARNAS LÄN</t>
        </is>
      </c>
      <c r="E492" t="inlineStr">
        <is>
          <t>MORA</t>
        </is>
      </c>
      <c r="G492" t="n">
        <v>3.2</v>
      </c>
      <c r="H492" t="n">
        <v>0</v>
      </c>
      <c r="I492" t="n">
        <v>0</v>
      </c>
      <c r="J492" t="n">
        <v>0</v>
      </c>
      <c r="K492" t="n">
        <v>0</v>
      </c>
      <c r="L492" t="n">
        <v>0</v>
      </c>
      <c r="M492" t="n">
        <v>0</v>
      </c>
      <c r="N492" t="n">
        <v>0</v>
      </c>
      <c r="O492" t="n">
        <v>0</v>
      </c>
      <c r="P492" t="n">
        <v>0</v>
      </c>
      <c r="Q492" t="n">
        <v>0</v>
      </c>
      <c r="R492" s="2" t="inlineStr"/>
    </row>
    <row r="493" ht="15" customHeight="1">
      <c r="A493" t="inlineStr">
        <is>
          <t>A 43569-2025</t>
        </is>
      </c>
      <c r="B493" s="1" t="n">
        <v>45911.63363425926</v>
      </c>
      <c r="C493" s="1" t="n">
        <v>45996</v>
      </c>
      <c r="D493" t="inlineStr">
        <is>
          <t>DALARNAS LÄN</t>
        </is>
      </c>
      <c r="E493" t="inlineStr">
        <is>
          <t>MORA</t>
        </is>
      </c>
      <c r="G493" t="n">
        <v>4.7</v>
      </c>
      <c r="H493" t="n">
        <v>0</v>
      </c>
      <c r="I493" t="n">
        <v>0</v>
      </c>
      <c r="J493" t="n">
        <v>0</v>
      </c>
      <c r="K493" t="n">
        <v>0</v>
      </c>
      <c r="L493" t="n">
        <v>0</v>
      </c>
      <c r="M493" t="n">
        <v>0</v>
      </c>
      <c r="N493" t="n">
        <v>0</v>
      </c>
      <c r="O493" t="n">
        <v>0</v>
      </c>
      <c r="P493" t="n">
        <v>0</v>
      </c>
      <c r="Q493" t="n">
        <v>0</v>
      </c>
      <c r="R493" s="2" t="inlineStr"/>
    </row>
    <row r="494" ht="15" customHeight="1">
      <c r="A494" t="inlineStr">
        <is>
          <t>A 42035-2022</t>
        </is>
      </c>
      <c r="B494" s="1" t="n">
        <v>44830</v>
      </c>
      <c r="C494" s="1" t="n">
        <v>45996</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43153-2025</t>
        </is>
      </c>
      <c r="B495" s="1" t="n">
        <v>45910.34449074074</v>
      </c>
      <c r="C495" s="1" t="n">
        <v>45996</v>
      </c>
      <c r="D495" t="inlineStr">
        <is>
          <t>DALARNAS LÄN</t>
        </is>
      </c>
      <c r="E495" t="inlineStr">
        <is>
          <t>MORA</t>
        </is>
      </c>
      <c r="G495" t="n">
        <v>3.9</v>
      </c>
      <c r="H495" t="n">
        <v>0</v>
      </c>
      <c r="I495" t="n">
        <v>0</v>
      </c>
      <c r="J495" t="n">
        <v>0</v>
      </c>
      <c r="K495" t="n">
        <v>0</v>
      </c>
      <c r="L495" t="n">
        <v>0</v>
      </c>
      <c r="M495" t="n">
        <v>0</v>
      </c>
      <c r="N495" t="n">
        <v>0</v>
      </c>
      <c r="O495" t="n">
        <v>0</v>
      </c>
      <c r="P495" t="n">
        <v>0</v>
      </c>
      <c r="Q495" t="n">
        <v>0</v>
      </c>
      <c r="R495" s="2" t="inlineStr"/>
    </row>
    <row r="496" ht="15" customHeight="1">
      <c r="A496" t="inlineStr">
        <is>
          <t>A 43474-2025</t>
        </is>
      </c>
      <c r="B496" s="1" t="n">
        <v>45911.48967592593</v>
      </c>
      <c r="C496" s="1" t="n">
        <v>45996</v>
      </c>
      <c r="D496" t="inlineStr">
        <is>
          <t>DALARNAS LÄN</t>
        </is>
      </c>
      <c r="E496" t="inlineStr">
        <is>
          <t>MORA</t>
        </is>
      </c>
      <c r="G496" t="n">
        <v>1.8</v>
      </c>
      <c r="H496" t="n">
        <v>0</v>
      </c>
      <c r="I496" t="n">
        <v>0</v>
      </c>
      <c r="J496" t="n">
        <v>0</v>
      </c>
      <c r="K496" t="n">
        <v>0</v>
      </c>
      <c r="L496" t="n">
        <v>0</v>
      </c>
      <c r="M496" t="n">
        <v>0</v>
      </c>
      <c r="N496" t="n">
        <v>0</v>
      </c>
      <c r="O496" t="n">
        <v>0</v>
      </c>
      <c r="P496" t="n">
        <v>0</v>
      </c>
      <c r="Q496" t="n">
        <v>0</v>
      </c>
      <c r="R496" s="2" t="inlineStr"/>
    </row>
    <row r="497" ht="15" customHeight="1">
      <c r="A497" t="inlineStr">
        <is>
          <t>A 15817-2024</t>
        </is>
      </c>
      <c r="B497" s="1" t="n">
        <v>45404.67387731482</v>
      </c>
      <c r="C497" s="1" t="n">
        <v>45996</v>
      </c>
      <c r="D497" t="inlineStr">
        <is>
          <t>DALARNAS LÄN</t>
        </is>
      </c>
      <c r="E497" t="inlineStr">
        <is>
          <t>MORA</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39897-2022</t>
        </is>
      </c>
      <c r="B498" s="1" t="n">
        <v>44819.66083333334</v>
      </c>
      <c r="C498" s="1" t="n">
        <v>45996</v>
      </c>
      <c r="D498" t="inlineStr">
        <is>
          <t>DALARNAS LÄN</t>
        </is>
      </c>
      <c r="E498" t="inlineStr">
        <is>
          <t>MORA</t>
        </is>
      </c>
      <c r="G498" t="n">
        <v>15.8</v>
      </c>
      <c r="H498" t="n">
        <v>0</v>
      </c>
      <c r="I498" t="n">
        <v>0</v>
      </c>
      <c r="J498" t="n">
        <v>0</v>
      </c>
      <c r="K498" t="n">
        <v>0</v>
      </c>
      <c r="L498" t="n">
        <v>0</v>
      </c>
      <c r="M498" t="n">
        <v>0</v>
      </c>
      <c r="N498" t="n">
        <v>0</v>
      </c>
      <c r="O498" t="n">
        <v>0</v>
      </c>
      <c r="P498" t="n">
        <v>0</v>
      </c>
      <c r="Q498" t="n">
        <v>0</v>
      </c>
      <c r="R498" s="2" t="inlineStr"/>
    </row>
    <row r="499" ht="15" customHeight="1">
      <c r="A499" t="inlineStr">
        <is>
          <t>A 62853-2023</t>
        </is>
      </c>
      <c r="B499" s="1" t="n">
        <v>45272</v>
      </c>
      <c r="C499" s="1" t="n">
        <v>45996</v>
      </c>
      <c r="D499" t="inlineStr">
        <is>
          <t>DALARNAS LÄN</t>
        </is>
      </c>
      <c r="E499" t="inlineStr">
        <is>
          <t>MORA</t>
        </is>
      </c>
      <c r="G499" t="n">
        <v>13.6</v>
      </c>
      <c r="H499" t="n">
        <v>0</v>
      </c>
      <c r="I499" t="n">
        <v>0</v>
      </c>
      <c r="J499" t="n">
        <v>0</v>
      </c>
      <c r="K499" t="n">
        <v>0</v>
      </c>
      <c r="L499" t="n">
        <v>0</v>
      </c>
      <c r="M499" t="n">
        <v>0</v>
      </c>
      <c r="N499" t="n">
        <v>0</v>
      </c>
      <c r="O499" t="n">
        <v>0</v>
      </c>
      <c r="P499" t="n">
        <v>0</v>
      </c>
      <c r="Q499" t="n">
        <v>0</v>
      </c>
      <c r="R499" s="2" t="inlineStr"/>
    </row>
    <row r="500" ht="15" customHeight="1">
      <c r="A500" t="inlineStr">
        <is>
          <t>A 58116-2022</t>
        </is>
      </c>
      <c r="B500" s="1" t="n">
        <v>44900.65716435185</v>
      </c>
      <c r="C500" s="1" t="n">
        <v>45996</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11919-2024</t>
        </is>
      </c>
      <c r="B501" s="1" t="n">
        <v>45376.61019675926</v>
      </c>
      <c r="C501" s="1" t="n">
        <v>45996</v>
      </c>
      <c r="D501" t="inlineStr">
        <is>
          <t>DALARNAS LÄN</t>
        </is>
      </c>
      <c r="E501" t="inlineStr">
        <is>
          <t>MORA</t>
        </is>
      </c>
      <c r="G501" t="n">
        <v>3.5</v>
      </c>
      <c r="H501" t="n">
        <v>0</v>
      </c>
      <c r="I501" t="n">
        <v>0</v>
      </c>
      <c r="J501" t="n">
        <v>0</v>
      </c>
      <c r="K501" t="n">
        <v>0</v>
      </c>
      <c r="L501" t="n">
        <v>0</v>
      </c>
      <c r="M501" t="n">
        <v>0</v>
      </c>
      <c r="N501" t="n">
        <v>0</v>
      </c>
      <c r="O501" t="n">
        <v>0</v>
      </c>
      <c r="P501" t="n">
        <v>0</v>
      </c>
      <c r="Q501" t="n">
        <v>0</v>
      </c>
      <c r="R501" s="2" t="inlineStr"/>
    </row>
    <row r="502" ht="15" customHeight="1">
      <c r="A502" t="inlineStr">
        <is>
          <t>A 18992-2024</t>
        </is>
      </c>
      <c r="B502" s="1" t="n">
        <v>45427.61516203704</v>
      </c>
      <c r="C502" s="1" t="n">
        <v>45996</v>
      </c>
      <c r="D502" t="inlineStr">
        <is>
          <t>DALARNAS LÄN</t>
        </is>
      </c>
      <c r="E502" t="inlineStr">
        <is>
          <t>MORA</t>
        </is>
      </c>
      <c r="G502" t="n">
        <v>9.9</v>
      </c>
      <c r="H502" t="n">
        <v>0</v>
      </c>
      <c r="I502" t="n">
        <v>0</v>
      </c>
      <c r="J502" t="n">
        <v>0</v>
      </c>
      <c r="K502" t="n">
        <v>0</v>
      </c>
      <c r="L502" t="n">
        <v>0</v>
      </c>
      <c r="M502" t="n">
        <v>0</v>
      </c>
      <c r="N502" t="n">
        <v>0</v>
      </c>
      <c r="O502" t="n">
        <v>0</v>
      </c>
      <c r="P502" t="n">
        <v>0</v>
      </c>
      <c r="Q502" t="n">
        <v>0</v>
      </c>
      <c r="R502" s="2" t="inlineStr"/>
    </row>
    <row r="503" ht="15" customHeight="1">
      <c r="A503" t="inlineStr">
        <is>
          <t>A 60647-2022</t>
        </is>
      </c>
      <c r="B503" s="1" t="n">
        <v>44911</v>
      </c>
      <c r="C503" s="1" t="n">
        <v>45996</v>
      </c>
      <c r="D503" t="inlineStr">
        <is>
          <t>DALARNAS LÄN</t>
        </is>
      </c>
      <c r="E503" t="inlineStr">
        <is>
          <t>MORA</t>
        </is>
      </c>
      <c r="G503" t="n">
        <v>4.8</v>
      </c>
      <c r="H503" t="n">
        <v>0</v>
      </c>
      <c r="I503" t="n">
        <v>0</v>
      </c>
      <c r="J503" t="n">
        <v>0</v>
      </c>
      <c r="K503" t="n">
        <v>0</v>
      </c>
      <c r="L503" t="n">
        <v>0</v>
      </c>
      <c r="M503" t="n">
        <v>0</v>
      </c>
      <c r="N503" t="n">
        <v>0</v>
      </c>
      <c r="O503" t="n">
        <v>0</v>
      </c>
      <c r="P503" t="n">
        <v>0</v>
      </c>
      <c r="Q503" t="n">
        <v>0</v>
      </c>
      <c r="R503" s="2" t="inlineStr"/>
    </row>
    <row r="504" ht="15" customHeight="1">
      <c r="A504" t="inlineStr">
        <is>
          <t>A 1897-2023</t>
        </is>
      </c>
      <c r="B504" s="1" t="n">
        <v>44937</v>
      </c>
      <c r="C504" s="1" t="n">
        <v>45996</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52804-2025</t>
        </is>
      </c>
      <c r="B505" s="1" t="n">
        <v>45957.44552083333</v>
      </c>
      <c r="C505" s="1" t="n">
        <v>45996</v>
      </c>
      <c r="D505" t="inlineStr">
        <is>
          <t>DALARNAS LÄN</t>
        </is>
      </c>
      <c r="E505" t="inlineStr">
        <is>
          <t>MORA</t>
        </is>
      </c>
      <c r="G505" t="n">
        <v>2.9</v>
      </c>
      <c r="H505" t="n">
        <v>0</v>
      </c>
      <c r="I505" t="n">
        <v>0</v>
      </c>
      <c r="J505" t="n">
        <v>0</v>
      </c>
      <c r="K505" t="n">
        <v>0</v>
      </c>
      <c r="L505" t="n">
        <v>0</v>
      </c>
      <c r="M505" t="n">
        <v>0</v>
      </c>
      <c r="N505" t="n">
        <v>0</v>
      </c>
      <c r="O505" t="n">
        <v>0</v>
      </c>
      <c r="P505" t="n">
        <v>0</v>
      </c>
      <c r="Q505" t="n">
        <v>0</v>
      </c>
      <c r="R505" s="2" t="inlineStr"/>
    </row>
    <row r="506" ht="15" customHeight="1">
      <c r="A506" t="inlineStr">
        <is>
          <t>A 37385-2022</t>
        </is>
      </c>
      <c r="B506" s="1" t="n">
        <v>44806</v>
      </c>
      <c r="C506" s="1" t="n">
        <v>45996</v>
      </c>
      <c r="D506" t="inlineStr">
        <is>
          <t>DALARNAS LÄN</t>
        </is>
      </c>
      <c r="E506" t="inlineStr">
        <is>
          <t>MORA</t>
        </is>
      </c>
      <c r="G506" t="n">
        <v>2.2</v>
      </c>
      <c r="H506" t="n">
        <v>0</v>
      </c>
      <c r="I506" t="n">
        <v>0</v>
      </c>
      <c r="J506" t="n">
        <v>0</v>
      </c>
      <c r="K506" t="n">
        <v>0</v>
      </c>
      <c r="L506" t="n">
        <v>0</v>
      </c>
      <c r="M506" t="n">
        <v>0</v>
      </c>
      <c r="N506" t="n">
        <v>0</v>
      </c>
      <c r="O506" t="n">
        <v>0</v>
      </c>
      <c r="P506" t="n">
        <v>0</v>
      </c>
      <c r="Q506" t="n">
        <v>0</v>
      </c>
      <c r="R506" s="2" t="inlineStr"/>
    </row>
    <row r="507" ht="15" customHeight="1">
      <c r="A507" t="inlineStr">
        <is>
          <t>A 42391-2023</t>
        </is>
      </c>
      <c r="B507" s="1" t="n">
        <v>45180</v>
      </c>
      <c r="C507" s="1" t="n">
        <v>45996</v>
      </c>
      <c r="D507" t="inlineStr">
        <is>
          <t>DALARNAS LÄN</t>
        </is>
      </c>
      <c r="E507" t="inlineStr">
        <is>
          <t>MORA</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70141-2021</t>
        </is>
      </c>
      <c r="B508" s="1" t="n">
        <v>44533</v>
      </c>
      <c r="C508" s="1" t="n">
        <v>45996</v>
      </c>
      <c r="D508" t="inlineStr">
        <is>
          <t>DALARNAS LÄN</t>
        </is>
      </c>
      <c r="E508" t="inlineStr">
        <is>
          <t>MORA</t>
        </is>
      </c>
      <c r="G508" t="n">
        <v>4.1</v>
      </c>
      <c r="H508" t="n">
        <v>0</v>
      </c>
      <c r="I508" t="n">
        <v>0</v>
      </c>
      <c r="J508" t="n">
        <v>0</v>
      </c>
      <c r="K508" t="n">
        <v>0</v>
      </c>
      <c r="L508" t="n">
        <v>0</v>
      </c>
      <c r="M508" t="n">
        <v>0</v>
      </c>
      <c r="N508" t="n">
        <v>0</v>
      </c>
      <c r="O508" t="n">
        <v>0</v>
      </c>
      <c r="P508" t="n">
        <v>0</v>
      </c>
      <c r="Q508" t="n">
        <v>0</v>
      </c>
      <c r="R508" s="2" t="inlineStr"/>
    </row>
    <row r="509" ht="15" customHeight="1">
      <c r="A509" t="inlineStr">
        <is>
          <t>A 64093-2023</t>
        </is>
      </c>
      <c r="B509" s="1" t="n">
        <v>45279</v>
      </c>
      <c r="C509" s="1" t="n">
        <v>45996</v>
      </c>
      <c r="D509" t="inlineStr">
        <is>
          <t>DALARNAS LÄN</t>
        </is>
      </c>
      <c r="E509" t="inlineStr">
        <is>
          <t>MORA</t>
        </is>
      </c>
      <c r="G509" t="n">
        <v>0.9</v>
      </c>
      <c r="H509" t="n">
        <v>0</v>
      </c>
      <c r="I509" t="n">
        <v>0</v>
      </c>
      <c r="J509" t="n">
        <v>0</v>
      </c>
      <c r="K509" t="n">
        <v>0</v>
      </c>
      <c r="L509" t="n">
        <v>0</v>
      </c>
      <c r="M509" t="n">
        <v>0</v>
      </c>
      <c r="N509" t="n">
        <v>0</v>
      </c>
      <c r="O509" t="n">
        <v>0</v>
      </c>
      <c r="P509" t="n">
        <v>0</v>
      </c>
      <c r="Q509" t="n">
        <v>0</v>
      </c>
      <c r="R509" s="2" t="inlineStr"/>
    </row>
    <row r="510" ht="15" customHeight="1">
      <c r="A510" t="inlineStr">
        <is>
          <t>A 56460-2022</t>
        </is>
      </c>
      <c r="B510" s="1" t="n">
        <v>44893</v>
      </c>
      <c r="C510" s="1" t="n">
        <v>45996</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45996</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37471-2024</t>
        </is>
      </c>
      <c r="B512" s="1" t="n">
        <v>45540.85054398148</v>
      </c>
      <c r="C512" s="1" t="n">
        <v>45996</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14936-2025</t>
        </is>
      </c>
      <c r="B513" s="1" t="n">
        <v>45743.55756944444</v>
      </c>
      <c r="C513" s="1" t="n">
        <v>45996</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53344-2023</t>
        </is>
      </c>
      <c r="B514" s="1" t="n">
        <v>45229</v>
      </c>
      <c r="C514" s="1" t="n">
        <v>45996</v>
      </c>
      <c r="D514" t="inlineStr">
        <is>
          <t>DALARNAS LÄN</t>
        </is>
      </c>
      <c r="E514" t="inlineStr">
        <is>
          <t>MORA</t>
        </is>
      </c>
      <c r="G514" t="n">
        <v>2.4</v>
      </c>
      <c r="H514" t="n">
        <v>0</v>
      </c>
      <c r="I514" t="n">
        <v>0</v>
      </c>
      <c r="J514" t="n">
        <v>0</v>
      </c>
      <c r="K514" t="n">
        <v>0</v>
      </c>
      <c r="L514" t="n">
        <v>0</v>
      </c>
      <c r="M514" t="n">
        <v>0</v>
      </c>
      <c r="N514" t="n">
        <v>0</v>
      </c>
      <c r="O514" t="n">
        <v>0</v>
      </c>
      <c r="P514" t="n">
        <v>0</v>
      </c>
      <c r="Q514" t="n">
        <v>0</v>
      </c>
      <c r="R514" s="2" t="inlineStr"/>
    </row>
    <row r="515" ht="15" customHeight="1">
      <c r="A515" t="inlineStr">
        <is>
          <t>A 31395-2024</t>
        </is>
      </c>
      <c r="B515" s="1" t="n">
        <v>45505.47716435185</v>
      </c>
      <c r="C515" s="1" t="n">
        <v>45996</v>
      </c>
      <c r="D515" t="inlineStr">
        <is>
          <t>DALARNAS LÄN</t>
        </is>
      </c>
      <c r="E515" t="inlineStr">
        <is>
          <t>MORA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48522-2024</t>
        </is>
      </c>
      <c r="B516" s="1" t="n">
        <v>45593.32924768519</v>
      </c>
      <c r="C516" s="1" t="n">
        <v>45996</v>
      </c>
      <c r="D516" t="inlineStr">
        <is>
          <t>DALARNAS LÄN</t>
        </is>
      </c>
      <c r="E516" t="inlineStr">
        <is>
          <t>MORA</t>
        </is>
      </c>
      <c r="G516" t="n">
        <v>1.2</v>
      </c>
      <c r="H516" t="n">
        <v>0</v>
      </c>
      <c r="I516" t="n">
        <v>0</v>
      </c>
      <c r="J516" t="n">
        <v>0</v>
      </c>
      <c r="K516" t="n">
        <v>0</v>
      </c>
      <c r="L516" t="n">
        <v>0</v>
      </c>
      <c r="M516" t="n">
        <v>0</v>
      </c>
      <c r="N516" t="n">
        <v>0</v>
      </c>
      <c r="O516" t="n">
        <v>0</v>
      </c>
      <c r="P516" t="n">
        <v>0</v>
      </c>
      <c r="Q516" t="n">
        <v>0</v>
      </c>
      <c r="R516" s="2" t="inlineStr"/>
    </row>
    <row r="517" ht="15" customHeight="1">
      <c r="A517" t="inlineStr">
        <is>
          <t>A 43811-2025</t>
        </is>
      </c>
      <c r="B517" s="1" t="n">
        <v>45912.58710648148</v>
      </c>
      <c r="C517" s="1" t="n">
        <v>45996</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60847-2021</t>
        </is>
      </c>
      <c r="B518" s="1" t="n">
        <v>44497</v>
      </c>
      <c r="C518" s="1" t="n">
        <v>45996</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15435-2024</t>
        </is>
      </c>
      <c r="B519" s="1" t="n">
        <v>45401.40806712963</v>
      </c>
      <c r="C519" s="1" t="n">
        <v>45996</v>
      </c>
      <c r="D519" t="inlineStr">
        <is>
          <t>DALARNAS LÄN</t>
        </is>
      </c>
      <c r="E519" t="inlineStr">
        <is>
          <t>MORA</t>
        </is>
      </c>
      <c r="G519" t="n">
        <v>2.1</v>
      </c>
      <c r="H519" t="n">
        <v>0</v>
      </c>
      <c r="I519" t="n">
        <v>0</v>
      </c>
      <c r="J519" t="n">
        <v>0</v>
      </c>
      <c r="K519" t="n">
        <v>0</v>
      </c>
      <c r="L519" t="n">
        <v>0</v>
      </c>
      <c r="M519" t="n">
        <v>0</v>
      </c>
      <c r="N519" t="n">
        <v>0</v>
      </c>
      <c r="O519" t="n">
        <v>0</v>
      </c>
      <c r="P519" t="n">
        <v>0</v>
      </c>
      <c r="Q519" t="n">
        <v>0</v>
      </c>
      <c r="R519" s="2" t="inlineStr"/>
    </row>
    <row r="520" ht="15" customHeight="1">
      <c r="A520" t="inlineStr">
        <is>
          <t>A 31085-2024</t>
        </is>
      </c>
      <c r="B520" s="1" t="n">
        <v>45502.48047453703</v>
      </c>
      <c r="C520" s="1" t="n">
        <v>45996</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53754-2024</t>
        </is>
      </c>
      <c r="B521" s="1" t="n">
        <v>45615.49371527778</v>
      </c>
      <c r="C521" s="1" t="n">
        <v>45996</v>
      </c>
      <c r="D521" t="inlineStr">
        <is>
          <t>DALARNAS LÄN</t>
        </is>
      </c>
      <c r="E521" t="inlineStr">
        <is>
          <t>MORA</t>
        </is>
      </c>
      <c r="G521" t="n">
        <v>4.8</v>
      </c>
      <c r="H521" t="n">
        <v>0</v>
      </c>
      <c r="I521" t="n">
        <v>0</v>
      </c>
      <c r="J521" t="n">
        <v>0</v>
      </c>
      <c r="K521" t="n">
        <v>0</v>
      </c>
      <c r="L521" t="n">
        <v>0</v>
      </c>
      <c r="M521" t="n">
        <v>0</v>
      </c>
      <c r="N521" t="n">
        <v>0</v>
      </c>
      <c r="O521" t="n">
        <v>0</v>
      </c>
      <c r="P521" t="n">
        <v>0</v>
      </c>
      <c r="Q521" t="n">
        <v>0</v>
      </c>
      <c r="R521" s="2" t="inlineStr"/>
    </row>
    <row r="522" ht="15" customHeight="1">
      <c r="A522" t="inlineStr">
        <is>
          <t>A 43863-2023</t>
        </is>
      </c>
      <c r="B522" s="1" t="n">
        <v>45187.62532407408</v>
      </c>
      <c r="C522" s="1" t="n">
        <v>45996</v>
      </c>
      <c r="D522" t="inlineStr">
        <is>
          <t>DALARNAS LÄN</t>
        </is>
      </c>
      <c r="E522" t="inlineStr">
        <is>
          <t>MORA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14040-2023</t>
        </is>
      </c>
      <c r="B523" s="1" t="n">
        <v>45008.64575231481</v>
      </c>
      <c r="C523" s="1" t="n">
        <v>45996</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60051-2022</t>
        </is>
      </c>
      <c r="B524" s="1" t="n">
        <v>44909.52385416667</v>
      </c>
      <c r="C524" s="1" t="n">
        <v>45996</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13262-2022</t>
        </is>
      </c>
      <c r="B525" s="1" t="n">
        <v>44644.70184027778</v>
      </c>
      <c r="C525" s="1" t="n">
        <v>45996</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56770-2024</t>
        </is>
      </c>
      <c r="B526" s="1" t="n">
        <v>45628.41587962963</v>
      </c>
      <c r="C526" s="1" t="n">
        <v>45996</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18120-2025</t>
        </is>
      </c>
      <c r="B527" s="1" t="n">
        <v>45761</v>
      </c>
      <c r="C527" s="1" t="n">
        <v>45996</v>
      </c>
      <c r="D527" t="inlineStr">
        <is>
          <t>DALARNAS LÄN</t>
        </is>
      </c>
      <c r="E527" t="inlineStr">
        <is>
          <t>MORA</t>
        </is>
      </c>
      <c r="F527" t="inlineStr">
        <is>
          <t>Bergvik skog väst AB</t>
        </is>
      </c>
      <c r="G527" t="n">
        <v>6.4</v>
      </c>
      <c r="H527" t="n">
        <v>0</v>
      </c>
      <c r="I527" t="n">
        <v>0</v>
      </c>
      <c r="J527" t="n">
        <v>0</v>
      </c>
      <c r="K527" t="n">
        <v>0</v>
      </c>
      <c r="L527" t="n">
        <v>0</v>
      </c>
      <c r="M527" t="n">
        <v>0</v>
      </c>
      <c r="N527" t="n">
        <v>0</v>
      </c>
      <c r="O527" t="n">
        <v>0</v>
      </c>
      <c r="P527" t="n">
        <v>0</v>
      </c>
      <c r="Q527" t="n">
        <v>0</v>
      </c>
      <c r="R527" s="2" t="inlineStr"/>
    </row>
    <row r="528" ht="15" customHeight="1">
      <c r="A528" t="inlineStr">
        <is>
          <t>A 18127-2025</t>
        </is>
      </c>
      <c r="B528" s="1" t="n">
        <v>45761.59523148148</v>
      </c>
      <c r="C528" s="1" t="n">
        <v>45996</v>
      </c>
      <c r="D528" t="inlineStr">
        <is>
          <t>DALARNAS LÄN</t>
        </is>
      </c>
      <c r="E528" t="inlineStr">
        <is>
          <t>MORA</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56767-2023</t>
        </is>
      </c>
      <c r="B529" s="1" t="n">
        <v>45244</v>
      </c>
      <c r="C529" s="1" t="n">
        <v>45996</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4489-2022</t>
        </is>
      </c>
      <c r="B530" s="1" t="n">
        <v>44589</v>
      </c>
      <c r="C530" s="1" t="n">
        <v>45996</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45574-2023</t>
        </is>
      </c>
      <c r="B531" s="1" t="n">
        <v>45194</v>
      </c>
      <c r="C531" s="1" t="n">
        <v>45996</v>
      </c>
      <c r="D531" t="inlineStr">
        <is>
          <t>DALARNAS LÄN</t>
        </is>
      </c>
      <c r="E531" t="inlineStr">
        <is>
          <t>MORA</t>
        </is>
      </c>
      <c r="G531" t="n">
        <v>6.3</v>
      </c>
      <c r="H531" t="n">
        <v>0</v>
      </c>
      <c r="I531" t="n">
        <v>0</v>
      </c>
      <c r="J531" t="n">
        <v>0</v>
      </c>
      <c r="K531" t="n">
        <v>0</v>
      </c>
      <c r="L531" t="n">
        <v>0</v>
      </c>
      <c r="M531" t="n">
        <v>0</v>
      </c>
      <c r="N531" t="n">
        <v>0</v>
      </c>
      <c r="O531" t="n">
        <v>0</v>
      </c>
      <c r="P531" t="n">
        <v>0</v>
      </c>
      <c r="Q531" t="n">
        <v>0</v>
      </c>
      <c r="R531" s="2" t="inlineStr"/>
    </row>
    <row r="532" ht="15" customHeight="1">
      <c r="A532" t="inlineStr">
        <is>
          <t>A 45315-2024</t>
        </is>
      </c>
      <c r="B532" s="1" t="n">
        <v>45576.43782407408</v>
      </c>
      <c r="C532" s="1" t="n">
        <v>45996</v>
      </c>
      <c r="D532" t="inlineStr">
        <is>
          <t>DALARNAS LÄN</t>
        </is>
      </c>
      <c r="E532" t="inlineStr">
        <is>
          <t>MORA</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50056-2022</t>
        </is>
      </c>
      <c r="B533" s="1" t="n">
        <v>44865</v>
      </c>
      <c r="C533" s="1" t="n">
        <v>45996</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15499-2024</t>
        </is>
      </c>
      <c r="B534" s="1" t="n">
        <v>45401.53798611111</v>
      </c>
      <c r="C534" s="1" t="n">
        <v>45996</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68415-2021</t>
        </is>
      </c>
      <c r="B535" s="1" t="n">
        <v>44529</v>
      </c>
      <c r="C535" s="1" t="n">
        <v>45996</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52599-2025</t>
        </is>
      </c>
      <c r="B536" s="1" t="n">
        <v>45954.65564814815</v>
      </c>
      <c r="C536" s="1" t="n">
        <v>45996</v>
      </c>
      <c r="D536" t="inlineStr">
        <is>
          <t>DALARNAS LÄN</t>
        </is>
      </c>
      <c r="E536" t="inlineStr">
        <is>
          <t>MORA</t>
        </is>
      </c>
      <c r="G536" t="n">
        <v>10.8</v>
      </c>
      <c r="H536" t="n">
        <v>0</v>
      </c>
      <c r="I536" t="n">
        <v>0</v>
      </c>
      <c r="J536" t="n">
        <v>0</v>
      </c>
      <c r="K536" t="n">
        <v>0</v>
      </c>
      <c r="L536" t="n">
        <v>0</v>
      </c>
      <c r="M536" t="n">
        <v>0</v>
      </c>
      <c r="N536" t="n">
        <v>0</v>
      </c>
      <c r="O536" t="n">
        <v>0</v>
      </c>
      <c r="P536" t="n">
        <v>0</v>
      </c>
      <c r="Q536" t="n">
        <v>0</v>
      </c>
      <c r="R536" s="2" t="inlineStr"/>
    </row>
    <row r="537" ht="15" customHeight="1">
      <c r="A537" t="inlineStr">
        <is>
          <t>A 17172-2025</t>
        </is>
      </c>
      <c r="B537" s="1" t="n">
        <v>45756.37201388889</v>
      </c>
      <c r="C537" s="1" t="n">
        <v>45996</v>
      </c>
      <c r="D537" t="inlineStr">
        <is>
          <t>DALARNAS LÄN</t>
        </is>
      </c>
      <c r="E537" t="inlineStr">
        <is>
          <t>MORA</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44384-2025</t>
        </is>
      </c>
      <c r="B538" s="1" t="n">
        <v>45916.48513888889</v>
      </c>
      <c r="C538" s="1" t="n">
        <v>45996</v>
      </c>
      <c r="D538" t="inlineStr">
        <is>
          <t>DALARNAS LÄN</t>
        </is>
      </c>
      <c r="E538" t="inlineStr">
        <is>
          <t>MORA</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15643-2025</t>
        </is>
      </c>
      <c r="B539" s="1" t="n">
        <v>45748.39222222222</v>
      </c>
      <c r="C539" s="1" t="n">
        <v>45996</v>
      </c>
      <c r="D539" t="inlineStr">
        <is>
          <t>DALARNAS LÄN</t>
        </is>
      </c>
      <c r="E539" t="inlineStr">
        <is>
          <t>MORA</t>
        </is>
      </c>
      <c r="G539" t="n">
        <v>7.6</v>
      </c>
      <c r="H539" t="n">
        <v>0</v>
      </c>
      <c r="I539" t="n">
        <v>0</v>
      </c>
      <c r="J539" t="n">
        <v>0</v>
      </c>
      <c r="K539" t="n">
        <v>0</v>
      </c>
      <c r="L539" t="n">
        <v>0</v>
      </c>
      <c r="M539" t="n">
        <v>0</v>
      </c>
      <c r="N539" t="n">
        <v>0</v>
      </c>
      <c r="O539" t="n">
        <v>0</v>
      </c>
      <c r="P539" t="n">
        <v>0</v>
      </c>
      <c r="Q539" t="n">
        <v>0</v>
      </c>
      <c r="R539" s="2" t="inlineStr"/>
    </row>
    <row r="540" ht="15" customHeight="1">
      <c r="A540" t="inlineStr">
        <is>
          <t>A 39009-2023</t>
        </is>
      </c>
      <c r="B540" s="1" t="n">
        <v>45162</v>
      </c>
      <c r="C540" s="1" t="n">
        <v>45996</v>
      </c>
      <c r="D540" t="inlineStr">
        <is>
          <t>DALARNAS LÄN</t>
        </is>
      </c>
      <c r="E540" t="inlineStr">
        <is>
          <t>MORA</t>
        </is>
      </c>
      <c r="G540" t="n">
        <v>1.9</v>
      </c>
      <c r="H540" t="n">
        <v>0</v>
      </c>
      <c r="I540" t="n">
        <v>0</v>
      </c>
      <c r="J540" t="n">
        <v>0</v>
      </c>
      <c r="K540" t="n">
        <v>0</v>
      </c>
      <c r="L540" t="n">
        <v>0</v>
      </c>
      <c r="M540" t="n">
        <v>0</v>
      </c>
      <c r="N540" t="n">
        <v>0</v>
      </c>
      <c r="O540" t="n">
        <v>0</v>
      </c>
      <c r="P540" t="n">
        <v>0</v>
      </c>
      <c r="Q540" t="n">
        <v>0</v>
      </c>
      <c r="R540" s="2" t="inlineStr"/>
    </row>
    <row r="541" ht="15" customHeight="1">
      <c r="A541" t="inlineStr">
        <is>
          <t>A 56532-2024</t>
        </is>
      </c>
      <c r="B541" s="1" t="n">
        <v>45625.55440972222</v>
      </c>
      <c r="C541" s="1" t="n">
        <v>45996</v>
      </c>
      <c r="D541" t="inlineStr">
        <is>
          <t>DALARNAS LÄN</t>
        </is>
      </c>
      <c r="E541" t="inlineStr">
        <is>
          <t>MORA</t>
        </is>
      </c>
      <c r="G541" t="n">
        <v>6.9</v>
      </c>
      <c r="H541" t="n">
        <v>0</v>
      </c>
      <c r="I541" t="n">
        <v>0</v>
      </c>
      <c r="J541" t="n">
        <v>0</v>
      </c>
      <c r="K541" t="n">
        <v>0</v>
      </c>
      <c r="L541" t="n">
        <v>0</v>
      </c>
      <c r="M541" t="n">
        <v>0</v>
      </c>
      <c r="N541" t="n">
        <v>0</v>
      </c>
      <c r="O541" t="n">
        <v>0</v>
      </c>
      <c r="P541" t="n">
        <v>0</v>
      </c>
      <c r="Q541" t="n">
        <v>0</v>
      </c>
      <c r="R541" s="2" t="inlineStr"/>
    </row>
    <row r="542" ht="15" customHeight="1">
      <c r="A542" t="inlineStr">
        <is>
          <t>A 46755-2023</t>
        </is>
      </c>
      <c r="B542" s="1" t="n">
        <v>45198.61314814815</v>
      </c>
      <c r="C542" s="1" t="n">
        <v>45996</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5001-2025</t>
        </is>
      </c>
      <c r="B543" s="1" t="n">
        <v>45691.36403935185</v>
      </c>
      <c r="C543" s="1" t="n">
        <v>45996</v>
      </c>
      <c r="D543" t="inlineStr">
        <is>
          <t>DALARNAS LÄN</t>
        </is>
      </c>
      <c r="E543" t="inlineStr">
        <is>
          <t>MORA</t>
        </is>
      </c>
      <c r="G543" t="n">
        <v>1.3</v>
      </c>
      <c r="H543" t="n">
        <v>0</v>
      </c>
      <c r="I543" t="n">
        <v>0</v>
      </c>
      <c r="J543" t="n">
        <v>0</v>
      </c>
      <c r="K543" t="n">
        <v>0</v>
      </c>
      <c r="L543" t="n">
        <v>0</v>
      </c>
      <c r="M543" t="n">
        <v>0</v>
      </c>
      <c r="N543" t="n">
        <v>0</v>
      </c>
      <c r="O543" t="n">
        <v>0</v>
      </c>
      <c r="P543" t="n">
        <v>0</v>
      </c>
      <c r="Q543" t="n">
        <v>0</v>
      </c>
      <c r="R543" s="2" t="inlineStr"/>
    </row>
    <row r="544" ht="15" customHeight="1">
      <c r="A544" t="inlineStr">
        <is>
          <t>A 53150-2025</t>
        </is>
      </c>
      <c r="B544" s="1" t="n">
        <v>45958.48280092593</v>
      </c>
      <c r="C544" s="1" t="n">
        <v>45996</v>
      </c>
      <c r="D544" t="inlineStr">
        <is>
          <t>DALARNAS LÄN</t>
        </is>
      </c>
      <c r="E544" t="inlineStr">
        <is>
          <t>MORA</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53151-2025</t>
        </is>
      </c>
      <c r="B545" s="1" t="n">
        <v>45958.48611111111</v>
      </c>
      <c r="C545" s="1" t="n">
        <v>45996</v>
      </c>
      <c r="D545" t="inlineStr">
        <is>
          <t>DALARNAS LÄN</t>
        </is>
      </c>
      <c r="E545" t="inlineStr">
        <is>
          <t>MORA</t>
        </is>
      </c>
      <c r="F545" t="inlineStr">
        <is>
          <t>Bergvik skog öst AB</t>
        </is>
      </c>
      <c r="G545" t="n">
        <v>0.8</v>
      </c>
      <c r="H545" t="n">
        <v>0</v>
      </c>
      <c r="I545" t="n">
        <v>0</v>
      </c>
      <c r="J545" t="n">
        <v>0</v>
      </c>
      <c r="K545" t="n">
        <v>0</v>
      </c>
      <c r="L545" t="n">
        <v>0</v>
      </c>
      <c r="M545" t="n">
        <v>0</v>
      </c>
      <c r="N545" t="n">
        <v>0</v>
      </c>
      <c r="O545" t="n">
        <v>0</v>
      </c>
      <c r="P545" t="n">
        <v>0</v>
      </c>
      <c r="Q545" t="n">
        <v>0</v>
      </c>
      <c r="R545" s="2" t="inlineStr"/>
    </row>
    <row r="546" ht="15" customHeight="1">
      <c r="A546" t="inlineStr">
        <is>
          <t>A 60360-2023</t>
        </is>
      </c>
      <c r="B546" s="1" t="n">
        <v>45259</v>
      </c>
      <c r="C546" s="1" t="n">
        <v>45996</v>
      </c>
      <c r="D546" t="inlineStr">
        <is>
          <t>DALARNAS LÄN</t>
        </is>
      </c>
      <c r="E546" t="inlineStr">
        <is>
          <t>MORA</t>
        </is>
      </c>
      <c r="G546" t="n">
        <v>2.9</v>
      </c>
      <c r="H546" t="n">
        <v>0</v>
      </c>
      <c r="I546" t="n">
        <v>0</v>
      </c>
      <c r="J546" t="n">
        <v>0</v>
      </c>
      <c r="K546" t="n">
        <v>0</v>
      </c>
      <c r="L546" t="n">
        <v>0</v>
      </c>
      <c r="M546" t="n">
        <v>0</v>
      </c>
      <c r="N546" t="n">
        <v>0</v>
      </c>
      <c r="O546" t="n">
        <v>0</v>
      </c>
      <c r="P546" t="n">
        <v>0</v>
      </c>
      <c r="Q546" t="n">
        <v>0</v>
      </c>
      <c r="R546" s="2" t="inlineStr"/>
    </row>
    <row r="547" ht="15" customHeight="1">
      <c r="A547" t="inlineStr">
        <is>
          <t>A 18122-2025</t>
        </is>
      </c>
      <c r="B547" s="1" t="n">
        <v>45761.59221064814</v>
      </c>
      <c r="C547" s="1" t="n">
        <v>45996</v>
      </c>
      <c r="D547" t="inlineStr">
        <is>
          <t>DALARNAS LÄN</t>
        </is>
      </c>
      <c r="E547" t="inlineStr">
        <is>
          <t>MORA</t>
        </is>
      </c>
      <c r="F547" t="inlineStr">
        <is>
          <t>Bergvik skog öst AB</t>
        </is>
      </c>
      <c r="G547" t="n">
        <v>1.1</v>
      </c>
      <c r="H547" t="n">
        <v>0</v>
      </c>
      <c r="I547" t="n">
        <v>0</v>
      </c>
      <c r="J547" t="n">
        <v>0</v>
      </c>
      <c r="K547" t="n">
        <v>0</v>
      </c>
      <c r="L547" t="n">
        <v>0</v>
      </c>
      <c r="M547" t="n">
        <v>0</v>
      </c>
      <c r="N547" t="n">
        <v>0</v>
      </c>
      <c r="O547" t="n">
        <v>0</v>
      </c>
      <c r="P547" t="n">
        <v>0</v>
      </c>
      <c r="Q547" t="n">
        <v>0</v>
      </c>
      <c r="R547" s="2" t="inlineStr"/>
    </row>
    <row r="548" ht="15" customHeight="1">
      <c r="A548" t="inlineStr">
        <is>
          <t>A 17164-2025</t>
        </is>
      </c>
      <c r="B548" s="1" t="n">
        <v>45756.36403935185</v>
      </c>
      <c r="C548" s="1" t="n">
        <v>45996</v>
      </c>
      <c r="D548" t="inlineStr">
        <is>
          <t>DALARNAS LÄN</t>
        </is>
      </c>
      <c r="E548" t="inlineStr">
        <is>
          <t>MORA</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24768-2024</t>
        </is>
      </c>
      <c r="B549" s="1" t="n">
        <v>45460.69545138889</v>
      </c>
      <c r="C549" s="1" t="n">
        <v>45996</v>
      </c>
      <c r="D549" t="inlineStr">
        <is>
          <t>DALARNAS LÄN</t>
        </is>
      </c>
      <c r="E549" t="inlineStr">
        <is>
          <t>MORA</t>
        </is>
      </c>
      <c r="G549" t="n">
        <v>2.4</v>
      </c>
      <c r="H549" t="n">
        <v>0</v>
      </c>
      <c r="I549" t="n">
        <v>0</v>
      </c>
      <c r="J549" t="n">
        <v>0</v>
      </c>
      <c r="K549" t="n">
        <v>0</v>
      </c>
      <c r="L549" t="n">
        <v>0</v>
      </c>
      <c r="M549" t="n">
        <v>0</v>
      </c>
      <c r="N549" t="n">
        <v>0</v>
      </c>
      <c r="O549" t="n">
        <v>0</v>
      </c>
      <c r="P549" t="n">
        <v>0</v>
      </c>
      <c r="Q549" t="n">
        <v>0</v>
      </c>
      <c r="R549" s="2" t="inlineStr"/>
    </row>
    <row r="550" ht="15" customHeight="1">
      <c r="A550" t="inlineStr">
        <is>
          <t>A 44817-2023</t>
        </is>
      </c>
      <c r="B550" s="1" t="n">
        <v>45190.51887731482</v>
      </c>
      <c r="C550" s="1" t="n">
        <v>45996</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17278-2025</t>
        </is>
      </c>
      <c r="B551" s="1" t="n">
        <v>45756.56131944444</v>
      </c>
      <c r="C551" s="1" t="n">
        <v>45996</v>
      </c>
      <c r="D551" t="inlineStr">
        <is>
          <t>DALARNAS LÄN</t>
        </is>
      </c>
      <c r="E551" t="inlineStr">
        <is>
          <t>MORA</t>
        </is>
      </c>
      <c r="G551" t="n">
        <v>3</v>
      </c>
      <c r="H551" t="n">
        <v>0</v>
      </c>
      <c r="I551" t="n">
        <v>0</v>
      </c>
      <c r="J551" t="n">
        <v>0</v>
      </c>
      <c r="K551" t="n">
        <v>0</v>
      </c>
      <c r="L551" t="n">
        <v>0</v>
      </c>
      <c r="M551" t="n">
        <v>0</v>
      </c>
      <c r="N551" t="n">
        <v>0</v>
      </c>
      <c r="O551" t="n">
        <v>0</v>
      </c>
      <c r="P551" t="n">
        <v>0</v>
      </c>
      <c r="Q551" t="n">
        <v>0</v>
      </c>
      <c r="R551" s="2" t="inlineStr"/>
    </row>
    <row r="552" ht="15" customHeight="1">
      <c r="A552" t="inlineStr">
        <is>
          <t>A 39511-2024</t>
        </is>
      </c>
      <c r="B552" s="1" t="n">
        <v>45551.68347222222</v>
      </c>
      <c r="C552" s="1" t="n">
        <v>45996</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4209-2023</t>
        </is>
      </c>
      <c r="B553" s="1" t="n">
        <v>44953</v>
      </c>
      <c r="C553" s="1" t="n">
        <v>45996</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53418-2025</t>
        </is>
      </c>
      <c r="B554" s="1" t="n">
        <v>45959.58747685186</v>
      </c>
      <c r="C554" s="1" t="n">
        <v>45996</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57797-2022</t>
        </is>
      </c>
      <c r="B555" s="1" t="n">
        <v>44897</v>
      </c>
      <c r="C555" s="1" t="n">
        <v>45996</v>
      </c>
      <c r="D555" t="inlineStr">
        <is>
          <t>DALARNAS LÄN</t>
        </is>
      </c>
      <c r="E555" t="inlineStr">
        <is>
          <t>MORA</t>
        </is>
      </c>
      <c r="G555" t="n">
        <v>3.1</v>
      </c>
      <c r="H555" t="n">
        <v>0</v>
      </c>
      <c r="I555" t="n">
        <v>0</v>
      </c>
      <c r="J555" t="n">
        <v>0</v>
      </c>
      <c r="K555" t="n">
        <v>0</v>
      </c>
      <c r="L555" t="n">
        <v>0</v>
      </c>
      <c r="M555" t="n">
        <v>0</v>
      </c>
      <c r="N555" t="n">
        <v>0</v>
      </c>
      <c r="O555" t="n">
        <v>0</v>
      </c>
      <c r="P555" t="n">
        <v>0</v>
      </c>
      <c r="Q555" t="n">
        <v>0</v>
      </c>
      <c r="R555" s="2" t="inlineStr"/>
    </row>
    <row r="556" ht="15" customHeight="1">
      <c r="A556" t="inlineStr">
        <is>
          <t>A 44621-2025</t>
        </is>
      </c>
      <c r="B556" s="1" t="n">
        <v>45917.466875</v>
      </c>
      <c r="C556" s="1" t="n">
        <v>45996</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27125-2024</t>
        </is>
      </c>
      <c r="B557" s="1" t="n">
        <v>45471</v>
      </c>
      <c r="C557" s="1" t="n">
        <v>45996</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45181-2025</t>
        </is>
      </c>
      <c r="B558" s="1" t="n">
        <v>45919.53329861111</v>
      </c>
      <c r="C558" s="1" t="n">
        <v>45996</v>
      </c>
      <c r="D558" t="inlineStr">
        <is>
          <t>DALARNAS LÄN</t>
        </is>
      </c>
      <c r="E558" t="inlineStr">
        <is>
          <t>MORA</t>
        </is>
      </c>
      <c r="G558" t="n">
        <v>4.5</v>
      </c>
      <c r="H558" t="n">
        <v>0</v>
      </c>
      <c r="I558" t="n">
        <v>0</v>
      </c>
      <c r="J558" t="n">
        <v>0</v>
      </c>
      <c r="K558" t="n">
        <v>0</v>
      </c>
      <c r="L558" t="n">
        <v>0</v>
      </c>
      <c r="M558" t="n">
        <v>0</v>
      </c>
      <c r="N558" t="n">
        <v>0</v>
      </c>
      <c r="O558" t="n">
        <v>0</v>
      </c>
      <c r="P558" t="n">
        <v>0</v>
      </c>
      <c r="Q558" t="n">
        <v>0</v>
      </c>
      <c r="R558" s="2" t="inlineStr"/>
    </row>
    <row r="559" ht="15" customHeight="1">
      <c r="A559" t="inlineStr">
        <is>
          <t>A 53560-2025</t>
        </is>
      </c>
      <c r="B559" s="1" t="n">
        <v>45960.39960648148</v>
      </c>
      <c r="C559" s="1" t="n">
        <v>45996</v>
      </c>
      <c r="D559" t="inlineStr">
        <is>
          <t>DALARNAS LÄN</t>
        </is>
      </c>
      <c r="E559" t="inlineStr">
        <is>
          <t>MORA</t>
        </is>
      </c>
      <c r="G559" t="n">
        <v>5.2</v>
      </c>
      <c r="H559" t="n">
        <v>0</v>
      </c>
      <c r="I559" t="n">
        <v>0</v>
      </c>
      <c r="J559" t="n">
        <v>0</v>
      </c>
      <c r="K559" t="n">
        <v>0</v>
      </c>
      <c r="L559" t="n">
        <v>0</v>
      </c>
      <c r="M559" t="n">
        <v>0</v>
      </c>
      <c r="N559" t="n">
        <v>0</v>
      </c>
      <c r="O559" t="n">
        <v>0</v>
      </c>
      <c r="P559" t="n">
        <v>0</v>
      </c>
      <c r="Q559" t="n">
        <v>0</v>
      </c>
      <c r="R559" s="2" t="inlineStr"/>
    </row>
    <row r="560" ht="15" customHeight="1">
      <c r="A560" t="inlineStr">
        <is>
          <t>A 53591-2025</t>
        </is>
      </c>
      <c r="B560" s="1" t="n">
        <v>45960.43893518519</v>
      </c>
      <c r="C560" s="1" t="n">
        <v>45996</v>
      </c>
      <c r="D560" t="inlineStr">
        <is>
          <t>DALARNAS LÄN</t>
        </is>
      </c>
      <c r="E560" t="inlineStr">
        <is>
          <t>MORA</t>
        </is>
      </c>
      <c r="G560" t="n">
        <v>3.8</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45996</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22732-2024</t>
        </is>
      </c>
      <c r="B562" s="1" t="n">
        <v>45448.38677083333</v>
      </c>
      <c r="C562" s="1" t="n">
        <v>45996</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19756-2022</t>
        </is>
      </c>
      <c r="B563" s="1" t="n">
        <v>44694.62913194444</v>
      </c>
      <c r="C563" s="1" t="n">
        <v>45996</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30822-2024</t>
        </is>
      </c>
      <c r="B564" s="1" t="n">
        <v>45497</v>
      </c>
      <c r="C564" s="1" t="n">
        <v>45996</v>
      </c>
      <c r="D564" t="inlineStr">
        <is>
          <t>DALARNAS LÄN</t>
        </is>
      </c>
      <c r="E564" t="inlineStr">
        <is>
          <t>MORA</t>
        </is>
      </c>
      <c r="G564" t="n">
        <v>1.8</v>
      </c>
      <c r="H564" t="n">
        <v>0</v>
      </c>
      <c r="I564" t="n">
        <v>0</v>
      </c>
      <c r="J564" t="n">
        <v>0</v>
      </c>
      <c r="K564" t="n">
        <v>0</v>
      </c>
      <c r="L564" t="n">
        <v>0</v>
      </c>
      <c r="M564" t="n">
        <v>0</v>
      </c>
      <c r="N564" t="n">
        <v>0</v>
      </c>
      <c r="O564" t="n">
        <v>0</v>
      </c>
      <c r="P564" t="n">
        <v>0</v>
      </c>
      <c r="Q564" t="n">
        <v>0</v>
      </c>
      <c r="R564" s="2" t="inlineStr"/>
    </row>
    <row r="565" ht="15" customHeight="1">
      <c r="A565" t="inlineStr">
        <is>
          <t>A 6371-2022</t>
        </is>
      </c>
      <c r="B565" s="1" t="n">
        <v>44600</v>
      </c>
      <c r="C565" s="1" t="n">
        <v>45996</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46801-2022</t>
        </is>
      </c>
      <c r="B566" s="1" t="n">
        <v>44851</v>
      </c>
      <c r="C566" s="1" t="n">
        <v>45996</v>
      </c>
      <c r="D566" t="inlineStr">
        <is>
          <t>DALARNAS LÄN</t>
        </is>
      </c>
      <c r="E566" t="inlineStr">
        <is>
          <t>MORA</t>
        </is>
      </c>
      <c r="G566" t="n">
        <v>1.5</v>
      </c>
      <c r="H566" t="n">
        <v>0</v>
      </c>
      <c r="I566" t="n">
        <v>0</v>
      </c>
      <c r="J566" t="n">
        <v>0</v>
      </c>
      <c r="K566" t="n">
        <v>0</v>
      </c>
      <c r="L566" t="n">
        <v>0</v>
      </c>
      <c r="M566" t="n">
        <v>0</v>
      </c>
      <c r="N566" t="n">
        <v>0</v>
      </c>
      <c r="O566" t="n">
        <v>0</v>
      </c>
      <c r="P566" t="n">
        <v>0</v>
      </c>
      <c r="Q566" t="n">
        <v>0</v>
      </c>
      <c r="R566" s="2" t="inlineStr"/>
    </row>
    <row r="567" ht="15" customHeight="1">
      <c r="A567" t="inlineStr">
        <is>
          <t>A 5644-2024</t>
        </is>
      </c>
      <c r="B567" s="1" t="n">
        <v>45334</v>
      </c>
      <c r="C567" s="1" t="n">
        <v>45996</v>
      </c>
      <c r="D567" t="inlineStr">
        <is>
          <t>DALARNAS LÄN</t>
        </is>
      </c>
      <c r="E567" t="inlineStr">
        <is>
          <t>MORA</t>
        </is>
      </c>
      <c r="F567" t="inlineStr">
        <is>
          <t>Bergvik skog väst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61350-2024</t>
        </is>
      </c>
      <c r="B568" s="1" t="n">
        <v>45646.37872685185</v>
      </c>
      <c r="C568" s="1" t="n">
        <v>45996</v>
      </c>
      <c r="D568" t="inlineStr">
        <is>
          <t>DALARNAS LÄN</t>
        </is>
      </c>
      <c r="E568" t="inlineStr">
        <is>
          <t>MORA</t>
        </is>
      </c>
      <c r="G568" t="n">
        <v>1.4</v>
      </c>
      <c r="H568" t="n">
        <v>0</v>
      </c>
      <c r="I568" t="n">
        <v>0</v>
      </c>
      <c r="J568" t="n">
        <v>0</v>
      </c>
      <c r="K568" t="n">
        <v>0</v>
      </c>
      <c r="L568" t="n">
        <v>0</v>
      </c>
      <c r="M568" t="n">
        <v>0</v>
      </c>
      <c r="N568" t="n">
        <v>0</v>
      </c>
      <c r="O568" t="n">
        <v>0</v>
      </c>
      <c r="P568" t="n">
        <v>0</v>
      </c>
      <c r="Q568" t="n">
        <v>0</v>
      </c>
      <c r="R568" s="2" t="inlineStr"/>
    </row>
    <row r="569" ht="15" customHeight="1">
      <c r="A569" t="inlineStr">
        <is>
          <t>A 33627-2024</t>
        </is>
      </c>
      <c r="B569" s="1" t="n">
        <v>45520</v>
      </c>
      <c r="C569" s="1" t="n">
        <v>45996</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46923-2024</t>
        </is>
      </c>
      <c r="B570" s="1" t="n">
        <v>45584.42887731481</v>
      </c>
      <c r="C570" s="1" t="n">
        <v>45996</v>
      </c>
      <c r="D570" t="inlineStr">
        <is>
          <t>DALARNAS LÄN</t>
        </is>
      </c>
      <c r="E570" t="inlineStr">
        <is>
          <t>MORA</t>
        </is>
      </c>
      <c r="G570" t="n">
        <v>3.4</v>
      </c>
      <c r="H570" t="n">
        <v>0</v>
      </c>
      <c r="I570" t="n">
        <v>0</v>
      </c>
      <c r="J570" t="n">
        <v>0</v>
      </c>
      <c r="K570" t="n">
        <v>0</v>
      </c>
      <c r="L570" t="n">
        <v>0</v>
      </c>
      <c r="M570" t="n">
        <v>0</v>
      </c>
      <c r="N570" t="n">
        <v>0</v>
      </c>
      <c r="O570" t="n">
        <v>0</v>
      </c>
      <c r="P570" t="n">
        <v>0</v>
      </c>
      <c r="Q570" t="n">
        <v>0</v>
      </c>
      <c r="R570" s="2" t="inlineStr"/>
    </row>
    <row r="571" ht="15" customHeight="1">
      <c r="A571" t="inlineStr">
        <is>
          <t>A 53982-2025</t>
        </is>
      </c>
      <c r="B571" s="1" t="n">
        <v>45961.57019675926</v>
      </c>
      <c r="C571" s="1" t="n">
        <v>45996</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53556-2025</t>
        </is>
      </c>
      <c r="B572" s="1" t="n">
        <v>45960.3921875</v>
      </c>
      <c r="C572" s="1" t="n">
        <v>45996</v>
      </c>
      <c r="D572" t="inlineStr">
        <is>
          <t>DALARNAS LÄN</t>
        </is>
      </c>
      <c r="E572" t="inlineStr">
        <is>
          <t>MORA</t>
        </is>
      </c>
      <c r="G572" t="n">
        <v>3.3</v>
      </c>
      <c r="H572" t="n">
        <v>0</v>
      </c>
      <c r="I572" t="n">
        <v>0</v>
      </c>
      <c r="J572" t="n">
        <v>0</v>
      </c>
      <c r="K572" t="n">
        <v>0</v>
      </c>
      <c r="L572" t="n">
        <v>0</v>
      </c>
      <c r="M572" t="n">
        <v>0</v>
      </c>
      <c r="N572" t="n">
        <v>0</v>
      </c>
      <c r="O572" t="n">
        <v>0</v>
      </c>
      <c r="P572" t="n">
        <v>0</v>
      </c>
      <c r="Q572" t="n">
        <v>0</v>
      </c>
      <c r="R572" s="2" t="inlineStr"/>
    </row>
    <row r="573" ht="15" customHeight="1">
      <c r="A573" t="inlineStr">
        <is>
          <t>A 39888-2024</t>
        </is>
      </c>
      <c r="B573" s="1" t="n">
        <v>45553.47538194444</v>
      </c>
      <c r="C573" s="1" t="n">
        <v>45996</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20126-2025</t>
        </is>
      </c>
      <c r="B574" s="1" t="n">
        <v>45772.49640046297</v>
      </c>
      <c r="C574" s="1" t="n">
        <v>45996</v>
      </c>
      <c r="D574" t="inlineStr">
        <is>
          <t>DALARNAS LÄN</t>
        </is>
      </c>
      <c r="E574" t="inlineStr">
        <is>
          <t>MORA</t>
        </is>
      </c>
      <c r="G574" t="n">
        <v>12.1</v>
      </c>
      <c r="H574" t="n">
        <v>0</v>
      </c>
      <c r="I574" t="n">
        <v>0</v>
      </c>
      <c r="J574" t="n">
        <v>0</v>
      </c>
      <c r="K574" t="n">
        <v>0</v>
      </c>
      <c r="L574" t="n">
        <v>0</v>
      </c>
      <c r="M574" t="n">
        <v>0</v>
      </c>
      <c r="N574" t="n">
        <v>0</v>
      </c>
      <c r="O574" t="n">
        <v>0</v>
      </c>
      <c r="P574" t="n">
        <v>0</v>
      </c>
      <c r="Q574" t="n">
        <v>0</v>
      </c>
      <c r="R574" s="2" t="inlineStr"/>
    </row>
    <row r="575" ht="15" customHeight="1">
      <c r="A575" t="inlineStr">
        <is>
          <t>A 53562-2025</t>
        </is>
      </c>
      <c r="B575" s="1" t="n">
        <v>45960.40662037037</v>
      </c>
      <c r="C575" s="1" t="n">
        <v>45996</v>
      </c>
      <c r="D575" t="inlineStr">
        <is>
          <t>DALARNAS LÄN</t>
        </is>
      </c>
      <c r="E575" t="inlineStr">
        <is>
          <t>MORA</t>
        </is>
      </c>
      <c r="G575" t="n">
        <v>5.1</v>
      </c>
      <c r="H575" t="n">
        <v>0</v>
      </c>
      <c r="I575" t="n">
        <v>0</v>
      </c>
      <c r="J575" t="n">
        <v>0</v>
      </c>
      <c r="K575" t="n">
        <v>0</v>
      </c>
      <c r="L575" t="n">
        <v>0</v>
      </c>
      <c r="M575" t="n">
        <v>0</v>
      </c>
      <c r="N575" t="n">
        <v>0</v>
      </c>
      <c r="O575" t="n">
        <v>0</v>
      </c>
      <c r="P575" t="n">
        <v>0</v>
      </c>
      <c r="Q575" t="n">
        <v>0</v>
      </c>
      <c r="R575" s="2" t="inlineStr"/>
    </row>
    <row r="576" ht="15" customHeight="1">
      <c r="A576" t="inlineStr">
        <is>
          <t>A 53632-2025</t>
        </is>
      </c>
      <c r="B576" s="1" t="n">
        <v>45960.49972222222</v>
      </c>
      <c r="C576" s="1" t="n">
        <v>45996</v>
      </c>
      <c r="D576" t="inlineStr">
        <is>
          <t>DALARNAS LÄN</t>
        </is>
      </c>
      <c r="E576" t="inlineStr">
        <is>
          <t>MORA</t>
        </is>
      </c>
      <c r="G576" t="n">
        <v>3.1</v>
      </c>
      <c r="H576" t="n">
        <v>0</v>
      </c>
      <c r="I576" t="n">
        <v>0</v>
      </c>
      <c r="J576" t="n">
        <v>0</v>
      </c>
      <c r="K576" t="n">
        <v>0</v>
      </c>
      <c r="L576" t="n">
        <v>0</v>
      </c>
      <c r="M576" t="n">
        <v>0</v>
      </c>
      <c r="N576" t="n">
        <v>0</v>
      </c>
      <c r="O576" t="n">
        <v>0</v>
      </c>
      <c r="P576" t="n">
        <v>0</v>
      </c>
      <c r="Q576" t="n">
        <v>0</v>
      </c>
      <c r="R576" s="2" t="inlineStr"/>
    </row>
    <row r="577" ht="15" customHeight="1">
      <c r="A577" t="inlineStr">
        <is>
          <t>A 27420-2024</t>
        </is>
      </c>
      <c r="B577" s="1" t="n">
        <v>45474.37850694444</v>
      </c>
      <c r="C577" s="1" t="n">
        <v>45996</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33666-2024</t>
        </is>
      </c>
      <c r="B578" s="1" t="n">
        <v>45520.48304398148</v>
      </c>
      <c r="C578" s="1" t="n">
        <v>45996</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45191-2025</t>
        </is>
      </c>
      <c r="B579" s="1" t="n">
        <v>45919.54811342592</v>
      </c>
      <c r="C579" s="1" t="n">
        <v>45996</v>
      </c>
      <c r="D579" t="inlineStr">
        <is>
          <t>DALARNAS LÄN</t>
        </is>
      </c>
      <c r="E579" t="inlineStr">
        <is>
          <t>MORA</t>
        </is>
      </c>
      <c r="G579" t="n">
        <v>2.2</v>
      </c>
      <c r="H579" t="n">
        <v>0</v>
      </c>
      <c r="I579" t="n">
        <v>0</v>
      </c>
      <c r="J579" t="n">
        <v>0</v>
      </c>
      <c r="K579" t="n">
        <v>0</v>
      </c>
      <c r="L579" t="n">
        <v>0</v>
      </c>
      <c r="M579" t="n">
        <v>0</v>
      </c>
      <c r="N579" t="n">
        <v>0</v>
      </c>
      <c r="O579" t="n">
        <v>0</v>
      </c>
      <c r="P579" t="n">
        <v>0</v>
      </c>
      <c r="Q579" t="n">
        <v>0</v>
      </c>
      <c r="R579" s="2" t="inlineStr"/>
    </row>
    <row r="580" ht="15" customHeight="1">
      <c r="A580" t="inlineStr">
        <is>
          <t>A 20989-2024</t>
        </is>
      </c>
      <c r="B580" s="1" t="n">
        <v>45439</v>
      </c>
      <c r="C580" s="1" t="n">
        <v>45996</v>
      </c>
      <c r="D580" t="inlineStr">
        <is>
          <t>DALARNAS LÄN</t>
        </is>
      </c>
      <c r="E580" t="inlineStr">
        <is>
          <t>MORA</t>
        </is>
      </c>
      <c r="F580" t="inlineStr">
        <is>
          <t>Bergvik skog öst AB</t>
        </is>
      </c>
      <c r="G580" t="n">
        <v>14.7</v>
      </c>
      <c r="H580" t="n">
        <v>0</v>
      </c>
      <c r="I580" t="n">
        <v>0</v>
      </c>
      <c r="J580" t="n">
        <v>0</v>
      </c>
      <c r="K580" t="n">
        <v>0</v>
      </c>
      <c r="L580" t="n">
        <v>0</v>
      </c>
      <c r="M580" t="n">
        <v>0</v>
      </c>
      <c r="N580" t="n">
        <v>0</v>
      </c>
      <c r="O580" t="n">
        <v>0</v>
      </c>
      <c r="P580" t="n">
        <v>0</v>
      </c>
      <c r="Q580" t="n">
        <v>0</v>
      </c>
      <c r="R580" s="2" t="inlineStr"/>
    </row>
    <row r="581" ht="15" customHeight="1">
      <c r="A581" t="inlineStr">
        <is>
          <t>A 41812-2024</t>
        </is>
      </c>
      <c r="B581" s="1" t="n">
        <v>45561.3771412037</v>
      </c>
      <c r="C581" s="1" t="n">
        <v>45996</v>
      </c>
      <c r="D581" t="inlineStr">
        <is>
          <t>DALARNAS LÄN</t>
        </is>
      </c>
      <c r="E581" t="inlineStr">
        <is>
          <t>MORA</t>
        </is>
      </c>
      <c r="G581" t="n">
        <v>2.2</v>
      </c>
      <c r="H581" t="n">
        <v>0</v>
      </c>
      <c r="I581" t="n">
        <v>0</v>
      </c>
      <c r="J581" t="n">
        <v>0</v>
      </c>
      <c r="K581" t="n">
        <v>0</v>
      </c>
      <c r="L581" t="n">
        <v>0</v>
      </c>
      <c r="M581" t="n">
        <v>0</v>
      </c>
      <c r="N581" t="n">
        <v>0</v>
      </c>
      <c r="O581" t="n">
        <v>0</v>
      </c>
      <c r="P581" t="n">
        <v>0</v>
      </c>
      <c r="Q581" t="n">
        <v>0</v>
      </c>
      <c r="R581" s="2" t="inlineStr"/>
    </row>
    <row r="582" ht="15" customHeight="1">
      <c r="A582" t="inlineStr">
        <is>
          <t>A 39344-2024</t>
        </is>
      </c>
      <c r="B582" s="1" t="n">
        <v>45551.44503472222</v>
      </c>
      <c r="C582" s="1" t="n">
        <v>45996</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51888-2024</t>
        </is>
      </c>
      <c r="B583" s="1" t="n">
        <v>45607.57142361111</v>
      </c>
      <c r="C583" s="1" t="n">
        <v>45996</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24590-2024</t>
        </is>
      </c>
      <c r="B584" s="1" t="n">
        <v>45460</v>
      </c>
      <c r="C584" s="1" t="n">
        <v>45996</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32721-2024</t>
        </is>
      </c>
      <c r="B585" s="1" t="n">
        <v>45516.40261574074</v>
      </c>
      <c r="C585" s="1" t="n">
        <v>45996</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8153-2021</t>
        </is>
      </c>
      <c r="B586" s="1" t="n">
        <v>44244</v>
      </c>
      <c r="C586" s="1" t="n">
        <v>45996</v>
      </c>
      <c r="D586" t="inlineStr">
        <is>
          <t>DALARNAS LÄN</t>
        </is>
      </c>
      <c r="E586" t="inlineStr">
        <is>
          <t>MORA</t>
        </is>
      </c>
      <c r="G586" t="n">
        <v>2.5</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45996</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43641-2022</t>
        </is>
      </c>
      <c r="B588" s="1" t="n">
        <v>44837</v>
      </c>
      <c r="C588" s="1" t="n">
        <v>45996</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53750-2024</t>
        </is>
      </c>
      <c r="B589" s="1" t="n">
        <v>45615.48465277778</v>
      </c>
      <c r="C589" s="1" t="n">
        <v>45996</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53565-2025</t>
        </is>
      </c>
      <c r="B590" s="1" t="n">
        <v>45960.40711805555</v>
      </c>
      <c r="C590" s="1" t="n">
        <v>45996</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25749-2023</t>
        </is>
      </c>
      <c r="B591" s="1" t="n">
        <v>45090</v>
      </c>
      <c r="C591" s="1" t="n">
        <v>45996</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40325-2024</t>
        </is>
      </c>
      <c r="B592" s="1" t="n">
        <v>45554.88538194444</v>
      </c>
      <c r="C592" s="1" t="n">
        <v>45996</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43964-2024</t>
        </is>
      </c>
      <c r="B593" s="1" t="n">
        <v>45572.48407407408</v>
      </c>
      <c r="C593" s="1" t="n">
        <v>45996</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51883-2024</t>
        </is>
      </c>
      <c r="B594" s="1" t="n">
        <v>45607</v>
      </c>
      <c r="C594" s="1" t="n">
        <v>45996</v>
      </c>
      <c r="D594" t="inlineStr">
        <is>
          <t>DALARNAS LÄN</t>
        </is>
      </c>
      <c r="E594" t="inlineStr">
        <is>
          <t>MORA</t>
        </is>
      </c>
      <c r="G594" t="n">
        <v>0.2</v>
      </c>
      <c r="H594" t="n">
        <v>0</v>
      </c>
      <c r="I594" t="n">
        <v>0</v>
      </c>
      <c r="J594" t="n">
        <v>0</v>
      </c>
      <c r="K594" t="n">
        <v>0</v>
      </c>
      <c r="L594" t="n">
        <v>0</v>
      </c>
      <c r="M594" t="n">
        <v>0</v>
      </c>
      <c r="N594" t="n">
        <v>0</v>
      </c>
      <c r="O594" t="n">
        <v>0</v>
      </c>
      <c r="P594" t="n">
        <v>0</v>
      </c>
      <c r="Q594" t="n">
        <v>0</v>
      </c>
      <c r="R594" s="2" t="inlineStr"/>
    </row>
    <row r="595" ht="15" customHeight="1">
      <c r="A595" t="inlineStr">
        <is>
          <t>A 42941-2024</t>
        </is>
      </c>
      <c r="B595" s="1" t="n">
        <v>45567.3515162037</v>
      </c>
      <c r="C595" s="1" t="n">
        <v>45996</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43873-2024</t>
        </is>
      </c>
      <c r="B596" s="1" t="n">
        <v>45572.38429398148</v>
      </c>
      <c r="C596" s="1" t="n">
        <v>45996</v>
      </c>
      <c r="D596" t="inlineStr">
        <is>
          <t>DALARNAS LÄN</t>
        </is>
      </c>
      <c r="E596" t="inlineStr">
        <is>
          <t>MORA</t>
        </is>
      </c>
      <c r="G596" t="n">
        <v>4.1</v>
      </c>
      <c r="H596" t="n">
        <v>0</v>
      </c>
      <c r="I596" t="n">
        <v>0</v>
      </c>
      <c r="J596" t="n">
        <v>0</v>
      </c>
      <c r="K596" t="n">
        <v>0</v>
      </c>
      <c r="L596" t="n">
        <v>0</v>
      </c>
      <c r="M596" t="n">
        <v>0</v>
      </c>
      <c r="N596" t="n">
        <v>0</v>
      </c>
      <c r="O596" t="n">
        <v>0</v>
      </c>
      <c r="P596" t="n">
        <v>0</v>
      </c>
      <c r="Q596" t="n">
        <v>0</v>
      </c>
      <c r="R596" s="2" t="inlineStr"/>
    </row>
    <row r="597" ht="15" customHeight="1">
      <c r="A597" t="inlineStr">
        <is>
          <t>A 10777-2025</t>
        </is>
      </c>
      <c r="B597" s="1" t="n">
        <v>45722.47743055555</v>
      </c>
      <c r="C597" s="1" t="n">
        <v>45996</v>
      </c>
      <c r="D597" t="inlineStr">
        <is>
          <t>DALARNAS LÄN</t>
        </is>
      </c>
      <c r="E597" t="inlineStr">
        <is>
          <t>MORA</t>
        </is>
      </c>
      <c r="G597" t="n">
        <v>9.9</v>
      </c>
      <c r="H597" t="n">
        <v>0</v>
      </c>
      <c r="I597" t="n">
        <v>0</v>
      </c>
      <c r="J597" t="n">
        <v>0</v>
      </c>
      <c r="K597" t="n">
        <v>0</v>
      </c>
      <c r="L597" t="n">
        <v>0</v>
      </c>
      <c r="M597" t="n">
        <v>0</v>
      </c>
      <c r="N597" t="n">
        <v>0</v>
      </c>
      <c r="O597" t="n">
        <v>0</v>
      </c>
      <c r="P597" t="n">
        <v>0</v>
      </c>
      <c r="Q597" t="n">
        <v>0</v>
      </c>
      <c r="R597" s="2" t="inlineStr"/>
    </row>
    <row r="598" ht="15" customHeight="1">
      <c r="A598" t="inlineStr">
        <is>
          <t>A 54099-2025</t>
        </is>
      </c>
      <c r="B598" s="1" t="n">
        <v>45964.41665509259</v>
      </c>
      <c r="C598" s="1" t="n">
        <v>45996</v>
      </c>
      <c r="D598" t="inlineStr">
        <is>
          <t>DALARNAS LÄN</t>
        </is>
      </c>
      <c r="E598" t="inlineStr">
        <is>
          <t>MORA</t>
        </is>
      </c>
      <c r="G598" t="n">
        <v>5.3</v>
      </c>
      <c r="H598" t="n">
        <v>0</v>
      </c>
      <c r="I598" t="n">
        <v>0</v>
      </c>
      <c r="J598" t="n">
        <v>0</v>
      </c>
      <c r="K598" t="n">
        <v>0</v>
      </c>
      <c r="L598" t="n">
        <v>0</v>
      </c>
      <c r="M598" t="n">
        <v>0</v>
      </c>
      <c r="N598" t="n">
        <v>0</v>
      </c>
      <c r="O598" t="n">
        <v>0</v>
      </c>
      <c r="P598" t="n">
        <v>0</v>
      </c>
      <c r="Q598" t="n">
        <v>0</v>
      </c>
      <c r="R598" s="2" t="inlineStr"/>
    </row>
    <row r="599" ht="15" customHeight="1">
      <c r="A599" t="inlineStr">
        <is>
          <t>A 19842-2025</t>
        </is>
      </c>
      <c r="B599" s="1" t="n">
        <v>45771.47938657407</v>
      </c>
      <c r="C599" s="1" t="n">
        <v>45996</v>
      </c>
      <c r="D599" t="inlineStr">
        <is>
          <t>DALARNAS LÄN</t>
        </is>
      </c>
      <c r="E599" t="inlineStr">
        <is>
          <t>MORA</t>
        </is>
      </c>
      <c r="G599" t="n">
        <v>1.9</v>
      </c>
      <c r="H599" t="n">
        <v>0</v>
      </c>
      <c r="I599" t="n">
        <v>0</v>
      </c>
      <c r="J599" t="n">
        <v>0</v>
      </c>
      <c r="K599" t="n">
        <v>0</v>
      </c>
      <c r="L599" t="n">
        <v>0</v>
      </c>
      <c r="M599" t="n">
        <v>0</v>
      </c>
      <c r="N599" t="n">
        <v>0</v>
      </c>
      <c r="O599" t="n">
        <v>0</v>
      </c>
      <c r="P599" t="n">
        <v>0</v>
      </c>
      <c r="Q599" t="n">
        <v>0</v>
      </c>
      <c r="R599" s="2" t="inlineStr"/>
    </row>
    <row r="600" ht="15" customHeight="1">
      <c r="A600" t="inlineStr">
        <is>
          <t>A 44177-2023</t>
        </is>
      </c>
      <c r="B600" s="1" t="n">
        <v>45188.51439814815</v>
      </c>
      <c r="C600" s="1" t="n">
        <v>45996</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54508-2025</t>
        </is>
      </c>
      <c r="B601" s="1" t="n">
        <v>45965.61844907407</v>
      </c>
      <c r="C601" s="1" t="n">
        <v>45996</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54504-2025</t>
        </is>
      </c>
      <c r="B602" s="1" t="n">
        <v>45965.61686342592</v>
      </c>
      <c r="C602" s="1" t="n">
        <v>45996</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18134-2025</t>
        </is>
      </c>
      <c r="B603" s="1" t="n">
        <v>45761.60189814815</v>
      </c>
      <c r="C603" s="1" t="n">
        <v>45996</v>
      </c>
      <c r="D603" t="inlineStr">
        <is>
          <t>DALARNAS LÄN</t>
        </is>
      </c>
      <c r="E603" t="inlineStr">
        <is>
          <t>MORA</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14372-2025</t>
        </is>
      </c>
      <c r="B604" s="1" t="n">
        <v>45741.4050462963</v>
      </c>
      <c r="C604" s="1" t="n">
        <v>45996</v>
      </c>
      <c r="D604" t="inlineStr">
        <is>
          <t>DALARNAS LÄN</t>
        </is>
      </c>
      <c r="E604" t="inlineStr">
        <is>
          <t>MORA</t>
        </is>
      </c>
      <c r="G604" t="n">
        <v>5.1</v>
      </c>
      <c r="H604" t="n">
        <v>0</v>
      </c>
      <c r="I604" t="n">
        <v>0</v>
      </c>
      <c r="J604" t="n">
        <v>0</v>
      </c>
      <c r="K604" t="n">
        <v>0</v>
      </c>
      <c r="L604" t="n">
        <v>0</v>
      </c>
      <c r="M604" t="n">
        <v>0</v>
      </c>
      <c r="N604" t="n">
        <v>0</v>
      </c>
      <c r="O604" t="n">
        <v>0</v>
      </c>
      <c r="P604" t="n">
        <v>0</v>
      </c>
      <c r="Q604" t="n">
        <v>0</v>
      </c>
      <c r="R604" s="2" t="inlineStr"/>
    </row>
    <row r="605" ht="15" customHeight="1">
      <c r="A605" t="inlineStr">
        <is>
          <t>A 14378-2025</t>
        </is>
      </c>
      <c r="B605" s="1" t="n">
        <v>45741</v>
      </c>
      <c r="C605" s="1" t="n">
        <v>45996</v>
      </c>
      <c r="D605" t="inlineStr">
        <is>
          <t>DALARNAS LÄN</t>
        </is>
      </c>
      <c r="E605" t="inlineStr">
        <is>
          <t>MORA</t>
        </is>
      </c>
      <c r="G605" t="n">
        <v>5.2</v>
      </c>
      <c r="H605" t="n">
        <v>0</v>
      </c>
      <c r="I605" t="n">
        <v>0</v>
      </c>
      <c r="J605" t="n">
        <v>0</v>
      </c>
      <c r="K605" t="n">
        <v>0</v>
      </c>
      <c r="L605" t="n">
        <v>0</v>
      </c>
      <c r="M605" t="n">
        <v>0</v>
      </c>
      <c r="N605" t="n">
        <v>0</v>
      </c>
      <c r="O605" t="n">
        <v>0</v>
      </c>
      <c r="P605" t="n">
        <v>0</v>
      </c>
      <c r="Q605" t="n">
        <v>0</v>
      </c>
      <c r="R605" s="2" t="inlineStr"/>
    </row>
    <row r="606" ht="15" customHeight="1">
      <c r="A606" t="inlineStr">
        <is>
          <t>A 16733-2024</t>
        </is>
      </c>
      <c r="B606" s="1" t="n">
        <v>45410.78502314815</v>
      </c>
      <c r="C606" s="1" t="n">
        <v>45996</v>
      </c>
      <c r="D606" t="inlineStr">
        <is>
          <t>DALARNAS LÄN</t>
        </is>
      </c>
      <c r="E606" t="inlineStr">
        <is>
          <t>MORA</t>
        </is>
      </c>
      <c r="G606" t="n">
        <v>6.3</v>
      </c>
      <c r="H606" t="n">
        <v>0</v>
      </c>
      <c r="I606" t="n">
        <v>0</v>
      </c>
      <c r="J606" t="n">
        <v>0</v>
      </c>
      <c r="K606" t="n">
        <v>0</v>
      </c>
      <c r="L606" t="n">
        <v>0</v>
      </c>
      <c r="M606" t="n">
        <v>0</v>
      </c>
      <c r="N606" t="n">
        <v>0</v>
      </c>
      <c r="O606" t="n">
        <v>0</v>
      </c>
      <c r="P606" t="n">
        <v>0</v>
      </c>
      <c r="Q606" t="n">
        <v>0</v>
      </c>
      <c r="R606" s="2" t="inlineStr"/>
    </row>
    <row r="607" ht="15" customHeight="1">
      <c r="A607" t="inlineStr">
        <is>
          <t>A 61217-2023</t>
        </is>
      </c>
      <c r="B607" s="1" t="n">
        <v>45264.43802083333</v>
      </c>
      <c r="C607" s="1" t="n">
        <v>45996</v>
      </c>
      <c r="D607" t="inlineStr">
        <is>
          <t>DALARNAS LÄN</t>
        </is>
      </c>
      <c r="E607" t="inlineStr">
        <is>
          <t>MORA</t>
        </is>
      </c>
      <c r="F607" t="inlineStr">
        <is>
          <t>Allmännings- och besparingsskogar</t>
        </is>
      </c>
      <c r="G607" t="n">
        <v>2</v>
      </c>
      <c r="H607" t="n">
        <v>0</v>
      </c>
      <c r="I607" t="n">
        <v>0</v>
      </c>
      <c r="J607" t="n">
        <v>0</v>
      </c>
      <c r="K607" t="n">
        <v>0</v>
      </c>
      <c r="L607" t="n">
        <v>0</v>
      </c>
      <c r="M607" t="n">
        <v>0</v>
      </c>
      <c r="N607" t="n">
        <v>0</v>
      </c>
      <c r="O607" t="n">
        <v>0</v>
      </c>
      <c r="P607" t="n">
        <v>0</v>
      </c>
      <c r="Q607" t="n">
        <v>0</v>
      </c>
      <c r="R607" s="2" t="inlineStr"/>
    </row>
    <row r="608" ht="15" customHeight="1">
      <c r="A608" t="inlineStr">
        <is>
          <t>A 61218-2023</t>
        </is>
      </c>
      <c r="B608" s="1" t="n">
        <v>45264</v>
      </c>
      <c r="C608" s="1" t="n">
        <v>45996</v>
      </c>
      <c r="D608" t="inlineStr">
        <is>
          <t>DALARNAS LÄN</t>
        </is>
      </c>
      <c r="E608" t="inlineStr">
        <is>
          <t>MORA</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35327-2024</t>
        </is>
      </c>
      <c r="B609" s="1" t="n">
        <v>45530.71334490741</v>
      </c>
      <c r="C609" s="1" t="n">
        <v>45996</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31112-2024</t>
        </is>
      </c>
      <c r="B610" s="1" t="n">
        <v>45502.55185185185</v>
      </c>
      <c r="C610" s="1" t="n">
        <v>45996</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442-2024</t>
        </is>
      </c>
      <c r="B611" s="1" t="n">
        <v>45296.60353009259</v>
      </c>
      <c r="C611" s="1" t="n">
        <v>45996</v>
      </c>
      <c r="D611" t="inlineStr">
        <is>
          <t>DALARNAS LÄN</t>
        </is>
      </c>
      <c r="E611" t="inlineStr">
        <is>
          <t>MORA</t>
        </is>
      </c>
      <c r="G611" t="n">
        <v>0.5</v>
      </c>
      <c r="H611" t="n">
        <v>0</v>
      </c>
      <c r="I611" t="n">
        <v>0</v>
      </c>
      <c r="J611" t="n">
        <v>0</v>
      </c>
      <c r="K611" t="n">
        <v>0</v>
      </c>
      <c r="L611" t="n">
        <v>0</v>
      </c>
      <c r="M611" t="n">
        <v>0</v>
      </c>
      <c r="N611" t="n">
        <v>0</v>
      </c>
      <c r="O611" t="n">
        <v>0</v>
      </c>
      <c r="P611" t="n">
        <v>0</v>
      </c>
      <c r="Q611" t="n">
        <v>0</v>
      </c>
      <c r="R611" s="2" t="inlineStr"/>
    </row>
    <row r="612" ht="15" customHeight="1">
      <c r="A612" t="inlineStr">
        <is>
          <t>A 501-2024</t>
        </is>
      </c>
      <c r="B612" s="1" t="n">
        <v>45299</v>
      </c>
      <c r="C612" s="1" t="n">
        <v>45996</v>
      </c>
      <c r="D612" t="inlineStr">
        <is>
          <t>DALARNAS LÄN</t>
        </is>
      </c>
      <c r="E612" t="inlineStr">
        <is>
          <t>MORA</t>
        </is>
      </c>
      <c r="G612" t="n">
        <v>2.5</v>
      </c>
      <c r="H612" t="n">
        <v>0</v>
      </c>
      <c r="I612" t="n">
        <v>0</v>
      </c>
      <c r="J612" t="n">
        <v>0</v>
      </c>
      <c r="K612" t="n">
        <v>0</v>
      </c>
      <c r="L612" t="n">
        <v>0</v>
      </c>
      <c r="M612" t="n">
        <v>0</v>
      </c>
      <c r="N612" t="n">
        <v>0</v>
      </c>
      <c r="O612" t="n">
        <v>0</v>
      </c>
      <c r="P612" t="n">
        <v>0</v>
      </c>
      <c r="Q612" t="n">
        <v>0</v>
      </c>
      <c r="R612" s="2" t="inlineStr"/>
    </row>
    <row r="613" ht="15" customHeight="1">
      <c r="A613" t="inlineStr">
        <is>
          <t>A 48570-2022</t>
        </is>
      </c>
      <c r="B613" s="1" t="n">
        <v>44859</v>
      </c>
      <c r="C613" s="1" t="n">
        <v>45996</v>
      </c>
      <c r="D613" t="inlineStr">
        <is>
          <t>DALARNAS LÄN</t>
        </is>
      </c>
      <c r="E613" t="inlineStr">
        <is>
          <t>MORA</t>
        </is>
      </c>
      <c r="G613" t="n">
        <v>6.2</v>
      </c>
      <c r="H613" t="n">
        <v>0</v>
      </c>
      <c r="I613" t="n">
        <v>0</v>
      </c>
      <c r="J613" t="n">
        <v>0</v>
      </c>
      <c r="K613" t="n">
        <v>0</v>
      </c>
      <c r="L613" t="n">
        <v>0</v>
      </c>
      <c r="M613" t="n">
        <v>0</v>
      </c>
      <c r="N613" t="n">
        <v>0</v>
      </c>
      <c r="O613" t="n">
        <v>0</v>
      </c>
      <c r="P613" t="n">
        <v>0</v>
      </c>
      <c r="Q613" t="n">
        <v>0</v>
      </c>
      <c r="R613" s="2" t="inlineStr"/>
    </row>
    <row r="614" ht="15" customHeight="1">
      <c r="A614" t="inlineStr">
        <is>
          <t>A 54367-2025</t>
        </is>
      </c>
      <c r="B614" s="1" t="n">
        <v>45965.4031712963</v>
      </c>
      <c r="C614" s="1" t="n">
        <v>45996</v>
      </c>
      <c r="D614" t="inlineStr">
        <is>
          <t>DALARNAS LÄN</t>
        </is>
      </c>
      <c r="E614" t="inlineStr">
        <is>
          <t>MORA</t>
        </is>
      </c>
      <c r="G614" t="n">
        <v>7</v>
      </c>
      <c r="H614" t="n">
        <v>0</v>
      </c>
      <c r="I614" t="n">
        <v>0</v>
      </c>
      <c r="J614" t="n">
        <v>0</v>
      </c>
      <c r="K614" t="n">
        <v>0</v>
      </c>
      <c r="L614" t="n">
        <v>0</v>
      </c>
      <c r="M614" t="n">
        <v>0</v>
      </c>
      <c r="N614" t="n">
        <v>0</v>
      </c>
      <c r="O614" t="n">
        <v>0</v>
      </c>
      <c r="P614" t="n">
        <v>0</v>
      </c>
      <c r="Q614" t="n">
        <v>0</v>
      </c>
      <c r="R614" s="2" t="inlineStr"/>
    </row>
    <row r="615" ht="15" customHeight="1">
      <c r="A615" t="inlineStr">
        <is>
          <t>A 19814-2025</t>
        </is>
      </c>
      <c r="B615" s="1" t="n">
        <v>45771.45686342593</v>
      </c>
      <c r="C615" s="1" t="n">
        <v>45996</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60526-2023</t>
        </is>
      </c>
      <c r="B616" s="1" t="n">
        <v>45259</v>
      </c>
      <c r="C616" s="1" t="n">
        <v>45996</v>
      </c>
      <c r="D616" t="inlineStr">
        <is>
          <t>DALARNAS LÄN</t>
        </is>
      </c>
      <c r="E616" t="inlineStr">
        <is>
          <t>MORA</t>
        </is>
      </c>
      <c r="G616" t="n">
        <v>6.7</v>
      </c>
      <c r="H616" t="n">
        <v>0</v>
      </c>
      <c r="I616" t="n">
        <v>0</v>
      </c>
      <c r="J616" t="n">
        <v>0</v>
      </c>
      <c r="K616" t="n">
        <v>0</v>
      </c>
      <c r="L616" t="n">
        <v>0</v>
      </c>
      <c r="M616" t="n">
        <v>0</v>
      </c>
      <c r="N616" t="n">
        <v>0</v>
      </c>
      <c r="O616" t="n">
        <v>0</v>
      </c>
      <c r="P616" t="n">
        <v>0</v>
      </c>
      <c r="Q616" t="n">
        <v>0</v>
      </c>
      <c r="R616" s="2" t="inlineStr"/>
    </row>
    <row r="617" ht="15" customHeight="1">
      <c r="A617" t="inlineStr">
        <is>
          <t>A 53341-2023</t>
        </is>
      </c>
      <c r="B617" s="1" t="n">
        <v>45229</v>
      </c>
      <c r="C617" s="1" t="n">
        <v>45996</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39348-2024</t>
        </is>
      </c>
      <c r="B618" s="1" t="n">
        <v>45551.45322916667</v>
      </c>
      <c r="C618" s="1" t="n">
        <v>45996</v>
      </c>
      <c r="D618" t="inlineStr">
        <is>
          <t>DALARNAS LÄN</t>
        </is>
      </c>
      <c r="E618" t="inlineStr">
        <is>
          <t>MORA</t>
        </is>
      </c>
      <c r="G618" t="n">
        <v>0.5</v>
      </c>
      <c r="H618" t="n">
        <v>0</v>
      </c>
      <c r="I618" t="n">
        <v>0</v>
      </c>
      <c r="J618" t="n">
        <v>0</v>
      </c>
      <c r="K618" t="n">
        <v>0</v>
      </c>
      <c r="L618" t="n">
        <v>0</v>
      </c>
      <c r="M618" t="n">
        <v>0</v>
      </c>
      <c r="N618" t="n">
        <v>0</v>
      </c>
      <c r="O618" t="n">
        <v>0</v>
      </c>
      <c r="P618" t="n">
        <v>0</v>
      </c>
      <c r="Q618" t="n">
        <v>0</v>
      </c>
      <c r="R618" s="2" t="inlineStr"/>
    </row>
    <row r="619" ht="15" customHeight="1">
      <c r="A619" t="inlineStr">
        <is>
          <t>A 12828-2023</t>
        </is>
      </c>
      <c r="B619" s="1" t="n">
        <v>45001</v>
      </c>
      <c r="C619" s="1" t="n">
        <v>45996</v>
      </c>
      <c r="D619" t="inlineStr">
        <is>
          <t>DALARNAS LÄN</t>
        </is>
      </c>
      <c r="E619" t="inlineStr">
        <is>
          <t>MORA</t>
        </is>
      </c>
      <c r="F619" t="inlineStr">
        <is>
          <t>Bergvik skog väst AB</t>
        </is>
      </c>
      <c r="G619" t="n">
        <v>5.4</v>
      </c>
      <c r="H619" t="n">
        <v>0</v>
      </c>
      <c r="I619" t="n">
        <v>0</v>
      </c>
      <c r="J619" t="n">
        <v>0</v>
      </c>
      <c r="K619" t="n">
        <v>0</v>
      </c>
      <c r="L619" t="n">
        <v>0</v>
      </c>
      <c r="M619" t="n">
        <v>0</v>
      </c>
      <c r="N619" t="n">
        <v>0</v>
      </c>
      <c r="O619" t="n">
        <v>0</v>
      </c>
      <c r="P619" t="n">
        <v>0</v>
      </c>
      <c r="Q619" t="n">
        <v>0</v>
      </c>
      <c r="R619" s="2" t="inlineStr"/>
    </row>
    <row r="620" ht="15" customHeight="1">
      <c r="A620" t="inlineStr">
        <is>
          <t>A 54518-2025</t>
        </is>
      </c>
      <c r="B620" s="1" t="n">
        <v>45965.62608796296</v>
      </c>
      <c r="C620" s="1" t="n">
        <v>45996</v>
      </c>
      <c r="D620" t="inlineStr">
        <is>
          <t>DALARNAS LÄN</t>
        </is>
      </c>
      <c r="E620" t="inlineStr">
        <is>
          <t>MORA</t>
        </is>
      </c>
      <c r="G620" t="n">
        <v>7.1</v>
      </c>
      <c r="H620" t="n">
        <v>0</v>
      </c>
      <c r="I620" t="n">
        <v>0</v>
      </c>
      <c r="J620" t="n">
        <v>0</v>
      </c>
      <c r="K620" t="n">
        <v>0</v>
      </c>
      <c r="L620" t="n">
        <v>0</v>
      </c>
      <c r="M620" t="n">
        <v>0</v>
      </c>
      <c r="N620" t="n">
        <v>0</v>
      </c>
      <c r="O620" t="n">
        <v>0</v>
      </c>
      <c r="P620" t="n">
        <v>0</v>
      </c>
      <c r="Q620" t="n">
        <v>0</v>
      </c>
      <c r="R620" s="2" t="inlineStr"/>
    </row>
    <row r="621" ht="15" customHeight="1">
      <c r="A621" t="inlineStr">
        <is>
          <t>A 54919-2025</t>
        </is>
      </c>
      <c r="B621" s="1" t="n">
        <v>45967.38884259259</v>
      </c>
      <c r="C621" s="1" t="n">
        <v>45996</v>
      </c>
      <c r="D621" t="inlineStr">
        <is>
          <t>DALARNAS LÄN</t>
        </is>
      </c>
      <c r="E621" t="inlineStr">
        <is>
          <t>MORA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54903-2024</t>
        </is>
      </c>
      <c r="B622" s="1" t="n">
        <v>45618</v>
      </c>
      <c r="C622" s="1" t="n">
        <v>45996</v>
      </c>
      <c r="D622" t="inlineStr">
        <is>
          <t>DALARNAS LÄN</t>
        </is>
      </c>
      <c r="E622" t="inlineStr">
        <is>
          <t>MORA</t>
        </is>
      </c>
      <c r="G622" t="n">
        <v>28.2</v>
      </c>
      <c r="H622" t="n">
        <v>0</v>
      </c>
      <c r="I622" t="n">
        <v>0</v>
      </c>
      <c r="J622" t="n">
        <v>0</v>
      </c>
      <c r="K622" t="n">
        <v>0</v>
      </c>
      <c r="L622" t="n">
        <v>0</v>
      </c>
      <c r="M622" t="n">
        <v>0</v>
      </c>
      <c r="N622" t="n">
        <v>0</v>
      </c>
      <c r="O622" t="n">
        <v>0</v>
      </c>
      <c r="P622" t="n">
        <v>0</v>
      </c>
      <c r="Q622" t="n">
        <v>0</v>
      </c>
      <c r="R622" s="2" t="inlineStr"/>
    </row>
    <row r="623" ht="15" customHeight="1">
      <c r="A623" t="inlineStr">
        <is>
          <t>A 23302-2024</t>
        </is>
      </c>
      <c r="B623" s="1" t="n">
        <v>45453.44091435185</v>
      </c>
      <c r="C623" s="1" t="n">
        <v>45996</v>
      </c>
      <c r="D623" t="inlineStr">
        <is>
          <t>DALARNAS LÄN</t>
        </is>
      </c>
      <c r="E623" t="inlineStr">
        <is>
          <t>MORA</t>
        </is>
      </c>
      <c r="G623" t="n">
        <v>1.3</v>
      </c>
      <c r="H623" t="n">
        <v>0</v>
      </c>
      <c r="I623" t="n">
        <v>0</v>
      </c>
      <c r="J623" t="n">
        <v>0</v>
      </c>
      <c r="K623" t="n">
        <v>0</v>
      </c>
      <c r="L623" t="n">
        <v>0</v>
      </c>
      <c r="M623" t="n">
        <v>0</v>
      </c>
      <c r="N623" t="n">
        <v>0</v>
      </c>
      <c r="O623" t="n">
        <v>0</v>
      </c>
      <c r="P623" t="n">
        <v>0</v>
      </c>
      <c r="Q623" t="n">
        <v>0</v>
      </c>
      <c r="R623" s="2" t="inlineStr"/>
    </row>
    <row r="624" ht="15" customHeight="1">
      <c r="A624" t="inlineStr">
        <is>
          <t>A 54905-2025</t>
        </is>
      </c>
      <c r="B624" s="1" t="n">
        <v>45967.3700462963</v>
      </c>
      <c r="C624" s="1" t="n">
        <v>45996</v>
      </c>
      <c r="D624" t="inlineStr">
        <is>
          <t>DALARNAS LÄN</t>
        </is>
      </c>
      <c r="E624" t="inlineStr">
        <is>
          <t>MORA</t>
        </is>
      </c>
      <c r="G624" t="n">
        <v>0.4</v>
      </c>
      <c r="H624" t="n">
        <v>0</v>
      </c>
      <c r="I624" t="n">
        <v>0</v>
      </c>
      <c r="J624" t="n">
        <v>0</v>
      </c>
      <c r="K624" t="n">
        <v>0</v>
      </c>
      <c r="L624" t="n">
        <v>0</v>
      </c>
      <c r="M624" t="n">
        <v>0</v>
      </c>
      <c r="N624" t="n">
        <v>0</v>
      </c>
      <c r="O624" t="n">
        <v>0</v>
      </c>
      <c r="P624" t="n">
        <v>0</v>
      </c>
      <c r="Q624" t="n">
        <v>0</v>
      </c>
      <c r="R624" s="2" t="inlineStr"/>
    </row>
    <row r="625" ht="15" customHeight="1">
      <c r="A625" t="inlineStr">
        <is>
          <t>A 21410-2023</t>
        </is>
      </c>
      <c r="B625" s="1" t="n">
        <v>45063</v>
      </c>
      <c r="C625" s="1" t="n">
        <v>45996</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3531-2024</t>
        </is>
      </c>
      <c r="B626" s="1" t="n">
        <v>45320</v>
      </c>
      <c r="C626" s="1" t="n">
        <v>45996</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c r="U626">
        <f>HYPERLINK("https://klasma.github.io/Logging_2062/knärot/A 3531-2024 karta knärot.png", "A 3531-2024")</f>
        <v/>
      </c>
      <c r="V626">
        <f>HYPERLINK("https://klasma.github.io/Logging_2062/klagomål/A 3531-2024 FSC-klagomål.docx", "A 3531-2024")</f>
        <v/>
      </c>
      <c r="W626">
        <f>HYPERLINK("https://klasma.github.io/Logging_2062/klagomålsmail/A 3531-2024 FSC-klagomål mail.docx", "A 3531-2024")</f>
        <v/>
      </c>
      <c r="X626">
        <f>HYPERLINK("https://klasma.github.io/Logging_2062/tillsyn/A 3531-2024 tillsynsbegäran.docx", "A 3531-2024")</f>
        <v/>
      </c>
      <c r="Y626">
        <f>HYPERLINK("https://klasma.github.io/Logging_2062/tillsynsmail/A 3531-2024 tillsynsbegäran mail.docx", "A 3531-2024")</f>
        <v/>
      </c>
    </row>
    <row r="627" ht="15" customHeight="1">
      <c r="A627" t="inlineStr">
        <is>
          <t>A 45475-2023</t>
        </is>
      </c>
      <c r="B627" s="1" t="n">
        <v>45188</v>
      </c>
      <c r="C627" s="1" t="n">
        <v>45996</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44071-2024</t>
        </is>
      </c>
      <c r="B628" s="1" t="n">
        <v>45572.60915509259</v>
      </c>
      <c r="C628" s="1" t="n">
        <v>45996</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11463-2024</t>
        </is>
      </c>
      <c r="B629" s="1" t="n">
        <v>45372.58969907407</v>
      </c>
      <c r="C629" s="1" t="n">
        <v>45996</v>
      </c>
      <c r="D629" t="inlineStr">
        <is>
          <t>DALARNAS LÄN</t>
        </is>
      </c>
      <c r="E629" t="inlineStr">
        <is>
          <t>MORA</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57903-2022</t>
        </is>
      </c>
      <c r="B630" s="1" t="n">
        <v>44900.3521412037</v>
      </c>
      <c r="C630" s="1" t="n">
        <v>45996</v>
      </c>
      <c r="D630" t="inlineStr">
        <is>
          <t>DALARNAS LÄN</t>
        </is>
      </c>
      <c r="E630" t="inlineStr">
        <is>
          <t>MORA</t>
        </is>
      </c>
      <c r="G630" t="n">
        <v>4.3</v>
      </c>
      <c r="H630" t="n">
        <v>0</v>
      </c>
      <c r="I630" t="n">
        <v>0</v>
      </c>
      <c r="J630" t="n">
        <v>0</v>
      </c>
      <c r="K630" t="n">
        <v>0</v>
      </c>
      <c r="L630" t="n">
        <v>0</v>
      </c>
      <c r="M630" t="n">
        <v>0</v>
      </c>
      <c r="N630" t="n">
        <v>0</v>
      </c>
      <c r="O630" t="n">
        <v>0</v>
      </c>
      <c r="P630" t="n">
        <v>0</v>
      </c>
      <c r="Q630" t="n">
        <v>0</v>
      </c>
      <c r="R630" s="2" t="inlineStr"/>
    </row>
    <row r="631" ht="15" customHeight="1">
      <c r="A631" t="inlineStr">
        <is>
          <t>A 46129-2024</t>
        </is>
      </c>
      <c r="B631" s="1" t="n">
        <v>45581.43337962963</v>
      </c>
      <c r="C631" s="1" t="n">
        <v>45996</v>
      </c>
      <c r="D631" t="inlineStr">
        <is>
          <t>DALARNAS LÄN</t>
        </is>
      </c>
      <c r="E631" t="inlineStr">
        <is>
          <t>MORA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54909-2025</t>
        </is>
      </c>
      <c r="B632" s="1" t="n">
        <v>45967.374375</v>
      </c>
      <c r="C632" s="1" t="n">
        <v>45996</v>
      </c>
      <c r="D632" t="inlineStr">
        <is>
          <t>DALARNAS LÄN</t>
        </is>
      </c>
      <c r="E632" t="inlineStr">
        <is>
          <t>MORA</t>
        </is>
      </c>
      <c r="G632" t="n">
        <v>1.7</v>
      </c>
      <c r="H632" t="n">
        <v>0</v>
      </c>
      <c r="I632" t="n">
        <v>0</v>
      </c>
      <c r="J632" t="n">
        <v>0</v>
      </c>
      <c r="K632" t="n">
        <v>0</v>
      </c>
      <c r="L632" t="n">
        <v>0</v>
      </c>
      <c r="M632" t="n">
        <v>0</v>
      </c>
      <c r="N632" t="n">
        <v>0</v>
      </c>
      <c r="O632" t="n">
        <v>0</v>
      </c>
      <c r="P632" t="n">
        <v>0</v>
      </c>
      <c r="Q632" t="n">
        <v>0</v>
      </c>
      <c r="R632" s="2" t="inlineStr"/>
    </row>
    <row r="633" ht="15" customHeight="1">
      <c r="A633" t="inlineStr">
        <is>
          <t>A 46090-2025</t>
        </is>
      </c>
      <c r="B633" s="1" t="n">
        <v>45924.5253125</v>
      </c>
      <c r="C633" s="1" t="n">
        <v>45996</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46091-2025</t>
        </is>
      </c>
      <c r="B634" s="1" t="n">
        <v>45924.52871527777</v>
      </c>
      <c r="C634" s="1" t="n">
        <v>45996</v>
      </c>
      <c r="D634" t="inlineStr">
        <is>
          <t>DALARNAS LÄN</t>
        </is>
      </c>
      <c r="E634" t="inlineStr">
        <is>
          <t>MORA</t>
        </is>
      </c>
      <c r="G634" t="n">
        <v>1.2</v>
      </c>
      <c r="H634" t="n">
        <v>0</v>
      </c>
      <c r="I634" t="n">
        <v>0</v>
      </c>
      <c r="J634" t="n">
        <v>0</v>
      </c>
      <c r="K634" t="n">
        <v>0</v>
      </c>
      <c r="L634" t="n">
        <v>0</v>
      </c>
      <c r="M634" t="n">
        <v>0</v>
      </c>
      <c r="N634" t="n">
        <v>0</v>
      </c>
      <c r="O634" t="n">
        <v>0</v>
      </c>
      <c r="P634" t="n">
        <v>0</v>
      </c>
      <c r="Q634" t="n">
        <v>0</v>
      </c>
      <c r="R634" s="2" t="inlineStr"/>
    </row>
    <row r="635" ht="15" customHeight="1">
      <c r="A635" t="inlineStr">
        <is>
          <t>A 19193-2025</t>
        </is>
      </c>
      <c r="B635" s="1" t="n">
        <v>45769.42203703704</v>
      </c>
      <c r="C635" s="1" t="n">
        <v>45996</v>
      </c>
      <c r="D635" t="inlineStr">
        <is>
          <t>DALARNAS LÄN</t>
        </is>
      </c>
      <c r="E635" t="inlineStr">
        <is>
          <t>MORA</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16573-2024</t>
        </is>
      </c>
      <c r="B636" s="1" t="n">
        <v>45408.46980324074</v>
      </c>
      <c r="C636" s="1" t="n">
        <v>45996</v>
      </c>
      <c r="D636" t="inlineStr">
        <is>
          <t>DALARNAS LÄN</t>
        </is>
      </c>
      <c r="E636" t="inlineStr">
        <is>
          <t>MORA</t>
        </is>
      </c>
      <c r="G636" t="n">
        <v>4.5</v>
      </c>
      <c r="H636" t="n">
        <v>0</v>
      </c>
      <c r="I636" t="n">
        <v>0</v>
      </c>
      <c r="J636" t="n">
        <v>0</v>
      </c>
      <c r="K636" t="n">
        <v>0</v>
      </c>
      <c r="L636" t="n">
        <v>0</v>
      </c>
      <c r="M636" t="n">
        <v>0</v>
      </c>
      <c r="N636" t="n">
        <v>0</v>
      </c>
      <c r="O636" t="n">
        <v>0</v>
      </c>
      <c r="P636" t="n">
        <v>0</v>
      </c>
      <c r="Q636" t="n">
        <v>0</v>
      </c>
      <c r="R636" s="2" t="inlineStr"/>
    </row>
    <row r="637" ht="15" customHeight="1">
      <c r="A637" t="inlineStr">
        <is>
          <t>A 21894-2025</t>
        </is>
      </c>
      <c r="B637" s="1" t="n">
        <v>45784.45060185185</v>
      </c>
      <c r="C637" s="1" t="n">
        <v>45996</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6183-2024</t>
        </is>
      </c>
      <c r="B638" s="1" t="n">
        <v>45337.54135416666</v>
      </c>
      <c r="C638" s="1" t="n">
        <v>45996</v>
      </c>
      <c r="D638" t="inlineStr">
        <is>
          <t>DALARNAS LÄN</t>
        </is>
      </c>
      <c r="E638" t="inlineStr">
        <is>
          <t>MORA</t>
        </is>
      </c>
      <c r="G638" t="n">
        <v>7.9</v>
      </c>
      <c r="H638" t="n">
        <v>0</v>
      </c>
      <c r="I638" t="n">
        <v>0</v>
      </c>
      <c r="J638" t="n">
        <v>0</v>
      </c>
      <c r="K638" t="n">
        <v>0</v>
      </c>
      <c r="L638" t="n">
        <v>0</v>
      </c>
      <c r="M638" t="n">
        <v>0</v>
      </c>
      <c r="N638" t="n">
        <v>0</v>
      </c>
      <c r="O638" t="n">
        <v>0</v>
      </c>
      <c r="P638" t="n">
        <v>0</v>
      </c>
      <c r="Q638" t="n">
        <v>0</v>
      </c>
      <c r="R638" s="2" t="inlineStr"/>
    </row>
    <row r="639" ht="15" customHeight="1">
      <c r="A639" t="inlineStr">
        <is>
          <t>A 54868-2025</t>
        </is>
      </c>
      <c r="B639" s="1" t="n">
        <v>45966.85649305556</v>
      </c>
      <c r="C639" s="1" t="n">
        <v>45996</v>
      </c>
      <c r="D639" t="inlineStr">
        <is>
          <t>DALARNAS LÄN</t>
        </is>
      </c>
      <c r="E639" t="inlineStr">
        <is>
          <t>MORA</t>
        </is>
      </c>
      <c r="F639" t="inlineStr">
        <is>
          <t>Bergvik skog väst AB</t>
        </is>
      </c>
      <c r="G639" t="n">
        <v>5.6</v>
      </c>
      <c r="H639" t="n">
        <v>0</v>
      </c>
      <c r="I639" t="n">
        <v>0</v>
      </c>
      <c r="J639" t="n">
        <v>0</v>
      </c>
      <c r="K639" t="n">
        <v>0</v>
      </c>
      <c r="L639" t="n">
        <v>0</v>
      </c>
      <c r="M639" t="n">
        <v>0</v>
      </c>
      <c r="N639" t="n">
        <v>0</v>
      </c>
      <c r="O639" t="n">
        <v>0</v>
      </c>
      <c r="P639" t="n">
        <v>0</v>
      </c>
      <c r="Q639" t="n">
        <v>0</v>
      </c>
      <c r="R639" s="2" t="inlineStr"/>
    </row>
    <row r="640" ht="15" customHeight="1">
      <c r="A640" t="inlineStr">
        <is>
          <t>A 21890-2025</t>
        </is>
      </c>
      <c r="B640" s="1" t="n">
        <v>45784.44481481481</v>
      </c>
      <c r="C640" s="1" t="n">
        <v>45996</v>
      </c>
      <c r="D640" t="inlineStr">
        <is>
          <t>DALARNAS LÄN</t>
        </is>
      </c>
      <c r="E640" t="inlineStr">
        <is>
          <t>MORA</t>
        </is>
      </c>
      <c r="G640" t="n">
        <v>3.8</v>
      </c>
      <c r="H640" t="n">
        <v>0</v>
      </c>
      <c r="I640" t="n">
        <v>0</v>
      </c>
      <c r="J640" t="n">
        <v>0</v>
      </c>
      <c r="K640" t="n">
        <v>0</v>
      </c>
      <c r="L640" t="n">
        <v>0</v>
      </c>
      <c r="M640" t="n">
        <v>0</v>
      </c>
      <c r="N640" t="n">
        <v>0</v>
      </c>
      <c r="O640" t="n">
        <v>0</v>
      </c>
      <c r="P640" t="n">
        <v>0</v>
      </c>
      <c r="Q640" t="n">
        <v>0</v>
      </c>
      <c r="R640" s="2" t="inlineStr"/>
    </row>
    <row r="641" ht="15" customHeight="1">
      <c r="A641" t="inlineStr">
        <is>
          <t>A 54910-2025</t>
        </is>
      </c>
      <c r="B641" s="1" t="n">
        <v>45967.37679398148</v>
      </c>
      <c r="C641" s="1" t="n">
        <v>45996</v>
      </c>
      <c r="D641" t="inlineStr">
        <is>
          <t>DALARNAS LÄN</t>
        </is>
      </c>
      <c r="E641" t="inlineStr">
        <is>
          <t>MORA</t>
        </is>
      </c>
      <c r="G641" t="n">
        <v>0.5</v>
      </c>
      <c r="H641" t="n">
        <v>0</v>
      </c>
      <c r="I641" t="n">
        <v>0</v>
      </c>
      <c r="J641" t="n">
        <v>0</v>
      </c>
      <c r="K641" t="n">
        <v>0</v>
      </c>
      <c r="L641" t="n">
        <v>0</v>
      </c>
      <c r="M641" t="n">
        <v>0</v>
      </c>
      <c r="N641" t="n">
        <v>0</v>
      </c>
      <c r="O641" t="n">
        <v>0</v>
      </c>
      <c r="P641" t="n">
        <v>0</v>
      </c>
      <c r="Q641" t="n">
        <v>0</v>
      </c>
      <c r="R641" s="2" t="inlineStr"/>
    </row>
    <row r="642" ht="15" customHeight="1">
      <c r="A642" t="inlineStr">
        <is>
          <t>A 21895-2025</t>
        </is>
      </c>
      <c r="B642" s="1" t="n">
        <v>45784.45273148148</v>
      </c>
      <c r="C642" s="1" t="n">
        <v>45996</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46283-2025</t>
        </is>
      </c>
      <c r="B643" s="1" t="n">
        <v>45925</v>
      </c>
      <c r="C643" s="1" t="n">
        <v>45996</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54862-2025</t>
        </is>
      </c>
      <c r="B644" s="1" t="n">
        <v>45966.76542824074</v>
      </c>
      <c r="C644" s="1" t="n">
        <v>45996</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55135-2025</t>
        </is>
      </c>
      <c r="B645" s="1" t="n">
        <v>45968.42591435185</v>
      </c>
      <c r="C645" s="1" t="n">
        <v>45996</v>
      </c>
      <c r="D645" t="inlineStr">
        <is>
          <t>DALARNAS LÄN</t>
        </is>
      </c>
      <c r="E645" t="inlineStr">
        <is>
          <t>MORA</t>
        </is>
      </c>
      <c r="G645" t="n">
        <v>5.1</v>
      </c>
      <c r="H645" t="n">
        <v>0</v>
      </c>
      <c r="I645" t="n">
        <v>0</v>
      </c>
      <c r="J645" t="n">
        <v>0</v>
      </c>
      <c r="K645" t="n">
        <v>0</v>
      </c>
      <c r="L645" t="n">
        <v>0</v>
      </c>
      <c r="M645" t="n">
        <v>0</v>
      </c>
      <c r="N645" t="n">
        <v>0</v>
      </c>
      <c r="O645" t="n">
        <v>0</v>
      </c>
      <c r="P645" t="n">
        <v>0</v>
      </c>
      <c r="Q645" t="n">
        <v>0</v>
      </c>
      <c r="R645" s="2" t="inlineStr"/>
    </row>
    <row r="646" ht="15" customHeight="1">
      <c r="A646" t="inlineStr">
        <is>
          <t>A 55124-2025</t>
        </is>
      </c>
      <c r="B646" s="1" t="n">
        <v>45968.40621527778</v>
      </c>
      <c r="C646" s="1" t="n">
        <v>45996</v>
      </c>
      <c r="D646" t="inlineStr">
        <is>
          <t>DALARNAS LÄN</t>
        </is>
      </c>
      <c r="E646" t="inlineStr">
        <is>
          <t>MORA</t>
        </is>
      </c>
      <c r="G646" t="n">
        <v>1.2</v>
      </c>
      <c r="H646" t="n">
        <v>0</v>
      </c>
      <c r="I646" t="n">
        <v>0</v>
      </c>
      <c r="J646" t="n">
        <v>0</v>
      </c>
      <c r="K646" t="n">
        <v>0</v>
      </c>
      <c r="L646" t="n">
        <v>0</v>
      </c>
      <c r="M646" t="n">
        <v>0</v>
      </c>
      <c r="N646" t="n">
        <v>0</v>
      </c>
      <c r="O646" t="n">
        <v>0</v>
      </c>
      <c r="P646" t="n">
        <v>0</v>
      </c>
      <c r="Q646" t="n">
        <v>0</v>
      </c>
      <c r="R646" s="2" t="inlineStr"/>
    </row>
    <row r="647" ht="15" customHeight="1">
      <c r="A647" t="inlineStr">
        <is>
          <t>A 55262-2025</t>
        </is>
      </c>
      <c r="B647" s="1" t="n">
        <v>45968.64847222222</v>
      </c>
      <c r="C647" s="1" t="n">
        <v>45996</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45196.58278935185</v>
      </c>
      <c r="C648" s="1" t="n">
        <v>45996</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22354-2025</t>
        </is>
      </c>
      <c r="B649" s="1" t="n">
        <v>45786.45721064815</v>
      </c>
      <c r="C649" s="1" t="n">
        <v>45996</v>
      </c>
      <c r="D649" t="inlineStr">
        <is>
          <t>DALARNAS LÄN</t>
        </is>
      </c>
      <c r="E649" t="inlineStr">
        <is>
          <t>MORA</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28832-2023</t>
        </is>
      </c>
      <c r="B650" s="1" t="n">
        <v>45104.40493055555</v>
      </c>
      <c r="C650" s="1" t="n">
        <v>45996</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22409-2025</t>
        </is>
      </c>
      <c r="B651" s="1" t="n">
        <v>45786.54940972223</v>
      </c>
      <c r="C651" s="1" t="n">
        <v>45996</v>
      </c>
      <c r="D651" t="inlineStr">
        <is>
          <t>DALARNAS LÄN</t>
        </is>
      </c>
      <c r="E651" t="inlineStr">
        <is>
          <t>MORA</t>
        </is>
      </c>
      <c r="F651" t="inlineStr">
        <is>
          <t>Bergvik skog öst AB</t>
        </is>
      </c>
      <c r="G651" t="n">
        <v>5</v>
      </c>
      <c r="H651" t="n">
        <v>0</v>
      </c>
      <c r="I651" t="n">
        <v>0</v>
      </c>
      <c r="J651" t="n">
        <v>0</v>
      </c>
      <c r="K651" t="n">
        <v>0</v>
      </c>
      <c r="L651" t="n">
        <v>0</v>
      </c>
      <c r="M651" t="n">
        <v>0</v>
      </c>
      <c r="N651" t="n">
        <v>0</v>
      </c>
      <c r="O651" t="n">
        <v>0</v>
      </c>
      <c r="P651" t="n">
        <v>0</v>
      </c>
      <c r="Q651" t="n">
        <v>0</v>
      </c>
      <c r="R651" s="2" t="inlineStr"/>
    </row>
    <row r="652" ht="15" customHeight="1">
      <c r="A652" t="inlineStr">
        <is>
          <t>A 23368-2025</t>
        </is>
      </c>
      <c r="B652" s="1" t="n">
        <v>45791.70299768518</v>
      </c>
      <c r="C652" s="1" t="n">
        <v>45996</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row>
    <row r="653" ht="15" customHeight="1">
      <c r="A653" t="inlineStr">
        <is>
          <t>A 48824-2023</t>
        </is>
      </c>
      <c r="B653" s="1" t="n">
        <v>45203</v>
      </c>
      <c r="C653" s="1" t="n">
        <v>45996</v>
      </c>
      <c r="D653" t="inlineStr">
        <is>
          <t>DALARNAS LÄN</t>
        </is>
      </c>
      <c r="E653" t="inlineStr">
        <is>
          <t>MORA</t>
        </is>
      </c>
      <c r="G653" t="n">
        <v>3.3</v>
      </c>
      <c r="H653" t="n">
        <v>0</v>
      </c>
      <c r="I653" t="n">
        <v>0</v>
      </c>
      <c r="J653" t="n">
        <v>0</v>
      </c>
      <c r="K653" t="n">
        <v>0</v>
      </c>
      <c r="L653" t="n">
        <v>0</v>
      </c>
      <c r="M653" t="n">
        <v>0</v>
      </c>
      <c r="N653" t="n">
        <v>0</v>
      </c>
      <c r="O653" t="n">
        <v>0</v>
      </c>
      <c r="P653" t="n">
        <v>0</v>
      </c>
      <c r="Q653" t="n">
        <v>0</v>
      </c>
      <c r="R653" s="2" t="inlineStr"/>
    </row>
    <row r="654" ht="15" customHeight="1">
      <c r="A654" t="inlineStr">
        <is>
          <t>A 46525-2025</t>
        </is>
      </c>
      <c r="B654" s="1" t="n">
        <v>45926.3312962963</v>
      </c>
      <c r="C654" s="1" t="n">
        <v>45996</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56935-2024</t>
        </is>
      </c>
      <c r="B655" s="1" t="n">
        <v>45625</v>
      </c>
      <c r="C655" s="1" t="n">
        <v>45996</v>
      </c>
      <c r="D655" t="inlineStr">
        <is>
          <t>DALARNAS LÄN</t>
        </is>
      </c>
      <c r="E655" t="inlineStr">
        <is>
          <t>MORA</t>
        </is>
      </c>
      <c r="G655" t="n">
        <v>1.1</v>
      </c>
      <c r="H655" t="n">
        <v>0</v>
      </c>
      <c r="I655" t="n">
        <v>0</v>
      </c>
      <c r="J655" t="n">
        <v>0</v>
      </c>
      <c r="K655" t="n">
        <v>0</v>
      </c>
      <c r="L655" t="n">
        <v>0</v>
      </c>
      <c r="M655" t="n">
        <v>0</v>
      </c>
      <c r="N655" t="n">
        <v>0</v>
      </c>
      <c r="O655" t="n">
        <v>0</v>
      </c>
      <c r="P655" t="n">
        <v>0</v>
      </c>
      <c r="Q655" t="n">
        <v>0</v>
      </c>
      <c r="R655" s="2" t="inlineStr"/>
    </row>
    <row r="656" ht="15" customHeight="1">
      <c r="A656" t="inlineStr">
        <is>
          <t>A 56927-2024</t>
        </is>
      </c>
      <c r="B656" s="1" t="n">
        <v>45625</v>
      </c>
      <c r="C656" s="1" t="n">
        <v>45996</v>
      </c>
      <c r="D656" t="inlineStr">
        <is>
          <t>DALARNAS LÄN</t>
        </is>
      </c>
      <c r="E656" t="inlineStr">
        <is>
          <t>MORA</t>
        </is>
      </c>
      <c r="G656" t="n">
        <v>2.8</v>
      </c>
      <c r="H656" t="n">
        <v>0</v>
      </c>
      <c r="I656" t="n">
        <v>0</v>
      </c>
      <c r="J656" t="n">
        <v>0</v>
      </c>
      <c r="K656" t="n">
        <v>0</v>
      </c>
      <c r="L656" t="n">
        <v>0</v>
      </c>
      <c r="M656" t="n">
        <v>0</v>
      </c>
      <c r="N656" t="n">
        <v>0</v>
      </c>
      <c r="O656" t="n">
        <v>0</v>
      </c>
      <c r="P656" t="n">
        <v>0</v>
      </c>
      <c r="Q656" t="n">
        <v>0</v>
      </c>
      <c r="R656" s="2" t="inlineStr"/>
    </row>
    <row r="657" ht="15" customHeight="1">
      <c r="A657" t="inlineStr">
        <is>
          <t>A 8343-2025</t>
        </is>
      </c>
      <c r="B657" s="1" t="n">
        <v>45708.67253472222</v>
      </c>
      <c r="C657" s="1" t="n">
        <v>45996</v>
      </c>
      <c r="D657" t="inlineStr">
        <is>
          <t>DALARNAS LÄN</t>
        </is>
      </c>
      <c r="E657" t="inlineStr">
        <is>
          <t>MORA</t>
        </is>
      </c>
      <c r="G657" t="n">
        <v>3.4</v>
      </c>
      <c r="H657" t="n">
        <v>0</v>
      </c>
      <c r="I657" t="n">
        <v>0</v>
      </c>
      <c r="J657" t="n">
        <v>0</v>
      </c>
      <c r="K657" t="n">
        <v>0</v>
      </c>
      <c r="L657" t="n">
        <v>0</v>
      </c>
      <c r="M657" t="n">
        <v>0</v>
      </c>
      <c r="N657" t="n">
        <v>0</v>
      </c>
      <c r="O657" t="n">
        <v>0</v>
      </c>
      <c r="P657" t="n">
        <v>0</v>
      </c>
      <c r="Q657" t="n">
        <v>0</v>
      </c>
      <c r="R657" s="2" t="inlineStr"/>
    </row>
    <row r="658" ht="15" customHeight="1">
      <c r="A658" t="inlineStr">
        <is>
          <t>A 17163-2025</t>
        </is>
      </c>
      <c r="B658" s="1" t="n">
        <v>45756.35998842592</v>
      </c>
      <c r="C658" s="1" t="n">
        <v>45996</v>
      </c>
      <c r="D658" t="inlineStr">
        <is>
          <t>DALARNAS LÄN</t>
        </is>
      </c>
      <c r="E658" t="inlineStr">
        <is>
          <t>MORA</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22185-2025</t>
        </is>
      </c>
      <c r="B659" s="1" t="n">
        <v>45785</v>
      </c>
      <c r="C659" s="1" t="n">
        <v>45996</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34272-2024</t>
        </is>
      </c>
      <c r="B660" s="1" t="n">
        <v>45524.61752314815</v>
      </c>
      <c r="C660" s="1" t="n">
        <v>45996</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59404-2024</t>
        </is>
      </c>
      <c r="B661" s="1" t="n">
        <v>45638</v>
      </c>
      <c r="C661" s="1" t="n">
        <v>45996</v>
      </c>
      <c r="D661" t="inlineStr">
        <is>
          <t>DALARNAS LÄN</t>
        </is>
      </c>
      <c r="E661" t="inlineStr">
        <is>
          <t>MORA</t>
        </is>
      </c>
      <c r="G661" t="n">
        <v>2.6</v>
      </c>
      <c r="H661" t="n">
        <v>0</v>
      </c>
      <c r="I661" t="n">
        <v>0</v>
      </c>
      <c r="J661" t="n">
        <v>0</v>
      </c>
      <c r="K661" t="n">
        <v>0</v>
      </c>
      <c r="L661" t="n">
        <v>0</v>
      </c>
      <c r="M661" t="n">
        <v>0</v>
      </c>
      <c r="N661" t="n">
        <v>0</v>
      </c>
      <c r="O661" t="n">
        <v>0</v>
      </c>
      <c r="P661" t="n">
        <v>0</v>
      </c>
      <c r="Q661" t="n">
        <v>0</v>
      </c>
      <c r="R661" s="2" t="inlineStr"/>
    </row>
    <row r="662" ht="15" customHeight="1">
      <c r="A662" t="inlineStr">
        <is>
          <t>A 55123-2025</t>
        </is>
      </c>
      <c r="B662" s="1" t="n">
        <v>45968.40056712963</v>
      </c>
      <c r="C662" s="1" t="n">
        <v>45996</v>
      </c>
      <c r="D662" t="inlineStr">
        <is>
          <t>DALARNAS LÄN</t>
        </is>
      </c>
      <c r="E662" t="inlineStr">
        <is>
          <t>MORA</t>
        </is>
      </c>
      <c r="G662" t="n">
        <v>1.6</v>
      </c>
      <c r="H662" t="n">
        <v>0</v>
      </c>
      <c r="I662" t="n">
        <v>0</v>
      </c>
      <c r="J662" t="n">
        <v>0</v>
      </c>
      <c r="K662" t="n">
        <v>0</v>
      </c>
      <c r="L662" t="n">
        <v>0</v>
      </c>
      <c r="M662" t="n">
        <v>0</v>
      </c>
      <c r="N662" t="n">
        <v>0</v>
      </c>
      <c r="O662" t="n">
        <v>0</v>
      </c>
      <c r="P662" t="n">
        <v>0</v>
      </c>
      <c r="Q662" t="n">
        <v>0</v>
      </c>
      <c r="R662" s="2" t="inlineStr"/>
    </row>
    <row r="663" ht="15" customHeight="1">
      <c r="A663" t="inlineStr">
        <is>
          <t>A 11193-2025</t>
        </is>
      </c>
      <c r="B663" s="1" t="n">
        <v>45725</v>
      </c>
      <c r="C663" s="1" t="n">
        <v>45996</v>
      </c>
      <c r="D663" t="inlineStr">
        <is>
          <t>DALARNAS LÄN</t>
        </is>
      </c>
      <c r="E663" t="inlineStr">
        <is>
          <t>MORA</t>
        </is>
      </c>
      <c r="G663" t="n">
        <v>4.1</v>
      </c>
      <c r="H663" t="n">
        <v>0</v>
      </c>
      <c r="I663" t="n">
        <v>0</v>
      </c>
      <c r="J663" t="n">
        <v>0</v>
      </c>
      <c r="K663" t="n">
        <v>0</v>
      </c>
      <c r="L663" t="n">
        <v>0</v>
      </c>
      <c r="M663" t="n">
        <v>0</v>
      </c>
      <c r="N663" t="n">
        <v>0</v>
      </c>
      <c r="O663" t="n">
        <v>0</v>
      </c>
      <c r="P663" t="n">
        <v>0</v>
      </c>
      <c r="Q663" t="n">
        <v>0</v>
      </c>
      <c r="R663" s="2" t="inlineStr"/>
    </row>
    <row r="664" ht="15" customHeight="1">
      <c r="A664" t="inlineStr">
        <is>
          <t>A 36579-2022</t>
        </is>
      </c>
      <c r="B664" s="1" t="n">
        <v>44804.61636574074</v>
      </c>
      <c r="C664" s="1" t="n">
        <v>45996</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30030-2021</t>
        </is>
      </c>
      <c r="B665" s="1" t="n">
        <v>44363</v>
      </c>
      <c r="C665" s="1" t="n">
        <v>45996</v>
      </c>
      <c r="D665" t="inlineStr">
        <is>
          <t>DALARNAS LÄN</t>
        </is>
      </c>
      <c r="E665" t="inlineStr">
        <is>
          <t>MORA</t>
        </is>
      </c>
      <c r="G665" t="n">
        <v>7.1</v>
      </c>
      <c r="H665" t="n">
        <v>0</v>
      </c>
      <c r="I665" t="n">
        <v>0</v>
      </c>
      <c r="J665" t="n">
        <v>0</v>
      </c>
      <c r="K665" t="n">
        <v>0</v>
      </c>
      <c r="L665" t="n">
        <v>0</v>
      </c>
      <c r="M665" t="n">
        <v>0</v>
      </c>
      <c r="N665" t="n">
        <v>0</v>
      </c>
      <c r="O665" t="n">
        <v>0</v>
      </c>
      <c r="P665" t="n">
        <v>0</v>
      </c>
      <c r="Q665" t="n">
        <v>0</v>
      </c>
      <c r="R665" s="2" t="inlineStr"/>
    </row>
    <row r="666" ht="15" customHeight="1">
      <c r="A666" t="inlineStr">
        <is>
          <t>A 55691-2023</t>
        </is>
      </c>
      <c r="B666" s="1" t="n">
        <v>45239.36509259259</v>
      </c>
      <c r="C666" s="1" t="n">
        <v>45996</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33531-2024</t>
        </is>
      </c>
      <c r="B667" s="1" t="n">
        <v>45519.67503472222</v>
      </c>
      <c r="C667" s="1" t="n">
        <v>45996</v>
      </c>
      <c r="D667" t="inlineStr">
        <is>
          <t>DALARNAS LÄN</t>
        </is>
      </c>
      <c r="E667" t="inlineStr">
        <is>
          <t>MORA</t>
        </is>
      </c>
      <c r="G667" t="n">
        <v>14.8</v>
      </c>
      <c r="H667" t="n">
        <v>0</v>
      </c>
      <c r="I667" t="n">
        <v>0</v>
      </c>
      <c r="J667" t="n">
        <v>0</v>
      </c>
      <c r="K667" t="n">
        <v>0</v>
      </c>
      <c r="L667" t="n">
        <v>0</v>
      </c>
      <c r="M667" t="n">
        <v>0</v>
      </c>
      <c r="N667" t="n">
        <v>0</v>
      </c>
      <c r="O667" t="n">
        <v>0</v>
      </c>
      <c r="P667" t="n">
        <v>0</v>
      </c>
      <c r="Q667" t="n">
        <v>0</v>
      </c>
      <c r="R667" s="2" t="inlineStr"/>
    </row>
    <row r="668" ht="15" customHeight="1">
      <c r="A668" t="inlineStr">
        <is>
          <t>A 56900-2024</t>
        </is>
      </c>
      <c r="B668" s="1" t="n">
        <v>45625</v>
      </c>
      <c r="C668" s="1" t="n">
        <v>45996</v>
      </c>
      <c r="D668" t="inlineStr">
        <is>
          <t>DALARNAS LÄN</t>
        </is>
      </c>
      <c r="E668" t="inlineStr">
        <is>
          <t>MORA</t>
        </is>
      </c>
      <c r="G668" t="n">
        <v>2.7</v>
      </c>
      <c r="H668" t="n">
        <v>0</v>
      </c>
      <c r="I668" t="n">
        <v>0</v>
      </c>
      <c r="J668" t="n">
        <v>0</v>
      </c>
      <c r="K668" t="n">
        <v>0</v>
      </c>
      <c r="L668" t="n">
        <v>0</v>
      </c>
      <c r="M668" t="n">
        <v>0</v>
      </c>
      <c r="N668" t="n">
        <v>0</v>
      </c>
      <c r="O668" t="n">
        <v>0</v>
      </c>
      <c r="P668" t="n">
        <v>0</v>
      </c>
      <c r="Q668" t="n">
        <v>0</v>
      </c>
      <c r="R668" s="2" t="inlineStr"/>
    </row>
    <row r="669" ht="15" customHeight="1">
      <c r="A669" t="inlineStr">
        <is>
          <t>A 23354-2022</t>
        </is>
      </c>
      <c r="B669" s="1" t="n">
        <v>44720</v>
      </c>
      <c r="C669" s="1" t="n">
        <v>45996</v>
      </c>
      <c r="D669" t="inlineStr">
        <is>
          <t>DALARNAS LÄN</t>
        </is>
      </c>
      <c r="E669" t="inlineStr">
        <is>
          <t>MORA</t>
        </is>
      </c>
      <c r="G669" t="n">
        <v>5.2</v>
      </c>
      <c r="H669" t="n">
        <v>0</v>
      </c>
      <c r="I669" t="n">
        <v>0</v>
      </c>
      <c r="J669" t="n">
        <v>0</v>
      </c>
      <c r="K669" t="n">
        <v>0</v>
      </c>
      <c r="L669" t="n">
        <v>0</v>
      </c>
      <c r="M669" t="n">
        <v>0</v>
      </c>
      <c r="N669" t="n">
        <v>0</v>
      </c>
      <c r="O669" t="n">
        <v>0</v>
      </c>
      <c r="P669" t="n">
        <v>0</v>
      </c>
      <c r="Q669" t="n">
        <v>0</v>
      </c>
      <c r="R669" s="2" t="inlineStr"/>
    </row>
    <row r="670" ht="15" customHeight="1">
      <c r="A670" t="inlineStr">
        <is>
          <t>A 46537-2025</t>
        </is>
      </c>
      <c r="B670" s="1" t="n">
        <v>45926.34195601852</v>
      </c>
      <c r="C670" s="1" t="n">
        <v>45996</v>
      </c>
      <c r="D670" t="inlineStr">
        <is>
          <t>DALARNAS LÄN</t>
        </is>
      </c>
      <c r="E670" t="inlineStr">
        <is>
          <t>MORA</t>
        </is>
      </c>
      <c r="G670" t="n">
        <v>10.6</v>
      </c>
      <c r="H670" t="n">
        <v>0</v>
      </c>
      <c r="I670" t="n">
        <v>0</v>
      </c>
      <c r="J670" t="n">
        <v>0</v>
      </c>
      <c r="K670" t="n">
        <v>0</v>
      </c>
      <c r="L670" t="n">
        <v>0</v>
      </c>
      <c r="M670" t="n">
        <v>0</v>
      </c>
      <c r="N670" t="n">
        <v>0</v>
      </c>
      <c r="O670" t="n">
        <v>0</v>
      </c>
      <c r="P670" t="n">
        <v>0</v>
      </c>
      <c r="Q670" t="n">
        <v>0</v>
      </c>
      <c r="R670" s="2" t="inlineStr"/>
    </row>
    <row r="671" ht="15" customHeight="1">
      <c r="A671" t="inlineStr">
        <is>
          <t>A 54192-2023</t>
        </is>
      </c>
      <c r="B671" s="1" t="n">
        <v>45232.53052083333</v>
      </c>
      <c r="C671" s="1" t="n">
        <v>45996</v>
      </c>
      <c r="D671" t="inlineStr">
        <is>
          <t>DALARNAS LÄN</t>
        </is>
      </c>
      <c r="E671" t="inlineStr">
        <is>
          <t>MORA</t>
        </is>
      </c>
      <c r="G671" t="n">
        <v>3.4</v>
      </c>
      <c r="H671" t="n">
        <v>0</v>
      </c>
      <c r="I671" t="n">
        <v>0</v>
      </c>
      <c r="J671" t="n">
        <v>0</v>
      </c>
      <c r="K671" t="n">
        <v>0</v>
      </c>
      <c r="L671" t="n">
        <v>0</v>
      </c>
      <c r="M671" t="n">
        <v>0</v>
      </c>
      <c r="N671" t="n">
        <v>0</v>
      </c>
      <c r="O671" t="n">
        <v>0</v>
      </c>
      <c r="P671" t="n">
        <v>0</v>
      </c>
      <c r="Q671" t="n">
        <v>0</v>
      </c>
      <c r="R671" s="2" t="inlineStr"/>
    </row>
    <row r="672" ht="15" customHeight="1">
      <c r="A672" t="inlineStr">
        <is>
          <t>A 54548-2025</t>
        </is>
      </c>
      <c r="B672" s="1" t="n">
        <v>45965.6534837963</v>
      </c>
      <c r="C672" s="1" t="n">
        <v>45996</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47140-2025</t>
        </is>
      </c>
      <c r="B673" s="1" t="n">
        <v>45929</v>
      </c>
      <c r="C673" s="1" t="n">
        <v>45996</v>
      </c>
      <c r="D673" t="inlineStr">
        <is>
          <t>DALARNAS LÄN</t>
        </is>
      </c>
      <c r="E673" t="inlineStr">
        <is>
          <t>MORA</t>
        </is>
      </c>
      <c r="G673" t="n">
        <v>6.7</v>
      </c>
      <c r="H673" t="n">
        <v>0</v>
      </c>
      <c r="I673" t="n">
        <v>0</v>
      </c>
      <c r="J673" t="n">
        <v>0</v>
      </c>
      <c r="K673" t="n">
        <v>0</v>
      </c>
      <c r="L673" t="n">
        <v>0</v>
      </c>
      <c r="M673" t="n">
        <v>0</v>
      </c>
      <c r="N673" t="n">
        <v>0</v>
      </c>
      <c r="O673" t="n">
        <v>0</v>
      </c>
      <c r="P673" t="n">
        <v>0</v>
      </c>
      <c r="Q673" t="n">
        <v>0</v>
      </c>
      <c r="R673" s="2" t="inlineStr"/>
    </row>
    <row r="674" ht="15" customHeight="1">
      <c r="A674" t="inlineStr">
        <is>
          <t>A 23229-2025</t>
        </is>
      </c>
      <c r="B674" s="1" t="n">
        <v>45791</v>
      </c>
      <c r="C674" s="1" t="n">
        <v>45996</v>
      </c>
      <c r="D674" t="inlineStr">
        <is>
          <t>DALARNAS LÄN</t>
        </is>
      </c>
      <c r="E674" t="inlineStr">
        <is>
          <t>MORA</t>
        </is>
      </c>
      <c r="G674" t="n">
        <v>2.2</v>
      </c>
      <c r="H674" t="n">
        <v>0</v>
      </c>
      <c r="I674" t="n">
        <v>0</v>
      </c>
      <c r="J674" t="n">
        <v>0</v>
      </c>
      <c r="K674" t="n">
        <v>0</v>
      </c>
      <c r="L674" t="n">
        <v>0</v>
      </c>
      <c r="M674" t="n">
        <v>0</v>
      </c>
      <c r="N674" t="n">
        <v>0</v>
      </c>
      <c r="O674" t="n">
        <v>0</v>
      </c>
      <c r="P674" t="n">
        <v>0</v>
      </c>
      <c r="Q674" t="n">
        <v>0</v>
      </c>
      <c r="R674" s="2" t="inlineStr"/>
    </row>
    <row r="675" ht="15" customHeight="1">
      <c r="A675" t="inlineStr">
        <is>
          <t>A 55284-2025</t>
        </is>
      </c>
      <c r="B675" s="1" t="n">
        <v>45968.8227662037</v>
      </c>
      <c r="C675" s="1" t="n">
        <v>45996</v>
      </c>
      <c r="D675" t="inlineStr">
        <is>
          <t>DALARNAS LÄN</t>
        </is>
      </c>
      <c r="E675" t="inlineStr">
        <is>
          <t>MORA</t>
        </is>
      </c>
      <c r="G675" t="n">
        <v>2</v>
      </c>
      <c r="H675" t="n">
        <v>0</v>
      </c>
      <c r="I675" t="n">
        <v>0</v>
      </c>
      <c r="J675" t="n">
        <v>0</v>
      </c>
      <c r="K675" t="n">
        <v>0</v>
      </c>
      <c r="L675" t="n">
        <v>0</v>
      </c>
      <c r="M675" t="n">
        <v>0</v>
      </c>
      <c r="N675" t="n">
        <v>0</v>
      </c>
      <c r="O675" t="n">
        <v>0</v>
      </c>
      <c r="P675" t="n">
        <v>0</v>
      </c>
      <c r="Q675" t="n">
        <v>0</v>
      </c>
      <c r="R675" s="2" t="inlineStr"/>
    </row>
    <row r="676" ht="15" customHeight="1">
      <c r="A676" t="inlineStr">
        <is>
          <t>A 47055-2025</t>
        </is>
      </c>
      <c r="B676" s="1" t="n">
        <v>45929.61931712963</v>
      </c>
      <c r="C676" s="1" t="n">
        <v>45996</v>
      </c>
      <c r="D676" t="inlineStr">
        <is>
          <t>DALARNAS LÄN</t>
        </is>
      </c>
      <c r="E676" t="inlineStr">
        <is>
          <t>MORA</t>
        </is>
      </c>
      <c r="G676" t="n">
        <v>28.1</v>
      </c>
      <c r="H676" t="n">
        <v>0</v>
      </c>
      <c r="I676" t="n">
        <v>0</v>
      </c>
      <c r="J676" t="n">
        <v>0</v>
      </c>
      <c r="K676" t="n">
        <v>0</v>
      </c>
      <c r="L676" t="n">
        <v>0</v>
      </c>
      <c r="M676" t="n">
        <v>0</v>
      </c>
      <c r="N676" t="n">
        <v>0</v>
      </c>
      <c r="O676" t="n">
        <v>0</v>
      </c>
      <c r="P676" t="n">
        <v>0</v>
      </c>
      <c r="Q676" t="n">
        <v>0</v>
      </c>
      <c r="R676" s="2" t="inlineStr"/>
    </row>
    <row r="677" ht="15" customHeight="1">
      <c r="A677" t="inlineStr">
        <is>
          <t>A 47072-2025</t>
        </is>
      </c>
      <c r="B677" s="1" t="n">
        <v>45929.6365162037</v>
      </c>
      <c r="C677" s="1" t="n">
        <v>45996</v>
      </c>
      <c r="D677" t="inlineStr">
        <is>
          <t>DALARNAS LÄN</t>
        </is>
      </c>
      <c r="E677" t="inlineStr">
        <is>
          <t>MORA</t>
        </is>
      </c>
      <c r="G677" t="n">
        <v>3.4</v>
      </c>
      <c r="H677" t="n">
        <v>0</v>
      </c>
      <c r="I677" t="n">
        <v>0</v>
      </c>
      <c r="J677" t="n">
        <v>0</v>
      </c>
      <c r="K677" t="n">
        <v>0</v>
      </c>
      <c r="L677" t="n">
        <v>0</v>
      </c>
      <c r="M677" t="n">
        <v>0</v>
      </c>
      <c r="N677" t="n">
        <v>0</v>
      </c>
      <c r="O677" t="n">
        <v>0</v>
      </c>
      <c r="P677" t="n">
        <v>0</v>
      </c>
      <c r="Q677" t="n">
        <v>0</v>
      </c>
      <c r="R677" s="2" t="inlineStr"/>
    </row>
    <row r="678" ht="15" customHeight="1">
      <c r="A678" t="inlineStr">
        <is>
          <t>A 51780-2023</t>
        </is>
      </c>
      <c r="B678" s="1" t="n">
        <v>45222</v>
      </c>
      <c r="C678" s="1" t="n">
        <v>45996</v>
      </c>
      <c r="D678" t="inlineStr">
        <is>
          <t>DALARNAS LÄN</t>
        </is>
      </c>
      <c r="E678" t="inlineStr">
        <is>
          <t>MORA</t>
        </is>
      </c>
      <c r="G678" t="n">
        <v>9.9</v>
      </c>
      <c r="H678" t="n">
        <v>0</v>
      </c>
      <c r="I678" t="n">
        <v>0</v>
      </c>
      <c r="J678" t="n">
        <v>0</v>
      </c>
      <c r="K678" t="n">
        <v>0</v>
      </c>
      <c r="L678" t="n">
        <v>0</v>
      </c>
      <c r="M678" t="n">
        <v>0</v>
      </c>
      <c r="N678" t="n">
        <v>0</v>
      </c>
      <c r="O678" t="n">
        <v>0</v>
      </c>
      <c r="P678" t="n">
        <v>0</v>
      </c>
      <c r="Q678" t="n">
        <v>0</v>
      </c>
      <c r="R678" s="2" t="inlineStr"/>
    </row>
    <row r="679" ht="15" customHeight="1">
      <c r="A679" t="inlineStr">
        <is>
          <t>A 15818-2024</t>
        </is>
      </c>
      <c r="B679" s="1" t="n">
        <v>45404.67442129629</v>
      </c>
      <c r="C679" s="1" t="n">
        <v>45996</v>
      </c>
      <c r="D679" t="inlineStr">
        <is>
          <t>DALARNAS LÄN</t>
        </is>
      </c>
      <c r="E679" t="inlineStr">
        <is>
          <t>MORA</t>
        </is>
      </c>
      <c r="G679" t="n">
        <v>7</v>
      </c>
      <c r="H679" t="n">
        <v>0</v>
      </c>
      <c r="I679" t="n">
        <v>0</v>
      </c>
      <c r="J679" t="n">
        <v>0</v>
      </c>
      <c r="K679" t="n">
        <v>0</v>
      </c>
      <c r="L679" t="n">
        <v>0</v>
      </c>
      <c r="M679" t="n">
        <v>0</v>
      </c>
      <c r="N679" t="n">
        <v>0</v>
      </c>
      <c r="O679" t="n">
        <v>0</v>
      </c>
      <c r="P679" t="n">
        <v>0</v>
      </c>
      <c r="Q679" t="n">
        <v>0</v>
      </c>
      <c r="R679" s="2" t="inlineStr"/>
    </row>
    <row r="680" ht="15" customHeight="1">
      <c r="A680" t="inlineStr">
        <is>
          <t>A 47414-2025</t>
        </is>
      </c>
      <c r="B680" s="1" t="n">
        <v>45930.61896990741</v>
      </c>
      <c r="C680" s="1" t="n">
        <v>45996</v>
      </c>
      <c r="D680" t="inlineStr">
        <is>
          <t>DALARNAS LÄN</t>
        </is>
      </c>
      <c r="E680" t="inlineStr">
        <is>
          <t>MORA</t>
        </is>
      </c>
      <c r="G680" t="n">
        <v>6.1</v>
      </c>
      <c r="H680" t="n">
        <v>0</v>
      </c>
      <c r="I680" t="n">
        <v>0</v>
      </c>
      <c r="J680" t="n">
        <v>0</v>
      </c>
      <c r="K680" t="n">
        <v>0</v>
      </c>
      <c r="L680" t="n">
        <v>0</v>
      </c>
      <c r="M680" t="n">
        <v>0</v>
      </c>
      <c r="N680" t="n">
        <v>0</v>
      </c>
      <c r="O680" t="n">
        <v>0</v>
      </c>
      <c r="P680" t="n">
        <v>0</v>
      </c>
      <c r="Q680" t="n">
        <v>0</v>
      </c>
      <c r="R680" s="2" t="inlineStr"/>
    </row>
    <row r="681" ht="15" customHeight="1">
      <c r="A681" t="inlineStr">
        <is>
          <t>A 47765-2025</t>
        </is>
      </c>
      <c r="B681" s="1" t="n">
        <v>45931.69100694444</v>
      </c>
      <c r="C681" s="1" t="n">
        <v>45996</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47769-2025</t>
        </is>
      </c>
      <c r="B682" s="1" t="n">
        <v>45931.70715277778</v>
      </c>
      <c r="C682" s="1" t="n">
        <v>45996</v>
      </c>
      <c r="D682" t="inlineStr">
        <is>
          <t>DALARNAS LÄN</t>
        </is>
      </c>
      <c r="E682" t="inlineStr">
        <is>
          <t>MORA</t>
        </is>
      </c>
      <c r="G682" t="n">
        <v>6.7</v>
      </c>
      <c r="H682" t="n">
        <v>0</v>
      </c>
      <c r="I682" t="n">
        <v>0</v>
      </c>
      <c r="J682" t="n">
        <v>0</v>
      </c>
      <c r="K682" t="n">
        <v>0</v>
      </c>
      <c r="L682" t="n">
        <v>0</v>
      </c>
      <c r="M682" t="n">
        <v>0</v>
      </c>
      <c r="N682" t="n">
        <v>0</v>
      </c>
      <c r="O682" t="n">
        <v>0</v>
      </c>
      <c r="P682" t="n">
        <v>0</v>
      </c>
      <c r="Q682" t="n">
        <v>0</v>
      </c>
      <c r="R682" s="2" t="inlineStr"/>
    </row>
    <row r="683" ht="15" customHeight="1">
      <c r="A683" t="inlineStr">
        <is>
          <t>A 48376-2025</t>
        </is>
      </c>
      <c r="B683" s="1" t="n">
        <v>45933.71648148148</v>
      </c>
      <c r="C683" s="1" t="n">
        <v>45996</v>
      </c>
      <c r="D683" t="inlineStr">
        <is>
          <t>DALARNAS LÄN</t>
        </is>
      </c>
      <c r="E683" t="inlineStr">
        <is>
          <t>MORA</t>
        </is>
      </c>
      <c r="G683" t="n">
        <v>0.8</v>
      </c>
      <c r="H683" t="n">
        <v>0</v>
      </c>
      <c r="I683" t="n">
        <v>0</v>
      </c>
      <c r="J683" t="n">
        <v>0</v>
      </c>
      <c r="K683" t="n">
        <v>0</v>
      </c>
      <c r="L683" t="n">
        <v>0</v>
      </c>
      <c r="M683" t="n">
        <v>0</v>
      </c>
      <c r="N683" t="n">
        <v>0</v>
      </c>
      <c r="O683" t="n">
        <v>0</v>
      </c>
      <c r="P683" t="n">
        <v>0</v>
      </c>
      <c r="Q683" t="n">
        <v>0</v>
      </c>
      <c r="R683" s="2" t="inlineStr"/>
    </row>
    <row r="684" ht="15" customHeight="1">
      <c r="A684" t="inlineStr">
        <is>
          <t>A 47860-2025</t>
        </is>
      </c>
      <c r="B684" s="1" t="n">
        <v>45932.42298611111</v>
      </c>
      <c r="C684" s="1" t="n">
        <v>45996</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48377-2025</t>
        </is>
      </c>
      <c r="B685" s="1" t="n">
        <v>45933.71896990741</v>
      </c>
      <c r="C685" s="1" t="n">
        <v>45996</v>
      </c>
      <c r="D685" t="inlineStr">
        <is>
          <t>DALARNAS LÄN</t>
        </is>
      </c>
      <c r="E685" t="inlineStr">
        <is>
          <t>MORA</t>
        </is>
      </c>
      <c r="G685" t="n">
        <v>2</v>
      </c>
      <c r="H685" t="n">
        <v>0</v>
      </c>
      <c r="I685" t="n">
        <v>0</v>
      </c>
      <c r="J685" t="n">
        <v>0</v>
      </c>
      <c r="K685" t="n">
        <v>0</v>
      </c>
      <c r="L685" t="n">
        <v>0</v>
      </c>
      <c r="M685" t="n">
        <v>0</v>
      </c>
      <c r="N685" t="n">
        <v>0</v>
      </c>
      <c r="O685" t="n">
        <v>0</v>
      </c>
      <c r="P685" t="n">
        <v>0</v>
      </c>
      <c r="Q685" t="n">
        <v>0</v>
      </c>
      <c r="R685" s="2" t="inlineStr"/>
    </row>
    <row r="686" ht="15" customHeight="1">
      <c r="A686" t="inlineStr">
        <is>
          <t>A 56702-2025</t>
        </is>
      </c>
      <c r="B686" s="1" t="n">
        <v>45977.45586805556</v>
      </c>
      <c r="C686" s="1" t="n">
        <v>45996</v>
      </c>
      <c r="D686" t="inlineStr">
        <is>
          <t>DALARNAS LÄN</t>
        </is>
      </c>
      <c r="E686" t="inlineStr">
        <is>
          <t>MORA</t>
        </is>
      </c>
      <c r="G686" t="n">
        <v>2.2</v>
      </c>
      <c r="H686" t="n">
        <v>0</v>
      </c>
      <c r="I686" t="n">
        <v>0</v>
      </c>
      <c r="J686" t="n">
        <v>0</v>
      </c>
      <c r="K686" t="n">
        <v>0</v>
      </c>
      <c r="L686" t="n">
        <v>0</v>
      </c>
      <c r="M686" t="n">
        <v>0</v>
      </c>
      <c r="N686" t="n">
        <v>0</v>
      </c>
      <c r="O686" t="n">
        <v>0</v>
      </c>
      <c r="P686" t="n">
        <v>0</v>
      </c>
      <c r="Q686" t="n">
        <v>0</v>
      </c>
      <c r="R686" s="2" t="inlineStr"/>
    </row>
    <row r="687" ht="15" customHeight="1">
      <c r="A687" t="inlineStr">
        <is>
          <t>A 57101-2025</t>
        </is>
      </c>
      <c r="B687" s="1" t="n">
        <v>45979.44006944444</v>
      </c>
      <c r="C687" s="1" t="n">
        <v>45996</v>
      </c>
      <c r="D687" t="inlineStr">
        <is>
          <t>DALARNAS LÄN</t>
        </is>
      </c>
      <c r="E687" t="inlineStr">
        <is>
          <t>MORA</t>
        </is>
      </c>
      <c r="G687" t="n">
        <v>7.5</v>
      </c>
      <c r="H687" t="n">
        <v>0</v>
      </c>
      <c r="I687" t="n">
        <v>0</v>
      </c>
      <c r="J687" t="n">
        <v>0</v>
      </c>
      <c r="K687" t="n">
        <v>0</v>
      </c>
      <c r="L687" t="n">
        <v>0</v>
      </c>
      <c r="M687" t="n">
        <v>0</v>
      </c>
      <c r="N687" t="n">
        <v>0</v>
      </c>
      <c r="O687" t="n">
        <v>0</v>
      </c>
      <c r="P687" t="n">
        <v>0</v>
      </c>
      <c r="Q687" t="n">
        <v>0</v>
      </c>
      <c r="R687" s="2" t="inlineStr"/>
    </row>
    <row r="688" ht="15" customHeight="1">
      <c r="A688" t="inlineStr">
        <is>
          <t>A 56940-2025</t>
        </is>
      </c>
      <c r="B688" s="1" t="n">
        <v>45978.62241898148</v>
      </c>
      <c r="C688" s="1" t="n">
        <v>45996</v>
      </c>
      <c r="D688" t="inlineStr">
        <is>
          <t>DALARNAS LÄN</t>
        </is>
      </c>
      <c r="E688" t="inlineStr">
        <is>
          <t>MORA</t>
        </is>
      </c>
      <c r="G688" t="n">
        <v>18.1</v>
      </c>
      <c r="H688" t="n">
        <v>0</v>
      </c>
      <c r="I688" t="n">
        <v>0</v>
      </c>
      <c r="J688" t="n">
        <v>0</v>
      </c>
      <c r="K688" t="n">
        <v>0</v>
      </c>
      <c r="L688" t="n">
        <v>0</v>
      </c>
      <c r="M688" t="n">
        <v>0</v>
      </c>
      <c r="N688" t="n">
        <v>0</v>
      </c>
      <c r="O688" t="n">
        <v>0</v>
      </c>
      <c r="P688" t="n">
        <v>0</v>
      </c>
      <c r="Q688" t="n">
        <v>0</v>
      </c>
      <c r="R688" s="2" t="inlineStr"/>
    </row>
    <row r="689" ht="15" customHeight="1">
      <c r="A689" t="inlineStr">
        <is>
          <t>A 57097-2025</t>
        </is>
      </c>
      <c r="B689" s="1" t="n">
        <v>45979.43388888889</v>
      </c>
      <c r="C689" s="1" t="n">
        <v>45996</v>
      </c>
      <c r="D689" t="inlineStr">
        <is>
          <t>DALARNAS LÄN</t>
        </is>
      </c>
      <c r="E689" t="inlineStr">
        <is>
          <t>MORA</t>
        </is>
      </c>
      <c r="G689" t="n">
        <v>7.5</v>
      </c>
      <c r="H689" t="n">
        <v>0</v>
      </c>
      <c r="I689" t="n">
        <v>0</v>
      </c>
      <c r="J689" t="n">
        <v>0</v>
      </c>
      <c r="K689" t="n">
        <v>0</v>
      </c>
      <c r="L689" t="n">
        <v>0</v>
      </c>
      <c r="M689" t="n">
        <v>0</v>
      </c>
      <c r="N689" t="n">
        <v>0</v>
      </c>
      <c r="O689" t="n">
        <v>0</v>
      </c>
      <c r="P689" t="n">
        <v>0</v>
      </c>
      <c r="Q689" t="n">
        <v>0</v>
      </c>
      <c r="R689" s="2" t="inlineStr"/>
    </row>
    <row r="690" ht="15" customHeight="1">
      <c r="A690" t="inlineStr">
        <is>
          <t>A 47716-2025</t>
        </is>
      </c>
      <c r="B690" s="1" t="n">
        <v>45931</v>
      </c>
      <c r="C690" s="1" t="n">
        <v>45996</v>
      </c>
      <c r="D690" t="inlineStr">
        <is>
          <t>DALARNAS LÄN</t>
        </is>
      </c>
      <c r="E690" t="inlineStr">
        <is>
          <t>MORA</t>
        </is>
      </c>
      <c r="G690" t="n">
        <v>8.9</v>
      </c>
      <c r="H690" t="n">
        <v>0</v>
      </c>
      <c r="I690" t="n">
        <v>0</v>
      </c>
      <c r="J690" t="n">
        <v>0</v>
      </c>
      <c r="K690" t="n">
        <v>0</v>
      </c>
      <c r="L690" t="n">
        <v>0</v>
      </c>
      <c r="M690" t="n">
        <v>0</v>
      </c>
      <c r="N690" t="n">
        <v>0</v>
      </c>
      <c r="O690" t="n">
        <v>0</v>
      </c>
      <c r="P690" t="n">
        <v>0</v>
      </c>
      <c r="Q690" t="n">
        <v>0</v>
      </c>
      <c r="R690" s="2" t="inlineStr"/>
    </row>
    <row r="691" ht="15" customHeight="1">
      <c r="A691" t="inlineStr">
        <is>
          <t>A 48927-2025</t>
        </is>
      </c>
      <c r="B691" s="1" t="n">
        <v>45931</v>
      </c>
      <c r="C691" s="1" t="n">
        <v>45996</v>
      </c>
      <c r="D691" t="inlineStr">
        <is>
          <t>DALARNAS LÄN</t>
        </is>
      </c>
      <c r="E691" t="inlineStr">
        <is>
          <t>MORA</t>
        </is>
      </c>
      <c r="G691" t="n">
        <v>2.1</v>
      </c>
      <c r="H691" t="n">
        <v>0</v>
      </c>
      <c r="I691" t="n">
        <v>0</v>
      </c>
      <c r="J691" t="n">
        <v>0</v>
      </c>
      <c r="K691" t="n">
        <v>0</v>
      </c>
      <c r="L691" t="n">
        <v>0</v>
      </c>
      <c r="M691" t="n">
        <v>0</v>
      </c>
      <c r="N691" t="n">
        <v>0</v>
      </c>
      <c r="O691" t="n">
        <v>0</v>
      </c>
      <c r="P691" t="n">
        <v>0</v>
      </c>
      <c r="Q691" t="n">
        <v>0</v>
      </c>
      <c r="R691" s="2" t="inlineStr"/>
    </row>
    <row r="692" ht="15" customHeight="1">
      <c r="A692" t="inlineStr">
        <is>
          <t>A 48926-2025</t>
        </is>
      </c>
      <c r="B692" s="1" t="n">
        <v>45937.50666666667</v>
      </c>
      <c r="C692" s="1" t="n">
        <v>45996</v>
      </c>
      <c r="D692" t="inlineStr">
        <is>
          <t>DALARNAS LÄN</t>
        </is>
      </c>
      <c r="E692" t="inlineStr">
        <is>
          <t>MORA</t>
        </is>
      </c>
      <c r="G692" t="n">
        <v>0.6</v>
      </c>
      <c r="H692" t="n">
        <v>0</v>
      </c>
      <c r="I692" t="n">
        <v>0</v>
      </c>
      <c r="J692" t="n">
        <v>0</v>
      </c>
      <c r="K692" t="n">
        <v>0</v>
      </c>
      <c r="L692" t="n">
        <v>0</v>
      </c>
      <c r="M692" t="n">
        <v>0</v>
      </c>
      <c r="N692" t="n">
        <v>0</v>
      </c>
      <c r="O692" t="n">
        <v>0</v>
      </c>
      <c r="P692" t="n">
        <v>0</v>
      </c>
      <c r="Q692" t="n">
        <v>0</v>
      </c>
      <c r="R692" s="2" t="inlineStr"/>
    </row>
    <row r="693" ht="15" customHeight="1">
      <c r="A693" t="inlineStr">
        <is>
          <t>A 48929-2025</t>
        </is>
      </c>
      <c r="B693" s="1" t="n">
        <v>45937.51315972222</v>
      </c>
      <c r="C693" s="1" t="n">
        <v>45996</v>
      </c>
      <c r="D693" t="inlineStr">
        <is>
          <t>DALARNAS LÄN</t>
        </is>
      </c>
      <c r="E693" t="inlineStr">
        <is>
          <t>MORA</t>
        </is>
      </c>
      <c r="G693" t="n">
        <v>0.5</v>
      </c>
      <c r="H693" t="n">
        <v>0</v>
      </c>
      <c r="I693" t="n">
        <v>0</v>
      </c>
      <c r="J693" t="n">
        <v>0</v>
      </c>
      <c r="K693" t="n">
        <v>0</v>
      </c>
      <c r="L693" t="n">
        <v>0</v>
      </c>
      <c r="M693" t="n">
        <v>0</v>
      </c>
      <c r="N693" t="n">
        <v>0</v>
      </c>
      <c r="O693" t="n">
        <v>0</v>
      </c>
      <c r="P693" t="n">
        <v>0</v>
      </c>
      <c r="Q693" t="n">
        <v>0</v>
      </c>
      <c r="R693" s="2" t="inlineStr"/>
    </row>
    <row r="694" ht="15" customHeight="1">
      <c r="A694" t="inlineStr">
        <is>
          <t>A 49404-2025</t>
        </is>
      </c>
      <c r="B694" s="1" t="n">
        <v>45938.67662037037</v>
      </c>
      <c r="C694" s="1" t="n">
        <v>45996</v>
      </c>
      <c r="D694" t="inlineStr">
        <is>
          <t>DALARNAS LÄN</t>
        </is>
      </c>
      <c r="E694" t="inlineStr">
        <is>
          <t>MORA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57855-2025</t>
        </is>
      </c>
      <c r="B695" s="1" t="n">
        <v>45981.63909722222</v>
      </c>
      <c r="C695" s="1" t="n">
        <v>45996</v>
      </c>
      <c r="D695" t="inlineStr">
        <is>
          <t>DALARNAS LÄN</t>
        </is>
      </c>
      <c r="E695" t="inlineStr">
        <is>
          <t>MORA</t>
        </is>
      </c>
      <c r="G695" t="n">
        <v>9.9</v>
      </c>
      <c r="H695" t="n">
        <v>0</v>
      </c>
      <c r="I695" t="n">
        <v>0</v>
      </c>
      <c r="J695" t="n">
        <v>0</v>
      </c>
      <c r="K695" t="n">
        <v>0</v>
      </c>
      <c r="L695" t="n">
        <v>0</v>
      </c>
      <c r="M695" t="n">
        <v>0</v>
      </c>
      <c r="N695" t="n">
        <v>0</v>
      </c>
      <c r="O695" t="n">
        <v>0</v>
      </c>
      <c r="P695" t="n">
        <v>0</v>
      </c>
      <c r="Q695" t="n">
        <v>0</v>
      </c>
      <c r="R695" s="2" t="inlineStr"/>
    </row>
    <row r="696" ht="15" customHeight="1">
      <c r="A696" t="inlineStr">
        <is>
          <t>A 49401-2025</t>
        </is>
      </c>
      <c r="B696" s="1" t="n">
        <v>45938.66932870371</v>
      </c>
      <c r="C696" s="1" t="n">
        <v>45996</v>
      </c>
      <c r="D696" t="inlineStr">
        <is>
          <t>DALARNAS LÄN</t>
        </is>
      </c>
      <c r="E696" t="inlineStr">
        <is>
          <t>MORA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57843-2025</t>
        </is>
      </c>
      <c r="B697" s="1" t="n">
        <v>45981.62792824074</v>
      </c>
      <c r="C697" s="1" t="n">
        <v>45996</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57453-2025</t>
        </is>
      </c>
      <c r="B698" s="1" t="n">
        <v>45980.5122337963</v>
      </c>
      <c r="C698" s="1" t="n">
        <v>45996</v>
      </c>
      <c r="D698" t="inlineStr">
        <is>
          <t>DALARNAS LÄN</t>
        </is>
      </c>
      <c r="E698" t="inlineStr">
        <is>
          <t>MORA</t>
        </is>
      </c>
      <c r="F698" t="inlineStr">
        <is>
          <t>Allmännings- och besparingsskogar</t>
        </is>
      </c>
      <c r="G698" t="n">
        <v>2.9</v>
      </c>
      <c r="H698" t="n">
        <v>0</v>
      </c>
      <c r="I698" t="n">
        <v>0</v>
      </c>
      <c r="J698" t="n">
        <v>0</v>
      </c>
      <c r="K698" t="n">
        <v>0</v>
      </c>
      <c r="L698" t="n">
        <v>0</v>
      </c>
      <c r="M698" t="n">
        <v>0</v>
      </c>
      <c r="N698" t="n">
        <v>0</v>
      </c>
      <c r="O698" t="n">
        <v>0</v>
      </c>
      <c r="P698" t="n">
        <v>0</v>
      </c>
      <c r="Q698" t="n">
        <v>0</v>
      </c>
      <c r="R698" s="2" t="inlineStr"/>
    </row>
    <row r="699" ht="15" customHeight="1">
      <c r="A699" t="inlineStr">
        <is>
          <t>A 49574-2025</t>
        </is>
      </c>
      <c r="B699" s="1" t="n">
        <v>45939.49045138889</v>
      </c>
      <c r="C699" s="1" t="n">
        <v>45996</v>
      </c>
      <c r="D699" t="inlineStr">
        <is>
          <t>DALARNAS LÄN</t>
        </is>
      </c>
      <c r="E699" t="inlineStr">
        <is>
          <t>MORA</t>
        </is>
      </c>
      <c r="G699" t="n">
        <v>6.3</v>
      </c>
      <c r="H699" t="n">
        <v>0</v>
      </c>
      <c r="I699" t="n">
        <v>0</v>
      </c>
      <c r="J699" t="n">
        <v>0</v>
      </c>
      <c r="K699" t="n">
        <v>0</v>
      </c>
      <c r="L699" t="n">
        <v>0</v>
      </c>
      <c r="M699" t="n">
        <v>0</v>
      </c>
      <c r="N699" t="n">
        <v>0</v>
      </c>
      <c r="O699" t="n">
        <v>0</v>
      </c>
      <c r="P699" t="n">
        <v>0</v>
      </c>
      <c r="Q699" t="n">
        <v>0</v>
      </c>
      <c r="R699" s="2" t="inlineStr"/>
    </row>
    <row r="700" ht="15" customHeight="1">
      <c r="A700" t="inlineStr">
        <is>
          <t>A 57647-2025</t>
        </is>
      </c>
      <c r="B700" s="1" t="n">
        <v>45981.37621527778</v>
      </c>
      <c r="C700" s="1" t="n">
        <v>45996</v>
      </c>
      <c r="D700" t="inlineStr">
        <is>
          <t>DALARNAS LÄN</t>
        </is>
      </c>
      <c r="E700" t="inlineStr">
        <is>
          <t>MORA</t>
        </is>
      </c>
      <c r="G700" t="n">
        <v>3.9</v>
      </c>
      <c r="H700" t="n">
        <v>0</v>
      </c>
      <c r="I700" t="n">
        <v>0</v>
      </c>
      <c r="J700" t="n">
        <v>0</v>
      </c>
      <c r="K700" t="n">
        <v>0</v>
      </c>
      <c r="L700" t="n">
        <v>0</v>
      </c>
      <c r="M700" t="n">
        <v>0</v>
      </c>
      <c r="N700" t="n">
        <v>0</v>
      </c>
      <c r="O700" t="n">
        <v>0</v>
      </c>
      <c r="P700" t="n">
        <v>0</v>
      </c>
      <c r="Q700" t="n">
        <v>0</v>
      </c>
      <c r="R700" s="2" t="inlineStr"/>
    </row>
    <row r="701" ht="15" customHeight="1">
      <c r="A701" t="inlineStr">
        <is>
          <t>A 57659-2025</t>
        </is>
      </c>
      <c r="B701" s="1" t="n">
        <v>45981.41228009259</v>
      </c>
      <c r="C701" s="1" t="n">
        <v>45996</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49828-2025</t>
        </is>
      </c>
      <c r="B702" s="1" t="n">
        <v>45940.44993055556</v>
      </c>
      <c r="C702" s="1" t="n">
        <v>45996</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58473-2025</t>
        </is>
      </c>
      <c r="B703" s="1" t="n">
        <v>45985.63859953704</v>
      </c>
      <c r="C703" s="1" t="n">
        <v>45996</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58169-2025</t>
        </is>
      </c>
      <c r="B704" s="1" t="n">
        <v>45982.72690972222</v>
      </c>
      <c r="C704" s="1" t="n">
        <v>45996</v>
      </c>
      <c r="D704" t="inlineStr">
        <is>
          <t>DALARNAS LÄN</t>
        </is>
      </c>
      <c r="E704" t="inlineStr">
        <is>
          <t>MORA</t>
        </is>
      </c>
      <c r="F704" t="inlineStr">
        <is>
          <t>Bergvik skog väst AB</t>
        </is>
      </c>
      <c r="G704" t="n">
        <v>7.7</v>
      </c>
      <c r="H704" t="n">
        <v>0</v>
      </c>
      <c r="I704" t="n">
        <v>0</v>
      </c>
      <c r="J704" t="n">
        <v>0</v>
      </c>
      <c r="K704" t="n">
        <v>0</v>
      </c>
      <c r="L704" t="n">
        <v>0</v>
      </c>
      <c r="M704" t="n">
        <v>0</v>
      </c>
      <c r="N704" t="n">
        <v>0</v>
      </c>
      <c r="O704" t="n">
        <v>0</v>
      </c>
      <c r="P704" t="n">
        <v>0</v>
      </c>
      <c r="Q704" t="n">
        <v>0</v>
      </c>
      <c r="R704" s="2" t="inlineStr"/>
    </row>
    <row r="705" ht="15" customHeight="1">
      <c r="A705" t="inlineStr">
        <is>
          <t>A 58001-2025</t>
        </is>
      </c>
      <c r="B705" s="1" t="n">
        <v>45982.43615740741</v>
      </c>
      <c r="C705" s="1" t="n">
        <v>45996</v>
      </c>
      <c r="D705" t="inlineStr">
        <is>
          <t>DALARNAS LÄN</t>
        </is>
      </c>
      <c r="E705" t="inlineStr">
        <is>
          <t>MORA</t>
        </is>
      </c>
      <c r="G705" t="n">
        <v>3.2</v>
      </c>
      <c r="H705" t="n">
        <v>0</v>
      </c>
      <c r="I705" t="n">
        <v>0</v>
      </c>
      <c r="J705" t="n">
        <v>0</v>
      </c>
      <c r="K705" t="n">
        <v>0</v>
      </c>
      <c r="L705" t="n">
        <v>0</v>
      </c>
      <c r="M705" t="n">
        <v>0</v>
      </c>
      <c r="N705" t="n">
        <v>0</v>
      </c>
      <c r="O705" t="n">
        <v>0</v>
      </c>
      <c r="P705" t="n">
        <v>0</v>
      </c>
      <c r="Q705" t="n">
        <v>0</v>
      </c>
      <c r="R705" s="2" t="inlineStr"/>
    </row>
    <row r="706" ht="15" customHeight="1">
      <c r="A706" t="inlineStr">
        <is>
          <t>A 57976-2025</t>
        </is>
      </c>
      <c r="B706" s="1" t="n">
        <v>45982.39435185185</v>
      </c>
      <c r="C706" s="1" t="n">
        <v>45996</v>
      </c>
      <c r="D706" t="inlineStr">
        <is>
          <t>DALARNAS LÄN</t>
        </is>
      </c>
      <c r="E706" t="inlineStr">
        <is>
          <t>MORA</t>
        </is>
      </c>
      <c r="G706" t="n">
        <v>7.4</v>
      </c>
      <c r="H706" t="n">
        <v>0</v>
      </c>
      <c r="I706" t="n">
        <v>0</v>
      </c>
      <c r="J706" t="n">
        <v>0</v>
      </c>
      <c r="K706" t="n">
        <v>0</v>
      </c>
      <c r="L706" t="n">
        <v>0</v>
      </c>
      <c r="M706" t="n">
        <v>0</v>
      </c>
      <c r="N706" t="n">
        <v>0</v>
      </c>
      <c r="O706" t="n">
        <v>0</v>
      </c>
      <c r="P706" t="n">
        <v>0</v>
      </c>
      <c r="Q706" t="n">
        <v>0</v>
      </c>
      <c r="R706" s="2" t="inlineStr"/>
    </row>
    <row r="707" ht="15" customHeight="1">
      <c r="A707" t="inlineStr">
        <is>
          <t>A 58478-2025</t>
        </is>
      </c>
      <c r="B707" s="1" t="n">
        <v>45985.64645833334</v>
      </c>
      <c r="C707" s="1" t="n">
        <v>45996</v>
      </c>
      <c r="D707" t="inlineStr">
        <is>
          <t>DALARNAS LÄN</t>
        </is>
      </c>
      <c r="E707" t="inlineStr">
        <is>
          <t>MORA</t>
        </is>
      </c>
      <c r="G707" t="n">
        <v>6</v>
      </c>
      <c r="H707" t="n">
        <v>0</v>
      </c>
      <c r="I707" t="n">
        <v>0</v>
      </c>
      <c r="J707" t="n">
        <v>0</v>
      </c>
      <c r="K707" t="n">
        <v>0</v>
      </c>
      <c r="L707" t="n">
        <v>0</v>
      </c>
      <c r="M707" t="n">
        <v>0</v>
      </c>
      <c r="N707" t="n">
        <v>0</v>
      </c>
      <c r="O707" t="n">
        <v>0</v>
      </c>
      <c r="P707" t="n">
        <v>0</v>
      </c>
      <c r="Q707" t="n">
        <v>0</v>
      </c>
      <c r="R707" s="2" t="inlineStr"/>
    </row>
    <row r="708" ht="15" customHeight="1">
      <c r="A708" t="inlineStr">
        <is>
          <t>A 47686-2025</t>
        </is>
      </c>
      <c r="B708" s="1" t="n">
        <v>45931</v>
      </c>
      <c r="C708" s="1" t="n">
        <v>45996</v>
      </c>
      <c r="D708" t="inlineStr">
        <is>
          <t>DALARNAS LÄN</t>
        </is>
      </c>
      <c r="E708" t="inlineStr">
        <is>
          <t>MORA</t>
        </is>
      </c>
      <c r="G708" t="n">
        <v>1.3</v>
      </c>
      <c r="H708" t="n">
        <v>0</v>
      </c>
      <c r="I708" t="n">
        <v>0</v>
      </c>
      <c r="J708" t="n">
        <v>0</v>
      </c>
      <c r="K708" t="n">
        <v>0</v>
      </c>
      <c r="L708" t="n">
        <v>0</v>
      </c>
      <c r="M708" t="n">
        <v>0</v>
      </c>
      <c r="N708" t="n">
        <v>0</v>
      </c>
      <c r="O708" t="n">
        <v>0</v>
      </c>
      <c r="P708" t="n">
        <v>0</v>
      </c>
      <c r="Q708" t="n">
        <v>0</v>
      </c>
      <c r="R708" s="2" t="inlineStr"/>
    </row>
    <row r="709" ht="15" customHeight="1">
      <c r="A709" t="inlineStr">
        <is>
          <t>A 59094-2025</t>
        </is>
      </c>
      <c r="B709" s="1" t="n">
        <v>45988.45105324074</v>
      </c>
      <c r="C709" s="1" t="n">
        <v>45996</v>
      </c>
      <c r="D709" t="inlineStr">
        <is>
          <t>DALARNAS LÄN</t>
        </is>
      </c>
      <c r="E709" t="inlineStr">
        <is>
          <t>MORA</t>
        </is>
      </c>
      <c r="G709" t="n">
        <v>10</v>
      </c>
      <c r="H709" t="n">
        <v>0</v>
      </c>
      <c r="I709" t="n">
        <v>0</v>
      </c>
      <c r="J709" t="n">
        <v>0</v>
      </c>
      <c r="K709" t="n">
        <v>0</v>
      </c>
      <c r="L709" t="n">
        <v>0</v>
      </c>
      <c r="M709" t="n">
        <v>0</v>
      </c>
      <c r="N709" t="n">
        <v>0</v>
      </c>
      <c r="O709" t="n">
        <v>0</v>
      </c>
      <c r="P709" t="n">
        <v>0</v>
      </c>
      <c r="Q709" t="n">
        <v>0</v>
      </c>
      <c r="R709" s="2" t="inlineStr"/>
    </row>
    <row r="710" ht="15" customHeight="1">
      <c r="A710" t="inlineStr">
        <is>
          <t>A 51771-2025</t>
        </is>
      </c>
      <c r="B710" s="1" t="n">
        <v>45951.64653935185</v>
      </c>
      <c r="C710" s="1" t="n">
        <v>45996</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59768-2025</t>
        </is>
      </c>
      <c r="B711" s="1" t="n">
        <v>45992</v>
      </c>
      <c r="C711" s="1" t="n">
        <v>45996</v>
      </c>
      <c r="D711" t="inlineStr">
        <is>
          <t>DALARNAS LÄN</t>
        </is>
      </c>
      <c r="E711" t="inlineStr">
        <is>
          <t>MORA</t>
        </is>
      </c>
      <c r="G711" t="n">
        <v>4</v>
      </c>
      <c r="H711" t="n">
        <v>0</v>
      </c>
      <c r="I711" t="n">
        <v>0</v>
      </c>
      <c r="J711" t="n">
        <v>0</v>
      </c>
      <c r="K711" t="n">
        <v>0</v>
      </c>
      <c r="L711" t="n">
        <v>0</v>
      </c>
      <c r="M711" t="n">
        <v>0</v>
      </c>
      <c r="N711" t="n">
        <v>0</v>
      </c>
      <c r="O711" t="n">
        <v>0</v>
      </c>
      <c r="P711" t="n">
        <v>0</v>
      </c>
      <c r="Q711" t="n">
        <v>0</v>
      </c>
      <c r="R711" s="2" t="inlineStr"/>
    </row>
    <row r="712" ht="15" customHeight="1">
      <c r="A712" t="inlineStr">
        <is>
          <t>A 59805-2025</t>
        </is>
      </c>
      <c r="B712" s="1" t="n">
        <v>45992.62635416666</v>
      </c>
      <c r="C712" s="1" t="n">
        <v>45996</v>
      </c>
      <c r="D712" t="inlineStr">
        <is>
          <t>DALARNAS LÄN</t>
        </is>
      </c>
      <c r="E712" t="inlineStr">
        <is>
          <t>MORA</t>
        </is>
      </c>
      <c r="G712" t="n">
        <v>4.2</v>
      </c>
      <c r="H712" t="n">
        <v>0</v>
      </c>
      <c r="I712" t="n">
        <v>0</v>
      </c>
      <c r="J712" t="n">
        <v>0</v>
      </c>
      <c r="K712" t="n">
        <v>0</v>
      </c>
      <c r="L712" t="n">
        <v>0</v>
      </c>
      <c r="M712" t="n">
        <v>0</v>
      </c>
      <c r="N712" t="n">
        <v>0</v>
      </c>
      <c r="O712" t="n">
        <v>0</v>
      </c>
      <c r="P712" t="n">
        <v>0</v>
      </c>
      <c r="Q712" t="n">
        <v>0</v>
      </c>
      <c r="R712" s="2" t="inlineStr"/>
    </row>
    <row r="713" ht="15" customHeight="1">
      <c r="A713" t="inlineStr">
        <is>
          <t>A 59669-2025</t>
        </is>
      </c>
      <c r="B713" s="1" t="n">
        <v>45992.45640046296</v>
      </c>
      <c r="C713" s="1" t="n">
        <v>45996</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c r="A714" t="inlineStr">
        <is>
          <t>A 52110-2025</t>
        </is>
      </c>
      <c r="B714" s="1" t="n">
        <v>45952.69306712963</v>
      </c>
      <c r="C714" s="1" t="n">
        <v>45996</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2025-12-05T10:34:31Z</dcterms:created>
  <dcterms:modified xmlns:dcterms="http://purl.org/dc/terms/" xmlns:xsi="http://www.w3.org/2001/XMLSchema-instance" xsi:type="dcterms:W3CDTF">2025-12-05T10:34:32Z</dcterms:modified>
</cp:coreProperties>
</file>