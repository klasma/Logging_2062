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45927</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45927</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45927</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45927</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45927</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45927</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45927</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45927</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45927</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45927</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45927</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45927</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45927</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45927</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5064-2023</t>
        </is>
      </c>
      <c r="B20" s="1" t="n">
        <v>44958.60337962963</v>
      </c>
      <c r="C20" s="1" t="n">
        <v>45927</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35944-2024</t>
        </is>
      </c>
      <c r="B21" s="1" t="n">
        <v>45533.45853009259</v>
      </c>
      <c r="C21" s="1" t="n">
        <v>45927</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29934-2025</t>
        </is>
      </c>
      <c r="B22" s="1" t="n">
        <v>45826.44267361111</v>
      </c>
      <c r="C22" s="1" t="n">
        <v>45927</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34714-2025</t>
        </is>
      </c>
      <c r="B23" s="1" t="n">
        <v>45848.52030092593</v>
      </c>
      <c r="C23" s="1" t="n">
        <v>45927</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21041-2023</t>
        </is>
      </c>
      <c r="B24" s="1" t="n">
        <v>45061.58952546296</v>
      </c>
      <c r="C24" s="1" t="n">
        <v>45927</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40313-2025</t>
        </is>
      </c>
      <c r="B25" s="1" t="n">
        <v>45895.42209490741</v>
      </c>
      <c r="C25" s="1" t="n">
        <v>45927</v>
      </c>
      <c r="D25" t="inlineStr">
        <is>
          <t>DALARNAS LÄN</t>
        </is>
      </c>
      <c r="E25" t="inlineStr">
        <is>
          <t>MORA</t>
        </is>
      </c>
      <c r="G25" t="n">
        <v>16</v>
      </c>
      <c r="H25" t="n">
        <v>3</v>
      </c>
      <c r="I25" t="n">
        <v>3</v>
      </c>
      <c r="J25" t="n">
        <v>5</v>
      </c>
      <c r="K25" t="n">
        <v>0</v>
      </c>
      <c r="L25" t="n">
        <v>0</v>
      </c>
      <c r="M25" t="n">
        <v>0</v>
      </c>
      <c r="N25" t="n">
        <v>0</v>
      </c>
      <c r="O25" t="n">
        <v>5</v>
      </c>
      <c r="P25" t="n">
        <v>0</v>
      </c>
      <c r="Q25" t="n">
        <v>9</v>
      </c>
      <c r="R25" s="2" t="inlineStr">
        <is>
          <t>Garnlav
Mörk kolflarnlav
Spillkråka
Tallticka
Tretåig hackspett
Bollvitmossa
Dropptaggsvamp
Mindre märgborre
Tjäder</t>
        </is>
      </c>
      <c r="S25">
        <f>HYPERLINK("https://klasma.github.io/Logging_2062/artfynd/A 40313-2025 artfynd.xlsx", "A 40313-2025")</f>
        <v/>
      </c>
      <c r="T25">
        <f>HYPERLINK("https://klasma.github.io/Logging_2062/kartor/A 40313-2025 karta.png", "A 40313-2025")</f>
        <v/>
      </c>
      <c r="V25">
        <f>HYPERLINK("https://klasma.github.io/Logging_2062/klagomål/A 40313-2025 FSC-klagomål.docx", "A 40313-2025")</f>
        <v/>
      </c>
      <c r="W25">
        <f>HYPERLINK("https://klasma.github.io/Logging_2062/klagomålsmail/A 40313-2025 FSC-klagomål mail.docx", "A 40313-2025")</f>
        <v/>
      </c>
      <c r="X25">
        <f>HYPERLINK("https://klasma.github.io/Logging_2062/tillsyn/A 40313-2025 tillsynsbegäran.docx", "A 40313-2025")</f>
        <v/>
      </c>
      <c r="Y25">
        <f>HYPERLINK("https://klasma.github.io/Logging_2062/tillsynsmail/A 40313-2025 tillsynsbegäran mail.docx", "A 40313-2025")</f>
        <v/>
      </c>
      <c r="Z25">
        <f>HYPERLINK("https://klasma.github.io/Logging_2062/fåglar/A 40313-2025 prioriterade fågelarter.docx", "A 40313-2025")</f>
        <v/>
      </c>
    </row>
    <row r="26" ht="15" customHeight="1">
      <c r="A26" t="inlineStr">
        <is>
          <t>A 35486-2025</t>
        </is>
      </c>
      <c r="B26" s="1" t="n">
        <v>45855.74986111111</v>
      </c>
      <c r="C26" s="1" t="n">
        <v>45927</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61943-2024</t>
        </is>
      </c>
      <c r="B27" s="1" t="n">
        <v>45653.49774305556</v>
      </c>
      <c r="C27" s="1" t="n">
        <v>45927</v>
      </c>
      <c r="D27" t="inlineStr">
        <is>
          <t>DALARNAS LÄN</t>
        </is>
      </c>
      <c r="E27" t="inlineStr">
        <is>
          <t>MORA</t>
        </is>
      </c>
      <c r="G27" t="n">
        <v>4.3</v>
      </c>
      <c r="H27" t="n">
        <v>2</v>
      </c>
      <c r="I27" t="n">
        <v>1</v>
      </c>
      <c r="J27" t="n">
        <v>7</v>
      </c>
      <c r="K27" t="n">
        <v>0</v>
      </c>
      <c r="L27" t="n">
        <v>0</v>
      </c>
      <c r="M27" t="n">
        <v>0</v>
      </c>
      <c r="N27" t="n">
        <v>0</v>
      </c>
      <c r="O27" t="n">
        <v>7</v>
      </c>
      <c r="P27" t="n">
        <v>0</v>
      </c>
      <c r="Q27" t="n">
        <v>9</v>
      </c>
      <c r="R27" s="2" t="inlineStr">
        <is>
          <t>Dvärgbägarlav
Garnlav
Mörk kolflarnlav
Spillkråka
Vedskivlav
Violettgrå tagellav
Vitgrynig nållav
Mindre märgborre
Tjäder</t>
        </is>
      </c>
      <c r="S27">
        <f>HYPERLINK("https://klasma.github.io/Logging_2062/artfynd/A 61943-2024 artfynd.xlsx", "A 61943-2024")</f>
        <v/>
      </c>
      <c r="T27">
        <f>HYPERLINK("https://klasma.github.io/Logging_2062/kartor/A 61943-2024 karta.png", "A 61943-2024")</f>
        <v/>
      </c>
      <c r="V27">
        <f>HYPERLINK("https://klasma.github.io/Logging_2062/klagomål/A 61943-2024 FSC-klagomål.docx", "A 61943-2024")</f>
        <v/>
      </c>
      <c r="W27">
        <f>HYPERLINK("https://klasma.github.io/Logging_2062/klagomålsmail/A 61943-2024 FSC-klagomål mail.docx", "A 61943-2024")</f>
        <v/>
      </c>
      <c r="X27">
        <f>HYPERLINK("https://klasma.github.io/Logging_2062/tillsyn/A 61943-2024 tillsynsbegäran.docx", "A 61943-2024")</f>
        <v/>
      </c>
      <c r="Y27">
        <f>HYPERLINK("https://klasma.github.io/Logging_2062/tillsynsmail/A 61943-2024 tillsynsbegäran mail.docx", "A 61943-2024")</f>
        <v/>
      </c>
      <c r="Z27">
        <f>HYPERLINK("https://klasma.github.io/Logging_2062/fåglar/A 61943-2024 prioriterade fågelarter.docx", "A 61943-2024")</f>
        <v/>
      </c>
    </row>
    <row r="28" ht="15" customHeight="1">
      <c r="A28" t="inlineStr">
        <is>
          <t>A 59983-2024</t>
        </is>
      </c>
      <c r="B28" s="1" t="n">
        <v>45642</v>
      </c>
      <c r="C28" s="1" t="n">
        <v>45927</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39480-2025</t>
        </is>
      </c>
      <c r="B29" s="1" t="n">
        <v>45890.35232638889</v>
      </c>
      <c r="C29" s="1" t="n">
        <v>45927</v>
      </c>
      <c r="D29" t="inlineStr">
        <is>
          <t>DALARNAS LÄN</t>
        </is>
      </c>
      <c r="E29" t="inlineStr">
        <is>
          <t>MORA</t>
        </is>
      </c>
      <c r="G29" t="n">
        <v>1.3</v>
      </c>
      <c r="H29" t="n">
        <v>3</v>
      </c>
      <c r="I29" t="n">
        <v>1</v>
      </c>
      <c r="J29" t="n">
        <v>6</v>
      </c>
      <c r="K29" t="n">
        <v>0</v>
      </c>
      <c r="L29" t="n">
        <v>0</v>
      </c>
      <c r="M29" t="n">
        <v>0</v>
      </c>
      <c r="N29" t="n">
        <v>0</v>
      </c>
      <c r="O29" t="n">
        <v>6</v>
      </c>
      <c r="P29" t="n">
        <v>0</v>
      </c>
      <c r="Q29" t="n">
        <v>8</v>
      </c>
      <c r="R29" s="2" t="inlineStr">
        <is>
          <t>Garnlav
Rödvingetrast
Spillkråka
Tallticka
Vedflamlav
Vedskivlav
Mindre märgborre
Järnsparv</t>
        </is>
      </c>
      <c r="S29">
        <f>HYPERLINK("https://klasma.github.io/Logging_2062/artfynd/A 39480-2025 artfynd.xlsx", "A 39480-2025")</f>
        <v/>
      </c>
      <c r="T29">
        <f>HYPERLINK("https://klasma.github.io/Logging_2062/kartor/A 39480-2025 karta.png", "A 39480-2025")</f>
        <v/>
      </c>
      <c r="V29">
        <f>HYPERLINK("https://klasma.github.io/Logging_2062/klagomål/A 39480-2025 FSC-klagomål.docx", "A 39480-2025")</f>
        <v/>
      </c>
      <c r="W29">
        <f>HYPERLINK("https://klasma.github.io/Logging_2062/klagomålsmail/A 39480-2025 FSC-klagomål mail.docx", "A 39480-2025")</f>
        <v/>
      </c>
      <c r="X29">
        <f>HYPERLINK("https://klasma.github.io/Logging_2062/tillsyn/A 39480-2025 tillsynsbegäran.docx", "A 39480-2025")</f>
        <v/>
      </c>
      <c r="Y29">
        <f>HYPERLINK("https://klasma.github.io/Logging_2062/tillsynsmail/A 39480-2025 tillsynsbegäran mail.docx", "A 39480-2025")</f>
        <v/>
      </c>
      <c r="Z29">
        <f>HYPERLINK("https://klasma.github.io/Logging_2062/fåglar/A 39480-2025 prioriterade fågelarter.docx", "A 39480-2025")</f>
        <v/>
      </c>
    </row>
    <row r="30" ht="15" customHeight="1">
      <c r="A30" t="inlineStr">
        <is>
          <t>A 30904-2025</t>
        </is>
      </c>
      <c r="B30" s="1" t="n">
        <v>45832.36327546297</v>
      </c>
      <c r="C30" s="1" t="n">
        <v>45927</v>
      </c>
      <c r="D30" t="inlineStr">
        <is>
          <t>DALARNAS LÄN</t>
        </is>
      </c>
      <c r="E30" t="inlineStr">
        <is>
          <t>MORA</t>
        </is>
      </c>
      <c r="G30" t="n">
        <v>6.6</v>
      </c>
      <c r="H30" t="n">
        <v>3</v>
      </c>
      <c r="I30" t="n">
        <v>1</v>
      </c>
      <c r="J30" t="n">
        <v>6</v>
      </c>
      <c r="K30" t="n">
        <v>0</v>
      </c>
      <c r="L30" t="n">
        <v>0</v>
      </c>
      <c r="M30" t="n">
        <v>0</v>
      </c>
      <c r="N30" t="n">
        <v>0</v>
      </c>
      <c r="O30" t="n">
        <v>6</v>
      </c>
      <c r="P30" t="n">
        <v>0</v>
      </c>
      <c r="Q30" t="n">
        <v>8</v>
      </c>
      <c r="R30" s="2" t="inlineStr">
        <is>
          <t>Garnlav
Spillkråka
Tallticka
Talltita
Vedflamlav
Vedskivlav
Mindre märgborre
Kungsfågel</t>
        </is>
      </c>
      <c r="S30">
        <f>HYPERLINK("https://klasma.github.io/Logging_2062/artfynd/A 30904-2025 artfynd.xlsx", "A 30904-2025")</f>
        <v/>
      </c>
      <c r="T30">
        <f>HYPERLINK("https://klasma.github.io/Logging_2062/kartor/A 30904-2025 karta.png", "A 30904-2025")</f>
        <v/>
      </c>
      <c r="V30">
        <f>HYPERLINK("https://klasma.github.io/Logging_2062/klagomål/A 30904-2025 FSC-klagomål.docx", "A 30904-2025")</f>
        <v/>
      </c>
      <c r="W30">
        <f>HYPERLINK("https://klasma.github.io/Logging_2062/klagomålsmail/A 30904-2025 FSC-klagomål mail.docx", "A 30904-2025")</f>
        <v/>
      </c>
      <c r="X30">
        <f>HYPERLINK("https://klasma.github.io/Logging_2062/tillsyn/A 30904-2025 tillsynsbegäran.docx", "A 30904-2025")</f>
        <v/>
      </c>
      <c r="Y30">
        <f>HYPERLINK("https://klasma.github.io/Logging_2062/tillsynsmail/A 30904-2025 tillsynsbegäran mail.docx", "A 30904-2025")</f>
        <v/>
      </c>
      <c r="Z30">
        <f>HYPERLINK("https://klasma.github.io/Logging_2062/fåglar/A 30904-2025 prioriterade fågelarter.docx", "A 30904-2025")</f>
        <v/>
      </c>
    </row>
    <row r="31" ht="15" customHeight="1">
      <c r="A31" t="inlineStr">
        <is>
          <t>A 54028-2020</t>
        </is>
      </c>
      <c r="B31" s="1" t="n">
        <v>44125</v>
      </c>
      <c r="C31" s="1" t="n">
        <v>45927</v>
      </c>
      <c r="D31" t="inlineStr">
        <is>
          <t>DALARNAS LÄN</t>
        </is>
      </c>
      <c r="E31" t="inlineStr">
        <is>
          <t>MORA</t>
        </is>
      </c>
      <c r="G31" t="n">
        <v>10.9</v>
      </c>
      <c r="H31" t="n">
        <v>1</v>
      </c>
      <c r="I31" t="n">
        <v>1</v>
      </c>
      <c r="J31" t="n">
        <v>5</v>
      </c>
      <c r="K31" t="n">
        <v>1</v>
      </c>
      <c r="L31" t="n">
        <v>0</v>
      </c>
      <c r="M31" t="n">
        <v>0</v>
      </c>
      <c r="N31" t="n">
        <v>0</v>
      </c>
      <c r="O31" t="n">
        <v>6</v>
      </c>
      <c r="P31" t="n">
        <v>1</v>
      </c>
      <c r="Q31" t="n">
        <v>7</v>
      </c>
      <c r="R31" s="2" t="inlineStr">
        <is>
          <t>Gräddporing
Kolflarnlav
Kortskaftad ärgspik
Nordtagging
Tretåig hackspett
Vedskivlav
Mindre märgborre</t>
        </is>
      </c>
      <c r="S31">
        <f>HYPERLINK("https://klasma.github.io/Logging_2062/artfynd/A 54028-2020 artfynd.xlsx", "A 54028-2020")</f>
        <v/>
      </c>
      <c r="T31">
        <f>HYPERLINK("https://klasma.github.io/Logging_2062/kartor/A 54028-2020 karta.png", "A 54028-2020")</f>
        <v/>
      </c>
      <c r="V31">
        <f>HYPERLINK("https://klasma.github.io/Logging_2062/klagomål/A 54028-2020 FSC-klagomål.docx", "A 54028-2020")</f>
        <v/>
      </c>
      <c r="W31">
        <f>HYPERLINK("https://klasma.github.io/Logging_2062/klagomålsmail/A 54028-2020 FSC-klagomål mail.docx", "A 54028-2020")</f>
        <v/>
      </c>
      <c r="X31">
        <f>HYPERLINK("https://klasma.github.io/Logging_2062/tillsyn/A 54028-2020 tillsynsbegäran.docx", "A 54028-2020")</f>
        <v/>
      </c>
      <c r="Y31">
        <f>HYPERLINK("https://klasma.github.io/Logging_2062/tillsynsmail/A 54028-2020 tillsynsbegäran mail.docx", "A 54028-2020")</f>
        <v/>
      </c>
      <c r="Z31">
        <f>HYPERLINK("https://klasma.github.io/Logging_2062/fåglar/A 54028-2020 prioriterade fågelarter.docx", "A 54028-2020")</f>
        <v/>
      </c>
    </row>
    <row r="32" ht="15" customHeight="1">
      <c r="A32" t="inlineStr">
        <is>
          <t>A 29520-2025</t>
        </is>
      </c>
      <c r="B32" s="1" t="n">
        <v>45825.3303125</v>
      </c>
      <c r="C32" s="1" t="n">
        <v>45927</v>
      </c>
      <c r="D32" t="inlineStr">
        <is>
          <t>DALARNAS LÄN</t>
        </is>
      </c>
      <c r="E32" t="inlineStr">
        <is>
          <t>MORA</t>
        </is>
      </c>
      <c r="G32" t="n">
        <v>20.5</v>
      </c>
      <c r="H32" t="n">
        <v>1</v>
      </c>
      <c r="I32" t="n">
        <v>2</v>
      </c>
      <c r="J32" t="n">
        <v>5</v>
      </c>
      <c r="K32" t="n">
        <v>0</v>
      </c>
      <c r="L32" t="n">
        <v>0</v>
      </c>
      <c r="M32" t="n">
        <v>0</v>
      </c>
      <c r="N32" t="n">
        <v>0</v>
      </c>
      <c r="O32" t="n">
        <v>5</v>
      </c>
      <c r="P32" t="n">
        <v>0</v>
      </c>
      <c r="Q32" t="n">
        <v>7</v>
      </c>
      <c r="R32" s="2" t="inlineStr">
        <is>
          <t>Garnlav
Granticka
Mörk kolflarnlav
Tretåig hackspett
Vedskivlav
Korallblylav
Mindre märgborre</t>
        </is>
      </c>
      <c r="S32">
        <f>HYPERLINK("https://klasma.github.io/Logging_2062/artfynd/A 29520-2025 artfynd.xlsx", "A 29520-2025")</f>
        <v/>
      </c>
      <c r="T32">
        <f>HYPERLINK("https://klasma.github.io/Logging_2062/kartor/A 29520-2025 karta.png", "A 29520-2025")</f>
        <v/>
      </c>
      <c r="V32">
        <f>HYPERLINK("https://klasma.github.io/Logging_2062/klagomål/A 29520-2025 FSC-klagomål.docx", "A 29520-2025")</f>
        <v/>
      </c>
      <c r="W32">
        <f>HYPERLINK("https://klasma.github.io/Logging_2062/klagomålsmail/A 29520-2025 FSC-klagomål mail.docx", "A 29520-2025")</f>
        <v/>
      </c>
      <c r="X32">
        <f>HYPERLINK("https://klasma.github.io/Logging_2062/tillsyn/A 29520-2025 tillsynsbegäran.docx", "A 29520-2025")</f>
        <v/>
      </c>
      <c r="Y32">
        <f>HYPERLINK("https://klasma.github.io/Logging_2062/tillsynsmail/A 29520-2025 tillsynsbegäran mail.docx", "A 29520-2025")</f>
        <v/>
      </c>
      <c r="Z32">
        <f>HYPERLINK("https://klasma.github.io/Logging_2062/fåglar/A 29520-2025 prioriterade fågelarter.docx", "A 29520-2025")</f>
        <v/>
      </c>
    </row>
    <row r="33" ht="15" customHeight="1">
      <c r="A33" t="inlineStr">
        <is>
          <t>A 29380-2025</t>
        </is>
      </c>
      <c r="B33" s="1" t="n">
        <v>45824.59025462963</v>
      </c>
      <c r="C33" s="1" t="n">
        <v>45927</v>
      </c>
      <c r="D33" t="inlineStr">
        <is>
          <t>DALARNAS LÄN</t>
        </is>
      </c>
      <c r="E33" t="inlineStr">
        <is>
          <t>MORA</t>
        </is>
      </c>
      <c r="G33" t="n">
        <v>8</v>
      </c>
      <c r="H33" t="n">
        <v>2</v>
      </c>
      <c r="I33" t="n">
        <v>1</v>
      </c>
      <c r="J33" t="n">
        <v>5</v>
      </c>
      <c r="K33" t="n">
        <v>0</v>
      </c>
      <c r="L33" t="n">
        <v>0</v>
      </c>
      <c r="M33" t="n">
        <v>0</v>
      </c>
      <c r="N33" t="n">
        <v>0</v>
      </c>
      <c r="O33" t="n">
        <v>5</v>
      </c>
      <c r="P33" t="n">
        <v>0</v>
      </c>
      <c r="Q33" t="n">
        <v>7</v>
      </c>
      <c r="R33" s="2" t="inlineStr">
        <is>
          <t>Garnlav
Kolflarnlav
Mörk kolflarnlav
Tallticka
Talltita
Mindre märgborre
Tjäder</t>
        </is>
      </c>
      <c r="S33">
        <f>HYPERLINK("https://klasma.github.io/Logging_2062/artfynd/A 29380-2025 artfynd.xlsx", "A 29380-2025")</f>
        <v/>
      </c>
      <c r="T33">
        <f>HYPERLINK("https://klasma.github.io/Logging_2062/kartor/A 29380-2025 karta.png", "A 29380-2025")</f>
        <v/>
      </c>
      <c r="V33">
        <f>HYPERLINK("https://klasma.github.io/Logging_2062/klagomål/A 29380-2025 FSC-klagomål.docx", "A 29380-2025")</f>
        <v/>
      </c>
      <c r="W33">
        <f>HYPERLINK("https://klasma.github.io/Logging_2062/klagomålsmail/A 29380-2025 FSC-klagomål mail.docx", "A 29380-2025")</f>
        <v/>
      </c>
      <c r="X33">
        <f>HYPERLINK("https://klasma.github.io/Logging_2062/tillsyn/A 29380-2025 tillsynsbegäran.docx", "A 29380-2025")</f>
        <v/>
      </c>
      <c r="Y33">
        <f>HYPERLINK("https://klasma.github.io/Logging_2062/tillsynsmail/A 29380-2025 tillsynsbegäran mail.docx", "A 29380-2025")</f>
        <v/>
      </c>
      <c r="Z33">
        <f>HYPERLINK("https://klasma.github.io/Logging_2062/fåglar/A 29380-2025 prioriterade fågelarter.docx", "A 29380-2025")</f>
        <v/>
      </c>
    </row>
    <row r="34" ht="15" customHeight="1">
      <c r="A34" t="inlineStr">
        <is>
          <t>A 61259-2023</t>
        </is>
      </c>
      <c r="B34" s="1" t="n">
        <v>45264</v>
      </c>
      <c r="C34" s="1" t="n">
        <v>45927</v>
      </c>
      <c r="D34" t="inlineStr">
        <is>
          <t>DALARNAS LÄN</t>
        </is>
      </c>
      <c r="E34" t="inlineStr">
        <is>
          <t>MORA</t>
        </is>
      </c>
      <c r="F34" t="inlineStr">
        <is>
          <t>Allmännings- och besparingsskogar</t>
        </is>
      </c>
      <c r="G34" t="n">
        <v>1</v>
      </c>
      <c r="H34" t="n">
        <v>1</v>
      </c>
      <c r="I34" t="n">
        <v>3</v>
      </c>
      <c r="J34" t="n">
        <v>3</v>
      </c>
      <c r="K34" t="n">
        <v>1</v>
      </c>
      <c r="L34" t="n">
        <v>0</v>
      </c>
      <c r="M34" t="n">
        <v>0</v>
      </c>
      <c r="N34" t="n">
        <v>0</v>
      </c>
      <c r="O34" t="n">
        <v>4</v>
      </c>
      <c r="P34" t="n">
        <v>1</v>
      </c>
      <c r="Q34" t="n">
        <v>7</v>
      </c>
      <c r="R34" s="2" t="inlineStr">
        <is>
          <t>Knärot
Brunpudrad nållav
Garnlav
Vitgrynig nållav
Bronshjon
Thomsons trägnagare
Vågbandad barkbock</t>
        </is>
      </c>
      <c r="S34">
        <f>HYPERLINK("https://klasma.github.io/Logging_2062/artfynd/A 61259-2023 artfynd.xlsx", "A 61259-2023")</f>
        <v/>
      </c>
      <c r="T34">
        <f>HYPERLINK("https://klasma.github.io/Logging_2062/kartor/A 61259-2023 karta.png", "A 61259-2023")</f>
        <v/>
      </c>
      <c r="U34">
        <f>HYPERLINK("https://klasma.github.io/Logging_2062/knärot/A 61259-2023 karta knärot.png", "A 61259-2023")</f>
        <v/>
      </c>
      <c r="V34">
        <f>HYPERLINK("https://klasma.github.io/Logging_2062/klagomål/A 61259-2023 FSC-klagomål.docx", "A 61259-2023")</f>
        <v/>
      </c>
      <c r="W34">
        <f>HYPERLINK("https://klasma.github.io/Logging_2062/klagomålsmail/A 61259-2023 FSC-klagomål mail.docx", "A 61259-2023")</f>
        <v/>
      </c>
      <c r="X34">
        <f>HYPERLINK("https://klasma.github.io/Logging_2062/tillsyn/A 61259-2023 tillsynsbegäran.docx", "A 61259-2023")</f>
        <v/>
      </c>
      <c r="Y34">
        <f>HYPERLINK("https://klasma.github.io/Logging_2062/tillsynsmail/A 61259-2023 tillsynsbegäran mail.docx", "A 61259-2023")</f>
        <v/>
      </c>
    </row>
    <row r="35" ht="15" customHeight="1">
      <c r="A35" t="inlineStr">
        <is>
          <t>A 34447-2024</t>
        </is>
      </c>
      <c r="B35" s="1" t="n">
        <v>45525</v>
      </c>
      <c r="C35" s="1" t="n">
        <v>45927</v>
      </c>
      <c r="D35" t="inlineStr">
        <is>
          <t>DALARNAS LÄN</t>
        </is>
      </c>
      <c r="E35" t="inlineStr">
        <is>
          <t>MORA</t>
        </is>
      </c>
      <c r="G35" t="n">
        <v>8.300000000000001</v>
      </c>
      <c r="H35" t="n">
        <v>0</v>
      </c>
      <c r="I35" t="n">
        <v>0</v>
      </c>
      <c r="J35" t="n">
        <v>6</v>
      </c>
      <c r="K35" t="n">
        <v>0</v>
      </c>
      <c r="L35" t="n">
        <v>0</v>
      </c>
      <c r="M35" t="n">
        <v>0</v>
      </c>
      <c r="N35" t="n">
        <v>0</v>
      </c>
      <c r="O35" t="n">
        <v>6</v>
      </c>
      <c r="P35" t="n">
        <v>0</v>
      </c>
      <c r="Q35" t="n">
        <v>6</v>
      </c>
      <c r="R35" s="2" t="inlineStr">
        <is>
          <t>Dvärgbägarlav
Garnlav
Kolflarnlav
Mörk kolflarnlav
Vedflamlav
Vedskivlav</t>
        </is>
      </c>
      <c r="S35">
        <f>HYPERLINK("https://klasma.github.io/Logging_2062/artfynd/A 34447-2024 artfynd.xlsx", "A 34447-2024")</f>
        <v/>
      </c>
      <c r="T35">
        <f>HYPERLINK("https://klasma.github.io/Logging_2062/kartor/A 34447-2024 karta.png", "A 34447-2024")</f>
        <v/>
      </c>
      <c r="V35">
        <f>HYPERLINK("https://klasma.github.io/Logging_2062/klagomål/A 34447-2024 FSC-klagomål.docx", "A 34447-2024")</f>
        <v/>
      </c>
      <c r="W35">
        <f>HYPERLINK("https://klasma.github.io/Logging_2062/klagomålsmail/A 34447-2024 FSC-klagomål mail.docx", "A 34447-2024")</f>
        <v/>
      </c>
      <c r="X35">
        <f>HYPERLINK("https://klasma.github.io/Logging_2062/tillsyn/A 34447-2024 tillsynsbegäran.docx", "A 34447-2024")</f>
        <v/>
      </c>
      <c r="Y35">
        <f>HYPERLINK("https://klasma.github.io/Logging_2062/tillsynsmail/A 34447-2024 tillsynsbegäran mail.docx", "A 34447-2024")</f>
        <v/>
      </c>
    </row>
    <row r="36" ht="15" customHeight="1">
      <c r="A36" t="inlineStr">
        <is>
          <t>A 34719-2025</t>
        </is>
      </c>
      <c r="B36" s="1" t="n">
        <v>45848.53040509259</v>
      </c>
      <c r="C36" s="1" t="n">
        <v>45927</v>
      </c>
      <c r="D36" t="inlineStr">
        <is>
          <t>DALARNAS LÄN</t>
        </is>
      </c>
      <c r="E36" t="inlineStr">
        <is>
          <t>MORA</t>
        </is>
      </c>
      <c r="G36" t="n">
        <v>1.9</v>
      </c>
      <c r="H36" t="n">
        <v>2</v>
      </c>
      <c r="I36" t="n">
        <v>1</v>
      </c>
      <c r="J36" t="n">
        <v>5</v>
      </c>
      <c r="K36" t="n">
        <v>0</v>
      </c>
      <c r="L36" t="n">
        <v>0</v>
      </c>
      <c r="M36" t="n">
        <v>0</v>
      </c>
      <c r="N36" t="n">
        <v>0</v>
      </c>
      <c r="O36" t="n">
        <v>5</v>
      </c>
      <c r="P36" t="n">
        <v>0</v>
      </c>
      <c r="Q36" t="n">
        <v>6</v>
      </c>
      <c r="R36" s="2" t="inlineStr">
        <is>
          <t>Dvärgbägarlav
Garnlav
Spillkråka
Tallticka
Tretåig hackspett
Mindre märgborre</t>
        </is>
      </c>
      <c r="S36">
        <f>HYPERLINK("https://klasma.github.io/Logging_2062/artfynd/A 34719-2025 artfynd.xlsx", "A 34719-2025")</f>
        <v/>
      </c>
      <c r="T36">
        <f>HYPERLINK("https://klasma.github.io/Logging_2062/kartor/A 34719-2025 karta.png", "A 34719-2025")</f>
        <v/>
      </c>
      <c r="V36">
        <f>HYPERLINK("https://klasma.github.io/Logging_2062/klagomål/A 34719-2025 FSC-klagomål.docx", "A 34719-2025")</f>
        <v/>
      </c>
      <c r="W36">
        <f>HYPERLINK("https://klasma.github.io/Logging_2062/klagomålsmail/A 34719-2025 FSC-klagomål mail.docx", "A 34719-2025")</f>
        <v/>
      </c>
      <c r="X36">
        <f>HYPERLINK("https://klasma.github.io/Logging_2062/tillsyn/A 34719-2025 tillsynsbegäran.docx", "A 34719-2025")</f>
        <v/>
      </c>
      <c r="Y36">
        <f>HYPERLINK("https://klasma.github.io/Logging_2062/tillsynsmail/A 34719-2025 tillsynsbegäran mail.docx", "A 34719-2025")</f>
        <v/>
      </c>
      <c r="Z36">
        <f>HYPERLINK("https://klasma.github.io/Logging_2062/fåglar/A 34719-2025 prioriterade fågelarter.docx", "A 34719-2025")</f>
        <v/>
      </c>
    </row>
    <row r="37" ht="15" customHeight="1">
      <c r="A37" t="inlineStr">
        <is>
          <t>A 8760-2025</t>
        </is>
      </c>
      <c r="B37" s="1" t="n">
        <v>45712.57467592593</v>
      </c>
      <c r="C37" s="1" t="n">
        <v>45927</v>
      </c>
      <c r="D37" t="inlineStr">
        <is>
          <t>DALARNAS LÄN</t>
        </is>
      </c>
      <c r="E37" t="inlineStr">
        <is>
          <t>MORA</t>
        </is>
      </c>
      <c r="F37" t="inlineStr">
        <is>
          <t>Allmännings- och besparingsskogar</t>
        </is>
      </c>
      <c r="G37" t="n">
        <v>36.6</v>
      </c>
      <c r="H37" t="n">
        <v>0</v>
      </c>
      <c r="I37" t="n">
        <v>0</v>
      </c>
      <c r="J37" t="n">
        <v>5</v>
      </c>
      <c r="K37" t="n">
        <v>0</v>
      </c>
      <c r="L37" t="n">
        <v>0</v>
      </c>
      <c r="M37" t="n">
        <v>0</v>
      </c>
      <c r="N37" t="n">
        <v>0</v>
      </c>
      <c r="O37" t="n">
        <v>5</v>
      </c>
      <c r="P37" t="n">
        <v>0</v>
      </c>
      <c r="Q37" t="n">
        <v>5</v>
      </c>
      <c r="R37" s="2" t="inlineStr">
        <is>
          <t>Garnlav
Mörk kolflarnlav
Skogshare
Vedflamlav
Vedskivlav</t>
        </is>
      </c>
      <c r="S37">
        <f>HYPERLINK("https://klasma.github.io/Logging_2062/artfynd/A 8760-2025 artfynd.xlsx", "A 8760-2025")</f>
        <v/>
      </c>
      <c r="T37">
        <f>HYPERLINK("https://klasma.github.io/Logging_2062/kartor/A 8760-2025 karta.png", "A 8760-2025")</f>
        <v/>
      </c>
      <c r="V37">
        <f>HYPERLINK("https://klasma.github.io/Logging_2062/klagomål/A 8760-2025 FSC-klagomål.docx", "A 8760-2025")</f>
        <v/>
      </c>
      <c r="W37">
        <f>HYPERLINK("https://klasma.github.io/Logging_2062/klagomålsmail/A 8760-2025 FSC-klagomål mail.docx", "A 8760-2025")</f>
        <v/>
      </c>
      <c r="X37">
        <f>HYPERLINK("https://klasma.github.io/Logging_2062/tillsyn/A 8760-2025 tillsynsbegäran.docx", "A 8760-2025")</f>
        <v/>
      </c>
      <c r="Y37">
        <f>HYPERLINK("https://klasma.github.io/Logging_2062/tillsynsmail/A 8760-2025 tillsynsbegäran mail.docx", "A 8760-2025")</f>
        <v/>
      </c>
    </row>
    <row r="38" ht="15" customHeight="1">
      <c r="A38" t="inlineStr">
        <is>
          <t>A 31539-2025</t>
        </is>
      </c>
      <c r="B38" s="1" t="n">
        <v>45833</v>
      </c>
      <c r="C38" s="1" t="n">
        <v>45927</v>
      </c>
      <c r="D38" t="inlineStr">
        <is>
          <t>DALARNAS LÄN</t>
        </is>
      </c>
      <c r="E38" t="inlineStr">
        <is>
          <t>MORA</t>
        </is>
      </c>
      <c r="G38" t="n">
        <v>5.3</v>
      </c>
      <c r="H38" t="n">
        <v>2</v>
      </c>
      <c r="I38" t="n">
        <v>2</v>
      </c>
      <c r="J38" t="n">
        <v>2</v>
      </c>
      <c r="K38" t="n">
        <v>1</v>
      </c>
      <c r="L38" t="n">
        <v>0</v>
      </c>
      <c r="M38" t="n">
        <v>0</v>
      </c>
      <c r="N38" t="n">
        <v>0</v>
      </c>
      <c r="O38" t="n">
        <v>3</v>
      </c>
      <c r="P38" t="n">
        <v>1</v>
      </c>
      <c r="Q38" t="n">
        <v>5</v>
      </c>
      <c r="R38" s="2" t="inlineStr">
        <is>
          <t>Knärot
Tallticka
Talltita
Bollvitmossa
Kattfotslav</t>
        </is>
      </c>
      <c r="S38">
        <f>HYPERLINK("https://klasma.github.io/Logging_2062/artfynd/A 31539-2025 artfynd.xlsx", "A 31539-2025")</f>
        <v/>
      </c>
      <c r="T38">
        <f>HYPERLINK("https://klasma.github.io/Logging_2062/kartor/A 31539-2025 karta.png", "A 31539-2025")</f>
        <v/>
      </c>
      <c r="U38">
        <f>HYPERLINK("https://klasma.github.io/Logging_2062/knärot/A 31539-2025 karta knärot.png", "A 31539-2025")</f>
        <v/>
      </c>
      <c r="V38">
        <f>HYPERLINK("https://klasma.github.io/Logging_2062/klagomål/A 31539-2025 FSC-klagomål.docx", "A 31539-2025")</f>
        <v/>
      </c>
      <c r="W38">
        <f>HYPERLINK("https://klasma.github.io/Logging_2062/klagomålsmail/A 31539-2025 FSC-klagomål mail.docx", "A 31539-2025")</f>
        <v/>
      </c>
      <c r="X38">
        <f>HYPERLINK("https://klasma.github.io/Logging_2062/tillsyn/A 31539-2025 tillsynsbegäran.docx", "A 31539-2025")</f>
        <v/>
      </c>
      <c r="Y38">
        <f>HYPERLINK("https://klasma.github.io/Logging_2062/tillsynsmail/A 31539-2025 tillsynsbegäran mail.docx", "A 31539-2025")</f>
        <v/>
      </c>
      <c r="Z38">
        <f>HYPERLINK("https://klasma.github.io/Logging_2062/fåglar/A 31539-2025 prioriterade fågelarter.docx", "A 31539-2025")</f>
        <v/>
      </c>
    </row>
    <row r="39" ht="15" customHeight="1">
      <c r="A39" t="inlineStr">
        <is>
          <t>A 35487-2025</t>
        </is>
      </c>
      <c r="B39" s="1" t="n">
        <v>45855.75481481481</v>
      </c>
      <c r="C39" s="1" t="n">
        <v>45927</v>
      </c>
      <c r="D39" t="inlineStr">
        <is>
          <t>DALARNAS LÄN</t>
        </is>
      </c>
      <c r="E39" t="inlineStr">
        <is>
          <t>MORA</t>
        </is>
      </c>
      <c r="F39" t="inlineStr">
        <is>
          <t>Allmännings- och besparingsskogar</t>
        </is>
      </c>
      <c r="G39" t="n">
        <v>0.7</v>
      </c>
      <c r="H39" t="n">
        <v>2</v>
      </c>
      <c r="I39" t="n">
        <v>0</v>
      </c>
      <c r="J39" t="n">
        <v>3</v>
      </c>
      <c r="K39" t="n">
        <v>0</v>
      </c>
      <c r="L39" t="n">
        <v>0</v>
      </c>
      <c r="M39" t="n">
        <v>0</v>
      </c>
      <c r="N39" t="n">
        <v>0</v>
      </c>
      <c r="O39" t="n">
        <v>3</v>
      </c>
      <c r="P39" t="n">
        <v>0</v>
      </c>
      <c r="Q39" t="n">
        <v>5</v>
      </c>
      <c r="R39" s="2" t="inlineStr">
        <is>
          <t>Dvärgbägarlav
Garnlav
Vedskivlav
Tjäder
Revlummer</t>
        </is>
      </c>
      <c r="S39">
        <f>HYPERLINK("https://klasma.github.io/Logging_2062/artfynd/A 35487-2025 artfynd.xlsx", "A 35487-2025")</f>
        <v/>
      </c>
      <c r="T39">
        <f>HYPERLINK("https://klasma.github.io/Logging_2062/kartor/A 35487-2025 karta.png", "A 35487-2025")</f>
        <v/>
      </c>
      <c r="V39">
        <f>HYPERLINK("https://klasma.github.io/Logging_2062/klagomål/A 35487-2025 FSC-klagomål.docx", "A 35487-2025")</f>
        <v/>
      </c>
      <c r="W39">
        <f>HYPERLINK("https://klasma.github.io/Logging_2062/klagomålsmail/A 35487-2025 FSC-klagomål mail.docx", "A 35487-2025")</f>
        <v/>
      </c>
      <c r="X39">
        <f>HYPERLINK("https://klasma.github.io/Logging_2062/tillsyn/A 35487-2025 tillsynsbegäran.docx", "A 35487-2025")</f>
        <v/>
      </c>
      <c r="Y39">
        <f>HYPERLINK("https://klasma.github.io/Logging_2062/tillsynsmail/A 35487-2025 tillsynsbegäran mail.docx", "A 35487-2025")</f>
        <v/>
      </c>
      <c r="Z39">
        <f>HYPERLINK("https://klasma.github.io/Logging_2062/fåglar/A 35487-2025 prioriterade fågelarter.docx", "A 35487-2025")</f>
        <v/>
      </c>
    </row>
    <row r="40" ht="15" customHeight="1">
      <c r="A40" t="inlineStr">
        <is>
          <t>A 25750-2021</t>
        </is>
      </c>
      <c r="B40" s="1" t="n">
        <v>44343</v>
      </c>
      <c r="C40" s="1" t="n">
        <v>45927</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32222-2025</t>
        </is>
      </c>
      <c r="B41" s="1" t="n">
        <v>45835.59140046296</v>
      </c>
      <c r="C41" s="1" t="n">
        <v>45927</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39483-2025</t>
        </is>
      </c>
      <c r="B42" s="1" t="n">
        <v>45890.35881944445</v>
      </c>
      <c r="C42" s="1" t="n">
        <v>45927</v>
      </c>
      <c r="D42" t="inlineStr">
        <is>
          <t>DALARNAS LÄN</t>
        </is>
      </c>
      <c r="E42" t="inlineStr">
        <is>
          <t>MORA</t>
        </is>
      </c>
      <c r="G42" t="n">
        <v>0.4</v>
      </c>
      <c r="H42" t="n">
        <v>2</v>
      </c>
      <c r="I42" t="n">
        <v>0</v>
      </c>
      <c r="J42" t="n">
        <v>3</v>
      </c>
      <c r="K42" t="n">
        <v>0</v>
      </c>
      <c r="L42" t="n">
        <v>0</v>
      </c>
      <c r="M42" t="n">
        <v>0</v>
      </c>
      <c r="N42" t="n">
        <v>0</v>
      </c>
      <c r="O42" t="n">
        <v>3</v>
      </c>
      <c r="P42" t="n">
        <v>0</v>
      </c>
      <c r="Q42" t="n">
        <v>4</v>
      </c>
      <c r="R42" s="2" t="inlineStr">
        <is>
          <t>Garnlav
Spillkråka
Vitgrynig nållav
Revlummer</t>
        </is>
      </c>
      <c r="S42">
        <f>HYPERLINK("https://klasma.github.io/Logging_2062/artfynd/A 39483-2025 artfynd.xlsx", "A 39483-2025")</f>
        <v/>
      </c>
      <c r="T42">
        <f>HYPERLINK("https://klasma.github.io/Logging_2062/kartor/A 39483-2025 karta.png", "A 39483-2025")</f>
        <v/>
      </c>
      <c r="V42">
        <f>HYPERLINK("https://klasma.github.io/Logging_2062/klagomål/A 39483-2025 FSC-klagomål.docx", "A 39483-2025")</f>
        <v/>
      </c>
      <c r="W42">
        <f>HYPERLINK("https://klasma.github.io/Logging_2062/klagomålsmail/A 39483-2025 FSC-klagomål mail.docx", "A 39483-2025")</f>
        <v/>
      </c>
      <c r="X42">
        <f>HYPERLINK("https://klasma.github.io/Logging_2062/tillsyn/A 39483-2025 tillsynsbegäran.docx", "A 39483-2025")</f>
        <v/>
      </c>
      <c r="Y42">
        <f>HYPERLINK("https://klasma.github.io/Logging_2062/tillsynsmail/A 39483-2025 tillsynsbegäran mail.docx", "A 39483-2025")</f>
        <v/>
      </c>
      <c r="Z42">
        <f>HYPERLINK("https://klasma.github.io/Logging_2062/fåglar/A 39483-2025 prioriterade fågelarter.docx", "A 39483-2025")</f>
        <v/>
      </c>
    </row>
    <row r="43" ht="15" customHeight="1">
      <c r="A43" t="inlineStr">
        <is>
          <t>A 39478-2025</t>
        </is>
      </c>
      <c r="B43" s="1" t="n">
        <v>45890.3469212963</v>
      </c>
      <c r="C43" s="1" t="n">
        <v>45927</v>
      </c>
      <c r="D43" t="inlineStr">
        <is>
          <t>DALARNAS LÄN</t>
        </is>
      </c>
      <c r="E43" t="inlineStr">
        <is>
          <t>MORA</t>
        </is>
      </c>
      <c r="G43" t="n">
        <v>1.8</v>
      </c>
      <c r="H43" t="n">
        <v>0</v>
      </c>
      <c r="I43" t="n">
        <v>0</v>
      </c>
      <c r="J43" t="n">
        <v>4</v>
      </c>
      <c r="K43" t="n">
        <v>0</v>
      </c>
      <c r="L43" t="n">
        <v>0</v>
      </c>
      <c r="M43" t="n">
        <v>0</v>
      </c>
      <c r="N43" t="n">
        <v>0</v>
      </c>
      <c r="O43" t="n">
        <v>4</v>
      </c>
      <c r="P43" t="n">
        <v>0</v>
      </c>
      <c r="Q43" t="n">
        <v>4</v>
      </c>
      <c r="R43" s="2" t="inlineStr">
        <is>
          <t>Garnlav
Mörk kolflarnlav
Vedflamlav
Vedskivlav</t>
        </is>
      </c>
      <c r="S43">
        <f>HYPERLINK("https://klasma.github.io/Logging_2062/artfynd/A 39478-2025 artfynd.xlsx", "A 39478-2025")</f>
        <v/>
      </c>
      <c r="T43">
        <f>HYPERLINK("https://klasma.github.io/Logging_2062/kartor/A 39478-2025 karta.png", "A 39478-2025")</f>
        <v/>
      </c>
      <c r="V43">
        <f>HYPERLINK("https://klasma.github.io/Logging_2062/klagomål/A 39478-2025 FSC-klagomål.docx", "A 39478-2025")</f>
        <v/>
      </c>
      <c r="W43">
        <f>HYPERLINK("https://klasma.github.io/Logging_2062/klagomålsmail/A 39478-2025 FSC-klagomål mail.docx", "A 39478-2025")</f>
        <v/>
      </c>
      <c r="X43">
        <f>HYPERLINK("https://klasma.github.io/Logging_2062/tillsyn/A 39478-2025 tillsynsbegäran.docx", "A 39478-2025")</f>
        <v/>
      </c>
      <c r="Y43">
        <f>HYPERLINK("https://klasma.github.io/Logging_2062/tillsynsmail/A 39478-2025 tillsynsbegäran mail.docx", "A 39478-2025")</f>
        <v/>
      </c>
    </row>
    <row r="44" ht="15" customHeight="1">
      <c r="A44" t="inlineStr">
        <is>
          <t>A 14293-2024</t>
        </is>
      </c>
      <c r="B44" s="1" t="n">
        <v>45393.63902777778</v>
      </c>
      <c r="C44" s="1" t="n">
        <v>45927</v>
      </c>
      <c r="D44" t="inlineStr">
        <is>
          <t>DALARNAS LÄN</t>
        </is>
      </c>
      <c r="E44" t="inlineStr">
        <is>
          <t>MORA</t>
        </is>
      </c>
      <c r="G44" t="n">
        <v>7.4</v>
      </c>
      <c r="H44" t="n">
        <v>2</v>
      </c>
      <c r="I44" t="n">
        <v>1</v>
      </c>
      <c r="J44" t="n">
        <v>2</v>
      </c>
      <c r="K44" t="n">
        <v>0</v>
      </c>
      <c r="L44" t="n">
        <v>0</v>
      </c>
      <c r="M44" t="n">
        <v>0</v>
      </c>
      <c r="N44" t="n">
        <v>0</v>
      </c>
      <c r="O44" t="n">
        <v>2</v>
      </c>
      <c r="P44" t="n">
        <v>0</v>
      </c>
      <c r="Q44" t="n">
        <v>4</v>
      </c>
      <c r="R44" s="2" t="inlineStr">
        <is>
          <t>Garnlav
Talltita
Dropptaggsvamp
Tjäder</t>
        </is>
      </c>
      <c r="S44">
        <f>HYPERLINK("https://klasma.github.io/Logging_2062/artfynd/A 14293-2024 artfynd.xlsx", "A 14293-2024")</f>
        <v/>
      </c>
      <c r="T44">
        <f>HYPERLINK("https://klasma.github.io/Logging_2062/kartor/A 14293-2024 karta.png", "A 14293-2024")</f>
        <v/>
      </c>
      <c r="V44">
        <f>HYPERLINK("https://klasma.github.io/Logging_2062/klagomål/A 14293-2024 FSC-klagomål.docx", "A 14293-2024")</f>
        <v/>
      </c>
      <c r="W44">
        <f>HYPERLINK("https://klasma.github.io/Logging_2062/klagomålsmail/A 14293-2024 FSC-klagomål mail.docx", "A 14293-2024")</f>
        <v/>
      </c>
      <c r="X44">
        <f>HYPERLINK("https://klasma.github.io/Logging_2062/tillsyn/A 14293-2024 tillsynsbegäran.docx", "A 14293-2024")</f>
        <v/>
      </c>
      <c r="Y44">
        <f>HYPERLINK("https://klasma.github.io/Logging_2062/tillsynsmail/A 14293-2024 tillsynsbegäran mail.docx", "A 14293-2024")</f>
        <v/>
      </c>
      <c r="Z44">
        <f>HYPERLINK("https://klasma.github.io/Logging_2062/fåglar/A 14293-2024 prioriterade fågelarter.docx", "A 14293-2024")</f>
        <v/>
      </c>
    </row>
    <row r="45" ht="15" customHeight="1">
      <c r="A45" t="inlineStr">
        <is>
          <t>A 14829-2025</t>
        </is>
      </c>
      <c r="B45" s="1" t="n">
        <v>45743.36951388889</v>
      </c>
      <c r="C45" s="1" t="n">
        <v>45927</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HYPERLINK("https://klasma.github.io/Logging_2062/artfynd/A 14829-2025 artfynd.xlsx", "A 14829-2025")</f>
        <v/>
      </c>
      <c r="T45">
        <f>HYPERLINK("https://klasma.github.io/Logging_2062/kartor/A 14829-2025 karta.png", "A 14829-2025")</f>
        <v/>
      </c>
      <c r="V45">
        <f>HYPERLINK("https://klasma.github.io/Logging_2062/klagomål/A 14829-2025 FSC-klagomål.docx", "A 14829-2025")</f>
        <v/>
      </c>
      <c r="W45">
        <f>HYPERLINK("https://klasma.github.io/Logging_2062/klagomålsmail/A 14829-2025 FSC-klagomål mail.docx", "A 14829-2025")</f>
        <v/>
      </c>
      <c r="X45">
        <f>HYPERLINK("https://klasma.github.io/Logging_2062/tillsyn/A 14829-2025 tillsynsbegäran.docx", "A 14829-2025")</f>
        <v/>
      </c>
      <c r="Y45">
        <f>HYPERLINK("https://klasma.github.io/Logging_2062/tillsynsmail/A 14829-2025 tillsynsbegäran mail.docx", "A 14829-2025")</f>
        <v/>
      </c>
      <c r="Z45">
        <f>HYPERLINK("https://klasma.github.io/Logging_2062/fåglar/A 14829-2025 prioriterade fågelarter.docx", "A 14829-2025")</f>
        <v/>
      </c>
    </row>
    <row r="46" ht="15" customHeight="1">
      <c r="A46" t="inlineStr">
        <is>
          <t>A 17648-2024</t>
        </is>
      </c>
      <c r="B46" s="1" t="n">
        <v>45418.39261574074</v>
      </c>
      <c r="C46" s="1" t="n">
        <v>45927</v>
      </c>
      <c r="D46" t="inlineStr">
        <is>
          <t>DALARNAS LÄN</t>
        </is>
      </c>
      <c r="E46" t="inlineStr">
        <is>
          <t>MORA</t>
        </is>
      </c>
      <c r="G46" t="n">
        <v>1.7</v>
      </c>
      <c r="H46" t="n">
        <v>4</v>
      </c>
      <c r="I46" t="n">
        <v>0</v>
      </c>
      <c r="J46" t="n">
        <v>2</v>
      </c>
      <c r="K46" t="n">
        <v>0</v>
      </c>
      <c r="L46" t="n">
        <v>0</v>
      </c>
      <c r="M46" t="n">
        <v>0</v>
      </c>
      <c r="N46" t="n">
        <v>0</v>
      </c>
      <c r="O46" t="n">
        <v>2</v>
      </c>
      <c r="P46" t="n">
        <v>0</v>
      </c>
      <c r="Q46" t="n">
        <v>4</v>
      </c>
      <c r="R46" s="2" t="inlineStr">
        <is>
          <t>Brunlångöra
Nordfladdermus
Dvärgpipistrell
Vattenfladdermus</t>
        </is>
      </c>
      <c r="S46">
        <f>HYPERLINK("https://klasma.github.io/Logging_2062/artfynd/A 17648-2024 artfynd.xlsx", "A 17648-2024")</f>
        <v/>
      </c>
      <c r="T46">
        <f>HYPERLINK("https://klasma.github.io/Logging_2062/kartor/A 17648-2024 karta.png", "A 17648-2024")</f>
        <v/>
      </c>
      <c r="V46">
        <f>HYPERLINK("https://klasma.github.io/Logging_2062/klagomål/A 17648-2024 FSC-klagomål.docx", "A 17648-2024")</f>
        <v/>
      </c>
      <c r="W46">
        <f>HYPERLINK("https://klasma.github.io/Logging_2062/klagomålsmail/A 17648-2024 FSC-klagomål mail.docx", "A 17648-2024")</f>
        <v/>
      </c>
      <c r="X46">
        <f>HYPERLINK("https://klasma.github.io/Logging_2062/tillsyn/A 17648-2024 tillsynsbegäran.docx", "A 17648-2024")</f>
        <v/>
      </c>
      <c r="Y46">
        <f>HYPERLINK("https://klasma.github.io/Logging_2062/tillsynsmail/A 17648-2024 tillsynsbegäran mail.docx", "A 17648-2024")</f>
        <v/>
      </c>
    </row>
    <row r="47" ht="15" customHeight="1">
      <c r="A47" t="inlineStr">
        <is>
          <t>A 34715-2025</t>
        </is>
      </c>
      <c r="B47" s="1" t="n">
        <v>45848.52225694444</v>
      </c>
      <c r="C47" s="1" t="n">
        <v>45927</v>
      </c>
      <c r="D47" t="inlineStr">
        <is>
          <t>DALARNAS LÄN</t>
        </is>
      </c>
      <c r="E47" t="inlineStr">
        <is>
          <t>MORA</t>
        </is>
      </c>
      <c r="G47" t="n">
        <v>8.5</v>
      </c>
      <c r="H47" t="n">
        <v>2</v>
      </c>
      <c r="I47" t="n">
        <v>0</v>
      </c>
      <c r="J47" t="n">
        <v>3</v>
      </c>
      <c r="K47" t="n">
        <v>1</v>
      </c>
      <c r="L47" t="n">
        <v>0</v>
      </c>
      <c r="M47" t="n">
        <v>0</v>
      </c>
      <c r="N47" t="n">
        <v>0</v>
      </c>
      <c r="O47" t="n">
        <v>4</v>
      </c>
      <c r="P47" t="n">
        <v>1</v>
      </c>
      <c r="Q47" t="n">
        <v>4</v>
      </c>
      <c r="R47" s="2" t="inlineStr">
        <is>
          <t>Knärot
Garnlav
Tallticka
Tretåig hackspett</t>
        </is>
      </c>
      <c r="S47">
        <f>HYPERLINK("https://klasma.github.io/Logging_2062/artfynd/A 34715-2025 artfynd.xlsx", "A 34715-2025")</f>
        <v/>
      </c>
      <c r="T47">
        <f>HYPERLINK("https://klasma.github.io/Logging_2062/kartor/A 34715-2025 karta.png", "A 34715-2025")</f>
        <v/>
      </c>
      <c r="U47">
        <f>HYPERLINK("https://klasma.github.io/Logging_2062/knärot/A 34715-2025 karta knärot.png", "A 34715-2025")</f>
        <v/>
      </c>
      <c r="V47">
        <f>HYPERLINK("https://klasma.github.io/Logging_2062/klagomål/A 34715-2025 FSC-klagomål.docx", "A 34715-2025")</f>
        <v/>
      </c>
      <c r="W47">
        <f>HYPERLINK("https://klasma.github.io/Logging_2062/klagomålsmail/A 34715-2025 FSC-klagomål mail.docx", "A 34715-2025")</f>
        <v/>
      </c>
      <c r="X47">
        <f>HYPERLINK("https://klasma.github.io/Logging_2062/tillsyn/A 34715-2025 tillsynsbegäran.docx", "A 34715-2025")</f>
        <v/>
      </c>
      <c r="Y47">
        <f>HYPERLINK("https://klasma.github.io/Logging_2062/tillsynsmail/A 34715-2025 tillsynsbegäran mail.docx", "A 34715-2025")</f>
        <v/>
      </c>
      <c r="Z47">
        <f>HYPERLINK("https://klasma.github.io/Logging_2062/fåglar/A 34715-2025 prioriterade fågelarter.docx", "A 34715-2025")</f>
        <v/>
      </c>
    </row>
    <row r="48" ht="15" customHeight="1">
      <c r="A48" t="inlineStr">
        <is>
          <t>A 29392-2025</t>
        </is>
      </c>
      <c r="B48" s="1" t="n">
        <v>45824.60537037037</v>
      </c>
      <c r="C48" s="1" t="n">
        <v>45927</v>
      </c>
      <c r="D48" t="inlineStr">
        <is>
          <t>DALARNAS LÄN</t>
        </is>
      </c>
      <c r="E48" t="inlineStr">
        <is>
          <t>MORA</t>
        </is>
      </c>
      <c r="G48" t="n">
        <v>1</v>
      </c>
      <c r="H48" t="n">
        <v>1</v>
      </c>
      <c r="I48" t="n">
        <v>2</v>
      </c>
      <c r="J48" t="n">
        <v>1</v>
      </c>
      <c r="K48" t="n">
        <v>0</v>
      </c>
      <c r="L48" t="n">
        <v>0</v>
      </c>
      <c r="M48" t="n">
        <v>0</v>
      </c>
      <c r="N48" t="n">
        <v>0</v>
      </c>
      <c r="O48" t="n">
        <v>1</v>
      </c>
      <c r="P48" t="n">
        <v>0</v>
      </c>
      <c r="Q48" t="n">
        <v>3</v>
      </c>
      <c r="R48" s="2" t="inlineStr">
        <is>
          <t>Garnlav
Mindre märgborre
Plattlummer</t>
        </is>
      </c>
      <c r="S48">
        <f>HYPERLINK("https://klasma.github.io/Logging_2062/artfynd/A 29392-2025 artfynd.xlsx", "A 29392-2025")</f>
        <v/>
      </c>
      <c r="T48">
        <f>HYPERLINK("https://klasma.github.io/Logging_2062/kartor/A 29392-2025 karta.png", "A 29392-2025")</f>
        <v/>
      </c>
      <c r="V48">
        <f>HYPERLINK("https://klasma.github.io/Logging_2062/klagomål/A 29392-2025 FSC-klagomål.docx", "A 29392-2025")</f>
        <v/>
      </c>
      <c r="W48">
        <f>HYPERLINK("https://klasma.github.io/Logging_2062/klagomålsmail/A 29392-2025 FSC-klagomål mail.docx", "A 29392-2025")</f>
        <v/>
      </c>
      <c r="X48">
        <f>HYPERLINK("https://klasma.github.io/Logging_2062/tillsyn/A 29392-2025 tillsynsbegäran.docx", "A 29392-2025")</f>
        <v/>
      </c>
      <c r="Y48">
        <f>HYPERLINK("https://klasma.github.io/Logging_2062/tillsynsmail/A 29392-2025 tillsynsbegäran mail.docx", "A 29392-2025")</f>
        <v/>
      </c>
    </row>
    <row r="49" ht="15" customHeight="1">
      <c r="A49" t="inlineStr">
        <is>
          <t>A 33380-2025</t>
        </is>
      </c>
      <c r="B49" s="1" t="n">
        <v>45841.40309027778</v>
      </c>
      <c r="C49" s="1" t="n">
        <v>45927</v>
      </c>
      <c r="D49" t="inlineStr">
        <is>
          <t>DALARNAS LÄN</t>
        </is>
      </c>
      <c r="E49" t="inlineStr">
        <is>
          <t>MORA</t>
        </is>
      </c>
      <c r="G49" t="n">
        <v>6.6</v>
      </c>
      <c r="H49" t="n">
        <v>2</v>
      </c>
      <c r="I49" t="n">
        <v>0</v>
      </c>
      <c r="J49" t="n">
        <v>3</v>
      </c>
      <c r="K49" t="n">
        <v>0</v>
      </c>
      <c r="L49" t="n">
        <v>0</v>
      </c>
      <c r="M49" t="n">
        <v>0</v>
      </c>
      <c r="N49" t="n">
        <v>0</v>
      </c>
      <c r="O49" t="n">
        <v>3</v>
      </c>
      <c r="P49" t="n">
        <v>0</v>
      </c>
      <c r="Q49" t="n">
        <v>3</v>
      </c>
      <c r="R49" s="2" t="inlineStr">
        <is>
          <t>Garnlav
Rödvingetrast
Spillkråka</t>
        </is>
      </c>
      <c r="S49">
        <f>HYPERLINK("https://klasma.github.io/Logging_2062/artfynd/A 33380-2025 artfynd.xlsx", "A 33380-2025")</f>
        <v/>
      </c>
      <c r="T49">
        <f>HYPERLINK("https://klasma.github.io/Logging_2062/kartor/A 33380-2025 karta.png", "A 33380-2025")</f>
        <v/>
      </c>
      <c r="V49">
        <f>HYPERLINK("https://klasma.github.io/Logging_2062/klagomål/A 33380-2025 FSC-klagomål.docx", "A 33380-2025")</f>
        <v/>
      </c>
      <c r="W49">
        <f>HYPERLINK("https://klasma.github.io/Logging_2062/klagomålsmail/A 33380-2025 FSC-klagomål mail.docx", "A 33380-2025")</f>
        <v/>
      </c>
      <c r="X49">
        <f>HYPERLINK("https://klasma.github.io/Logging_2062/tillsyn/A 33380-2025 tillsynsbegäran.docx", "A 33380-2025")</f>
        <v/>
      </c>
      <c r="Y49">
        <f>HYPERLINK("https://klasma.github.io/Logging_2062/tillsynsmail/A 33380-2025 tillsynsbegäran mail.docx", "A 33380-2025")</f>
        <v/>
      </c>
      <c r="Z49">
        <f>HYPERLINK("https://klasma.github.io/Logging_2062/fåglar/A 33380-2025 prioriterade fågelarter.docx", "A 33380-2025")</f>
        <v/>
      </c>
    </row>
    <row r="50" ht="15" customHeight="1">
      <c r="A50" t="inlineStr">
        <is>
          <t>A 39481-2025</t>
        </is>
      </c>
      <c r="B50" s="1" t="n">
        <v>45890.35545138889</v>
      </c>
      <c r="C50" s="1" t="n">
        <v>45927</v>
      </c>
      <c r="D50" t="inlineStr">
        <is>
          <t>DALARNAS LÄN</t>
        </is>
      </c>
      <c r="E50" t="inlineStr">
        <is>
          <t>MORA</t>
        </is>
      </c>
      <c r="G50" t="n">
        <v>0.6</v>
      </c>
      <c r="H50" t="n">
        <v>1</v>
      </c>
      <c r="I50" t="n">
        <v>0</v>
      </c>
      <c r="J50" t="n">
        <v>3</v>
      </c>
      <c r="K50" t="n">
        <v>0</v>
      </c>
      <c r="L50" t="n">
        <v>0</v>
      </c>
      <c r="M50" t="n">
        <v>0</v>
      </c>
      <c r="N50" t="n">
        <v>0</v>
      </c>
      <c r="O50" t="n">
        <v>3</v>
      </c>
      <c r="P50" t="n">
        <v>0</v>
      </c>
      <c r="Q50" t="n">
        <v>3</v>
      </c>
      <c r="R50" s="2" t="inlineStr">
        <is>
          <t>Garnlav
Tretåig hackspett
Vedskivlav</t>
        </is>
      </c>
      <c r="S50">
        <f>HYPERLINK("https://klasma.github.io/Logging_2062/artfynd/A 39481-2025 artfynd.xlsx", "A 39481-2025")</f>
        <v/>
      </c>
      <c r="T50">
        <f>HYPERLINK("https://klasma.github.io/Logging_2062/kartor/A 39481-2025 karta.png", "A 39481-2025")</f>
        <v/>
      </c>
      <c r="V50">
        <f>HYPERLINK("https://klasma.github.io/Logging_2062/klagomål/A 39481-2025 FSC-klagomål.docx", "A 39481-2025")</f>
        <v/>
      </c>
      <c r="W50">
        <f>HYPERLINK("https://klasma.github.io/Logging_2062/klagomålsmail/A 39481-2025 FSC-klagomål mail.docx", "A 39481-2025")</f>
        <v/>
      </c>
      <c r="X50">
        <f>HYPERLINK("https://klasma.github.io/Logging_2062/tillsyn/A 39481-2025 tillsynsbegäran.docx", "A 39481-2025")</f>
        <v/>
      </c>
      <c r="Y50">
        <f>HYPERLINK("https://klasma.github.io/Logging_2062/tillsynsmail/A 39481-2025 tillsynsbegäran mail.docx", "A 39481-2025")</f>
        <v/>
      </c>
      <c r="Z50">
        <f>HYPERLINK("https://klasma.github.io/Logging_2062/fåglar/A 39481-2025 prioriterade fågelarter.docx", "A 39481-2025")</f>
        <v/>
      </c>
    </row>
    <row r="51" ht="15" customHeight="1">
      <c r="A51" t="inlineStr">
        <is>
          <t>A 24220-2025</t>
        </is>
      </c>
      <c r="B51" s="1" t="n">
        <v>45797.3635300926</v>
      </c>
      <c r="C51" s="1" t="n">
        <v>45927</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HYPERLINK("https://klasma.github.io/Logging_2062/artfynd/A 24220-2025 artfynd.xlsx", "A 24220-2025")</f>
        <v/>
      </c>
      <c r="T51">
        <f>HYPERLINK("https://klasma.github.io/Logging_2062/kartor/A 24220-2025 karta.png", "A 24220-2025")</f>
        <v/>
      </c>
      <c r="U51">
        <f>HYPERLINK("https://klasma.github.io/Logging_2062/knärot/A 24220-2025 karta knärot.png", "A 24220-2025")</f>
        <v/>
      </c>
      <c r="V51">
        <f>HYPERLINK("https://klasma.github.io/Logging_2062/klagomål/A 24220-2025 FSC-klagomål.docx", "A 24220-2025")</f>
        <v/>
      </c>
      <c r="W51">
        <f>HYPERLINK("https://klasma.github.io/Logging_2062/klagomålsmail/A 24220-2025 FSC-klagomål mail.docx", "A 24220-2025")</f>
        <v/>
      </c>
      <c r="X51">
        <f>HYPERLINK("https://klasma.github.io/Logging_2062/tillsyn/A 24220-2025 tillsynsbegäran.docx", "A 24220-2025")</f>
        <v/>
      </c>
      <c r="Y51">
        <f>HYPERLINK("https://klasma.github.io/Logging_2062/tillsynsmail/A 24220-2025 tillsynsbegäran mail.docx", "A 24220-2025")</f>
        <v/>
      </c>
    </row>
    <row r="52" ht="15" customHeight="1">
      <c r="A52" t="inlineStr">
        <is>
          <t>A 59626-2020</t>
        </is>
      </c>
      <c r="B52" s="1" t="n">
        <v>44150</v>
      </c>
      <c r="C52" s="1" t="n">
        <v>45927</v>
      </c>
      <c r="D52" t="inlineStr">
        <is>
          <t>DALARNAS LÄN</t>
        </is>
      </c>
      <c r="E52" t="inlineStr">
        <is>
          <t>MORA</t>
        </is>
      </c>
      <c r="F52" t="inlineStr">
        <is>
          <t>Bergvik skog öst AB</t>
        </is>
      </c>
      <c r="G52" t="n">
        <v>3.8</v>
      </c>
      <c r="H52" t="n">
        <v>0</v>
      </c>
      <c r="I52" t="n">
        <v>1</v>
      </c>
      <c r="J52" t="n">
        <v>1</v>
      </c>
      <c r="K52" t="n">
        <v>0</v>
      </c>
      <c r="L52" t="n">
        <v>0</v>
      </c>
      <c r="M52" t="n">
        <v>0</v>
      </c>
      <c r="N52" t="n">
        <v>0</v>
      </c>
      <c r="O52" t="n">
        <v>1</v>
      </c>
      <c r="P52" t="n">
        <v>0</v>
      </c>
      <c r="Q52" t="n">
        <v>2</v>
      </c>
      <c r="R52" s="2" t="inlineStr">
        <is>
          <t>Motaggsvamp
Dropptaggsvamp</t>
        </is>
      </c>
      <c r="S52">
        <f>HYPERLINK("https://klasma.github.io/Logging_2062/artfynd/A 59626-2020 artfynd.xlsx", "A 59626-2020")</f>
        <v/>
      </c>
      <c r="T52">
        <f>HYPERLINK("https://klasma.github.io/Logging_2062/kartor/A 59626-2020 karta.png", "A 59626-2020")</f>
        <v/>
      </c>
      <c r="V52">
        <f>HYPERLINK("https://klasma.github.io/Logging_2062/klagomål/A 59626-2020 FSC-klagomål.docx", "A 59626-2020")</f>
        <v/>
      </c>
      <c r="W52">
        <f>HYPERLINK("https://klasma.github.io/Logging_2062/klagomålsmail/A 59626-2020 FSC-klagomål mail.docx", "A 59626-2020")</f>
        <v/>
      </c>
      <c r="X52">
        <f>HYPERLINK("https://klasma.github.io/Logging_2062/tillsyn/A 59626-2020 tillsynsbegäran.docx", "A 59626-2020")</f>
        <v/>
      </c>
      <c r="Y52">
        <f>HYPERLINK("https://klasma.github.io/Logging_2062/tillsynsmail/A 59626-2020 tillsynsbegäran mail.docx", "A 59626-2020")</f>
        <v/>
      </c>
    </row>
    <row r="53" ht="15" customHeight="1">
      <c r="A53" t="inlineStr">
        <is>
          <t>A 62286-2020</t>
        </is>
      </c>
      <c r="B53" s="1" t="n">
        <v>44160</v>
      </c>
      <c r="C53" s="1" t="n">
        <v>45927</v>
      </c>
      <c r="D53" t="inlineStr">
        <is>
          <t>DALARNAS LÄN</t>
        </is>
      </c>
      <c r="E53" t="inlineStr">
        <is>
          <t>MORA</t>
        </is>
      </c>
      <c r="G53" t="n">
        <v>0.6</v>
      </c>
      <c r="H53" t="n">
        <v>1</v>
      </c>
      <c r="I53" t="n">
        <v>1</v>
      </c>
      <c r="J53" t="n">
        <v>1</v>
      </c>
      <c r="K53" t="n">
        <v>0</v>
      </c>
      <c r="L53" t="n">
        <v>0</v>
      </c>
      <c r="M53" t="n">
        <v>0</v>
      </c>
      <c r="N53" t="n">
        <v>0</v>
      </c>
      <c r="O53" t="n">
        <v>1</v>
      </c>
      <c r="P53" t="n">
        <v>0</v>
      </c>
      <c r="Q53" t="n">
        <v>2</v>
      </c>
      <c r="R53" s="2" t="inlineStr">
        <is>
          <t>Brun gräsfjäril
Traslav</t>
        </is>
      </c>
      <c r="S53">
        <f>HYPERLINK("https://klasma.github.io/Logging_2062/artfynd/A 62286-2020 artfynd.xlsx", "A 62286-2020")</f>
        <v/>
      </c>
      <c r="T53">
        <f>HYPERLINK("https://klasma.github.io/Logging_2062/kartor/A 62286-2020 karta.png", "A 62286-2020")</f>
        <v/>
      </c>
      <c r="V53">
        <f>HYPERLINK("https://klasma.github.io/Logging_2062/klagomål/A 62286-2020 FSC-klagomål.docx", "A 62286-2020")</f>
        <v/>
      </c>
      <c r="W53">
        <f>HYPERLINK("https://klasma.github.io/Logging_2062/klagomålsmail/A 62286-2020 FSC-klagomål mail.docx", "A 62286-2020")</f>
        <v/>
      </c>
      <c r="X53">
        <f>HYPERLINK("https://klasma.github.io/Logging_2062/tillsyn/A 62286-2020 tillsynsbegäran.docx", "A 62286-2020")</f>
        <v/>
      </c>
      <c r="Y53">
        <f>HYPERLINK("https://klasma.github.io/Logging_2062/tillsynsmail/A 62286-2020 tillsynsbegäran mail.docx", "A 62286-2020")</f>
        <v/>
      </c>
    </row>
    <row r="54" ht="15" customHeight="1">
      <c r="A54" t="inlineStr">
        <is>
          <t>A 23163-2025</t>
        </is>
      </c>
      <c r="B54" s="1" t="n">
        <v>45791.41832175926</v>
      </c>
      <c r="C54" s="1" t="n">
        <v>45927</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HYPERLINK("https://klasma.github.io/Logging_2062/artfynd/A 23163-2025 artfynd.xlsx", "A 23163-2025")</f>
        <v/>
      </c>
      <c r="T54">
        <f>HYPERLINK("https://klasma.github.io/Logging_2062/kartor/A 23163-2025 karta.png", "A 23163-2025")</f>
        <v/>
      </c>
      <c r="V54">
        <f>HYPERLINK("https://klasma.github.io/Logging_2062/klagomål/A 23163-2025 FSC-klagomål.docx", "A 23163-2025")</f>
        <v/>
      </c>
      <c r="W54">
        <f>HYPERLINK("https://klasma.github.io/Logging_2062/klagomålsmail/A 23163-2025 FSC-klagomål mail.docx", "A 23163-2025")</f>
        <v/>
      </c>
      <c r="X54">
        <f>HYPERLINK("https://klasma.github.io/Logging_2062/tillsyn/A 23163-2025 tillsynsbegäran.docx", "A 23163-2025")</f>
        <v/>
      </c>
      <c r="Y54">
        <f>HYPERLINK("https://klasma.github.io/Logging_2062/tillsynsmail/A 23163-2025 tillsynsbegäran mail.docx", "A 23163-2025")</f>
        <v/>
      </c>
      <c r="Z54">
        <f>HYPERLINK("https://klasma.github.io/Logging_2062/fåglar/A 23163-2025 prioriterade fågelarter.docx", "A 23163-2025")</f>
        <v/>
      </c>
    </row>
    <row r="55" ht="15" customHeight="1">
      <c r="A55" t="inlineStr">
        <is>
          <t>A 42028-2023</t>
        </is>
      </c>
      <c r="B55" s="1" t="n">
        <v>45177.49715277777</v>
      </c>
      <c r="C55" s="1" t="n">
        <v>45927</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35068-2025</t>
        </is>
      </c>
      <c r="B56" s="1" t="n">
        <v>45852.45686342593</v>
      </c>
      <c r="C56" s="1" t="n">
        <v>45927</v>
      </c>
      <c r="D56" t="inlineStr">
        <is>
          <t>DALARNAS LÄN</t>
        </is>
      </c>
      <c r="E56" t="inlineStr">
        <is>
          <t>MORA</t>
        </is>
      </c>
      <c r="G56" t="n">
        <v>0.7</v>
      </c>
      <c r="H56" t="n">
        <v>0</v>
      </c>
      <c r="I56" t="n">
        <v>1</v>
      </c>
      <c r="J56" t="n">
        <v>1</v>
      </c>
      <c r="K56" t="n">
        <v>0</v>
      </c>
      <c r="L56" t="n">
        <v>0</v>
      </c>
      <c r="M56" t="n">
        <v>0</v>
      </c>
      <c r="N56" t="n">
        <v>0</v>
      </c>
      <c r="O56" t="n">
        <v>1</v>
      </c>
      <c r="P56" t="n">
        <v>0</v>
      </c>
      <c r="Q56" t="n">
        <v>2</v>
      </c>
      <c r="R56" s="2" t="inlineStr">
        <is>
          <t>Garnlav
Mindre märgborre</t>
        </is>
      </c>
      <c r="S56">
        <f>HYPERLINK("https://klasma.github.io/Logging_2062/artfynd/A 35068-2025 artfynd.xlsx", "A 35068-2025")</f>
        <v/>
      </c>
      <c r="T56">
        <f>HYPERLINK("https://klasma.github.io/Logging_2062/kartor/A 35068-2025 karta.png", "A 35068-2025")</f>
        <v/>
      </c>
      <c r="V56">
        <f>HYPERLINK("https://klasma.github.io/Logging_2062/klagomål/A 35068-2025 FSC-klagomål.docx", "A 35068-2025")</f>
        <v/>
      </c>
      <c r="W56">
        <f>HYPERLINK("https://klasma.github.io/Logging_2062/klagomålsmail/A 35068-2025 FSC-klagomål mail.docx", "A 35068-2025")</f>
        <v/>
      </c>
      <c r="X56">
        <f>HYPERLINK("https://klasma.github.io/Logging_2062/tillsyn/A 35068-2025 tillsynsbegäran.docx", "A 35068-2025")</f>
        <v/>
      </c>
      <c r="Y56">
        <f>HYPERLINK("https://klasma.github.io/Logging_2062/tillsynsmail/A 35068-2025 tillsynsbegäran mail.docx", "A 35068-2025")</f>
        <v/>
      </c>
    </row>
    <row r="57" ht="15" customHeight="1">
      <c r="A57" t="inlineStr">
        <is>
          <t>A 24126-2025</t>
        </is>
      </c>
      <c r="B57" s="1" t="n">
        <v>45796.63011574074</v>
      </c>
      <c r="C57" s="1" t="n">
        <v>45927</v>
      </c>
      <c r="D57" t="inlineStr">
        <is>
          <t>DALARNAS LÄN</t>
        </is>
      </c>
      <c r="E57" t="inlineStr">
        <is>
          <t>MORA</t>
        </is>
      </c>
      <c r="F57" t="inlineStr">
        <is>
          <t>Bergvik skog öst AB</t>
        </is>
      </c>
      <c r="G57" t="n">
        <v>0.9</v>
      </c>
      <c r="H57" t="n">
        <v>0</v>
      </c>
      <c r="I57" t="n">
        <v>1</v>
      </c>
      <c r="J57" t="n">
        <v>1</v>
      </c>
      <c r="K57" t="n">
        <v>0</v>
      </c>
      <c r="L57" t="n">
        <v>0</v>
      </c>
      <c r="M57" t="n">
        <v>0</v>
      </c>
      <c r="N57" t="n">
        <v>0</v>
      </c>
      <c r="O57" t="n">
        <v>1</v>
      </c>
      <c r="P57" t="n">
        <v>0</v>
      </c>
      <c r="Q57" t="n">
        <v>2</v>
      </c>
      <c r="R57" s="2" t="inlineStr">
        <is>
          <t>Garnlav
Bollvitmossa</t>
        </is>
      </c>
      <c r="S57">
        <f>HYPERLINK("https://klasma.github.io/Logging_2062/artfynd/A 24126-2025 artfynd.xlsx", "A 24126-2025")</f>
        <v/>
      </c>
      <c r="T57">
        <f>HYPERLINK("https://klasma.github.io/Logging_2062/kartor/A 24126-2025 karta.png", "A 24126-2025")</f>
        <v/>
      </c>
      <c r="V57">
        <f>HYPERLINK("https://klasma.github.io/Logging_2062/klagomål/A 24126-2025 FSC-klagomål.docx", "A 24126-2025")</f>
        <v/>
      </c>
      <c r="W57">
        <f>HYPERLINK("https://klasma.github.io/Logging_2062/klagomålsmail/A 24126-2025 FSC-klagomål mail.docx", "A 24126-2025")</f>
        <v/>
      </c>
      <c r="X57">
        <f>HYPERLINK("https://klasma.github.io/Logging_2062/tillsyn/A 24126-2025 tillsynsbegäran.docx", "A 24126-2025")</f>
        <v/>
      </c>
      <c r="Y57">
        <f>HYPERLINK("https://klasma.github.io/Logging_2062/tillsynsmail/A 24126-2025 tillsynsbegäran mail.docx", "A 24126-2025")</f>
        <v/>
      </c>
    </row>
    <row r="58" ht="15" customHeight="1">
      <c r="A58" t="inlineStr">
        <is>
          <t>A 16094-2024</t>
        </is>
      </c>
      <c r="B58" s="1" t="n">
        <v>45406.41648148148</v>
      </c>
      <c r="C58" s="1" t="n">
        <v>45927</v>
      </c>
      <c r="D58" t="inlineStr">
        <is>
          <t>DALARNAS LÄN</t>
        </is>
      </c>
      <c r="E58" t="inlineStr">
        <is>
          <t>MORA</t>
        </is>
      </c>
      <c r="F58" t="inlineStr">
        <is>
          <t>Bergvik skog väst AB</t>
        </is>
      </c>
      <c r="G58" t="n">
        <v>22.6</v>
      </c>
      <c r="H58" t="n">
        <v>0</v>
      </c>
      <c r="I58" t="n">
        <v>0</v>
      </c>
      <c r="J58" t="n">
        <v>1</v>
      </c>
      <c r="K58" t="n">
        <v>0</v>
      </c>
      <c r="L58" t="n">
        <v>0</v>
      </c>
      <c r="M58" t="n">
        <v>0</v>
      </c>
      <c r="N58" t="n">
        <v>0</v>
      </c>
      <c r="O58" t="n">
        <v>1</v>
      </c>
      <c r="P58" t="n">
        <v>0</v>
      </c>
      <c r="Q58" t="n">
        <v>1</v>
      </c>
      <c r="R58" s="2" t="inlineStr">
        <is>
          <t>Reliktbock</t>
        </is>
      </c>
      <c r="S58">
        <f>HYPERLINK("https://klasma.github.io/Logging_2062/artfynd/A 16094-2024 artfynd.xlsx", "A 16094-2024")</f>
        <v/>
      </c>
      <c r="T58">
        <f>HYPERLINK("https://klasma.github.io/Logging_2062/kartor/A 16094-2024 karta.png", "A 16094-2024")</f>
        <v/>
      </c>
      <c r="V58">
        <f>HYPERLINK("https://klasma.github.io/Logging_2062/klagomål/A 16094-2024 FSC-klagomål.docx", "A 16094-2024")</f>
        <v/>
      </c>
      <c r="W58">
        <f>HYPERLINK("https://klasma.github.io/Logging_2062/klagomålsmail/A 16094-2024 FSC-klagomål mail.docx", "A 16094-2024")</f>
        <v/>
      </c>
      <c r="X58">
        <f>HYPERLINK("https://klasma.github.io/Logging_2062/tillsyn/A 16094-2024 tillsynsbegäran.docx", "A 16094-2024")</f>
        <v/>
      </c>
      <c r="Y58">
        <f>HYPERLINK("https://klasma.github.io/Logging_2062/tillsynsmail/A 16094-2024 tillsynsbegäran mail.docx", "A 16094-2024")</f>
        <v/>
      </c>
    </row>
    <row r="59" ht="15" customHeight="1">
      <c r="A59" t="inlineStr">
        <is>
          <t>A 5304-2023</t>
        </is>
      </c>
      <c r="B59" s="1" t="n">
        <v>44959.55116898148</v>
      </c>
      <c r="C59" s="1" t="n">
        <v>45927</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27113-2024</t>
        </is>
      </c>
      <c r="B60" s="1" t="n">
        <v>45471</v>
      </c>
      <c r="C60" s="1" t="n">
        <v>45927</v>
      </c>
      <c r="D60" t="inlineStr">
        <is>
          <t>DALARNAS LÄN</t>
        </is>
      </c>
      <c r="E60" t="inlineStr">
        <is>
          <t>MORA</t>
        </is>
      </c>
      <c r="G60" t="n">
        <v>10.3</v>
      </c>
      <c r="H60" t="n">
        <v>0</v>
      </c>
      <c r="I60" t="n">
        <v>1</v>
      </c>
      <c r="J60" t="n">
        <v>0</v>
      </c>
      <c r="K60" t="n">
        <v>0</v>
      </c>
      <c r="L60" t="n">
        <v>0</v>
      </c>
      <c r="M60" t="n">
        <v>0</v>
      </c>
      <c r="N60" t="n">
        <v>0</v>
      </c>
      <c r="O60" t="n">
        <v>0</v>
      </c>
      <c r="P60" t="n">
        <v>0</v>
      </c>
      <c r="Q60" t="n">
        <v>1</v>
      </c>
      <c r="R60" s="2" t="inlineStr">
        <is>
          <t>Stor aspticka</t>
        </is>
      </c>
      <c r="S60">
        <f>HYPERLINK("https://klasma.github.io/Logging_2062/artfynd/A 27113-2024 artfynd.xlsx", "A 27113-2024")</f>
        <v/>
      </c>
      <c r="T60">
        <f>HYPERLINK("https://klasma.github.io/Logging_2062/kartor/A 27113-2024 karta.png", "A 27113-2024")</f>
        <v/>
      </c>
      <c r="V60">
        <f>HYPERLINK("https://klasma.github.io/Logging_2062/klagomål/A 27113-2024 FSC-klagomål.docx", "A 27113-2024")</f>
        <v/>
      </c>
      <c r="W60">
        <f>HYPERLINK("https://klasma.github.io/Logging_2062/klagomålsmail/A 27113-2024 FSC-klagomål mail.docx", "A 27113-2024")</f>
        <v/>
      </c>
      <c r="X60">
        <f>HYPERLINK("https://klasma.github.io/Logging_2062/tillsyn/A 27113-2024 tillsynsbegäran.docx", "A 27113-2024")</f>
        <v/>
      </c>
      <c r="Y60">
        <f>HYPERLINK("https://klasma.github.io/Logging_2062/tillsynsmail/A 27113-2024 tillsynsbegäran mail.docx", "A 27113-2024")</f>
        <v/>
      </c>
    </row>
    <row r="61" ht="15" customHeight="1">
      <c r="A61" t="inlineStr">
        <is>
          <t>A 831-2025</t>
        </is>
      </c>
      <c r="B61" s="1" t="n">
        <v>45665.58001157407</v>
      </c>
      <c r="C61" s="1" t="n">
        <v>45927</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37552-2023</t>
        </is>
      </c>
      <c r="B62" s="1" t="n">
        <v>45159.32799768518</v>
      </c>
      <c r="C62" s="1" t="n">
        <v>45927</v>
      </c>
      <c r="D62" t="inlineStr">
        <is>
          <t>DALARNAS LÄN</t>
        </is>
      </c>
      <c r="E62" t="inlineStr">
        <is>
          <t>MORA</t>
        </is>
      </c>
      <c r="G62" t="n">
        <v>4</v>
      </c>
      <c r="H62" t="n">
        <v>0</v>
      </c>
      <c r="I62" t="n">
        <v>0</v>
      </c>
      <c r="J62" t="n">
        <v>1</v>
      </c>
      <c r="K62" t="n">
        <v>0</v>
      </c>
      <c r="L62" t="n">
        <v>0</v>
      </c>
      <c r="M62" t="n">
        <v>0</v>
      </c>
      <c r="N62" t="n">
        <v>0</v>
      </c>
      <c r="O62" t="n">
        <v>1</v>
      </c>
      <c r="P62" t="n">
        <v>0</v>
      </c>
      <c r="Q62" t="n">
        <v>1</v>
      </c>
      <c r="R62" s="2" t="inlineStr">
        <is>
          <t>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45344-2024</t>
        </is>
      </c>
      <c r="B63" s="1" t="n">
        <v>45576</v>
      </c>
      <c r="C63" s="1" t="n">
        <v>45927</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30328-2021</t>
        </is>
      </c>
      <c r="B64" s="1" t="n">
        <v>44364</v>
      </c>
      <c r="C64" s="1" t="n">
        <v>45927</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57669-2022</t>
        </is>
      </c>
      <c r="B65" s="1" t="n">
        <v>44897</v>
      </c>
      <c r="C65" s="1" t="n">
        <v>45927</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23736-2023</t>
        </is>
      </c>
      <c r="B66" s="1" t="n">
        <v>45077</v>
      </c>
      <c r="C66" s="1" t="n">
        <v>45927</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13717-2023</t>
        </is>
      </c>
      <c r="B67" s="1" t="n">
        <v>45007</v>
      </c>
      <c r="C67" s="1" t="n">
        <v>45927</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20538-2025</t>
        </is>
      </c>
      <c r="B68" s="1" t="n">
        <v>45775.62283564815</v>
      </c>
      <c r="C68" s="1" t="n">
        <v>45927</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66990-2020</t>
        </is>
      </c>
      <c r="B69" s="1" t="n">
        <v>44180</v>
      </c>
      <c r="C69" s="1" t="n">
        <v>45927</v>
      </c>
      <c r="D69" t="inlineStr">
        <is>
          <t>DALARNAS LÄN</t>
        </is>
      </c>
      <c r="E69" t="inlineStr">
        <is>
          <t>MORA</t>
        </is>
      </c>
      <c r="G69" t="n">
        <v>1</v>
      </c>
      <c r="H69" t="n">
        <v>0</v>
      </c>
      <c r="I69" t="n">
        <v>0</v>
      </c>
      <c r="J69" t="n">
        <v>0</v>
      </c>
      <c r="K69" t="n">
        <v>0</v>
      </c>
      <c r="L69" t="n">
        <v>0</v>
      </c>
      <c r="M69" t="n">
        <v>0</v>
      </c>
      <c r="N69" t="n">
        <v>0</v>
      </c>
      <c r="O69" t="n">
        <v>0</v>
      </c>
      <c r="P69" t="n">
        <v>0</v>
      </c>
      <c r="Q69" t="n">
        <v>0</v>
      </c>
      <c r="R69" s="2" t="inlineStr"/>
    </row>
    <row r="70" ht="15" customHeight="1">
      <c r="A70" t="inlineStr">
        <is>
          <t>A 38769-2021</t>
        </is>
      </c>
      <c r="B70" s="1" t="n">
        <v>44410</v>
      </c>
      <c r="C70" s="1" t="n">
        <v>45927</v>
      </c>
      <c r="D70" t="inlineStr">
        <is>
          <t>DALARNAS LÄN</t>
        </is>
      </c>
      <c r="E70" t="inlineStr">
        <is>
          <t>MORA</t>
        </is>
      </c>
      <c r="G70" t="n">
        <v>0.8</v>
      </c>
      <c r="H70" t="n">
        <v>0</v>
      </c>
      <c r="I70" t="n">
        <v>0</v>
      </c>
      <c r="J70" t="n">
        <v>0</v>
      </c>
      <c r="K70" t="n">
        <v>0</v>
      </c>
      <c r="L70" t="n">
        <v>0</v>
      </c>
      <c r="M70" t="n">
        <v>0</v>
      </c>
      <c r="N70" t="n">
        <v>0</v>
      </c>
      <c r="O70" t="n">
        <v>0</v>
      </c>
      <c r="P70" t="n">
        <v>0</v>
      </c>
      <c r="Q70" t="n">
        <v>0</v>
      </c>
      <c r="R70" s="2" t="inlineStr"/>
    </row>
    <row r="71" ht="15" customHeight="1">
      <c r="A71" t="inlineStr">
        <is>
          <t>A 73930-2021</t>
        </is>
      </c>
      <c r="B71" s="1" t="n">
        <v>44553</v>
      </c>
      <c r="C71" s="1" t="n">
        <v>45927</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657-2021</t>
        </is>
      </c>
      <c r="B72" s="1" t="n">
        <v>44203</v>
      </c>
      <c r="C72" s="1" t="n">
        <v>45927</v>
      </c>
      <c r="D72" t="inlineStr">
        <is>
          <t>DALARNAS LÄN</t>
        </is>
      </c>
      <c r="E72" t="inlineStr">
        <is>
          <t>MORA</t>
        </is>
      </c>
      <c r="G72" t="n">
        <v>1.8</v>
      </c>
      <c r="H72" t="n">
        <v>0</v>
      </c>
      <c r="I72" t="n">
        <v>0</v>
      </c>
      <c r="J72" t="n">
        <v>0</v>
      </c>
      <c r="K72" t="n">
        <v>0</v>
      </c>
      <c r="L72" t="n">
        <v>0</v>
      </c>
      <c r="M72" t="n">
        <v>0</v>
      </c>
      <c r="N72" t="n">
        <v>0</v>
      </c>
      <c r="O72" t="n">
        <v>0</v>
      </c>
      <c r="P72" t="n">
        <v>0</v>
      </c>
      <c r="Q72" t="n">
        <v>0</v>
      </c>
      <c r="R72" s="2" t="inlineStr"/>
    </row>
    <row r="73" ht="15" customHeight="1">
      <c r="A73" t="inlineStr">
        <is>
          <t>A 52732-2020</t>
        </is>
      </c>
      <c r="B73" s="1" t="n">
        <v>44118</v>
      </c>
      <c r="C73" s="1" t="n">
        <v>45927</v>
      </c>
      <c r="D73" t="inlineStr">
        <is>
          <t>DALARNAS LÄN</t>
        </is>
      </c>
      <c r="E73" t="inlineStr">
        <is>
          <t>MORA</t>
        </is>
      </c>
      <c r="G73" t="n">
        <v>3.9</v>
      </c>
      <c r="H73" t="n">
        <v>0</v>
      </c>
      <c r="I73" t="n">
        <v>0</v>
      </c>
      <c r="J73" t="n">
        <v>0</v>
      </c>
      <c r="K73" t="n">
        <v>0</v>
      </c>
      <c r="L73" t="n">
        <v>0</v>
      </c>
      <c r="M73" t="n">
        <v>0</v>
      </c>
      <c r="N73" t="n">
        <v>0</v>
      </c>
      <c r="O73" t="n">
        <v>0</v>
      </c>
      <c r="P73" t="n">
        <v>0</v>
      </c>
      <c r="Q73" t="n">
        <v>0</v>
      </c>
      <c r="R73" s="2" t="inlineStr"/>
    </row>
    <row r="74" ht="15" customHeight="1">
      <c r="A74" t="inlineStr">
        <is>
          <t>A 837-2021</t>
        </is>
      </c>
      <c r="B74" s="1" t="n">
        <v>44204</v>
      </c>
      <c r="C74" s="1" t="n">
        <v>45927</v>
      </c>
      <c r="D74" t="inlineStr">
        <is>
          <t>DALARNAS LÄN</t>
        </is>
      </c>
      <c r="E74" t="inlineStr">
        <is>
          <t>MORA</t>
        </is>
      </c>
      <c r="G74" t="n">
        <v>10.4</v>
      </c>
      <c r="H74" t="n">
        <v>0</v>
      </c>
      <c r="I74" t="n">
        <v>0</v>
      </c>
      <c r="J74" t="n">
        <v>0</v>
      </c>
      <c r="K74" t="n">
        <v>0</v>
      </c>
      <c r="L74" t="n">
        <v>0</v>
      </c>
      <c r="M74" t="n">
        <v>0</v>
      </c>
      <c r="N74" t="n">
        <v>0</v>
      </c>
      <c r="O74" t="n">
        <v>0</v>
      </c>
      <c r="P74" t="n">
        <v>0</v>
      </c>
      <c r="Q74" t="n">
        <v>0</v>
      </c>
      <c r="R74" s="2" t="inlineStr"/>
    </row>
    <row r="75" ht="15" customHeight="1">
      <c r="A75" t="inlineStr">
        <is>
          <t>A 66158-2021</t>
        </is>
      </c>
      <c r="B75" s="1" t="n">
        <v>44517.934375</v>
      </c>
      <c r="C75" s="1" t="n">
        <v>45927</v>
      </c>
      <c r="D75" t="inlineStr">
        <is>
          <t>DALARNAS LÄN</t>
        </is>
      </c>
      <c r="E75" t="inlineStr">
        <is>
          <t>MORA</t>
        </is>
      </c>
      <c r="G75" t="n">
        <v>3.3</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45927</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72648-2021</t>
        </is>
      </c>
      <c r="B77" s="1" t="n">
        <v>44546.5862037037</v>
      </c>
      <c r="C77" s="1" t="n">
        <v>45927</v>
      </c>
      <c r="D77" t="inlineStr">
        <is>
          <t>DALARNAS LÄN</t>
        </is>
      </c>
      <c r="E77" t="inlineStr">
        <is>
          <t>MORA</t>
        </is>
      </c>
      <c r="G77" t="n">
        <v>0.2</v>
      </c>
      <c r="H77" t="n">
        <v>0</v>
      </c>
      <c r="I77" t="n">
        <v>0</v>
      </c>
      <c r="J77" t="n">
        <v>0</v>
      </c>
      <c r="K77" t="n">
        <v>0</v>
      </c>
      <c r="L77" t="n">
        <v>0</v>
      </c>
      <c r="M77" t="n">
        <v>0</v>
      </c>
      <c r="N77" t="n">
        <v>0</v>
      </c>
      <c r="O77" t="n">
        <v>0</v>
      </c>
      <c r="P77" t="n">
        <v>0</v>
      </c>
      <c r="Q77" t="n">
        <v>0</v>
      </c>
      <c r="R77" s="2" t="inlineStr"/>
    </row>
    <row r="78" ht="15" customHeight="1">
      <c r="A78" t="inlineStr">
        <is>
          <t>A 34897-2022</t>
        </is>
      </c>
      <c r="B78" s="1" t="n">
        <v>44796</v>
      </c>
      <c r="C78" s="1" t="n">
        <v>45927</v>
      </c>
      <c r="D78" t="inlineStr">
        <is>
          <t>DALARNAS LÄN</t>
        </is>
      </c>
      <c r="E78" t="inlineStr">
        <is>
          <t>MORA</t>
        </is>
      </c>
      <c r="F78" t="inlineStr">
        <is>
          <t>Bergvik skog väst AB</t>
        </is>
      </c>
      <c r="G78" t="n">
        <v>8</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45927</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69517-2020</t>
        </is>
      </c>
      <c r="B80" s="1" t="n">
        <v>44194</v>
      </c>
      <c r="C80" s="1" t="n">
        <v>45927</v>
      </c>
      <c r="D80" t="inlineStr">
        <is>
          <t>DALARNAS LÄN</t>
        </is>
      </c>
      <c r="E80" t="inlineStr">
        <is>
          <t>MORA</t>
        </is>
      </c>
      <c r="G80" t="n">
        <v>2</v>
      </c>
      <c r="H80" t="n">
        <v>0</v>
      </c>
      <c r="I80" t="n">
        <v>0</v>
      </c>
      <c r="J80" t="n">
        <v>0</v>
      </c>
      <c r="K80" t="n">
        <v>0</v>
      </c>
      <c r="L80" t="n">
        <v>0</v>
      </c>
      <c r="M80" t="n">
        <v>0</v>
      </c>
      <c r="N80" t="n">
        <v>0</v>
      </c>
      <c r="O80" t="n">
        <v>0</v>
      </c>
      <c r="P80" t="n">
        <v>0</v>
      </c>
      <c r="Q80" t="n">
        <v>0</v>
      </c>
      <c r="R80" s="2" t="inlineStr"/>
    </row>
    <row r="81" ht="15" customHeight="1">
      <c r="A81" t="inlineStr">
        <is>
          <t>A 61338-2020</t>
        </is>
      </c>
      <c r="B81" s="1" t="n">
        <v>44155</v>
      </c>
      <c r="C81" s="1" t="n">
        <v>45927</v>
      </c>
      <c r="D81" t="inlineStr">
        <is>
          <t>DALARNAS LÄN</t>
        </is>
      </c>
      <c r="E81" t="inlineStr">
        <is>
          <t>MORA</t>
        </is>
      </c>
      <c r="F81" t="inlineStr">
        <is>
          <t>Bergvik skog väst AB</t>
        </is>
      </c>
      <c r="G81" t="n">
        <v>2</v>
      </c>
      <c r="H81" t="n">
        <v>0</v>
      </c>
      <c r="I81" t="n">
        <v>0</v>
      </c>
      <c r="J81" t="n">
        <v>0</v>
      </c>
      <c r="K81" t="n">
        <v>0</v>
      </c>
      <c r="L81" t="n">
        <v>0</v>
      </c>
      <c r="M81" t="n">
        <v>0</v>
      </c>
      <c r="N81" t="n">
        <v>0</v>
      </c>
      <c r="O81" t="n">
        <v>0</v>
      </c>
      <c r="P81" t="n">
        <v>0</v>
      </c>
      <c r="Q81" t="n">
        <v>0</v>
      </c>
      <c r="R81" s="2" t="inlineStr"/>
    </row>
    <row r="82" ht="15" customHeight="1">
      <c r="A82" t="inlineStr">
        <is>
          <t>A 1951-2021</t>
        </is>
      </c>
      <c r="B82" s="1" t="n">
        <v>44210</v>
      </c>
      <c r="C82" s="1" t="n">
        <v>45927</v>
      </c>
      <c r="D82" t="inlineStr">
        <is>
          <t>DALARNAS LÄN</t>
        </is>
      </c>
      <c r="E82" t="inlineStr">
        <is>
          <t>MORA</t>
        </is>
      </c>
      <c r="G82" t="n">
        <v>1.6</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45927</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45927</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45927</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45927</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45927</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45927</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45927</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45927</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45927</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45927</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45927</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45927</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45927</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45927</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45927</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45927</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43458-2021</t>
        </is>
      </c>
      <c r="B99" s="1" t="n">
        <v>44432</v>
      </c>
      <c r="C99" s="1" t="n">
        <v>45927</v>
      </c>
      <c r="D99" t="inlineStr">
        <is>
          <t>DALARNAS LÄN</t>
        </is>
      </c>
      <c r="E99" t="inlineStr">
        <is>
          <t>MORA</t>
        </is>
      </c>
      <c r="G99" t="n">
        <v>2.4</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45927</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45927</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45927</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45927</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45927</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67028-2020</t>
        </is>
      </c>
      <c r="B105" s="1" t="n">
        <v>44180</v>
      </c>
      <c r="C105" s="1" t="n">
        <v>45927</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45927</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45927</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45927</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45927</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45927</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45927</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45927</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45927</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45927</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45927</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45927</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45927</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45927</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59899-2021</t>
        </is>
      </c>
      <c r="B119" s="1" t="n">
        <v>44494.63381944445</v>
      </c>
      <c r="C119" s="1" t="n">
        <v>45927</v>
      </c>
      <c r="D119" t="inlineStr">
        <is>
          <t>DALARNAS LÄN</t>
        </is>
      </c>
      <c r="E119" t="inlineStr">
        <is>
          <t>MORA</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45927</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45927</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45927</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58413-2021</t>
        </is>
      </c>
      <c r="B123" s="1" t="n">
        <v>44488</v>
      </c>
      <c r="C123" s="1" t="n">
        <v>45927</v>
      </c>
      <c r="D123" t="inlineStr">
        <is>
          <t>DALARNAS LÄN</t>
        </is>
      </c>
      <c r="E123" t="inlineStr">
        <is>
          <t>MORA</t>
        </is>
      </c>
      <c r="F123" t="inlineStr">
        <is>
          <t>Bergvik skog öst AB</t>
        </is>
      </c>
      <c r="G123" t="n">
        <v>5.3</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45927</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32474-2022</t>
        </is>
      </c>
      <c r="B125" s="1" t="n">
        <v>44782</v>
      </c>
      <c r="C125" s="1" t="n">
        <v>45927</v>
      </c>
      <c r="D125" t="inlineStr">
        <is>
          <t>DALARNAS LÄN</t>
        </is>
      </c>
      <c r="E125" t="inlineStr">
        <is>
          <t>MORA</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45927</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45927</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45927</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45927</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60250-2020</t>
        </is>
      </c>
      <c r="B130" s="1" t="n">
        <v>44152</v>
      </c>
      <c r="C130" s="1" t="n">
        <v>45927</v>
      </c>
      <c r="D130" t="inlineStr">
        <is>
          <t>DALARNAS LÄN</t>
        </is>
      </c>
      <c r="E130" t="inlineStr">
        <is>
          <t>MORA</t>
        </is>
      </c>
      <c r="F130" t="inlineStr">
        <is>
          <t>Bergvik skog öst AB</t>
        </is>
      </c>
      <c r="G130" t="n">
        <v>0.8</v>
      </c>
      <c r="H130" t="n">
        <v>0</v>
      </c>
      <c r="I130" t="n">
        <v>0</v>
      </c>
      <c r="J130" t="n">
        <v>0</v>
      </c>
      <c r="K130" t="n">
        <v>0</v>
      </c>
      <c r="L130" t="n">
        <v>0</v>
      </c>
      <c r="M130" t="n">
        <v>0</v>
      </c>
      <c r="N130" t="n">
        <v>0</v>
      </c>
      <c r="O130" t="n">
        <v>0</v>
      </c>
      <c r="P130" t="n">
        <v>0</v>
      </c>
      <c r="Q130" t="n">
        <v>0</v>
      </c>
      <c r="R130" s="2" t="inlineStr"/>
    </row>
    <row r="131" ht="15" customHeight="1">
      <c r="A131" t="inlineStr">
        <is>
          <t>A 58961-2021</t>
        </is>
      </c>
      <c r="B131" s="1" t="n">
        <v>44489.94246527777</v>
      </c>
      <c r="C131" s="1" t="n">
        <v>45927</v>
      </c>
      <c r="D131" t="inlineStr">
        <is>
          <t>DALARNAS LÄN</t>
        </is>
      </c>
      <c r="E131" t="inlineStr">
        <is>
          <t>MORA</t>
        </is>
      </c>
      <c r="G131" t="n">
        <v>18</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45927</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52573-2021</t>
        </is>
      </c>
      <c r="B133" s="1" t="n">
        <v>44466</v>
      </c>
      <c r="C133" s="1" t="n">
        <v>45927</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45927</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45927</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57848-2020</t>
        </is>
      </c>
      <c r="B136" s="1" t="n">
        <v>44141</v>
      </c>
      <c r="C136" s="1" t="n">
        <v>45927</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45927</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27461-2022</t>
        </is>
      </c>
      <c r="B138" s="1" t="n">
        <v>44742.58386574074</v>
      </c>
      <c r="C138" s="1" t="n">
        <v>45927</v>
      </c>
      <c r="D138" t="inlineStr">
        <is>
          <t>DALARNAS LÄN</t>
        </is>
      </c>
      <c r="E138" t="inlineStr">
        <is>
          <t>MORA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45927</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45927</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45927</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45927</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59101-2024</t>
        </is>
      </c>
      <c r="B143" s="1" t="n">
        <v>45637.34074074074</v>
      </c>
      <c r="C143" s="1" t="n">
        <v>45927</v>
      </c>
      <c r="D143" t="inlineStr">
        <is>
          <t>DALARNAS LÄN</t>
        </is>
      </c>
      <c r="E143" t="inlineStr">
        <is>
          <t>MORA</t>
        </is>
      </c>
      <c r="F143" t="inlineStr">
        <is>
          <t>Allmännings- och besparingsskogar</t>
        </is>
      </c>
      <c r="G143" t="n">
        <v>1.2</v>
      </c>
      <c r="H143" t="n">
        <v>0</v>
      </c>
      <c r="I143" t="n">
        <v>0</v>
      </c>
      <c r="J143" t="n">
        <v>0</v>
      </c>
      <c r="K143" t="n">
        <v>0</v>
      </c>
      <c r="L143" t="n">
        <v>0</v>
      </c>
      <c r="M143" t="n">
        <v>0</v>
      </c>
      <c r="N143" t="n">
        <v>0</v>
      </c>
      <c r="O143" t="n">
        <v>0</v>
      </c>
      <c r="P143" t="n">
        <v>0</v>
      </c>
      <c r="Q143" t="n">
        <v>0</v>
      </c>
      <c r="R143" s="2" t="inlineStr"/>
    </row>
    <row r="144" ht="15" customHeight="1">
      <c r="A144" t="inlineStr">
        <is>
          <t>A 39348-2024</t>
        </is>
      </c>
      <c r="B144" s="1" t="n">
        <v>45551.45322916667</v>
      </c>
      <c r="C144" s="1" t="n">
        <v>45927</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5418-2025</t>
        </is>
      </c>
      <c r="B145" s="1" t="n">
        <v>45692.68561342593</v>
      </c>
      <c r="C145" s="1" t="n">
        <v>45927</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17176-2025</t>
        </is>
      </c>
      <c r="B146" s="1" t="n">
        <v>45756.37520833333</v>
      </c>
      <c r="C146" s="1" t="n">
        <v>45927</v>
      </c>
      <c r="D146" t="inlineStr">
        <is>
          <t>DALARNAS LÄN</t>
        </is>
      </c>
      <c r="E146" t="inlineStr">
        <is>
          <t>MORA</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54903-2024</t>
        </is>
      </c>
      <c r="B147" s="1" t="n">
        <v>45618</v>
      </c>
      <c r="C147" s="1" t="n">
        <v>45927</v>
      </c>
      <c r="D147" t="inlineStr">
        <is>
          <t>DALARNAS LÄN</t>
        </is>
      </c>
      <c r="E147" t="inlineStr">
        <is>
          <t>MORA</t>
        </is>
      </c>
      <c r="G147" t="n">
        <v>28.2</v>
      </c>
      <c r="H147" t="n">
        <v>0</v>
      </c>
      <c r="I147" t="n">
        <v>0</v>
      </c>
      <c r="J147" t="n">
        <v>0</v>
      </c>
      <c r="K147" t="n">
        <v>0</v>
      </c>
      <c r="L147" t="n">
        <v>0</v>
      </c>
      <c r="M147" t="n">
        <v>0</v>
      </c>
      <c r="N147" t="n">
        <v>0</v>
      </c>
      <c r="O147" t="n">
        <v>0</v>
      </c>
      <c r="P147" t="n">
        <v>0</v>
      </c>
      <c r="Q147" t="n">
        <v>0</v>
      </c>
      <c r="R147" s="2" t="inlineStr"/>
    </row>
    <row r="148" ht="15" customHeight="1">
      <c r="A148" t="inlineStr">
        <is>
          <t>A 46152-2023</t>
        </is>
      </c>
      <c r="B148" s="1" t="n">
        <v>45196.58278935185</v>
      </c>
      <c r="C148" s="1" t="n">
        <v>45927</v>
      </c>
      <c r="D148" t="inlineStr">
        <is>
          <t>DALARNAS LÄN</t>
        </is>
      </c>
      <c r="E148" t="inlineStr">
        <is>
          <t>MORA</t>
        </is>
      </c>
      <c r="G148" t="n">
        <v>2</v>
      </c>
      <c r="H148" t="n">
        <v>0</v>
      </c>
      <c r="I148" t="n">
        <v>0</v>
      </c>
      <c r="J148" t="n">
        <v>0</v>
      </c>
      <c r="K148" t="n">
        <v>0</v>
      </c>
      <c r="L148" t="n">
        <v>0</v>
      </c>
      <c r="M148" t="n">
        <v>0</v>
      </c>
      <c r="N148" t="n">
        <v>0</v>
      </c>
      <c r="O148" t="n">
        <v>0</v>
      </c>
      <c r="P148" t="n">
        <v>0</v>
      </c>
      <c r="Q148" t="n">
        <v>0</v>
      </c>
      <c r="R148" s="2" t="inlineStr"/>
    </row>
    <row r="149" ht="15" customHeight="1">
      <c r="A149" t="inlineStr">
        <is>
          <t>A 34927-2022</t>
        </is>
      </c>
      <c r="B149" s="1" t="n">
        <v>44796.60181712963</v>
      </c>
      <c r="C149" s="1" t="n">
        <v>45927</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23302-2024</t>
        </is>
      </c>
      <c r="B150" s="1" t="n">
        <v>45453.44091435185</v>
      </c>
      <c r="C150" s="1" t="n">
        <v>45927</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28832-2023</t>
        </is>
      </c>
      <c r="B151" s="1" t="n">
        <v>45104.40493055555</v>
      </c>
      <c r="C151" s="1" t="n">
        <v>45927</v>
      </c>
      <c r="D151" t="inlineStr">
        <is>
          <t>DALARNAS LÄN</t>
        </is>
      </c>
      <c r="E151" t="inlineStr">
        <is>
          <t>MORA</t>
        </is>
      </c>
      <c r="F151" t="inlineStr">
        <is>
          <t>Bergvik skog öst AB</t>
        </is>
      </c>
      <c r="G151" t="n">
        <v>2</v>
      </c>
      <c r="H151" t="n">
        <v>0</v>
      </c>
      <c r="I151" t="n">
        <v>0</v>
      </c>
      <c r="J151" t="n">
        <v>0</v>
      </c>
      <c r="K151" t="n">
        <v>0</v>
      </c>
      <c r="L151" t="n">
        <v>0</v>
      </c>
      <c r="M151" t="n">
        <v>0</v>
      </c>
      <c r="N151" t="n">
        <v>0</v>
      </c>
      <c r="O151" t="n">
        <v>0</v>
      </c>
      <c r="P151" t="n">
        <v>0</v>
      </c>
      <c r="Q151" t="n">
        <v>0</v>
      </c>
      <c r="R151" s="2" t="inlineStr"/>
    </row>
    <row r="152" ht="15" customHeight="1">
      <c r="A152" t="inlineStr">
        <is>
          <t>A 11442-2022</t>
        </is>
      </c>
      <c r="B152" s="1" t="n">
        <v>44630.62788194444</v>
      </c>
      <c r="C152" s="1" t="n">
        <v>45927</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52525-2022</t>
        </is>
      </c>
      <c r="B153" s="1" t="n">
        <v>44874</v>
      </c>
      <c r="C153" s="1" t="n">
        <v>45927</v>
      </c>
      <c r="D153" t="inlineStr">
        <is>
          <t>DALARNAS LÄN</t>
        </is>
      </c>
      <c r="E153" t="inlineStr">
        <is>
          <t>MORA</t>
        </is>
      </c>
      <c r="F153" t="inlineStr">
        <is>
          <t>Bergvik skog öst AB</t>
        </is>
      </c>
      <c r="G153" t="n">
        <v>0.9</v>
      </c>
      <c r="H153" t="n">
        <v>0</v>
      </c>
      <c r="I153" t="n">
        <v>0</v>
      </c>
      <c r="J153" t="n">
        <v>0</v>
      </c>
      <c r="K153" t="n">
        <v>0</v>
      </c>
      <c r="L153" t="n">
        <v>0</v>
      </c>
      <c r="M153" t="n">
        <v>0</v>
      </c>
      <c r="N153" t="n">
        <v>0</v>
      </c>
      <c r="O153" t="n">
        <v>0</v>
      </c>
      <c r="P153" t="n">
        <v>0</v>
      </c>
      <c r="Q153" t="n">
        <v>0</v>
      </c>
      <c r="R153" s="2" t="inlineStr"/>
    </row>
    <row r="154" ht="15" customHeight="1">
      <c r="A154" t="inlineStr">
        <is>
          <t>A 48390-2024</t>
        </is>
      </c>
      <c r="B154" s="1" t="n">
        <v>45590.60216435185</v>
      </c>
      <c r="C154" s="1" t="n">
        <v>45927</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43874-2024</t>
        </is>
      </c>
      <c r="B155" s="1" t="n">
        <v>45572.38476851852</v>
      </c>
      <c r="C155" s="1" t="n">
        <v>45927</v>
      </c>
      <c r="D155" t="inlineStr">
        <is>
          <t>DALARNAS LÄN</t>
        </is>
      </c>
      <c r="E155" t="inlineStr">
        <is>
          <t>MORA</t>
        </is>
      </c>
      <c r="G155" t="n">
        <v>3.6</v>
      </c>
      <c r="H155" t="n">
        <v>0</v>
      </c>
      <c r="I155" t="n">
        <v>0</v>
      </c>
      <c r="J155" t="n">
        <v>0</v>
      </c>
      <c r="K155" t="n">
        <v>0</v>
      </c>
      <c r="L155" t="n">
        <v>0</v>
      </c>
      <c r="M155" t="n">
        <v>0</v>
      </c>
      <c r="N155" t="n">
        <v>0</v>
      </c>
      <c r="O155" t="n">
        <v>0</v>
      </c>
      <c r="P155" t="n">
        <v>0</v>
      </c>
      <c r="Q155" t="n">
        <v>0</v>
      </c>
      <c r="R155" s="2" t="inlineStr"/>
    </row>
    <row r="156" ht="15" customHeight="1">
      <c r="A156" t="inlineStr">
        <is>
          <t>A 48824-2023</t>
        </is>
      </c>
      <c r="B156" s="1" t="n">
        <v>45203</v>
      </c>
      <c r="C156" s="1" t="n">
        <v>45927</v>
      </c>
      <c r="D156" t="inlineStr">
        <is>
          <t>DALARNAS LÄN</t>
        </is>
      </c>
      <c r="E156" t="inlineStr">
        <is>
          <t>MORA</t>
        </is>
      </c>
      <c r="G156" t="n">
        <v>3.3</v>
      </c>
      <c r="H156" t="n">
        <v>0</v>
      </c>
      <c r="I156" t="n">
        <v>0</v>
      </c>
      <c r="J156" t="n">
        <v>0</v>
      </c>
      <c r="K156" t="n">
        <v>0</v>
      </c>
      <c r="L156" t="n">
        <v>0</v>
      </c>
      <c r="M156" t="n">
        <v>0</v>
      </c>
      <c r="N156" t="n">
        <v>0</v>
      </c>
      <c r="O156" t="n">
        <v>0</v>
      </c>
      <c r="P156" t="n">
        <v>0</v>
      </c>
      <c r="Q156" t="n">
        <v>0</v>
      </c>
      <c r="R156" s="2" t="inlineStr"/>
    </row>
    <row r="157" ht="15" customHeight="1">
      <c r="A157" t="inlineStr">
        <is>
          <t>A 60099-2024</t>
        </is>
      </c>
      <c r="B157" s="1" t="n">
        <v>45642.55645833333</v>
      </c>
      <c r="C157" s="1" t="n">
        <v>45927</v>
      </c>
      <c r="D157" t="inlineStr">
        <is>
          <t>DALARNAS LÄN</t>
        </is>
      </c>
      <c r="E157" t="inlineStr">
        <is>
          <t>MORA</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63958-2023</t>
        </is>
      </c>
      <c r="B158" s="1" t="n">
        <v>45278</v>
      </c>
      <c r="C158" s="1" t="n">
        <v>45927</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48456-2022</t>
        </is>
      </c>
      <c r="B159" s="1" t="n">
        <v>44858.66387731482</v>
      </c>
      <c r="C159" s="1" t="n">
        <v>45927</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8343-2025</t>
        </is>
      </c>
      <c r="B160" s="1" t="n">
        <v>45708.67253472222</v>
      </c>
      <c r="C160" s="1" t="n">
        <v>45927</v>
      </c>
      <c r="D160" t="inlineStr">
        <is>
          <t>DALARNAS LÄN</t>
        </is>
      </c>
      <c r="E160" t="inlineStr">
        <is>
          <t>MORA</t>
        </is>
      </c>
      <c r="G160" t="n">
        <v>3.4</v>
      </c>
      <c r="H160" t="n">
        <v>0</v>
      </c>
      <c r="I160" t="n">
        <v>0</v>
      </c>
      <c r="J160" t="n">
        <v>0</v>
      </c>
      <c r="K160" t="n">
        <v>0</v>
      </c>
      <c r="L160" t="n">
        <v>0</v>
      </c>
      <c r="M160" t="n">
        <v>0</v>
      </c>
      <c r="N160" t="n">
        <v>0</v>
      </c>
      <c r="O160" t="n">
        <v>0</v>
      </c>
      <c r="P160" t="n">
        <v>0</v>
      </c>
      <c r="Q160" t="n">
        <v>0</v>
      </c>
      <c r="R160" s="2" t="inlineStr"/>
    </row>
    <row r="161" ht="15" customHeight="1">
      <c r="A161" t="inlineStr">
        <is>
          <t>A 17163-2025</t>
        </is>
      </c>
      <c r="B161" s="1" t="n">
        <v>45756.35998842592</v>
      </c>
      <c r="C161" s="1" t="n">
        <v>45927</v>
      </c>
      <c r="D161" t="inlineStr">
        <is>
          <t>DALARNAS LÄN</t>
        </is>
      </c>
      <c r="E161" t="inlineStr">
        <is>
          <t>MORA</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34272-2024</t>
        </is>
      </c>
      <c r="B162" s="1" t="n">
        <v>45524.61752314815</v>
      </c>
      <c r="C162" s="1" t="n">
        <v>45927</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37771-2022</t>
        </is>
      </c>
      <c r="B163" s="1" t="n">
        <v>44810.63806712963</v>
      </c>
      <c r="C163" s="1" t="n">
        <v>45927</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21877-2025</t>
        </is>
      </c>
      <c r="B164" s="1" t="n">
        <v>45784.40041666666</v>
      </c>
      <c r="C164" s="1" t="n">
        <v>45927</v>
      </c>
      <c r="D164" t="inlineStr">
        <is>
          <t>DALARNAS LÄN</t>
        </is>
      </c>
      <c r="E164" t="inlineStr">
        <is>
          <t>MORA</t>
        </is>
      </c>
      <c r="G164" t="n">
        <v>5.9</v>
      </c>
      <c r="H164" t="n">
        <v>0</v>
      </c>
      <c r="I164" t="n">
        <v>0</v>
      </c>
      <c r="J164" t="n">
        <v>0</v>
      </c>
      <c r="K164" t="n">
        <v>0</v>
      </c>
      <c r="L164" t="n">
        <v>0</v>
      </c>
      <c r="M164" t="n">
        <v>0</v>
      </c>
      <c r="N164" t="n">
        <v>0</v>
      </c>
      <c r="O164" t="n">
        <v>0</v>
      </c>
      <c r="P164" t="n">
        <v>0</v>
      </c>
      <c r="Q164" t="n">
        <v>0</v>
      </c>
      <c r="R164" s="2" t="inlineStr"/>
    </row>
    <row r="165" ht="15" customHeight="1">
      <c r="A165" t="inlineStr">
        <is>
          <t>A 16573-2024</t>
        </is>
      </c>
      <c r="B165" s="1" t="n">
        <v>45408.46980324074</v>
      </c>
      <c r="C165" s="1" t="n">
        <v>45927</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45927</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21894-2025</t>
        </is>
      </c>
      <c r="B167" s="1" t="n">
        <v>45784.45060185185</v>
      </c>
      <c r="C167" s="1" t="n">
        <v>45927</v>
      </c>
      <c r="D167" t="inlineStr">
        <is>
          <t>DALARNAS LÄN</t>
        </is>
      </c>
      <c r="E167" t="inlineStr">
        <is>
          <t>MORA</t>
        </is>
      </c>
      <c r="G167" t="n">
        <v>0.7</v>
      </c>
      <c r="H167" t="n">
        <v>0</v>
      </c>
      <c r="I167" t="n">
        <v>0</v>
      </c>
      <c r="J167" t="n">
        <v>0</v>
      </c>
      <c r="K167" t="n">
        <v>0</v>
      </c>
      <c r="L167" t="n">
        <v>0</v>
      </c>
      <c r="M167" t="n">
        <v>0</v>
      </c>
      <c r="N167" t="n">
        <v>0</v>
      </c>
      <c r="O167" t="n">
        <v>0</v>
      </c>
      <c r="P167" t="n">
        <v>0</v>
      </c>
      <c r="Q167" t="n">
        <v>0</v>
      </c>
      <c r="R167" s="2" t="inlineStr"/>
    </row>
    <row r="168" ht="15" customHeight="1">
      <c r="A168" t="inlineStr">
        <is>
          <t>A 36579-2022</t>
        </is>
      </c>
      <c r="B168" s="1" t="n">
        <v>44804.61636574074</v>
      </c>
      <c r="C168" s="1" t="n">
        <v>45927</v>
      </c>
      <c r="D168" t="inlineStr">
        <is>
          <t>DALARNAS LÄN</t>
        </is>
      </c>
      <c r="E168" t="inlineStr">
        <is>
          <t>MORA</t>
        </is>
      </c>
      <c r="G168" t="n">
        <v>2.3</v>
      </c>
      <c r="H168" t="n">
        <v>0</v>
      </c>
      <c r="I168" t="n">
        <v>0</v>
      </c>
      <c r="J168" t="n">
        <v>0</v>
      </c>
      <c r="K168" t="n">
        <v>0</v>
      </c>
      <c r="L168" t="n">
        <v>0</v>
      </c>
      <c r="M168" t="n">
        <v>0</v>
      </c>
      <c r="N168" t="n">
        <v>0</v>
      </c>
      <c r="O168" t="n">
        <v>0</v>
      </c>
      <c r="P168" t="n">
        <v>0</v>
      </c>
      <c r="Q168" t="n">
        <v>0</v>
      </c>
      <c r="R168" s="2" t="inlineStr"/>
    </row>
    <row r="169" ht="15" customHeight="1">
      <c r="A169" t="inlineStr">
        <is>
          <t>A 30030-2021</t>
        </is>
      </c>
      <c r="B169" s="1" t="n">
        <v>44363</v>
      </c>
      <c r="C169" s="1" t="n">
        <v>45927</v>
      </c>
      <c r="D169" t="inlineStr">
        <is>
          <t>DALARNAS LÄN</t>
        </is>
      </c>
      <c r="E169" t="inlineStr">
        <is>
          <t>MORA</t>
        </is>
      </c>
      <c r="G169" t="n">
        <v>7.1</v>
      </c>
      <c r="H169" t="n">
        <v>0</v>
      </c>
      <c r="I169" t="n">
        <v>0</v>
      </c>
      <c r="J169" t="n">
        <v>0</v>
      </c>
      <c r="K169" t="n">
        <v>0</v>
      </c>
      <c r="L169" t="n">
        <v>0</v>
      </c>
      <c r="M169" t="n">
        <v>0</v>
      </c>
      <c r="N169" t="n">
        <v>0</v>
      </c>
      <c r="O169" t="n">
        <v>0</v>
      </c>
      <c r="P169" t="n">
        <v>0</v>
      </c>
      <c r="Q169" t="n">
        <v>0</v>
      </c>
      <c r="R169" s="2" t="inlineStr"/>
    </row>
    <row r="170" ht="15" customHeight="1">
      <c r="A170" t="inlineStr">
        <is>
          <t>A 33531-2024</t>
        </is>
      </c>
      <c r="B170" s="1" t="n">
        <v>45519.67503472222</v>
      </c>
      <c r="C170" s="1" t="n">
        <v>45927</v>
      </c>
      <c r="D170" t="inlineStr">
        <is>
          <t>DALARNAS LÄN</t>
        </is>
      </c>
      <c r="E170" t="inlineStr">
        <is>
          <t>MORA</t>
        </is>
      </c>
      <c r="G170" t="n">
        <v>14.8</v>
      </c>
      <c r="H170" t="n">
        <v>0</v>
      </c>
      <c r="I170" t="n">
        <v>0</v>
      </c>
      <c r="J170" t="n">
        <v>0</v>
      </c>
      <c r="K170" t="n">
        <v>0</v>
      </c>
      <c r="L170" t="n">
        <v>0</v>
      </c>
      <c r="M170" t="n">
        <v>0</v>
      </c>
      <c r="N170" t="n">
        <v>0</v>
      </c>
      <c r="O170" t="n">
        <v>0</v>
      </c>
      <c r="P170" t="n">
        <v>0</v>
      </c>
      <c r="Q170" t="n">
        <v>0</v>
      </c>
      <c r="R170" s="2" t="inlineStr"/>
    </row>
    <row r="171" ht="15" customHeight="1">
      <c r="A171" t="inlineStr">
        <is>
          <t>A 21890-2025</t>
        </is>
      </c>
      <c r="B171" s="1" t="n">
        <v>45784.44481481481</v>
      </c>
      <c r="C171" s="1" t="n">
        <v>45927</v>
      </c>
      <c r="D171" t="inlineStr">
        <is>
          <t>DALARNAS LÄN</t>
        </is>
      </c>
      <c r="E171" t="inlineStr">
        <is>
          <t>MORA</t>
        </is>
      </c>
      <c r="G171" t="n">
        <v>3.8</v>
      </c>
      <c r="H171" t="n">
        <v>0</v>
      </c>
      <c r="I171" t="n">
        <v>0</v>
      </c>
      <c r="J171" t="n">
        <v>0</v>
      </c>
      <c r="K171" t="n">
        <v>0</v>
      </c>
      <c r="L171" t="n">
        <v>0</v>
      </c>
      <c r="M171" t="n">
        <v>0</v>
      </c>
      <c r="N171" t="n">
        <v>0</v>
      </c>
      <c r="O171" t="n">
        <v>0</v>
      </c>
      <c r="P171" t="n">
        <v>0</v>
      </c>
      <c r="Q171" t="n">
        <v>0</v>
      </c>
      <c r="R171" s="2" t="inlineStr"/>
    </row>
    <row r="172" ht="15" customHeight="1">
      <c r="A172" t="inlineStr">
        <is>
          <t>A 21895-2025</t>
        </is>
      </c>
      <c r="B172" s="1" t="n">
        <v>45784.45273148148</v>
      </c>
      <c r="C172" s="1" t="n">
        <v>45927</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67045-2021</t>
        </is>
      </c>
      <c r="B173" s="1" t="n">
        <v>44522</v>
      </c>
      <c r="C173" s="1" t="n">
        <v>45927</v>
      </c>
      <c r="D173" t="inlineStr">
        <is>
          <t>DALARNAS LÄN</t>
        </is>
      </c>
      <c r="E173" t="inlineStr">
        <is>
          <t>MORA</t>
        </is>
      </c>
      <c r="G173" t="n">
        <v>0.2</v>
      </c>
      <c r="H173" t="n">
        <v>0</v>
      </c>
      <c r="I173" t="n">
        <v>0</v>
      </c>
      <c r="J173" t="n">
        <v>0</v>
      </c>
      <c r="K173" t="n">
        <v>0</v>
      </c>
      <c r="L173" t="n">
        <v>0</v>
      </c>
      <c r="M173" t="n">
        <v>0</v>
      </c>
      <c r="N173" t="n">
        <v>0</v>
      </c>
      <c r="O173" t="n">
        <v>0</v>
      </c>
      <c r="P173" t="n">
        <v>0</v>
      </c>
      <c r="Q173" t="n">
        <v>0</v>
      </c>
      <c r="R173" s="2" t="inlineStr"/>
    </row>
    <row r="174" ht="15" customHeight="1">
      <c r="A174" t="inlineStr">
        <is>
          <t>A 31929-2024</t>
        </is>
      </c>
      <c r="B174" s="1" t="n">
        <v>45510.40587962963</v>
      </c>
      <c r="C174" s="1" t="n">
        <v>45927</v>
      </c>
      <c r="D174" t="inlineStr">
        <is>
          <t>DALARNAS LÄN</t>
        </is>
      </c>
      <c r="E174" t="inlineStr">
        <is>
          <t>MORA</t>
        </is>
      </c>
      <c r="G174" t="n">
        <v>10.8</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45927</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51780-2023</t>
        </is>
      </c>
      <c r="B176" s="1" t="n">
        <v>45222</v>
      </c>
      <c r="C176" s="1" t="n">
        <v>45927</v>
      </c>
      <c r="D176" t="inlineStr">
        <is>
          <t>DALARNAS LÄN</t>
        </is>
      </c>
      <c r="E176" t="inlineStr">
        <is>
          <t>MORA</t>
        </is>
      </c>
      <c r="G176" t="n">
        <v>9.9</v>
      </c>
      <c r="H176" t="n">
        <v>0</v>
      </c>
      <c r="I176" t="n">
        <v>0</v>
      </c>
      <c r="J176" t="n">
        <v>0</v>
      </c>
      <c r="K176" t="n">
        <v>0</v>
      </c>
      <c r="L176" t="n">
        <v>0</v>
      </c>
      <c r="M176" t="n">
        <v>0</v>
      </c>
      <c r="N176" t="n">
        <v>0</v>
      </c>
      <c r="O176" t="n">
        <v>0</v>
      </c>
      <c r="P176" t="n">
        <v>0</v>
      </c>
      <c r="Q176" t="n">
        <v>0</v>
      </c>
      <c r="R176" s="2" t="inlineStr"/>
    </row>
    <row r="177" ht="15" customHeight="1">
      <c r="A177" t="inlineStr">
        <is>
          <t>A 15818-2024</t>
        </is>
      </c>
      <c r="B177" s="1" t="n">
        <v>45404.67442129629</v>
      </c>
      <c r="C177" s="1" t="n">
        <v>45927</v>
      </c>
      <c r="D177" t="inlineStr">
        <is>
          <t>DALARNAS LÄN</t>
        </is>
      </c>
      <c r="E177" t="inlineStr">
        <is>
          <t>MORA</t>
        </is>
      </c>
      <c r="G177" t="n">
        <v>7</v>
      </c>
      <c r="H177" t="n">
        <v>0</v>
      </c>
      <c r="I177" t="n">
        <v>0</v>
      </c>
      <c r="J177" t="n">
        <v>0</v>
      </c>
      <c r="K177" t="n">
        <v>0</v>
      </c>
      <c r="L177" t="n">
        <v>0</v>
      </c>
      <c r="M177" t="n">
        <v>0</v>
      </c>
      <c r="N177" t="n">
        <v>0</v>
      </c>
      <c r="O177" t="n">
        <v>0</v>
      </c>
      <c r="P177" t="n">
        <v>0</v>
      </c>
      <c r="Q177" t="n">
        <v>0</v>
      </c>
      <c r="R177" s="2" t="inlineStr"/>
    </row>
    <row r="178" ht="15" customHeight="1">
      <c r="A178" t="inlineStr">
        <is>
          <t>A 55249-2020</t>
        </is>
      </c>
      <c r="B178" s="1" t="n">
        <v>44130</v>
      </c>
      <c r="C178" s="1" t="n">
        <v>45927</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61405-2023</t>
        </is>
      </c>
      <c r="B179" s="1" t="n">
        <v>45264.65987268519</v>
      </c>
      <c r="C179" s="1" t="n">
        <v>45927</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14832-2025</t>
        </is>
      </c>
      <c r="B180" s="1" t="n">
        <v>45743</v>
      </c>
      <c r="C180" s="1" t="n">
        <v>45927</v>
      </c>
      <c r="D180" t="inlineStr">
        <is>
          <t>DALARNAS LÄN</t>
        </is>
      </c>
      <c r="E180" t="inlineStr">
        <is>
          <t>MORA</t>
        </is>
      </c>
      <c r="G180" t="n">
        <v>9.1</v>
      </c>
      <c r="H180" t="n">
        <v>0</v>
      </c>
      <c r="I180" t="n">
        <v>0</v>
      </c>
      <c r="J180" t="n">
        <v>0</v>
      </c>
      <c r="K180" t="n">
        <v>0</v>
      </c>
      <c r="L180" t="n">
        <v>0</v>
      </c>
      <c r="M180" t="n">
        <v>0</v>
      </c>
      <c r="N180" t="n">
        <v>0</v>
      </c>
      <c r="O180" t="n">
        <v>0</v>
      </c>
      <c r="P180" t="n">
        <v>0</v>
      </c>
      <c r="Q180" t="n">
        <v>0</v>
      </c>
      <c r="R180" s="2" t="inlineStr"/>
    </row>
    <row r="181" ht="15" customHeight="1">
      <c r="A181" t="inlineStr">
        <is>
          <t>A 53026-2023</t>
        </is>
      </c>
      <c r="B181" s="1" t="n">
        <v>45226.6987037037</v>
      </c>
      <c r="C181" s="1" t="n">
        <v>45927</v>
      </c>
      <c r="D181" t="inlineStr">
        <is>
          <t>DALARNAS LÄN</t>
        </is>
      </c>
      <c r="E181" t="inlineStr">
        <is>
          <t>MORA</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33513-2024</t>
        </is>
      </c>
      <c r="B182" s="1" t="n">
        <v>45519.644375</v>
      </c>
      <c r="C182" s="1" t="n">
        <v>45927</v>
      </c>
      <c r="D182" t="inlineStr">
        <is>
          <t>DALARNAS LÄN</t>
        </is>
      </c>
      <c r="E182" t="inlineStr">
        <is>
          <t>MORA</t>
        </is>
      </c>
      <c r="G182" t="n">
        <v>5.9</v>
      </c>
      <c r="H182" t="n">
        <v>0</v>
      </c>
      <c r="I182" t="n">
        <v>0</v>
      </c>
      <c r="J182" t="n">
        <v>0</v>
      </c>
      <c r="K182" t="n">
        <v>0</v>
      </c>
      <c r="L182" t="n">
        <v>0</v>
      </c>
      <c r="M182" t="n">
        <v>0</v>
      </c>
      <c r="N182" t="n">
        <v>0</v>
      </c>
      <c r="O182" t="n">
        <v>0</v>
      </c>
      <c r="P182" t="n">
        <v>0</v>
      </c>
      <c r="Q182" t="n">
        <v>0</v>
      </c>
      <c r="R182" s="2" t="inlineStr"/>
    </row>
    <row r="183" ht="15" customHeight="1">
      <c r="A183" t="inlineStr">
        <is>
          <t>A 35040-2023</t>
        </is>
      </c>
      <c r="B183" s="1" t="n">
        <v>45145.36853009259</v>
      </c>
      <c r="C183" s="1" t="n">
        <v>45927</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22354-2025</t>
        </is>
      </c>
      <c r="B184" s="1" t="n">
        <v>45786.45721064815</v>
      </c>
      <c r="C184" s="1" t="n">
        <v>45927</v>
      </c>
      <c r="D184" t="inlineStr">
        <is>
          <t>DALARNAS LÄN</t>
        </is>
      </c>
      <c r="E184" t="inlineStr">
        <is>
          <t>MORA</t>
        </is>
      </c>
      <c r="F184" t="inlineStr">
        <is>
          <t>Bergvik skog öst AB</t>
        </is>
      </c>
      <c r="G184" t="n">
        <v>2</v>
      </c>
      <c r="H184" t="n">
        <v>0</v>
      </c>
      <c r="I184" t="n">
        <v>0</v>
      </c>
      <c r="J184" t="n">
        <v>0</v>
      </c>
      <c r="K184" t="n">
        <v>0</v>
      </c>
      <c r="L184" t="n">
        <v>0</v>
      </c>
      <c r="M184" t="n">
        <v>0</v>
      </c>
      <c r="N184" t="n">
        <v>0</v>
      </c>
      <c r="O184" t="n">
        <v>0</v>
      </c>
      <c r="P184" t="n">
        <v>0</v>
      </c>
      <c r="Q184" t="n">
        <v>0</v>
      </c>
      <c r="R184" s="2" t="inlineStr"/>
    </row>
    <row r="185" ht="15" customHeight="1">
      <c r="A185" t="inlineStr">
        <is>
          <t>A 39674-2023</t>
        </is>
      </c>
      <c r="B185" s="1" t="n">
        <v>45167</v>
      </c>
      <c r="C185" s="1" t="n">
        <v>45927</v>
      </c>
      <c r="D185" t="inlineStr">
        <is>
          <t>DALARNAS LÄN</t>
        </is>
      </c>
      <c r="E185" t="inlineStr">
        <is>
          <t>MORA</t>
        </is>
      </c>
      <c r="G185" t="n">
        <v>2.4</v>
      </c>
      <c r="H185" t="n">
        <v>0</v>
      </c>
      <c r="I185" t="n">
        <v>0</v>
      </c>
      <c r="J185" t="n">
        <v>0</v>
      </c>
      <c r="K185" t="n">
        <v>0</v>
      </c>
      <c r="L185" t="n">
        <v>0</v>
      </c>
      <c r="M185" t="n">
        <v>0</v>
      </c>
      <c r="N185" t="n">
        <v>0</v>
      </c>
      <c r="O185" t="n">
        <v>0</v>
      </c>
      <c r="P185" t="n">
        <v>0</v>
      </c>
      <c r="Q185" t="n">
        <v>0</v>
      </c>
      <c r="R185" s="2" t="inlineStr"/>
    </row>
    <row r="186" ht="15" customHeight="1">
      <c r="A186" t="inlineStr">
        <is>
          <t>A 18559-2024</t>
        </is>
      </c>
      <c r="B186" s="1" t="n">
        <v>45425.66265046296</v>
      </c>
      <c r="C186" s="1" t="n">
        <v>45927</v>
      </c>
      <c r="D186" t="inlineStr">
        <is>
          <t>DALARNAS LÄN</t>
        </is>
      </c>
      <c r="E186" t="inlineStr">
        <is>
          <t>MORA</t>
        </is>
      </c>
      <c r="G186" t="n">
        <v>3.6</v>
      </c>
      <c r="H186" t="n">
        <v>0</v>
      </c>
      <c r="I186" t="n">
        <v>0</v>
      </c>
      <c r="J186" t="n">
        <v>0</v>
      </c>
      <c r="K186" t="n">
        <v>0</v>
      </c>
      <c r="L186" t="n">
        <v>0</v>
      </c>
      <c r="M186" t="n">
        <v>0</v>
      </c>
      <c r="N186" t="n">
        <v>0</v>
      </c>
      <c r="O186" t="n">
        <v>0</v>
      </c>
      <c r="P186" t="n">
        <v>0</v>
      </c>
      <c r="Q186" t="n">
        <v>0</v>
      </c>
      <c r="R186" s="2" t="inlineStr"/>
    </row>
    <row r="187" ht="15" customHeight="1">
      <c r="A187" t="inlineStr">
        <is>
          <t>A 14744-2022</t>
        </is>
      </c>
      <c r="B187" s="1" t="n">
        <v>44656.37616898148</v>
      </c>
      <c r="C187" s="1" t="n">
        <v>45927</v>
      </c>
      <c r="D187" t="inlineStr">
        <is>
          <t>DALARNAS LÄN</t>
        </is>
      </c>
      <c r="E187" t="inlineStr">
        <is>
          <t>MORA</t>
        </is>
      </c>
      <c r="G187" t="n">
        <v>1.9</v>
      </c>
      <c r="H187" t="n">
        <v>0</v>
      </c>
      <c r="I187" t="n">
        <v>0</v>
      </c>
      <c r="J187" t="n">
        <v>0</v>
      </c>
      <c r="K187" t="n">
        <v>0</v>
      </c>
      <c r="L187" t="n">
        <v>0</v>
      </c>
      <c r="M187" t="n">
        <v>0</v>
      </c>
      <c r="N187" t="n">
        <v>0</v>
      </c>
      <c r="O187" t="n">
        <v>0</v>
      </c>
      <c r="P187" t="n">
        <v>0</v>
      </c>
      <c r="Q187" t="n">
        <v>0</v>
      </c>
      <c r="R187" s="2" t="inlineStr"/>
    </row>
    <row r="188" ht="15" customHeight="1">
      <c r="A188" t="inlineStr">
        <is>
          <t>A 8546-2022</t>
        </is>
      </c>
      <c r="B188" s="1" t="n">
        <v>44613</v>
      </c>
      <c r="C188" s="1" t="n">
        <v>45927</v>
      </c>
      <c r="D188" t="inlineStr">
        <is>
          <t>DALARNAS LÄN</t>
        </is>
      </c>
      <c r="E188" t="inlineStr">
        <is>
          <t>MORA</t>
        </is>
      </c>
      <c r="G188" t="n">
        <v>2.6</v>
      </c>
      <c r="H188" t="n">
        <v>0</v>
      </c>
      <c r="I188" t="n">
        <v>0</v>
      </c>
      <c r="J188" t="n">
        <v>0</v>
      </c>
      <c r="K188" t="n">
        <v>0</v>
      </c>
      <c r="L188" t="n">
        <v>0</v>
      </c>
      <c r="M188" t="n">
        <v>0</v>
      </c>
      <c r="N188" t="n">
        <v>0</v>
      </c>
      <c r="O188" t="n">
        <v>0</v>
      </c>
      <c r="P188" t="n">
        <v>0</v>
      </c>
      <c r="Q188" t="n">
        <v>0</v>
      </c>
      <c r="R188" s="2" t="inlineStr"/>
    </row>
    <row r="189" ht="15" customHeight="1">
      <c r="A189" t="inlineStr">
        <is>
          <t>A 44595-2024</t>
        </is>
      </c>
      <c r="B189" s="1" t="n">
        <v>45574.51053240741</v>
      </c>
      <c r="C189" s="1" t="n">
        <v>45927</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18702-2025</t>
        </is>
      </c>
      <c r="B190" s="1" t="n">
        <v>45763.63166666667</v>
      </c>
      <c r="C190" s="1" t="n">
        <v>45927</v>
      </c>
      <c r="D190" t="inlineStr">
        <is>
          <t>DALARNAS LÄN</t>
        </is>
      </c>
      <c r="E190" t="inlineStr">
        <is>
          <t>MORA</t>
        </is>
      </c>
      <c r="G190" t="n">
        <v>3.6</v>
      </c>
      <c r="H190" t="n">
        <v>0</v>
      </c>
      <c r="I190" t="n">
        <v>0</v>
      </c>
      <c r="J190" t="n">
        <v>0</v>
      </c>
      <c r="K190" t="n">
        <v>0</v>
      </c>
      <c r="L190" t="n">
        <v>0</v>
      </c>
      <c r="M190" t="n">
        <v>0</v>
      </c>
      <c r="N190" t="n">
        <v>0</v>
      </c>
      <c r="O190" t="n">
        <v>0</v>
      </c>
      <c r="P190" t="n">
        <v>0</v>
      </c>
      <c r="Q190" t="n">
        <v>0</v>
      </c>
      <c r="R190" s="2" t="inlineStr"/>
    </row>
    <row r="191" ht="15" customHeight="1">
      <c r="A191" t="inlineStr">
        <is>
          <t>A 22409-2025</t>
        </is>
      </c>
      <c r="B191" s="1" t="n">
        <v>45786.54940972223</v>
      </c>
      <c r="C191" s="1" t="n">
        <v>45927</v>
      </c>
      <c r="D191" t="inlineStr">
        <is>
          <t>DALARNAS LÄN</t>
        </is>
      </c>
      <c r="E191" t="inlineStr">
        <is>
          <t>MORA</t>
        </is>
      </c>
      <c r="F191" t="inlineStr">
        <is>
          <t>Bergvik skog öst AB</t>
        </is>
      </c>
      <c r="G191" t="n">
        <v>5</v>
      </c>
      <c r="H191" t="n">
        <v>0</v>
      </c>
      <c r="I191" t="n">
        <v>0</v>
      </c>
      <c r="J191" t="n">
        <v>0</v>
      </c>
      <c r="K191" t="n">
        <v>0</v>
      </c>
      <c r="L191" t="n">
        <v>0</v>
      </c>
      <c r="M191" t="n">
        <v>0</v>
      </c>
      <c r="N191" t="n">
        <v>0</v>
      </c>
      <c r="O191" t="n">
        <v>0</v>
      </c>
      <c r="P191" t="n">
        <v>0</v>
      </c>
      <c r="Q191" t="n">
        <v>0</v>
      </c>
      <c r="R191" s="2" t="inlineStr"/>
    </row>
    <row r="192" ht="15" customHeight="1">
      <c r="A192" t="inlineStr">
        <is>
          <t>A 43432-2024</t>
        </is>
      </c>
      <c r="B192" s="1" t="n">
        <v>45568.64337962963</v>
      </c>
      <c r="C192" s="1" t="n">
        <v>45927</v>
      </c>
      <c r="D192" t="inlineStr">
        <is>
          <t>DALARNAS LÄN</t>
        </is>
      </c>
      <c r="E192" t="inlineStr">
        <is>
          <t>MORA</t>
        </is>
      </c>
      <c r="G192" t="n">
        <v>0.4</v>
      </c>
      <c r="H192" t="n">
        <v>0</v>
      </c>
      <c r="I192" t="n">
        <v>0</v>
      </c>
      <c r="J192" t="n">
        <v>0</v>
      </c>
      <c r="K192" t="n">
        <v>0</v>
      </c>
      <c r="L192" t="n">
        <v>0</v>
      </c>
      <c r="M192" t="n">
        <v>0</v>
      </c>
      <c r="N192" t="n">
        <v>0</v>
      </c>
      <c r="O192" t="n">
        <v>0</v>
      </c>
      <c r="P192" t="n">
        <v>0</v>
      </c>
      <c r="Q192" t="n">
        <v>0</v>
      </c>
      <c r="R192" s="2" t="inlineStr"/>
    </row>
    <row r="193" ht="15" customHeight="1">
      <c r="A193" t="inlineStr">
        <is>
          <t>A 61293-2022</t>
        </is>
      </c>
      <c r="B193" s="1" t="n">
        <v>44915.62751157407</v>
      </c>
      <c r="C193" s="1" t="n">
        <v>45927</v>
      </c>
      <c r="D193" t="inlineStr">
        <is>
          <t>DALARNAS LÄN</t>
        </is>
      </c>
      <c r="E193" t="inlineStr">
        <is>
          <t>MORA</t>
        </is>
      </c>
      <c r="G193" t="n">
        <v>0.3</v>
      </c>
      <c r="H193" t="n">
        <v>0</v>
      </c>
      <c r="I193" t="n">
        <v>0</v>
      </c>
      <c r="J193" t="n">
        <v>0</v>
      </c>
      <c r="K193" t="n">
        <v>0</v>
      </c>
      <c r="L193" t="n">
        <v>0</v>
      </c>
      <c r="M193" t="n">
        <v>0</v>
      </c>
      <c r="N193" t="n">
        <v>0</v>
      </c>
      <c r="O193" t="n">
        <v>0</v>
      </c>
      <c r="P193" t="n">
        <v>0</v>
      </c>
      <c r="Q193" t="n">
        <v>0</v>
      </c>
      <c r="R193" s="2" t="inlineStr"/>
    </row>
    <row r="194" ht="15" customHeight="1">
      <c r="A194" t="inlineStr">
        <is>
          <t>A 48342-2023</t>
        </is>
      </c>
      <c r="B194" s="1" t="n">
        <v>45205</v>
      </c>
      <c r="C194" s="1" t="n">
        <v>45927</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46412-2024</t>
        </is>
      </c>
      <c r="B195" s="1" t="n">
        <v>45582.44894675926</v>
      </c>
      <c r="C195" s="1" t="n">
        <v>45927</v>
      </c>
      <c r="D195" t="inlineStr">
        <is>
          <t>DALARNAS LÄN</t>
        </is>
      </c>
      <c r="E195" t="inlineStr">
        <is>
          <t>MORA</t>
        </is>
      </c>
      <c r="G195" t="n">
        <v>4.1</v>
      </c>
      <c r="H195" t="n">
        <v>0</v>
      </c>
      <c r="I195" t="n">
        <v>0</v>
      </c>
      <c r="J195" t="n">
        <v>0</v>
      </c>
      <c r="K195" t="n">
        <v>0</v>
      </c>
      <c r="L195" t="n">
        <v>0</v>
      </c>
      <c r="M195" t="n">
        <v>0</v>
      </c>
      <c r="N195" t="n">
        <v>0</v>
      </c>
      <c r="O195" t="n">
        <v>0</v>
      </c>
      <c r="P195" t="n">
        <v>0</v>
      </c>
      <c r="Q195" t="n">
        <v>0</v>
      </c>
      <c r="R195" s="2" t="inlineStr"/>
    </row>
    <row r="196" ht="15" customHeight="1">
      <c r="A196" t="inlineStr">
        <is>
          <t>A 37971-2024</t>
        </is>
      </c>
      <c r="B196" s="1" t="n">
        <v>45544</v>
      </c>
      <c r="C196" s="1" t="n">
        <v>45927</v>
      </c>
      <c r="D196" t="inlineStr">
        <is>
          <t>DALARNAS LÄN</t>
        </is>
      </c>
      <c r="E196" t="inlineStr">
        <is>
          <t>MORA</t>
        </is>
      </c>
      <c r="G196" t="n">
        <v>2.3</v>
      </c>
      <c r="H196" t="n">
        <v>0</v>
      </c>
      <c r="I196" t="n">
        <v>0</v>
      </c>
      <c r="J196" t="n">
        <v>0</v>
      </c>
      <c r="K196" t="n">
        <v>0</v>
      </c>
      <c r="L196" t="n">
        <v>0</v>
      </c>
      <c r="M196" t="n">
        <v>0</v>
      </c>
      <c r="N196" t="n">
        <v>0</v>
      </c>
      <c r="O196" t="n">
        <v>0</v>
      </c>
      <c r="P196" t="n">
        <v>0</v>
      </c>
      <c r="Q196" t="n">
        <v>0</v>
      </c>
      <c r="R196" s="2" t="inlineStr"/>
    </row>
    <row r="197" ht="15" customHeight="1">
      <c r="A197" t="inlineStr">
        <is>
          <t>A 57091-2021</t>
        </is>
      </c>
      <c r="B197" s="1" t="n">
        <v>44482</v>
      </c>
      <c r="C197" s="1" t="n">
        <v>45927</v>
      </c>
      <c r="D197" t="inlineStr">
        <is>
          <t>DALARNAS LÄN</t>
        </is>
      </c>
      <c r="E197" t="inlineStr">
        <is>
          <t>MORA</t>
        </is>
      </c>
      <c r="G197" t="n">
        <v>1</v>
      </c>
      <c r="H197" t="n">
        <v>0</v>
      </c>
      <c r="I197" t="n">
        <v>0</v>
      </c>
      <c r="J197" t="n">
        <v>0</v>
      </c>
      <c r="K197" t="n">
        <v>0</v>
      </c>
      <c r="L197" t="n">
        <v>0</v>
      </c>
      <c r="M197" t="n">
        <v>0</v>
      </c>
      <c r="N197" t="n">
        <v>0</v>
      </c>
      <c r="O197" t="n">
        <v>0</v>
      </c>
      <c r="P197" t="n">
        <v>0</v>
      </c>
      <c r="Q197" t="n">
        <v>0</v>
      </c>
      <c r="R197" s="2" t="inlineStr"/>
    </row>
    <row r="198" ht="15" customHeight="1">
      <c r="A198" t="inlineStr">
        <is>
          <t>A 50685-2023</t>
        </is>
      </c>
      <c r="B198" s="1" t="n">
        <v>45210</v>
      </c>
      <c r="C198" s="1" t="n">
        <v>45927</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36740-2023</t>
        </is>
      </c>
      <c r="B199" s="1" t="n">
        <v>45153</v>
      </c>
      <c r="C199" s="1" t="n">
        <v>45927</v>
      </c>
      <c r="D199" t="inlineStr">
        <is>
          <t>DALARNAS LÄN</t>
        </is>
      </c>
      <c r="E199" t="inlineStr">
        <is>
          <t>MORA</t>
        </is>
      </c>
      <c r="G199" t="n">
        <v>0.2</v>
      </c>
      <c r="H199" t="n">
        <v>0</v>
      </c>
      <c r="I199" t="n">
        <v>0</v>
      </c>
      <c r="J199" t="n">
        <v>0</v>
      </c>
      <c r="K199" t="n">
        <v>0</v>
      </c>
      <c r="L199" t="n">
        <v>0</v>
      </c>
      <c r="M199" t="n">
        <v>0</v>
      </c>
      <c r="N199" t="n">
        <v>0</v>
      </c>
      <c r="O199" t="n">
        <v>0</v>
      </c>
      <c r="P199" t="n">
        <v>0</v>
      </c>
      <c r="Q199" t="n">
        <v>0</v>
      </c>
      <c r="R199" s="2" t="inlineStr"/>
    </row>
    <row r="200" ht="15" customHeight="1">
      <c r="A200" t="inlineStr">
        <is>
          <t>A 50759-2023</t>
        </is>
      </c>
      <c r="B200" s="1" t="n">
        <v>45217.60914351852</v>
      </c>
      <c r="C200" s="1" t="n">
        <v>45927</v>
      </c>
      <c r="D200" t="inlineStr">
        <is>
          <t>DALARNAS LÄN</t>
        </is>
      </c>
      <c r="E200" t="inlineStr">
        <is>
          <t>MORA</t>
        </is>
      </c>
      <c r="G200" t="n">
        <v>5.3</v>
      </c>
      <c r="H200" t="n">
        <v>0</v>
      </c>
      <c r="I200" t="n">
        <v>0</v>
      </c>
      <c r="J200" t="n">
        <v>0</v>
      </c>
      <c r="K200" t="n">
        <v>0</v>
      </c>
      <c r="L200" t="n">
        <v>0</v>
      </c>
      <c r="M200" t="n">
        <v>0</v>
      </c>
      <c r="N200" t="n">
        <v>0</v>
      </c>
      <c r="O200" t="n">
        <v>0</v>
      </c>
      <c r="P200" t="n">
        <v>0</v>
      </c>
      <c r="Q200" t="n">
        <v>0</v>
      </c>
      <c r="R200" s="2" t="inlineStr"/>
    </row>
    <row r="201" ht="15" customHeight="1">
      <c r="A201" t="inlineStr">
        <is>
          <t>A 23368-2025</t>
        </is>
      </c>
      <c r="B201" s="1" t="n">
        <v>45791.70299768518</v>
      </c>
      <c r="C201" s="1" t="n">
        <v>45927</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12490-2025</t>
        </is>
      </c>
      <c r="B202" s="1" t="n">
        <v>45730.59239583334</v>
      </c>
      <c r="C202" s="1" t="n">
        <v>45927</v>
      </c>
      <c r="D202" t="inlineStr">
        <is>
          <t>DALARNAS LÄN</t>
        </is>
      </c>
      <c r="E202" t="inlineStr">
        <is>
          <t>MORA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55671-2024</t>
        </is>
      </c>
      <c r="B203" s="1" t="n">
        <v>45622.65269675926</v>
      </c>
      <c r="C203" s="1" t="n">
        <v>45927</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31177-2021</t>
        </is>
      </c>
      <c r="B204" s="1" t="n">
        <v>44368</v>
      </c>
      <c r="C204" s="1" t="n">
        <v>45927</v>
      </c>
      <c r="D204" t="inlineStr">
        <is>
          <t>DALARNAS LÄN</t>
        </is>
      </c>
      <c r="E204" t="inlineStr">
        <is>
          <t>MORA</t>
        </is>
      </c>
      <c r="G204" t="n">
        <v>1.6</v>
      </c>
      <c r="H204" t="n">
        <v>0</v>
      </c>
      <c r="I204" t="n">
        <v>0</v>
      </c>
      <c r="J204" t="n">
        <v>0</v>
      </c>
      <c r="K204" t="n">
        <v>0</v>
      </c>
      <c r="L204" t="n">
        <v>0</v>
      </c>
      <c r="M204" t="n">
        <v>0</v>
      </c>
      <c r="N204" t="n">
        <v>0</v>
      </c>
      <c r="O204" t="n">
        <v>0</v>
      </c>
      <c r="P204" t="n">
        <v>0</v>
      </c>
      <c r="Q204" t="n">
        <v>0</v>
      </c>
      <c r="R204" s="2" t="inlineStr"/>
    </row>
    <row r="205" ht="15" customHeight="1">
      <c r="A205" t="inlineStr">
        <is>
          <t>A 65186-2021</t>
        </is>
      </c>
      <c r="B205" s="1" t="n">
        <v>44515</v>
      </c>
      <c r="C205" s="1" t="n">
        <v>45927</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45349-2024</t>
        </is>
      </c>
      <c r="B206" s="1" t="n">
        <v>45576</v>
      </c>
      <c r="C206" s="1" t="n">
        <v>45927</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56935-2024</t>
        </is>
      </c>
      <c r="B207" s="1" t="n">
        <v>45625</v>
      </c>
      <c r="C207" s="1" t="n">
        <v>45927</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56927-2024</t>
        </is>
      </c>
      <c r="B208" s="1" t="n">
        <v>45625</v>
      </c>
      <c r="C208" s="1" t="n">
        <v>45927</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22185-2025</t>
        </is>
      </c>
      <c r="B209" s="1" t="n">
        <v>45785</v>
      </c>
      <c r="C209" s="1" t="n">
        <v>45927</v>
      </c>
      <c r="D209" t="inlineStr">
        <is>
          <t>DALARNAS LÄN</t>
        </is>
      </c>
      <c r="E209" t="inlineStr">
        <is>
          <t>MORA</t>
        </is>
      </c>
      <c r="G209" t="n">
        <v>2.4</v>
      </c>
      <c r="H209" t="n">
        <v>0</v>
      </c>
      <c r="I209" t="n">
        <v>0</v>
      </c>
      <c r="J209" t="n">
        <v>0</v>
      </c>
      <c r="K209" t="n">
        <v>0</v>
      </c>
      <c r="L209" t="n">
        <v>0</v>
      </c>
      <c r="M209" t="n">
        <v>0</v>
      </c>
      <c r="N209" t="n">
        <v>0</v>
      </c>
      <c r="O209" t="n">
        <v>0</v>
      </c>
      <c r="P209" t="n">
        <v>0</v>
      </c>
      <c r="Q209" t="n">
        <v>0</v>
      </c>
      <c r="R209" s="2" t="inlineStr"/>
    </row>
    <row r="210" ht="15" customHeight="1">
      <c r="A210" t="inlineStr">
        <is>
          <t>A 69483-2021</t>
        </is>
      </c>
      <c r="B210" s="1" t="n">
        <v>44531</v>
      </c>
      <c r="C210" s="1" t="n">
        <v>45927</v>
      </c>
      <c r="D210" t="inlineStr">
        <is>
          <t>DALARNAS LÄN</t>
        </is>
      </c>
      <c r="E210" t="inlineStr">
        <is>
          <t>MORA</t>
        </is>
      </c>
      <c r="G210" t="n">
        <v>1.5</v>
      </c>
      <c r="H210" t="n">
        <v>0</v>
      </c>
      <c r="I210" t="n">
        <v>0</v>
      </c>
      <c r="J210" t="n">
        <v>0</v>
      </c>
      <c r="K210" t="n">
        <v>0</v>
      </c>
      <c r="L210" t="n">
        <v>0</v>
      </c>
      <c r="M210" t="n">
        <v>0</v>
      </c>
      <c r="N210" t="n">
        <v>0</v>
      </c>
      <c r="O210" t="n">
        <v>0</v>
      </c>
      <c r="P210" t="n">
        <v>0</v>
      </c>
      <c r="Q210" t="n">
        <v>0</v>
      </c>
      <c r="R210" s="2" t="inlineStr"/>
    </row>
    <row r="211" ht="15" customHeight="1">
      <c r="A211" t="inlineStr">
        <is>
          <t>A 59404-2024</t>
        </is>
      </c>
      <c r="B211" s="1" t="n">
        <v>45638</v>
      </c>
      <c r="C211" s="1" t="n">
        <v>45927</v>
      </c>
      <c r="D211" t="inlineStr">
        <is>
          <t>DALARNAS LÄN</t>
        </is>
      </c>
      <c r="E211" t="inlineStr">
        <is>
          <t>MORA</t>
        </is>
      </c>
      <c r="G211" t="n">
        <v>2.6</v>
      </c>
      <c r="H211" t="n">
        <v>0</v>
      </c>
      <c r="I211" t="n">
        <v>0</v>
      </c>
      <c r="J211" t="n">
        <v>0</v>
      </c>
      <c r="K211" t="n">
        <v>0</v>
      </c>
      <c r="L211" t="n">
        <v>0</v>
      </c>
      <c r="M211" t="n">
        <v>0</v>
      </c>
      <c r="N211" t="n">
        <v>0</v>
      </c>
      <c r="O211" t="n">
        <v>0</v>
      </c>
      <c r="P211" t="n">
        <v>0</v>
      </c>
      <c r="Q211" t="n">
        <v>0</v>
      </c>
      <c r="R211" s="2" t="inlineStr"/>
    </row>
    <row r="212" ht="15" customHeight="1">
      <c r="A212" t="inlineStr">
        <is>
          <t>A 58171-2024</t>
        </is>
      </c>
      <c r="B212" s="1" t="n">
        <v>45632.46545138889</v>
      </c>
      <c r="C212" s="1" t="n">
        <v>45927</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11193-2025</t>
        </is>
      </c>
      <c r="B213" s="1" t="n">
        <v>45725</v>
      </c>
      <c r="C213" s="1" t="n">
        <v>45927</v>
      </c>
      <c r="D213" t="inlineStr">
        <is>
          <t>DALARNAS LÄN</t>
        </is>
      </c>
      <c r="E213" t="inlineStr">
        <is>
          <t>MORA</t>
        </is>
      </c>
      <c r="G213" t="n">
        <v>4.1</v>
      </c>
      <c r="H213" t="n">
        <v>0</v>
      </c>
      <c r="I213" t="n">
        <v>0</v>
      </c>
      <c r="J213" t="n">
        <v>0</v>
      </c>
      <c r="K213" t="n">
        <v>0</v>
      </c>
      <c r="L213" t="n">
        <v>0</v>
      </c>
      <c r="M213" t="n">
        <v>0</v>
      </c>
      <c r="N213" t="n">
        <v>0</v>
      </c>
      <c r="O213" t="n">
        <v>0</v>
      </c>
      <c r="P213" t="n">
        <v>0</v>
      </c>
      <c r="Q213" t="n">
        <v>0</v>
      </c>
      <c r="R213" s="2" t="inlineStr"/>
    </row>
    <row r="214" ht="15" customHeight="1">
      <c r="A214" t="inlineStr">
        <is>
          <t>A 22931-2021</t>
        </is>
      </c>
      <c r="B214" s="1" t="n">
        <v>44326</v>
      </c>
      <c r="C214" s="1" t="n">
        <v>45927</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55691-2023</t>
        </is>
      </c>
      <c r="B215" s="1" t="n">
        <v>45239.36509259259</v>
      </c>
      <c r="C215" s="1" t="n">
        <v>45927</v>
      </c>
      <c r="D215" t="inlineStr">
        <is>
          <t>DALARNAS LÄN</t>
        </is>
      </c>
      <c r="E215" t="inlineStr">
        <is>
          <t>MORA</t>
        </is>
      </c>
      <c r="G215" t="n">
        <v>2.2</v>
      </c>
      <c r="H215" t="n">
        <v>0</v>
      </c>
      <c r="I215" t="n">
        <v>0</v>
      </c>
      <c r="J215" t="n">
        <v>0</v>
      </c>
      <c r="K215" t="n">
        <v>0</v>
      </c>
      <c r="L215" t="n">
        <v>0</v>
      </c>
      <c r="M215" t="n">
        <v>0</v>
      </c>
      <c r="N215" t="n">
        <v>0</v>
      </c>
      <c r="O215" t="n">
        <v>0</v>
      </c>
      <c r="P215" t="n">
        <v>0</v>
      </c>
      <c r="Q215" t="n">
        <v>0</v>
      </c>
      <c r="R215" s="2" t="inlineStr"/>
    </row>
    <row r="216" ht="15" customHeight="1">
      <c r="A216" t="inlineStr">
        <is>
          <t>A 17494-2025</t>
        </is>
      </c>
      <c r="B216" s="1" t="n">
        <v>45757.52033564815</v>
      </c>
      <c r="C216" s="1" t="n">
        <v>45927</v>
      </c>
      <c r="D216" t="inlineStr">
        <is>
          <t>DALARNAS LÄN</t>
        </is>
      </c>
      <c r="E216" t="inlineStr">
        <is>
          <t>MORA</t>
        </is>
      </c>
      <c r="G216" t="n">
        <v>5.3</v>
      </c>
      <c r="H216" t="n">
        <v>0</v>
      </c>
      <c r="I216" t="n">
        <v>0</v>
      </c>
      <c r="J216" t="n">
        <v>0</v>
      </c>
      <c r="K216" t="n">
        <v>0</v>
      </c>
      <c r="L216" t="n">
        <v>0</v>
      </c>
      <c r="M216" t="n">
        <v>0</v>
      </c>
      <c r="N216" t="n">
        <v>0</v>
      </c>
      <c r="O216" t="n">
        <v>0</v>
      </c>
      <c r="P216" t="n">
        <v>0</v>
      </c>
      <c r="Q216" t="n">
        <v>0</v>
      </c>
      <c r="R216" s="2" t="inlineStr"/>
    </row>
    <row r="217" ht="15" customHeight="1">
      <c r="A217" t="inlineStr">
        <is>
          <t>A 56900-2024</t>
        </is>
      </c>
      <c r="B217" s="1" t="n">
        <v>45625</v>
      </c>
      <c r="C217" s="1" t="n">
        <v>45927</v>
      </c>
      <c r="D217" t="inlineStr">
        <is>
          <t>DALARNAS LÄN</t>
        </is>
      </c>
      <c r="E217" t="inlineStr">
        <is>
          <t>MORA</t>
        </is>
      </c>
      <c r="G217" t="n">
        <v>2.7</v>
      </c>
      <c r="H217" t="n">
        <v>0</v>
      </c>
      <c r="I217" t="n">
        <v>0</v>
      </c>
      <c r="J217" t="n">
        <v>0</v>
      </c>
      <c r="K217" t="n">
        <v>0</v>
      </c>
      <c r="L217" t="n">
        <v>0</v>
      </c>
      <c r="M217" t="n">
        <v>0</v>
      </c>
      <c r="N217" t="n">
        <v>0</v>
      </c>
      <c r="O217" t="n">
        <v>0</v>
      </c>
      <c r="P217" t="n">
        <v>0</v>
      </c>
      <c r="Q217" t="n">
        <v>0</v>
      </c>
      <c r="R217" s="2" t="inlineStr"/>
    </row>
    <row r="218" ht="15" customHeight="1">
      <c r="A218" t="inlineStr">
        <is>
          <t>A 17167-2025</t>
        </is>
      </c>
      <c r="B218" s="1" t="n">
        <v>45756.36844907407</v>
      </c>
      <c r="C218" s="1" t="n">
        <v>45927</v>
      </c>
      <c r="D218" t="inlineStr">
        <is>
          <t>DALARNAS LÄN</t>
        </is>
      </c>
      <c r="E218" t="inlineStr">
        <is>
          <t>MORA</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20504-2023</t>
        </is>
      </c>
      <c r="B219" s="1" t="n">
        <v>45057</v>
      </c>
      <c r="C219" s="1" t="n">
        <v>45927</v>
      </c>
      <c r="D219" t="inlineStr">
        <is>
          <t>DALARNAS LÄN</t>
        </is>
      </c>
      <c r="E219" t="inlineStr">
        <is>
          <t>MORA</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24393-2022</t>
        </is>
      </c>
      <c r="B220" s="1" t="n">
        <v>44726</v>
      </c>
      <c r="C220" s="1" t="n">
        <v>45927</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30998-2022</t>
        </is>
      </c>
      <c r="B221" s="1" t="n">
        <v>44768</v>
      </c>
      <c r="C221" s="1" t="n">
        <v>45927</v>
      </c>
      <c r="D221" t="inlineStr">
        <is>
          <t>DALARNAS LÄN</t>
        </is>
      </c>
      <c r="E221" t="inlineStr">
        <is>
          <t>MORA</t>
        </is>
      </c>
      <c r="G221" t="n">
        <v>1.7</v>
      </c>
      <c r="H221" t="n">
        <v>0</v>
      </c>
      <c r="I221" t="n">
        <v>0</v>
      </c>
      <c r="J221" t="n">
        <v>0</v>
      </c>
      <c r="K221" t="n">
        <v>0</v>
      </c>
      <c r="L221" t="n">
        <v>0</v>
      </c>
      <c r="M221" t="n">
        <v>0</v>
      </c>
      <c r="N221" t="n">
        <v>0</v>
      </c>
      <c r="O221" t="n">
        <v>0</v>
      </c>
      <c r="P221" t="n">
        <v>0</v>
      </c>
      <c r="Q221" t="n">
        <v>0</v>
      </c>
      <c r="R221" s="2" t="inlineStr"/>
    </row>
    <row r="222" ht="15" customHeight="1">
      <c r="A222" t="inlineStr">
        <is>
          <t>A 47143-2022</t>
        </is>
      </c>
      <c r="B222" s="1" t="n">
        <v>44852</v>
      </c>
      <c r="C222" s="1" t="n">
        <v>45927</v>
      </c>
      <c r="D222" t="inlineStr">
        <is>
          <t>DALARNAS LÄN</t>
        </is>
      </c>
      <c r="E222" t="inlineStr">
        <is>
          <t>MORA</t>
        </is>
      </c>
      <c r="G222" t="n">
        <v>3.9</v>
      </c>
      <c r="H222" t="n">
        <v>0</v>
      </c>
      <c r="I222" t="n">
        <v>0</v>
      </c>
      <c r="J222" t="n">
        <v>0</v>
      </c>
      <c r="K222" t="n">
        <v>0</v>
      </c>
      <c r="L222" t="n">
        <v>0</v>
      </c>
      <c r="M222" t="n">
        <v>0</v>
      </c>
      <c r="N222" t="n">
        <v>0</v>
      </c>
      <c r="O222" t="n">
        <v>0</v>
      </c>
      <c r="P222" t="n">
        <v>0</v>
      </c>
      <c r="Q222" t="n">
        <v>0</v>
      </c>
      <c r="R222" s="2" t="inlineStr"/>
    </row>
    <row r="223" ht="15" customHeight="1">
      <c r="A223" t="inlineStr">
        <is>
          <t>A 23354-2022</t>
        </is>
      </c>
      <c r="B223" s="1" t="n">
        <v>44720</v>
      </c>
      <c r="C223" s="1" t="n">
        <v>45927</v>
      </c>
      <c r="D223" t="inlineStr">
        <is>
          <t>DALARNAS LÄN</t>
        </is>
      </c>
      <c r="E223" t="inlineStr">
        <is>
          <t>MORA</t>
        </is>
      </c>
      <c r="G223" t="n">
        <v>5.2</v>
      </c>
      <c r="H223" t="n">
        <v>0</v>
      </c>
      <c r="I223" t="n">
        <v>0</v>
      </c>
      <c r="J223" t="n">
        <v>0</v>
      </c>
      <c r="K223" t="n">
        <v>0</v>
      </c>
      <c r="L223" t="n">
        <v>0</v>
      </c>
      <c r="M223" t="n">
        <v>0</v>
      </c>
      <c r="N223" t="n">
        <v>0</v>
      </c>
      <c r="O223" t="n">
        <v>0</v>
      </c>
      <c r="P223" t="n">
        <v>0</v>
      </c>
      <c r="Q223" t="n">
        <v>0</v>
      </c>
      <c r="R223" s="2" t="inlineStr"/>
    </row>
    <row r="224" ht="15" customHeight="1">
      <c r="A224" t="inlineStr">
        <is>
          <t>A 54192-2023</t>
        </is>
      </c>
      <c r="B224" s="1" t="n">
        <v>45232.53052083333</v>
      </c>
      <c r="C224" s="1" t="n">
        <v>45927</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45927</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17529-2023</t>
        </is>
      </c>
      <c r="B226" s="1" t="n">
        <v>45036.46804398148</v>
      </c>
      <c r="C226" s="1" t="n">
        <v>45927</v>
      </c>
      <c r="D226" t="inlineStr">
        <is>
          <t>DALARNAS LÄN</t>
        </is>
      </c>
      <c r="E226" t="inlineStr">
        <is>
          <t>MORA</t>
        </is>
      </c>
      <c r="G226" t="n">
        <v>6</v>
      </c>
      <c r="H226" t="n">
        <v>0</v>
      </c>
      <c r="I226" t="n">
        <v>0</v>
      </c>
      <c r="J226" t="n">
        <v>0</v>
      </c>
      <c r="K226" t="n">
        <v>0</v>
      </c>
      <c r="L226" t="n">
        <v>0</v>
      </c>
      <c r="M226" t="n">
        <v>0</v>
      </c>
      <c r="N226" t="n">
        <v>0</v>
      </c>
      <c r="O226" t="n">
        <v>0</v>
      </c>
      <c r="P226" t="n">
        <v>0</v>
      </c>
      <c r="Q226" t="n">
        <v>0</v>
      </c>
      <c r="R226" s="2" t="inlineStr"/>
    </row>
    <row r="227" ht="15" customHeight="1">
      <c r="A227" t="inlineStr">
        <is>
          <t>A 44201-2023</t>
        </is>
      </c>
      <c r="B227" s="1" t="n">
        <v>45188</v>
      </c>
      <c r="C227" s="1" t="n">
        <v>45927</v>
      </c>
      <c r="D227" t="inlineStr">
        <is>
          <t>DALARNAS LÄN</t>
        </is>
      </c>
      <c r="E227" t="inlineStr">
        <is>
          <t>MORA</t>
        </is>
      </c>
      <c r="G227" t="n">
        <v>0.6</v>
      </c>
      <c r="H227" t="n">
        <v>0</v>
      </c>
      <c r="I227" t="n">
        <v>0</v>
      </c>
      <c r="J227" t="n">
        <v>0</v>
      </c>
      <c r="K227" t="n">
        <v>0</v>
      </c>
      <c r="L227" t="n">
        <v>0</v>
      </c>
      <c r="M227" t="n">
        <v>0</v>
      </c>
      <c r="N227" t="n">
        <v>0</v>
      </c>
      <c r="O227" t="n">
        <v>0</v>
      </c>
      <c r="P227" t="n">
        <v>0</v>
      </c>
      <c r="Q227" t="n">
        <v>0</v>
      </c>
      <c r="R227" s="2" t="inlineStr"/>
    </row>
    <row r="228" ht="15" customHeight="1">
      <c r="A228" t="inlineStr">
        <is>
          <t>A 16522-2024</t>
        </is>
      </c>
      <c r="B228" s="1" t="n">
        <v>45408.41166666667</v>
      </c>
      <c r="C228" s="1" t="n">
        <v>45927</v>
      </c>
      <c r="D228" t="inlineStr">
        <is>
          <t>DALARNAS LÄN</t>
        </is>
      </c>
      <c r="E228" t="inlineStr">
        <is>
          <t>MORA</t>
        </is>
      </c>
      <c r="G228" t="n">
        <v>11.2</v>
      </c>
      <c r="H228" t="n">
        <v>0</v>
      </c>
      <c r="I228" t="n">
        <v>0</v>
      </c>
      <c r="J228" t="n">
        <v>0</v>
      </c>
      <c r="K228" t="n">
        <v>0</v>
      </c>
      <c r="L228" t="n">
        <v>0</v>
      </c>
      <c r="M228" t="n">
        <v>0</v>
      </c>
      <c r="N228" t="n">
        <v>0</v>
      </c>
      <c r="O228" t="n">
        <v>0</v>
      </c>
      <c r="P228" t="n">
        <v>0</v>
      </c>
      <c r="Q228" t="n">
        <v>0</v>
      </c>
      <c r="R228" s="2" t="inlineStr"/>
    </row>
    <row r="229" ht="15" customHeight="1">
      <c r="A229" t="inlineStr">
        <is>
          <t>A 23229-2025</t>
        </is>
      </c>
      <c r="B229" s="1" t="n">
        <v>45791</v>
      </c>
      <c r="C229" s="1" t="n">
        <v>45927</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36038-2024</t>
        </is>
      </c>
      <c r="B230" s="1" t="n">
        <v>45533</v>
      </c>
      <c r="C230" s="1" t="n">
        <v>45927</v>
      </c>
      <c r="D230" t="inlineStr">
        <is>
          <t>DALARNAS LÄN</t>
        </is>
      </c>
      <c r="E230" t="inlineStr">
        <is>
          <t>MORA</t>
        </is>
      </c>
      <c r="G230" t="n">
        <v>5.1</v>
      </c>
      <c r="H230" t="n">
        <v>0</v>
      </c>
      <c r="I230" t="n">
        <v>0</v>
      </c>
      <c r="J230" t="n">
        <v>0</v>
      </c>
      <c r="K230" t="n">
        <v>0</v>
      </c>
      <c r="L230" t="n">
        <v>0</v>
      </c>
      <c r="M230" t="n">
        <v>0</v>
      </c>
      <c r="N230" t="n">
        <v>0</v>
      </c>
      <c r="O230" t="n">
        <v>0</v>
      </c>
      <c r="P230" t="n">
        <v>0</v>
      </c>
      <c r="Q230" t="n">
        <v>0</v>
      </c>
      <c r="R230" s="2" t="inlineStr"/>
    </row>
    <row r="231" ht="15" customHeight="1">
      <c r="A231" t="inlineStr">
        <is>
          <t>A 2865-2022</t>
        </is>
      </c>
      <c r="B231" s="1" t="n">
        <v>44581</v>
      </c>
      <c r="C231" s="1" t="n">
        <v>45927</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56834-2024</t>
        </is>
      </c>
      <c r="B232" s="1" t="n">
        <v>45628.49931712963</v>
      </c>
      <c r="C232" s="1" t="n">
        <v>45927</v>
      </c>
      <c r="D232" t="inlineStr">
        <is>
          <t>DALARNAS LÄN</t>
        </is>
      </c>
      <c r="E232" t="inlineStr">
        <is>
          <t>MORA</t>
        </is>
      </c>
      <c r="G232" t="n">
        <v>0.4</v>
      </c>
      <c r="H232" t="n">
        <v>0</v>
      </c>
      <c r="I232" t="n">
        <v>0</v>
      </c>
      <c r="J232" t="n">
        <v>0</v>
      </c>
      <c r="K232" t="n">
        <v>0</v>
      </c>
      <c r="L232" t="n">
        <v>0</v>
      </c>
      <c r="M232" t="n">
        <v>0</v>
      </c>
      <c r="N232" t="n">
        <v>0</v>
      </c>
      <c r="O232" t="n">
        <v>0</v>
      </c>
      <c r="P232" t="n">
        <v>0</v>
      </c>
      <c r="Q232" t="n">
        <v>0</v>
      </c>
      <c r="R232" s="2" t="inlineStr"/>
    </row>
    <row r="233" ht="15" customHeight="1">
      <c r="A233" t="inlineStr">
        <is>
          <t>A 62854-2023</t>
        </is>
      </c>
      <c r="B233" s="1" t="n">
        <v>45272</v>
      </c>
      <c r="C233" s="1" t="n">
        <v>45927</v>
      </c>
      <c r="D233" t="inlineStr">
        <is>
          <t>DALARNAS LÄN</t>
        </is>
      </c>
      <c r="E233" t="inlineStr">
        <is>
          <t>MORA</t>
        </is>
      </c>
      <c r="G233" t="n">
        <v>11.3</v>
      </c>
      <c r="H233" t="n">
        <v>0</v>
      </c>
      <c r="I233" t="n">
        <v>0</v>
      </c>
      <c r="J233" t="n">
        <v>0</v>
      </c>
      <c r="K233" t="n">
        <v>0</v>
      </c>
      <c r="L233" t="n">
        <v>0</v>
      </c>
      <c r="M233" t="n">
        <v>0</v>
      </c>
      <c r="N233" t="n">
        <v>0</v>
      </c>
      <c r="O233" t="n">
        <v>0</v>
      </c>
      <c r="P233" t="n">
        <v>0</v>
      </c>
      <c r="Q233" t="n">
        <v>0</v>
      </c>
      <c r="R233" s="2" t="inlineStr"/>
    </row>
    <row r="234" ht="15" customHeight="1">
      <c r="A234" t="inlineStr">
        <is>
          <t>A 24127-2025</t>
        </is>
      </c>
      <c r="B234" s="1" t="n">
        <v>45796.63137731481</v>
      </c>
      <c r="C234" s="1" t="n">
        <v>45927</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50911-2024</t>
        </is>
      </c>
      <c r="B235" s="1" t="n">
        <v>45602.7022337963</v>
      </c>
      <c r="C235" s="1" t="n">
        <v>45927</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47036-2023</t>
        </is>
      </c>
      <c r="B236" s="1" t="n">
        <v>45196</v>
      </c>
      <c r="C236" s="1" t="n">
        <v>45927</v>
      </c>
      <c r="D236" t="inlineStr">
        <is>
          <t>DALARNAS LÄN</t>
        </is>
      </c>
      <c r="E236" t="inlineStr">
        <is>
          <t>MORA</t>
        </is>
      </c>
      <c r="G236" t="n">
        <v>2.7</v>
      </c>
      <c r="H236" t="n">
        <v>0</v>
      </c>
      <c r="I236" t="n">
        <v>0</v>
      </c>
      <c r="J236" t="n">
        <v>0</v>
      </c>
      <c r="K236" t="n">
        <v>0</v>
      </c>
      <c r="L236" t="n">
        <v>0</v>
      </c>
      <c r="M236" t="n">
        <v>0</v>
      </c>
      <c r="N236" t="n">
        <v>0</v>
      </c>
      <c r="O236" t="n">
        <v>0</v>
      </c>
      <c r="P236" t="n">
        <v>0</v>
      </c>
      <c r="Q236" t="n">
        <v>0</v>
      </c>
      <c r="R236" s="2" t="inlineStr"/>
    </row>
    <row r="237" ht="15" customHeight="1">
      <c r="A237" t="inlineStr">
        <is>
          <t>A 24249-2025</t>
        </is>
      </c>
      <c r="B237" s="1" t="n">
        <v>45797.40260416667</v>
      </c>
      <c r="C237" s="1" t="n">
        <v>45927</v>
      </c>
      <c r="D237" t="inlineStr">
        <is>
          <t>DALARNAS LÄN</t>
        </is>
      </c>
      <c r="E237" t="inlineStr">
        <is>
          <t>MORA</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20544-2025</t>
        </is>
      </c>
      <c r="B238" s="1" t="n">
        <v>45775.63119212963</v>
      </c>
      <c r="C238" s="1" t="n">
        <v>45927</v>
      </c>
      <c r="D238" t="inlineStr">
        <is>
          <t>DALARNAS LÄN</t>
        </is>
      </c>
      <c r="E238" t="inlineStr">
        <is>
          <t>MORA</t>
        </is>
      </c>
      <c r="G238" t="n">
        <v>3.6</v>
      </c>
      <c r="H238" t="n">
        <v>0</v>
      </c>
      <c r="I238" t="n">
        <v>0</v>
      </c>
      <c r="J238" t="n">
        <v>0</v>
      </c>
      <c r="K238" t="n">
        <v>0</v>
      </c>
      <c r="L238" t="n">
        <v>0</v>
      </c>
      <c r="M238" t="n">
        <v>0</v>
      </c>
      <c r="N238" t="n">
        <v>0</v>
      </c>
      <c r="O238" t="n">
        <v>0</v>
      </c>
      <c r="P238" t="n">
        <v>0</v>
      </c>
      <c r="Q238" t="n">
        <v>0</v>
      </c>
      <c r="R238" s="2" t="inlineStr"/>
    </row>
    <row r="239" ht="15" customHeight="1">
      <c r="A239" t="inlineStr">
        <is>
          <t>A 15440-2024</t>
        </is>
      </c>
      <c r="B239" s="1" t="n">
        <v>45401.4194212963</v>
      </c>
      <c r="C239" s="1" t="n">
        <v>45927</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9461-2025</t>
        </is>
      </c>
      <c r="B240" s="1" t="n">
        <v>45715.45341435185</v>
      </c>
      <c r="C240" s="1" t="n">
        <v>45927</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34928-2022</t>
        </is>
      </c>
      <c r="B241" s="1" t="n">
        <v>44796.60479166666</v>
      </c>
      <c r="C241" s="1" t="n">
        <v>45927</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51965-2024</t>
        </is>
      </c>
      <c r="B242" s="1" t="n">
        <v>45607.65123842593</v>
      </c>
      <c r="C242" s="1" t="n">
        <v>45927</v>
      </c>
      <c r="D242" t="inlineStr">
        <is>
          <t>DALARNAS LÄN</t>
        </is>
      </c>
      <c r="E242" t="inlineStr">
        <is>
          <t>MORA</t>
        </is>
      </c>
      <c r="G242" t="n">
        <v>1.3</v>
      </c>
      <c r="H242" t="n">
        <v>0</v>
      </c>
      <c r="I242" t="n">
        <v>0</v>
      </c>
      <c r="J242" t="n">
        <v>0</v>
      </c>
      <c r="K242" t="n">
        <v>0</v>
      </c>
      <c r="L242" t="n">
        <v>0</v>
      </c>
      <c r="M242" t="n">
        <v>0</v>
      </c>
      <c r="N242" t="n">
        <v>0</v>
      </c>
      <c r="O242" t="n">
        <v>0</v>
      </c>
      <c r="P242" t="n">
        <v>0</v>
      </c>
      <c r="Q242" t="n">
        <v>0</v>
      </c>
      <c r="R242" s="2" t="inlineStr"/>
    </row>
    <row r="243" ht="15" customHeight="1">
      <c r="A243" t="inlineStr">
        <is>
          <t>A 19286-2023</t>
        </is>
      </c>
      <c r="B243" s="1" t="n">
        <v>45049</v>
      </c>
      <c r="C243" s="1" t="n">
        <v>45927</v>
      </c>
      <c r="D243" t="inlineStr">
        <is>
          <t>DALARNAS LÄN</t>
        </is>
      </c>
      <c r="E243" t="inlineStr">
        <is>
          <t>MORA</t>
        </is>
      </c>
      <c r="G243" t="n">
        <v>1</v>
      </c>
      <c r="H243" t="n">
        <v>0</v>
      </c>
      <c r="I243" t="n">
        <v>0</v>
      </c>
      <c r="J243" t="n">
        <v>0</v>
      </c>
      <c r="K243" t="n">
        <v>0</v>
      </c>
      <c r="L243" t="n">
        <v>0</v>
      </c>
      <c r="M243" t="n">
        <v>0</v>
      </c>
      <c r="N243" t="n">
        <v>0</v>
      </c>
      <c r="O243" t="n">
        <v>0</v>
      </c>
      <c r="P243" t="n">
        <v>0</v>
      </c>
      <c r="Q243" t="n">
        <v>0</v>
      </c>
      <c r="R243" s="2" t="inlineStr"/>
    </row>
    <row r="244" ht="15" customHeight="1">
      <c r="A244" t="inlineStr">
        <is>
          <t>A 24230-2025</t>
        </is>
      </c>
      <c r="B244" s="1" t="n">
        <v>45797.37607638889</v>
      </c>
      <c r="C244" s="1" t="n">
        <v>45927</v>
      </c>
      <c r="D244" t="inlineStr">
        <is>
          <t>DALARNAS LÄN</t>
        </is>
      </c>
      <c r="E244" t="inlineStr">
        <is>
          <t>MORA</t>
        </is>
      </c>
      <c r="G244" t="n">
        <v>6.8</v>
      </c>
      <c r="H244" t="n">
        <v>0</v>
      </c>
      <c r="I244" t="n">
        <v>0</v>
      </c>
      <c r="J244" t="n">
        <v>0</v>
      </c>
      <c r="K244" t="n">
        <v>0</v>
      </c>
      <c r="L244" t="n">
        <v>0</v>
      </c>
      <c r="M244" t="n">
        <v>0</v>
      </c>
      <c r="N244" t="n">
        <v>0</v>
      </c>
      <c r="O244" t="n">
        <v>0</v>
      </c>
      <c r="P244" t="n">
        <v>0</v>
      </c>
      <c r="Q244" t="n">
        <v>0</v>
      </c>
      <c r="R244" s="2" t="inlineStr"/>
    </row>
    <row r="245" ht="15" customHeight="1">
      <c r="A245" t="inlineStr">
        <is>
          <t>A 24280-2025</t>
        </is>
      </c>
      <c r="B245" s="1" t="n">
        <v>45797.45581018519</v>
      </c>
      <c r="C245" s="1" t="n">
        <v>45927</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20401-2022</t>
        </is>
      </c>
      <c r="B246" s="1" t="n">
        <v>44699</v>
      </c>
      <c r="C246" s="1" t="n">
        <v>45927</v>
      </c>
      <c r="D246" t="inlineStr">
        <is>
          <t>DALARNAS LÄN</t>
        </is>
      </c>
      <c r="E246" t="inlineStr">
        <is>
          <t>MORA</t>
        </is>
      </c>
      <c r="G246" t="n">
        <v>3.2</v>
      </c>
      <c r="H246" t="n">
        <v>0</v>
      </c>
      <c r="I246" t="n">
        <v>0</v>
      </c>
      <c r="J246" t="n">
        <v>0</v>
      </c>
      <c r="K246" t="n">
        <v>0</v>
      </c>
      <c r="L246" t="n">
        <v>0</v>
      </c>
      <c r="M246" t="n">
        <v>0</v>
      </c>
      <c r="N246" t="n">
        <v>0</v>
      </c>
      <c r="O246" t="n">
        <v>0</v>
      </c>
      <c r="P246" t="n">
        <v>0</v>
      </c>
      <c r="Q246" t="n">
        <v>0</v>
      </c>
      <c r="R246" s="2" t="inlineStr"/>
    </row>
    <row r="247" ht="15" customHeight="1">
      <c r="A247" t="inlineStr">
        <is>
          <t>A 25494-2024</t>
        </is>
      </c>
      <c r="B247" s="1" t="n">
        <v>45463</v>
      </c>
      <c r="C247" s="1" t="n">
        <v>45927</v>
      </c>
      <c r="D247" t="inlineStr">
        <is>
          <t>DALARNAS LÄN</t>
        </is>
      </c>
      <c r="E247" t="inlineStr">
        <is>
          <t>MORA</t>
        </is>
      </c>
      <c r="G247" t="n">
        <v>4.9</v>
      </c>
      <c r="H247" t="n">
        <v>0</v>
      </c>
      <c r="I247" t="n">
        <v>0</v>
      </c>
      <c r="J247" t="n">
        <v>0</v>
      </c>
      <c r="K247" t="n">
        <v>0</v>
      </c>
      <c r="L247" t="n">
        <v>0</v>
      </c>
      <c r="M247" t="n">
        <v>0</v>
      </c>
      <c r="N247" t="n">
        <v>0</v>
      </c>
      <c r="O247" t="n">
        <v>0</v>
      </c>
      <c r="P247" t="n">
        <v>0</v>
      </c>
      <c r="Q247" t="n">
        <v>0</v>
      </c>
      <c r="R247" s="2" t="inlineStr"/>
    </row>
    <row r="248" ht="15" customHeight="1">
      <c r="A248" t="inlineStr">
        <is>
          <t>A 57475-2022</t>
        </is>
      </c>
      <c r="B248" s="1" t="n">
        <v>44896</v>
      </c>
      <c r="C248" s="1" t="n">
        <v>45927</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19183-2025</t>
        </is>
      </c>
      <c r="B249" s="1" t="n">
        <v>45769</v>
      </c>
      <c r="C249" s="1" t="n">
        <v>45927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35363-2024</t>
        </is>
      </c>
      <c r="B250" s="1" t="n">
        <v>45531.34050925926</v>
      </c>
      <c r="C250" s="1" t="n">
        <v>45927</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45927</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34923-2022</t>
        </is>
      </c>
      <c r="B252" s="1" t="n">
        <v>44796</v>
      </c>
      <c r="C252" s="1" t="n">
        <v>45927</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24640-2025</t>
        </is>
      </c>
      <c r="B253" s="1" t="n">
        <v>45798.62243055556</v>
      </c>
      <c r="C253" s="1" t="n">
        <v>45927</v>
      </c>
      <c r="D253" t="inlineStr">
        <is>
          <t>DALARNAS LÄN</t>
        </is>
      </c>
      <c r="E253" t="inlineStr">
        <is>
          <t>MORA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5922-2025</t>
        </is>
      </c>
      <c r="B254" s="1" t="n">
        <v>45695.42762731481</v>
      </c>
      <c r="C254" s="1" t="n">
        <v>45927</v>
      </c>
      <c r="D254" t="inlineStr">
        <is>
          <t>DALARNAS LÄN</t>
        </is>
      </c>
      <c r="E254" t="inlineStr">
        <is>
          <t>MORA</t>
        </is>
      </c>
      <c r="G254" t="n">
        <v>1.2</v>
      </c>
      <c r="H254" t="n">
        <v>0</v>
      </c>
      <c r="I254" t="n">
        <v>0</v>
      </c>
      <c r="J254" t="n">
        <v>0</v>
      </c>
      <c r="K254" t="n">
        <v>0</v>
      </c>
      <c r="L254" t="n">
        <v>0</v>
      </c>
      <c r="M254" t="n">
        <v>0</v>
      </c>
      <c r="N254" t="n">
        <v>0</v>
      </c>
      <c r="O254" t="n">
        <v>0</v>
      </c>
      <c r="P254" t="n">
        <v>0</v>
      </c>
      <c r="Q254" t="n">
        <v>0</v>
      </c>
      <c r="R254" s="2" t="inlineStr"/>
    </row>
    <row r="255" ht="15" customHeight="1">
      <c r="A255" t="inlineStr">
        <is>
          <t>A 38627-2023</t>
        </is>
      </c>
      <c r="B255" s="1" t="n">
        <v>45162.68787037037</v>
      </c>
      <c r="C255" s="1" t="n">
        <v>45927</v>
      </c>
      <c r="D255" t="inlineStr">
        <is>
          <t>DALARNAS LÄN</t>
        </is>
      </c>
      <c r="E255" t="inlineStr">
        <is>
          <t>MORA</t>
        </is>
      </c>
      <c r="G255" t="n">
        <v>6.5</v>
      </c>
      <c r="H255" t="n">
        <v>0</v>
      </c>
      <c r="I255" t="n">
        <v>0</v>
      </c>
      <c r="J255" t="n">
        <v>0</v>
      </c>
      <c r="K255" t="n">
        <v>0</v>
      </c>
      <c r="L255" t="n">
        <v>0</v>
      </c>
      <c r="M255" t="n">
        <v>0</v>
      </c>
      <c r="N255" t="n">
        <v>0</v>
      </c>
      <c r="O255" t="n">
        <v>0</v>
      </c>
      <c r="P255" t="n">
        <v>0</v>
      </c>
      <c r="Q255" t="n">
        <v>0</v>
      </c>
      <c r="R255" s="2" t="inlineStr"/>
    </row>
    <row r="256" ht="15" customHeight="1">
      <c r="A256" t="inlineStr">
        <is>
          <t>A 64088-2023</t>
        </is>
      </c>
      <c r="B256" s="1" t="n">
        <v>45279.43570601852</v>
      </c>
      <c r="C256" s="1" t="n">
        <v>45927</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43533-2023</t>
        </is>
      </c>
      <c r="B257" s="1" t="n">
        <v>45184.53412037037</v>
      </c>
      <c r="C257" s="1" t="n">
        <v>45927</v>
      </c>
      <c r="D257" t="inlineStr">
        <is>
          <t>DALARNAS LÄN</t>
        </is>
      </c>
      <c r="E257" t="inlineStr">
        <is>
          <t>MORA</t>
        </is>
      </c>
      <c r="F257" t="inlineStr">
        <is>
          <t>Bergvik skog väst AB</t>
        </is>
      </c>
      <c r="G257" t="n">
        <v>10.3</v>
      </c>
      <c r="H257" t="n">
        <v>0</v>
      </c>
      <c r="I257" t="n">
        <v>0</v>
      </c>
      <c r="J257" t="n">
        <v>0</v>
      </c>
      <c r="K257" t="n">
        <v>0</v>
      </c>
      <c r="L257" t="n">
        <v>0</v>
      </c>
      <c r="M257" t="n">
        <v>0</v>
      </c>
      <c r="N257" t="n">
        <v>0</v>
      </c>
      <c r="O257" t="n">
        <v>0</v>
      </c>
      <c r="P257" t="n">
        <v>0</v>
      </c>
      <c r="Q257" t="n">
        <v>0</v>
      </c>
      <c r="R257" s="2" t="inlineStr"/>
    </row>
    <row r="258" ht="15" customHeight="1">
      <c r="A258" t="inlineStr">
        <is>
          <t>A 37774-2022</t>
        </is>
      </c>
      <c r="B258" s="1" t="n">
        <v>44810.64164351852</v>
      </c>
      <c r="C258" s="1" t="n">
        <v>45927</v>
      </c>
      <c r="D258" t="inlineStr">
        <is>
          <t>DALARNAS LÄN</t>
        </is>
      </c>
      <c r="E258" t="inlineStr">
        <is>
          <t>MORA</t>
        </is>
      </c>
      <c r="F258" t="inlineStr">
        <is>
          <t>Bergvik skog väst AB</t>
        </is>
      </c>
      <c r="G258" t="n">
        <v>8.5</v>
      </c>
      <c r="H258" t="n">
        <v>0</v>
      </c>
      <c r="I258" t="n">
        <v>0</v>
      </c>
      <c r="J258" t="n">
        <v>0</v>
      </c>
      <c r="K258" t="n">
        <v>0</v>
      </c>
      <c r="L258" t="n">
        <v>0</v>
      </c>
      <c r="M258" t="n">
        <v>0</v>
      </c>
      <c r="N258" t="n">
        <v>0</v>
      </c>
      <c r="O258" t="n">
        <v>0</v>
      </c>
      <c r="P258" t="n">
        <v>0</v>
      </c>
      <c r="Q258" t="n">
        <v>0</v>
      </c>
      <c r="R258" s="2" t="inlineStr"/>
    </row>
    <row r="259" ht="15" customHeight="1">
      <c r="A259" t="inlineStr">
        <is>
          <t>A 64327-2023</t>
        </is>
      </c>
      <c r="B259" s="1" t="n">
        <v>45280</v>
      </c>
      <c r="C259" s="1" t="n">
        <v>45927</v>
      </c>
      <c r="D259" t="inlineStr">
        <is>
          <t>DALARNAS LÄN</t>
        </is>
      </c>
      <c r="E259" t="inlineStr">
        <is>
          <t>MORA</t>
        </is>
      </c>
      <c r="G259" t="n">
        <v>0.8</v>
      </c>
      <c r="H259" t="n">
        <v>0</v>
      </c>
      <c r="I259" t="n">
        <v>0</v>
      </c>
      <c r="J259" t="n">
        <v>0</v>
      </c>
      <c r="K259" t="n">
        <v>0</v>
      </c>
      <c r="L259" t="n">
        <v>0</v>
      </c>
      <c r="M259" t="n">
        <v>0</v>
      </c>
      <c r="N259" t="n">
        <v>0</v>
      </c>
      <c r="O259" t="n">
        <v>0</v>
      </c>
      <c r="P259" t="n">
        <v>0</v>
      </c>
      <c r="Q259" t="n">
        <v>0</v>
      </c>
      <c r="R259" s="2" t="inlineStr"/>
    </row>
    <row r="260" ht="15" customHeight="1">
      <c r="A260" t="inlineStr">
        <is>
          <t>A 17145-2024</t>
        </is>
      </c>
      <c r="B260" s="1" t="n">
        <v>45412</v>
      </c>
      <c r="C260" s="1" t="n">
        <v>45927</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24947-2025</t>
        </is>
      </c>
      <c r="B261" s="1" t="n">
        <v>45799.56524305556</v>
      </c>
      <c r="C261" s="1" t="n">
        <v>45927</v>
      </c>
      <c r="D261" t="inlineStr">
        <is>
          <t>DALARNAS LÄN</t>
        </is>
      </c>
      <c r="E261" t="inlineStr">
        <is>
          <t>MORA</t>
        </is>
      </c>
      <c r="G261" t="n">
        <v>2</v>
      </c>
      <c r="H261" t="n">
        <v>0</v>
      </c>
      <c r="I261" t="n">
        <v>0</v>
      </c>
      <c r="J261" t="n">
        <v>0</v>
      </c>
      <c r="K261" t="n">
        <v>0</v>
      </c>
      <c r="L261" t="n">
        <v>0</v>
      </c>
      <c r="M261" t="n">
        <v>0</v>
      </c>
      <c r="N261" t="n">
        <v>0</v>
      </c>
      <c r="O261" t="n">
        <v>0</v>
      </c>
      <c r="P261" t="n">
        <v>0</v>
      </c>
      <c r="Q261" t="n">
        <v>0</v>
      </c>
      <c r="R261" s="2" t="inlineStr"/>
    </row>
    <row r="262" ht="15" customHeight="1">
      <c r="A262" t="inlineStr">
        <is>
          <t>A 48728-2022</t>
        </is>
      </c>
      <c r="B262" s="1" t="n">
        <v>44859.52145833334</v>
      </c>
      <c r="C262" s="1" t="n">
        <v>45927</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24630-2025</t>
        </is>
      </c>
      <c r="B263" s="1" t="n">
        <v>45798.6003587963</v>
      </c>
      <c r="C263" s="1" t="n">
        <v>45927</v>
      </c>
      <c r="D263" t="inlineStr">
        <is>
          <t>DALARNAS LÄN</t>
        </is>
      </c>
      <c r="E263" t="inlineStr">
        <is>
          <t>MORA</t>
        </is>
      </c>
      <c r="F263" t="inlineStr">
        <is>
          <t>Bergvik skog väst AB</t>
        </is>
      </c>
      <c r="G263" t="n">
        <v>10.4</v>
      </c>
      <c r="H263" t="n">
        <v>0</v>
      </c>
      <c r="I263" t="n">
        <v>0</v>
      </c>
      <c r="J263" t="n">
        <v>0</v>
      </c>
      <c r="K263" t="n">
        <v>0</v>
      </c>
      <c r="L263" t="n">
        <v>0</v>
      </c>
      <c r="M263" t="n">
        <v>0</v>
      </c>
      <c r="N263" t="n">
        <v>0</v>
      </c>
      <c r="O263" t="n">
        <v>0</v>
      </c>
      <c r="P263" t="n">
        <v>0</v>
      </c>
      <c r="Q263" t="n">
        <v>0</v>
      </c>
      <c r="R263" s="2" t="inlineStr"/>
    </row>
    <row r="264" ht="15" customHeight="1">
      <c r="A264" t="inlineStr">
        <is>
          <t>A 24653-2025</t>
        </is>
      </c>
      <c r="B264" s="1" t="n">
        <v>45798.63875</v>
      </c>
      <c r="C264" s="1" t="n">
        <v>45927</v>
      </c>
      <c r="D264" t="inlineStr">
        <is>
          <t>DALARNAS LÄN</t>
        </is>
      </c>
      <c r="E264" t="inlineStr">
        <is>
          <t>MORA</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24960-2025</t>
        </is>
      </c>
      <c r="B265" s="1" t="n">
        <v>45799.57666666667</v>
      </c>
      <c r="C265" s="1" t="n">
        <v>45927</v>
      </c>
      <c r="D265" t="inlineStr">
        <is>
          <t>DALARNAS LÄN</t>
        </is>
      </c>
      <c r="E265" t="inlineStr">
        <is>
          <t>MORA</t>
        </is>
      </c>
      <c r="G265" t="n">
        <v>3.2</v>
      </c>
      <c r="H265" t="n">
        <v>0</v>
      </c>
      <c r="I265" t="n">
        <v>0</v>
      </c>
      <c r="J265" t="n">
        <v>0</v>
      </c>
      <c r="K265" t="n">
        <v>0</v>
      </c>
      <c r="L265" t="n">
        <v>0</v>
      </c>
      <c r="M265" t="n">
        <v>0</v>
      </c>
      <c r="N265" t="n">
        <v>0</v>
      </c>
      <c r="O265" t="n">
        <v>0</v>
      </c>
      <c r="P265" t="n">
        <v>0</v>
      </c>
      <c r="Q265" t="n">
        <v>0</v>
      </c>
      <c r="R265" s="2" t="inlineStr"/>
    </row>
    <row r="266" ht="15" customHeight="1">
      <c r="A266" t="inlineStr">
        <is>
          <t>A 2830-2023</t>
        </is>
      </c>
      <c r="B266" s="1" t="n">
        <v>44945.32997685186</v>
      </c>
      <c r="C266" s="1" t="n">
        <v>45927</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24642-2025</t>
        </is>
      </c>
      <c r="B267" s="1" t="n">
        <v>45798.62894675926</v>
      </c>
      <c r="C267" s="1" t="n">
        <v>45927</v>
      </c>
      <c r="D267" t="inlineStr">
        <is>
          <t>DALARNAS LÄN</t>
        </is>
      </c>
      <c r="E267" t="inlineStr">
        <is>
          <t>MORA</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24620-2025</t>
        </is>
      </c>
      <c r="B268" s="1" t="n">
        <v>45798.59290509259</v>
      </c>
      <c r="C268" s="1" t="n">
        <v>45927</v>
      </c>
      <c r="D268" t="inlineStr">
        <is>
          <t>DALARNAS LÄN</t>
        </is>
      </c>
      <c r="E268" t="inlineStr">
        <is>
          <t>MORA</t>
        </is>
      </c>
      <c r="F268" t="inlineStr">
        <is>
          <t>Bergvik skog väst AB</t>
        </is>
      </c>
      <c r="G268" t="n">
        <v>4.9</v>
      </c>
      <c r="H268" t="n">
        <v>0</v>
      </c>
      <c r="I268" t="n">
        <v>0</v>
      </c>
      <c r="J268" t="n">
        <v>0</v>
      </c>
      <c r="K268" t="n">
        <v>0</v>
      </c>
      <c r="L268" t="n">
        <v>0</v>
      </c>
      <c r="M268" t="n">
        <v>0</v>
      </c>
      <c r="N268" t="n">
        <v>0</v>
      </c>
      <c r="O268" t="n">
        <v>0</v>
      </c>
      <c r="P268" t="n">
        <v>0</v>
      </c>
      <c r="Q268" t="n">
        <v>0</v>
      </c>
      <c r="R268" s="2" t="inlineStr"/>
    </row>
    <row r="269" ht="15" customHeight="1">
      <c r="A269" t="inlineStr">
        <is>
          <t>A 39882-2024</t>
        </is>
      </c>
      <c r="B269" s="1" t="n">
        <v>45553</v>
      </c>
      <c r="C269" s="1" t="n">
        <v>45927</v>
      </c>
      <c r="D269" t="inlineStr">
        <is>
          <t>DALARNAS LÄN</t>
        </is>
      </c>
      <c r="E269" t="inlineStr">
        <is>
          <t>MORA</t>
        </is>
      </c>
      <c r="G269" t="n">
        <v>14.6</v>
      </c>
      <c r="H269" t="n">
        <v>0</v>
      </c>
      <c r="I269" t="n">
        <v>0</v>
      </c>
      <c r="J269" t="n">
        <v>0</v>
      </c>
      <c r="K269" t="n">
        <v>0</v>
      </c>
      <c r="L269" t="n">
        <v>0</v>
      </c>
      <c r="M269" t="n">
        <v>0</v>
      </c>
      <c r="N269" t="n">
        <v>0</v>
      </c>
      <c r="O269" t="n">
        <v>0</v>
      </c>
      <c r="P269" t="n">
        <v>0</v>
      </c>
      <c r="Q269" t="n">
        <v>0</v>
      </c>
      <c r="R269" s="2" t="inlineStr"/>
    </row>
    <row r="270" ht="15" customHeight="1">
      <c r="A270" t="inlineStr">
        <is>
          <t>A 43566-2023</t>
        </is>
      </c>
      <c r="B270" s="1" t="n">
        <v>45184.58199074074</v>
      </c>
      <c r="C270" s="1" t="n">
        <v>45927</v>
      </c>
      <c r="D270" t="inlineStr">
        <is>
          <t>DALARNAS LÄN</t>
        </is>
      </c>
      <c r="E270" t="inlineStr">
        <is>
          <t>MORA</t>
        </is>
      </c>
      <c r="F270" t="inlineStr">
        <is>
          <t>Bergvik skog väst AB</t>
        </is>
      </c>
      <c r="G270" t="n">
        <v>4.3</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44473.39252314815</v>
      </c>
      <c r="C271" s="1" t="n">
        <v>45927</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32410-2024</t>
        </is>
      </c>
      <c r="B272" s="1" t="n">
        <v>45512.70077546296</v>
      </c>
      <c r="C272" s="1" t="n">
        <v>45927</v>
      </c>
      <c r="D272" t="inlineStr">
        <is>
          <t>DALARNAS LÄN</t>
        </is>
      </c>
      <c r="E272" t="inlineStr">
        <is>
          <t>MORA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25737-2025</t>
        </is>
      </c>
      <c r="B273" s="1" t="n">
        <v>45800</v>
      </c>
      <c r="C273" s="1" t="n">
        <v>45927</v>
      </c>
      <c r="D273" t="inlineStr">
        <is>
          <t>DALARNAS LÄN</t>
        </is>
      </c>
      <c r="E273" t="inlineStr">
        <is>
          <t>MORA</t>
        </is>
      </c>
      <c r="G273" t="n">
        <v>9.6</v>
      </c>
      <c r="H273" t="n">
        <v>0</v>
      </c>
      <c r="I273" t="n">
        <v>0</v>
      </c>
      <c r="J273" t="n">
        <v>0</v>
      </c>
      <c r="K273" t="n">
        <v>0</v>
      </c>
      <c r="L273" t="n">
        <v>0</v>
      </c>
      <c r="M273" t="n">
        <v>0</v>
      </c>
      <c r="N273" t="n">
        <v>0</v>
      </c>
      <c r="O273" t="n">
        <v>0</v>
      </c>
      <c r="P273" t="n">
        <v>0</v>
      </c>
      <c r="Q273" t="n">
        <v>0</v>
      </c>
      <c r="R273" s="2" t="inlineStr"/>
    </row>
    <row r="274" ht="15" customHeight="1">
      <c r="A274" t="inlineStr">
        <is>
          <t>A 4994-2025</t>
        </is>
      </c>
      <c r="B274" s="1" t="n">
        <v>45691.35427083333</v>
      </c>
      <c r="C274" s="1" t="n">
        <v>45927</v>
      </c>
      <c r="D274" t="inlineStr">
        <is>
          <t>DALARNAS LÄN</t>
        </is>
      </c>
      <c r="E274" t="inlineStr">
        <is>
          <t>MORA</t>
        </is>
      </c>
      <c r="G274" t="n">
        <v>4.6</v>
      </c>
      <c r="H274" t="n">
        <v>0</v>
      </c>
      <c r="I274" t="n">
        <v>0</v>
      </c>
      <c r="J274" t="n">
        <v>0</v>
      </c>
      <c r="K274" t="n">
        <v>0</v>
      </c>
      <c r="L274" t="n">
        <v>0</v>
      </c>
      <c r="M274" t="n">
        <v>0</v>
      </c>
      <c r="N274" t="n">
        <v>0</v>
      </c>
      <c r="O274" t="n">
        <v>0</v>
      </c>
      <c r="P274" t="n">
        <v>0</v>
      </c>
      <c r="Q274" t="n">
        <v>0</v>
      </c>
      <c r="R274" s="2" t="inlineStr"/>
    </row>
    <row r="275" ht="15" customHeight="1">
      <c r="A275" t="inlineStr">
        <is>
          <t>A 15993-2025</t>
        </is>
      </c>
      <c r="B275" s="1" t="n">
        <v>45749.58428240741</v>
      </c>
      <c r="C275" s="1" t="n">
        <v>45927</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46414-2024</t>
        </is>
      </c>
      <c r="B276" s="1" t="n">
        <v>45582.45226851852</v>
      </c>
      <c r="C276" s="1" t="n">
        <v>45927</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46417-2024</t>
        </is>
      </c>
      <c r="B277" s="1" t="n">
        <v>45582.45449074074</v>
      </c>
      <c r="C277" s="1" t="n">
        <v>45927</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51253-2023</t>
        </is>
      </c>
      <c r="B278" s="1" t="n">
        <v>45219</v>
      </c>
      <c r="C278" s="1" t="n">
        <v>45927</v>
      </c>
      <c r="D278" t="inlineStr">
        <is>
          <t>DALARNAS LÄN</t>
        </is>
      </c>
      <c r="E278" t="inlineStr">
        <is>
          <t>MORA</t>
        </is>
      </c>
      <c r="G278" t="n">
        <v>5</v>
      </c>
      <c r="H278" t="n">
        <v>0</v>
      </c>
      <c r="I278" t="n">
        <v>0</v>
      </c>
      <c r="J278" t="n">
        <v>0</v>
      </c>
      <c r="K278" t="n">
        <v>0</v>
      </c>
      <c r="L278" t="n">
        <v>0</v>
      </c>
      <c r="M278" t="n">
        <v>0</v>
      </c>
      <c r="N278" t="n">
        <v>0</v>
      </c>
      <c r="O278" t="n">
        <v>0</v>
      </c>
      <c r="P278" t="n">
        <v>0</v>
      </c>
      <c r="Q278" t="n">
        <v>0</v>
      </c>
      <c r="R278" s="2" t="inlineStr"/>
    </row>
    <row r="279" ht="15" customHeight="1">
      <c r="A279" t="inlineStr">
        <is>
          <t>A 57110-2021</t>
        </is>
      </c>
      <c r="B279" s="1" t="n">
        <v>44482</v>
      </c>
      <c r="C279" s="1" t="n">
        <v>45927</v>
      </c>
      <c r="D279" t="inlineStr">
        <is>
          <t>DALARNAS LÄN</t>
        </is>
      </c>
      <c r="E279" t="inlineStr">
        <is>
          <t>MORA</t>
        </is>
      </c>
      <c r="G279" t="n">
        <v>5.4</v>
      </c>
      <c r="H279" t="n">
        <v>0</v>
      </c>
      <c r="I279" t="n">
        <v>0</v>
      </c>
      <c r="J279" t="n">
        <v>0</v>
      </c>
      <c r="K279" t="n">
        <v>0</v>
      </c>
      <c r="L279" t="n">
        <v>0</v>
      </c>
      <c r="M279" t="n">
        <v>0</v>
      </c>
      <c r="N279" t="n">
        <v>0</v>
      </c>
      <c r="O279" t="n">
        <v>0</v>
      </c>
      <c r="P279" t="n">
        <v>0</v>
      </c>
      <c r="Q279" t="n">
        <v>0</v>
      </c>
      <c r="R279" s="2" t="inlineStr"/>
    </row>
    <row r="280" ht="15" customHeight="1">
      <c r="A280" t="inlineStr">
        <is>
          <t>A 11857-2023</t>
        </is>
      </c>
      <c r="B280" s="1" t="n">
        <v>44995</v>
      </c>
      <c r="C280" s="1" t="n">
        <v>45927</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56012-2023</t>
        </is>
      </c>
      <c r="B281" s="1" t="n">
        <v>45240</v>
      </c>
      <c r="C281" s="1" t="n">
        <v>45927</v>
      </c>
      <c r="D281" t="inlineStr">
        <is>
          <t>DALARNAS LÄN</t>
        </is>
      </c>
      <c r="E281" t="inlineStr">
        <is>
          <t>MORA</t>
        </is>
      </c>
      <c r="G281" t="n">
        <v>0.3</v>
      </c>
      <c r="H281" t="n">
        <v>0</v>
      </c>
      <c r="I281" t="n">
        <v>0</v>
      </c>
      <c r="J281" t="n">
        <v>0</v>
      </c>
      <c r="K281" t="n">
        <v>0</v>
      </c>
      <c r="L281" t="n">
        <v>0</v>
      </c>
      <c r="M281" t="n">
        <v>0</v>
      </c>
      <c r="N281" t="n">
        <v>0</v>
      </c>
      <c r="O281" t="n">
        <v>0</v>
      </c>
      <c r="P281" t="n">
        <v>0</v>
      </c>
      <c r="Q281" t="n">
        <v>0</v>
      </c>
      <c r="R281" s="2" t="inlineStr"/>
    </row>
    <row r="282" ht="15" customHeight="1">
      <c r="A282" t="inlineStr">
        <is>
          <t>A 60674-2023</t>
        </is>
      </c>
      <c r="B282" s="1" t="n">
        <v>45260.46609953704</v>
      </c>
      <c r="C282" s="1" t="n">
        <v>45927</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5298-2023</t>
        </is>
      </c>
      <c r="B283" s="1" t="n">
        <v>44959.54355324074</v>
      </c>
      <c r="C283" s="1" t="n">
        <v>45927</v>
      </c>
      <c r="D283" t="inlineStr">
        <is>
          <t>DALARNAS LÄN</t>
        </is>
      </c>
      <c r="E283" t="inlineStr">
        <is>
          <t>MORA</t>
        </is>
      </c>
      <c r="F283" t="inlineStr">
        <is>
          <t>Bergvik skog väst AB</t>
        </is>
      </c>
      <c r="G283" t="n">
        <v>6.2</v>
      </c>
      <c r="H283" t="n">
        <v>0</v>
      </c>
      <c r="I283" t="n">
        <v>0</v>
      </c>
      <c r="J283" t="n">
        <v>0</v>
      </c>
      <c r="K283" t="n">
        <v>0</v>
      </c>
      <c r="L283" t="n">
        <v>0</v>
      </c>
      <c r="M283" t="n">
        <v>0</v>
      </c>
      <c r="N283" t="n">
        <v>0</v>
      </c>
      <c r="O283" t="n">
        <v>0</v>
      </c>
      <c r="P283" t="n">
        <v>0</v>
      </c>
      <c r="Q283" t="n">
        <v>0</v>
      </c>
      <c r="R283" s="2" t="inlineStr"/>
    </row>
    <row r="284" ht="15" customHeight="1">
      <c r="A284" t="inlineStr">
        <is>
          <t>A 57859-2022</t>
        </is>
      </c>
      <c r="B284" s="1" t="n">
        <v>44898</v>
      </c>
      <c r="C284" s="1" t="n">
        <v>45927</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5491-2023</t>
        </is>
      </c>
      <c r="B285" s="1" t="n">
        <v>44957</v>
      </c>
      <c r="C285" s="1" t="n">
        <v>45927</v>
      </c>
      <c r="D285" t="inlineStr">
        <is>
          <t>DALARNAS LÄN</t>
        </is>
      </c>
      <c r="E285" t="inlineStr">
        <is>
          <t>MORA</t>
        </is>
      </c>
      <c r="G285" t="n">
        <v>3.5</v>
      </c>
      <c r="H285" t="n">
        <v>0</v>
      </c>
      <c r="I285" t="n">
        <v>0</v>
      </c>
      <c r="J285" t="n">
        <v>0</v>
      </c>
      <c r="K285" t="n">
        <v>0</v>
      </c>
      <c r="L285" t="n">
        <v>0</v>
      </c>
      <c r="M285" t="n">
        <v>0</v>
      </c>
      <c r="N285" t="n">
        <v>0</v>
      </c>
      <c r="O285" t="n">
        <v>0</v>
      </c>
      <c r="P285" t="n">
        <v>0</v>
      </c>
      <c r="Q285" t="n">
        <v>0</v>
      </c>
      <c r="R285" s="2" t="inlineStr"/>
    </row>
    <row r="286" ht="15" customHeight="1">
      <c r="A286" t="inlineStr">
        <is>
          <t>A 5493-2023</t>
        </is>
      </c>
      <c r="B286" s="1" t="n">
        <v>44957</v>
      </c>
      <c r="C286" s="1" t="n">
        <v>45927</v>
      </c>
      <c r="D286" t="inlineStr">
        <is>
          <t>DALARNAS LÄN</t>
        </is>
      </c>
      <c r="E286" t="inlineStr">
        <is>
          <t>MORA</t>
        </is>
      </c>
      <c r="F286" t="inlineStr">
        <is>
          <t>Allmännings- och besparingsskogar</t>
        </is>
      </c>
      <c r="G286" t="n">
        <v>14.9</v>
      </c>
      <c r="H286" t="n">
        <v>0</v>
      </c>
      <c r="I286" t="n">
        <v>0</v>
      </c>
      <c r="J286" t="n">
        <v>0</v>
      </c>
      <c r="K286" t="n">
        <v>0</v>
      </c>
      <c r="L286" t="n">
        <v>0</v>
      </c>
      <c r="M286" t="n">
        <v>0</v>
      </c>
      <c r="N286" t="n">
        <v>0</v>
      </c>
      <c r="O286" t="n">
        <v>0</v>
      </c>
      <c r="P286" t="n">
        <v>0</v>
      </c>
      <c r="Q286" t="n">
        <v>0</v>
      </c>
      <c r="R286" s="2" t="inlineStr"/>
    </row>
    <row r="287" ht="15" customHeight="1">
      <c r="A287" t="inlineStr">
        <is>
          <t>A 26577-2025</t>
        </is>
      </c>
      <c r="B287" s="1" t="n">
        <v>45807</v>
      </c>
      <c r="C287" s="1" t="n">
        <v>45927</v>
      </c>
      <c r="D287" t="inlineStr">
        <is>
          <t>DALARNAS LÄN</t>
        </is>
      </c>
      <c r="E287" t="inlineStr">
        <is>
          <t>MORA</t>
        </is>
      </c>
      <c r="G287" t="n">
        <v>2.8</v>
      </c>
      <c r="H287" t="n">
        <v>0</v>
      </c>
      <c r="I287" t="n">
        <v>0</v>
      </c>
      <c r="J287" t="n">
        <v>0</v>
      </c>
      <c r="K287" t="n">
        <v>0</v>
      </c>
      <c r="L287" t="n">
        <v>0</v>
      </c>
      <c r="M287" t="n">
        <v>0</v>
      </c>
      <c r="N287" t="n">
        <v>0</v>
      </c>
      <c r="O287" t="n">
        <v>0</v>
      </c>
      <c r="P287" t="n">
        <v>0</v>
      </c>
      <c r="Q287" t="n">
        <v>0</v>
      </c>
      <c r="R287" s="2" t="inlineStr"/>
    </row>
    <row r="288" ht="15" customHeight="1">
      <c r="A288" t="inlineStr">
        <is>
          <t>A 61249-2023</t>
        </is>
      </c>
      <c r="B288" s="1" t="n">
        <v>45264</v>
      </c>
      <c r="C288" s="1" t="n">
        <v>45927</v>
      </c>
      <c r="D288" t="inlineStr">
        <is>
          <t>DALARNAS LÄN</t>
        </is>
      </c>
      <c r="E288" t="inlineStr">
        <is>
          <t>MORA</t>
        </is>
      </c>
      <c r="F288" t="inlineStr">
        <is>
          <t>Allmännings- och besparingsskogar</t>
        </is>
      </c>
      <c r="G288" t="n">
        <v>1.7</v>
      </c>
      <c r="H288" t="n">
        <v>0</v>
      </c>
      <c r="I288" t="n">
        <v>0</v>
      </c>
      <c r="J288" t="n">
        <v>0</v>
      </c>
      <c r="K288" t="n">
        <v>0</v>
      </c>
      <c r="L288" t="n">
        <v>0</v>
      </c>
      <c r="M288" t="n">
        <v>0</v>
      </c>
      <c r="N288" t="n">
        <v>0</v>
      </c>
      <c r="O288" t="n">
        <v>0</v>
      </c>
      <c r="P288" t="n">
        <v>0</v>
      </c>
      <c r="Q288" t="n">
        <v>0</v>
      </c>
      <c r="R288" s="2" t="inlineStr"/>
    </row>
    <row r="289" ht="15" customHeight="1">
      <c r="A289" t="inlineStr">
        <is>
          <t>A 26532-2025</t>
        </is>
      </c>
      <c r="B289" s="1" t="n">
        <v>45807</v>
      </c>
      <c r="C289" s="1" t="n">
        <v>45927</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26545-2025</t>
        </is>
      </c>
      <c r="B290" s="1" t="n">
        <v>45807</v>
      </c>
      <c r="C290" s="1" t="n">
        <v>45927</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26546-2025</t>
        </is>
      </c>
      <c r="B291" s="1" t="n">
        <v>45807</v>
      </c>
      <c r="C291" s="1" t="n">
        <v>45927</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48825-2023</t>
        </is>
      </c>
      <c r="B292" s="1" t="n">
        <v>45203</v>
      </c>
      <c r="C292" s="1" t="n">
        <v>45927</v>
      </c>
      <c r="D292" t="inlineStr">
        <is>
          <t>DALARNAS LÄN</t>
        </is>
      </c>
      <c r="E292" t="inlineStr">
        <is>
          <t>MORA</t>
        </is>
      </c>
      <c r="G292" t="n">
        <v>7.9</v>
      </c>
      <c r="H292" t="n">
        <v>0</v>
      </c>
      <c r="I292" t="n">
        <v>0</v>
      </c>
      <c r="J292" t="n">
        <v>0</v>
      </c>
      <c r="K292" t="n">
        <v>0</v>
      </c>
      <c r="L292" t="n">
        <v>0</v>
      </c>
      <c r="M292" t="n">
        <v>0</v>
      </c>
      <c r="N292" t="n">
        <v>0</v>
      </c>
      <c r="O292" t="n">
        <v>0</v>
      </c>
      <c r="P292" t="n">
        <v>0</v>
      </c>
      <c r="Q292" t="n">
        <v>0</v>
      </c>
      <c r="R292" s="2" t="inlineStr"/>
    </row>
    <row r="293" ht="15" customHeight="1">
      <c r="A293" t="inlineStr">
        <is>
          <t>A 25935-2023</t>
        </is>
      </c>
      <c r="B293" s="1" t="n">
        <v>45090.68675925926</v>
      </c>
      <c r="C293" s="1" t="n">
        <v>45927</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26573-2025</t>
        </is>
      </c>
      <c r="B294" s="1" t="n">
        <v>45807</v>
      </c>
      <c r="C294" s="1" t="n">
        <v>45927</v>
      </c>
      <c r="D294" t="inlineStr">
        <is>
          <t>DALARNAS LÄN</t>
        </is>
      </c>
      <c r="E294" t="inlineStr">
        <is>
          <t>MORA</t>
        </is>
      </c>
      <c r="G294" t="n">
        <v>4.3</v>
      </c>
      <c r="H294" t="n">
        <v>0</v>
      </c>
      <c r="I294" t="n">
        <v>0</v>
      </c>
      <c r="J294" t="n">
        <v>0</v>
      </c>
      <c r="K294" t="n">
        <v>0</v>
      </c>
      <c r="L294" t="n">
        <v>0</v>
      </c>
      <c r="M294" t="n">
        <v>0</v>
      </c>
      <c r="N294" t="n">
        <v>0</v>
      </c>
      <c r="O294" t="n">
        <v>0</v>
      </c>
      <c r="P294" t="n">
        <v>0</v>
      </c>
      <c r="Q294" t="n">
        <v>0</v>
      </c>
      <c r="R294" s="2" t="inlineStr"/>
    </row>
    <row r="295" ht="15" customHeight="1">
      <c r="A295" t="inlineStr">
        <is>
          <t>A 30819-2024</t>
        </is>
      </c>
      <c r="B295" s="1" t="n">
        <v>45497</v>
      </c>
      <c r="C295" s="1" t="n">
        <v>45927</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23057-2024</t>
        </is>
      </c>
      <c r="B296" s="1" t="n">
        <v>45450</v>
      </c>
      <c r="C296" s="1" t="n">
        <v>45927</v>
      </c>
      <c r="D296" t="inlineStr">
        <is>
          <t>DALARNAS LÄN</t>
        </is>
      </c>
      <c r="E296" t="inlineStr">
        <is>
          <t>MORA</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26731-2025</t>
        </is>
      </c>
      <c r="B297" s="1" t="n">
        <v>45810.50702546296</v>
      </c>
      <c r="C297" s="1" t="n">
        <v>45927</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20885-2024</t>
        </is>
      </c>
      <c r="B298" s="1" t="n">
        <v>45439.45527777778</v>
      </c>
      <c r="C298" s="1" t="n">
        <v>45927</v>
      </c>
      <c r="D298" t="inlineStr">
        <is>
          <t>DALARNAS LÄN</t>
        </is>
      </c>
      <c r="E298" t="inlineStr">
        <is>
          <t>MORA</t>
        </is>
      </c>
      <c r="G298" t="n">
        <v>5</v>
      </c>
      <c r="H298" t="n">
        <v>0</v>
      </c>
      <c r="I298" t="n">
        <v>0</v>
      </c>
      <c r="J298" t="n">
        <v>0</v>
      </c>
      <c r="K298" t="n">
        <v>0</v>
      </c>
      <c r="L298" t="n">
        <v>0</v>
      </c>
      <c r="M298" t="n">
        <v>0</v>
      </c>
      <c r="N298" t="n">
        <v>0</v>
      </c>
      <c r="O298" t="n">
        <v>0</v>
      </c>
      <c r="P298" t="n">
        <v>0</v>
      </c>
      <c r="Q298" t="n">
        <v>0</v>
      </c>
      <c r="R298" s="2" t="inlineStr"/>
    </row>
    <row r="299" ht="15" customHeight="1">
      <c r="A299" t="inlineStr">
        <is>
          <t>A 51168-2024</t>
        </is>
      </c>
      <c r="B299" s="1" t="n">
        <v>45603.58619212963</v>
      </c>
      <c r="C299" s="1" t="n">
        <v>45927</v>
      </c>
      <c r="D299" t="inlineStr">
        <is>
          <t>DALARNAS LÄN</t>
        </is>
      </c>
      <c r="E299" t="inlineStr">
        <is>
          <t>MORA</t>
        </is>
      </c>
      <c r="G299" t="n">
        <v>3</v>
      </c>
      <c r="H299" t="n">
        <v>0</v>
      </c>
      <c r="I299" t="n">
        <v>0</v>
      </c>
      <c r="J299" t="n">
        <v>0</v>
      </c>
      <c r="K299" t="n">
        <v>0</v>
      </c>
      <c r="L299" t="n">
        <v>0</v>
      </c>
      <c r="M299" t="n">
        <v>0</v>
      </c>
      <c r="N299" t="n">
        <v>0</v>
      </c>
      <c r="O299" t="n">
        <v>0</v>
      </c>
      <c r="P299" t="n">
        <v>0</v>
      </c>
      <c r="Q299" t="n">
        <v>0</v>
      </c>
      <c r="R299" s="2" t="inlineStr"/>
    </row>
    <row r="300" ht="15" customHeight="1">
      <c r="A300" t="inlineStr">
        <is>
          <t>A 59182-2023</t>
        </is>
      </c>
      <c r="B300" s="1" t="n">
        <v>45253</v>
      </c>
      <c r="C300" s="1" t="n">
        <v>45927</v>
      </c>
      <c r="D300" t="inlineStr">
        <is>
          <t>DALARNAS LÄN</t>
        </is>
      </c>
      <c r="E300" t="inlineStr">
        <is>
          <t>MORA</t>
        </is>
      </c>
      <c r="G300" t="n">
        <v>3.3</v>
      </c>
      <c r="H300" t="n">
        <v>0</v>
      </c>
      <c r="I300" t="n">
        <v>0</v>
      </c>
      <c r="J300" t="n">
        <v>0</v>
      </c>
      <c r="K300" t="n">
        <v>0</v>
      </c>
      <c r="L300" t="n">
        <v>0</v>
      </c>
      <c r="M300" t="n">
        <v>0</v>
      </c>
      <c r="N300" t="n">
        <v>0</v>
      </c>
      <c r="O300" t="n">
        <v>0</v>
      </c>
      <c r="P300" t="n">
        <v>0</v>
      </c>
      <c r="Q300" t="n">
        <v>0</v>
      </c>
      <c r="R300" s="2" t="inlineStr"/>
    </row>
    <row r="301" ht="15" customHeight="1">
      <c r="A301" t="inlineStr">
        <is>
          <t>A 56425-2024</t>
        </is>
      </c>
      <c r="B301" s="1" t="n">
        <v>45625.38677083333</v>
      </c>
      <c r="C301" s="1" t="n">
        <v>45927</v>
      </c>
      <c r="D301" t="inlineStr">
        <is>
          <t>DALARNAS LÄN</t>
        </is>
      </c>
      <c r="E301" t="inlineStr">
        <is>
          <t>MORA</t>
        </is>
      </c>
      <c r="G301" t="n">
        <v>2.1</v>
      </c>
      <c r="H301" t="n">
        <v>0</v>
      </c>
      <c r="I301" t="n">
        <v>0</v>
      </c>
      <c r="J301" t="n">
        <v>0</v>
      </c>
      <c r="K301" t="n">
        <v>0</v>
      </c>
      <c r="L301" t="n">
        <v>0</v>
      </c>
      <c r="M301" t="n">
        <v>0</v>
      </c>
      <c r="N301" t="n">
        <v>0</v>
      </c>
      <c r="O301" t="n">
        <v>0</v>
      </c>
      <c r="P301" t="n">
        <v>0</v>
      </c>
      <c r="Q301" t="n">
        <v>0</v>
      </c>
      <c r="R301" s="2" t="inlineStr"/>
    </row>
    <row r="302" ht="15" customHeight="1">
      <c r="A302" t="inlineStr">
        <is>
          <t>A 26711-2025</t>
        </is>
      </c>
      <c r="B302" s="1" t="n">
        <v>45810.46144675926</v>
      </c>
      <c r="C302" s="1" t="n">
        <v>45927</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36600-2023</t>
        </is>
      </c>
      <c r="B303" s="1" t="n">
        <v>45153</v>
      </c>
      <c r="C303" s="1" t="n">
        <v>45927</v>
      </c>
      <c r="D303" t="inlineStr">
        <is>
          <t>DALARNAS LÄN</t>
        </is>
      </c>
      <c r="E303" t="inlineStr">
        <is>
          <t>MORA</t>
        </is>
      </c>
      <c r="G303" t="n">
        <v>7.3</v>
      </c>
      <c r="H303" t="n">
        <v>0</v>
      </c>
      <c r="I303" t="n">
        <v>0</v>
      </c>
      <c r="J303" t="n">
        <v>0</v>
      </c>
      <c r="K303" t="n">
        <v>0</v>
      </c>
      <c r="L303" t="n">
        <v>0</v>
      </c>
      <c r="M303" t="n">
        <v>0</v>
      </c>
      <c r="N303" t="n">
        <v>0</v>
      </c>
      <c r="O303" t="n">
        <v>0</v>
      </c>
      <c r="P303" t="n">
        <v>0</v>
      </c>
      <c r="Q303" t="n">
        <v>0</v>
      </c>
      <c r="R303" s="2" t="inlineStr"/>
    </row>
    <row r="304" ht="15" customHeight="1">
      <c r="A304" t="inlineStr">
        <is>
          <t>A 7565-2025</t>
        </is>
      </c>
      <c r="B304" s="1" t="n">
        <v>45705.59269675926</v>
      </c>
      <c r="C304" s="1" t="n">
        <v>45927</v>
      </c>
      <c r="D304" t="inlineStr">
        <is>
          <t>DALARNAS LÄN</t>
        </is>
      </c>
      <c r="E304" t="inlineStr">
        <is>
          <t>MORA</t>
        </is>
      </c>
      <c r="G304" t="n">
        <v>3</v>
      </c>
      <c r="H304" t="n">
        <v>0</v>
      </c>
      <c r="I304" t="n">
        <v>0</v>
      </c>
      <c r="J304" t="n">
        <v>0</v>
      </c>
      <c r="K304" t="n">
        <v>0</v>
      </c>
      <c r="L304" t="n">
        <v>0</v>
      </c>
      <c r="M304" t="n">
        <v>0</v>
      </c>
      <c r="N304" t="n">
        <v>0</v>
      </c>
      <c r="O304" t="n">
        <v>0</v>
      </c>
      <c r="P304" t="n">
        <v>0</v>
      </c>
      <c r="Q304" t="n">
        <v>0</v>
      </c>
      <c r="R304" s="2" t="inlineStr"/>
    </row>
    <row r="305" ht="15" customHeight="1">
      <c r="A305" t="inlineStr">
        <is>
          <t>A 29193-2023</t>
        </is>
      </c>
      <c r="B305" s="1" t="n">
        <v>45105.54791666667</v>
      </c>
      <c r="C305" s="1" t="n">
        <v>45927</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26854-2025</t>
        </is>
      </c>
      <c r="B306" s="1" t="n">
        <v>45810.67462962963</v>
      </c>
      <c r="C306" s="1" t="n">
        <v>45927</v>
      </c>
      <c r="D306" t="inlineStr">
        <is>
          <t>DALARNAS LÄN</t>
        </is>
      </c>
      <c r="E306" t="inlineStr">
        <is>
          <t>MORA</t>
        </is>
      </c>
      <c r="G306" t="n">
        <v>4.4</v>
      </c>
      <c r="H306" t="n">
        <v>0</v>
      </c>
      <c r="I306" t="n">
        <v>0</v>
      </c>
      <c r="J306" t="n">
        <v>0</v>
      </c>
      <c r="K306" t="n">
        <v>0</v>
      </c>
      <c r="L306" t="n">
        <v>0</v>
      </c>
      <c r="M306" t="n">
        <v>0</v>
      </c>
      <c r="N306" t="n">
        <v>0</v>
      </c>
      <c r="O306" t="n">
        <v>0</v>
      </c>
      <c r="P306" t="n">
        <v>0</v>
      </c>
      <c r="Q306" t="n">
        <v>0</v>
      </c>
      <c r="R306" s="2" t="inlineStr"/>
    </row>
    <row r="307" ht="15" customHeight="1">
      <c r="A307" t="inlineStr">
        <is>
          <t>A 18444-2024</t>
        </is>
      </c>
      <c r="B307" s="1" t="n">
        <v>45425.45568287037</v>
      </c>
      <c r="C307" s="1" t="n">
        <v>45927</v>
      </c>
      <c r="D307" t="inlineStr">
        <is>
          <t>DALARNAS LÄN</t>
        </is>
      </c>
      <c r="E307" t="inlineStr">
        <is>
          <t>MORA</t>
        </is>
      </c>
      <c r="G307" t="n">
        <v>5</v>
      </c>
      <c r="H307" t="n">
        <v>0</v>
      </c>
      <c r="I307" t="n">
        <v>0</v>
      </c>
      <c r="J307" t="n">
        <v>0</v>
      </c>
      <c r="K307" t="n">
        <v>0</v>
      </c>
      <c r="L307" t="n">
        <v>0</v>
      </c>
      <c r="M307" t="n">
        <v>0</v>
      </c>
      <c r="N307" t="n">
        <v>0</v>
      </c>
      <c r="O307" t="n">
        <v>0</v>
      </c>
      <c r="P307" t="n">
        <v>0</v>
      </c>
      <c r="Q307" t="n">
        <v>0</v>
      </c>
      <c r="R307" s="2" t="inlineStr"/>
    </row>
    <row r="308" ht="15" customHeight="1">
      <c r="A308" t="inlineStr">
        <is>
          <t>A 47784-2024</t>
        </is>
      </c>
      <c r="B308" s="1" t="n">
        <v>45588.59290509259</v>
      </c>
      <c r="C308" s="1" t="n">
        <v>45927</v>
      </c>
      <c r="D308" t="inlineStr">
        <is>
          <t>DALARNAS LÄN</t>
        </is>
      </c>
      <c r="E308" t="inlineStr">
        <is>
          <t>MORA</t>
        </is>
      </c>
      <c r="G308" t="n">
        <v>15.3</v>
      </c>
      <c r="H308" t="n">
        <v>0</v>
      </c>
      <c r="I308" t="n">
        <v>0</v>
      </c>
      <c r="J308" t="n">
        <v>0</v>
      </c>
      <c r="K308" t="n">
        <v>0</v>
      </c>
      <c r="L308" t="n">
        <v>0</v>
      </c>
      <c r="M308" t="n">
        <v>0</v>
      </c>
      <c r="N308" t="n">
        <v>0</v>
      </c>
      <c r="O308" t="n">
        <v>0</v>
      </c>
      <c r="P308" t="n">
        <v>0</v>
      </c>
      <c r="Q308" t="n">
        <v>0</v>
      </c>
      <c r="R308" s="2" t="inlineStr"/>
    </row>
    <row r="309" ht="15" customHeight="1">
      <c r="A309" t="inlineStr">
        <is>
          <t>A 69519-2020</t>
        </is>
      </c>
      <c r="B309" s="1" t="n">
        <v>44194</v>
      </c>
      <c r="C309" s="1" t="n">
        <v>45927</v>
      </c>
      <c r="D309" t="inlineStr">
        <is>
          <t>DALARNAS LÄN</t>
        </is>
      </c>
      <c r="E309" t="inlineStr">
        <is>
          <t>MORA</t>
        </is>
      </c>
      <c r="G309" t="n">
        <v>0.4</v>
      </c>
      <c r="H309" t="n">
        <v>0</v>
      </c>
      <c r="I309" t="n">
        <v>0</v>
      </c>
      <c r="J309" t="n">
        <v>0</v>
      </c>
      <c r="K309" t="n">
        <v>0</v>
      </c>
      <c r="L309" t="n">
        <v>0</v>
      </c>
      <c r="M309" t="n">
        <v>0</v>
      </c>
      <c r="N309" t="n">
        <v>0</v>
      </c>
      <c r="O309" t="n">
        <v>0</v>
      </c>
      <c r="P309" t="n">
        <v>0</v>
      </c>
      <c r="Q309" t="n">
        <v>0</v>
      </c>
      <c r="R309" s="2" t="inlineStr"/>
    </row>
    <row r="310" ht="15" customHeight="1">
      <c r="A310" t="inlineStr">
        <is>
          <t>A 35325-2024</t>
        </is>
      </c>
      <c r="B310" s="1" t="n">
        <v>45530.71158564815</v>
      </c>
      <c r="C310" s="1" t="n">
        <v>45927</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26647-2025</t>
        </is>
      </c>
      <c r="B311" s="1" t="n">
        <v>45810.38439814815</v>
      </c>
      <c r="C311" s="1" t="n">
        <v>45927</v>
      </c>
      <c r="D311" t="inlineStr">
        <is>
          <t>DALARNAS LÄN</t>
        </is>
      </c>
      <c r="E311" t="inlineStr">
        <is>
          <t>MORA</t>
        </is>
      </c>
      <c r="G311" t="n">
        <v>7.9</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44518.39234953704</v>
      </c>
      <c r="C312" s="1" t="n">
        <v>45927</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45562-2023</t>
        </is>
      </c>
      <c r="B313" s="1" t="n">
        <v>45194.59378472222</v>
      </c>
      <c r="C313" s="1" t="n">
        <v>45927</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51570-2023</t>
        </is>
      </c>
      <c r="B314" s="1" t="n">
        <v>45222</v>
      </c>
      <c r="C314" s="1" t="n">
        <v>45927</v>
      </c>
      <c r="D314" t="inlineStr">
        <is>
          <t>DALARNAS LÄN</t>
        </is>
      </c>
      <c r="E314" t="inlineStr">
        <is>
          <t>MORA</t>
        </is>
      </c>
      <c r="G314" t="n">
        <v>10.1</v>
      </c>
      <c r="H314" t="n">
        <v>0</v>
      </c>
      <c r="I314" t="n">
        <v>0</v>
      </c>
      <c r="J314" t="n">
        <v>0</v>
      </c>
      <c r="K314" t="n">
        <v>0</v>
      </c>
      <c r="L314" t="n">
        <v>0</v>
      </c>
      <c r="M314" t="n">
        <v>0</v>
      </c>
      <c r="N314" t="n">
        <v>0</v>
      </c>
      <c r="O314" t="n">
        <v>0</v>
      </c>
      <c r="P314" t="n">
        <v>0</v>
      </c>
      <c r="Q314" t="n">
        <v>0</v>
      </c>
      <c r="R314" s="2" t="inlineStr"/>
    </row>
    <row r="315" ht="15" customHeight="1">
      <c r="A315" t="inlineStr">
        <is>
          <t>A 59995-2023</t>
        </is>
      </c>
      <c r="B315" s="1" t="n">
        <v>45254</v>
      </c>
      <c r="C315" s="1" t="n">
        <v>45927</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35551-2023</t>
        </is>
      </c>
      <c r="B316" s="1" t="n">
        <v>45147.3934837963</v>
      </c>
      <c r="C316" s="1" t="n">
        <v>45927</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59174-2023</t>
        </is>
      </c>
      <c r="B317" s="1" t="n">
        <v>45253.43202546296</v>
      </c>
      <c r="C317" s="1" t="n">
        <v>45927</v>
      </c>
      <c r="D317" t="inlineStr">
        <is>
          <t>DALARNAS LÄN</t>
        </is>
      </c>
      <c r="E317" t="inlineStr">
        <is>
          <t>MORA</t>
        </is>
      </c>
      <c r="G317" t="n">
        <v>2.5</v>
      </c>
      <c r="H317" t="n">
        <v>0</v>
      </c>
      <c r="I317" t="n">
        <v>0</v>
      </c>
      <c r="J317" t="n">
        <v>0</v>
      </c>
      <c r="K317" t="n">
        <v>0</v>
      </c>
      <c r="L317" t="n">
        <v>0</v>
      </c>
      <c r="M317" t="n">
        <v>0</v>
      </c>
      <c r="N317" t="n">
        <v>0</v>
      </c>
      <c r="O317" t="n">
        <v>0</v>
      </c>
      <c r="P317" t="n">
        <v>0</v>
      </c>
      <c r="Q317" t="n">
        <v>0</v>
      </c>
      <c r="R317" s="2" t="inlineStr"/>
    </row>
    <row r="318" ht="15" customHeight="1">
      <c r="A318" t="inlineStr">
        <is>
          <t>A 26630-2025</t>
        </is>
      </c>
      <c r="B318" s="1" t="n">
        <v>45809</v>
      </c>
      <c r="C318" s="1" t="n">
        <v>45927</v>
      </c>
      <c r="D318" t="inlineStr">
        <is>
          <t>DALARNAS LÄN</t>
        </is>
      </c>
      <c r="E318" t="inlineStr">
        <is>
          <t>MORA</t>
        </is>
      </c>
      <c r="G318" t="n">
        <v>32.1</v>
      </c>
      <c r="H318" t="n">
        <v>0</v>
      </c>
      <c r="I318" t="n">
        <v>0</v>
      </c>
      <c r="J318" t="n">
        <v>0</v>
      </c>
      <c r="K318" t="n">
        <v>0</v>
      </c>
      <c r="L318" t="n">
        <v>0</v>
      </c>
      <c r="M318" t="n">
        <v>0</v>
      </c>
      <c r="N318" t="n">
        <v>0</v>
      </c>
      <c r="O318" t="n">
        <v>0</v>
      </c>
      <c r="P318" t="n">
        <v>0</v>
      </c>
      <c r="Q318" t="n">
        <v>0</v>
      </c>
      <c r="R318" s="2" t="inlineStr"/>
    </row>
    <row r="319" ht="15" customHeight="1">
      <c r="A319" t="inlineStr">
        <is>
          <t>A 27194-2025</t>
        </is>
      </c>
      <c r="B319" s="1" t="n">
        <v>45812.37965277778</v>
      </c>
      <c r="C319" s="1" t="n">
        <v>45927</v>
      </c>
      <c r="D319" t="inlineStr">
        <is>
          <t>DALARNAS LÄN</t>
        </is>
      </c>
      <c r="E319" t="inlineStr">
        <is>
          <t>MORA</t>
        </is>
      </c>
      <c r="G319" t="n">
        <v>2.4</v>
      </c>
      <c r="H319" t="n">
        <v>0</v>
      </c>
      <c r="I319" t="n">
        <v>0</v>
      </c>
      <c r="J319" t="n">
        <v>0</v>
      </c>
      <c r="K319" t="n">
        <v>0</v>
      </c>
      <c r="L319" t="n">
        <v>0</v>
      </c>
      <c r="M319" t="n">
        <v>0</v>
      </c>
      <c r="N319" t="n">
        <v>0</v>
      </c>
      <c r="O319" t="n">
        <v>0</v>
      </c>
      <c r="P319" t="n">
        <v>0</v>
      </c>
      <c r="Q319" t="n">
        <v>0</v>
      </c>
      <c r="R319" s="2" t="inlineStr"/>
    </row>
    <row r="320" ht="15" customHeight="1">
      <c r="A320" t="inlineStr">
        <is>
          <t>A 60673-2023</t>
        </is>
      </c>
      <c r="B320" s="1" t="n">
        <v>45260.46438657407</v>
      </c>
      <c r="C320" s="1" t="n">
        <v>45927</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17268-2025</t>
        </is>
      </c>
      <c r="B321" s="1" t="n">
        <v>45756</v>
      </c>
      <c r="C321" s="1" t="n">
        <v>45927</v>
      </c>
      <c r="D321" t="inlineStr">
        <is>
          <t>DALARNAS LÄN</t>
        </is>
      </c>
      <c r="E321" t="inlineStr">
        <is>
          <t>MORA</t>
        </is>
      </c>
      <c r="G321" t="n">
        <v>6.8</v>
      </c>
      <c r="H321" t="n">
        <v>0</v>
      </c>
      <c r="I321" t="n">
        <v>0</v>
      </c>
      <c r="J321" t="n">
        <v>0</v>
      </c>
      <c r="K321" t="n">
        <v>0</v>
      </c>
      <c r="L321" t="n">
        <v>0</v>
      </c>
      <c r="M321" t="n">
        <v>0</v>
      </c>
      <c r="N321" t="n">
        <v>0</v>
      </c>
      <c r="O321" t="n">
        <v>0</v>
      </c>
      <c r="P321" t="n">
        <v>0</v>
      </c>
      <c r="Q321" t="n">
        <v>0</v>
      </c>
      <c r="R321" s="2" t="inlineStr"/>
    </row>
    <row r="322" ht="15" customHeight="1">
      <c r="A322" t="inlineStr">
        <is>
          <t>A 27642-2025</t>
        </is>
      </c>
      <c r="B322" s="1" t="n">
        <v>45813.59405092592</v>
      </c>
      <c r="C322" s="1" t="n">
        <v>45927</v>
      </c>
      <c r="D322" t="inlineStr">
        <is>
          <t>DALARNAS LÄN</t>
        </is>
      </c>
      <c r="E322" t="inlineStr">
        <is>
          <t>MORA</t>
        </is>
      </c>
      <c r="G322" t="n">
        <v>2.5</v>
      </c>
      <c r="H322" t="n">
        <v>0</v>
      </c>
      <c r="I322" t="n">
        <v>0</v>
      </c>
      <c r="J322" t="n">
        <v>0</v>
      </c>
      <c r="K322" t="n">
        <v>0</v>
      </c>
      <c r="L322" t="n">
        <v>0</v>
      </c>
      <c r="M322" t="n">
        <v>0</v>
      </c>
      <c r="N322" t="n">
        <v>0</v>
      </c>
      <c r="O322" t="n">
        <v>0</v>
      </c>
      <c r="P322" t="n">
        <v>0</v>
      </c>
      <c r="Q322" t="n">
        <v>0</v>
      </c>
      <c r="R322" s="2" t="inlineStr"/>
    </row>
    <row r="323" ht="15" customHeight="1">
      <c r="A323" t="inlineStr">
        <is>
          <t>A 27184-2025</t>
        </is>
      </c>
      <c r="B323" s="1" t="n">
        <v>45812.36133101852</v>
      </c>
      <c r="C323" s="1" t="n">
        <v>45927</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55331-2022</t>
        </is>
      </c>
      <c r="B324" s="1" t="n">
        <v>44887.43714120371</v>
      </c>
      <c r="C324" s="1" t="n">
        <v>45927</v>
      </c>
      <c r="D324" t="inlineStr">
        <is>
          <t>DALARNAS LÄN</t>
        </is>
      </c>
      <c r="E324" t="inlineStr">
        <is>
          <t>MORA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27177-2025</t>
        </is>
      </c>
      <c r="B325" s="1" t="n">
        <v>45812.3533912037</v>
      </c>
      <c r="C325" s="1" t="n">
        <v>45927</v>
      </c>
      <c r="D325" t="inlineStr">
        <is>
          <t>DALARNAS LÄN</t>
        </is>
      </c>
      <c r="E325" t="inlineStr">
        <is>
          <t>MORA</t>
        </is>
      </c>
      <c r="F325" t="inlineStr">
        <is>
          <t>Bergvik skog öst AB</t>
        </is>
      </c>
      <c r="G325" t="n">
        <v>2.5</v>
      </c>
      <c r="H325" t="n">
        <v>0</v>
      </c>
      <c r="I325" t="n">
        <v>0</v>
      </c>
      <c r="J325" t="n">
        <v>0</v>
      </c>
      <c r="K325" t="n">
        <v>0</v>
      </c>
      <c r="L325" t="n">
        <v>0</v>
      </c>
      <c r="M325" t="n">
        <v>0</v>
      </c>
      <c r="N325" t="n">
        <v>0</v>
      </c>
      <c r="O325" t="n">
        <v>0</v>
      </c>
      <c r="P325" t="n">
        <v>0</v>
      </c>
      <c r="Q325" t="n">
        <v>0</v>
      </c>
      <c r="R325" s="2" t="inlineStr"/>
    </row>
    <row r="326" ht="15" customHeight="1">
      <c r="A326" t="inlineStr">
        <is>
          <t>A 42085-2024</t>
        </is>
      </c>
      <c r="B326" s="1" t="n">
        <v>45562.33179398148</v>
      </c>
      <c r="C326" s="1" t="n">
        <v>45927</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14611-2025</t>
        </is>
      </c>
      <c r="B327" s="1" t="n">
        <v>45742.38511574074</v>
      </c>
      <c r="C327" s="1" t="n">
        <v>45927</v>
      </c>
      <c r="D327" t="inlineStr">
        <is>
          <t>DALARNAS LÄN</t>
        </is>
      </c>
      <c r="E327" t="inlineStr">
        <is>
          <t>MORA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27175-2025</t>
        </is>
      </c>
      <c r="B328" s="1" t="n">
        <v>45812.35072916667</v>
      </c>
      <c r="C328" s="1" t="n">
        <v>45927</v>
      </c>
      <c r="D328" t="inlineStr">
        <is>
          <t>DALARNAS LÄN</t>
        </is>
      </c>
      <c r="E328" t="inlineStr">
        <is>
          <t>MORA</t>
        </is>
      </c>
      <c r="F328" t="inlineStr">
        <is>
          <t>Bergvik skog öst AB</t>
        </is>
      </c>
      <c r="G328" t="n">
        <v>4</v>
      </c>
      <c r="H328" t="n">
        <v>0</v>
      </c>
      <c r="I328" t="n">
        <v>0</v>
      </c>
      <c r="J328" t="n">
        <v>0</v>
      </c>
      <c r="K328" t="n">
        <v>0</v>
      </c>
      <c r="L328" t="n">
        <v>0</v>
      </c>
      <c r="M328" t="n">
        <v>0</v>
      </c>
      <c r="N328" t="n">
        <v>0</v>
      </c>
      <c r="O328" t="n">
        <v>0</v>
      </c>
      <c r="P328" t="n">
        <v>0</v>
      </c>
      <c r="Q328" t="n">
        <v>0</v>
      </c>
      <c r="R328" s="2" t="inlineStr"/>
    </row>
    <row r="329" ht="15" customHeight="1">
      <c r="A329" t="inlineStr">
        <is>
          <t>A 24465-2021</t>
        </is>
      </c>
      <c r="B329" s="1" t="n">
        <v>44337</v>
      </c>
      <c r="C329" s="1" t="n">
        <v>45927</v>
      </c>
      <c r="D329" t="inlineStr">
        <is>
          <t>DALARNAS LÄN</t>
        </is>
      </c>
      <c r="E329" t="inlineStr">
        <is>
          <t>MORA</t>
        </is>
      </c>
      <c r="G329" t="n">
        <v>2.6</v>
      </c>
      <c r="H329" t="n">
        <v>0</v>
      </c>
      <c r="I329" t="n">
        <v>0</v>
      </c>
      <c r="J329" t="n">
        <v>0</v>
      </c>
      <c r="K329" t="n">
        <v>0</v>
      </c>
      <c r="L329" t="n">
        <v>0</v>
      </c>
      <c r="M329" t="n">
        <v>0</v>
      </c>
      <c r="N329" t="n">
        <v>0</v>
      </c>
      <c r="O329" t="n">
        <v>0</v>
      </c>
      <c r="P329" t="n">
        <v>0</v>
      </c>
      <c r="Q329" t="n">
        <v>0</v>
      </c>
      <c r="R329" s="2" t="inlineStr"/>
    </row>
    <row r="330" ht="15" customHeight="1">
      <c r="A330" t="inlineStr">
        <is>
          <t>A 61270-2024</t>
        </is>
      </c>
      <c r="B330" s="1" t="n">
        <v>45645.74694444444</v>
      </c>
      <c r="C330" s="1" t="n">
        <v>45927</v>
      </c>
      <c r="D330" t="inlineStr">
        <is>
          <t>DALARNAS LÄN</t>
        </is>
      </c>
      <c r="E330" t="inlineStr">
        <is>
          <t>MORA</t>
        </is>
      </c>
      <c r="G330" t="n">
        <v>5.1</v>
      </c>
      <c r="H330" t="n">
        <v>0</v>
      </c>
      <c r="I330" t="n">
        <v>0</v>
      </c>
      <c r="J330" t="n">
        <v>0</v>
      </c>
      <c r="K330" t="n">
        <v>0</v>
      </c>
      <c r="L330" t="n">
        <v>0</v>
      </c>
      <c r="M330" t="n">
        <v>0</v>
      </c>
      <c r="N330" t="n">
        <v>0</v>
      </c>
      <c r="O330" t="n">
        <v>0</v>
      </c>
      <c r="P330" t="n">
        <v>0</v>
      </c>
      <c r="Q330" t="n">
        <v>0</v>
      </c>
      <c r="R330" s="2" t="inlineStr"/>
    </row>
    <row r="331" ht="15" customHeight="1">
      <c r="A331" t="inlineStr">
        <is>
          <t>A 20594-2025</t>
        </is>
      </c>
      <c r="B331" s="1" t="n">
        <v>45775.74009259259</v>
      </c>
      <c r="C331" s="1" t="n">
        <v>45927</v>
      </c>
      <c r="D331" t="inlineStr">
        <is>
          <t>DALARNAS LÄN</t>
        </is>
      </c>
      <c r="E331" t="inlineStr">
        <is>
          <t>MORA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60187-2024</t>
        </is>
      </c>
      <c r="B332" s="1" t="n">
        <v>45642.64803240741</v>
      </c>
      <c r="C332" s="1" t="n">
        <v>45927</v>
      </c>
      <c r="D332" t="inlineStr">
        <is>
          <t>DALARNAS LÄN</t>
        </is>
      </c>
      <c r="E332" t="inlineStr">
        <is>
          <t>MORA</t>
        </is>
      </c>
      <c r="F332" t="inlineStr">
        <is>
          <t>Allmännings- och besparingsskogar</t>
        </is>
      </c>
      <c r="G332" t="n">
        <v>24.6</v>
      </c>
      <c r="H332" t="n">
        <v>0</v>
      </c>
      <c r="I332" t="n">
        <v>0</v>
      </c>
      <c r="J332" t="n">
        <v>0</v>
      </c>
      <c r="K332" t="n">
        <v>0</v>
      </c>
      <c r="L332" t="n">
        <v>0</v>
      </c>
      <c r="M332" t="n">
        <v>0</v>
      </c>
      <c r="N332" t="n">
        <v>0</v>
      </c>
      <c r="O332" t="n">
        <v>0</v>
      </c>
      <c r="P332" t="n">
        <v>0</v>
      </c>
      <c r="Q332" t="n">
        <v>0</v>
      </c>
      <c r="R332" s="2" t="inlineStr"/>
    </row>
    <row r="333" ht="15" customHeight="1">
      <c r="A333" t="inlineStr">
        <is>
          <t>A 28033-2025</t>
        </is>
      </c>
      <c r="B333" s="1" t="n">
        <v>45817.6325462963</v>
      </c>
      <c r="C333" s="1" t="n">
        <v>45927</v>
      </c>
      <c r="D333" t="inlineStr">
        <is>
          <t>DALARNAS LÄN</t>
        </is>
      </c>
      <c r="E333" t="inlineStr">
        <is>
          <t>MORA</t>
        </is>
      </c>
      <c r="F333" t="inlineStr">
        <is>
          <t>Bergvik skog öst AB</t>
        </is>
      </c>
      <c r="G333" t="n">
        <v>12.8</v>
      </c>
      <c r="H333" t="n">
        <v>0</v>
      </c>
      <c r="I333" t="n">
        <v>0</v>
      </c>
      <c r="J333" t="n">
        <v>0</v>
      </c>
      <c r="K333" t="n">
        <v>0</v>
      </c>
      <c r="L333" t="n">
        <v>0</v>
      </c>
      <c r="M333" t="n">
        <v>0</v>
      </c>
      <c r="N333" t="n">
        <v>0</v>
      </c>
      <c r="O333" t="n">
        <v>0</v>
      </c>
      <c r="P333" t="n">
        <v>0</v>
      </c>
      <c r="Q333" t="n">
        <v>0</v>
      </c>
      <c r="R333" s="2" t="inlineStr"/>
    </row>
    <row r="334" ht="15" customHeight="1">
      <c r="A334" t="inlineStr">
        <is>
          <t>A 20930-2024</t>
        </is>
      </c>
      <c r="B334" s="1" t="n">
        <v>45439.51907407407</v>
      </c>
      <c r="C334" s="1" t="n">
        <v>45927</v>
      </c>
      <c r="D334" t="inlineStr">
        <is>
          <t>DALARNAS LÄN</t>
        </is>
      </c>
      <c r="E334" t="inlineStr">
        <is>
          <t>MORA</t>
        </is>
      </c>
      <c r="F334" t="inlineStr">
        <is>
          <t>Bergvik skog väst AB</t>
        </is>
      </c>
      <c r="G334" t="n">
        <v>5.3</v>
      </c>
      <c r="H334" t="n">
        <v>0</v>
      </c>
      <c r="I334" t="n">
        <v>0</v>
      </c>
      <c r="J334" t="n">
        <v>0</v>
      </c>
      <c r="K334" t="n">
        <v>0</v>
      </c>
      <c r="L334" t="n">
        <v>0</v>
      </c>
      <c r="M334" t="n">
        <v>0</v>
      </c>
      <c r="N334" t="n">
        <v>0</v>
      </c>
      <c r="O334" t="n">
        <v>0</v>
      </c>
      <c r="P334" t="n">
        <v>0</v>
      </c>
      <c r="Q334" t="n">
        <v>0</v>
      </c>
      <c r="R334" s="2" t="inlineStr"/>
    </row>
    <row r="335" ht="15" customHeight="1">
      <c r="A335" t="inlineStr">
        <is>
          <t>A 42611-2022</t>
        </is>
      </c>
      <c r="B335" s="1" t="n">
        <v>44831.81482638889</v>
      </c>
      <c r="C335" s="1" t="n">
        <v>45927</v>
      </c>
      <c r="D335" t="inlineStr">
        <is>
          <t>DALARNAS LÄN</t>
        </is>
      </c>
      <c r="E335" t="inlineStr">
        <is>
          <t>MORA</t>
        </is>
      </c>
      <c r="G335" t="n">
        <v>2.1</v>
      </c>
      <c r="H335" t="n">
        <v>0</v>
      </c>
      <c r="I335" t="n">
        <v>0</v>
      </c>
      <c r="J335" t="n">
        <v>0</v>
      </c>
      <c r="K335" t="n">
        <v>0</v>
      </c>
      <c r="L335" t="n">
        <v>0</v>
      </c>
      <c r="M335" t="n">
        <v>0</v>
      </c>
      <c r="N335" t="n">
        <v>0</v>
      </c>
      <c r="O335" t="n">
        <v>0</v>
      </c>
      <c r="P335" t="n">
        <v>0</v>
      </c>
      <c r="Q335" t="n">
        <v>0</v>
      </c>
      <c r="R335" s="2" t="inlineStr"/>
    </row>
    <row r="336" ht="15" customHeight="1">
      <c r="A336" t="inlineStr">
        <is>
          <t>A 25345-2025</t>
        </is>
      </c>
      <c r="B336" s="1" t="n">
        <v>45799</v>
      </c>
      <c r="C336" s="1" t="n">
        <v>45927</v>
      </c>
      <c r="D336" t="inlineStr">
        <is>
          <t>DALARNAS LÄN</t>
        </is>
      </c>
      <c r="E336" t="inlineStr">
        <is>
          <t>MORA</t>
        </is>
      </c>
      <c r="G336" t="n">
        <v>3.1</v>
      </c>
      <c r="H336" t="n">
        <v>0</v>
      </c>
      <c r="I336" t="n">
        <v>0</v>
      </c>
      <c r="J336" t="n">
        <v>0</v>
      </c>
      <c r="K336" t="n">
        <v>0</v>
      </c>
      <c r="L336" t="n">
        <v>0</v>
      </c>
      <c r="M336" t="n">
        <v>0</v>
      </c>
      <c r="N336" t="n">
        <v>0</v>
      </c>
      <c r="O336" t="n">
        <v>0</v>
      </c>
      <c r="P336" t="n">
        <v>0</v>
      </c>
      <c r="Q336" t="n">
        <v>0</v>
      </c>
      <c r="R336" s="2" t="inlineStr"/>
    </row>
    <row r="337" ht="15" customHeight="1">
      <c r="A337" t="inlineStr">
        <is>
          <t>A 61222-2023</t>
        </is>
      </c>
      <c r="B337" s="1" t="n">
        <v>45264</v>
      </c>
      <c r="C337" s="1" t="n">
        <v>45927</v>
      </c>
      <c r="D337" t="inlineStr">
        <is>
          <t>DALARNAS LÄN</t>
        </is>
      </c>
      <c r="E337" t="inlineStr">
        <is>
          <t>MORA</t>
        </is>
      </c>
      <c r="F337" t="inlineStr">
        <is>
          <t>Allmännings- och besparingsskogar</t>
        </is>
      </c>
      <c r="G337" t="n">
        <v>1.1</v>
      </c>
      <c r="H337" t="n">
        <v>0</v>
      </c>
      <c r="I337" t="n">
        <v>0</v>
      </c>
      <c r="J337" t="n">
        <v>0</v>
      </c>
      <c r="K337" t="n">
        <v>0</v>
      </c>
      <c r="L337" t="n">
        <v>0</v>
      </c>
      <c r="M337" t="n">
        <v>0</v>
      </c>
      <c r="N337" t="n">
        <v>0</v>
      </c>
      <c r="O337" t="n">
        <v>0</v>
      </c>
      <c r="P337" t="n">
        <v>0</v>
      </c>
      <c r="Q337" t="n">
        <v>0</v>
      </c>
      <c r="R337" s="2" t="inlineStr"/>
    </row>
    <row r="338" ht="15" customHeight="1">
      <c r="A338" t="inlineStr">
        <is>
          <t>A 40949-2023</t>
        </is>
      </c>
      <c r="B338" s="1" t="n">
        <v>45173</v>
      </c>
      <c r="C338" s="1" t="n">
        <v>45927</v>
      </c>
      <c r="D338" t="inlineStr">
        <is>
          <t>DALARNAS LÄN</t>
        </is>
      </c>
      <c r="E338" t="inlineStr">
        <is>
          <t>MORA</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5216-2025</t>
        </is>
      </c>
      <c r="B339" s="1" t="n">
        <v>45691.69671296296</v>
      </c>
      <c r="C339" s="1" t="n">
        <v>45927</v>
      </c>
      <c r="D339" t="inlineStr">
        <is>
          <t>DALARNAS LÄN</t>
        </is>
      </c>
      <c r="E339" t="inlineStr">
        <is>
          <t>MORA</t>
        </is>
      </c>
      <c r="G339" t="n">
        <v>2.5</v>
      </c>
      <c r="H339" t="n">
        <v>0</v>
      </c>
      <c r="I339" t="n">
        <v>0</v>
      </c>
      <c r="J339" t="n">
        <v>0</v>
      </c>
      <c r="K339" t="n">
        <v>0</v>
      </c>
      <c r="L339" t="n">
        <v>0</v>
      </c>
      <c r="M339" t="n">
        <v>0</v>
      </c>
      <c r="N339" t="n">
        <v>0</v>
      </c>
      <c r="O339" t="n">
        <v>0</v>
      </c>
      <c r="P339" t="n">
        <v>0</v>
      </c>
      <c r="Q339" t="n">
        <v>0</v>
      </c>
      <c r="R339" s="2" t="inlineStr"/>
    </row>
    <row r="340" ht="15" customHeight="1">
      <c r="A340" t="inlineStr">
        <is>
          <t>A 17865-2025</t>
        </is>
      </c>
      <c r="B340" s="1" t="n">
        <v>45758.62951388889</v>
      </c>
      <c r="C340" s="1" t="n">
        <v>45927</v>
      </c>
      <c r="D340" t="inlineStr">
        <is>
          <t>DALARNAS LÄN</t>
        </is>
      </c>
      <c r="E340" t="inlineStr">
        <is>
          <t>MORA</t>
        </is>
      </c>
      <c r="G340" t="n">
        <v>1.6</v>
      </c>
      <c r="H340" t="n">
        <v>0</v>
      </c>
      <c r="I340" t="n">
        <v>0</v>
      </c>
      <c r="J340" t="n">
        <v>0</v>
      </c>
      <c r="K340" t="n">
        <v>0</v>
      </c>
      <c r="L340" t="n">
        <v>0</v>
      </c>
      <c r="M340" t="n">
        <v>0</v>
      </c>
      <c r="N340" t="n">
        <v>0</v>
      </c>
      <c r="O340" t="n">
        <v>0</v>
      </c>
      <c r="P340" t="n">
        <v>0</v>
      </c>
      <c r="Q340" t="n">
        <v>0</v>
      </c>
      <c r="R340" s="2" t="inlineStr"/>
    </row>
    <row r="341" ht="15" customHeight="1">
      <c r="A341" t="inlineStr">
        <is>
          <t>A 33676-2023</t>
        </is>
      </c>
      <c r="B341" s="1" t="n">
        <v>45132.6291550926</v>
      </c>
      <c r="C341" s="1" t="n">
        <v>45927</v>
      </c>
      <c r="D341" t="inlineStr">
        <is>
          <t>DALARNAS LÄN</t>
        </is>
      </c>
      <c r="E341" t="inlineStr">
        <is>
          <t>MORA</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61188-2024</t>
        </is>
      </c>
      <c r="B342" s="1" t="n">
        <v>45645.62282407407</v>
      </c>
      <c r="C342" s="1" t="n">
        <v>45927</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37710-2023</t>
        </is>
      </c>
      <c r="B343" s="1" t="n">
        <v>45159.59186342593</v>
      </c>
      <c r="C343" s="1" t="n">
        <v>45927</v>
      </c>
      <c r="D343" t="inlineStr">
        <is>
          <t>DALARNAS LÄN</t>
        </is>
      </c>
      <c r="E343" t="inlineStr">
        <is>
          <t>MORA</t>
        </is>
      </c>
      <c r="G343" t="n">
        <v>1.9</v>
      </c>
      <c r="H343" t="n">
        <v>0</v>
      </c>
      <c r="I343" t="n">
        <v>0</v>
      </c>
      <c r="J343" t="n">
        <v>0</v>
      </c>
      <c r="K343" t="n">
        <v>0</v>
      </c>
      <c r="L343" t="n">
        <v>0</v>
      </c>
      <c r="M343" t="n">
        <v>0</v>
      </c>
      <c r="N343" t="n">
        <v>0</v>
      </c>
      <c r="O343" t="n">
        <v>0</v>
      </c>
      <c r="P343" t="n">
        <v>0</v>
      </c>
      <c r="Q343" t="n">
        <v>0</v>
      </c>
      <c r="R343" s="2" t="inlineStr"/>
    </row>
    <row r="344" ht="15" customHeight="1">
      <c r="A344" t="inlineStr">
        <is>
          <t>A 29068-2025</t>
        </is>
      </c>
      <c r="B344" s="1" t="n">
        <v>45821.50900462963</v>
      </c>
      <c r="C344" s="1" t="n">
        <v>45927</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28976-2025</t>
        </is>
      </c>
      <c r="B345" s="1" t="n">
        <v>45821.34855324074</v>
      </c>
      <c r="C345" s="1" t="n">
        <v>45927</v>
      </c>
      <c r="D345" t="inlineStr">
        <is>
          <t>DALARNAS LÄN</t>
        </is>
      </c>
      <c r="E345" t="inlineStr">
        <is>
          <t>MORA</t>
        </is>
      </c>
      <c r="F345" t="inlineStr">
        <is>
          <t>Bergvik skog öst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45355-2024</t>
        </is>
      </c>
      <c r="B346" s="1" t="n">
        <v>45576</v>
      </c>
      <c r="C346" s="1" t="n">
        <v>45927</v>
      </c>
      <c r="D346" t="inlineStr">
        <is>
          <t>DALARNAS LÄN</t>
        </is>
      </c>
      <c r="E346" t="inlineStr">
        <is>
          <t>MORA</t>
        </is>
      </c>
      <c r="G346" t="n">
        <v>1.4</v>
      </c>
      <c r="H346" t="n">
        <v>0</v>
      </c>
      <c r="I346" t="n">
        <v>0</v>
      </c>
      <c r="J346" t="n">
        <v>0</v>
      </c>
      <c r="K346" t="n">
        <v>0</v>
      </c>
      <c r="L346" t="n">
        <v>0</v>
      </c>
      <c r="M346" t="n">
        <v>0</v>
      </c>
      <c r="N346" t="n">
        <v>0</v>
      </c>
      <c r="O346" t="n">
        <v>0</v>
      </c>
      <c r="P346" t="n">
        <v>0</v>
      </c>
      <c r="Q346" t="n">
        <v>0</v>
      </c>
      <c r="R346" s="2" t="inlineStr"/>
    </row>
    <row r="347" ht="15" customHeight="1">
      <c r="A347" t="inlineStr">
        <is>
          <t>A 28925-2025</t>
        </is>
      </c>
      <c r="B347" s="1" t="n">
        <v>45820.67107638889</v>
      </c>
      <c r="C347" s="1" t="n">
        <v>45927</v>
      </c>
      <c r="D347" t="inlineStr">
        <is>
          <t>DALARNAS LÄN</t>
        </is>
      </c>
      <c r="E347" t="inlineStr">
        <is>
          <t>MORA</t>
        </is>
      </c>
      <c r="G347" t="n">
        <v>3.7</v>
      </c>
      <c r="H347" t="n">
        <v>0</v>
      </c>
      <c r="I347" t="n">
        <v>0</v>
      </c>
      <c r="J347" t="n">
        <v>0</v>
      </c>
      <c r="K347" t="n">
        <v>0</v>
      </c>
      <c r="L347" t="n">
        <v>0</v>
      </c>
      <c r="M347" t="n">
        <v>0</v>
      </c>
      <c r="N347" t="n">
        <v>0</v>
      </c>
      <c r="O347" t="n">
        <v>0</v>
      </c>
      <c r="P347" t="n">
        <v>0</v>
      </c>
      <c r="Q347" t="n">
        <v>0</v>
      </c>
      <c r="R347" s="2" t="inlineStr"/>
    </row>
    <row r="348" ht="15" customHeight="1">
      <c r="A348" t="inlineStr">
        <is>
          <t>A 28927-2025</t>
        </is>
      </c>
      <c r="B348" s="1" t="n">
        <v>45820.67221064815</v>
      </c>
      <c r="C348" s="1" t="n">
        <v>45927</v>
      </c>
      <c r="D348" t="inlineStr">
        <is>
          <t>DALARNAS LÄN</t>
        </is>
      </c>
      <c r="E348" t="inlineStr">
        <is>
          <t>MORA</t>
        </is>
      </c>
      <c r="G348" t="n">
        <v>0.4</v>
      </c>
      <c r="H348" t="n">
        <v>0</v>
      </c>
      <c r="I348" t="n">
        <v>0</v>
      </c>
      <c r="J348" t="n">
        <v>0</v>
      </c>
      <c r="K348" t="n">
        <v>0</v>
      </c>
      <c r="L348" t="n">
        <v>0</v>
      </c>
      <c r="M348" t="n">
        <v>0</v>
      </c>
      <c r="N348" t="n">
        <v>0</v>
      </c>
      <c r="O348" t="n">
        <v>0</v>
      </c>
      <c r="P348" t="n">
        <v>0</v>
      </c>
      <c r="Q348" t="n">
        <v>0</v>
      </c>
      <c r="R348" s="2" t="inlineStr"/>
    </row>
    <row r="349" ht="15" customHeight="1">
      <c r="A349" t="inlineStr">
        <is>
          <t>A 37695-2024</t>
        </is>
      </c>
      <c r="B349" s="1" t="n">
        <v>45541.61094907407</v>
      </c>
      <c r="C349" s="1" t="n">
        <v>45927</v>
      </c>
      <c r="D349" t="inlineStr">
        <is>
          <t>DALARNAS LÄN</t>
        </is>
      </c>
      <c r="E349" t="inlineStr">
        <is>
          <t>MORA</t>
        </is>
      </c>
      <c r="G349" t="n">
        <v>19.7</v>
      </c>
      <c r="H349" t="n">
        <v>0</v>
      </c>
      <c r="I349" t="n">
        <v>0</v>
      </c>
      <c r="J349" t="n">
        <v>0</v>
      </c>
      <c r="K349" t="n">
        <v>0</v>
      </c>
      <c r="L349" t="n">
        <v>0</v>
      </c>
      <c r="M349" t="n">
        <v>0</v>
      </c>
      <c r="N349" t="n">
        <v>0</v>
      </c>
      <c r="O349" t="n">
        <v>0</v>
      </c>
      <c r="P349" t="n">
        <v>0</v>
      </c>
      <c r="Q349" t="n">
        <v>0</v>
      </c>
      <c r="R349" s="2" t="inlineStr"/>
    </row>
    <row r="350" ht="15" customHeight="1">
      <c r="A350" t="inlineStr">
        <is>
          <t>A 45674-2024</t>
        </is>
      </c>
      <c r="B350" s="1" t="n">
        <v>45573</v>
      </c>
      <c r="C350" s="1" t="n">
        <v>45927</v>
      </c>
      <c r="D350" t="inlineStr">
        <is>
          <t>DALARNAS LÄN</t>
        </is>
      </c>
      <c r="E350" t="inlineStr">
        <is>
          <t>MORA</t>
        </is>
      </c>
      <c r="G350" t="n">
        <v>3.2</v>
      </c>
      <c r="H350" t="n">
        <v>0</v>
      </c>
      <c r="I350" t="n">
        <v>0</v>
      </c>
      <c r="J350" t="n">
        <v>0</v>
      </c>
      <c r="K350" t="n">
        <v>0</v>
      </c>
      <c r="L350" t="n">
        <v>0</v>
      </c>
      <c r="M350" t="n">
        <v>0</v>
      </c>
      <c r="N350" t="n">
        <v>0</v>
      </c>
      <c r="O350" t="n">
        <v>0</v>
      </c>
      <c r="P350" t="n">
        <v>0</v>
      </c>
      <c r="Q350" t="n">
        <v>0</v>
      </c>
      <c r="R350" s="2" t="inlineStr"/>
    </row>
    <row r="351" ht="15" customHeight="1">
      <c r="A351" t="inlineStr">
        <is>
          <t>A 28934-2023</t>
        </is>
      </c>
      <c r="B351" s="1" t="n">
        <v>45104</v>
      </c>
      <c r="C351" s="1" t="n">
        <v>45927</v>
      </c>
      <c r="D351" t="inlineStr">
        <is>
          <t>DALARNAS LÄN</t>
        </is>
      </c>
      <c r="E351" t="inlineStr">
        <is>
          <t>MORA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28924-2025</t>
        </is>
      </c>
      <c r="B352" s="1" t="n">
        <v>45820.66846064815</v>
      </c>
      <c r="C352" s="1" t="n">
        <v>45927</v>
      </c>
      <c r="D352" t="inlineStr">
        <is>
          <t>DALARNAS LÄN</t>
        </is>
      </c>
      <c r="E352" t="inlineStr">
        <is>
          <t>MORA</t>
        </is>
      </c>
      <c r="G352" t="n">
        <v>0.6</v>
      </c>
      <c r="H352" t="n">
        <v>0</v>
      </c>
      <c r="I352" t="n">
        <v>0</v>
      </c>
      <c r="J352" t="n">
        <v>0</v>
      </c>
      <c r="K352" t="n">
        <v>0</v>
      </c>
      <c r="L352" t="n">
        <v>0</v>
      </c>
      <c r="M352" t="n">
        <v>0</v>
      </c>
      <c r="N352" t="n">
        <v>0</v>
      </c>
      <c r="O352" t="n">
        <v>0</v>
      </c>
      <c r="P352" t="n">
        <v>0</v>
      </c>
      <c r="Q352" t="n">
        <v>0</v>
      </c>
      <c r="R352" s="2" t="inlineStr"/>
    </row>
    <row r="353" ht="15" customHeight="1">
      <c r="A353" t="inlineStr">
        <is>
          <t>A 35287-2024</t>
        </is>
      </c>
      <c r="B353" s="1" t="n">
        <v>45530</v>
      </c>
      <c r="C353" s="1" t="n">
        <v>45927</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8068-2024</t>
        </is>
      </c>
      <c r="B354" s="1" t="n">
        <v>45351.41524305556</v>
      </c>
      <c r="C354" s="1" t="n">
        <v>45927</v>
      </c>
      <c r="D354" t="inlineStr">
        <is>
          <t>DALARNAS LÄN</t>
        </is>
      </c>
      <c r="E354" t="inlineStr">
        <is>
          <t>MORA</t>
        </is>
      </c>
      <c r="G354" t="n">
        <v>6.4</v>
      </c>
      <c r="H354" t="n">
        <v>0</v>
      </c>
      <c r="I354" t="n">
        <v>0</v>
      </c>
      <c r="J354" t="n">
        <v>0</v>
      </c>
      <c r="K354" t="n">
        <v>0</v>
      </c>
      <c r="L354" t="n">
        <v>0</v>
      </c>
      <c r="M354" t="n">
        <v>0</v>
      </c>
      <c r="N354" t="n">
        <v>0</v>
      </c>
      <c r="O354" t="n">
        <v>0</v>
      </c>
      <c r="P354" t="n">
        <v>0</v>
      </c>
      <c r="Q354" t="n">
        <v>0</v>
      </c>
      <c r="R354" s="2" t="inlineStr"/>
    </row>
    <row r="355" ht="15" customHeight="1">
      <c r="A355" t="inlineStr">
        <is>
          <t>A 8100-2024</t>
        </is>
      </c>
      <c r="B355" s="1" t="n">
        <v>45351.46583333334</v>
      </c>
      <c r="C355" s="1" t="n">
        <v>45927</v>
      </c>
      <c r="D355" t="inlineStr">
        <is>
          <t>DALARNAS LÄN</t>
        </is>
      </c>
      <c r="E355" t="inlineStr">
        <is>
          <t>MORA</t>
        </is>
      </c>
      <c r="G355" t="n">
        <v>3.2</v>
      </c>
      <c r="H355" t="n">
        <v>0</v>
      </c>
      <c r="I355" t="n">
        <v>0</v>
      </c>
      <c r="J355" t="n">
        <v>0</v>
      </c>
      <c r="K355" t="n">
        <v>0</v>
      </c>
      <c r="L355" t="n">
        <v>0</v>
      </c>
      <c r="M355" t="n">
        <v>0</v>
      </c>
      <c r="N355" t="n">
        <v>0</v>
      </c>
      <c r="O355" t="n">
        <v>0</v>
      </c>
      <c r="P355" t="n">
        <v>0</v>
      </c>
      <c r="Q355" t="n">
        <v>0</v>
      </c>
      <c r="R355" s="2" t="inlineStr"/>
    </row>
    <row r="356" ht="15" customHeight="1">
      <c r="A356" t="inlineStr">
        <is>
          <t>A 15416-2023</t>
        </is>
      </c>
      <c r="B356" s="1" t="n">
        <v>45019.71342592593</v>
      </c>
      <c r="C356" s="1" t="n">
        <v>45927</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36058-2024</t>
        </is>
      </c>
      <c r="B357" s="1" t="n">
        <v>45533</v>
      </c>
      <c r="C357" s="1" t="n">
        <v>45927</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5769-2025</t>
        </is>
      </c>
      <c r="B358" s="1" t="n">
        <v>45694.59288194445</v>
      </c>
      <c r="C358" s="1" t="n">
        <v>45927</v>
      </c>
      <c r="D358" t="inlineStr">
        <is>
          <t>DALARNAS LÄN</t>
        </is>
      </c>
      <c r="E358" t="inlineStr">
        <is>
          <t>MORA</t>
        </is>
      </c>
      <c r="G358" t="n">
        <v>15.7</v>
      </c>
      <c r="H358" t="n">
        <v>0</v>
      </c>
      <c r="I358" t="n">
        <v>0</v>
      </c>
      <c r="J358" t="n">
        <v>0</v>
      </c>
      <c r="K358" t="n">
        <v>0</v>
      </c>
      <c r="L358" t="n">
        <v>0</v>
      </c>
      <c r="M358" t="n">
        <v>0</v>
      </c>
      <c r="N358" t="n">
        <v>0</v>
      </c>
      <c r="O358" t="n">
        <v>0</v>
      </c>
      <c r="P358" t="n">
        <v>0</v>
      </c>
      <c r="Q358" t="n">
        <v>0</v>
      </c>
      <c r="R358" s="2" t="inlineStr"/>
    </row>
    <row r="359" ht="15" customHeight="1">
      <c r="A359" t="inlineStr">
        <is>
          <t>A 18139-2025</t>
        </is>
      </c>
      <c r="B359" s="1" t="n">
        <v>45761.60459490741</v>
      </c>
      <c r="C359" s="1" t="n">
        <v>45927</v>
      </c>
      <c r="D359" t="inlineStr">
        <is>
          <t>DALARNAS LÄN</t>
        </is>
      </c>
      <c r="E359" t="inlineStr">
        <is>
          <t>MORA</t>
        </is>
      </c>
      <c r="F359" t="inlineStr">
        <is>
          <t>Bergvik skog öst AB</t>
        </is>
      </c>
      <c r="G359" t="n">
        <v>3</v>
      </c>
      <c r="H359" t="n">
        <v>0</v>
      </c>
      <c r="I359" t="n">
        <v>0</v>
      </c>
      <c r="J359" t="n">
        <v>0</v>
      </c>
      <c r="K359" t="n">
        <v>0</v>
      </c>
      <c r="L359" t="n">
        <v>0</v>
      </c>
      <c r="M359" t="n">
        <v>0</v>
      </c>
      <c r="N359" t="n">
        <v>0</v>
      </c>
      <c r="O359" t="n">
        <v>0</v>
      </c>
      <c r="P359" t="n">
        <v>0</v>
      </c>
      <c r="Q359" t="n">
        <v>0</v>
      </c>
      <c r="R359" s="2" t="inlineStr"/>
    </row>
    <row r="360" ht="15" customHeight="1">
      <c r="A360" t="inlineStr">
        <is>
          <t>A 54253-2023</t>
        </is>
      </c>
      <c r="B360" s="1" t="n">
        <v>45232.63217592592</v>
      </c>
      <c r="C360" s="1" t="n">
        <v>45927</v>
      </c>
      <c r="D360" t="inlineStr">
        <is>
          <t>DALARNAS LÄN</t>
        </is>
      </c>
      <c r="E360" t="inlineStr">
        <is>
          <t>MORA</t>
        </is>
      </c>
      <c r="G360" t="n">
        <v>4.5</v>
      </c>
      <c r="H360" t="n">
        <v>0</v>
      </c>
      <c r="I360" t="n">
        <v>0</v>
      </c>
      <c r="J360" t="n">
        <v>0</v>
      </c>
      <c r="K360" t="n">
        <v>0</v>
      </c>
      <c r="L360" t="n">
        <v>0</v>
      </c>
      <c r="M360" t="n">
        <v>0</v>
      </c>
      <c r="N360" t="n">
        <v>0</v>
      </c>
      <c r="O360" t="n">
        <v>0</v>
      </c>
      <c r="P360" t="n">
        <v>0</v>
      </c>
      <c r="Q360" t="n">
        <v>0</v>
      </c>
      <c r="R360" s="2" t="inlineStr"/>
    </row>
    <row r="361" ht="15" customHeight="1">
      <c r="A361" t="inlineStr">
        <is>
          <t>A 57999-2023</t>
        </is>
      </c>
      <c r="B361" s="1" t="n">
        <v>45247</v>
      </c>
      <c r="C361" s="1" t="n">
        <v>45927</v>
      </c>
      <c r="D361" t="inlineStr">
        <is>
          <t>DALARNAS LÄN</t>
        </is>
      </c>
      <c r="E361" t="inlineStr">
        <is>
          <t>MORA</t>
        </is>
      </c>
      <c r="G361" t="n">
        <v>0.4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45927</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28751-2025</t>
        </is>
      </c>
      <c r="B363" s="1" t="n">
        <v>45820.40034722222</v>
      </c>
      <c r="C363" s="1" t="n">
        <v>45927</v>
      </c>
      <c r="D363" t="inlineStr">
        <is>
          <t>DALARNAS LÄN</t>
        </is>
      </c>
      <c r="E363" t="inlineStr">
        <is>
          <t>MORA</t>
        </is>
      </c>
      <c r="F363" t="inlineStr">
        <is>
          <t>Bergvik skog öst AB</t>
        </is>
      </c>
      <c r="G363" t="n">
        <v>1</v>
      </c>
      <c r="H363" t="n">
        <v>0</v>
      </c>
      <c r="I363" t="n">
        <v>0</v>
      </c>
      <c r="J363" t="n">
        <v>0</v>
      </c>
      <c r="K363" t="n">
        <v>0</v>
      </c>
      <c r="L363" t="n">
        <v>0</v>
      </c>
      <c r="M363" t="n">
        <v>0</v>
      </c>
      <c r="N363" t="n">
        <v>0</v>
      </c>
      <c r="O363" t="n">
        <v>0</v>
      </c>
      <c r="P363" t="n">
        <v>0</v>
      </c>
      <c r="Q363" t="n">
        <v>0</v>
      </c>
      <c r="R363" s="2" t="inlineStr"/>
    </row>
    <row r="364" ht="15" customHeight="1">
      <c r="A364" t="inlineStr">
        <is>
          <t>A 55120-2024</t>
        </is>
      </c>
      <c r="B364" s="1" t="n">
        <v>45621.45765046297</v>
      </c>
      <c r="C364" s="1" t="n">
        <v>45927</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34660-2021</t>
        </is>
      </c>
      <c r="B365" s="1" t="n">
        <v>44382.57981481482</v>
      </c>
      <c r="C365" s="1" t="n">
        <v>45927</v>
      </c>
      <c r="D365" t="inlineStr">
        <is>
          <t>DALARNAS LÄN</t>
        </is>
      </c>
      <c r="E365" t="inlineStr">
        <is>
          <t>MORA</t>
        </is>
      </c>
      <c r="G365" t="n">
        <v>7.5</v>
      </c>
      <c r="H365" t="n">
        <v>0</v>
      </c>
      <c r="I365" t="n">
        <v>0</v>
      </c>
      <c r="J365" t="n">
        <v>0</v>
      </c>
      <c r="K365" t="n">
        <v>0</v>
      </c>
      <c r="L365" t="n">
        <v>0</v>
      </c>
      <c r="M365" t="n">
        <v>0</v>
      </c>
      <c r="N365" t="n">
        <v>0</v>
      </c>
      <c r="O365" t="n">
        <v>0</v>
      </c>
      <c r="P365" t="n">
        <v>0</v>
      </c>
      <c r="Q365" t="n">
        <v>0</v>
      </c>
      <c r="R365" s="2" t="inlineStr"/>
    </row>
    <row r="366" ht="15" customHeight="1">
      <c r="A366" t="inlineStr">
        <is>
          <t>A 42934-2024</t>
        </is>
      </c>
      <c r="B366" s="1" t="n">
        <v>45567.33655092592</v>
      </c>
      <c r="C366" s="1" t="n">
        <v>45927</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17516-2024</t>
        </is>
      </c>
      <c r="B367" s="1" t="n">
        <v>45415.58502314815</v>
      </c>
      <c r="C367" s="1" t="n">
        <v>45927</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49159-2023</t>
        </is>
      </c>
      <c r="B368" s="1" t="n">
        <v>45210</v>
      </c>
      <c r="C368" s="1" t="n">
        <v>45927</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29188-2023</t>
        </is>
      </c>
      <c r="B369" s="1" t="n">
        <v>45105.54270833333</v>
      </c>
      <c r="C369" s="1" t="n">
        <v>45927</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57608-2021</t>
        </is>
      </c>
      <c r="B370" s="1" t="n">
        <v>44484</v>
      </c>
      <c r="C370" s="1" t="n">
        <v>45927</v>
      </c>
      <c r="D370" t="inlineStr">
        <is>
          <t>DALARNAS LÄN</t>
        </is>
      </c>
      <c r="E370" t="inlineStr">
        <is>
          <t>MORA</t>
        </is>
      </c>
      <c r="G370" t="n">
        <v>6.3</v>
      </c>
      <c r="H370" t="n">
        <v>0</v>
      </c>
      <c r="I370" t="n">
        <v>0</v>
      </c>
      <c r="J370" t="n">
        <v>0</v>
      </c>
      <c r="K370" t="n">
        <v>0</v>
      </c>
      <c r="L370" t="n">
        <v>0</v>
      </c>
      <c r="M370" t="n">
        <v>0</v>
      </c>
      <c r="N370" t="n">
        <v>0</v>
      </c>
      <c r="O370" t="n">
        <v>0</v>
      </c>
      <c r="P370" t="n">
        <v>0</v>
      </c>
      <c r="Q370" t="n">
        <v>0</v>
      </c>
      <c r="R370" s="2" t="inlineStr"/>
    </row>
    <row r="371" ht="15" customHeight="1">
      <c r="A371" t="inlineStr">
        <is>
          <t>A 12151-2021</t>
        </is>
      </c>
      <c r="B371" s="1" t="n">
        <v>44266</v>
      </c>
      <c r="C371" s="1" t="n">
        <v>45927</v>
      </c>
      <c r="D371" t="inlineStr">
        <is>
          <t>DALARNAS LÄN</t>
        </is>
      </c>
      <c r="E371" t="inlineStr">
        <is>
          <t>MORA</t>
        </is>
      </c>
      <c r="G371" t="n">
        <v>0.5</v>
      </c>
      <c r="H371" t="n">
        <v>0</v>
      </c>
      <c r="I371" t="n">
        <v>0</v>
      </c>
      <c r="J371" t="n">
        <v>0</v>
      </c>
      <c r="K371" t="n">
        <v>0</v>
      </c>
      <c r="L371" t="n">
        <v>0</v>
      </c>
      <c r="M371" t="n">
        <v>0</v>
      </c>
      <c r="N371" t="n">
        <v>0</v>
      </c>
      <c r="O371" t="n">
        <v>0</v>
      </c>
      <c r="P371" t="n">
        <v>0</v>
      </c>
      <c r="Q371" t="n">
        <v>0</v>
      </c>
      <c r="R371" s="2" t="inlineStr"/>
    </row>
    <row r="372" ht="15" customHeight="1">
      <c r="A372" t="inlineStr">
        <is>
          <t>A 17393-2025</t>
        </is>
      </c>
      <c r="B372" s="1" t="n">
        <v>45757.34350694445</v>
      </c>
      <c r="C372" s="1" t="n">
        <v>45927</v>
      </c>
      <c r="D372" t="inlineStr">
        <is>
          <t>DALARNAS LÄN</t>
        </is>
      </c>
      <c r="E372" t="inlineStr">
        <is>
          <t>MORA</t>
        </is>
      </c>
      <c r="G372" t="n">
        <v>10.1</v>
      </c>
      <c r="H372" t="n">
        <v>0</v>
      </c>
      <c r="I372" t="n">
        <v>0</v>
      </c>
      <c r="J372" t="n">
        <v>0</v>
      </c>
      <c r="K372" t="n">
        <v>0</v>
      </c>
      <c r="L372" t="n">
        <v>0</v>
      </c>
      <c r="M372" t="n">
        <v>0</v>
      </c>
      <c r="N372" t="n">
        <v>0</v>
      </c>
      <c r="O372" t="n">
        <v>0</v>
      </c>
      <c r="P372" t="n">
        <v>0</v>
      </c>
      <c r="Q372" t="n">
        <v>0</v>
      </c>
      <c r="R372" s="2" t="inlineStr"/>
    </row>
    <row r="373" ht="15" customHeight="1">
      <c r="A373" t="inlineStr">
        <is>
          <t>A 26314-2021</t>
        </is>
      </c>
      <c r="B373" s="1" t="n">
        <v>44347</v>
      </c>
      <c r="C373" s="1" t="n">
        <v>45927</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30985-2024</t>
        </is>
      </c>
      <c r="B374" s="1" t="n">
        <v>45499.51721064815</v>
      </c>
      <c r="C374" s="1" t="n">
        <v>45927</v>
      </c>
      <c r="D374" t="inlineStr">
        <is>
          <t>DALARNAS LÄN</t>
        </is>
      </c>
      <c r="E374" t="inlineStr">
        <is>
          <t>MORA</t>
        </is>
      </c>
      <c r="G374" t="n">
        <v>0.7</v>
      </c>
      <c r="H374" t="n">
        <v>0</v>
      </c>
      <c r="I374" t="n">
        <v>0</v>
      </c>
      <c r="J374" t="n">
        <v>0</v>
      </c>
      <c r="K374" t="n">
        <v>0</v>
      </c>
      <c r="L374" t="n">
        <v>0</v>
      </c>
      <c r="M374" t="n">
        <v>0</v>
      </c>
      <c r="N374" t="n">
        <v>0</v>
      </c>
      <c r="O374" t="n">
        <v>0</v>
      </c>
      <c r="P374" t="n">
        <v>0</v>
      </c>
      <c r="Q374" t="n">
        <v>0</v>
      </c>
      <c r="R374" s="2" t="inlineStr"/>
    </row>
    <row r="375" ht="15" customHeight="1">
      <c r="A375" t="inlineStr">
        <is>
          <t>A 18202-2024</t>
        </is>
      </c>
      <c r="B375" s="1" t="n">
        <v>45420.68172453704</v>
      </c>
      <c r="C375" s="1" t="n">
        <v>45927</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40286-2024</t>
        </is>
      </c>
      <c r="B376" s="1" t="n">
        <v>45554.6687037037</v>
      </c>
      <c r="C376" s="1" t="n">
        <v>45927</v>
      </c>
      <c r="D376" t="inlineStr">
        <is>
          <t>DALARNAS LÄN</t>
        </is>
      </c>
      <c r="E376" t="inlineStr">
        <is>
          <t>MORA</t>
        </is>
      </c>
      <c r="G376" t="n">
        <v>0.4</v>
      </c>
      <c r="H376" t="n">
        <v>0</v>
      </c>
      <c r="I376" t="n">
        <v>0</v>
      </c>
      <c r="J376" t="n">
        <v>0</v>
      </c>
      <c r="K376" t="n">
        <v>0</v>
      </c>
      <c r="L376" t="n">
        <v>0</v>
      </c>
      <c r="M376" t="n">
        <v>0</v>
      </c>
      <c r="N376" t="n">
        <v>0</v>
      </c>
      <c r="O376" t="n">
        <v>0</v>
      </c>
      <c r="P376" t="n">
        <v>0</v>
      </c>
      <c r="Q376" t="n">
        <v>0</v>
      </c>
      <c r="R376" s="2" t="inlineStr"/>
    </row>
    <row r="377" ht="15" customHeight="1">
      <c r="A377" t="inlineStr">
        <is>
          <t>A 25887-2023</t>
        </is>
      </c>
      <c r="B377" s="1" t="n">
        <v>45090.62493055555</v>
      </c>
      <c r="C377" s="1" t="n">
        <v>45927</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7766-2025</t>
        </is>
      </c>
      <c r="B378" s="1" t="n">
        <v>45706.5562037037</v>
      </c>
      <c r="C378" s="1" t="n">
        <v>45927</v>
      </c>
      <c r="D378" t="inlineStr">
        <is>
          <t>DALARNAS LÄN</t>
        </is>
      </c>
      <c r="E378" t="inlineStr">
        <is>
          <t>MORA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41169-2023</t>
        </is>
      </c>
      <c r="B379" s="1" t="n">
        <v>45174.34662037037</v>
      </c>
      <c r="C379" s="1" t="n">
        <v>45927</v>
      </c>
      <c r="D379" t="inlineStr">
        <is>
          <t>DALARNAS LÄN</t>
        </is>
      </c>
      <c r="E379" t="inlineStr">
        <is>
          <t>MORA</t>
        </is>
      </c>
      <c r="G379" t="n">
        <v>3</v>
      </c>
      <c r="H379" t="n">
        <v>0</v>
      </c>
      <c r="I379" t="n">
        <v>0</v>
      </c>
      <c r="J379" t="n">
        <v>0</v>
      </c>
      <c r="K379" t="n">
        <v>0</v>
      </c>
      <c r="L379" t="n">
        <v>0</v>
      </c>
      <c r="M379" t="n">
        <v>0</v>
      </c>
      <c r="N379" t="n">
        <v>0</v>
      </c>
      <c r="O379" t="n">
        <v>0</v>
      </c>
      <c r="P379" t="n">
        <v>0</v>
      </c>
      <c r="Q379" t="n">
        <v>0</v>
      </c>
      <c r="R379" s="2" t="inlineStr"/>
    </row>
    <row r="380" ht="15" customHeight="1">
      <c r="A380" t="inlineStr">
        <is>
          <t>A 64099-2023</t>
        </is>
      </c>
      <c r="B380" s="1" t="n">
        <v>45279.46009259259</v>
      </c>
      <c r="C380" s="1" t="n">
        <v>45927</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19910-2024</t>
        </is>
      </c>
      <c r="B381" s="1" t="n">
        <v>45433.5741087963</v>
      </c>
      <c r="C381" s="1" t="n">
        <v>45927</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23300-2024</t>
        </is>
      </c>
      <c r="B382" s="1" t="n">
        <v>45453.43695601852</v>
      </c>
      <c r="C382" s="1" t="n">
        <v>45927</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19896-2021</t>
        </is>
      </c>
      <c r="B383" s="1" t="n">
        <v>44313.54942129629</v>
      </c>
      <c r="C383" s="1" t="n">
        <v>45927</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9599-2022</t>
        </is>
      </c>
      <c r="B384" s="1" t="n">
        <v>44617.48909722222</v>
      </c>
      <c r="C384" s="1" t="n">
        <v>45927</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35521-2023</t>
        </is>
      </c>
      <c r="B385" s="1" t="n">
        <v>45147.33251157407</v>
      </c>
      <c r="C385" s="1" t="n">
        <v>45927</v>
      </c>
      <c r="D385" t="inlineStr">
        <is>
          <t>DALARNAS LÄN</t>
        </is>
      </c>
      <c r="E385" t="inlineStr">
        <is>
          <t>MORA</t>
        </is>
      </c>
      <c r="G385" t="n">
        <v>3.7</v>
      </c>
      <c r="H385" t="n">
        <v>0</v>
      </c>
      <c r="I385" t="n">
        <v>0</v>
      </c>
      <c r="J385" t="n">
        <v>0</v>
      </c>
      <c r="K385" t="n">
        <v>0</v>
      </c>
      <c r="L385" t="n">
        <v>0</v>
      </c>
      <c r="M385" t="n">
        <v>0</v>
      </c>
      <c r="N385" t="n">
        <v>0</v>
      </c>
      <c r="O385" t="n">
        <v>0</v>
      </c>
      <c r="P385" t="n">
        <v>0</v>
      </c>
      <c r="Q385" t="n">
        <v>0</v>
      </c>
      <c r="R385" s="2" t="inlineStr"/>
    </row>
    <row r="386" ht="15" customHeight="1">
      <c r="A386" t="inlineStr">
        <is>
          <t>A 60715-2023</t>
        </is>
      </c>
      <c r="B386" s="1" t="n">
        <v>45260.52684027778</v>
      </c>
      <c r="C386" s="1" t="n">
        <v>45927</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54257-2023</t>
        </is>
      </c>
      <c r="B387" s="1" t="n">
        <v>45232.64195601852</v>
      </c>
      <c r="C387" s="1" t="n">
        <v>45927</v>
      </c>
      <c r="D387" t="inlineStr">
        <is>
          <t>DALARNAS LÄN</t>
        </is>
      </c>
      <c r="E387" t="inlineStr">
        <is>
          <t>MORA</t>
        </is>
      </c>
      <c r="G387" t="n">
        <v>4</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45927</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44106-2023</t>
        </is>
      </c>
      <c r="B389" s="1" t="n">
        <v>45188</v>
      </c>
      <c r="C389" s="1" t="n">
        <v>45927</v>
      </c>
      <c r="D389" t="inlineStr">
        <is>
          <t>DALARNAS LÄN</t>
        </is>
      </c>
      <c r="E389" t="inlineStr">
        <is>
          <t>MORA</t>
        </is>
      </c>
      <c r="G389" t="n">
        <v>10.1</v>
      </c>
      <c r="H389" t="n">
        <v>0</v>
      </c>
      <c r="I389" t="n">
        <v>0</v>
      </c>
      <c r="J389" t="n">
        <v>0</v>
      </c>
      <c r="K389" t="n">
        <v>0</v>
      </c>
      <c r="L389" t="n">
        <v>0</v>
      </c>
      <c r="M389" t="n">
        <v>0</v>
      </c>
      <c r="N389" t="n">
        <v>0</v>
      </c>
      <c r="O389" t="n">
        <v>0</v>
      </c>
      <c r="P389" t="n">
        <v>0</v>
      </c>
      <c r="Q389" t="n">
        <v>0</v>
      </c>
      <c r="R389" s="2" t="inlineStr"/>
    </row>
    <row r="390" ht="15" customHeight="1">
      <c r="A390" t="inlineStr">
        <is>
          <t>A 25499-2024</t>
        </is>
      </c>
      <c r="B390" s="1" t="n">
        <v>45463</v>
      </c>
      <c r="C390" s="1" t="n">
        <v>45927</v>
      </c>
      <c r="D390" t="inlineStr">
        <is>
          <t>DALARNAS LÄN</t>
        </is>
      </c>
      <c r="E390" t="inlineStr">
        <is>
          <t>MORA</t>
        </is>
      </c>
      <c r="G390" t="n">
        <v>0.8</v>
      </c>
      <c r="H390" t="n">
        <v>0</v>
      </c>
      <c r="I390" t="n">
        <v>0</v>
      </c>
      <c r="J390" t="n">
        <v>0</v>
      </c>
      <c r="K390" t="n">
        <v>0</v>
      </c>
      <c r="L390" t="n">
        <v>0</v>
      </c>
      <c r="M390" t="n">
        <v>0</v>
      </c>
      <c r="N390" t="n">
        <v>0</v>
      </c>
      <c r="O390" t="n">
        <v>0</v>
      </c>
      <c r="P390" t="n">
        <v>0</v>
      </c>
      <c r="Q390" t="n">
        <v>0</v>
      </c>
      <c r="R390" s="2" t="inlineStr"/>
    </row>
    <row r="391" ht="15" customHeight="1">
      <c r="A391" t="inlineStr">
        <is>
          <t>A 62268-2020</t>
        </is>
      </c>
      <c r="B391" s="1" t="n">
        <v>44160</v>
      </c>
      <c r="C391" s="1" t="n">
        <v>45927</v>
      </c>
      <c r="D391" t="inlineStr">
        <is>
          <t>DALARNAS LÄN</t>
        </is>
      </c>
      <c r="E391" t="inlineStr">
        <is>
          <t>MORA</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59002-2024</t>
        </is>
      </c>
      <c r="B392" s="1" t="n">
        <v>45636</v>
      </c>
      <c r="C392" s="1" t="n">
        <v>45927</v>
      </c>
      <c r="D392" t="inlineStr">
        <is>
          <t>DALARNAS LÄN</t>
        </is>
      </c>
      <c r="E392" t="inlineStr">
        <is>
          <t>MORA</t>
        </is>
      </c>
      <c r="F392" t="inlineStr">
        <is>
          <t>Bergvik skog väst AB</t>
        </is>
      </c>
      <c r="G392" t="n">
        <v>24.8</v>
      </c>
      <c r="H392" t="n">
        <v>0</v>
      </c>
      <c r="I392" t="n">
        <v>0</v>
      </c>
      <c r="J392" t="n">
        <v>0</v>
      </c>
      <c r="K392" t="n">
        <v>0</v>
      </c>
      <c r="L392" t="n">
        <v>0</v>
      </c>
      <c r="M392" t="n">
        <v>0</v>
      </c>
      <c r="N392" t="n">
        <v>0</v>
      </c>
      <c r="O392" t="n">
        <v>0</v>
      </c>
      <c r="P392" t="n">
        <v>0</v>
      </c>
      <c r="Q392" t="n">
        <v>0</v>
      </c>
      <c r="R392" s="2" t="inlineStr"/>
    </row>
    <row r="393" ht="15" customHeight="1">
      <c r="A393" t="inlineStr">
        <is>
          <t>A 58958-2022</t>
        </is>
      </c>
      <c r="B393" s="1" t="n">
        <v>44903.6605324074</v>
      </c>
      <c r="C393" s="1" t="n">
        <v>45927</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5980-2025</t>
        </is>
      </c>
      <c r="B394" s="1" t="n">
        <v>45695.54651620371</v>
      </c>
      <c r="C394" s="1" t="n">
        <v>45927</v>
      </c>
      <c r="D394" t="inlineStr">
        <is>
          <t>DALARNAS LÄN</t>
        </is>
      </c>
      <c r="E394" t="inlineStr">
        <is>
          <t>MORA</t>
        </is>
      </c>
      <c r="G394" t="n">
        <v>2.7</v>
      </c>
      <c r="H394" t="n">
        <v>0</v>
      </c>
      <c r="I394" t="n">
        <v>0</v>
      </c>
      <c r="J394" t="n">
        <v>0</v>
      </c>
      <c r="K394" t="n">
        <v>0</v>
      </c>
      <c r="L394" t="n">
        <v>0</v>
      </c>
      <c r="M394" t="n">
        <v>0</v>
      </c>
      <c r="N394" t="n">
        <v>0</v>
      </c>
      <c r="O394" t="n">
        <v>0</v>
      </c>
      <c r="P394" t="n">
        <v>0</v>
      </c>
      <c r="Q394" t="n">
        <v>0</v>
      </c>
      <c r="R394" s="2" t="inlineStr"/>
    </row>
    <row r="395" ht="15" customHeight="1">
      <c r="A395" t="inlineStr">
        <is>
          <t>A 52908-2023</t>
        </is>
      </c>
      <c r="B395" s="1" t="n">
        <v>45226.49950231481</v>
      </c>
      <c r="C395" s="1" t="n">
        <v>45927</v>
      </c>
      <c r="D395" t="inlineStr">
        <is>
          <t>DALARNAS LÄN</t>
        </is>
      </c>
      <c r="E395" t="inlineStr">
        <is>
          <t>MORA</t>
        </is>
      </c>
      <c r="G395" t="n">
        <v>3.3</v>
      </c>
      <c r="H395" t="n">
        <v>0</v>
      </c>
      <c r="I395" t="n">
        <v>0</v>
      </c>
      <c r="J395" t="n">
        <v>0</v>
      </c>
      <c r="K395" t="n">
        <v>0</v>
      </c>
      <c r="L395" t="n">
        <v>0</v>
      </c>
      <c r="M395" t="n">
        <v>0</v>
      </c>
      <c r="N395" t="n">
        <v>0</v>
      </c>
      <c r="O395" t="n">
        <v>0</v>
      </c>
      <c r="P395" t="n">
        <v>0</v>
      </c>
      <c r="Q395" t="n">
        <v>0</v>
      </c>
      <c r="R395" s="2" t="inlineStr"/>
    </row>
    <row r="396" ht="15" customHeight="1">
      <c r="A396" t="inlineStr">
        <is>
          <t>A 18214-2024</t>
        </is>
      </c>
      <c r="B396" s="1" t="n">
        <v>45420</v>
      </c>
      <c r="C396" s="1" t="n">
        <v>45927</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60465-2023</t>
        </is>
      </c>
      <c r="B397" s="1" t="n">
        <v>45259.57872685185</v>
      </c>
      <c r="C397" s="1" t="n">
        <v>45927</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61654-2024</t>
        </is>
      </c>
      <c r="B398" s="1" t="n">
        <v>45646.74988425926</v>
      </c>
      <c r="C398" s="1" t="n">
        <v>45927</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60428-2023</t>
        </is>
      </c>
      <c r="B399" s="1" t="n">
        <v>45259.50996527778</v>
      </c>
      <c r="C399" s="1" t="n">
        <v>45927</v>
      </c>
      <c r="D399" t="inlineStr">
        <is>
          <t>DALARNAS LÄN</t>
        </is>
      </c>
      <c r="E399" t="inlineStr">
        <is>
          <t>MORA</t>
        </is>
      </c>
      <c r="G399" t="n">
        <v>4.9</v>
      </c>
      <c r="H399" t="n">
        <v>0</v>
      </c>
      <c r="I399" t="n">
        <v>0</v>
      </c>
      <c r="J399" t="n">
        <v>0</v>
      </c>
      <c r="K399" t="n">
        <v>0</v>
      </c>
      <c r="L399" t="n">
        <v>0</v>
      </c>
      <c r="M399" t="n">
        <v>0</v>
      </c>
      <c r="N399" t="n">
        <v>0</v>
      </c>
      <c r="O399" t="n">
        <v>0</v>
      </c>
      <c r="P399" t="n">
        <v>0</v>
      </c>
      <c r="Q399" t="n">
        <v>0</v>
      </c>
      <c r="R399" s="2" t="inlineStr"/>
    </row>
    <row r="400" ht="15" customHeight="1">
      <c r="A400" t="inlineStr">
        <is>
          <t>A 2308-2023</t>
        </is>
      </c>
      <c r="B400" s="1" t="n">
        <v>44942.57987268519</v>
      </c>
      <c r="C400" s="1" t="n">
        <v>45927</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5527-2024</t>
        </is>
      </c>
      <c r="B401" s="1" t="n">
        <v>45334.38981481481</v>
      </c>
      <c r="C401" s="1" t="n">
        <v>45927</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53159-2024</t>
        </is>
      </c>
      <c r="B402" s="1" t="n">
        <v>45611.63849537037</v>
      </c>
      <c r="C402" s="1" t="n">
        <v>45927</v>
      </c>
      <c r="D402" t="inlineStr">
        <is>
          <t>DALARNAS LÄN</t>
        </is>
      </c>
      <c r="E402" t="inlineStr">
        <is>
          <t>MORA</t>
        </is>
      </c>
      <c r="G402" t="n">
        <v>3.3</v>
      </c>
      <c r="H402" t="n">
        <v>0</v>
      </c>
      <c r="I402" t="n">
        <v>0</v>
      </c>
      <c r="J402" t="n">
        <v>0</v>
      </c>
      <c r="K402" t="n">
        <v>0</v>
      </c>
      <c r="L402" t="n">
        <v>0</v>
      </c>
      <c r="M402" t="n">
        <v>0</v>
      </c>
      <c r="N402" t="n">
        <v>0</v>
      </c>
      <c r="O402" t="n">
        <v>0</v>
      </c>
      <c r="P402" t="n">
        <v>0</v>
      </c>
      <c r="Q402" t="n">
        <v>0</v>
      </c>
      <c r="R402" s="2" t="inlineStr"/>
    </row>
    <row r="403" ht="15" customHeight="1">
      <c r="A403" t="inlineStr">
        <is>
          <t>A 29754-2022</t>
        </is>
      </c>
      <c r="B403" s="1" t="n">
        <v>44755.59188657408</v>
      </c>
      <c r="C403" s="1" t="n">
        <v>45927</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27188-2023</t>
        </is>
      </c>
      <c r="B404" s="1" t="n">
        <v>45096</v>
      </c>
      <c r="C404" s="1" t="n">
        <v>45927</v>
      </c>
      <c r="D404" t="inlineStr">
        <is>
          <t>DALARNAS LÄN</t>
        </is>
      </c>
      <c r="E404" t="inlineStr">
        <is>
          <t>MORA</t>
        </is>
      </c>
      <c r="G404" t="n">
        <v>4.8</v>
      </c>
      <c r="H404" t="n">
        <v>0</v>
      </c>
      <c r="I404" t="n">
        <v>0</v>
      </c>
      <c r="J404" t="n">
        <v>0</v>
      </c>
      <c r="K404" t="n">
        <v>0</v>
      </c>
      <c r="L404" t="n">
        <v>0</v>
      </c>
      <c r="M404" t="n">
        <v>0</v>
      </c>
      <c r="N404" t="n">
        <v>0</v>
      </c>
      <c r="O404" t="n">
        <v>0</v>
      </c>
      <c r="P404" t="n">
        <v>0</v>
      </c>
      <c r="Q404" t="n">
        <v>0</v>
      </c>
      <c r="R404" s="2" t="inlineStr"/>
    </row>
    <row r="405" ht="15" customHeight="1">
      <c r="A405" t="inlineStr">
        <is>
          <t>A 56268-2024</t>
        </is>
      </c>
      <c r="B405" s="1" t="n">
        <v>45624.65785879629</v>
      </c>
      <c r="C405" s="1" t="n">
        <v>45927</v>
      </c>
      <c r="D405" t="inlineStr">
        <is>
          <t>DALARNAS LÄN</t>
        </is>
      </c>
      <c r="E405" t="inlineStr">
        <is>
          <t>MORA</t>
        </is>
      </c>
      <c r="G405" t="n">
        <v>2.7</v>
      </c>
      <c r="H405" t="n">
        <v>0</v>
      </c>
      <c r="I405" t="n">
        <v>0</v>
      </c>
      <c r="J405" t="n">
        <v>0</v>
      </c>
      <c r="K405" t="n">
        <v>0</v>
      </c>
      <c r="L405" t="n">
        <v>0</v>
      </c>
      <c r="M405" t="n">
        <v>0</v>
      </c>
      <c r="N405" t="n">
        <v>0</v>
      </c>
      <c r="O405" t="n">
        <v>0</v>
      </c>
      <c r="P405" t="n">
        <v>0</v>
      </c>
      <c r="Q405" t="n">
        <v>0</v>
      </c>
      <c r="R405" s="2" t="inlineStr"/>
    </row>
    <row r="406" ht="15" customHeight="1">
      <c r="A406" t="inlineStr">
        <is>
          <t>A 39856-2024</t>
        </is>
      </c>
      <c r="B406" s="1" t="n">
        <v>45553.44084490741</v>
      </c>
      <c r="C406" s="1" t="n">
        <v>45927</v>
      </c>
      <c r="D406" t="inlineStr">
        <is>
          <t>DALARNAS LÄN</t>
        </is>
      </c>
      <c r="E406" t="inlineStr">
        <is>
          <t>MORA</t>
        </is>
      </c>
      <c r="G406" t="n">
        <v>4.8</v>
      </c>
      <c r="H406" t="n">
        <v>0</v>
      </c>
      <c r="I406" t="n">
        <v>0</v>
      </c>
      <c r="J406" t="n">
        <v>0</v>
      </c>
      <c r="K406" t="n">
        <v>0</v>
      </c>
      <c r="L406" t="n">
        <v>0</v>
      </c>
      <c r="M406" t="n">
        <v>0</v>
      </c>
      <c r="N406" t="n">
        <v>0</v>
      </c>
      <c r="O406" t="n">
        <v>0</v>
      </c>
      <c r="P406" t="n">
        <v>0</v>
      </c>
      <c r="Q406" t="n">
        <v>0</v>
      </c>
      <c r="R406" s="2" t="inlineStr"/>
    </row>
    <row r="407" ht="15" customHeight="1">
      <c r="A407" t="inlineStr">
        <is>
          <t>A 52288-2024</t>
        </is>
      </c>
      <c r="B407" s="1" t="n">
        <v>45608.69395833334</v>
      </c>
      <c r="C407" s="1" t="n">
        <v>45927</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29528-2025</t>
        </is>
      </c>
      <c r="B408" s="1" t="n">
        <v>45825.34322916667</v>
      </c>
      <c r="C408" s="1" t="n">
        <v>45927</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43879-2022</t>
        </is>
      </c>
      <c r="B409" s="1" t="n">
        <v>44838.46721064814</v>
      </c>
      <c r="C409" s="1" t="n">
        <v>45927</v>
      </c>
      <c r="D409" t="inlineStr">
        <is>
          <t>DALARNAS LÄN</t>
        </is>
      </c>
      <c r="E409" t="inlineStr">
        <is>
          <t>MORA</t>
        </is>
      </c>
      <c r="G409" t="n">
        <v>3.4</v>
      </c>
      <c r="H409" t="n">
        <v>0</v>
      </c>
      <c r="I409" t="n">
        <v>0</v>
      </c>
      <c r="J409" t="n">
        <v>0</v>
      </c>
      <c r="K409" t="n">
        <v>0</v>
      </c>
      <c r="L409" t="n">
        <v>0</v>
      </c>
      <c r="M409" t="n">
        <v>0</v>
      </c>
      <c r="N409" t="n">
        <v>0</v>
      </c>
      <c r="O409" t="n">
        <v>0</v>
      </c>
      <c r="P409" t="n">
        <v>0</v>
      </c>
      <c r="Q409" t="n">
        <v>0</v>
      </c>
      <c r="R409" s="2" t="inlineStr"/>
    </row>
    <row r="410" ht="15" customHeight="1">
      <c r="A410" t="inlineStr">
        <is>
          <t>A 14641-2023</t>
        </is>
      </c>
      <c r="B410" s="1" t="n">
        <v>45013</v>
      </c>
      <c r="C410" s="1" t="n">
        <v>45927</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62266-2020</t>
        </is>
      </c>
      <c r="B411" s="1" t="n">
        <v>44160.35008101852</v>
      </c>
      <c r="C411" s="1" t="n">
        <v>45927</v>
      </c>
      <c r="D411" t="inlineStr">
        <is>
          <t>DALARNAS LÄN</t>
        </is>
      </c>
      <c r="E411" t="inlineStr">
        <is>
          <t>MORA</t>
        </is>
      </c>
      <c r="F411" t="inlineStr">
        <is>
          <t>Bergvik skog väst AB</t>
        </is>
      </c>
      <c r="G411" t="n">
        <v>5.9</v>
      </c>
      <c r="H411" t="n">
        <v>0</v>
      </c>
      <c r="I411" t="n">
        <v>0</v>
      </c>
      <c r="J411" t="n">
        <v>0</v>
      </c>
      <c r="K411" t="n">
        <v>0</v>
      </c>
      <c r="L411" t="n">
        <v>0</v>
      </c>
      <c r="M411" t="n">
        <v>0</v>
      </c>
      <c r="N411" t="n">
        <v>0</v>
      </c>
      <c r="O411" t="n">
        <v>0</v>
      </c>
      <c r="P411" t="n">
        <v>0</v>
      </c>
      <c r="Q411" t="n">
        <v>0</v>
      </c>
      <c r="R411" s="2" t="inlineStr"/>
    </row>
    <row r="412" ht="15" customHeight="1">
      <c r="A412" t="inlineStr">
        <is>
          <t>A 57408-2024</t>
        </is>
      </c>
      <c r="B412" s="1" t="n">
        <v>45629</v>
      </c>
      <c r="C412" s="1" t="n">
        <v>45927</v>
      </c>
      <c r="D412" t="inlineStr">
        <is>
          <t>DALARNAS LÄN</t>
        </is>
      </c>
      <c r="E412" t="inlineStr">
        <is>
          <t>MORA</t>
        </is>
      </c>
      <c r="F412" t="inlineStr">
        <is>
          <t>Allmännings- och besparingsskogar</t>
        </is>
      </c>
      <c r="G412" t="n">
        <v>2.5</v>
      </c>
      <c r="H412" t="n">
        <v>0</v>
      </c>
      <c r="I412" t="n">
        <v>0</v>
      </c>
      <c r="J412" t="n">
        <v>0</v>
      </c>
      <c r="K412" t="n">
        <v>0</v>
      </c>
      <c r="L412" t="n">
        <v>0</v>
      </c>
      <c r="M412" t="n">
        <v>0</v>
      </c>
      <c r="N412" t="n">
        <v>0</v>
      </c>
      <c r="O412" t="n">
        <v>0</v>
      </c>
      <c r="P412" t="n">
        <v>0</v>
      </c>
      <c r="Q412" t="n">
        <v>0</v>
      </c>
      <c r="R412" s="2" t="inlineStr"/>
    </row>
    <row r="413" ht="15" customHeight="1">
      <c r="A413" t="inlineStr">
        <is>
          <t>A 1252-2025</t>
        </is>
      </c>
      <c r="B413" s="1" t="n">
        <v>45667.46648148148</v>
      </c>
      <c r="C413" s="1" t="n">
        <v>45927</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12920-2022</t>
        </is>
      </c>
      <c r="B414" s="1" t="n">
        <v>44642.65418981481</v>
      </c>
      <c r="C414" s="1" t="n">
        <v>45927</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9554-2025</t>
        </is>
      </c>
      <c r="B415" s="1" t="n">
        <v>45715.59936342593</v>
      </c>
      <c r="C415" s="1" t="n">
        <v>45927</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17280-2025</t>
        </is>
      </c>
      <c r="B416" s="1" t="n">
        <v>45756</v>
      </c>
      <c r="C416" s="1" t="n">
        <v>45927</v>
      </c>
      <c r="D416" t="inlineStr">
        <is>
          <t>DALARNAS LÄN</t>
        </is>
      </c>
      <c r="E416" t="inlineStr">
        <is>
          <t>MORA</t>
        </is>
      </c>
      <c r="G416" t="n">
        <v>2.1</v>
      </c>
      <c r="H416" t="n">
        <v>0</v>
      </c>
      <c r="I416" t="n">
        <v>0</v>
      </c>
      <c r="J416" t="n">
        <v>0</v>
      </c>
      <c r="K416" t="n">
        <v>0</v>
      </c>
      <c r="L416" t="n">
        <v>0</v>
      </c>
      <c r="M416" t="n">
        <v>0</v>
      </c>
      <c r="N416" t="n">
        <v>0</v>
      </c>
      <c r="O416" t="n">
        <v>0</v>
      </c>
      <c r="P416" t="n">
        <v>0</v>
      </c>
      <c r="Q416" t="n">
        <v>0</v>
      </c>
      <c r="R416" s="2" t="inlineStr"/>
    </row>
    <row r="417" ht="15" customHeight="1">
      <c r="A417" t="inlineStr">
        <is>
          <t>A 571-2024</t>
        </is>
      </c>
      <c r="B417" s="1" t="n">
        <v>45299</v>
      </c>
      <c r="C417" s="1" t="n">
        <v>45927</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20549-2025</t>
        </is>
      </c>
      <c r="B418" s="1" t="n">
        <v>45775.63459490741</v>
      </c>
      <c r="C418" s="1" t="n">
        <v>45927</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12478-2025</t>
        </is>
      </c>
      <c r="B419" s="1" t="n">
        <v>45730.57429398148</v>
      </c>
      <c r="C419" s="1" t="n">
        <v>45927</v>
      </c>
      <c r="D419" t="inlineStr">
        <is>
          <t>DALARNAS LÄN</t>
        </is>
      </c>
      <c r="E419" t="inlineStr">
        <is>
          <t>MORA</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34282-2024</t>
        </is>
      </c>
      <c r="B420" s="1" t="n">
        <v>45524.62600694445</v>
      </c>
      <c r="C420" s="1" t="n">
        <v>45927</v>
      </c>
      <c r="D420" t="inlineStr">
        <is>
          <t>DALARNAS LÄN</t>
        </is>
      </c>
      <c r="E420" t="inlineStr">
        <is>
          <t>MORA</t>
        </is>
      </c>
      <c r="G420" t="n">
        <v>0.5</v>
      </c>
      <c r="H420" t="n">
        <v>0</v>
      </c>
      <c r="I420" t="n">
        <v>0</v>
      </c>
      <c r="J420" t="n">
        <v>0</v>
      </c>
      <c r="K420" t="n">
        <v>0</v>
      </c>
      <c r="L420" t="n">
        <v>0</v>
      </c>
      <c r="M420" t="n">
        <v>0</v>
      </c>
      <c r="N420" t="n">
        <v>0</v>
      </c>
      <c r="O420" t="n">
        <v>0</v>
      </c>
      <c r="P420" t="n">
        <v>0</v>
      </c>
      <c r="Q420" t="n">
        <v>0</v>
      </c>
      <c r="R420" s="2" t="inlineStr"/>
    </row>
    <row r="421" ht="15" customHeight="1">
      <c r="A421" t="inlineStr">
        <is>
          <t>A 53743-2024</t>
        </is>
      </c>
      <c r="B421" s="1" t="n">
        <v>45615.47137731482</v>
      </c>
      <c r="C421" s="1" t="n">
        <v>45927</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29440-2025</t>
        </is>
      </c>
      <c r="B422" s="1" t="n">
        <v>45824.65862268519</v>
      </c>
      <c r="C422" s="1" t="n">
        <v>45927</v>
      </c>
      <c r="D422" t="inlineStr">
        <is>
          <t>DALARNAS LÄN</t>
        </is>
      </c>
      <c r="E422" t="inlineStr">
        <is>
          <t>MORA</t>
        </is>
      </c>
      <c r="G422" t="n">
        <v>1.7</v>
      </c>
      <c r="H422" t="n">
        <v>0</v>
      </c>
      <c r="I422" t="n">
        <v>0</v>
      </c>
      <c r="J422" t="n">
        <v>0</v>
      </c>
      <c r="K422" t="n">
        <v>0</v>
      </c>
      <c r="L422" t="n">
        <v>0</v>
      </c>
      <c r="M422" t="n">
        <v>0</v>
      </c>
      <c r="N422" t="n">
        <v>0</v>
      </c>
      <c r="O422" t="n">
        <v>0</v>
      </c>
      <c r="P422" t="n">
        <v>0</v>
      </c>
      <c r="Q422" t="n">
        <v>0</v>
      </c>
      <c r="R422" s="2" t="inlineStr"/>
    </row>
    <row r="423" ht="15" customHeight="1">
      <c r="A423" t="inlineStr">
        <is>
          <t>A 38055-2024</t>
        </is>
      </c>
      <c r="B423" s="1" t="n">
        <v>45544</v>
      </c>
      <c r="C423" s="1" t="n">
        <v>45927</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7116-2024</t>
        </is>
      </c>
      <c r="B424" s="1" t="n">
        <v>45343.95445601852</v>
      </c>
      <c r="C424" s="1" t="n">
        <v>45927</v>
      </c>
      <c r="D424" t="inlineStr">
        <is>
          <t>DALARNAS LÄN</t>
        </is>
      </c>
      <c r="E424" t="inlineStr">
        <is>
          <t>MORA</t>
        </is>
      </c>
      <c r="G424" t="n">
        <v>0.3</v>
      </c>
      <c r="H424" t="n">
        <v>0</v>
      </c>
      <c r="I424" t="n">
        <v>0</v>
      </c>
      <c r="J424" t="n">
        <v>0</v>
      </c>
      <c r="K424" t="n">
        <v>0</v>
      </c>
      <c r="L424" t="n">
        <v>0</v>
      </c>
      <c r="M424" t="n">
        <v>0</v>
      </c>
      <c r="N424" t="n">
        <v>0</v>
      </c>
      <c r="O424" t="n">
        <v>0</v>
      </c>
      <c r="P424" t="n">
        <v>0</v>
      </c>
      <c r="Q424" t="n">
        <v>0</v>
      </c>
      <c r="R424" s="2" t="inlineStr"/>
    </row>
    <row r="425" ht="15" customHeight="1">
      <c r="A425" t="inlineStr">
        <is>
          <t>A 22785-2023</t>
        </is>
      </c>
      <c r="B425" s="1" t="n">
        <v>45072.34796296297</v>
      </c>
      <c r="C425" s="1" t="n">
        <v>45927</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18806-2025</t>
        </is>
      </c>
      <c r="B426" s="1" t="n">
        <v>45764.35269675926</v>
      </c>
      <c r="C426" s="1" t="n">
        <v>45927</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29425-2025</t>
        </is>
      </c>
      <c r="B427" s="1" t="n">
        <v>45824.64524305556</v>
      </c>
      <c r="C427" s="1" t="n">
        <v>45927</v>
      </c>
      <c r="D427" t="inlineStr">
        <is>
          <t>DALARNAS LÄN</t>
        </is>
      </c>
      <c r="E427" t="inlineStr">
        <is>
          <t>MORA</t>
        </is>
      </c>
      <c r="G427" t="n">
        <v>4.4</v>
      </c>
      <c r="H427" t="n">
        <v>0</v>
      </c>
      <c r="I427" t="n">
        <v>0</v>
      </c>
      <c r="J427" t="n">
        <v>0</v>
      </c>
      <c r="K427" t="n">
        <v>0</v>
      </c>
      <c r="L427" t="n">
        <v>0</v>
      </c>
      <c r="M427" t="n">
        <v>0</v>
      </c>
      <c r="N427" t="n">
        <v>0</v>
      </c>
      <c r="O427" t="n">
        <v>0</v>
      </c>
      <c r="P427" t="n">
        <v>0</v>
      </c>
      <c r="Q427" t="n">
        <v>0</v>
      </c>
      <c r="R427" s="2" t="inlineStr"/>
    </row>
    <row r="428" ht="15" customHeight="1">
      <c r="A428" t="inlineStr">
        <is>
          <t>A 54628-2024</t>
        </is>
      </c>
      <c r="B428" s="1" t="n">
        <v>45617.83969907407</v>
      </c>
      <c r="C428" s="1" t="n">
        <v>45927</v>
      </c>
      <c r="D428" t="inlineStr">
        <is>
          <t>DALARNAS LÄN</t>
        </is>
      </c>
      <c r="E428" t="inlineStr">
        <is>
          <t>MORA</t>
        </is>
      </c>
      <c r="G428" t="n">
        <v>1.1</v>
      </c>
      <c r="H428" t="n">
        <v>0</v>
      </c>
      <c r="I428" t="n">
        <v>0</v>
      </c>
      <c r="J428" t="n">
        <v>0</v>
      </c>
      <c r="K428" t="n">
        <v>0</v>
      </c>
      <c r="L428" t="n">
        <v>0</v>
      </c>
      <c r="M428" t="n">
        <v>0</v>
      </c>
      <c r="N428" t="n">
        <v>0</v>
      </c>
      <c r="O428" t="n">
        <v>0</v>
      </c>
      <c r="P428" t="n">
        <v>0</v>
      </c>
      <c r="Q428" t="n">
        <v>0</v>
      </c>
      <c r="R428" s="2" t="inlineStr"/>
    </row>
    <row r="429" ht="15" customHeight="1">
      <c r="A429" t="inlineStr">
        <is>
          <t>A 60718-2023</t>
        </is>
      </c>
      <c r="B429" s="1" t="n">
        <v>45260.5284375</v>
      </c>
      <c r="C429" s="1" t="n">
        <v>45927</v>
      </c>
      <c r="D429" t="inlineStr">
        <is>
          <t>DALARNAS LÄN</t>
        </is>
      </c>
      <c r="E429" t="inlineStr">
        <is>
          <t>MORA</t>
        </is>
      </c>
      <c r="G429" t="n">
        <v>2.6</v>
      </c>
      <c r="H429" t="n">
        <v>0</v>
      </c>
      <c r="I429" t="n">
        <v>0</v>
      </c>
      <c r="J429" t="n">
        <v>0</v>
      </c>
      <c r="K429" t="n">
        <v>0</v>
      </c>
      <c r="L429" t="n">
        <v>0</v>
      </c>
      <c r="M429" t="n">
        <v>0</v>
      </c>
      <c r="N429" t="n">
        <v>0</v>
      </c>
      <c r="O429" t="n">
        <v>0</v>
      </c>
      <c r="P429" t="n">
        <v>0</v>
      </c>
      <c r="Q429" t="n">
        <v>0</v>
      </c>
      <c r="R429" s="2" t="inlineStr"/>
    </row>
    <row r="430" ht="15" customHeight="1">
      <c r="A430" t="inlineStr">
        <is>
          <t>A 7972-2024</t>
        </is>
      </c>
      <c r="B430" s="1" t="n">
        <v>45350</v>
      </c>
      <c r="C430" s="1" t="n">
        <v>45927</v>
      </c>
      <c r="D430" t="inlineStr">
        <is>
          <t>DALARNAS LÄN</t>
        </is>
      </c>
      <c r="E430" t="inlineStr">
        <is>
          <t>MORA</t>
        </is>
      </c>
      <c r="G430" t="n">
        <v>2.4</v>
      </c>
      <c r="H430" t="n">
        <v>0</v>
      </c>
      <c r="I430" t="n">
        <v>0</v>
      </c>
      <c r="J430" t="n">
        <v>0</v>
      </c>
      <c r="K430" t="n">
        <v>0</v>
      </c>
      <c r="L430" t="n">
        <v>0</v>
      </c>
      <c r="M430" t="n">
        <v>0</v>
      </c>
      <c r="N430" t="n">
        <v>0</v>
      </c>
      <c r="O430" t="n">
        <v>0</v>
      </c>
      <c r="P430" t="n">
        <v>0</v>
      </c>
      <c r="Q430" t="n">
        <v>0</v>
      </c>
      <c r="R430" s="2" t="inlineStr"/>
    </row>
    <row r="431" ht="15" customHeight="1">
      <c r="A431" t="inlineStr">
        <is>
          <t>A 16637-2025</t>
        </is>
      </c>
      <c r="B431" s="1" t="n">
        <v>45754.36738425926</v>
      </c>
      <c r="C431" s="1" t="n">
        <v>45927</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8146-2021</t>
        </is>
      </c>
      <c r="B432" s="1" t="n">
        <v>44244</v>
      </c>
      <c r="C432" s="1" t="n">
        <v>45927</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59448-2022</t>
        </is>
      </c>
      <c r="B433" s="1" t="n">
        <v>44907</v>
      </c>
      <c r="C433" s="1" t="n">
        <v>45927</v>
      </c>
      <c r="D433" t="inlineStr">
        <is>
          <t>DALARNAS LÄN</t>
        </is>
      </c>
      <c r="E433" t="inlineStr">
        <is>
          <t>MORA</t>
        </is>
      </c>
      <c r="G433" t="n">
        <v>35.7</v>
      </c>
      <c r="H433" t="n">
        <v>0</v>
      </c>
      <c r="I433" t="n">
        <v>0</v>
      </c>
      <c r="J433" t="n">
        <v>0</v>
      </c>
      <c r="K433" t="n">
        <v>0</v>
      </c>
      <c r="L433" t="n">
        <v>0</v>
      </c>
      <c r="M433" t="n">
        <v>0</v>
      </c>
      <c r="N433" t="n">
        <v>0</v>
      </c>
      <c r="O433" t="n">
        <v>0</v>
      </c>
      <c r="P433" t="n">
        <v>0</v>
      </c>
      <c r="Q433" t="n">
        <v>0</v>
      </c>
      <c r="R433" s="2" t="inlineStr"/>
    </row>
    <row r="434" ht="15" customHeight="1">
      <c r="A434" t="inlineStr">
        <is>
          <t>A 57319-2023</t>
        </is>
      </c>
      <c r="B434" s="1" t="n">
        <v>45245.64877314815</v>
      </c>
      <c r="C434" s="1" t="n">
        <v>45927</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49991-2023</t>
        </is>
      </c>
      <c r="B435" s="1" t="n">
        <v>45215.43879629629</v>
      </c>
      <c r="C435" s="1" t="n">
        <v>45927</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43498-2023</t>
        </is>
      </c>
      <c r="B436" s="1" t="n">
        <v>45184</v>
      </c>
      <c r="C436" s="1" t="n">
        <v>45927</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32261-2022</t>
        </is>
      </c>
      <c r="B437" s="1" t="n">
        <v>44781.5350925926</v>
      </c>
      <c r="C437" s="1" t="n">
        <v>45927</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28131-2024</t>
        </is>
      </c>
      <c r="B438" s="1" t="n">
        <v>45476.68435185185</v>
      </c>
      <c r="C438" s="1" t="n">
        <v>45927</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28132-2024</t>
        </is>
      </c>
      <c r="B439" s="1" t="n">
        <v>45476.68616898148</v>
      </c>
      <c r="C439" s="1" t="n">
        <v>45927</v>
      </c>
      <c r="D439" t="inlineStr">
        <is>
          <t>DALARNAS LÄN</t>
        </is>
      </c>
      <c r="E439" t="inlineStr">
        <is>
          <t>MORA</t>
        </is>
      </c>
      <c r="G439" t="n">
        <v>0.2</v>
      </c>
      <c r="H439" t="n">
        <v>0</v>
      </c>
      <c r="I439" t="n">
        <v>0</v>
      </c>
      <c r="J439" t="n">
        <v>0</v>
      </c>
      <c r="K439" t="n">
        <v>0</v>
      </c>
      <c r="L439" t="n">
        <v>0</v>
      </c>
      <c r="M439" t="n">
        <v>0</v>
      </c>
      <c r="N439" t="n">
        <v>0</v>
      </c>
      <c r="O439" t="n">
        <v>0</v>
      </c>
      <c r="P439" t="n">
        <v>0</v>
      </c>
      <c r="Q439" t="n">
        <v>0</v>
      </c>
      <c r="R439" s="2" t="inlineStr"/>
    </row>
    <row r="440" ht="15" customHeight="1">
      <c r="A440" t="inlineStr">
        <is>
          <t>A 35381-2024</t>
        </is>
      </c>
      <c r="B440" s="1" t="n">
        <v>45531.38372685185</v>
      </c>
      <c r="C440" s="1" t="n">
        <v>45927</v>
      </c>
      <c r="D440" t="inlineStr">
        <is>
          <t>DALARNAS LÄN</t>
        </is>
      </c>
      <c r="E440" t="inlineStr">
        <is>
          <t>MORA</t>
        </is>
      </c>
      <c r="G440" t="n">
        <v>3.7</v>
      </c>
      <c r="H440" t="n">
        <v>0</v>
      </c>
      <c r="I440" t="n">
        <v>0</v>
      </c>
      <c r="J440" t="n">
        <v>0</v>
      </c>
      <c r="K440" t="n">
        <v>0</v>
      </c>
      <c r="L440" t="n">
        <v>0</v>
      </c>
      <c r="M440" t="n">
        <v>0</v>
      </c>
      <c r="N440" t="n">
        <v>0</v>
      </c>
      <c r="O440" t="n">
        <v>0</v>
      </c>
      <c r="P440" t="n">
        <v>0</v>
      </c>
      <c r="Q440" t="n">
        <v>0</v>
      </c>
      <c r="R440" s="2" t="inlineStr"/>
    </row>
    <row r="441" ht="15" customHeight="1">
      <c r="A441" t="inlineStr">
        <is>
          <t>A 13479-2024</t>
        </is>
      </c>
      <c r="B441" s="1" t="n">
        <v>45387.5900925926</v>
      </c>
      <c r="C441" s="1" t="n">
        <v>45927</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12987-2024</t>
        </is>
      </c>
      <c r="B442" s="1" t="n">
        <v>45385.55375</v>
      </c>
      <c r="C442" s="1" t="n">
        <v>45927</v>
      </c>
      <c r="D442" t="inlineStr">
        <is>
          <t>DALARNAS LÄN</t>
        </is>
      </c>
      <c r="E442" t="inlineStr">
        <is>
          <t>MORA</t>
        </is>
      </c>
      <c r="G442" t="n">
        <v>1.3</v>
      </c>
      <c r="H442" t="n">
        <v>0</v>
      </c>
      <c r="I442" t="n">
        <v>0</v>
      </c>
      <c r="J442" t="n">
        <v>0</v>
      </c>
      <c r="K442" t="n">
        <v>0</v>
      </c>
      <c r="L442" t="n">
        <v>0</v>
      </c>
      <c r="M442" t="n">
        <v>0</v>
      </c>
      <c r="N442" t="n">
        <v>0</v>
      </c>
      <c r="O442" t="n">
        <v>0</v>
      </c>
      <c r="P442" t="n">
        <v>0</v>
      </c>
      <c r="Q442" t="n">
        <v>0</v>
      </c>
      <c r="R442" s="2" t="inlineStr"/>
    </row>
    <row r="443" ht="15" customHeight="1">
      <c r="A443" t="inlineStr">
        <is>
          <t>A 48170-2024</t>
        </is>
      </c>
      <c r="B443" s="1" t="n">
        <v>45589.76975694444</v>
      </c>
      <c r="C443" s="1" t="n">
        <v>45927</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58892-2023</t>
        </is>
      </c>
      <c r="B444" s="1" t="n">
        <v>45252.48592592592</v>
      </c>
      <c r="C444" s="1" t="n">
        <v>45927</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30087-2025</t>
        </is>
      </c>
      <c r="B445" s="1" t="n">
        <v>45826.6575</v>
      </c>
      <c r="C445" s="1" t="n">
        <v>45927</v>
      </c>
      <c r="D445" t="inlineStr">
        <is>
          <t>DALARNAS LÄN</t>
        </is>
      </c>
      <c r="E445" t="inlineStr">
        <is>
          <t>MORA</t>
        </is>
      </c>
      <c r="G445" t="n">
        <v>1.6</v>
      </c>
      <c r="H445" t="n">
        <v>0</v>
      </c>
      <c r="I445" t="n">
        <v>0</v>
      </c>
      <c r="J445" t="n">
        <v>0</v>
      </c>
      <c r="K445" t="n">
        <v>0</v>
      </c>
      <c r="L445" t="n">
        <v>0</v>
      </c>
      <c r="M445" t="n">
        <v>0</v>
      </c>
      <c r="N445" t="n">
        <v>0</v>
      </c>
      <c r="O445" t="n">
        <v>0</v>
      </c>
      <c r="P445" t="n">
        <v>0</v>
      </c>
      <c r="Q445" t="n">
        <v>0</v>
      </c>
      <c r="R445" s="2" t="inlineStr"/>
    </row>
    <row r="446" ht="15" customHeight="1">
      <c r="A446" t="inlineStr">
        <is>
          <t>A 20299-2023</t>
        </is>
      </c>
      <c r="B446" s="1" t="n">
        <v>45056</v>
      </c>
      <c r="C446" s="1" t="n">
        <v>45927</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30166-2025</t>
        </is>
      </c>
      <c r="B447" s="1" t="n">
        <v>45827.33116898148</v>
      </c>
      <c r="C447" s="1" t="n">
        <v>45927</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29870-2025</t>
        </is>
      </c>
      <c r="B448" s="1" t="n">
        <v>45826.35716435185</v>
      </c>
      <c r="C448" s="1" t="n">
        <v>45927</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29873-2025</t>
        </is>
      </c>
      <c r="B449" s="1" t="n">
        <v>45826</v>
      </c>
      <c r="C449" s="1" t="n">
        <v>45927</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27975-2023</t>
        </is>
      </c>
      <c r="B450" s="1" t="n">
        <v>45098</v>
      </c>
      <c r="C450" s="1" t="n">
        <v>45927</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55222-2023</t>
        </is>
      </c>
      <c r="B451" s="1" t="n">
        <v>45237.60775462963</v>
      </c>
      <c r="C451" s="1" t="n">
        <v>45927</v>
      </c>
      <c r="D451" t="inlineStr">
        <is>
          <t>DALARNAS LÄN</t>
        </is>
      </c>
      <c r="E451" t="inlineStr">
        <is>
          <t>MORA</t>
        </is>
      </c>
      <c r="F451" t="inlineStr">
        <is>
          <t>Allmännings- och besparingsskogar</t>
        </is>
      </c>
      <c r="G451" t="n">
        <v>19.8</v>
      </c>
      <c r="H451" t="n">
        <v>0</v>
      </c>
      <c r="I451" t="n">
        <v>0</v>
      </c>
      <c r="J451" t="n">
        <v>0</v>
      </c>
      <c r="K451" t="n">
        <v>0</v>
      </c>
      <c r="L451" t="n">
        <v>0</v>
      </c>
      <c r="M451" t="n">
        <v>0</v>
      </c>
      <c r="N451" t="n">
        <v>0</v>
      </c>
      <c r="O451" t="n">
        <v>0</v>
      </c>
      <c r="P451" t="n">
        <v>0</v>
      </c>
      <c r="Q451" t="n">
        <v>0</v>
      </c>
      <c r="R451" s="2" t="inlineStr"/>
    </row>
    <row r="452" ht="15" customHeight="1">
      <c r="A452" t="inlineStr">
        <is>
          <t>A 24772-2024</t>
        </is>
      </c>
      <c r="B452" s="1" t="n">
        <v>45460.70204861111</v>
      </c>
      <c r="C452" s="1" t="n">
        <v>45927</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28487-2024</t>
        </is>
      </c>
      <c r="B453" s="1" t="n">
        <v>45477.75744212963</v>
      </c>
      <c r="C453" s="1" t="n">
        <v>45927</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23586-2023</t>
        </is>
      </c>
      <c r="B454" s="1" t="n">
        <v>45077</v>
      </c>
      <c r="C454" s="1" t="n">
        <v>45927</v>
      </c>
      <c r="D454" t="inlineStr">
        <is>
          <t>DALARNAS LÄN</t>
        </is>
      </c>
      <c r="E454" t="inlineStr">
        <is>
          <t>MORA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30507-2025</t>
        </is>
      </c>
      <c r="B455" s="1" t="n">
        <v>45831.24760416667</v>
      </c>
      <c r="C455" s="1" t="n">
        <v>45927</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30509-2025</t>
        </is>
      </c>
      <c r="B456" s="1" t="n">
        <v>45831.25519675926</v>
      </c>
      <c r="C456" s="1" t="n">
        <v>45927</v>
      </c>
      <c r="D456" t="inlineStr">
        <is>
          <t>DALARNAS LÄN</t>
        </is>
      </c>
      <c r="E456" t="inlineStr">
        <is>
          <t>MORA</t>
        </is>
      </c>
      <c r="G456" t="n">
        <v>1.7</v>
      </c>
      <c r="H456" t="n">
        <v>0</v>
      </c>
      <c r="I456" t="n">
        <v>0</v>
      </c>
      <c r="J456" t="n">
        <v>0</v>
      </c>
      <c r="K456" t="n">
        <v>0</v>
      </c>
      <c r="L456" t="n">
        <v>0</v>
      </c>
      <c r="M456" t="n">
        <v>0</v>
      </c>
      <c r="N456" t="n">
        <v>0</v>
      </c>
      <c r="O456" t="n">
        <v>0</v>
      </c>
      <c r="P456" t="n">
        <v>0</v>
      </c>
      <c r="Q456" t="n">
        <v>0</v>
      </c>
      <c r="R456" s="2" t="inlineStr"/>
    </row>
    <row r="457" ht="15" customHeight="1">
      <c r="A457" t="inlineStr">
        <is>
          <t>A 5486-2023</t>
        </is>
      </c>
      <c r="B457" s="1" t="n">
        <v>44957</v>
      </c>
      <c r="C457" s="1" t="n">
        <v>45927</v>
      </c>
      <c r="D457" t="inlineStr">
        <is>
          <t>DALARNAS LÄN</t>
        </is>
      </c>
      <c r="E457" t="inlineStr">
        <is>
          <t>MORA</t>
        </is>
      </c>
      <c r="G457" t="n">
        <v>3.2</v>
      </c>
      <c r="H457" t="n">
        <v>0</v>
      </c>
      <c r="I457" t="n">
        <v>0</v>
      </c>
      <c r="J457" t="n">
        <v>0</v>
      </c>
      <c r="K457" t="n">
        <v>0</v>
      </c>
      <c r="L457" t="n">
        <v>0</v>
      </c>
      <c r="M457" t="n">
        <v>0</v>
      </c>
      <c r="N457" t="n">
        <v>0</v>
      </c>
      <c r="O457" t="n">
        <v>0</v>
      </c>
      <c r="P457" t="n">
        <v>0</v>
      </c>
      <c r="Q457" t="n">
        <v>0</v>
      </c>
      <c r="R457" s="2" t="inlineStr"/>
    </row>
    <row r="458" ht="15" customHeight="1">
      <c r="A458" t="inlineStr">
        <is>
          <t>A 42943-2024</t>
        </is>
      </c>
      <c r="B458" s="1" t="n">
        <v>45567.35359953704</v>
      </c>
      <c r="C458" s="1" t="n">
        <v>45927</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9855-2024</t>
        </is>
      </c>
      <c r="B459" s="1" t="n">
        <v>45363.40368055556</v>
      </c>
      <c r="C459" s="1" t="n">
        <v>45927</v>
      </c>
      <c r="D459" t="inlineStr">
        <is>
          <t>DALARNAS LÄN</t>
        </is>
      </c>
      <c r="E459" t="inlineStr">
        <is>
          <t>MORA</t>
        </is>
      </c>
      <c r="G459" t="n">
        <v>8.6</v>
      </c>
      <c r="H459" t="n">
        <v>0</v>
      </c>
      <c r="I459" t="n">
        <v>0</v>
      </c>
      <c r="J459" t="n">
        <v>0</v>
      </c>
      <c r="K459" t="n">
        <v>0</v>
      </c>
      <c r="L459" t="n">
        <v>0</v>
      </c>
      <c r="M459" t="n">
        <v>0</v>
      </c>
      <c r="N459" t="n">
        <v>0</v>
      </c>
      <c r="O459" t="n">
        <v>0</v>
      </c>
      <c r="P459" t="n">
        <v>0</v>
      </c>
      <c r="Q459" t="n">
        <v>0</v>
      </c>
      <c r="R459" s="2" t="inlineStr"/>
    </row>
    <row r="460" ht="15" customHeight="1">
      <c r="A460" t="inlineStr">
        <is>
          <t>A 58972-2023</t>
        </is>
      </c>
      <c r="B460" s="1" t="n">
        <v>45252</v>
      </c>
      <c r="C460" s="1" t="n">
        <v>45927</v>
      </c>
      <c r="D460" t="inlineStr">
        <is>
          <t>DALARNAS LÄN</t>
        </is>
      </c>
      <c r="E460" t="inlineStr">
        <is>
          <t>MORA</t>
        </is>
      </c>
      <c r="G460" t="n">
        <v>0.5</v>
      </c>
      <c r="H460" t="n">
        <v>0</v>
      </c>
      <c r="I460" t="n">
        <v>0</v>
      </c>
      <c r="J460" t="n">
        <v>0</v>
      </c>
      <c r="K460" t="n">
        <v>0</v>
      </c>
      <c r="L460" t="n">
        <v>0</v>
      </c>
      <c r="M460" t="n">
        <v>0</v>
      </c>
      <c r="N460" t="n">
        <v>0</v>
      </c>
      <c r="O460" t="n">
        <v>0</v>
      </c>
      <c r="P460" t="n">
        <v>0</v>
      </c>
      <c r="Q460" t="n">
        <v>0</v>
      </c>
      <c r="R460" s="2" t="inlineStr"/>
    </row>
    <row r="461" ht="15" customHeight="1">
      <c r="A461" t="inlineStr">
        <is>
          <t>A 21244-2024</t>
        </is>
      </c>
      <c r="B461" s="1" t="n">
        <v>45440.59936342593</v>
      </c>
      <c r="C461" s="1" t="n">
        <v>45927</v>
      </c>
      <c r="D461" t="inlineStr">
        <is>
          <t>DALARNAS LÄN</t>
        </is>
      </c>
      <c r="E461" t="inlineStr">
        <is>
          <t>MORA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28964-2024</t>
        </is>
      </c>
      <c r="B462" s="1" t="n">
        <v>45481.42923611111</v>
      </c>
      <c r="C462" s="1" t="n">
        <v>45927</v>
      </c>
      <c r="D462" t="inlineStr">
        <is>
          <t>DALARNAS LÄN</t>
        </is>
      </c>
      <c r="E462" t="inlineStr">
        <is>
          <t>MORA</t>
        </is>
      </c>
      <c r="G462" t="n">
        <v>1.3</v>
      </c>
      <c r="H462" t="n">
        <v>0</v>
      </c>
      <c r="I462" t="n">
        <v>0</v>
      </c>
      <c r="J462" t="n">
        <v>0</v>
      </c>
      <c r="K462" t="n">
        <v>0</v>
      </c>
      <c r="L462" t="n">
        <v>0</v>
      </c>
      <c r="M462" t="n">
        <v>0</v>
      </c>
      <c r="N462" t="n">
        <v>0</v>
      </c>
      <c r="O462" t="n">
        <v>0</v>
      </c>
      <c r="P462" t="n">
        <v>0</v>
      </c>
      <c r="Q462" t="n">
        <v>0</v>
      </c>
      <c r="R462" s="2" t="inlineStr"/>
    </row>
    <row r="463" ht="15" customHeight="1">
      <c r="A463" t="inlineStr">
        <is>
          <t>A 46188-2022</t>
        </is>
      </c>
      <c r="B463" s="1" t="n">
        <v>44847.518125</v>
      </c>
      <c r="C463" s="1" t="n">
        <v>45927</v>
      </c>
      <c r="D463" t="inlineStr">
        <is>
          <t>DALARNAS LÄN</t>
        </is>
      </c>
      <c r="E463" t="inlineStr">
        <is>
          <t>MORA</t>
        </is>
      </c>
      <c r="G463" t="n">
        <v>1.8</v>
      </c>
      <c r="H463" t="n">
        <v>0</v>
      </c>
      <c r="I463" t="n">
        <v>0</v>
      </c>
      <c r="J463" t="n">
        <v>0</v>
      </c>
      <c r="K463" t="n">
        <v>0</v>
      </c>
      <c r="L463" t="n">
        <v>0</v>
      </c>
      <c r="M463" t="n">
        <v>0</v>
      </c>
      <c r="N463" t="n">
        <v>0</v>
      </c>
      <c r="O463" t="n">
        <v>0</v>
      </c>
      <c r="P463" t="n">
        <v>0</v>
      </c>
      <c r="Q463" t="n">
        <v>0</v>
      </c>
      <c r="R463" s="2" t="inlineStr"/>
    </row>
    <row r="464" ht="15" customHeight="1">
      <c r="A464" t="inlineStr">
        <is>
          <t>A 30989-2025</t>
        </is>
      </c>
      <c r="B464" s="1" t="n">
        <v>45832.48185185185</v>
      </c>
      <c r="C464" s="1" t="n">
        <v>45927</v>
      </c>
      <c r="D464" t="inlineStr">
        <is>
          <t>DALARNAS LÄN</t>
        </is>
      </c>
      <c r="E464" t="inlineStr">
        <is>
          <t>MORA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2879-2022</t>
        </is>
      </c>
      <c r="B465" s="1" t="n">
        <v>44581</v>
      </c>
      <c r="C465" s="1" t="n">
        <v>45927</v>
      </c>
      <c r="D465" t="inlineStr">
        <is>
          <t>DALARNAS LÄN</t>
        </is>
      </c>
      <c r="E465" t="inlineStr">
        <is>
          <t>MORA</t>
        </is>
      </c>
      <c r="G465" t="n">
        <v>2.3</v>
      </c>
      <c r="H465" t="n">
        <v>0</v>
      </c>
      <c r="I465" t="n">
        <v>0</v>
      </c>
      <c r="J465" t="n">
        <v>0</v>
      </c>
      <c r="K465" t="n">
        <v>0</v>
      </c>
      <c r="L465" t="n">
        <v>0</v>
      </c>
      <c r="M465" t="n">
        <v>0</v>
      </c>
      <c r="N465" t="n">
        <v>0</v>
      </c>
      <c r="O465" t="n">
        <v>0</v>
      </c>
      <c r="P465" t="n">
        <v>0</v>
      </c>
      <c r="Q465" t="n">
        <v>0</v>
      </c>
      <c r="R465" s="2" t="inlineStr"/>
    </row>
    <row r="466" ht="15" customHeight="1">
      <c r="A466" t="inlineStr">
        <is>
          <t>A 30194-2024</t>
        </is>
      </c>
      <c r="B466" s="1" t="n">
        <v>45490.33387731481</v>
      </c>
      <c r="C466" s="1" t="n">
        <v>45927</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58177-2024</t>
        </is>
      </c>
      <c r="B467" s="1" t="n">
        <v>45632.46821759259</v>
      </c>
      <c r="C467" s="1" t="n">
        <v>45927</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42035-2022</t>
        </is>
      </c>
      <c r="B468" s="1" t="n">
        <v>44830</v>
      </c>
      <c r="C468" s="1" t="n">
        <v>45927</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30858-2025</t>
        </is>
      </c>
      <c r="B469" s="1" t="n">
        <v>45831.92416666666</v>
      </c>
      <c r="C469" s="1" t="n">
        <v>45927</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30859-2025</t>
        </is>
      </c>
      <c r="B470" s="1" t="n">
        <v>45831.93105324074</v>
      </c>
      <c r="C470" s="1" t="n">
        <v>45927</v>
      </c>
      <c r="D470" t="inlineStr">
        <is>
          <t>DALARNAS LÄN</t>
        </is>
      </c>
      <c r="E470" t="inlineStr">
        <is>
          <t>MORA</t>
        </is>
      </c>
      <c r="G470" t="n">
        <v>0.7</v>
      </c>
      <c r="H470" t="n">
        <v>0</v>
      </c>
      <c r="I470" t="n">
        <v>0</v>
      </c>
      <c r="J470" t="n">
        <v>0</v>
      </c>
      <c r="K470" t="n">
        <v>0</v>
      </c>
      <c r="L470" t="n">
        <v>0</v>
      </c>
      <c r="M470" t="n">
        <v>0</v>
      </c>
      <c r="N470" t="n">
        <v>0</v>
      </c>
      <c r="O470" t="n">
        <v>0</v>
      </c>
      <c r="P470" t="n">
        <v>0</v>
      </c>
      <c r="Q470" t="n">
        <v>0</v>
      </c>
      <c r="R470" s="2" t="inlineStr"/>
    </row>
    <row r="471" ht="15" customHeight="1">
      <c r="A471" t="inlineStr">
        <is>
          <t>A 31846-2025</t>
        </is>
      </c>
      <c r="B471" s="1" t="n">
        <v>45834.60209490741</v>
      </c>
      <c r="C471" s="1" t="n">
        <v>45927</v>
      </c>
      <c r="D471" t="inlineStr">
        <is>
          <t>DALARNAS LÄN</t>
        </is>
      </c>
      <c r="E471" t="inlineStr">
        <is>
          <t>MORA</t>
        </is>
      </c>
      <c r="G471" t="n">
        <v>3.6</v>
      </c>
      <c r="H471" t="n">
        <v>0</v>
      </c>
      <c r="I471" t="n">
        <v>0</v>
      </c>
      <c r="J471" t="n">
        <v>0</v>
      </c>
      <c r="K471" t="n">
        <v>0</v>
      </c>
      <c r="L471" t="n">
        <v>0</v>
      </c>
      <c r="M471" t="n">
        <v>0</v>
      </c>
      <c r="N471" t="n">
        <v>0</v>
      </c>
      <c r="O471" t="n">
        <v>0</v>
      </c>
      <c r="P471" t="n">
        <v>0</v>
      </c>
      <c r="Q471" t="n">
        <v>0</v>
      </c>
      <c r="R471" s="2" t="inlineStr"/>
    </row>
    <row r="472" ht="15" customHeight="1">
      <c r="A472" t="inlineStr">
        <is>
          <t>A 31849-2025</t>
        </is>
      </c>
      <c r="B472" s="1" t="n">
        <v>45834.60525462963</v>
      </c>
      <c r="C472" s="1" t="n">
        <v>45927</v>
      </c>
      <c r="D472" t="inlineStr">
        <is>
          <t>DALARNAS LÄN</t>
        </is>
      </c>
      <c r="E472" t="inlineStr">
        <is>
          <t>MORA</t>
        </is>
      </c>
      <c r="G472" t="n">
        <v>3.9</v>
      </c>
      <c r="H472" t="n">
        <v>0</v>
      </c>
      <c r="I472" t="n">
        <v>0</v>
      </c>
      <c r="J472" t="n">
        <v>0</v>
      </c>
      <c r="K472" t="n">
        <v>0</v>
      </c>
      <c r="L472" t="n">
        <v>0</v>
      </c>
      <c r="M472" t="n">
        <v>0</v>
      </c>
      <c r="N472" t="n">
        <v>0</v>
      </c>
      <c r="O472" t="n">
        <v>0</v>
      </c>
      <c r="P472" t="n">
        <v>0</v>
      </c>
      <c r="Q472" t="n">
        <v>0</v>
      </c>
      <c r="R472" s="2" t="inlineStr"/>
    </row>
    <row r="473" ht="15" customHeight="1">
      <c r="A473" t="inlineStr">
        <is>
          <t>A 31842-2025</t>
        </is>
      </c>
      <c r="B473" s="1" t="n">
        <v>45834.59822916667</v>
      </c>
      <c r="C473" s="1" t="n">
        <v>45927</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45390-2024</t>
        </is>
      </c>
      <c r="B474" s="1" t="n">
        <v>45576.54820601852</v>
      </c>
      <c r="C474" s="1" t="n">
        <v>45927</v>
      </c>
      <c r="D474" t="inlineStr">
        <is>
          <t>DALARNAS LÄN</t>
        </is>
      </c>
      <c r="E474" t="inlineStr">
        <is>
          <t>MORA</t>
        </is>
      </c>
      <c r="F474" t="inlineStr">
        <is>
          <t>Bergvik skog väst AB</t>
        </is>
      </c>
      <c r="G474" t="n">
        <v>5.6</v>
      </c>
      <c r="H474" t="n">
        <v>0</v>
      </c>
      <c r="I474" t="n">
        <v>0</v>
      </c>
      <c r="J474" t="n">
        <v>0</v>
      </c>
      <c r="K474" t="n">
        <v>0</v>
      </c>
      <c r="L474" t="n">
        <v>0</v>
      </c>
      <c r="M474" t="n">
        <v>0</v>
      </c>
      <c r="N474" t="n">
        <v>0</v>
      </c>
      <c r="O474" t="n">
        <v>0</v>
      </c>
      <c r="P474" t="n">
        <v>0</v>
      </c>
      <c r="Q474" t="n">
        <v>0</v>
      </c>
      <c r="R474" s="2" t="inlineStr"/>
    </row>
    <row r="475" ht="15" customHeight="1">
      <c r="A475" t="inlineStr">
        <is>
          <t>A 58089-2024</t>
        </is>
      </c>
      <c r="B475" s="1" t="n">
        <v>45632.34984953704</v>
      </c>
      <c r="C475" s="1" t="n">
        <v>45927</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15817-2024</t>
        </is>
      </c>
      <c r="B476" s="1" t="n">
        <v>45404.67387731482</v>
      </c>
      <c r="C476" s="1" t="n">
        <v>45927</v>
      </c>
      <c r="D476" t="inlineStr">
        <is>
          <t>DALARNAS LÄN</t>
        </is>
      </c>
      <c r="E476" t="inlineStr">
        <is>
          <t>MORA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4208-2023</t>
        </is>
      </c>
      <c r="B477" s="1" t="n">
        <v>44953</v>
      </c>
      <c r="C477" s="1" t="n">
        <v>45927</v>
      </c>
      <c r="D477" t="inlineStr">
        <is>
          <t>DALARNAS LÄN</t>
        </is>
      </c>
      <c r="E477" t="inlineStr">
        <is>
          <t>MORA</t>
        </is>
      </c>
      <c r="G477" t="n">
        <v>2.4</v>
      </c>
      <c r="H477" t="n">
        <v>0</v>
      </c>
      <c r="I477" t="n">
        <v>0</v>
      </c>
      <c r="J477" t="n">
        <v>0</v>
      </c>
      <c r="K477" t="n">
        <v>0</v>
      </c>
      <c r="L477" t="n">
        <v>0</v>
      </c>
      <c r="M477" t="n">
        <v>0</v>
      </c>
      <c r="N477" t="n">
        <v>0</v>
      </c>
      <c r="O477" t="n">
        <v>0</v>
      </c>
      <c r="P477" t="n">
        <v>0</v>
      </c>
      <c r="Q477" t="n">
        <v>0</v>
      </c>
      <c r="R477" s="2" t="inlineStr"/>
    </row>
    <row r="478" ht="15" customHeight="1">
      <c r="A478" t="inlineStr">
        <is>
          <t>A 4210-2023</t>
        </is>
      </c>
      <c r="B478" s="1" t="n">
        <v>44953.44965277778</v>
      </c>
      <c r="C478" s="1" t="n">
        <v>45927</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58116-2022</t>
        </is>
      </c>
      <c r="B479" s="1" t="n">
        <v>44900.65716435185</v>
      </c>
      <c r="C479" s="1" t="n">
        <v>45927</v>
      </c>
      <c r="D479" t="inlineStr">
        <is>
          <t>DALARNAS LÄN</t>
        </is>
      </c>
      <c r="E479" t="inlineStr">
        <is>
          <t>MORA</t>
        </is>
      </c>
      <c r="G479" t="n">
        <v>2.9</v>
      </c>
      <c r="H479" t="n">
        <v>0</v>
      </c>
      <c r="I479" t="n">
        <v>0</v>
      </c>
      <c r="J479" t="n">
        <v>0</v>
      </c>
      <c r="K479" t="n">
        <v>0</v>
      </c>
      <c r="L479" t="n">
        <v>0</v>
      </c>
      <c r="M479" t="n">
        <v>0</v>
      </c>
      <c r="N479" t="n">
        <v>0</v>
      </c>
      <c r="O479" t="n">
        <v>0</v>
      </c>
      <c r="P479" t="n">
        <v>0</v>
      </c>
      <c r="Q479" t="n">
        <v>0</v>
      </c>
      <c r="R479" s="2" t="inlineStr"/>
    </row>
    <row r="480" ht="15" customHeight="1">
      <c r="A480" t="inlineStr">
        <is>
          <t>A 32852-2025</t>
        </is>
      </c>
      <c r="B480" s="1" t="n">
        <v>45839.57559027777</v>
      </c>
      <c r="C480" s="1" t="n">
        <v>45927</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18992-2024</t>
        </is>
      </c>
      <c r="B481" s="1" t="n">
        <v>45427.61516203704</v>
      </c>
      <c r="C481" s="1" t="n">
        <v>45927</v>
      </c>
      <c r="D481" t="inlineStr">
        <is>
          <t>DALARNAS LÄN</t>
        </is>
      </c>
      <c r="E481" t="inlineStr">
        <is>
          <t>MORA</t>
        </is>
      </c>
      <c r="G481" t="n">
        <v>9.9</v>
      </c>
      <c r="H481" t="n">
        <v>0</v>
      </c>
      <c r="I481" t="n">
        <v>0</v>
      </c>
      <c r="J481" t="n">
        <v>0</v>
      </c>
      <c r="K481" t="n">
        <v>0</v>
      </c>
      <c r="L481" t="n">
        <v>0</v>
      </c>
      <c r="M481" t="n">
        <v>0</v>
      </c>
      <c r="N481" t="n">
        <v>0</v>
      </c>
      <c r="O481" t="n">
        <v>0</v>
      </c>
      <c r="P481" t="n">
        <v>0</v>
      </c>
      <c r="Q481" t="n">
        <v>0</v>
      </c>
      <c r="R481" s="2" t="inlineStr"/>
    </row>
    <row r="482" ht="15" customHeight="1">
      <c r="A482" t="inlineStr">
        <is>
          <t>A 44769-2021</t>
        </is>
      </c>
      <c r="B482" s="1" t="n">
        <v>44438</v>
      </c>
      <c r="C482" s="1" t="n">
        <v>45927</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58036-2024</t>
        </is>
      </c>
      <c r="B483" s="1" t="n">
        <v>45631.71893518518</v>
      </c>
      <c r="C483" s="1" t="n">
        <v>45927</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60647-2022</t>
        </is>
      </c>
      <c r="B484" s="1" t="n">
        <v>44911</v>
      </c>
      <c r="C484" s="1" t="n">
        <v>45927</v>
      </c>
      <c r="D484" t="inlineStr">
        <is>
          <t>DALARNAS LÄN</t>
        </is>
      </c>
      <c r="E484" t="inlineStr">
        <is>
          <t>MORA</t>
        </is>
      </c>
      <c r="G484" t="n">
        <v>4.8</v>
      </c>
      <c r="H484" t="n">
        <v>0</v>
      </c>
      <c r="I484" t="n">
        <v>0</v>
      </c>
      <c r="J484" t="n">
        <v>0</v>
      </c>
      <c r="K484" t="n">
        <v>0</v>
      </c>
      <c r="L484" t="n">
        <v>0</v>
      </c>
      <c r="M484" t="n">
        <v>0</v>
      </c>
      <c r="N484" t="n">
        <v>0</v>
      </c>
      <c r="O484" t="n">
        <v>0</v>
      </c>
      <c r="P484" t="n">
        <v>0</v>
      </c>
      <c r="Q484" t="n">
        <v>0</v>
      </c>
      <c r="R484" s="2" t="inlineStr"/>
    </row>
    <row r="485" ht="15" customHeight="1">
      <c r="A485" t="inlineStr">
        <is>
          <t>A 3430-2023</t>
        </is>
      </c>
      <c r="B485" s="1" t="n">
        <v>44949.57856481482</v>
      </c>
      <c r="C485" s="1" t="n">
        <v>45927</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33443-2025</t>
        </is>
      </c>
      <c r="B486" s="1" t="n">
        <v>45841</v>
      </c>
      <c r="C486" s="1" t="n">
        <v>45927</v>
      </c>
      <c r="D486" t="inlineStr">
        <is>
          <t>DALARNAS LÄN</t>
        </is>
      </c>
      <c r="E486" t="inlineStr">
        <is>
          <t>MORA</t>
        </is>
      </c>
      <c r="G486" t="n">
        <v>2.7</v>
      </c>
      <c r="H486" t="n">
        <v>0</v>
      </c>
      <c r="I486" t="n">
        <v>0</v>
      </c>
      <c r="J486" t="n">
        <v>0</v>
      </c>
      <c r="K486" t="n">
        <v>0</v>
      </c>
      <c r="L486" t="n">
        <v>0</v>
      </c>
      <c r="M486" t="n">
        <v>0</v>
      </c>
      <c r="N486" t="n">
        <v>0</v>
      </c>
      <c r="O486" t="n">
        <v>0</v>
      </c>
      <c r="P486" t="n">
        <v>0</v>
      </c>
      <c r="Q486" t="n">
        <v>0</v>
      </c>
      <c r="R486" s="2" t="inlineStr"/>
    </row>
    <row r="487" ht="15" customHeight="1">
      <c r="A487" t="inlineStr">
        <is>
          <t>A 56460-2022</t>
        </is>
      </c>
      <c r="B487" s="1" t="n">
        <v>44893</v>
      </c>
      <c r="C487" s="1" t="n">
        <v>45927</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437-2024</t>
        </is>
      </c>
      <c r="B488" s="1" t="n">
        <v>45296</v>
      </c>
      <c r="C488" s="1" t="n">
        <v>45927</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15172-2025</t>
        </is>
      </c>
      <c r="B489" s="1" t="n">
        <v>45744.50722222222</v>
      </c>
      <c r="C489" s="1" t="n">
        <v>45927</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31395-2024</t>
        </is>
      </c>
      <c r="B490" s="1" t="n">
        <v>45505.47716435185</v>
      </c>
      <c r="C490" s="1" t="n">
        <v>45927</v>
      </c>
      <c r="D490" t="inlineStr">
        <is>
          <t>DALARNAS LÄN</t>
        </is>
      </c>
      <c r="E490" t="inlineStr">
        <is>
          <t>MORA</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60847-2021</t>
        </is>
      </c>
      <c r="B491" s="1" t="n">
        <v>44497</v>
      </c>
      <c r="C491" s="1" t="n">
        <v>45927</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15435-2024</t>
        </is>
      </c>
      <c r="B492" s="1" t="n">
        <v>45401.40806712963</v>
      </c>
      <c r="C492" s="1" t="n">
        <v>45927</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31085-2024</t>
        </is>
      </c>
      <c r="B493" s="1" t="n">
        <v>45502.48047453703</v>
      </c>
      <c r="C493" s="1" t="n">
        <v>45927</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34182-2025</t>
        </is>
      </c>
      <c r="B494" s="1" t="n">
        <v>45845.60520833333</v>
      </c>
      <c r="C494" s="1" t="n">
        <v>45927</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43863-2023</t>
        </is>
      </c>
      <c r="B495" s="1" t="n">
        <v>45187.62532407408</v>
      </c>
      <c r="C495" s="1" t="n">
        <v>45927</v>
      </c>
      <c r="D495" t="inlineStr">
        <is>
          <t>DALARNAS LÄN</t>
        </is>
      </c>
      <c r="E495" t="inlineStr">
        <is>
          <t>MORA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34005-2025</t>
        </is>
      </c>
      <c r="B496" s="1" t="n">
        <v>45844.58890046296</v>
      </c>
      <c r="C496" s="1" t="n">
        <v>45927</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44909.52385416667</v>
      </c>
      <c r="C497" s="1" t="n">
        <v>45927</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13262-2022</t>
        </is>
      </c>
      <c r="B498" s="1" t="n">
        <v>44644.70184027778</v>
      </c>
      <c r="C498" s="1" t="n">
        <v>45927</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34482-2025</t>
        </is>
      </c>
      <c r="B499" s="1" t="n">
        <v>45847.38469907407</v>
      </c>
      <c r="C499" s="1" t="n">
        <v>45927</v>
      </c>
      <c r="D499" t="inlineStr">
        <is>
          <t>DALARNAS LÄN</t>
        </is>
      </c>
      <c r="E499" t="inlineStr">
        <is>
          <t>MORA</t>
        </is>
      </c>
      <c r="G499" t="n">
        <v>1.5</v>
      </c>
      <c r="H499" t="n">
        <v>0</v>
      </c>
      <c r="I499" t="n">
        <v>0</v>
      </c>
      <c r="J499" t="n">
        <v>0</v>
      </c>
      <c r="K499" t="n">
        <v>0</v>
      </c>
      <c r="L499" t="n">
        <v>0</v>
      </c>
      <c r="M499" t="n">
        <v>0</v>
      </c>
      <c r="N499" t="n">
        <v>0</v>
      </c>
      <c r="O499" t="n">
        <v>0</v>
      </c>
      <c r="P499" t="n">
        <v>0</v>
      </c>
      <c r="Q499" t="n">
        <v>0</v>
      </c>
      <c r="R499" s="2" t="inlineStr"/>
    </row>
    <row r="500" ht="15" customHeight="1">
      <c r="A500" t="inlineStr">
        <is>
          <t>A 56767-2023</t>
        </is>
      </c>
      <c r="B500" s="1" t="n">
        <v>45244</v>
      </c>
      <c r="C500" s="1" t="n">
        <v>45927</v>
      </c>
      <c r="D500" t="inlineStr">
        <is>
          <t>DALARNAS LÄN</t>
        </is>
      </c>
      <c r="E500" t="inlineStr">
        <is>
          <t>MORA</t>
        </is>
      </c>
      <c r="G500" t="n">
        <v>1.2</v>
      </c>
      <c r="H500" t="n">
        <v>0</v>
      </c>
      <c r="I500" t="n">
        <v>0</v>
      </c>
      <c r="J500" t="n">
        <v>0</v>
      </c>
      <c r="K500" t="n">
        <v>0</v>
      </c>
      <c r="L500" t="n">
        <v>0</v>
      </c>
      <c r="M500" t="n">
        <v>0</v>
      </c>
      <c r="N500" t="n">
        <v>0</v>
      </c>
      <c r="O500" t="n">
        <v>0</v>
      </c>
      <c r="P500" t="n">
        <v>0</v>
      </c>
      <c r="Q500" t="n">
        <v>0</v>
      </c>
      <c r="R500" s="2" t="inlineStr"/>
    </row>
    <row r="501" ht="15" customHeight="1">
      <c r="A501" t="inlineStr">
        <is>
          <t>A 39456-2025</t>
        </is>
      </c>
      <c r="B501" s="1" t="n">
        <v>45889.76200231481</v>
      </c>
      <c r="C501" s="1" t="n">
        <v>45927</v>
      </c>
      <c r="D501" t="inlineStr">
        <is>
          <t>DALARNAS LÄN</t>
        </is>
      </c>
      <c r="E501" t="inlineStr">
        <is>
          <t>MORA</t>
        </is>
      </c>
      <c r="F501" t="inlineStr">
        <is>
          <t>Bergvik skog öst AB</t>
        </is>
      </c>
      <c r="G501" t="n">
        <v>16.7</v>
      </c>
      <c r="H501" t="n">
        <v>0</v>
      </c>
      <c r="I501" t="n">
        <v>0</v>
      </c>
      <c r="J501" t="n">
        <v>0</v>
      </c>
      <c r="K501" t="n">
        <v>0</v>
      </c>
      <c r="L501" t="n">
        <v>0</v>
      </c>
      <c r="M501" t="n">
        <v>0</v>
      </c>
      <c r="N501" t="n">
        <v>0</v>
      </c>
      <c r="O501" t="n">
        <v>0</v>
      </c>
      <c r="P501" t="n">
        <v>0</v>
      </c>
      <c r="Q501" t="n">
        <v>0</v>
      </c>
      <c r="R501" s="2" t="inlineStr"/>
    </row>
    <row r="502" ht="15" customHeight="1">
      <c r="A502" t="inlineStr">
        <is>
          <t>A 50056-2022</t>
        </is>
      </c>
      <c r="B502" s="1" t="n">
        <v>44865</v>
      </c>
      <c r="C502" s="1" t="n">
        <v>45927</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34382-2025</t>
        </is>
      </c>
      <c r="B503" s="1" t="n">
        <v>45846</v>
      </c>
      <c r="C503" s="1" t="n">
        <v>45927</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39897-2022</t>
        </is>
      </c>
      <c r="B504" s="1" t="n">
        <v>44819.66083333334</v>
      </c>
      <c r="C504" s="1" t="n">
        <v>45927</v>
      </c>
      <c r="D504" t="inlineStr">
        <is>
          <t>DALARNAS LÄN</t>
        </is>
      </c>
      <c r="E504" t="inlineStr">
        <is>
          <t>MORA</t>
        </is>
      </c>
      <c r="G504" t="n">
        <v>15.8</v>
      </c>
      <c r="H504" t="n">
        <v>0</v>
      </c>
      <c r="I504" t="n">
        <v>0</v>
      </c>
      <c r="J504" t="n">
        <v>0</v>
      </c>
      <c r="K504" t="n">
        <v>0</v>
      </c>
      <c r="L504" t="n">
        <v>0</v>
      </c>
      <c r="M504" t="n">
        <v>0</v>
      </c>
      <c r="N504" t="n">
        <v>0</v>
      </c>
      <c r="O504" t="n">
        <v>0</v>
      </c>
      <c r="P504" t="n">
        <v>0</v>
      </c>
      <c r="Q504" t="n">
        <v>0</v>
      </c>
      <c r="R504" s="2" t="inlineStr"/>
    </row>
    <row r="505" ht="15" customHeight="1">
      <c r="A505" t="inlineStr">
        <is>
          <t>A 15499-2024</t>
        </is>
      </c>
      <c r="B505" s="1" t="n">
        <v>45401.53798611111</v>
      </c>
      <c r="C505" s="1" t="n">
        <v>45927</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68415-2021</t>
        </is>
      </c>
      <c r="B506" s="1" t="n">
        <v>44529</v>
      </c>
      <c r="C506" s="1" t="n">
        <v>45927</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62853-2023</t>
        </is>
      </c>
      <c r="B507" s="1" t="n">
        <v>45272</v>
      </c>
      <c r="C507" s="1" t="n">
        <v>45927</v>
      </c>
      <c r="D507" t="inlineStr">
        <is>
          <t>DALARNAS LÄN</t>
        </is>
      </c>
      <c r="E507" t="inlineStr">
        <is>
          <t>MORA</t>
        </is>
      </c>
      <c r="G507" t="n">
        <v>13.6</v>
      </c>
      <c r="H507" t="n">
        <v>0</v>
      </c>
      <c r="I507" t="n">
        <v>0</v>
      </c>
      <c r="J507" t="n">
        <v>0</v>
      </c>
      <c r="K507" t="n">
        <v>0</v>
      </c>
      <c r="L507" t="n">
        <v>0</v>
      </c>
      <c r="M507" t="n">
        <v>0</v>
      </c>
      <c r="N507" t="n">
        <v>0</v>
      </c>
      <c r="O507" t="n">
        <v>0</v>
      </c>
      <c r="P507" t="n">
        <v>0</v>
      </c>
      <c r="Q507" t="n">
        <v>0</v>
      </c>
      <c r="R507" s="2" t="inlineStr"/>
    </row>
    <row r="508" ht="15" customHeight="1">
      <c r="A508" t="inlineStr">
        <is>
          <t>A 39824-2025</t>
        </is>
      </c>
      <c r="B508" s="1" t="n">
        <v>45891</v>
      </c>
      <c r="C508" s="1" t="n">
        <v>45927</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15643-2025</t>
        </is>
      </c>
      <c r="B509" s="1" t="n">
        <v>45748.39222222222</v>
      </c>
      <c r="C509" s="1" t="n">
        <v>45927</v>
      </c>
      <c r="D509" t="inlineStr">
        <is>
          <t>DALARNAS LÄN</t>
        </is>
      </c>
      <c r="E509" t="inlineStr">
        <is>
          <t>MORA</t>
        </is>
      </c>
      <c r="G509" t="n">
        <v>7.6</v>
      </c>
      <c r="H509" t="n">
        <v>0</v>
      </c>
      <c r="I509" t="n">
        <v>0</v>
      </c>
      <c r="J509" t="n">
        <v>0</v>
      </c>
      <c r="K509" t="n">
        <v>0</v>
      </c>
      <c r="L509" t="n">
        <v>0</v>
      </c>
      <c r="M509" t="n">
        <v>0</v>
      </c>
      <c r="N509" t="n">
        <v>0</v>
      </c>
      <c r="O509" t="n">
        <v>0</v>
      </c>
      <c r="P509" t="n">
        <v>0</v>
      </c>
      <c r="Q509" t="n">
        <v>0</v>
      </c>
      <c r="R509" s="2" t="inlineStr"/>
    </row>
    <row r="510" ht="15" customHeight="1">
      <c r="A510" t="inlineStr">
        <is>
          <t>A 34933-2025</t>
        </is>
      </c>
      <c r="B510" s="1" t="n">
        <v>45849.57297453703</v>
      </c>
      <c r="C510" s="1" t="n">
        <v>45927</v>
      </c>
      <c r="D510" t="inlineStr">
        <is>
          <t>DALARNAS LÄN</t>
        </is>
      </c>
      <c r="E510" t="inlineStr">
        <is>
          <t>MORA</t>
        </is>
      </c>
      <c r="F510" t="inlineStr">
        <is>
          <t>Bergvik skog väst AB</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46755-2023</t>
        </is>
      </c>
      <c r="B511" s="1" t="n">
        <v>45198.61314814815</v>
      </c>
      <c r="C511" s="1" t="n">
        <v>45927</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11919-2024</t>
        </is>
      </c>
      <c r="B512" s="1" t="n">
        <v>45376.61019675926</v>
      </c>
      <c r="C512" s="1" t="n">
        <v>45927</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1897-2023</t>
        </is>
      </c>
      <c r="B513" s="1" t="n">
        <v>44937</v>
      </c>
      <c r="C513" s="1" t="n">
        <v>45927</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37385-2022</t>
        </is>
      </c>
      <c r="B514" s="1" t="n">
        <v>44806</v>
      </c>
      <c r="C514" s="1" t="n">
        <v>45927</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39787-2025</t>
        </is>
      </c>
      <c r="B515" s="1" t="n">
        <v>45891</v>
      </c>
      <c r="C515" s="1" t="n">
        <v>45927</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40140-2025</t>
        </is>
      </c>
      <c r="B516" s="1" t="n">
        <v>45894.57016203704</v>
      </c>
      <c r="C516" s="1" t="n">
        <v>45927</v>
      </c>
      <c r="D516" t="inlineStr">
        <is>
          <t>DALARNAS LÄN</t>
        </is>
      </c>
      <c r="E516" t="inlineStr">
        <is>
          <t>MORA</t>
        </is>
      </c>
      <c r="G516" t="n">
        <v>0.7</v>
      </c>
      <c r="H516" t="n">
        <v>0</v>
      </c>
      <c r="I516" t="n">
        <v>0</v>
      </c>
      <c r="J516" t="n">
        <v>0</v>
      </c>
      <c r="K516" t="n">
        <v>0</v>
      </c>
      <c r="L516" t="n">
        <v>0</v>
      </c>
      <c r="M516" t="n">
        <v>0</v>
      </c>
      <c r="N516" t="n">
        <v>0</v>
      </c>
      <c r="O516" t="n">
        <v>0</v>
      </c>
      <c r="P516" t="n">
        <v>0</v>
      </c>
      <c r="Q516" t="n">
        <v>0</v>
      </c>
      <c r="R516" s="2" t="inlineStr"/>
    </row>
    <row r="517" ht="15" customHeight="1">
      <c r="A517" t="inlineStr">
        <is>
          <t>A 40142-2025</t>
        </is>
      </c>
      <c r="B517" s="1" t="n">
        <v>45894.57202546296</v>
      </c>
      <c r="C517" s="1" t="n">
        <v>45927</v>
      </c>
      <c r="D517" t="inlineStr">
        <is>
          <t>DALARNAS LÄN</t>
        </is>
      </c>
      <c r="E517" t="inlineStr">
        <is>
          <t>MORA</t>
        </is>
      </c>
      <c r="G517" t="n">
        <v>0.4</v>
      </c>
      <c r="H517" t="n">
        <v>0</v>
      </c>
      <c r="I517" t="n">
        <v>0</v>
      </c>
      <c r="J517" t="n">
        <v>0</v>
      </c>
      <c r="K517" t="n">
        <v>0</v>
      </c>
      <c r="L517" t="n">
        <v>0</v>
      </c>
      <c r="M517" t="n">
        <v>0</v>
      </c>
      <c r="N517" t="n">
        <v>0</v>
      </c>
      <c r="O517" t="n">
        <v>0</v>
      </c>
      <c r="P517" t="n">
        <v>0</v>
      </c>
      <c r="Q517" t="n">
        <v>0</v>
      </c>
      <c r="R517" s="2" t="inlineStr"/>
    </row>
    <row r="518" ht="15" customHeight="1">
      <c r="A518" t="inlineStr">
        <is>
          <t>A 18122-2025</t>
        </is>
      </c>
      <c r="B518" s="1" t="n">
        <v>45761.59221064814</v>
      </c>
      <c r="C518" s="1" t="n">
        <v>45927</v>
      </c>
      <c r="D518" t="inlineStr">
        <is>
          <t>DALARNAS LÄN</t>
        </is>
      </c>
      <c r="E518" t="inlineStr">
        <is>
          <t>MORA</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42391-2023</t>
        </is>
      </c>
      <c r="B519" s="1" t="n">
        <v>45180</v>
      </c>
      <c r="C519" s="1" t="n">
        <v>45927</v>
      </c>
      <c r="D519" t="inlineStr">
        <is>
          <t>DALARNAS LÄN</t>
        </is>
      </c>
      <c r="E519" t="inlineStr">
        <is>
          <t>MORA</t>
        </is>
      </c>
      <c r="F519" t="inlineStr">
        <is>
          <t>Kommuner</t>
        </is>
      </c>
      <c r="G519" t="n">
        <v>0.3</v>
      </c>
      <c r="H519" t="n">
        <v>0</v>
      </c>
      <c r="I519" t="n">
        <v>0</v>
      </c>
      <c r="J519" t="n">
        <v>0</v>
      </c>
      <c r="K519" t="n">
        <v>0</v>
      </c>
      <c r="L519" t="n">
        <v>0</v>
      </c>
      <c r="M519" t="n">
        <v>0</v>
      </c>
      <c r="N519" t="n">
        <v>0</v>
      </c>
      <c r="O519" t="n">
        <v>0</v>
      </c>
      <c r="P519" t="n">
        <v>0</v>
      </c>
      <c r="Q519" t="n">
        <v>0</v>
      </c>
      <c r="R519" s="2" t="inlineStr"/>
    </row>
    <row r="520" ht="15" customHeight="1">
      <c r="A520" t="inlineStr">
        <is>
          <t>A 40471-2025</t>
        </is>
      </c>
      <c r="B520" s="1" t="n">
        <v>45895.67356481482</v>
      </c>
      <c r="C520" s="1" t="n">
        <v>45927</v>
      </c>
      <c r="D520" t="inlineStr">
        <is>
          <t>DALARNAS LÄN</t>
        </is>
      </c>
      <c r="E520" t="inlineStr">
        <is>
          <t>MORA</t>
        </is>
      </c>
      <c r="G520" t="n">
        <v>2.8</v>
      </c>
      <c r="H520" t="n">
        <v>0</v>
      </c>
      <c r="I520" t="n">
        <v>0</v>
      </c>
      <c r="J520" t="n">
        <v>0</v>
      </c>
      <c r="K520" t="n">
        <v>0</v>
      </c>
      <c r="L520" t="n">
        <v>0</v>
      </c>
      <c r="M520" t="n">
        <v>0</v>
      </c>
      <c r="N520" t="n">
        <v>0</v>
      </c>
      <c r="O520" t="n">
        <v>0</v>
      </c>
      <c r="P520" t="n">
        <v>0</v>
      </c>
      <c r="Q520" t="n">
        <v>0</v>
      </c>
      <c r="R520" s="2" t="inlineStr"/>
    </row>
    <row r="521" ht="15" customHeight="1">
      <c r="A521" t="inlineStr">
        <is>
          <t>A 40147-2025</t>
        </is>
      </c>
      <c r="B521" s="1" t="n">
        <v>45894.57918981482</v>
      </c>
      <c r="C521" s="1" t="n">
        <v>45927</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70141-2021</t>
        </is>
      </c>
      <c r="B522" s="1" t="n">
        <v>44533</v>
      </c>
      <c r="C522" s="1" t="n">
        <v>45927</v>
      </c>
      <c r="D522" t="inlineStr">
        <is>
          <t>DALARNAS LÄN</t>
        </is>
      </c>
      <c r="E522" t="inlineStr">
        <is>
          <t>MORA</t>
        </is>
      </c>
      <c r="G522" t="n">
        <v>4.1</v>
      </c>
      <c r="H522" t="n">
        <v>0</v>
      </c>
      <c r="I522" t="n">
        <v>0</v>
      </c>
      <c r="J522" t="n">
        <v>0</v>
      </c>
      <c r="K522" t="n">
        <v>0</v>
      </c>
      <c r="L522" t="n">
        <v>0</v>
      </c>
      <c r="M522" t="n">
        <v>0</v>
      </c>
      <c r="N522" t="n">
        <v>0</v>
      </c>
      <c r="O522" t="n">
        <v>0</v>
      </c>
      <c r="P522" t="n">
        <v>0</v>
      </c>
      <c r="Q522" t="n">
        <v>0</v>
      </c>
      <c r="R522" s="2" t="inlineStr"/>
    </row>
    <row r="523" ht="15" customHeight="1">
      <c r="A523" t="inlineStr">
        <is>
          <t>A 44817-2023</t>
        </is>
      </c>
      <c r="B523" s="1" t="n">
        <v>45190.51887731482</v>
      </c>
      <c r="C523" s="1" t="n">
        <v>45927</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35121-2025</t>
        </is>
      </c>
      <c r="B524" s="1" t="n">
        <v>45852.60936342592</v>
      </c>
      <c r="C524" s="1" t="n">
        <v>45927</v>
      </c>
      <c r="D524" t="inlineStr">
        <is>
          <t>DALARNAS LÄN</t>
        </is>
      </c>
      <c r="E524" t="inlineStr">
        <is>
          <t>MORA</t>
        </is>
      </c>
      <c r="F524" t="inlineStr">
        <is>
          <t>Bergvik skog öst AB</t>
        </is>
      </c>
      <c r="G524" t="n">
        <v>15.9</v>
      </c>
      <c r="H524" t="n">
        <v>0</v>
      </c>
      <c r="I524" t="n">
        <v>0</v>
      </c>
      <c r="J524" t="n">
        <v>0</v>
      </c>
      <c r="K524" t="n">
        <v>0</v>
      </c>
      <c r="L524" t="n">
        <v>0</v>
      </c>
      <c r="M524" t="n">
        <v>0</v>
      </c>
      <c r="N524" t="n">
        <v>0</v>
      </c>
      <c r="O524" t="n">
        <v>0</v>
      </c>
      <c r="P524" t="n">
        <v>0</v>
      </c>
      <c r="Q524" t="n">
        <v>0</v>
      </c>
      <c r="R524" s="2" t="inlineStr"/>
    </row>
    <row r="525" ht="15" customHeight="1">
      <c r="A525" t="inlineStr">
        <is>
          <t>A 64093-2023</t>
        </is>
      </c>
      <c r="B525" s="1" t="n">
        <v>45279</v>
      </c>
      <c r="C525" s="1" t="n">
        <v>45927</v>
      </c>
      <c r="D525" t="inlineStr">
        <is>
          <t>DALARNAS LÄN</t>
        </is>
      </c>
      <c r="E525" t="inlineStr">
        <is>
          <t>MORA</t>
        </is>
      </c>
      <c r="G525" t="n">
        <v>0.9</v>
      </c>
      <c r="H525" t="n">
        <v>0</v>
      </c>
      <c r="I525" t="n">
        <v>0</v>
      </c>
      <c r="J525" t="n">
        <v>0</v>
      </c>
      <c r="K525" t="n">
        <v>0</v>
      </c>
      <c r="L525" t="n">
        <v>0</v>
      </c>
      <c r="M525" t="n">
        <v>0</v>
      </c>
      <c r="N525" t="n">
        <v>0</v>
      </c>
      <c r="O525" t="n">
        <v>0</v>
      </c>
      <c r="P525" t="n">
        <v>0</v>
      </c>
      <c r="Q525" t="n">
        <v>0</v>
      </c>
      <c r="R525" s="2" t="inlineStr"/>
    </row>
    <row r="526" ht="15" customHeight="1">
      <c r="A526" t="inlineStr">
        <is>
          <t>A 40661-2025</t>
        </is>
      </c>
      <c r="B526" s="1" t="n">
        <v>45896.64715277778</v>
      </c>
      <c r="C526" s="1" t="n">
        <v>45927</v>
      </c>
      <c r="D526" t="inlineStr">
        <is>
          <t>DALARNAS LÄN</t>
        </is>
      </c>
      <c r="E526" t="inlineStr">
        <is>
          <t>MORA</t>
        </is>
      </c>
      <c r="G526" t="n">
        <v>2.8</v>
      </c>
      <c r="H526" t="n">
        <v>0</v>
      </c>
      <c r="I526" t="n">
        <v>0</v>
      </c>
      <c r="J526" t="n">
        <v>0</v>
      </c>
      <c r="K526" t="n">
        <v>0</v>
      </c>
      <c r="L526" t="n">
        <v>0</v>
      </c>
      <c r="M526" t="n">
        <v>0</v>
      </c>
      <c r="N526" t="n">
        <v>0</v>
      </c>
      <c r="O526" t="n">
        <v>0</v>
      </c>
      <c r="P526" t="n">
        <v>0</v>
      </c>
      <c r="Q526" t="n">
        <v>0</v>
      </c>
      <c r="R526" s="2" t="inlineStr"/>
    </row>
    <row r="527" ht="15" customHeight="1">
      <c r="A527" t="inlineStr">
        <is>
          <t>A 40660-2025</t>
        </is>
      </c>
      <c r="B527" s="1" t="n">
        <v>45896.64631944444</v>
      </c>
      <c r="C527" s="1" t="n">
        <v>45927</v>
      </c>
      <c r="D527" t="inlineStr">
        <is>
          <t>DALARNAS LÄN</t>
        </is>
      </c>
      <c r="E527" t="inlineStr">
        <is>
          <t>MORA</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40805-2025</t>
        </is>
      </c>
      <c r="B528" s="1" t="n">
        <v>45897.46659722222</v>
      </c>
      <c r="C528" s="1" t="n">
        <v>45927</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37471-2024</t>
        </is>
      </c>
      <c r="B529" s="1" t="n">
        <v>45540.85054398148</v>
      </c>
      <c r="C529" s="1" t="n">
        <v>45927</v>
      </c>
      <c r="D529" t="inlineStr">
        <is>
          <t>DALARNAS LÄN</t>
        </is>
      </c>
      <c r="E529" t="inlineStr">
        <is>
          <t>MORA</t>
        </is>
      </c>
      <c r="G529" t="n">
        <v>3.5</v>
      </c>
      <c r="H529" t="n">
        <v>0</v>
      </c>
      <c r="I529" t="n">
        <v>0</v>
      </c>
      <c r="J529" t="n">
        <v>0</v>
      </c>
      <c r="K529" t="n">
        <v>0</v>
      </c>
      <c r="L529" t="n">
        <v>0</v>
      </c>
      <c r="M529" t="n">
        <v>0</v>
      </c>
      <c r="N529" t="n">
        <v>0</v>
      </c>
      <c r="O529" t="n">
        <v>0</v>
      </c>
      <c r="P529" t="n">
        <v>0</v>
      </c>
      <c r="Q529" t="n">
        <v>0</v>
      </c>
      <c r="R529" s="2" t="inlineStr"/>
    </row>
    <row r="530" ht="15" customHeight="1">
      <c r="A530" t="inlineStr">
        <is>
          <t>A 14936-2025</t>
        </is>
      </c>
      <c r="B530" s="1" t="n">
        <v>45743.55756944444</v>
      </c>
      <c r="C530" s="1" t="n">
        <v>45927</v>
      </c>
      <c r="D530" t="inlineStr">
        <is>
          <t>DALARNAS LÄN</t>
        </is>
      </c>
      <c r="E530" t="inlineStr">
        <is>
          <t>MORA</t>
        </is>
      </c>
      <c r="G530" t="n">
        <v>2.4</v>
      </c>
      <c r="H530" t="n">
        <v>0</v>
      </c>
      <c r="I530" t="n">
        <v>0</v>
      </c>
      <c r="J530" t="n">
        <v>0</v>
      </c>
      <c r="K530" t="n">
        <v>0</v>
      </c>
      <c r="L530" t="n">
        <v>0</v>
      </c>
      <c r="M530" t="n">
        <v>0</v>
      </c>
      <c r="N530" t="n">
        <v>0</v>
      </c>
      <c r="O530" t="n">
        <v>0</v>
      </c>
      <c r="P530" t="n">
        <v>0</v>
      </c>
      <c r="Q530" t="n">
        <v>0</v>
      </c>
      <c r="R530" s="2" t="inlineStr"/>
    </row>
    <row r="531" ht="15" customHeight="1">
      <c r="A531" t="inlineStr">
        <is>
          <t>A 39511-2024</t>
        </is>
      </c>
      <c r="B531" s="1" t="n">
        <v>45551.68347222222</v>
      </c>
      <c r="C531" s="1" t="n">
        <v>45927</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57797-2022</t>
        </is>
      </c>
      <c r="B532" s="1" t="n">
        <v>44897</v>
      </c>
      <c r="C532" s="1" t="n">
        <v>45927</v>
      </c>
      <c r="D532" t="inlineStr">
        <is>
          <t>DALARNAS LÄN</t>
        </is>
      </c>
      <c r="E532" t="inlineStr">
        <is>
          <t>MORA</t>
        </is>
      </c>
      <c r="G532" t="n">
        <v>3.1</v>
      </c>
      <c r="H532" t="n">
        <v>0</v>
      </c>
      <c r="I532" t="n">
        <v>0</v>
      </c>
      <c r="J532" t="n">
        <v>0</v>
      </c>
      <c r="K532" t="n">
        <v>0</v>
      </c>
      <c r="L532" t="n">
        <v>0</v>
      </c>
      <c r="M532" t="n">
        <v>0</v>
      </c>
      <c r="N532" t="n">
        <v>0</v>
      </c>
      <c r="O532" t="n">
        <v>0</v>
      </c>
      <c r="P532" t="n">
        <v>0</v>
      </c>
      <c r="Q532" t="n">
        <v>0</v>
      </c>
      <c r="R532" s="2" t="inlineStr"/>
    </row>
    <row r="533" ht="15" customHeight="1">
      <c r="A533" t="inlineStr">
        <is>
          <t>A 27125-2024</t>
        </is>
      </c>
      <c r="B533" s="1" t="n">
        <v>45471</v>
      </c>
      <c r="C533" s="1" t="n">
        <v>45927</v>
      </c>
      <c r="D533" t="inlineStr">
        <is>
          <t>DALARNAS LÄN</t>
        </is>
      </c>
      <c r="E533" t="inlineStr">
        <is>
          <t>MORA</t>
        </is>
      </c>
      <c r="G533" t="n">
        <v>2.3</v>
      </c>
      <c r="H533" t="n">
        <v>0</v>
      </c>
      <c r="I533" t="n">
        <v>0</v>
      </c>
      <c r="J533" t="n">
        <v>0</v>
      </c>
      <c r="K533" t="n">
        <v>0</v>
      </c>
      <c r="L533" t="n">
        <v>0</v>
      </c>
      <c r="M533" t="n">
        <v>0</v>
      </c>
      <c r="N533" t="n">
        <v>0</v>
      </c>
      <c r="O533" t="n">
        <v>0</v>
      </c>
      <c r="P533" t="n">
        <v>0</v>
      </c>
      <c r="Q533" t="n">
        <v>0</v>
      </c>
      <c r="R533" s="2" t="inlineStr"/>
    </row>
    <row r="534" ht="15" customHeight="1">
      <c r="A534" t="inlineStr">
        <is>
          <t>A 35407-2025</t>
        </is>
      </c>
      <c r="B534" s="1" t="n">
        <v>45855.35989583333</v>
      </c>
      <c r="C534" s="1" t="n">
        <v>45927</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30822-2024</t>
        </is>
      </c>
      <c r="B535" s="1" t="n">
        <v>45497</v>
      </c>
      <c r="C535" s="1" t="n">
        <v>45927</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41410-2025</t>
        </is>
      </c>
      <c r="B536" s="1" t="n">
        <v>45901.35030092593</v>
      </c>
      <c r="C536" s="1" t="n">
        <v>45927</v>
      </c>
      <c r="D536" t="inlineStr">
        <is>
          <t>DALARNAS LÄN</t>
        </is>
      </c>
      <c r="E536" t="inlineStr">
        <is>
          <t>MORA</t>
        </is>
      </c>
      <c r="G536" t="n">
        <v>4.5</v>
      </c>
      <c r="H536" t="n">
        <v>0</v>
      </c>
      <c r="I536" t="n">
        <v>0</v>
      </c>
      <c r="J536" t="n">
        <v>0</v>
      </c>
      <c r="K536" t="n">
        <v>0</v>
      </c>
      <c r="L536" t="n">
        <v>0</v>
      </c>
      <c r="M536" t="n">
        <v>0</v>
      </c>
      <c r="N536" t="n">
        <v>0</v>
      </c>
      <c r="O536" t="n">
        <v>0</v>
      </c>
      <c r="P536" t="n">
        <v>0</v>
      </c>
      <c r="Q536" t="n">
        <v>0</v>
      </c>
      <c r="R536" s="2" t="inlineStr"/>
    </row>
    <row r="537" ht="15" customHeight="1">
      <c r="A537" t="inlineStr">
        <is>
          <t>A 9277-2024</t>
        </is>
      </c>
      <c r="B537" s="1" t="n">
        <v>45358.63265046296</v>
      </c>
      <c r="C537" s="1" t="n">
        <v>45927</v>
      </c>
      <c r="D537" t="inlineStr">
        <is>
          <t>DALARNAS LÄN</t>
        </is>
      </c>
      <c r="E537" t="inlineStr">
        <is>
          <t>MORA</t>
        </is>
      </c>
      <c r="G537" t="n">
        <v>1.7</v>
      </c>
      <c r="H537" t="n">
        <v>0</v>
      </c>
      <c r="I537" t="n">
        <v>0</v>
      </c>
      <c r="J537" t="n">
        <v>0</v>
      </c>
      <c r="K537" t="n">
        <v>0</v>
      </c>
      <c r="L537" t="n">
        <v>0</v>
      </c>
      <c r="M537" t="n">
        <v>0</v>
      </c>
      <c r="N537" t="n">
        <v>0</v>
      </c>
      <c r="O537" t="n">
        <v>0</v>
      </c>
      <c r="P537" t="n">
        <v>0</v>
      </c>
      <c r="Q537" t="n">
        <v>0</v>
      </c>
      <c r="R537" s="2" t="inlineStr"/>
    </row>
    <row r="538" ht="15" customHeight="1">
      <c r="A538" t="inlineStr">
        <is>
          <t>A 53344-2023</t>
        </is>
      </c>
      <c r="B538" s="1" t="n">
        <v>45229</v>
      </c>
      <c r="C538" s="1" t="n">
        <v>45927</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6371-2022</t>
        </is>
      </c>
      <c r="B539" s="1" t="n">
        <v>44600</v>
      </c>
      <c r="C539" s="1" t="n">
        <v>45927</v>
      </c>
      <c r="D539" t="inlineStr">
        <is>
          <t>DALARNAS LÄN</t>
        </is>
      </c>
      <c r="E539" t="inlineStr">
        <is>
          <t>MORA</t>
        </is>
      </c>
      <c r="G539" t="n">
        <v>4.6</v>
      </c>
      <c r="H539" t="n">
        <v>0</v>
      </c>
      <c r="I539" t="n">
        <v>0</v>
      </c>
      <c r="J539" t="n">
        <v>0</v>
      </c>
      <c r="K539" t="n">
        <v>0</v>
      </c>
      <c r="L539" t="n">
        <v>0</v>
      </c>
      <c r="M539" t="n">
        <v>0</v>
      </c>
      <c r="N539" t="n">
        <v>0</v>
      </c>
      <c r="O539" t="n">
        <v>0</v>
      </c>
      <c r="P539" t="n">
        <v>0</v>
      </c>
      <c r="Q539" t="n">
        <v>0</v>
      </c>
      <c r="R539" s="2" t="inlineStr"/>
    </row>
    <row r="540" ht="15" customHeight="1">
      <c r="A540" t="inlineStr">
        <is>
          <t>A 48522-2024</t>
        </is>
      </c>
      <c r="B540" s="1" t="n">
        <v>45593.32924768519</v>
      </c>
      <c r="C540" s="1" t="n">
        <v>45927</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61350-2024</t>
        </is>
      </c>
      <c r="B541" s="1" t="n">
        <v>45646.37872685185</v>
      </c>
      <c r="C541" s="1" t="n">
        <v>45927</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41614-2025</t>
        </is>
      </c>
      <c r="B542" s="1" t="n">
        <v>45901.68267361111</v>
      </c>
      <c r="C542" s="1" t="n">
        <v>45927</v>
      </c>
      <c r="D542" t="inlineStr">
        <is>
          <t>DALARNAS LÄN</t>
        </is>
      </c>
      <c r="E542" t="inlineStr">
        <is>
          <t>MORA</t>
        </is>
      </c>
      <c r="F542" t="inlineStr">
        <is>
          <t>Bergvik skog väst AB</t>
        </is>
      </c>
      <c r="G542" t="n">
        <v>13.8</v>
      </c>
      <c r="H542" t="n">
        <v>0</v>
      </c>
      <c r="I542" t="n">
        <v>0</v>
      </c>
      <c r="J542" t="n">
        <v>0</v>
      </c>
      <c r="K542" t="n">
        <v>0</v>
      </c>
      <c r="L542" t="n">
        <v>0</v>
      </c>
      <c r="M542" t="n">
        <v>0</v>
      </c>
      <c r="N542" t="n">
        <v>0</v>
      </c>
      <c r="O542" t="n">
        <v>0</v>
      </c>
      <c r="P542" t="n">
        <v>0</v>
      </c>
      <c r="Q542" t="n">
        <v>0</v>
      </c>
      <c r="R542" s="2" t="inlineStr"/>
    </row>
    <row r="543" ht="15" customHeight="1">
      <c r="A543" t="inlineStr">
        <is>
          <t>A 53754-2024</t>
        </is>
      </c>
      <c r="B543" s="1" t="n">
        <v>45615.49371527778</v>
      </c>
      <c r="C543" s="1" t="n">
        <v>45927</v>
      </c>
      <c r="D543" t="inlineStr">
        <is>
          <t>DALARNAS LÄN</t>
        </is>
      </c>
      <c r="E543" t="inlineStr">
        <is>
          <t>MORA</t>
        </is>
      </c>
      <c r="G543" t="n">
        <v>4.8</v>
      </c>
      <c r="H543" t="n">
        <v>0</v>
      </c>
      <c r="I543" t="n">
        <v>0</v>
      </c>
      <c r="J543" t="n">
        <v>0</v>
      </c>
      <c r="K543" t="n">
        <v>0</v>
      </c>
      <c r="L543" t="n">
        <v>0</v>
      </c>
      <c r="M543" t="n">
        <v>0</v>
      </c>
      <c r="N543" t="n">
        <v>0</v>
      </c>
      <c r="O543" t="n">
        <v>0</v>
      </c>
      <c r="P543" t="n">
        <v>0</v>
      </c>
      <c r="Q543" t="n">
        <v>0</v>
      </c>
      <c r="R543" s="2" t="inlineStr"/>
    </row>
    <row r="544" ht="15" customHeight="1">
      <c r="A544" t="inlineStr">
        <is>
          <t>A 41175-2025</t>
        </is>
      </c>
      <c r="B544" s="1" t="n">
        <v>45898.55165509259</v>
      </c>
      <c r="C544" s="1" t="n">
        <v>45927</v>
      </c>
      <c r="D544" t="inlineStr">
        <is>
          <t>DALARNAS LÄN</t>
        </is>
      </c>
      <c r="E544" t="inlineStr">
        <is>
          <t>MORA</t>
        </is>
      </c>
      <c r="G544" t="n">
        <v>4.5</v>
      </c>
      <c r="H544" t="n">
        <v>0</v>
      </c>
      <c r="I544" t="n">
        <v>0</v>
      </c>
      <c r="J544" t="n">
        <v>0</v>
      </c>
      <c r="K544" t="n">
        <v>0</v>
      </c>
      <c r="L544" t="n">
        <v>0</v>
      </c>
      <c r="M544" t="n">
        <v>0</v>
      </c>
      <c r="N544" t="n">
        <v>0</v>
      </c>
      <c r="O544" t="n">
        <v>0</v>
      </c>
      <c r="P544" t="n">
        <v>0</v>
      </c>
      <c r="Q544" t="n">
        <v>0</v>
      </c>
      <c r="R544" s="2" t="inlineStr"/>
    </row>
    <row r="545" ht="15" customHeight="1">
      <c r="A545" t="inlineStr">
        <is>
          <t>A 35611-2025</t>
        </is>
      </c>
      <c r="B545" s="1" t="n">
        <v>45859.35384259259</v>
      </c>
      <c r="C545" s="1" t="n">
        <v>45927</v>
      </c>
      <c r="D545" t="inlineStr">
        <is>
          <t>DALARNAS LÄN</t>
        </is>
      </c>
      <c r="E545" t="inlineStr">
        <is>
          <t>MORA</t>
        </is>
      </c>
      <c r="G545" t="n">
        <v>2.5</v>
      </c>
      <c r="H545" t="n">
        <v>0</v>
      </c>
      <c r="I545" t="n">
        <v>0</v>
      </c>
      <c r="J545" t="n">
        <v>0</v>
      </c>
      <c r="K545" t="n">
        <v>0</v>
      </c>
      <c r="L545" t="n">
        <v>0</v>
      </c>
      <c r="M545" t="n">
        <v>0</v>
      </c>
      <c r="N545" t="n">
        <v>0</v>
      </c>
      <c r="O545" t="n">
        <v>0</v>
      </c>
      <c r="P545" t="n">
        <v>0</v>
      </c>
      <c r="Q545" t="n">
        <v>0</v>
      </c>
      <c r="R545" s="2" t="inlineStr"/>
    </row>
    <row r="546" ht="15" customHeight="1">
      <c r="A546" t="inlineStr">
        <is>
          <t>A 14040-2023</t>
        </is>
      </c>
      <c r="B546" s="1" t="n">
        <v>45008.64575231481</v>
      </c>
      <c r="C546" s="1" t="n">
        <v>45927</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41200-2025</t>
        </is>
      </c>
      <c r="B547" s="1" t="n">
        <v>45898.5738425926</v>
      </c>
      <c r="C547" s="1" t="n">
        <v>45927</v>
      </c>
      <c r="D547" t="inlineStr">
        <is>
          <t>DALARNAS LÄN</t>
        </is>
      </c>
      <c r="E547" t="inlineStr">
        <is>
          <t>MORA</t>
        </is>
      </c>
      <c r="G547" t="n">
        <v>8.9</v>
      </c>
      <c r="H547" t="n">
        <v>0</v>
      </c>
      <c r="I547" t="n">
        <v>0</v>
      </c>
      <c r="J547" t="n">
        <v>0</v>
      </c>
      <c r="K547" t="n">
        <v>0</v>
      </c>
      <c r="L547" t="n">
        <v>0</v>
      </c>
      <c r="M547" t="n">
        <v>0</v>
      </c>
      <c r="N547" t="n">
        <v>0</v>
      </c>
      <c r="O547" t="n">
        <v>0</v>
      </c>
      <c r="P547" t="n">
        <v>0</v>
      </c>
      <c r="Q547" t="n">
        <v>0</v>
      </c>
      <c r="R547" s="2" t="inlineStr"/>
    </row>
    <row r="548" ht="15" customHeight="1">
      <c r="A548" t="inlineStr">
        <is>
          <t>A 20126-2025</t>
        </is>
      </c>
      <c r="B548" s="1" t="n">
        <v>45772.49640046297</v>
      </c>
      <c r="C548" s="1" t="n">
        <v>45927</v>
      </c>
      <c r="D548" t="inlineStr">
        <is>
          <t>DALARNAS LÄN</t>
        </is>
      </c>
      <c r="E548" t="inlineStr">
        <is>
          <t>MORA</t>
        </is>
      </c>
      <c r="G548" t="n">
        <v>12.1</v>
      </c>
      <c r="H548" t="n">
        <v>0</v>
      </c>
      <c r="I548" t="n">
        <v>0</v>
      </c>
      <c r="J548" t="n">
        <v>0</v>
      </c>
      <c r="K548" t="n">
        <v>0</v>
      </c>
      <c r="L548" t="n">
        <v>0</v>
      </c>
      <c r="M548" t="n">
        <v>0</v>
      </c>
      <c r="N548" t="n">
        <v>0</v>
      </c>
      <c r="O548" t="n">
        <v>0</v>
      </c>
      <c r="P548" t="n">
        <v>0</v>
      </c>
      <c r="Q548" t="n">
        <v>0</v>
      </c>
      <c r="R548" s="2" t="inlineStr"/>
    </row>
    <row r="549" ht="15" customHeight="1">
      <c r="A549" t="inlineStr">
        <is>
          <t>A 41783-2025</t>
        </is>
      </c>
      <c r="B549" s="1" t="n">
        <v>45902.58721064815</v>
      </c>
      <c r="C549" s="1" t="n">
        <v>45927</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56770-2024</t>
        </is>
      </c>
      <c r="B550" s="1" t="n">
        <v>45628.41587962963</v>
      </c>
      <c r="C550" s="1" t="n">
        <v>45927</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27420-2024</t>
        </is>
      </c>
      <c r="B551" s="1" t="n">
        <v>45474.37850694444</v>
      </c>
      <c r="C551" s="1" t="n">
        <v>45927</v>
      </c>
      <c r="D551" t="inlineStr">
        <is>
          <t>DALARNAS LÄN</t>
        </is>
      </c>
      <c r="E551" t="inlineStr">
        <is>
          <t>MORA</t>
        </is>
      </c>
      <c r="G551" t="n">
        <v>7.3</v>
      </c>
      <c r="H551" t="n">
        <v>0</v>
      </c>
      <c r="I551" t="n">
        <v>0</v>
      </c>
      <c r="J551" t="n">
        <v>0</v>
      </c>
      <c r="K551" t="n">
        <v>0</v>
      </c>
      <c r="L551" t="n">
        <v>0</v>
      </c>
      <c r="M551" t="n">
        <v>0</v>
      </c>
      <c r="N551" t="n">
        <v>0</v>
      </c>
      <c r="O551" t="n">
        <v>0</v>
      </c>
      <c r="P551" t="n">
        <v>0</v>
      </c>
      <c r="Q551" t="n">
        <v>0</v>
      </c>
      <c r="R551" s="2" t="inlineStr"/>
    </row>
    <row r="552" ht="15" customHeight="1">
      <c r="A552" t="inlineStr">
        <is>
          <t>A 35734-2025</t>
        </is>
      </c>
      <c r="B552" s="1" t="n">
        <v>45860.471875</v>
      </c>
      <c r="C552" s="1" t="n">
        <v>45927</v>
      </c>
      <c r="D552" t="inlineStr">
        <is>
          <t>DALARNAS LÄN</t>
        </is>
      </c>
      <c r="E552" t="inlineStr">
        <is>
          <t>MORA</t>
        </is>
      </c>
      <c r="G552" t="n">
        <v>1.3</v>
      </c>
      <c r="H552" t="n">
        <v>0</v>
      </c>
      <c r="I552" t="n">
        <v>0</v>
      </c>
      <c r="J552" t="n">
        <v>0</v>
      </c>
      <c r="K552" t="n">
        <v>0</v>
      </c>
      <c r="L552" t="n">
        <v>0</v>
      </c>
      <c r="M552" t="n">
        <v>0</v>
      </c>
      <c r="N552" t="n">
        <v>0</v>
      </c>
      <c r="O552" t="n">
        <v>0</v>
      </c>
      <c r="P552" t="n">
        <v>0</v>
      </c>
      <c r="Q552" t="n">
        <v>0</v>
      </c>
      <c r="R552" s="2" t="inlineStr"/>
    </row>
    <row r="553" ht="15" customHeight="1">
      <c r="A553" t="inlineStr">
        <is>
          <t>A 18120-2025</t>
        </is>
      </c>
      <c r="B553" s="1" t="n">
        <v>45761</v>
      </c>
      <c r="C553" s="1" t="n">
        <v>45927</v>
      </c>
      <c r="D553" t="inlineStr">
        <is>
          <t>DALARNAS LÄN</t>
        </is>
      </c>
      <c r="E553" t="inlineStr">
        <is>
          <t>MORA</t>
        </is>
      </c>
      <c r="F553" t="inlineStr">
        <is>
          <t>Bergvik skog väst AB</t>
        </is>
      </c>
      <c r="G553" t="n">
        <v>6.4</v>
      </c>
      <c r="H553" t="n">
        <v>0</v>
      </c>
      <c r="I553" t="n">
        <v>0</v>
      </c>
      <c r="J553" t="n">
        <v>0</v>
      </c>
      <c r="K553" t="n">
        <v>0</v>
      </c>
      <c r="L553" t="n">
        <v>0</v>
      </c>
      <c r="M553" t="n">
        <v>0</v>
      </c>
      <c r="N553" t="n">
        <v>0</v>
      </c>
      <c r="O553" t="n">
        <v>0</v>
      </c>
      <c r="P553" t="n">
        <v>0</v>
      </c>
      <c r="Q553" t="n">
        <v>0</v>
      </c>
      <c r="R553" s="2" t="inlineStr"/>
    </row>
    <row r="554" ht="15" customHeight="1">
      <c r="A554" t="inlineStr">
        <is>
          <t>A 18127-2025</t>
        </is>
      </c>
      <c r="B554" s="1" t="n">
        <v>45761.59523148148</v>
      </c>
      <c r="C554" s="1" t="n">
        <v>45927</v>
      </c>
      <c r="D554" t="inlineStr">
        <is>
          <t>DALARNAS LÄN</t>
        </is>
      </c>
      <c r="E554" t="inlineStr">
        <is>
          <t>MORA</t>
        </is>
      </c>
      <c r="F554" t="inlineStr">
        <is>
          <t>Bergvik skog öst AB</t>
        </is>
      </c>
      <c r="G554" t="n">
        <v>0.6</v>
      </c>
      <c r="H554" t="n">
        <v>0</v>
      </c>
      <c r="I554" t="n">
        <v>0</v>
      </c>
      <c r="J554" t="n">
        <v>0</v>
      </c>
      <c r="K554" t="n">
        <v>0</v>
      </c>
      <c r="L554" t="n">
        <v>0</v>
      </c>
      <c r="M554" t="n">
        <v>0</v>
      </c>
      <c r="N554" t="n">
        <v>0</v>
      </c>
      <c r="O554" t="n">
        <v>0</v>
      </c>
      <c r="P554" t="n">
        <v>0</v>
      </c>
      <c r="Q554" t="n">
        <v>0</v>
      </c>
      <c r="R554" s="2" t="inlineStr"/>
    </row>
    <row r="555" ht="15" customHeight="1">
      <c r="A555" t="inlineStr">
        <is>
          <t>A 35623-2025</t>
        </is>
      </c>
      <c r="B555" s="1" t="n">
        <v>45859</v>
      </c>
      <c r="C555" s="1" t="n">
        <v>45927</v>
      </c>
      <c r="D555" t="inlineStr">
        <is>
          <t>DALARNAS LÄN</t>
        </is>
      </c>
      <c r="E555" t="inlineStr">
        <is>
          <t>MORA</t>
        </is>
      </c>
      <c r="F555" t="inlineStr">
        <is>
          <t>Bergvik skog öst AB</t>
        </is>
      </c>
      <c r="G555" t="n">
        <v>1</v>
      </c>
      <c r="H555" t="n">
        <v>0</v>
      </c>
      <c r="I555" t="n">
        <v>0</v>
      </c>
      <c r="J555" t="n">
        <v>0</v>
      </c>
      <c r="K555" t="n">
        <v>0</v>
      </c>
      <c r="L555" t="n">
        <v>0</v>
      </c>
      <c r="M555" t="n">
        <v>0</v>
      </c>
      <c r="N555" t="n">
        <v>0</v>
      </c>
      <c r="O555" t="n">
        <v>0</v>
      </c>
      <c r="P555" t="n">
        <v>0</v>
      </c>
      <c r="Q555" t="n">
        <v>0</v>
      </c>
      <c r="R555" s="2" t="inlineStr"/>
    </row>
    <row r="556" ht="15" customHeight="1">
      <c r="A556" t="inlineStr">
        <is>
          <t>A 39344-2024</t>
        </is>
      </c>
      <c r="B556" s="1" t="n">
        <v>45551.44503472222</v>
      </c>
      <c r="C556" s="1" t="n">
        <v>45927</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4489-2022</t>
        </is>
      </c>
      <c r="B557" s="1" t="n">
        <v>44589</v>
      </c>
      <c r="C557" s="1" t="n">
        <v>45927</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24590-2024</t>
        </is>
      </c>
      <c r="B558" s="1" t="n">
        <v>45460</v>
      </c>
      <c r="C558" s="1" t="n">
        <v>45927</v>
      </c>
      <c r="D558" t="inlineStr">
        <is>
          <t>DALARNAS LÄN</t>
        </is>
      </c>
      <c r="E558" t="inlineStr">
        <is>
          <t>MORA</t>
        </is>
      </c>
      <c r="G558" t="n">
        <v>0.6</v>
      </c>
      <c r="H558" t="n">
        <v>0</v>
      </c>
      <c r="I558" t="n">
        <v>0</v>
      </c>
      <c r="J558" t="n">
        <v>0</v>
      </c>
      <c r="K558" t="n">
        <v>0</v>
      </c>
      <c r="L558" t="n">
        <v>0</v>
      </c>
      <c r="M558" t="n">
        <v>0</v>
      </c>
      <c r="N558" t="n">
        <v>0</v>
      </c>
      <c r="O558" t="n">
        <v>0</v>
      </c>
      <c r="P558" t="n">
        <v>0</v>
      </c>
      <c r="Q558" t="n">
        <v>0</v>
      </c>
      <c r="R558" s="2" t="inlineStr"/>
    </row>
    <row r="559" ht="15" customHeight="1">
      <c r="A559" t="inlineStr">
        <is>
          <t>A 35622-2025</t>
        </is>
      </c>
      <c r="B559" s="1" t="n">
        <v>45859</v>
      </c>
      <c r="C559" s="1" t="n">
        <v>45927</v>
      </c>
      <c r="D559" t="inlineStr">
        <is>
          <t>DALARNAS LÄN</t>
        </is>
      </c>
      <c r="E559" t="inlineStr">
        <is>
          <t>MORA</t>
        </is>
      </c>
      <c r="F559" t="inlineStr">
        <is>
          <t>Bergvik skog öst AB</t>
        </is>
      </c>
      <c r="G559" t="n">
        <v>5.8</v>
      </c>
      <c r="H559" t="n">
        <v>0</v>
      </c>
      <c r="I559" t="n">
        <v>0</v>
      </c>
      <c r="J559" t="n">
        <v>0</v>
      </c>
      <c r="K559" t="n">
        <v>0</v>
      </c>
      <c r="L559" t="n">
        <v>0</v>
      </c>
      <c r="M559" t="n">
        <v>0</v>
      </c>
      <c r="N559" t="n">
        <v>0</v>
      </c>
      <c r="O559" t="n">
        <v>0</v>
      </c>
      <c r="P559" t="n">
        <v>0</v>
      </c>
      <c r="Q559" t="n">
        <v>0</v>
      </c>
      <c r="R559" s="2" t="inlineStr"/>
    </row>
    <row r="560" ht="15" customHeight="1">
      <c r="A560" t="inlineStr">
        <is>
          <t>A 45574-2023</t>
        </is>
      </c>
      <c r="B560" s="1" t="n">
        <v>45194</v>
      </c>
      <c r="C560" s="1" t="n">
        <v>45927</v>
      </c>
      <c r="D560" t="inlineStr">
        <is>
          <t>DALARNAS LÄN</t>
        </is>
      </c>
      <c r="E560" t="inlineStr">
        <is>
          <t>MORA</t>
        </is>
      </c>
      <c r="G560" t="n">
        <v>6.3</v>
      </c>
      <c r="H560" t="n">
        <v>0</v>
      </c>
      <c r="I560" t="n">
        <v>0</v>
      </c>
      <c r="J560" t="n">
        <v>0</v>
      </c>
      <c r="K560" t="n">
        <v>0</v>
      </c>
      <c r="L560" t="n">
        <v>0</v>
      </c>
      <c r="M560" t="n">
        <v>0</v>
      </c>
      <c r="N560" t="n">
        <v>0</v>
      </c>
      <c r="O560" t="n">
        <v>0</v>
      </c>
      <c r="P560" t="n">
        <v>0</v>
      </c>
      <c r="Q560" t="n">
        <v>0</v>
      </c>
      <c r="R560" s="2" t="inlineStr"/>
    </row>
    <row r="561" ht="15" customHeight="1">
      <c r="A561" t="inlineStr">
        <is>
          <t>A 41794-2025</t>
        </is>
      </c>
      <c r="B561" s="1" t="n">
        <v>45902.60008101852</v>
      </c>
      <c r="C561" s="1" t="n">
        <v>45927</v>
      </c>
      <c r="D561" t="inlineStr">
        <is>
          <t>DALARNAS LÄN</t>
        </is>
      </c>
      <c r="E561" t="inlineStr">
        <is>
          <t>MORA</t>
        </is>
      </c>
      <c r="G561" t="n">
        <v>14.4</v>
      </c>
      <c r="H561" t="n">
        <v>0</v>
      </c>
      <c r="I561" t="n">
        <v>0</v>
      </c>
      <c r="J561" t="n">
        <v>0</v>
      </c>
      <c r="K561" t="n">
        <v>0</v>
      </c>
      <c r="L561" t="n">
        <v>0</v>
      </c>
      <c r="M561" t="n">
        <v>0</v>
      </c>
      <c r="N561" t="n">
        <v>0</v>
      </c>
      <c r="O561" t="n">
        <v>0</v>
      </c>
      <c r="P561" t="n">
        <v>0</v>
      </c>
      <c r="Q561" t="n">
        <v>0</v>
      </c>
      <c r="R561" s="2" t="inlineStr"/>
    </row>
    <row r="562" ht="15" customHeight="1">
      <c r="A562" t="inlineStr">
        <is>
          <t>A 45315-2024</t>
        </is>
      </c>
      <c r="B562" s="1" t="n">
        <v>45576.43782407408</v>
      </c>
      <c r="C562" s="1" t="n">
        <v>45927</v>
      </c>
      <c r="D562" t="inlineStr">
        <is>
          <t>DALARNAS LÄN</t>
        </is>
      </c>
      <c r="E562" t="inlineStr">
        <is>
          <t>MORA</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41855-2025</t>
        </is>
      </c>
      <c r="B563" s="1" t="n">
        <v>45902.93693287037</v>
      </c>
      <c r="C563" s="1" t="n">
        <v>45927</v>
      </c>
      <c r="D563" t="inlineStr">
        <is>
          <t>DALARNAS LÄN</t>
        </is>
      </c>
      <c r="E563" t="inlineStr">
        <is>
          <t>MORA</t>
        </is>
      </c>
      <c r="G563" t="n">
        <v>0.5</v>
      </c>
      <c r="H563" t="n">
        <v>0</v>
      </c>
      <c r="I563" t="n">
        <v>0</v>
      </c>
      <c r="J563" t="n">
        <v>0</v>
      </c>
      <c r="K563" t="n">
        <v>0</v>
      </c>
      <c r="L563" t="n">
        <v>0</v>
      </c>
      <c r="M563" t="n">
        <v>0</v>
      </c>
      <c r="N563" t="n">
        <v>0</v>
      </c>
      <c r="O563" t="n">
        <v>0</v>
      </c>
      <c r="P563" t="n">
        <v>0</v>
      </c>
      <c r="Q563" t="n">
        <v>0</v>
      </c>
      <c r="R563" s="2" t="inlineStr"/>
    </row>
    <row r="564" ht="15" customHeight="1">
      <c r="A564" t="inlineStr">
        <is>
          <t>A 35624-2025</t>
        </is>
      </c>
      <c r="B564" s="1" t="n">
        <v>45859</v>
      </c>
      <c r="C564" s="1" t="n">
        <v>45927</v>
      </c>
      <c r="D564" t="inlineStr">
        <is>
          <t>DALARNAS LÄN</t>
        </is>
      </c>
      <c r="E564" t="inlineStr">
        <is>
          <t>MORA</t>
        </is>
      </c>
      <c r="F564" t="inlineStr">
        <is>
          <t>Bergvik skog öst AB</t>
        </is>
      </c>
      <c r="G564" t="n">
        <v>0.8</v>
      </c>
      <c r="H564" t="n">
        <v>0</v>
      </c>
      <c r="I564" t="n">
        <v>0</v>
      </c>
      <c r="J564" t="n">
        <v>0</v>
      </c>
      <c r="K564" t="n">
        <v>0</v>
      </c>
      <c r="L564" t="n">
        <v>0</v>
      </c>
      <c r="M564" t="n">
        <v>0</v>
      </c>
      <c r="N564" t="n">
        <v>0</v>
      </c>
      <c r="O564" t="n">
        <v>0</v>
      </c>
      <c r="P564" t="n">
        <v>0</v>
      </c>
      <c r="Q564" t="n">
        <v>0</v>
      </c>
      <c r="R564" s="2" t="inlineStr"/>
    </row>
    <row r="565" ht="15" customHeight="1">
      <c r="A565" t="inlineStr">
        <is>
          <t>A 24169-2022</t>
        </is>
      </c>
      <c r="B565" s="1" t="n">
        <v>44725.50280092593</v>
      </c>
      <c r="C565" s="1" t="n">
        <v>45927</v>
      </c>
      <c r="D565" t="inlineStr">
        <is>
          <t>DALARNAS LÄN</t>
        </is>
      </c>
      <c r="E565" t="inlineStr">
        <is>
          <t>MORA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17172-2025</t>
        </is>
      </c>
      <c r="B566" s="1" t="n">
        <v>45756.37201388889</v>
      </c>
      <c r="C566" s="1" t="n">
        <v>45927</v>
      </c>
      <c r="D566" t="inlineStr">
        <is>
          <t>DALARNAS LÄN</t>
        </is>
      </c>
      <c r="E566" t="inlineStr">
        <is>
          <t>MORA</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43641-2022</t>
        </is>
      </c>
      <c r="B567" s="1" t="n">
        <v>44837</v>
      </c>
      <c r="C567" s="1" t="n">
        <v>45927</v>
      </c>
      <c r="D567" t="inlineStr">
        <is>
          <t>DALARNAS LÄN</t>
        </is>
      </c>
      <c r="E567" t="inlineStr">
        <is>
          <t>MORA</t>
        </is>
      </c>
      <c r="G567" t="n">
        <v>1.8</v>
      </c>
      <c r="H567" t="n">
        <v>0</v>
      </c>
      <c r="I567" t="n">
        <v>0</v>
      </c>
      <c r="J567" t="n">
        <v>0</v>
      </c>
      <c r="K567" t="n">
        <v>0</v>
      </c>
      <c r="L567" t="n">
        <v>0</v>
      </c>
      <c r="M567" t="n">
        <v>0</v>
      </c>
      <c r="N567" t="n">
        <v>0</v>
      </c>
      <c r="O567" t="n">
        <v>0</v>
      </c>
      <c r="P567" t="n">
        <v>0</v>
      </c>
      <c r="Q567" t="n">
        <v>0</v>
      </c>
      <c r="R567" s="2" t="inlineStr"/>
    </row>
    <row r="568" ht="15" customHeight="1">
      <c r="A568" t="inlineStr">
        <is>
          <t>A 53750-2024</t>
        </is>
      </c>
      <c r="B568" s="1" t="n">
        <v>45615.48465277778</v>
      </c>
      <c r="C568" s="1" t="n">
        <v>45927</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42112-2025</t>
        </is>
      </c>
      <c r="B569" s="1" t="n">
        <v>45904.32134259259</v>
      </c>
      <c r="C569" s="1" t="n">
        <v>45927</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39009-2023</t>
        </is>
      </c>
      <c r="B570" s="1" t="n">
        <v>45162</v>
      </c>
      <c r="C570" s="1" t="n">
        <v>45927</v>
      </c>
      <c r="D570" t="inlineStr">
        <is>
          <t>DALARNAS LÄN</t>
        </is>
      </c>
      <c r="E570" t="inlineStr">
        <is>
          <t>MORA</t>
        </is>
      </c>
      <c r="G570" t="n">
        <v>1.9</v>
      </c>
      <c r="H570" t="n">
        <v>0</v>
      </c>
      <c r="I570" t="n">
        <v>0</v>
      </c>
      <c r="J570" t="n">
        <v>0</v>
      </c>
      <c r="K570" t="n">
        <v>0</v>
      </c>
      <c r="L570" t="n">
        <v>0</v>
      </c>
      <c r="M570" t="n">
        <v>0</v>
      </c>
      <c r="N570" t="n">
        <v>0</v>
      </c>
      <c r="O570" t="n">
        <v>0</v>
      </c>
      <c r="P570" t="n">
        <v>0</v>
      </c>
      <c r="Q570" t="n">
        <v>0</v>
      </c>
      <c r="R570" s="2" t="inlineStr"/>
    </row>
    <row r="571" ht="15" customHeight="1">
      <c r="A571" t="inlineStr">
        <is>
          <t>A 56532-2024</t>
        </is>
      </c>
      <c r="B571" s="1" t="n">
        <v>45625.55440972222</v>
      </c>
      <c r="C571" s="1" t="n">
        <v>45927</v>
      </c>
      <c r="D571" t="inlineStr">
        <is>
          <t>DALARNAS LÄN</t>
        </is>
      </c>
      <c r="E571" t="inlineStr">
        <is>
          <t>MORA</t>
        </is>
      </c>
      <c r="G571" t="n">
        <v>6.9</v>
      </c>
      <c r="H571" t="n">
        <v>0</v>
      </c>
      <c r="I571" t="n">
        <v>0</v>
      </c>
      <c r="J571" t="n">
        <v>0</v>
      </c>
      <c r="K571" t="n">
        <v>0</v>
      </c>
      <c r="L571" t="n">
        <v>0</v>
      </c>
      <c r="M571" t="n">
        <v>0</v>
      </c>
      <c r="N571" t="n">
        <v>0</v>
      </c>
      <c r="O571" t="n">
        <v>0</v>
      </c>
      <c r="P571" t="n">
        <v>0</v>
      </c>
      <c r="Q571" t="n">
        <v>0</v>
      </c>
      <c r="R571" s="2" t="inlineStr"/>
    </row>
    <row r="572" ht="15" customHeight="1">
      <c r="A572" t="inlineStr">
        <is>
          <t>A 10777-2025</t>
        </is>
      </c>
      <c r="B572" s="1" t="n">
        <v>45722.47743055555</v>
      </c>
      <c r="C572" s="1" t="n">
        <v>45927</v>
      </c>
      <c r="D572" t="inlineStr">
        <is>
          <t>DALARNAS LÄN</t>
        </is>
      </c>
      <c r="E572" t="inlineStr">
        <is>
          <t>MORA</t>
        </is>
      </c>
      <c r="G572" t="n">
        <v>9.9</v>
      </c>
      <c r="H572" t="n">
        <v>0</v>
      </c>
      <c r="I572" t="n">
        <v>0</v>
      </c>
      <c r="J572" t="n">
        <v>0</v>
      </c>
      <c r="K572" t="n">
        <v>0</v>
      </c>
      <c r="L572" t="n">
        <v>0</v>
      </c>
      <c r="M572" t="n">
        <v>0</v>
      </c>
      <c r="N572" t="n">
        <v>0</v>
      </c>
      <c r="O572" t="n">
        <v>0</v>
      </c>
      <c r="P572" t="n">
        <v>0</v>
      </c>
      <c r="Q572" t="n">
        <v>0</v>
      </c>
      <c r="R572" s="2" t="inlineStr"/>
    </row>
    <row r="573" ht="15" customHeight="1">
      <c r="A573" t="inlineStr">
        <is>
          <t>A 5001-2025</t>
        </is>
      </c>
      <c r="B573" s="1" t="n">
        <v>45691.36403935185</v>
      </c>
      <c r="C573" s="1" t="n">
        <v>45927</v>
      </c>
      <c r="D573" t="inlineStr">
        <is>
          <t>DALARNAS LÄN</t>
        </is>
      </c>
      <c r="E573" t="inlineStr">
        <is>
          <t>MORA</t>
        </is>
      </c>
      <c r="G573" t="n">
        <v>1.3</v>
      </c>
      <c r="H573" t="n">
        <v>0</v>
      </c>
      <c r="I573" t="n">
        <v>0</v>
      </c>
      <c r="J573" t="n">
        <v>0</v>
      </c>
      <c r="K573" t="n">
        <v>0</v>
      </c>
      <c r="L573" t="n">
        <v>0</v>
      </c>
      <c r="M573" t="n">
        <v>0</v>
      </c>
      <c r="N573" t="n">
        <v>0</v>
      </c>
      <c r="O573" t="n">
        <v>0</v>
      </c>
      <c r="P573" t="n">
        <v>0</v>
      </c>
      <c r="Q573" t="n">
        <v>0</v>
      </c>
      <c r="R573" s="2" t="inlineStr"/>
    </row>
    <row r="574" ht="15" customHeight="1">
      <c r="A574" t="inlineStr">
        <is>
          <t>A 42830-2025</t>
        </is>
      </c>
      <c r="B574" s="1" t="n">
        <v>45908.57753472222</v>
      </c>
      <c r="C574" s="1" t="n">
        <v>45927</v>
      </c>
      <c r="D574" t="inlineStr">
        <is>
          <t>DALARNAS LÄN</t>
        </is>
      </c>
      <c r="E574" t="inlineStr">
        <is>
          <t>MORA</t>
        </is>
      </c>
      <c r="G574" t="n">
        <v>1</v>
      </c>
      <c r="H574" t="n">
        <v>0</v>
      </c>
      <c r="I574" t="n">
        <v>0</v>
      </c>
      <c r="J574" t="n">
        <v>0</v>
      </c>
      <c r="K574" t="n">
        <v>0</v>
      </c>
      <c r="L574" t="n">
        <v>0</v>
      </c>
      <c r="M574" t="n">
        <v>0</v>
      </c>
      <c r="N574" t="n">
        <v>0</v>
      </c>
      <c r="O574" t="n">
        <v>0</v>
      </c>
      <c r="P574" t="n">
        <v>0</v>
      </c>
      <c r="Q574" t="n">
        <v>0</v>
      </c>
      <c r="R574" s="2" t="inlineStr"/>
    </row>
    <row r="575" ht="15" customHeight="1">
      <c r="A575" t="inlineStr">
        <is>
          <t>A 60360-2023</t>
        </is>
      </c>
      <c r="B575" s="1" t="n">
        <v>45259</v>
      </c>
      <c r="C575" s="1" t="n">
        <v>45927</v>
      </c>
      <c r="D575" t="inlineStr">
        <is>
          <t>DALARNAS LÄN</t>
        </is>
      </c>
      <c r="E575" t="inlineStr">
        <is>
          <t>MORA</t>
        </is>
      </c>
      <c r="G575" t="n">
        <v>2.9</v>
      </c>
      <c r="H575" t="n">
        <v>0</v>
      </c>
      <c r="I575" t="n">
        <v>0</v>
      </c>
      <c r="J575" t="n">
        <v>0</v>
      </c>
      <c r="K575" t="n">
        <v>0</v>
      </c>
      <c r="L575" t="n">
        <v>0</v>
      </c>
      <c r="M575" t="n">
        <v>0</v>
      </c>
      <c r="N575" t="n">
        <v>0</v>
      </c>
      <c r="O575" t="n">
        <v>0</v>
      </c>
      <c r="P575" t="n">
        <v>0</v>
      </c>
      <c r="Q575" t="n">
        <v>0</v>
      </c>
      <c r="R575" s="2" t="inlineStr"/>
    </row>
    <row r="576" ht="15" customHeight="1">
      <c r="A576" t="inlineStr">
        <is>
          <t>A 17164-2025</t>
        </is>
      </c>
      <c r="B576" s="1" t="n">
        <v>45756.36403935185</v>
      </c>
      <c r="C576" s="1" t="n">
        <v>45927</v>
      </c>
      <c r="D576" t="inlineStr">
        <is>
          <t>DALARNAS LÄN</t>
        </is>
      </c>
      <c r="E576" t="inlineStr">
        <is>
          <t>MORA</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24768-2024</t>
        </is>
      </c>
      <c r="B577" s="1" t="n">
        <v>45460.69545138889</v>
      </c>
      <c r="C577" s="1" t="n">
        <v>45927</v>
      </c>
      <c r="D577" t="inlineStr">
        <is>
          <t>DALARNAS LÄN</t>
        </is>
      </c>
      <c r="E577" t="inlineStr">
        <is>
          <t>MORA</t>
        </is>
      </c>
      <c r="G577" t="n">
        <v>2.4</v>
      </c>
      <c r="H577" t="n">
        <v>0</v>
      </c>
      <c r="I577" t="n">
        <v>0</v>
      </c>
      <c r="J577" t="n">
        <v>0</v>
      </c>
      <c r="K577" t="n">
        <v>0</v>
      </c>
      <c r="L577" t="n">
        <v>0</v>
      </c>
      <c r="M577" t="n">
        <v>0</v>
      </c>
      <c r="N577" t="n">
        <v>0</v>
      </c>
      <c r="O577" t="n">
        <v>0</v>
      </c>
      <c r="P577" t="n">
        <v>0</v>
      </c>
      <c r="Q577" t="n">
        <v>0</v>
      </c>
      <c r="R577" s="2" t="inlineStr"/>
    </row>
    <row r="578" ht="15" customHeight="1">
      <c r="A578" t="inlineStr">
        <is>
          <t>A 36041-2025</t>
        </is>
      </c>
      <c r="B578" s="1" t="n">
        <v>45866.34385416667</v>
      </c>
      <c r="C578" s="1" t="n">
        <v>45927</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42954-2025</t>
        </is>
      </c>
      <c r="B579" s="1" t="n">
        <v>45909.3578125</v>
      </c>
      <c r="C579" s="1" t="n">
        <v>45927</v>
      </c>
      <c r="D579" t="inlineStr">
        <is>
          <t>DALARNAS LÄN</t>
        </is>
      </c>
      <c r="E579" t="inlineStr">
        <is>
          <t>MORA</t>
        </is>
      </c>
      <c r="G579" t="n">
        <v>2.5</v>
      </c>
      <c r="H579" t="n">
        <v>0</v>
      </c>
      <c r="I579" t="n">
        <v>0</v>
      </c>
      <c r="J579" t="n">
        <v>0</v>
      </c>
      <c r="K579" t="n">
        <v>0</v>
      </c>
      <c r="L579" t="n">
        <v>0</v>
      </c>
      <c r="M579" t="n">
        <v>0</v>
      </c>
      <c r="N579" t="n">
        <v>0</v>
      </c>
      <c r="O579" t="n">
        <v>0</v>
      </c>
      <c r="P579" t="n">
        <v>0</v>
      </c>
      <c r="Q579" t="n">
        <v>0</v>
      </c>
      <c r="R579" s="2" t="inlineStr"/>
    </row>
    <row r="580" ht="15" customHeight="1">
      <c r="A580" t="inlineStr">
        <is>
          <t>A 42960-2025</t>
        </is>
      </c>
      <c r="B580" s="1" t="n">
        <v>45909.36631944445</v>
      </c>
      <c r="C580" s="1" t="n">
        <v>45927</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42319-2025</t>
        </is>
      </c>
      <c r="B581" s="1" t="n">
        <v>45903</v>
      </c>
      <c r="C581" s="1" t="n">
        <v>45927</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36179-2025</t>
        </is>
      </c>
      <c r="B582" s="1" t="n">
        <v>45867</v>
      </c>
      <c r="C582" s="1" t="n">
        <v>45927</v>
      </c>
      <c r="D582" t="inlineStr">
        <is>
          <t>DALARNAS LÄN</t>
        </is>
      </c>
      <c r="E582" t="inlineStr">
        <is>
          <t>MORA</t>
        </is>
      </c>
      <c r="G582" t="n">
        <v>2.5</v>
      </c>
      <c r="H582" t="n">
        <v>0</v>
      </c>
      <c r="I582" t="n">
        <v>0</v>
      </c>
      <c r="J582" t="n">
        <v>0</v>
      </c>
      <c r="K582" t="n">
        <v>0</v>
      </c>
      <c r="L582" t="n">
        <v>0</v>
      </c>
      <c r="M582" t="n">
        <v>0</v>
      </c>
      <c r="N582" t="n">
        <v>0</v>
      </c>
      <c r="O582" t="n">
        <v>0</v>
      </c>
      <c r="P582" t="n">
        <v>0</v>
      </c>
      <c r="Q582" t="n">
        <v>0</v>
      </c>
      <c r="R582" s="2" t="inlineStr"/>
    </row>
    <row r="583" ht="15" customHeight="1">
      <c r="A583" t="inlineStr">
        <is>
          <t>A 42947-2025</t>
        </is>
      </c>
      <c r="B583" s="1" t="n">
        <v>45909.34799768519</v>
      </c>
      <c r="C583" s="1" t="n">
        <v>45927</v>
      </c>
      <c r="D583" t="inlineStr">
        <is>
          <t>DALARNAS LÄN</t>
        </is>
      </c>
      <c r="E583" t="inlineStr">
        <is>
          <t>MORA</t>
        </is>
      </c>
      <c r="F583" t="inlineStr">
        <is>
          <t>Allmännings- och besparingsskogar</t>
        </is>
      </c>
      <c r="G583" t="n">
        <v>6.2</v>
      </c>
      <c r="H583" t="n">
        <v>0</v>
      </c>
      <c r="I583" t="n">
        <v>0</v>
      </c>
      <c r="J583" t="n">
        <v>0</v>
      </c>
      <c r="K583" t="n">
        <v>0</v>
      </c>
      <c r="L583" t="n">
        <v>0</v>
      </c>
      <c r="M583" t="n">
        <v>0</v>
      </c>
      <c r="N583" t="n">
        <v>0</v>
      </c>
      <c r="O583" t="n">
        <v>0</v>
      </c>
      <c r="P583" t="n">
        <v>0</v>
      </c>
      <c r="Q583" t="n">
        <v>0</v>
      </c>
      <c r="R583" s="2" t="inlineStr"/>
    </row>
    <row r="584" ht="15" customHeight="1">
      <c r="A584" t="inlineStr">
        <is>
          <t>A 42813-2025</t>
        </is>
      </c>
      <c r="B584" s="1" t="n">
        <v>45908.56168981481</v>
      </c>
      <c r="C584" s="1" t="n">
        <v>45927</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19842-2025</t>
        </is>
      </c>
      <c r="B585" s="1" t="n">
        <v>45771.47938657407</v>
      </c>
      <c r="C585" s="1" t="n">
        <v>45927</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45927</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16174-2025</t>
        </is>
      </c>
      <c r="B587" s="1" t="n">
        <v>45750</v>
      </c>
      <c r="C587" s="1" t="n">
        <v>45927</v>
      </c>
      <c r="D587" t="inlineStr">
        <is>
          <t>DALARNAS LÄN</t>
        </is>
      </c>
      <c r="E587" t="inlineStr">
        <is>
          <t>MORA</t>
        </is>
      </c>
      <c r="G587" t="n">
        <v>0.9</v>
      </c>
      <c r="H587" t="n">
        <v>0</v>
      </c>
      <c r="I587" t="n">
        <v>0</v>
      </c>
      <c r="J587" t="n">
        <v>0</v>
      </c>
      <c r="K587" t="n">
        <v>0</v>
      </c>
      <c r="L587" t="n">
        <v>0</v>
      </c>
      <c r="M587" t="n">
        <v>0</v>
      </c>
      <c r="N587" t="n">
        <v>0</v>
      </c>
      <c r="O587" t="n">
        <v>0</v>
      </c>
      <c r="P587" t="n">
        <v>0</v>
      </c>
      <c r="Q587" t="n">
        <v>0</v>
      </c>
      <c r="R587" s="2" t="inlineStr"/>
    </row>
    <row r="588" ht="15" customHeight="1">
      <c r="A588" t="inlineStr">
        <is>
          <t>A 18134-2025</t>
        </is>
      </c>
      <c r="B588" s="1" t="n">
        <v>45761.60189814815</v>
      </c>
      <c r="C588" s="1" t="n">
        <v>45927</v>
      </c>
      <c r="D588" t="inlineStr">
        <is>
          <t>DALARNAS LÄN</t>
        </is>
      </c>
      <c r="E588" t="inlineStr">
        <is>
          <t>MORA</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43474-2025</t>
        </is>
      </c>
      <c r="B589" s="1" t="n">
        <v>45911.48967592593</v>
      </c>
      <c r="C589" s="1" t="n">
        <v>45927</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43569-2025</t>
        </is>
      </c>
      <c r="B590" s="1" t="n">
        <v>45911.63363425926</v>
      </c>
      <c r="C590" s="1" t="n">
        <v>45927</v>
      </c>
      <c r="D590" t="inlineStr">
        <is>
          <t>DALARNAS LÄN</t>
        </is>
      </c>
      <c r="E590" t="inlineStr">
        <is>
          <t>MORA</t>
        </is>
      </c>
      <c r="G590" t="n">
        <v>4.7</v>
      </c>
      <c r="H590" t="n">
        <v>0</v>
      </c>
      <c r="I590" t="n">
        <v>0</v>
      </c>
      <c r="J590" t="n">
        <v>0</v>
      </c>
      <c r="K590" t="n">
        <v>0</v>
      </c>
      <c r="L590" t="n">
        <v>0</v>
      </c>
      <c r="M590" t="n">
        <v>0</v>
      </c>
      <c r="N590" t="n">
        <v>0</v>
      </c>
      <c r="O590" t="n">
        <v>0</v>
      </c>
      <c r="P590" t="n">
        <v>0</v>
      </c>
      <c r="Q590" t="n">
        <v>0</v>
      </c>
      <c r="R590" s="2" t="inlineStr"/>
    </row>
    <row r="591" ht="15" customHeight="1">
      <c r="A591" t="inlineStr">
        <is>
          <t>A 17278-2025</t>
        </is>
      </c>
      <c r="B591" s="1" t="n">
        <v>45756.56131944444</v>
      </c>
      <c r="C591" s="1" t="n">
        <v>45927</v>
      </c>
      <c r="D591" t="inlineStr">
        <is>
          <t>DALARNAS LÄN</t>
        </is>
      </c>
      <c r="E591" t="inlineStr">
        <is>
          <t>MORA</t>
        </is>
      </c>
      <c r="G591" t="n">
        <v>3</v>
      </c>
      <c r="H591" t="n">
        <v>0</v>
      </c>
      <c r="I591" t="n">
        <v>0</v>
      </c>
      <c r="J591" t="n">
        <v>0</v>
      </c>
      <c r="K591" t="n">
        <v>0</v>
      </c>
      <c r="L591" t="n">
        <v>0</v>
      </c>
      <c r="M591" t="n">
        <v>0</v>
      </c>
      <c r="N591" t="n">
        <v>0</v>
      </c>
      <c r="O591" t="n">
        <v>0</v>
      </c>
      <c r="P591" t="n">
        <v>0</v>
      </c>
      <c r="Q591" t="n">
        <v>0</v>
      </c>
      <c r="R591" s="2" t="inlineStr"/>
    </row>
    <row r="592" ht="15" customHeight="1">
      <c r="A592" t="inlineStr">
        <is>
          <t>A 4209-2023</t>
        </is>
      </c>
      <c r="B592" s="1" t="n">
        <v>44953</v>
      </c>
      <c r="C592" s="1" t="n">
        <v>45927</v>
      </c>
      <c r="D592" t="inlineStr">
        <is>
          <t>DALARNAS LÄN</t>
        </is>
      </c>
      <c r="E592" t="inlineStr">
        <is>
          <t>MORA</t>
        </is>
      </c>
      <c r="G592" t="n">
        <v>1</v>
      </c>
      <c r="H592" t="n">
        <v>0</v>
      </c>
      <c r="I592" t="n">
        <v>0</v>
      </c>
      <c r="J592" t="n">
        <v>0</v>
      </c>
      <c r="K592" t="n">
        <v>0</v>
      </c>
      <c r="L592" t="n">
        <v>0</v>
      </c>
      <c r="M592" t="n">
        <v>0</v>
      </c>
      <c r="N592" t="n">
        <v>0</v>
      </c>
      <c r="O592" t="n">
        <v>0</v>
      </c>
      <c r="P592" t="n">
        <v>0</v>
      </c>
      <c r="Q592" t="n">
        <v>0</v>
      </c>
      <c r="R592" s="2" t="inlineStr"/>
    </row>
    <row r="593" ht="15" customHeight="1">
      <c r="A593" t="inlineStr">
        <is>
          <t>A 44205-2023</t>
        </is>
      </c>
      <c r="B593" s="1" t="n">
        <v>45188</v>
      </c>
      <c r="C593" s="1" t="n">
        <v>45927</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22732-2024</t>
        </is>
      </c>
      <c r="B594" s="1" t="n">
        <v>45448.38677083333</v>
      </c>
      <c r="C594" s="1" t="n">
        <v>45927</v>
      </c>
      <c r="D594" t="inlineStr">
        <is>
          <t>DALARNAS LÄN</t>
        </is>
      </c>
      <c r="E594" t="inlineStr">
        <is>
          <t>MORA</t>
        </is>
      </c>
      <c r="G594" t="n">
        <v>3.6</v>
      </c>
      <c r="H594" t="n">
        <v>0</v>
      </c>
      <c r="I594" t="n">
        <v>0</v>
      </c>
      <c r="J594" t="n">
        <v>0</v>
      </c>
      <c r="K594" t="n">
        <v>0</v>
      </c>
      <c r="L594" t="n">
        <v>0</v>
      </c>
      <c r="M594" t="n">
        <v>0</v>
      </c>
      <c r="N594" t="n">
        <v>0</v>
      </c>
      <c r="O594" t="n">
        <v>0</v>
      </c>
      <c r="P594" t="n">
        <v>0</v>
      </c>
      <c r="Q594" t="n">
        <v>0</v>
      </c>
      <c r="R594" s="2" t="inlineStr"/>
    </row>
    <row r="595" ht="15" customHeight="1">
      <c r="A595" t="inlineStr">
        <is>
          <t>A 19756-2022</t>
        </is>
      </c>
      <c r="B595" s="1" t="n">
        <v>44694.62913194444</v>
      </c>
      <c r="C595" s="1" t="n">
        <v>45927</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46801-2022</t>
        </is>
      </c>
      <c r="B596" s="1" t="n">
        <v>44851</v>
      </c>
      <c r="C596" s="1" t="n">
        <v>45927</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5644-2024</t>
        </is>
      </c>
      <c r="B597" s="1" t="n">
        <v>45334</v>
      </c>
      <c r="C597" s="1" t="n">
        <v>45927</v>
      </c>
      <c r="D597" t="inlineStr">
        <is>
          <t>DALARNAS LÄN</t>
        </is>
      </c>
      <c r="E597" t="inlineStr">
        <is>
          <t>MORA</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33627-2024</t>
        </is>
      </c>
      <c r="B598" s="1" t="n">
        <v>45520</v>
      </c>
      <c r="C598" s="1" t="n">
        <v>45927</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46923-2024</t>
        </is>
      </c>
      <c r="B599" s="1" t="n">
        <v>45584.42887731481</v>
      </c>
      <c r="C599" s="1" t="n">
        <v>45927</v>
      </c>
      <c r="D599" t="inlineStr">
        <is>
          <t>DALARNAS LÄN</t>
        </is>
      </c>
      <c r="E599" t="inlineStr">
        <is>
          <t>MORA</t>
        </is>
      </c>
      <c r="G599" t="n">
        <v>3.4</v>
      </c>
      <c r="H599" t="n">
        <v>0</v>
      </c>
      <c r="I599" t="n">
        <v>0</v>
      </c>
      <c r="J599" t="n">
        <v>0</v>
      </c>
      <c r="K599" t="n">
        <v>0</v>
      </c>
      <c r="L599" t="n">
        <v>0</v>
      </c>
      <c r="M599" t="n">
        <v>0</v>
      </c>
      <c r="N599" t="n">
        <v>0</v>
      </c>
      <c r="O599" t="n">
        <v>0</v>
      </c>
      <c r="P599" t="n">
        <v>0</v>
      </c>
      <c r="Q599" t="n">
        <v>0</v>
      </c>
      <c r="R599" s="2" t="inlineStr"/>
    </row>
    <row r="600" ht="15" customHeight="1">
      <c r="A600" t="inlineStr">
        <is>
          <t>A 35327-2024</t>
        </is>
      </c>
      <c r="B600" s="1" t="n">
        <v>45530.71334490741</v>
      </c>
      <c r="C600" s="1" t="n">
        <v>45927</v>
      </c>
      <c r="D600" t="inlineStr">
        <is>
          <t>DALARNAS LÄN</t>
        </is>
      </c>
      <c r="E600" t="inlineStr">
        <is>
          <t>MORA</t>
        </is>
      </c>
      <c r="G600" t="n">
        <v>5</v>
      </c>
      <c r="H600" t="n">
        <v>0</v>
      </c>
      <c r="I600" t="n">
        <v>0</v>
      </c>
      <c r="J600" t="n">
        <v>0</v>
      </c>
      <c r="K600" t="n">
        <v>0</v>
      </c>
      <c r="L600" t="n">
        <v>0</v>
      </c>
      <c r="M600" t="n">
        <v>0</v>
      </c>
      <c r="N600" t="n">
        <v>0</v>
      </c>
      <c r="O600" t="n">
        <v>0</v>
      </c>
      <c r="P600" t="n">
        <v>0</v>
      </c>
      <c r="Q600" t="n">
        <v>0</v>
      </c>
      <c r="R600" s="2" t="inlineStr"/>
    </row>
    <row r="601" ht="15" customHeight="1">
      <c r="A601" t="inlineStr">
        <is>
          <t>A 31112-2024</t>
        </is>
      </c>
      <c r="B601" s="1" t="n">
        <v>45502.55185185185</v>
      </c>
      <c r="C601" s="1" t="n">
        <v>45927</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442-2024</t>
        </is>
      </c>
      <c r="B602" s="1" t="n">
        <v>45296.60353009259</v>
      </c>
      <c r="C602" s="1" t="n">
        <v>45927</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501-2024</t>
        </is>
      </c>
      <c r="B603" s="1" t="n">
        <v>45299</v>
      </c>
      <c r="C603" s="1" t="n">
        <v>45927</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39888-2024</t>
        </is>
      </c>
      <c r="B604" s="1" t="n">
        <v>45553.47538194444</v>
      </c>
      <c r="C604" s="1" t="n">
        <v>45927</v>
      </c>
      <c r="D604" t="inlineStr">
        <is>
          <t>DALARNAS LÄN</t>
        </is>
      </c>
      <c r="E604" t="inlineStr">
        <is>
          <t>MORA</t>
        </is>
      </c>
      <c r="G604" t="n">
        <v>5.4</v>
      </c>
      <c r="H604" t="n">
        <v>0</v>
      </c>
      <c r="I604" t="n">
        <v>0</v>
      </c>
      <c r="J604" t="n">
        <v>0</v>
      </c>
      <c r="K604" t="n">
        <v>0</v>
      </c>
      <c r="L604" t="n">
        <v>0</v>
      </c>
      <c r="M604" t="n">
        <v>0</v>
      </c>
      <c r="N604" t="n">
        <v>0</v>
      </c>
      <c r="O604" t="n">
        <v>0</v>
      </c>
      <c r="P604" t="n">
        <v>0</v>
      </c>
      <c r="Q604" t="n">
        <v>0</v>
      </c>
      <c r="R604" s="2" t="inlineStr"/>
    </row>
    <row r="605" ht="15" customHeight="1">
      <c r="A605" t="inlineStr">
        <is>
          <t>A 48570-2022</t>
        </is>
      </c>
      <c r="B605" s="1" t="n">
        <v>44859</v>
      </c>
      <c r="C605" s="1" t="n">
        <v>45927</v>
      </c>
      <c r="D605" t="inlineStr">
        <is>
          <t>DALARNAS LÄN</t>
        </is>
      </c>
      <c r="E605" t="inlineStr">
        <is>
          <t>MORA</t>
        </is>
      </c>
      <c r="G605" t="n">
        <v>6.2</v>
      </c>
      <c r="H605" t="n">
        <v>0</v>
      </c>
      <c r="I605" t="n">
        <v>0</v>
      </c>
      <c r="J605" t="n">
        <v>0</v>
      </c>
      <c r="K605" t="n">
        <v>0</v>
      </c>
      <c r="L605" t="n">
        <v>0</v>
      </c>
      <c r="M605" t="n">
        <v>0</v>
      </c>
      <c r="N605" t="n">
        <v>0</v>
      </c>
      <c r="O605" t="n">
        <v>0</v>
      </c>
      <c r="P605" t="n">
        <v>0</v>
      </c>
      <c r="Q605" t="n">
        <v>0</v>
      </c>
      <c r="R605" s="2" t="inlineStr"/>
    </row>
    <row r="606" ht="15" customHeight="1">
      <c r="A606" t="inlineStr">
        <is>
          <t>A 36586-2025</t>
        </is>
      </c>
      <c r="B606" s="1" t="n">
        <v>45869</v>
      </c>
      <c r="C606" s="1" t="n">
        <v>45927</v>
      </c>
      <c r="D606" t="inlineStr">
        <is>
          <t>DALARNAS LÄN</t>
        </is>
      </c>
      <c r="E606" t="inlineStr">
        <is>
          <t>MORA</t>
        </is>
      </c>
      <c r="G606" t="n">
        <v>1.8</v>
      </c>
      <c r="H606" t="n">
        <v>0</v>
      </c>
      <c r="I606" t="n">
        <v>0</v>
      </c>
      <c r="J606" t="n">
        <v>0</v>
      </c>
      <c r="K606" t="n">
        <v>0</v>
      </c>
      <c r="L606" t="n">
        <v>0</v>
      </c>
      <c r="M606" t="n">
        <v>0</v>
      </c>
      <c r="N606" t="n">
        <v>0</v>
      </c>
      <c r="O606" t="n">
        <v>0</v>
      </c>
      <c r="P606" t="n">
        <v>0</v>
      </c>
      <c r="Q606" t="n">
        <v>0</v>
      </c>
      <c r="R606" s="2" t="inlineStr"/>
    </row>
    <row r="607" ht="15" customHeight="1">
      <c r="A607" t="inlineStr">
        <is>
          <t>A 19814-2025</t>
        </is>
      </c>
      <c r="B607" s="1" t="n">
        <v>45771.45686342593</v>
      </c>
      <c r="C607" s="1" t="n">
        <v>45927</v>
      </c>
      <c r="D607" t="inlineStr">
        <is>
          <t>DALARNAS LÄN</t>
        </is>
      </c>
      <c r="E607" t="inlineStr">
        <is>
          <t>MORA</t>
        </is>
      </c>
      <c r="G607" t="n">
        <v>2.1</v>
      </c>
      <c r="H607" t="n">
        <v>0</v>
      </c>
      <c r="I607" t="n">
        <v>0</v>
      </c>
      <c r="J607" t="n">
        <v>0</v>
      </c>
      <c r="K607" t="n">
        <v>0</v>
      </c>
      <c r="L607" t="n">
        <v>0</v>
      </c>
      <c r="M607" t="n">
        <v>0</v>
      </c>
      <c r="N607" t="n">
        <v>0</v>
      </c>
      <c r="O607" t="n">
        <v>0</v>
      </c>
      <c r="P607" t="n">
        <v>0</v>
      </c>
      <c r="Q607" t="n">
        <v>0</v>
      </c>
      <c r="R607" s="2" t="inlineStr"/>
    </row>
    <row r="608" ht="15" customHeight="1">
      <c r="A608" t="inlineStr">
        <is>
          <t>A 43153-2025</t>
        </is>
      </c>
      <c r="B608" s="1" t="n">
        <v>45910.34449074074</v>
      </c>
      <c r="C608" s="1" t="n">
        <v>45927</v>
      </c>
      <c r="D608" t="inlineStr">
        <is>
          <t>DALARNAS LÄN</t>
        </is>
      </c>
      <c r="E608" t="inlineStr">
        <is>
          <t>MORA</t>
        </is>
      </c>
      <c r="G608" t="n">
        <v>3.9</v>
      </c>
      <c r="H608" t="n">
        <v>0</v>
      </c>
      <c r="I608" t="n">
        <v>0</v>
      </c>
      <c r="J608" t="n">
        <v>0</v>
      </c>
      <c r="K608" t="n">
        <v>0</v>
      </c>
      <c r="L608" t="n">
        <v>0</v>
      </c>
      <c r="M608" t="n">
        <v>0</v>
      </c>
      <c r="N608" t="n">
        <v>0</v>
      </c>
      <c r="O608" t="n">
        <v>0</v>
      </c>
      <c r="P608" t="n">
        <v>0</v>
      </c>
      <c r="Q608" t="n">
        <v>0</v>
      </c>
      <c r="R608" s="2" t="inlineStr"/>
    </row>
    <row r="609" ht="15" customHeight="1">
      <c r="A609" t="inlineStr">
        <is>
          <t>A 17692-2024</t>
        </is>
      </c>
      <c r="B609" s="1" t="n">
        <v>45418.44195601852</v>
      </c>
      <c r="C609" s="1" t="n">
        <v>45927</v>
      </c>
      <c r="D609" t="inlineStr">
        <is>
          <t>DALARNAS LÄN</t>
        </is>
      </c>
      <c r="E609" t="inlineStr">
        <is>
          <t>MORA</t>
        </is>
      </c>
      <c r="F609" t="inlineStr">
        <is>
          <t>Bergvik skog öst AB</t>
        </is>
      </c>
      <c r="G609" t="n">
        <v>7.9</v>
      </c>
      <c r="H609" t="n">
        <v>0</v>
      </c>
      <c r="I609" t="n">
        <v>0</v>
      </c>
      <c r="J609" t="n">
        <v>0</v>
      </c>
      <c r="K609" t="n">
        <v>0</v>
      </c>
      <c r="L609" t="n">
        <v>0</v>
      </c>
      <c r="M609" t="n">
        <v>0</v>
      </c>
      <c r="N609" t="n">
        <v>0</v>
      </c>
      <c r="O609" t="n">
        <v>0</v>
      </c>
      <c r="P609" t="n">
        <v>0</v>
      </c>
      <c r="Q609" t="n">
        <v>0</v>
      </c>
      <c r="R609" s="2" t="inlineStr"/>
    </row>
    <row r="610" ht="15" customHeight="1">
      <c r="A610" t="inlineStr">
        <is>
          <t>A 43157-2025</t>
        </is>
      </c>
      <c r="B610" s="1" t="n">
        <v>45910.34953703704</v>
      </c>
      <c r="C610" s="1" t="n">
        <v>45927</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60526-2023</t>
        </is>
      </c>
      <c r="B611" s="1" t="n">
        <v>45259</v>
      </c>
      <c r="C611" s="1" t="n">
        <v>45927</v>
      </c>
      <c r="D611" t="inlineStr">
        <is>
          <t>DALARNAS LÄN</t>
        </is>
      </c>
      <c r="E611" t="inlineStr">
        <is>
          <t>MORA</t>
        </is>
      </c>
      <c r="G611" t="n">
        <v>6.7</v>
      </c>
      <c r="H611" t="n">
        <v>0</v>
      </c>
      <c r="I611" t="n">
        <v>0</v>
      </c>
      <c r="J611" t="n">
        <v>0</v>
      </c>
      <c r="K611" t="n">
        <v>0</v>
      </c>
      <c r="L611" t="n">
        <v>0</v>
      </c>
      <c r="M611" t="n">
        <v>0</v>
      </c>
      <c r="N611" t="n">
        <v>0</v>
      </c>
      <c r="O611" t="n">
        <v>0</v>
      </c>
      <c r="P611" t="n">
        <v>0</v>
      </c>
      <c r="Q611" t="n">
        <v>0</v>
      </c>
      <c r="R611" s="2" t="inlineStr"/>
    </row>
    <row r="612" ht="15" customHeight="1">
      <c r="A612" t="inlineStr">
        <is>
          <t>A 36760-2025</t>
        </is>
      </c>
      <c r="B612" s="1" t="n">
        <v>45873.57319444444</v>
      </c>
      <c r="C612" s="1" t="n">
        <v>45927</v>
      </c>
      <c r="D612" t="inlineStr">
        <is>
          <t>DALARNAS LÄN</t>
        </is>
      </c>
      <c r="E612" t="inlineStr">
        <is>
          <t>MORA</t>
        </is>
      </c>
      <c r="G612" t="n">
        <v>4.6</v>
      </c>
      <c r="H612" t="n">
        <v>0</v>
      </c>
      <c r="I612" t="n">
        <v>0</v>
      </c>
      <c r="J612" t="n">
        <v>0</v>
      </c>
      <c r="K612" t="n">
        <v>0</v>
      </c>
      <c r="L612" t="n">
        <v>0</v>
      </c>
      <c r="M612" t="n">
        <v>0</v>
      </c>
      <c r="N612" t="n">
        <v>0</v>
      </c>
      <c r="O612" t="n">
        <v>0</v>
      </c>
      <c r="P612" t="n">
        <v>0</v>
      </c>
      <c r="Q612" t="n">
        <v>0</v>
      </c>
      <c r="R612" s="2" t="inlineStr"/>
    </row>
    <row r="613" ht="15" customHeight="1">
      <c r="A613" t="inlineStr">
        <is>
          <t>A 53341-2023</t>
        </is>
      </c>
      <c r="B613" s="1" t="n">
        <v>45229</v>
      </c>
      <c r="C613" s="1" t="n">
        <v>45927</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12828-2023</t>
        </is>
      </c>
      <c r="B614" s="1" t="n">
        <v>45001</v>
      </c>
      <c r="C614" s="1" t="n">
        <v>45927</v>
      </c>
      <c r="D614" t="inlineStr">
        <is>
          <t>DALARNAS LÄN</t>
        </is>
      </c>
      <c r="E614" t="inlineStr">
        <is>
          <t>MORA</t>
        </is>
      </c>
      <c r="F614" t="inlineStr">
        <is>
          <t>Bergvik skog väst AB</t>
        </is>
      </c>
      <c r="G614" t="n">
        <v>5.4</v>
      </c>
      <c r="H614" t="n">
        <v>0</v>
      </c>
      <c r="I614" t="n">
        <v>0</v>
      </c>
      <c r="J614" t="n">
        <v>0</v>
      </c>
      <c r="K614" t="n">
        <v>0</v>
      </c>
      <c r="L614" t="n">
        <v>0</v>
      </c>
      <c r="M614" t="n">
        <v>0</v>
      </c>
      <c r="N614" t="n">
        <v>0</v>
      </c>
      <c r="O614" t="n">
        <v>0</v>
      </c>
      <c r="P614" t="n">
        <v>0</v>
      </c>
      <c r="Q614" t="n">
        <v>0</v>
      </c>
      <c r="R614" s="2" t="inlineStr"/>
    </row>
    <row r="615" ht="15" customHeight="1">
      <c r="A615" t="inlineStr">
        <is>
          <t>A 33666-2024</t>
        </is>
      </c>
      <c r="B615" s="1" t="n">
        <v>45520.48304398148</v>
      </c>
      <c r="C615" s="1" t="n">
        <v>45927</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20989-2024</t>
        </is>
      </c>
      <c r="B616" s="1" t="n">
        <v>45439</v>
      </c>
      <c r="C616" s="1" t="n">
        <v>45927</v>
      </c>
      <c r="D616" t="inlineStr">
        <is>
          <t>DALARNAS LÄN</t>
        </is>
      </c>
      <c r="E616" t="inlineStr">
        <is>
          <t>MORA</t>
        </is>
      </c>
      <c r="F616" t="inlineStr">
        <is>
          <t>Bergvik skog öst AB</t>
        </is>
      </c>
      <c r="G616" t="n">
        <v>14.7</v>
      </c>
      <c r="H616" t="n">
        <v>0</v>
      </c>
      <c r="I616" t="n">
        <v>0</v>
      </c>
      <c r="J616" t="n">
        <v>0</v>
      </c>
      <c r="K616" t="n">
        <v>0</v>
      </c>
      <c r="L616" t="n">
        <v>0</v>
      </c>
      <c r="M616" t="n">
        <v>0</v>
      </c>
      <c r="N616" t="n">
        <v>0</v>
      </c>
      <c r="O616" t="n">
        <v>0</v>
      </c>
      <c r="P616" t="n">
        <v>0</v>
      </c>
      <c r="Q616" t="n">
        <v>0</v>
      </c>
      <c r="R616" s="2" t="inlineStr"/>
    </row>
    <row r="617" ht="15" customHeight="1">
      <c r="A617" t="inlineStr">
        <is>
          <t>A 41812-2024</t>
        </is>
      </c>
      <c r="B617" s="1" t="n">
        <v>45561.3771412037</v>
      </c>
      <c r="C617" s="1" t="n">
        <v>45927</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51888-2024</t>
        </is>
      </c>
      <c r="B618" s="1" t="n">
        <v>45607.57142361111</v>
      </c>
      <c r="C618" s="1" t="n">
        <v>45927</v>
      </c>
      <c r="D618" t="inlineStr">
        <is>
          <t>DALARNAS LÄN</t>
        </is>
      </c>
      <c r="E618" t="inlineStr">
        <is>
          <t>MORA</t>
        </is>
      </c>
      <c r="G618" t="n">
        <v>0.9</v>
      </c>
      <c r="H618" t="n">
        <v>0</v>
      </c>
      <c r="I618" t="n">
        <v>0</v>
      </c>
      <c r="J618" t="n">
        <v>0</v>
      </c>
      <c r="K618" t="n">
        <v>0</v>
      </c>
      <c r="L618" t="n">
        <v>0</v>
      </c>
      <c r="M618" t="n">
        <v>0</v>
      </c>
      <c r="N618" t="n">
        <v>0</v>
      </c>
      <c r="O618" t="n">
        <v>0</v>
      </c>
      <c r="P618" t="n">
        <v>0</v>
      </c>
      <c r="Q618" t="n">
        <v>0</v>
      </c>
      <c r="R618" s="2" t="inlineStr"/>
    </row>
    <row r="619" ht="15" customHeight="1">
      <c r="A619" t="inlineStr">
        <is>
          <t>A 32721-2024</t>
        </is>
      </c>
      <c r="B619" s="1" t="n">
        <v>45516.40261574074</v>
      </c>
      <c r="C619" s="1" t="n">
        <v>45927</v>
      </c>
      <c r="D619" t="inlineStr">
        <is>
          <t>DALARNAS LÄN</t>
        </is>
      </c>
      <c r="E619" t="inlineStr">
        <is>
          <t>MORA</t>
        </is>
      </c>
      <c r="G619" t="n">
        <v>4.2</v>
      </c>
      <c r="H619" t="n">
        <v>0</v>
      </c>
      <c r="I619" t="n">
        <v>0</v>
      </c>
      <c r="J619" t="n">
        <v>0</v>
      </c>
      <c r="K619" t="n">
        <v>0</v>
      </c>
      <c r="L619" t="n">
        <v>0</v>
      </c>
      <c r="M619" t="n">
        <v>0</v>
      </c>
      <c r="N619" t="n">
        <v>0</v>
      </c>
      <c r="O619" t="n">
        <v>0</v>
      </c>
      <c r="P619" t="n">
        <v>0</v>
      </c>
      <c r="Q619" t="n">
        <v>0</v>
      </c>
      <c r="R619" s="2" t="inlineStr"/>
    </row>
    <row r="620" ht="15" customHeight="1">
      <c r="A620" t="inlineStr">
        <is>
          <t>A 21410-2023</t>
        </is>
      </c>
      <c r="B620" s="1" t="n">
        <v>45063</v>
      </c>
      <c r="C620" s="1" t="n">
        <v>45927</v>
      </c>
      <c r="D620" t="inlineStr">
        <is>
          <t>DALARNAS LÄN</t>
        </is>
      </c>
      <c r="E620" t="inlineStr">
        <is>
          <t>MORA</t>
        </is>
      </c>
      <c r="G620" t="n">
        <v>7</v>
      </c>
      <c r="H620" t="n">
        <v>0</v>
      </c>
      <c r="I620" t="n">
        <v>0</v>
      </c>
      <c r="J620" t="n">
        <v>0</v>
      </c>
      <c r="K620" t="n">
        <v>0</v>
      </c>
      <c r="L620" t="n">
        <v>0</v>
      </c>
      <c r="M620" t="n">
        <v>0</v>
      </c>
      <c r="N620" t="n">
        <v>0</v>
      </c>
      <c r="O620" t="n">
        <v>0</v>
      </c>
      <c r="P620" t="n">
        <v>0</v>
      </c>
      <c r="Q620" t="n">
        <v>0</v>
      </c>
      <c r="R620" s="2" t="inlineStr"/>
    </row>
    <row r="621" ht="15" customHeight="1">
      <c r="A621" t="inlineStr">
        <is>
          <t>A 43811-2025</t>
        </is>
      </c>
      <c r="B621" s="1" t="n">
        <v>45912.58710648148</v>
      </c>
      <c r="C621" s="1" t="n">
        <v>45927</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8153-2021</t>
        </is>
      </c>
      <c r="B622" s="1" t="n">
        <v>44244</v>
      </c>
      <c r="C622" s="1" t="n">
        <v>45927</v>
      </c>
      <c r="D622" t="inlineStr">
        <is>
          <t>DALARNAS LÄN</t>
        </is>
      </c>
      <c r="E622" t="inlineStr">
        <is>
          <t>MORA</t>
        </is>
      </c>
      <c r="G622" t="n">
        <v>2.5</v>
      </c>
      <c r="H622" t="n">
        <v>0</v>
      </c>
      <c r="I622" t="n">
        <v>0</v>
      </c>
      <c r="J622" t="n">
        <v>0</v>
      </c>
      <c r="K622" t="n">
        <v>0</v>
      </c>
      <c r="L622" t="n">
        <v>0</v>
      </c>
      <c r="M622" t="n">
        <v>0</v>
      </c>
      <c r="N622" t="n">
        <v>0</v>
      </c>
      <c r="O622" t="n">
        <v>0</v>
      </c>
      <c r="P622" t="n">
        <v>0</v>
      </c>
      <c r="Q622" t="n">
        <v>0</v>
      </c>
      <c r="R622" s="2" t="inlineStr"/>
    </row>
    <row r="623" ht="15" customHeight="1">
      <c r="A623" t="inlineStr">
        <is>
          <t>A 3531-2024</t>
        </is>
      </c>
      <c r="B623" s="1" t="n">
        <v>45320</v>
      </c>
      <c r="C623" s="1" t="n">
        <v>45927</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c r="U623">
        <f>HYPERLINK("https://klasma.github.io/Logging_2062/knärot/A 3531-2024 karta knärot.png", "A 3531-2024")</f>
        <v/>
      </c>
      <c r="V623">
        <f>HYPERLINK("https://klasma.github.io/Logging_2062/klagomål/A 3531-2024 FSC-klagomål.docx", "A 3531-2024")</f>
        <v/>
      </c>
      <c r="W623">
        <f>HYPERLINK("https://klasma.github.io/Logging_2062/klagomålsmail/A 3531-2024 FSC-klagomål mail.docx", "A 3531-2024")</f>
        <v/>
      </c>
      <c r="X623">
        <f>HYPERLINK("https://klasma.github.io/Logging_2062/tillsyn/A 3531-2024 tillsynsbegäran.docx", "A 3531-2024")</f>
        <v/>
      </c>
      <c r="Y623">
        <f>HYPERLINK("https://klasma.github.io/Logging_2062/tillsynsmail/A 3531-2024 tillsynsbegäran mail.docx", "A 3531-2024")</f>
        <v/>
      </c>
    </row>
    <row r="624" ht="15" customHeight="1">
      <c r="A624" t="inlineStr">
        <is>
          <t>A 45475-2023</t>
        </is>
      </c>
      <c r="B624" s="1" t="n">
        <v>45188</v>
      </c>
      <c r="C624" s="1" t="n">
        <v>45927</v>
      </c>
      <c r="D624" t="inlineStr">
        <is>
          <t>DALARNAS LÄN</t>
        </is>
      </c>
      <c r="E624" t="inlineStr">
        <is>
          <t>MORA</t>
        </is>
      </c>
      <c r="G624" t="n">
        <v>1.1</v>
      </c>
      <c r="H624" t="n">
        <v>0</v>
      </c>
      <c r="I624" t="n">
        <v>0</v>
      </c>
      <c r="J624" t="n">
        <v>0</v>
      </c>
      <c r="K624" t="n">
        <v>0</v>
      </c>
      <c r="L624" t="n">
        <v>0</v>
      </c>
      <c r="M624" t="n">
        <v>0</v>
      </c>
      <c r="N624" t="n">
        <v>0</v>
      </c>
      <c r="O624" t="n">
        <v>0</v>
      </c>
      <c r="P624" t="n">
        <v>0</v>
      </c>
      <c r="Q624" t="n">
        <v>0</v>
      </c>
      <c r="R624" s="2" t="inlineStr"/>
    </row>
    <row r="625" ht="15" customHeight="1">
      <c r="A625" t="inlineStr">
        <is>
          <t>A 44071-2024</t>
        </is>
      </c>
      <c r="B625" s="1" t="n">
        <v>45572.60915509259</v>
      </c>
      <c r="C625" s="1" t="n">
        <v>45927</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25749-2023</t>
        </is>
      </c>
      <c r="B626" s="1" t="n">
        <v>45090</v>
      </c>
      <c r="C626" s="1" t="n">
        <v>45927</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11463-2024</t>
        </is>
      </c>
      <c r="B627" s="1" t="n">
        <v>45372.58969907407</v>
      </c>
      <c r="C627" s="1" t="n">
        <v>45927</v>
      </c>
      <c r="D627" t="inlineStr">
        <is>
          <t>DALARNAS LÄN</t>
        </is>
      </c>
      <c r="E627" t="inlineStr">
        <is>
          <t>MORA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44417-2025</t>
        </is>
      </c>
      <c r="B628" s="1" t="n">
        <v>45916.5453587963</v>
      </c>
      <c r="C628" s="1" t="n">
        <v>45927</v>
      </c>
      <c r="D628" t="inlineStr">
        <is>
          <t>DALARNAS LÄN</t>
        </is>
      </c>
      <c r="E628" t="inlineStr">
        <is>
          <t>MORA</t>
        </is>
      </c>
      <c r="G628" t="n">
        <v>13.1</v>
      </c>
      <c r="H628" t="n">
        <v>0</v>
      </c>
      <c r="I628" t="n">
        <v>0</v>
      </c>
      <c r="J628" t="n">
        <v>0</v>
      </c>
      <c r="K628" t="n">
        <v>0</v>
      </c>
      <c r="L628" t="n">
        <v>0</v>
      </c>
      <c r="M628" t="n">
        <v>0</v>
      </c>
      <c r="N628" t="n">
        <v>0</v>
      </c>
      <c r="O628" t="n">
        <v>0</v>
      </c>
      <c r="P628" t="n">
        <v>0</v>
      </c>
      <c r="Q628" t="n">
        <v>0</v>
      </c>
      <c r="R628" s="2" t="inlineStr"/>
    </row>
    <row r="629" ht="15" customHeight="1">
      <c r="A629" t="inlineStr">
        <is>
          <t>A 36846-2025</t>
        </is>
      </c>
      <c r="B629" s="1" t="n">
        <v>45874.38655092593</v>
      </c>
      <c r="C629" s="1" t="n">
        <v>45927</v>
      </c>
      <c r="D629" t="inlineStr">
        <is>
          <t>DALARNAS LÄN</t>
        </is>
      </c>
      <c r="E629" t="inlineStr">
        <is>
          <t>MORA</t>
        </is>
      </c>
      <c r="G629" t="n">
        <v>10.7</v>
      </c>
      <c r="H629" t="n">
        <v>0</v>
      </c>
      <c r="I629" t="n">
        <v>0</v>
      </c>
      <c r="J629" t="n">
        <v>0</v>
      </c>
      <c r="K629" t="n">
        <v>0</v>
      </c>
      <c r="L629" t="n">
        <v>0</v>
      </c>
      <c r="M629" t="n">
        <v>0</v>
      </c>
      <c r="N629" t="n">
        <v>0</v>
      </c>
      <c r="O629" t="n">
        <v>0</v>
      </c>
      <c r="P629" t="n">
        <v>0</v>
      </c>
      <c r="Q629" t="n">
        <v>0</v>
      </c>
      <c r="R629" s="2" t="inlineStr"/>
    </row>
    <row r="630" ht="15" customHeight="1">
      <c r="A630" t="inlineStr">
        <is>
          <t>A 40325-2024</t>
        </is>
      </c>
      <c r="B630" s="1" t="n">
        <v>45554.88538194444</v>
      </c>
      <c r="C630" s="1" t="n">
        <v>45927</v>
      </c>
      <c r="D630" t="inlineStr">
        <is>
          <t>DALARNAS LÄN</t>
        </is>
      </c>
      <c r="E630" t="inlineStr">
        <is>
          <t>MORA</t>
        </is>
      </c>
      <c r="G630" t="n">
        <v>2.8</v>
      </c>
      <c r="H630" t="n">
        <v>0</v>
      </c>
      <c r="I630" t="n">
        <v>0</v>
      </c>
      <c r="J630" t="n">
        <v>0</v>
      </c>
      <c r="K630" t="n">
        <v>0</v>
      </c>
      <c r="L630" t="n">
        <v>0</v>
      </c>
      <c r="M630" t="n">
        <v>0</v>
      </c>
      <c r="N630" t="n">
        <v>0</v>
      </c>
      <c r="O630" t="n">
        <v>0</v>
      </c>
      <c r="P630" t="n">
        <v>0</v>
      </c>
      <c r="Q630" t="n">
        <v>0</v>
      </c>
      <c r="R630" s="2" t="inlineStr"/>
    </row>
    <row r="631" ht="15" customHeight="1">
      <c r="A631" t="inlineStr">
        <is>
          <t>A 44384-2025</t>
        </is>
      </c>
      <c r="B631" s="1" t="n">
        <v>45916.48513888889</v>
      </c>
      <c r="C631" s="1" t="n">
        <v>45927</v>
      </c>
      <c r="D631" t="inlineStr">
        <is>
          <t>DALARNAS LÄN</t>
        </is>
      </c>
      <c r="E631" t="inlineStr">
        <is>
          <t>MORA</t>
        </is>
      </c>
      <c r="F631" t="inlineStr">
        <is>
          <t>Kyrkan</t>
        </is>
      </c>
      <c r="G631" t="n">
        <v>5.1</v>
      </c>
      <c r="H631" t="n">
        <v>0</v>
      </c>
      <c r="I631" t="n">
        <v>0</v>
      </c>
      <c r="J631" t="n">
        <v>0</v>
      </c>
      <c r="K631" t="n">
        <v>0</v>
      </c>
      <c r="L631" t="n">
        <v>0</v>
      </c>
      <c r="M631" t="n">
        <v>0</v>
      </c>
      <c r="N631" t="n">
        <v>0</v>
      </c>
      <c r="O631" t="n">
        <v>0</v>
      </c>
      <c r="P631" t="n">
        <v>0</v>
      </c>
      <c r="Q631" t="n">
        <v>0</v>
      </c>
      <c r="R631" s="2" t="inlineStr"/>
    </row>
    <row r="632" ht="15" customHeight="1">
      <c r="A632" t="inlineStr">
        <is>
          <t>A 22854-2023</t>
        </is>
      </c>
      <c r="B632" s="1" t="n">
        <v>45072</v>
      </c>
      <c r="C632" s="1" t="n">
        <v>45927</v>
      </c>
      <c r="D632" t="inlineStr">
        <is>
          <t>DALARNAS LÄN</t>
        </is>
      </c>
      <c r="E632" t="inlineStr">
        <is>
          <t>MORA</t>
        </is>
      </c>
      <c r="G632" t="n">
        <v>3.3</v>
      </c>
      <c r="H632" t="n">
        <v>0</v>
      </c>
      <c r="I632" t="n">
        <v>0</v>
      </c>
      <c r="J632" t="n">
        <v>0</v>
      </c>
      <c r="K632" t="n">
        <v>0</v>
      </c>
      <c r="L632" t="n">
        <v>0</v>
      </c>
      <c r="M632" t="n">
        <v>0</v>
      </c>
      <c r="N632" t="n">
        <v>0</v>
      </c>
      <c r="O632" t="n">
        <v>0</v>
      </c>
      <c r="P632" t="n">
        <v>0</v>
      </c>
      <c r="Q632" t="n">
        <v>0</v>
      </c>
      <c r="R632" s="2" t="inlineStr"/>
    </row>
    <row r="633" ht="15" customHeight="1">
      <c r="A633" t="inlineStr">
        <is>
          <t>A 43964-2024</t>
        </is>
      </c>
      <c r="B633" s="1" t="n">
        <v>45572.48407407408</v>
      </c>
      <c r="C633" s="1" t="n">
        <v>45927</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51883-2024</t>
        </is>
      </c>
      <c r="B634" s="1" t="n">
        <v>45607</v>
      </c>
      <c r="C634" s="1" t="n">
        <v>45927</v>
      </c>
      <c r="D634" t="inlineStr">
        <is>
          <t>DALARNAS LÄN</t>
        </is>
      </c>
      <c r="E634" t="inlineStr">
        <is>
          <t>MORA</t>
        </is>
      </c>
      <c r="G634" t="n">
        <v>0.2</v>
      </c>
      <c r="H634" t="n">
        <v>0</v>
      </c>
      <c r="I634" t="n">
        <v>0</v>
      </c>
      <c r="J634" t="n">
        <v>0</v>
      </c>
      <c r="K634" t="n">
        <v>0</v>
      </c>
      <c r="L634" t="n">
        <v>0</v>
      </c>
      <c r="M634" t="n">
        <v>0</v>
      </c>
      <c r="N634" t="n">
        <v>0</v>
      </c>
      <c r="O634" t="n">
        <v>0</v>
      </c>
      <c r="P634" t="n">
        <v>0</v>
      </c>
      <c r="Q634" t="n">
        <v>0</v>
      </c>
      <c r="R634" s="2" t="inlineStr"/>
    </row>
    <row r="635" ht="15" customHeight="1">
      <c r="A635" t="inlineStr">
        <is>
          <t>A 57903-2022</t>
        </is>
      </c>
      <c r="B635" s="1" t="n">
        <v>44900.3521412037</v>
      </c>
      <c r="C635" s="1" t="n">
        <v>45927</v>
      </c>
      <c r="D635" t="inlineStr">
        <is>
          <t>DALARNAS LÄN</t>
        </is>
      </c>
      <c r="E635" t="inlineStr">
        <is>
          <t>MORA</t>
        </is>
      </c>
      <c r="G635" t="n">
        <v>4.3</v>
      </c>
      <c r="H635" t="n">
        <v>0</v>
      </c>
      <c r="I635" t="n">
        <v>0</v>
      </c>
      <c r="J635" t="n">
        <v>0</v>
      </c>
      <c r="K635" t="n">
        <v>0</v>
      </c>
      <c r="L635" t="n">
        <v>0</v>
      </c>
      <c r="M635" t="n">
        <v>0</v>
      </c>
      <c r="N635" t="n">
        <v>0</v>
      </c>
      <c r="O635" t="n">
        <v>0</v>
      </c>
      <c r="P635" t="n">
        <v>0</v>
      </c>
      <c r="Q635" t="n">
        <v>0</v>
      </c>
      <c r="R635" s="2" t="inlineStr"/>
    </row>
    <row r="636" ht="15" customHeight="1">
      <c r="A636" t="inlineStr">
        <is>
          <t>A 42941-2024</t>
        </is>
      </c>
      <c r="B636" s="1" t="n">
        <v>45567.3515162037</v>
      </c>
      <c r="C636" s="1" t="n">
        <v>45927</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43873-2024</t>
        </is>
      </c>
      <c r="B637" s="1" t="n">
        <v>45572.38429398148</v>
      </c>
      <c r="C637" s="1" t="n">
        <v>45927</v>
      </c>
      <c r="D637" t="inlineStr">
        <is>
          <t>DALARNAS LÄN</t>
        </is>
      </c>
      <c r="E637" t="inlineStr">
        <is>
          <t>MORA</t>
        </is>
      </c>
      <c r="G637" t="n">
        <v>4.1</v>
      </c>
      <c r="H637" t="n">
        <v>0</v>
      </c>
      <c r="I637" t="n">
        <v>0</v>
      </c>
      <c r="J637" t="n">
        <v>0</v>
      </c>
      <c r="K637" t="n">
        <v>0</v>
      </c>
      <c r="L637" t="n">
        <v>0</v>
      </c>
      <c r="M637" t="n">
        <v>0</v>
      </c>
      <c r="N637" t="n">
        <v>0</v>
      </c>
      <c r="O637" t="n">
        <v>0</v>
      </c>
      <c r="P637" t="n">
        <v>0</v>
      </c>
      <c r="Q637" t="n">
        <v>0</v>
      </c>
      <c r="R637" s="2" t="inlineStr"/>
    </row>
    <row r="638" ht="15" customHeight="1">
      <c r="A638" t="inlineStr">
        <is>
          <t>A 46129-2024</t>
        </is>
      </c>
      <c r="B638" s="1" t="n">
        <v>45581.43337962963</v>
      </c>
      <c r="C638" s="1" t="n">
        <v>45927</v>
      </c>
      <c r="D638" t="inlineStr">
        <is>
          <t>DALARNAS LÄN</t>
        </is>
      </c>
      <c r="E638" t="inlineStr">
        <is>
          <t>MORA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44621-2025</t>
        </is>
      </c>
      <c r="B639" s="1" t="n">
        <v>45917.466875</v>
      </c>
      <c r="C639" s="1" t="n">
        <v>45927</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5309-2023</t>
        </is>
      </c>
      <c r="B640" s="1" t="n">
        <v>44956</v>
      </c>
      <c r="C640" s="1" t="n">
        <v>45927</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19193-2025</t>
        </is>
      </c>
      <c r="B641" s="1" t="n">
        <v>45769.42203703704</v>
      </c>
      <c r="C641" s="1" t="n">
        <v>45927</v>
      </c>
      <c r="D641" t="inlineStr">
        <is>
          <t>DALARNAS LÄN</t>
        </is>
      </c>
      <c r="E641" t="inlineStr">
        <is>
          <t>MORA</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37070-2025</t>
        </is>
      </c>
      <c r="B642" s="1" t="n">
        <v>45875.39822916667</v>
      </c>
      <c r="C642" s="1" t="n">
        <v>45927</v>
      </c>
      <c r="D642" t="inlineStr">
        <is>
          <t>DALARNAS LÄN</t>
        </is>
      </c>
      <c r="E642" t="inlineStr">
        <is>
          <t>MORA</t>
        </is>
      </c>
      <c r="G642" t="n">
        <v>2.7</v>
      </c>
      <c r="H642" t="n">
        <v>0</v>
      </c>
      <c r="I642" t="n">
        <v>0</v>
      </c>
      <c r="J642" t="n">
        <v>0</v>
      </c>
      <c r="K642" t="n">
        <v>0</v>
      </c>
      <c r="L642" t="n">
        <v>0</v>
      </c>
      <c r="M642" t="n">
        <v>0</v>
      </c>
      <c r="N642" t="n">
        <v>0</v>
      </c>
      <c r="O642" t="n">
        <v>0</v>
      </c>
      <c r="P642" t="n">
        <v>0</v>
      </c>
      <c r="Q642" t="n">
        <v>0</v>
      </c>
      <c r="R642" s="2" t="inlineStr"/>
    </row>
    <row r="643" ht="15" customHeight="1">
      <c r="A643" t="inlineStr">
        <is>
          <t>A 44318-2025</t>
        </is>
      </c>
      <c r="B643" s="1" t="n">
        <v>45916.39680555555</v>
      </c>
      <c r="C643" s="1" t="n">
        <v>45927</v>
      </c>
      <c r="D643" t="inlineStr">
        <is>
          <t>DALARNAS LÄN</t>
        </is>
      </c>
      <c r="E643" t="inlineStr">
        <is>
          <t>MORA</t>
        </is>
      </c>
      <c r="G643" t="n">
        <v>7.4</v>
      </c>
      <c r="H643" t="n">
        <v>0</v>
      </c>
      <c r="I643" t="n">
        <v>0</v>
      </c>
      <c r="J643" t="n">
        <v>0</v>
      </c>
      <c r="K643" t="n">
        <v>0</v>
      </c>
      <c r="L643" t="n">
        <v>0</v>
      </c>
      <c r="M643" t="n">
        <v>0</v>
      </c>
      <c r="N643" t="n">
        <v>0</v>
      </c>
      <c r="O643" t="n">
        <v>0</v>
      </c>
      <c r="P643" t="n">
        <v>0</v>
      </c>
      <c r="Q643" t="n">
        <v>0</v>
      </c>
      <c r="R643" s="2" t="inlineStr"/>
    </row>
    <row r="644" ht="15" customHeight="1">
      <c r="A644" t="inlineStr">
        <is>
          <t>A 37268-2025</t>
        </is>
      </c>
      <c r="B644" s="1" t="n">
        <v>45876.46681712963</v>
      </c>
      <c r="C644" s="1" t="n">
        <v>45927</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6183-2024</t>
        </is>
      </c>
      <c r="B645" s="1" t="n">
        <v>45337.54135416666</v>
      </c>
      <c r="C645" s="1" t="n">
        <v>45927</v>
      </c>
      <c r="D645" t="inlineStr">
        <is>
          <t>DALARNAS LÄN</t>
        </is>
      </c>
      <c r="E645" t="inlineStr">
        <is>
          <t>MORA</t>
        </is>
      </c>
      <c r="G645" t="n">
        <v>7.9</v>
      </c>
      <c r="H645" t="n">
        <v>0</v>
      </c>
      <c r="I645" t="n">
        <v>0</v>
      </c>
      <c r="J645" t="n">
        <v>0</v>
      </c>
      <c r="K645" t="n">
        <v>0</v>
      </c>
      <c r="L645" t="n">
        <v>0</v>
      </c>
      <c r="M645" t="n">
        <v>0</v>
      </c>
      <c r="N645" t="n">
        <v>0</v>
      </c>
      <c r="O645" t="n">
        <v>0</v>
      </c>
      <c r="P645" t="n">
        <v>0</v>
      </c>
      <c r="Q645" t="n">
        <v>0</v>
      </c>
      <c r="R645" s="2" t="inlineStr"/>
    </row>
    <row r="646" ht="15" customHeight="1">
      <c r="A646" t="inlineStr">
        <is>
          <t>A 45191-2025</t>
        </is>
      </c>
      <c r="B646" s="1" t="n">
        <v>45919.54811342592</v>
      </c>
      <c r="C646" s="1" t="n">
        <v>45927</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45181-2025</t>
        </is>
      </c>
      <c r="B647" s="1" t="n">
        <v>45919.53329861111</v>
      </c>
      <c r="C647" s="1" t="n">
        <v>45927</v>
      </c>
      <c r="D647" t="inlineStr">
        <is>
          <t>DALARNAS LÄN</t>
        </is>
      </c>
      <c r="E647" t="inlineStr">
        <is>
          <t>MORA</t>
        </is>
      </c>
      <c r="G647" t="n">
        <v>4.5</v>
      </c>
      <c r="H647" t="n">
        <v>0</v>
      </c>
      <c r="I647" t="n">
        <v>0</v>
      </c>
      <c r="J647" t="n">
        <v>0</v>
      </c>
      <c r="K647" t="n">
        <v>0</v>
      </c>
      <c r="L647" t="n">
        <v>0</v>
      </c>
      <c r="M647" t="n">
        <v>0</v>
      </c>
      <c r="N647" t="n">
        <v>0</v>
      </c>
      <c r="O647" t="n">
        <v>0</v>
      </c>
      <c r="P647" t="n">
        <v>0</v>
      </c>
      <c r="Q647" t="n">
        <v>0</v>
      </c>
      <c r="R647" s="2" t="inlineStr"/>
    </row>
    <row r="648" ht="15" customHeight="1">
      <c r="A648" t="inlineStr">
        <is>
          <t>A 14372-2025</t>
        </is>
      </c>
      <c r="B648" s="1" t="n">
        <v>45741.4050462963</v>
      </c>
      <c r="C648" s="1" t="n">
        <v>45927</v>
      </c>
      <c r="D648" t="inlineStr">
        <is>
          <t>DALARNAS LÄN</t>
        </is>
      </c>
      <c r="E648" t="inlineStr">
        <is>
          <t>MORA</t>
        </is>
      </c>
      <c r="G648" t="n">
        <v>5.1</v>
      </c>
      <c r="H648" t="n">
        <v>0</v>
      </c>
      <c r="I648" t="n">
        <v>0</v>
      </c>
      <c r="J648" t="n">
        <v>0</v>
      </c>
      <c r="K648" t="n">
        <v>0</v>
      </c>
      <c r="L648" t="n">
        <v>0</v>
      </c>
      <c r="M648" t="n">
        <v>0</v>
      </c>
      <c r="N648" t="n">
        <v>0</v>
      </c>
      <c r="O648" t="n">
        <v>0</v>
      </c>
      <c r="P648" t="n">
        <v>0</v>
      </c>
      <c r="Q648" t="n">
        <v>0</v>
      </c>
      <c r="R648" s="2" t="inlineStr"/>
    </row>
    <row r="649" ht="15" customHeight="1">
      <c r="A649" t="inlineStr">
        <is>
          <t>A 14378-2025</t>
        </is>
      </c>
      <c r="B649" s="1" t="n">
        <v>45741</v>
      </c>
      <c r="C649" s="1" t="n">
        <v>45927</v>
      </c>
      <c r="D649" t="inlineStr">
        <is>
          <t>DALARNAS LÄN</t>
        </is>
      </c>
      <c r="E649" t="inlineStr">
        <is>
          <t>MORA</t>
        </is>
      </c>
      <c r="G649" t="n">
        <v>5.2</v>
      </c>
      <c r="H649" t="n">
        <v>0</v>
      </c>
      <c r="I649" t="n">
        <v>0</v>
      </c>
      <c r="J649" t="n">
        <v>0</v>
      </c>
      <c r="K649" t="n">
        <v>0</v>
      </c>
      <c r="L649" t="n">
        <v>0</v>
      </c>
      <c r="M649" t="n">
        <v>0</v>
      </c>
      <c r="N649" t="n">
        <v>0</v>
      </c>
      <c r="O649" t="n">
        <v>0</v>
      </c>
      <c r="P649" t="n">
        <v>0</v>
      </c>
      <c r="Q649" t="n">
        <v>0</v>
      </c>
      <c r="R649" s="2" t="inlineStr"/>
    </row>
    <row r="650" ht="15" customHeight="1">
      <c r="A650" t="inlineStr">
        <is>
          <t>A 16733-2024</t>
        </is>
      </c>
      <c r="B650" s="1" t="n">
        <v>45410.78502314815</v>
      </c>
      <c r="C650" s="1" t="n">
        <v>45927</v>
      </c>
      <c r="D650" t="inlineStr">
        <is>
          <t>DALARNAS LÄN</t>
        </is>
      </c>
      <c r="E650" t="inlineStr">
        <is>
          <t>MORA</t>
        </is>
      </c>
      <c r="G650" t="n">
        <v>6.3</v>
      </c>
      <c r="H650" t="n">
        <v>0</v>
      </c>
      <c r="I650" t="n">
        <v>0</v>
      </c>
      <c r="J650" t="n">
        <v>0</v>
      </c>
      <c r="K650" t="n">
        <v>0</v>
      </c>
      <c r="L650" t="n">
        <v>0</v>
      </c>
      <c r="M650" t="n">
        <v>0</v>
      </c>
      <c r="N650" t="n">
        <v>0</v>
      </c>
      <c r="O650" t="n">
        <v>0</v>
      </c>
      <c r="P650" t="n">
        <v>0</v>
      </c>
      <c r="Q650" t="n">
        <v>0</v>
      </c>
      <c r="R650" s="2" t="inlineStr"/>
    </row>
    <row r="651" ht="15" customHeight="1">
      <c r="A651" t="inlineStr">
        <is>
          <t>A 61217-2023</t>
        </is>
      </c>
      <c r="B651" s="1" t="n">
        <v>45264.43802083333</v>
      </c>
      <c r="C651" s="1" t="n">
        <v>45927</v>
      </c>
      <c r="D651" t="inlineStr">
        <is>
          <t>DALARNAS LÄN</t>
        </is>
      </c>
      <c r="E651" t="inlineStr">
        <is>
          <t>MORA</t>
        </is>
      </c>
      <c r="F651" t="inlineStr">
        <is>
          <t>Allmännings- och besparingsskogar</t>
        </is>
      </c>
      <c r="G651" t="n">
        <v>2</v>
      </c>
      <c r="H651" t="n">
        <v>0</v>
      </c>
      <c r="I651" t="n">
        <v>0</v>
      </c>
      <c r="J651" t="n">
        <v>0</v>
      </c>
      <c r="K651" t="n">
        <v>0</v>
      </c>
      <c r="L651" t="n">
        <v>0</v>
      </c>
      <c r="M651" t="n">
        <v>0</v>
      </c>
      <c r="N651" t="n">
        <v>0</v>
      </c>
      <c r="O651" t="n">
        <v>0</v>
      </c>
      <c r="P651" t="n">
        <v>0</v>
      </c>
      <c r="Q651" t="n">
        <v>0</v>
      </c>
      <c r="R651" s="2" t="inlineStr"/>
    </row>
    <row r="652" ht="15" customHeight="1">
      <c r="A652" t="inlineStr">
        <is>
          <t>A 61218-2023</t>
        </is>
      </c>
      <c r="B652" s="1" t="n">
        <v>45264</v>
      </c>
      <c r="C652" s="1" t="n">
        <v>45927</v>
      </c>
      <c r="D652" t="inlineStr">
        <is>
          <t>DALARNAS LÄN</t>
        </is>
      </c>
      <c r="E652" t="inlineStr">
        <is>
          <t>MORA</t>
        </is>
      </c>
      <c r="F652" t="inlineStr">
        <is>
          <t>Allmännings- och besparingsskogar</t>
        </is>
      </c>
      <c r="G652" t="n">
        <v>2.6</v>
      </c>
      <c r="H652" t="n">
        <v>0</v>
      </c>
      <c r="I652" t="n">
        <v>0</v>
      </c>
      <c r="J652" t="n">
        <v>0</v>
      </c>
      <c r="K652" t="n">
        <v>0</v>
      </c>
      <c r="L652" t="n">
        <v>0</v>
      </c>
      <c r="M652" t="n">
        <v>0</v>
      </c>
      <c r="N652" t="n">
        <v>0</v>
      </c>
      <c r="O652" t="n">
        <v>0</v>
      </c>
      <c r="P652" t="n">
        <v>0</v>
      </c>
      <c r="Q652" t="n">
        <v>0</v>
      </c>
      <c r="R652" s="2" t="inlineStr"/>
    </row>
    <row r="653" ht="15" customHeight="1">
      <c r="A653" t="inlineStr">
        <is>
          <t>A 45199-2025</t>
        </is>
      </c>
      <c r="B653" s="1" t="n">
        <v>45919.56107638889</v>
      </c>
      <c r="C653" s="1" t="n">
        <v>45927</v>
      </c>
      <c r="D653" t="inlineStr">
        <is>
          <t>DALARNAS LÄN</t>
        </is>
      </c>
      <c r="E653" t="inlineStr">
        <is>
          <t>MORA</t>
        </is>
      </c>
      <c r="G653" t="n">
        <v>12.1</v>
      </c>
      <c r="H653" t="n">
        <v>0</v>
      </c>
      <c r="I653" t="n">
        <v>0</v>
      </c>
      <c r="J653" t="n">
        <v>0</v>
      </c>
      <c r="K653" t="n">
        <v>0</v>
      </c>
      <c r="L653" t="n">
        <v>0</v>
      </c>
      <c r="M653" t="n">
        <v>0</v>
      </c>
      <c r="N653" t="n">
        <v>0</v>
      </c>
      <c r="O653" t="n">
        <v>0</v>
      </c>
      <c r="P653" t="n">
        <v>0</v>
      </c>
      <c r="Q653" t="n">
        <v>0</v>
      </c>
      <c r="R653" s="2" t="inlineStr"/>
    </row>
    <row r="654" ht="15" customHeight="1">
      <c r="A654" t="inlineStr">
        <is>
          <t>A 37879-2025</t>
        </is>
      </c>
      <c r="B654" s="1" t="n">
        <v>45881.48791666667</v>
      </c>
      <c r="C654" s="1" t="n">
        <v>45927</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38086-2025</t>
        </is>
      </c>
      <c r="B655" s="1" t="n">
        <v>45882.47625</v>
      </c>
      <c r="C655" s="1" t="n">
        <v>45927</v>
      </c>
      <c r="D655" t="inlineStr">
        <is>
          <t>DALARNAS LÄN</t>
        </is>
      </c>
      <c r="E655" t="inlineStr">
        <is>
          <t>MORA</t>
        </is>
      </c>
      <c r="G655" t="n">
        <v>2.4</v>
      </c>
      <c r="H655" t="n">
        <v>0</v>
      </c>
      <c r="I655" t="n">
        <v>0</v>
      </c>
      <c r="J655" t="n">
        <v>0</v>
      </c>
      <c r="K655" t="n">
        <v>0</v>
      </c>
      <c r="L655" t="n">
        <v>0</v>
      </c>
      <c r="M655" t="n">
        <v>0</v>
      </c>
      <c r="N655" t="n">
        <v>0</v>
      </c>
      <c r="O655" t="n">
        <v>0</v>
      </c>
      <c r="P655" t="n">
        <v>0</v>
      </c>
      <c r="Q655" t="n">
        <v>0</v>
      </c>
      <c r="R655" s="2" t="inlineStr"/>
    </row>
    <row r="656" ht="15" customHeight="1">
      <c r="A656" t="inlineStr">
        <is>
          <t>A 46283-2025</t>
        </is>
      </c>
      <c r="B656" s="1" t="n">
        <v>45925.38109953704</v>
      </c>
      <c r="C656" s="1" t="n">
        <v>45927</v>
      </c>
      <c r="D656" t="inlineStr">
        <is>
          <t>DALARNAS LÄN</t>
        </is>
      </c>
      <c r="E656" t="inlineStr">
        <is>
          <t>MORA</t>
        </is>
      </c>
      <c r="G656" t="n">
        <v>0.5</v>
      </c>
      <c r="H656" t="n">
        <v>0</v>
      </c>
      <c r="I656" t="n">
        <v>0</v>
      </c>
      <c r="J656" t="n">
        <v>0</v>
      </c>
      <c r="K656" t="n">
        <v>0</v>
      </c>
      <c r="L656" t="n">
        <v>0</v>
      </c>
      <c r="M656" t="n">
        <v>0</v>
      </c>
      <c r="N656" t="n">
        <v>0</v>
      </c>
      <c r="O656" t="n">
        <v>0</v>
      </c>
      <c r="P656" t="n">
        <v>0</v>
      </c>
      <c r="Q656" t="n">
        <v>0</v>
      </c>
      <c r="R656" s="2" t="inlineStr"/>
    </row>
    <row r="657" ht="15" customHeight="1">
      <c r="A657" t="inlineStr">
        <is>
          <t>A 53527-2024</t>
        </is>
      </c>
      <c r="B657" s="1" t="n">
        <v>45614.61569444444</v>
      </c>
      <c r="C657" s="1" t="n">
        <v>45927</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46090-2025</t>
        </is>
      </c>
      <c r="B658" s="1" t="n">
        <v>45924.5253125</v>
      </c>
      <c r="C658" s="1" t="n">
        <v>45927</v>
      </c>
      <c r="D658" t="inlineStr">
        <is>
          <t>DALARNAS LÄN</t>
        </is>
      </c>
      <c r="E658" t="inlineStr">
        <is>
          <t>MORA</t>
        </is>
      </c>
      <c r="G658" t="n">
        <v>1.1</v>
      </c>
      <c r="H658" t="n">
        <v>0</v>
      </c>
      <c r="I658" t="n">
        <v>0</v>
      </c>
      <c r="J658" t="n">
        <v>0</v>
      </c>
      <c r="K658" t="n">
        <v>0</v>
      </c>
      <c r="L658" t="n">
        <v>0</v>
      </c>
      <c r="M658" t="n">
        <v>0</v>
      </c>
      <c r="N658" t="n">
        <v>0</v>
      </c>
      <c r="O658" t="n">
        <v>0</v>
      </c>
      <c r="P658" t="n">
        <v>0</v>
      </c>
      <c r="Q658" t="n">
        <v>0</v>
      </c>
      <c r="R658" s="2" t="inlineStr"/>
    </row>
    <row r="659" ht="15" customHeight="1">
      <c r="A659" t="inlineStr">
        <is>
          <t>A 38073-2025</t>
        </is>
      </c>
      <c r="B659" s="1" t="n">
        <v>45882</v>
      </c>
      <c r="C659" s="1" t="n">
        <v>45927</v>
      </c>
      <c r="D659" t="inlineStr">
        <is>
          <t>DALARNAS LÄN</t>
        </is>
      </c>
      <c r="E659" t="inlineStr">
        <is>
          <t>MORA</t>
        </is>
      </c>
      <c r="G659" t="n">
        <v>2.5</v>
      </c>
      <c r="H659" t="n">
        <v>0</v>
      </c>
      <c r="I659" t="n">
        <v>0</v>
      </c>
      <c r="J659" t="n">
        <v>0</v>
      </c>
      <c r="K659" t="n">
        <v>0</v>
      </c>
      <c r="L659" t="n">
        <v>0</v>
      </c>
      <c r="M659" t="n">
        <v>0</v>
      </c>
      <c r="N659" t="n">
        <v>0</v>
      </c>
      <c r="O659" t="n">
        <v>0</v>
      </c>
      <c r="P659" t="n">
        <v>0</v>
      </c>
      <c r="Q659" t="n">
        <v>0</v>
      </c>
      <c r="R659" s="2" t="inlineStr"/>
    </row>
    <row r="660" ht="15" customHeight="1">
      <c r="A660" t="inlineStr">
        <is>
          <t>A 46091-2025</t>
        </is>
      </c>
      <c r="B660" s="1" t="n">
        <v>45924.52871527777</v>
      </c>
      <c r="C660" s="1" t="n">
        <v>45927</v>
      </c>
      <c r="D660" t="inlineStr">
        <is>
          <t>DALARNAS LÄN</t>
        </is>
      </c>
      <c r="E660" t="inlineStr">
        <is>
          <t>MORA</t>
        </is>
      </c>
      <c r="G660" t="n">
        <v>1.2</v>
      </c>
      <c r="H660" t="n">
        <v>0</v>
      </c>
      <c r="I660" t="n">
        <v>0</v>
      </c>
      <c r="J660" t="n">
        <v>0</v>
      </c>
      <c r="K660" t="n">
        <v>0</v>
      </c>
      <c r="L660" t="n">
        <v>0</v>
      </c>
      <c r="M660" t="n">
        <v>0</v>
      </c>
      <c r="N660" t="n">
        <v>0</v>
      </c>
      <c r="O660" t="n">
        <v>0</v>
      </c>
      <c r="P660" t="n">
        <v>0</v>
      </c>
      <c r="Q660" t="n">
        <v>0</v>
      </c>
      <c r="R660" s="2" t="inlineStr"/>
    </row>
    <row r="661" ht="15" customHeight="1">
      <c r="A661" t="inlineStr">
        <is>
          <t>A 46450-2025</t>
        </is>
      </c>
      <c r="B661" s="1" t="n">
        <v>45925.6530324074</v>
      </c>
      <c r="C661" s="1" t="n">
        <v>45927</v>
      </c>
      <c r="D661" t="inlineStr">
        <is>
          <t>DALARNAS LÄN</t>
        </is>
      </c>
      <c r="E661" t="inlineStr">
        <is>
          <t>MORA</t>
        </is>
      </c>
      <c r="G661" t="n">
        <v>4.2</v>
      </c>
      <c r="H661" t="n">
        <v>0</v>
      </c>
      <c r="I661" t="n">
        <v>0</v>
      </c>
      <c r="J661" t="n">
        <v>0</v>
      </c>
      <c r="K661" t="n">
        <v>0</v>
      </c>
      <c r="L661" t="n">
        <v>0</v>
      </c>
      <c r="M661" t="n">
        <v>0</v>
      </c>
      <c r="N661" t="n">
        <v>0</v>
      </c>
      <c r="O661" t="n">
        <v>0</v>
      </c>
      <c r="P661" t="n">
        <v>0</v>
      </c>
      <c r="Q661" t="n">
        <v>0</v>
      </c>
      <c r="R661" s="2" t="inlineStr"/>
    </row>
    <row r="662" ht="15" customHeight="1">
      <c r="A662" t="inlineStr">
        <is>
          <t>A 16967-2025</t>
        </is>
      </c>
      <c r="B662" s="1" t="n">
        <v>45755.46106481482</v>
      </c>
      <c r="C662" s="1" t="n">
        <v>45927</v>
      </c>
      <c r="D662" t="inlineStr">
        <is>
          <t>DALARNAS LÄN</t>
        </is>
      </c>
      <c r="E662" t="inlineStr">
        <is>
          <t>MORA</t>
        </is>
      </c>
      <c r="F662" t="inlineStr">
        <is>
          <t>Bergvik skog öst AB</t>
        </is>
      </c>
      <c r="G662" t="n">
        <v>2.9</v>
      </c>
      <c r="H662" t="n">
        <v>0</v>
      </c>
      <c r="I662" t="n">
        <v>0</v>
      </c>
      <c r="J662" t="n">
        <v>0</v>
      </c>
      <c r="K662" t="n">
        <v>0</v>
      </c>
      <c r="L662" t="n">
        <v>0</v>
      </c>
      <c r="M662" t="n">
        <v>0</v>
      </c>
      <c r="N662" t="n">
        <v>0</v>
      </c>
      <c r="O662" t="n">
        <v>0</v>
      </c>
      <c r="P662" t="n">
        <v>0</v>
      </c>
      <c r="Q662" t="n">
        <v>0</v>
      </c>
      <c r="R662" s="2" t="inlineStr"/>
    </row>
    <row r="663">
      <c r="A663" t="inlineStr">
        <is>
          <t>A 61278-2024</t>
        </is>
      </c>
      <c r="B663" s="1" t="n">
        <v>45645.76561342592</v>
      </c>
      <c r="C663" s="1" t="n">
        <v>45927</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2025-09-27T12:02:40Z</dcterms:created>
  <dcterms:modified xmlns:dcterms="http://purl.org/dc/terms/" xmlns:xsi="http://www.w3.org/2001/XMLSchema-instance" xsi:type="dcterms:W3CDTF">2025-09-27T12:02:41Z</dcterms:modified>
</cp:coreProperties>
</file>