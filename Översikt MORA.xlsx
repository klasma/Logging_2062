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45929</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45929</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45929</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45929</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45775.6125462963</v>
      </c>
      <c r="C10" s="1" t="n">
        <v>45929</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45929</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45929</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45929</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45929</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24131-2025</t>
        </is>
      </c>
      <c r="B15" s="1" t="n">
        <v>45796.63532407407</v>
      </c>
      <c r="C15" s="1" t="n">
        <v>45929</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45929</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45929</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45929</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45929</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45929</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45929</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5064-2023</t>
        </is>
      </c>
      <c r="B22" s="1" t="n">
        <v>44958.60337962963</v>
      </c>
      <c r="C22" s="1" t="n">
        <v>45929</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34714-2025</t>
        </is>
      </c>
      <c r="B23" s="1" t="n">
        <v>45848.52030092593</v>
      </c>
      <c r="C23" s="1" t="n">
        <v>45929</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40313-2025</t>
        </is>
      </c>
      <c r="B24" s="1" t="n">
        <v>45895.42209490741</v>
      </c>
      <c r="C24" s="1" t="n">
        <v>45929</v>
      </c>
      <c r="D24" t="inlineStr">
        <is>
          <t>DALARNAS LÄN</t>
        </is>
      </c>
      <c r="E24" t="inlineStr">
        <is>
          <t>MORA</t>
        </is>
      </c>
      <c r="G24" t="n">
        <v>16</v>
      </c>
      <c r="H24" t="n">
        <v>3</v>
      </c>
      <c r="I24" t="n">
        <v>3</v>
      </c>
      <c r="J24" t="n">
        <v>5</v>
      </c>
      <c r="K24" t="n">
        <v>0</v>
      </c>
      <c r="L24" t="n">
        <v>0</v>
      </c>
      <c r="M24" t="n">
        <v>0</v>
      </c>
      <c r="N24" t="n">
        <v>0</v>
      </c>
      <c r="O24" t="n">
        <v>5</v>
      </c>
      <c r="P24" t="n">
        <v>0</v>
      </c>
      <c r="Q24" t="n">
        <v>9</v>
      </c>
      <c r="R24" s="2" t="inlineStr">
        <is>
          <t>Garnlav
Mörk kolflarnlav
Spillkråka
Tallticka
Tretåig hackspett
Bollvitmossa
Dropptaggsvamp
Mindre märgborre
Tjäder</t>
        </is>
      </c>
      <c r="S24">
        <f>HYPERLINK("https://klasma.github.io/Logging_2062/artfynd/A 40313-2025 artfynd.xlsx", "A 40313-2025")</f>
        <v/>
      </c>
      <c r="T24">
        <f>HYPERLINK("https://klasma.github.io/Logging_2062/kartor/A 40313-2025 karta.png", "A 40313-2025")</f>
        <v/>
      </c>
      <c r="V24">
        <f>HYPERLINK("https://klasma.github.io/Logging_2062/klagomål/A 40313-2025 FSC-klagomål.docx", "A 40313-2025")</f>
        <v/>
      </c>
      <c r="W24">
        <f>HYPERLINK("https://klasma.github.io/Logging_2062/klagomålsmail/A 40313-2025 FSC-klagomål mail.docx", "A 40313-2025")</f>
        <v/>
      </c>
      <c r="X24">
        <f>HYPERLINK("https://klasma.github.io/Logging_2062/tillsyn/A 40313-2025 tillsynsbegäran.docx", "A 40313-2025")</f>
        <v/>
      </c>
      <c r="Y24">
        <f>HYPERLINK("https://klasma.github.io/Logging_2062/tillsynsmail/A 40313-2025 tillsynsbegäran mail.docx", "A 40313-2025")</f>
        <v/>
      </c>
      <c r="Z24">
        <f>HYPERLINK("https://klasma.github.io/Logging_2062/fåglar/A 40313-2025 prioriterade fågelarter.docx", "A 40313-2025")</f>
        <v/>
      </c>
    </row>
    <row r="25" ht="15" customHeight="1">
      <c r="A25" t="inlineStr">
        <is>
          <t>A 61943-2024</t>
        </is>
      </c>
      <c r="B25" s="1" t="n">
        <v>45653.49774305556</v>
      </c>
      <c r="C25" s="1" t="n">
        <v>45929</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35486-2025</t>
        </is>
      </c>
      <c r="B26" s="1" t="n">
        <v>45855.74986111111</v>
      </c>
      <c r="C26" s="1" t="n">
        <v>45929</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21041-2023</t>
        </is>
      </c>
      <c r="B27" s="1" t="n">
        <v>45061.58952546296</v>
      </c>
      <c r="C27" s="1" t="n">
        <v>45929</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59983-2024</t>
        </is>
      </c>
      <c r="B28" s="1" t="n">
        <v>45642</v>
      </c>
      <c r="C28" s="1" t="n">
        <v>45929</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30904-2025</t>
        </is>
      </c>
      <c r="B29" s="1" t="n">
        <v>45832.36327546297</v>
      </c>
      <c r="C29" s="1" t="n">
        <v>45929</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39480-2025</t>
        </is>
      </c>
      <c r="B30" s="1" t="n">
        <v>45890.35232638889</v>
      </c>
      <c r="C30" s="1" t="n">
        <v>45929</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54028-2020</t>
        </is>
      </c>
      <c r="B31" s="1" t="n">
        <v>44125</v>
      </c>
      <c r="C31" s="1" t="n">
        <v>45929</v>
      </c>
      <c r="D31" t="inlineStr">
        <is>
          <t>DALARNAS LÄN</t>
        </is>
      </c>
      <c r="E31" t="inlineStr">
        <is>
          <t>MORA</t>
        </is>
      </c>
      <c r="G31" t="n">
        <v>10.9</v>
      </c>
      <c r="H31" t="n">
        <v>1</v>
      </c>
      <c r="I31" t="n">
        <v>1</v>
      </c>
      <c r="J31" t="n">
        <v>5</v>
      </c>
      <c r="K31" t="n">
        <v>1</v>
      </c>
      <c r="L31" t="n">
        <v>0</v>
      </c>
      <c r="M31" t="n">
        <v>0</v>
      </c>
      <c r="N31" t="n">
        <v>0</v>
      </c>
      <c r="O31" t="n">
        <v>6</v>
      </c>
      <c r="P31" t="n">
        <v>1</v>
      </c>
      <c r="Q31" t="n">
        <v>7</v>
      </c>
      <c r="R31" s="2" t="inlineStr">
        <is>
          <t>Gräddporing
Kolflarnlav
Kortskaftad ärgspik
Nordtagging
Tretåig hackspett
Vedskivlav
Mindre märgborre</t>
        </is>
      </c>
      <c r="S31">
        <f>HYPERLINK("https://klasma.github.io/Logging_2062/artfynd/A 54028-2020 artfynd.xlsx", "A 54028-2020")</f>
        <v/>
      </c>
      <c r="T31">
        <f>HYPERLINK("https://klasma.github.io/Logging_2062/kartor/A 54028-2020 karta.png", "A 54028-2020")</f>
        <v/>
      </c>
      <c r="V31">
        <f>HYPERLINK("https://klasma.github.io/Logging_2062/klagomål/A 54028-2020 FSC-klagomål.docx", "A 54028-2020")</f>
        <v/>
      </c>
      <c r="W31">
        <f>HYPERLINK("https://klasma.github.io/Logging_2062/klagomålsmail/A 54028-2020 FSC-klagomål mail.docx", "A 54028-2020")</f>
        <v/>
      </c>
      <c r="X31">
        <f>HYPERLINK("https://klasma.github.io/Logging_2062/tillsyn/A 54028-2020 tillsynsbegäran.docx", "A 54028-2020")</f>
        <v/>
      </c>
      <c r="Y31">
        <f>HYPERLINK("https://klasma.github.io/Logging_2062/tillsynsmail/A 54028-2020 tillsynsbegäran mail.docx", "A 54028-2020")</f>
        <v/>
      </c>
      <c r="Z31">
        <f>HYPERLINK("https://klasma.github.io/Logging_2062/fåglar/A 54028-2020 prioriterade fågelarter.docx", "A 54028-2020")</f>
        <v/>
      </c>
    </row>
    <row r="32" ht="15" customHeight="1">
      <c r="A32" t="inlineStr">
        <is>
          <t>A 61259-2023</t>
        </is>
      </c>
      <c r="B32" s="1" t="n">
        <v>45264</v>
      </c>
      <c r="C32" s="1" t="n">
        <v>45929</v>
      </c>
      <c r="D32" t="inlineStr">
        <is>
          <t>DALARNAS LÄN</t>
        </is>
      </c>
      <c r="E32" t="inlineStr">
        <is>
          <t>MORA</t>
        </is>
      </c>
      <c r="F32" t="inlineStr">
        <is>
          <t>Allmännings- och besparingsskogar</t>
        </is>
      </c>
      <c r="G32" t="n">
        <v>1</v>
      </c>
      <c r="H32" t="n">
        <v>1</v>
      </c>
      <c r="I32" t="n">
        <v>3</v>
      </c>
      <c r="J32" t="n">
        <v>3</v>
      </c>
      <c r="K32" t="n">
        <v>1</v>
      </c>
      <c r="L32" t="n">
        <v>0</v>
      </c>
      <c r="M32" t="n">
        <v>0</v>
      </c>
      <c r="N32" t="n">
        <v>0</v>
      </c>
      <c r="O32" t="n">
        <v>4</v>
      </c>
      <c r="P32" t="n">
        <v>1</v>
      </c>
      <c r="Q32" t="n">
        <v>7</v>
      </c>
      <c r="R32" s="2" t="inlineStr">
        <is>
          <t>Knärot
Brunpudrad nållav
Garnlav
Vitgrynig nållav
Bronshjon
Thomsons trägnagare
Vågbandad barkbock</t>
        </is>
      </c>
      <c r="S32">
        <f>HYPERLINK("https://klasma.github.io/Logging_2062/artfynd/A 61259-2023 artfynd.xlsx", "A 61259-2023")</f>
        <v/>
      </c>
      <c r="T32">
        <f>HYPERLINK("https://klasma.github.io/Logging_2062/kartor/A 61259-2023 karta.png", "A 61259-2023")</f>
        <v/>
      </c>
      <c r="U32">
        <f>HYPERLINK("https://klasma.github.io/Logging_2062/knärot/A 61259-2023 karta knärot.png", "A 61259-2023")</f>
        <v/>
      </c>
      <c r="V32">
        <f>HYPERLINK("https://klasma.github.io/Logging_2062/klagomål/A 61259-2023 FSC-klagomål.docx", "A 61259-2023")</f>
        <v/>
      </c>
      <c r="W32">
        <f>HYPERLINK("https://klasma.github.io/Logging_2062/klagomålsmail/A 61259-2023 FSC-klagomål mail.docx", "A 61259-2023")</f>
        <v/>
      </c>
      <c r="X32">
        <f>HYPERLINK("https://klasma.github.io/Logging_2062/tillsyn/A 61259-2023 tillsynsbegäran.docx", "A 61259-2023")</f>
        <v/>
      </c>
      <c r="Y32">
        <f>HYPERLINK("https://klasma.github.io/Logging_2062/tillsynsmail/A 61259-2023 tillsynsbegäran mail.docx", "A 61259-2023")</f>
        <v/>
      </c>
    </row>
    <row r="33" ht="15" customHeight="1">
      <c r="A33" t="inlineStr">
        <is>
          <t>A 29380-2025</t>
        </is>
      </c>
      <c r="B33" s="1" t="n">
        <v>45824.59025462963</v>
      </c>
      <c r="C33" s="1" t="n">
        <v>45929</v>
      </c>
      <c r="D33" t="inlineStr">
        <is>
          <t>DALARNAS LÄN</t>
        </is>
      </c>
      <c r="E33" t="inlineStr">
        <is>
          <t>MORA</t>
        </is>
      </c>
      <c r="G33" t="n">
        <v>8</v>
      </c>
      <c r="H33" t="n">
        <v>2</v>
      </c>
      <c r="I33" t="n">
        <v>1</v>
      </c>
      <c r="J33" t="n">
        <v>5</v>
      </c>
      <c r="K33" t="n">
        <v>0</v>
      </c>
      <c r="L33" t="n">
        <v>0</v>
      </c>
      <c r="M33" t="n">
        <v>0</v>
      </c>
      <c r="N33" t="n">
        <v>0</v>
      </c>
      <c r="O33" t="n">
        <v>5</v>
      </c>
      <c r="P33" t="n">
        <v>0</v>
      </c>
      <c r="Q33" t="n">
        <v>7</v>
      </c>
      <c r="R33" s="2" t="inlineStr">
        <is>
          <t>Garnlav
Kolflarnlav
Mörk kolflarnlav
Tallticka
Talltita
Mindre märgborre
Tjäder</t>
        </is>
      </c>
      <c r="S33">
        <f>HYPERLINK("https://klasma.github.io/Logging_2062/artfynd/A 29380-2025 artfynd.xlsx", "A 29380-2025")</f>
        <v/>
      </c>
      <c r="T33">
        <f>HYPERLINK("https://klasma.github.io/Logging_2062/kartor/A 29380-2025 karta.png", "A 29380-2025")</f>
        <v/>
      </c>
      <c r="V33">
        <f>HYPERLINK("https://klasma.github.io/Logging_2062/klagomål/A 29380-2025 FSC-klagomål.docx", "A 29380-2025")</f>
        <v/>
      </c>
      <c r="W33">
        <f>HYPERLINK("https://klasma.github.io/Logging_2062/klagomålsmail/A 29380-2025 FSC-klagomål mail.docx", "A 29380-2025")</f>
        <v/>
      </c>
      <c r="X33">
        <f>HYPERLINK("https://klasma.github.io/Logging_2062/tillsyn/A 29380-2025 tillsynsbegäran.docx", "A 29380-2025")</f>
        <v/>
      </c>
      <c r="Y33">
        <f>HYPERLINK("https://klasma.github.io/Logging_2062/tillsynsmail/A 29380-2025 tillsynsbegäran mail.docx", "A 29380-2025")</f>
        <v/>
      </c>
      <c r="Z33">
        <f>HYPERLINK("https://klasma.github.io/Logging_2062/fåglar/A 29380-2025 prioriterade fågelarter.docx", "A 29380-2025")</f>
        <v/>
      </c>
    </row>
    <row r="34" ht="15" customHeight="1">
      <c r="A34" t="inlineStr">
        <is>
          <t>A 29520-2025</t>
        </is>
      </c>
      <c r="B34" s="1" t="n">
        <v>45825.3303125</v>
      </c>
      <c r="C34" s="1" t="n">
        <v>45929</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34719-2025</t>
        </is>
      </c>
      <c r="B35" s="1" t="n">
        <v>45848.53040509259</v>
      </c>
      <c r="C35" s="1" t="n">
        <v>45929</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34447-2024</t>
        </is>
      </c>
      <c r="B36" s="1" t="n">
        <v>45525</v>
      </c>
      <c r="C36" s="1" t="n">
        <v>45929</v>
      </c>
      <c r="D36" t="inlineStr">
        <is>
          <t>DALARNAS LÄN</t>
        </is>
      </c>
      <c r="E36" t="inlineStr">
        <is>
          <t>MORA</t>
        </is>
      </c>
      <c r="G36" t="n">
        <v>8.300000000000001</v>
      </c>
      <c r="H36" t="n">
        <v>0</v>
      </c>
      <c r="I36" t="n">
        <v>0</v>
      </c>
      <c r="J36" t="n">
        <v>6</v>
      </c>
      <c r="K36" t="n">
        <v>0</v>
      </c>
      <c r="L36" t="n">
        <v>0</v>
      </c>
      <c r="M36" t="n">
        <v>0</v>
      </c>
      <c r="N36" t="n">
        <v>0</v>
      </c>
      <c r="O36" t="n">
        <v>6</v>
      </c>
      <c r="P36" t="n">
        <v>0</v>
      </c>
      <c r="Q36" t="n">
        <v>6</v>
      </c>
      <c r="R36" s="2" t="inlineStr">
        <is>
          <t>Dvärgbägarlav
Garnlav
Kolflarnlav
Mörk kolflarnlav
Vedflamlav
Vedskivlav</t>
        </is>
      </c>
      <c r="S36">
        <f>HYPERLINK("https://klasma.github.io/Logging_2062/artfynd/A 34447-2024 artfynd.xlsx", "A 34447-2024")</f>
        <v/>
      </c>
      <c r="T36">
        <f>HYPERLINK("https://klasma.github.io/Logging_2062/kartor/A 34447-2024 karta.png", "A 34447-2024")</f>
        <v/>
      </c>
      <c r="V36">
        <f>HYPERLINK("https://klasma.github.io/Logging_2062/klagomål/A 34447-2024 FSC-klagomål.docx", "A 34447-2024")</f>
        <v/>
      </c>
      <c r="W36">
        <f>HYPERLINK("https://klasma.github.io/Logging_2062/klagomålsmail/A 34447-2024 FSC-klagomål mail.docx", "A 34447-2024")</f>
        <v/>
      </c>
      <c r="X36">
        <f>HYPERLINK("https://klasma.github.io/Logging_2062/tillsyn/A 34447-2024 tillsynsbegäran.docx", "A 34447-2024")</f>
        <v/>
      </c>
      <c r="Y36">
        <f>HYPERLINK("https://klasma.github.io/Logging_2062/tillsynsmail/A 34447-2024 tillsynsbegäran mail.docx", "A 34447-2024")</f>
        <v/>
      </c>
    </row>
    <row r="37" ht="15" customHeight="1">
      <c r="A37" t="inlineStr">
        <is>
          <t>A 31539-2025</t>
        </is>
      </c>
      <c r="B37" s="1" t="n">
        <v>45833</v>
      </c>
      <c r="C37" s="1" t="n">
        <v>45929</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45929</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8760-2025</t>
        </is>
      </c>
      <c r="B39" s="1" t="n">
        <v>45712.57467592593</v>
      </c>
      <c r="C39" s="1" t="n">
        <v>45929</v>
      </c>
      <c r="D39" t="inlineStr">
        <is>
          <t>DALARNAS LÄN</t>
        </is>
      </c>
      <c r="E39" t="inlineStr">
        <is>
          <t>MORA</t>
        </is>
      </c>
      <c r="F39" t="inlineStr">
        <is>
          <t>Allmännings- och besparingsskogar</t>
        </is>
      </c>
      <c r="G39" t="n">
        <v>36.6</v>
      </c>
      <c r="H39" t="n">
        <v>0</v>
      </c>
      <c r="I39" t="n">
        <v>0</v>
      </c>
      <c r="J39" t="n">
        <v>5</v>
      </c>
      <c r="K39" t="n">
        <v>0</v>
      </c>
      <c r="L39" t="n">
        <v>0</v>
      </c>
      <c r="M39" t="n">
        <v>0</v>
      </c>
      <c r="N39" t="n">
        <v>0</v>
      </c>
      <c r="O39" t="n">
        <v>5</v>
      </c>
      <c r="P39" t="n">
        <v>0</v>
      </c>
      <c r="Q39" t="n">
        <v>5</v>
      </c>
      <c r="R39" s="2" t="inlineStr">
        <is>
          <t>Garnlav
Mörk kolflarnlav
Skogshare
Vedflamlav
Vedskivlav</t>
        </is>
      </c>
      <c r="S39">
        <f>HYPERLINK("https://klasma.github.io/Logging_2062/artfynd/A 8760-2025 artfynd.xlsx", "A 8760-2025")</f>
        <v/>
      </c>
      <c r="T39">
        <f>HYPERLINK("https://klasma.github.io/Logging_2062/kartor/A 8760-2025 karta.png", "A 8760-2025")</f>
        <v/>
      </c>
      <c r="V39">
        <f>HYPERLINK("https://klasma.github.io/Logging_2062/klagomål/A 8760-2025 FSC-klagomål.docx", "A 8760-2025")</f>
        <v/>
      </c>
      <c r="W39">
        <f>HYPERLINK("https://klasma.github.io/Logging_2062/klagomålsmail/A 8760-2025 FSC-klagomål mail.docx", "A 8760-2025")</f>
        <v/>
      </c>
      <c r="X39">
        <f>HYPERLINK("https://klasma.github.io/Logging_2062/tillsyn/A 8760-2025 tillsynsbegäran.docx", "A 8760-2025")</f>
        <v/>
      </c>
      <c r="Y39">
        <f>HYPERLINK("https://klasma.github.io/Logging_2062/tillsynsmail/A 8760-2025 tillsynsbegäran mail.docx", "A 8760-2025")</f>
        <v/>
      </c>
    </row>
    <row r="40" ht="15" customHeight="1">
      <c r="A40" t="inlineStr">
        <is>
          <t>A 25750-2021</t>
        </is>
      </c>
      <c r="B40" s="1" t="n">
        <v>44343</v>
      </c>
      <c r="C40" s="1" t="n">
        <v>45929</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14293-2024</t>
        </is>
      </c>
      <c r="B41" s="1" t="n">
        <v>45393.63902777778</v>
      </c>
      <c r="C41" s="1" t="n">
        <v>45929</v>
      </c>
      <c r="D41" t="inlineStr">
        <is>
          <t>DALARNAS LÄN</t>
        </is>
      </c>
      <c r="E41" t="inlineStr">
        <is>
          <t>MORA</t>
        </is>
      </c>
      <c r="G41" t="n">
        <v>7.4</v>
      </c>
      <c r="H41" t="n">
        <v>2</v>
      </c>
      <c r="I41" t="n">
        <v>1</v>
      </c>
      <c r="J41" t="n">
        <v>2</v>
      </c>
      <c r="K41" t="n">
        <v>0</v>
      </c>
      <c r="L41" t="n">
        <v>0</v>
      </c>
      <c r="M41" t="n">
        <v>0</v>
      </c>
      <c r="N41" t="n">
        <v>0</v>
      </c>
      <c r="O41" t="n">
        <v>2</v>
      </c>
      <c r="P41" t="n">
        <v>0</v>
      </c>
      <c r="Q41" t="n">
        <v>4</v>
      </c>
      <c r="R41" s="2" t="inlineStr">
        <is>
          <t>Garnlav
Talltita
Dropptaggsvamp
Tjäder</t>
        </is>
      </c>
      <c r="S41">
        <f>HYPERLINK("https://klasma.github.io/Logging_2062/artfynd/A 14293-2024 artfynd.xlsx", "A 14293-2024")</f>
        <v/>
      </c>
      <c r="T41">
        <f>HYPERLINK("https://klasma.github.io/Logging_2062/kartor/A 14293-2024 karta.png", "A 14293-2024")</f>
        <v/>
      </c>
      <c r="V41">
        <f>HYPERLINK("https://klasma.github.io/Logging_2062/klagomål/A 14293-2024 FSC-klagomål.docx", "A 14293-2024")</f>
        <v/>
      </c>
      <c r="W41">
        <f>HYPERLINK("https://klasma.github.io/Logging_2062/klagomålsmail/A 14293-2024 FSC-klagomål mail.docx", "A 14293-2024")</f>
        <v/>
      </c>
      <c r="X41">
        <f>HYPERLINK("https://klasma.github.io/Logging_2062/tillsyn/A 14293-2024 tillsynsbegäran.docx", "A 14293-2024")</f>
        <v/>
      </c>
      <c r="Y41">
        <f>HYPERLINK("https://klasma.github.io/Logging_2062/tillsynsmail/A 14293-2024 tillsynsbegäran mail.docx", "A 14293-2024")</f>
        <v/>
      </c>
      <c r="Z41">
        <f>HYPERLINK("https://klasma.github.io/Logging_2062/fåglar/A 14293-2024 prioriterade fågelarter.docx", "A 14293-2024")</f>
        <v/>
      </c>
    </row>
    <row r="42" ht="15" customHeight="1">
      <c r="A42" t="inlineStr">
        <is>
          <t>A 17648-2024</t>
        </is>
      </c>
      <c r="B42" s="1" t="n">
        <v>45418.39261574074</v>
      </c>
      <c r="C42" s="1" t="n">
        <v>45929</v>
      </c>
      <c r="D42" t="inlineStr">
        <is>
          <t>DALARNAS LÄN</t>
        </is>
      </c>
      <c r="E42" t="inlineStr">
        <is>
          <t>MORA</t>
        </is>
      </c>
      <c r="G42" t="n">
        <v>1.7</v>
      </c>
      <c r="H42" t="n">
        <v>4</v>
      </c>
      <c r="I42" t="n">
        <v>0</v>
      </c>
      <c r="J42" t="n">
        <v>2</v>
      </c>
      <c r="K42" t="n">
        <v>0</v>
      </c>
      <c r="L42" t="n">
        <v>0</v>
      </c>
      <c r="M42" t="n">
        <v>0</v>
      </c>
      <c r="N42" t="n">
        <v>0</v>
      </c>
      <c r="O42" t="n">
        <v>2</v>
      </c>
      <c r="P42" t="n">
        <v>0</v>
      </c>
      <c r="Q42" t="n">
        <v>4</v>
      </c>
      <c r="R42" s="2" t="inlineStr">
        <is>
          <t>Brunlångöra
Nordfladdermus
Dvärgpipistrell
Vattenfladdermus</t>
        </is>
      </c>
      <c r="S42">
        <f>HYPERLINK("https://klasma.github.io/Logging_2062/artfynd/A 17648-2024 artfynd.xlsx", "A 17648-2024")</f>
        <v/>
      </c>
      <c r="T42">
        <f>HYPERLINK("https://klasma.github.io/Logging_2062/kartor/A 17648-2024 karta.png", "A 17648-2024")</f>
        <v/>
      </c>
      <c r="V42">
        <f>HYPERLINK("https://klasma.github.io/Logging_2062/klagomål/A 17648-2024 FSC-klagomål.docx", "A 17648-2024")</f>
        <v/>
      </c>
      <c r="W42">
        <f>HYPERLINK("https://klasma.github.io/Logging_2062/klagomålsmail/A 17648-2024 FSC-klagomål mail.docx", "A 17648-2024")</f>
        <v/>
      </c>
      <c r="X42">
        <f>HYPERLINK("https://klasma.github.io/Logging_2062/tillsyn/A 17648-2024 tillsynsbegäran.docx", "A 17648-2024")</f>
        <v/>
      </c>
      <c r="Y42">
        <f>HYPERLINK("https://klasma.github.io/Logging_2062/tillsynsmail/A 17648-2024 tillsynsbegäran mail.docx", "A 17648-2024")</f>
        <v/>
      </c>
    </row>
    <row r="43" ht="15" customHeight="1">
      <c r="A43" t="inlineStr">
        <is>
          <t>A 14829-2025</t>
        </is>
      </c>
      <c r="B43" s="1" t="n">
        <v>45743.36951388889</v>
      </c>
      <c r="C43" s="1" t="n">
        <v>45929</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HYPERLINK("https://klasma.github.io/Logging_2062/artfynd/A 14829-2025 artfynd.xlsx", "A 14829-2025")</f>
        <v/>
      </c>
      <c r="T43">
        <f>HYPERLINK("https://klasma.github.io/Logging_2062/kartor/A 14829-2025 karta.png", "A 14829-2025")</f>
        <v/>
      </c>
      <c r="V43">
        <f>HYPERLINK("https://klasma.github.io/Logging_2062/klagomål/A 14829-2025 FSC-klagomål.docx", "A 14829-2025")</f>
        <v/>
      </c>
      <c r="W43">
        <f>HYPERLINK("https://klasma.github.io/Logging_2062/klagomålsmail/A 14829-2025 FSC-klagomål mail.docx", "A 14829-2025")</f>
        <v/>
      </c>
      <c r="X43">
        <f>HYPERLINK("https://klasma.github.io/Logging_2062/tillsyn/A 14829-2025 tillsynsbegäran.docx", "A 14829-2025")</f>
        <v/>
      </c>
      <c r="Y43">
        <f>HYPERLINK("https://klasma.github.io/Logging_2062/tillsynsmail/A 14829-2025 tillsynsbegäran mail.docx", "A 14829-2025")</f>
        <v/>
      </c>
      <c r="Z43">
        <f>HYPERLINK("https://klasma.github.io/Logging_2062/fåglar/A 14829-2025 prioriterade fågelarter.docx", "A 14829-2025")</f>
        <v/>
      </c>
    </row>
    <row r="44" ht="15" customHeight="1">
      <c r="A44" t="inlineStr">
        <is>
          <t>A 34715-2025</t>
        </is>
      </c>
      <c r="B44" s="1" t="n">
        <v>45848.52225694444</v>
      </c>
      <c r="C44" s="1" t="n">
        <v>45929</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32222-2025</t>
        </is>
      </c>
      <c r="B45" s="1" t="n">
        <v>45835.59140046296</v>
      </c>
      <c r="C45" s="1" t="n">
        <v>45929</v>
      </c>
      <c r="D45" t="inlineStr">
        <is>
          <t>DALARNAS LÄN</t>
        </is>
      </c>
      <c r="E45" t="inlineStr">
        <is>
          <t>MORA</t>
        </is>
      </c>
      <c r="G45" t="n">
        <v>11.5</v>
      </c>
      <c r="H45" t="n">
        <v>1</v>
      </c>
      <c r="I45" t="n">
        <v>0</v>
      </c>
      <c r="J45" t="n">
        <v>4</v>
      </c>
      <c r="K45" t="n">
        <v>0</v>
      </c>
      <c r="L45" t="n">
        <v>0</v>
      </c>
      <c r="M45" t="n">
        <v>0</v>
      </c>
      <c r="N45" t="n">
        <v>0</v>
      </c>
      <c r="O45" t="n">
        <v>4</v>
      </c>
      <c r="P45" t="n">
        <v>0</v>
      </c>
      <c r="Q45" t="n">
        <v>4</v>
      </c>
      <c r="R45" s="2" t="inlineStr">
        <is>
          <t>Garnlav
Reliktbock
Tallticka
Tretåig hackspett</t>
        </is>
      </c>
      <c r="S45">
        <f>HYPERLINK("https://klasma.github.io/Logging_2062/artfynd/A 32222-2025 artfynd.xlsx", "A 32222-2025")</f>
        <v/>
      </c>
      <c r="T45">
        <f>HYPERLINK("https://klasma.github.io/Logging_2062/kartor/A 32222-2025 karta.png", "A 32222-2025")</f>
        <v/>
      </c>
      <c r="V45">
        <f>HYPERLINK("https://klasma.github.io/Logging_2062/klagomål/A 32222-2025 FSC-klagomål.docx", "A 32222-2025")</f>
        <v/>
      </c>
      <c r="W45">
        <f>HYPERLINK("https://klasma.github.io/Logging_2062/klagomålsmail/A 32222-2025 FSC-klagomål mail.docx", "A 32222-2025")</f>
        <v/>
      </c>
      <c r="X45">
        <f>HYPERLINK("https://klasma.github.io/Logging_2062/tillsyn/A 32222-2025 tillsynsbegäran.docx", "A 32222-2025")</f>
        <v/>
      </c>
      <c r="Y45">
        <f>HYPERLINK("https://klasma.github.io/Logging_2062/tillsynsmail/A 32222-2025 tillsynsbegäran mail.docx", "A 32222-2025")</f>
        <v/>
      </c>
      <c r="Z45">
        <f>HYPERLINK("https://klasma.github.io/Logging_2062/fåglar/A 32222-2025 prioriterade fågelarter.docx", "A 32222-2025")</f>
        <v/>
      </c>
    </row>
    <row r="46" ht="15" customHeight="1">
      <c r="A46" t="inlineStr">
        <is>
          <t>A 39483-2025</t>
        </is>
      </c>
      <c r="B46" s="1" t="n">
        <v>45890.35881944445</v>
      </c>
      <c r="C46" s="1" t="n">
        <v>45929</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39478-2025</t>
        </is>
      </c>
      <c r="B47" s="1" t="n">
        <v>45890.3469212963</v>
      </c>
      <c r="C47" s="1" t="n">
        <v>45929</v>
      </c>
      <c r="D47" t="inlineStr">
        <is>
          <t>DALARNAS LÄN</t>
        </is>
      </c>
      <c r="E47" t="inlineStr">
        <is>
          <t>MORA</t>
        </is>
      </c>
      <c r="G47" t="n">
        <v>1.8</v>
      </c>
      <c r="H47" t="n">
        <v>0</v>
      </c>
      <c r="I47" t="n">
        <v>0</v>
      </c>
      <c r="J47" t="n">
        <v>4</v>
      </c>
      <c r="K47" t="n">
        <v>0</v>
      </c>
      <c r="L47" t="n">
        <v>0</v>
      </c>
      <c r="M47" t="n">
        <v>0</v>
      </c>
      <c r="N47" t="n">
        <v>0</v>
      </c>
      <c r="O47" t="n">
        <v>4</v>
      </c>
      <c r="P47" t="n">
        <v>0</v>
      </c>
      <c r="Q47" t="n">
        <v>4</v>
      </c>
      <c r="R47" s="2" t="inlineStr">
        <is>
          <t>Garnlav
Mörk kolflarnlav
Vedflamlav
Vedskivlav</t>
        </is>
      </c>
      <c r="S47">
        <f>HYPERLINK("https://klasma.github.io/Logging_2062/artfynd/A 39478-2025 artfynd.xlsx", "A 39478-2025")</f>
        <v/>
      </c>
      <c r="T47">
        <f>HYPERLINK("https://klasma.github.io/Logging_2062/kartor/A 39478-2025 karta.png", "A 39478-2025")</f>
        <v/>
      </c>
      <c r="V47">
        <f>HYPERLINK("https://klasma.github.io/Logging_2062/klagomål/A 39478-2025 FSC-klagomål.docx", "A 39478-2025")</f>
        <v/>
      </c>
      <c r="W47">
        <f>HYPERLINK("https://klasma.github.io/Logging_2062/klagomålsmail/A 39478-2025 FSC-klagomål mail.docx", "A 39478-2025")</f>
        <v/>
      </c>
      <c r="X47">
        <f>HYPERLINK("https://klasma.github.io/Logging_2062/tillsyn/A 39478-2025 tillsynsbegäran.docx", "A 39478-2025")</f>
        <v/>
      </c>
      <c r="Y47">
        <f>HYPERLINK("https://klasma.github.io/Logging_2062/tillsynsmail/A 39478-2025 tillsynsbegäran mail.docx", "A 39478-2025")</f>
        <v/>
      </c>
    </row>
    <row r="48" ht="15" customHeight="1">
      <c r="A48" t="inlineStr">
        <is>
          <t>A 24220-2025</t>
        </is>
      </c>
      <c r="B48" s="1" t="n">
        <v>45797.3635300926</v>
      </c>
      <c r="C48" s="1" t="n">
        <v>45929</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29392-2025</t>
        </is>
      </c>
      <c r="B49" s="1" t="n">
        <v>45824.60537037037</v>
      </c>
      <c r="C49" s="1" t="n">
        <v>45929</v>
      </c>
      <c r="D49" t="inlineStr">
        <is>
          <t>DALARNAS LÄN</t>
        </is>
      </c>
      <c r="E49" t="inlineStr">
        <is>
          <t>MORA</t>
        </is>
      </c>
      <c r="G49" t="n">
        <v>1</v>
      </c>
      <c r="H49" t="n">
        <v>1</v>
      </c>
      <c r="I49" t="n">
        <v>2</v>
      </c>
      <c r="J49" t="n">
        <v>1</v>
      </c>
      <c r="K49" t="n">
        <v>0</v>
      </c>
      <c r="L49" t="n">
        <v>0</v>
      </c>
      <c r="M49" t="n">
        <v>0</v>
      </c>
      <c r="N49" t="n">
        <v>0</v>
      </c>
      <c r="O49" t="n">
        <v>1</v>
      </c>
      <c r="P49" t="n">
        <v>0</v>
      </c>
      <c r="Q49" t="n">
        <v>3</v>
      </c>
      <c r="R49" s="2" t="inlineStr">
        <is>
          <t>Garnlav
Mindre märgborre
Plattlummer</t>
        </is>
      </c>
      <c r="S49">
        <f>HYPERLINK("https://klasma.github.io/Logging_2062/artfynd/A 29392-2025 artfynd.xlsx", "A 29392-2025")</f>
        <v/>
      </c>
      <c r="T49">
        <f>HYPERLINK("https://klasma.github.io/Logging_2062/kartor/A 29392-2025 karta.png", "A 29392-2025")</f>
        <v/>
      </c>
      <c r="V49">
        <f>HYPERLINK("https://klasma.github.io/Logging_2062/klagomål/A 29392-2025 FSC-klagomål.docx", "A 29392-2025")</f>
        <v/>
      </c>
      <c r="W49">
        <f>HYPERLINK("https://klasma.github.io/Logging_2062/klagomålsmail/A 29392-2025 FSC-klagomål mail.docx", "A 29392-2025")</f>
        <v/>
      </c>
      <c r="X49">
        <f>HYPERLINK("https://klasma.github.io/Logging_2062/tillsyn/A 29392-2025 tillsynsbegäran.docx", "A 29392-2025")</f>
        <v/>
      </c>
      <c r="Y49">
        <f>HYPERLINK("https://klasma.github.io/Logging_2062/tillsynsmail/A 29392-2025 tillsynsbegäran mail.docx", "A 29392-2025")</f>
        <v/>
      </c>
    </row>
    <row r="50" ht="15" customHeight="1">
      <c r="A50" t="inlineStr">
        <is>
          <t>A 33380-2025</t>
        </is>
      </c>
      <c r="B50" s="1" t="n">
        <v>45841.40309027778</v>
      </c>
      <c r="C50" s="1" t="n">
        <v>45929</v>
      </c>
      <c r="D50" t="inlineStr">
        <is>
          <t>DALARNAS LÄN</t>
        </is>
      </c>
      <c r="E50" t="inlineStr">
        <is>
          <t>MORA</t>
        </is>
      </c>
      <c r="G50" t="n">
        <v>6.6</v>
      </c>
      <c r="H50" t="n">
        <v>2</v>
      </c>
      <c r="I50" t="n">
        <v>0</v>
      </c>
      <c r="J50" t="n">
        <v>3</v>
      </c>
      <c r="K50" t="n">
        <v>0</v>
      </c>
      <c r="L50" t="n">
        <v>0</v>
      </c>
      <c r="M50" t="n">
        <v>0</v>
      </c>
      <c r="N50" t="n">
        <v>0</v>
      </c>
      <c r="O50" t="n">
        <v>3</v>
      </c>
      <c r="P50" t="n">
        <v>0</v>
      </c>
      <c r="Q50" t="n">
        <v>3</v>
      </c>
      <c r="R50" s="2" t="inlineStr">
        <is>
          <t>Garnlav
Rödvingetrast
Spillkråka</t>
        </is>
      </c>
      <c r="S50">
        <f>HYPERLINK("https://klasma.github.io/Logging_2062/artfynd/A 33380-2025 artfynd.xlsx", "A 33380-2025")</f>
        <v/>
      </c>
      <c r="T50">
        <f>HYPERLINK("https://klasma.github.io/Logging_2062/kartor/A 33380-2025 karta.png", "A 33380-2025")</f>
        <v/>
      </c>
      <c r="V50">
        <f>HYPERLINK("https://klasma.github.io/Logging_2062/klagomål/A 33380-2025 FSC-klagomål.docx", "A 33380-2025")</f>
        <v/>
      </c>
      <c r="W50">
        <f>HYPERLINK("https://klasma.github.io/Logging_2062/klagomålsmail/A 33380-2025 FSC-klagomål mail.docx", "A 33380-2025")</f>
        <v/>
      </c>
      <c r="X50">
        <f>HYPERLINK("https://klasma.github.io/Logging_2062/tillsyn/A 33380-2025 tillsynsbegäran.docx", "A 33380-2025")</f>
        <v/>
      </c>
      <c r="Y50">
        <f>HYPERLINK("https://klasma.github.io/Logging_2062/tillsynsmail/A 33380-2025 tillsynsbegäran mail.docx", "A 33380-2025")</f>
        <v/>
      </c>
      <c r="Z50">
        <f>HYPERLINK("https://klasma.github.io/Logging_2062/fåglar/A 33380-2025 prioriterade fågelarter.docx", "A 33380-2025")</f>
        <v/>
      </c>
    </row>
    <row r="51" ht="15" customHeight="1">
      <c r="A51" t="inlineStr">
        <is>
          <t>A 39481-2025</t>
        </is>
      </c>
      <c r="B51" s="1" t="n">
        <v>45890.35545138889</v>
      </c>
      <c r="C51" s="1" t="n">
        <v>45929</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59626-2020</t>
        </is>
      </c>
      <c r="B52" s="1" t="n">
        <v>44150</v>
      </c>
      <c r="C52" s="1" t="n">
        <v>45929</v>
      </c>
      <c r="D52" t="inlineStr">
        <is>
          <t>DALARNAS LÄN</t>
        </is>
      </c>
      <c r="E52" t="inlineStr">
        <is>
          <t>MORA</t>
        </is>
      </c>
      <c r="F52" t="inlineStr">
        <is>
          <t>Bergvik skog öst AB</t>
        </is>
      </c>
      <c r="G52" t="n">
        <v>3.8</v>
      </c>
      <c r="H52" t="n">
        <v>0</v>
      </c>
      <c r="I52" t="n">
        <v>1</v>
      </c>
      <c r="J52" t="n">
        <v>1</v>
      </c>
      <c r="K52" t="n">
        <v>0</v>
      </c>
      <c r="L52" t="n">
        <v>0</v>
      </c>
      <c r="M52" t="n">
        <v>0</v>
      </c>
      <c r="N52" t="n">
        <v>0</v>
      </c>
      <c r="O52" t="n">
        <v>1</v>
      </c>
      <c r="P52" t="n">
        <v>0</v>
      </c>
      <c r="Q52" t="n">
        <v>2</v>
      </c>
      <c r="R52" s="2" t="inlineStr">
        <is>
          <t>Motaggsvamp
Dropptaggsvamp</t>
        </is>
      </c>
      <c r="S52">
        <f>HYPERLINK("https://klasma.github.io/Logging_2062/artfynd/A 59626-2020 artfynd.xlsx", "A 59626-2020")</f>
        <v/>
      </c>
      <c r="T52">
        <f>HYPERLINK("https://klasma.github.io/Logging_2062/kartor/A 59626-2020 karta.png", "A 59626-2020")</f>
        <v/>
      </c>
      <c r="V52">
        <f>HYPERLINK("https://klasma.github.io/Logging_2062/klagomål/A 59626-2020 FSC-klagomål.docx", "A 59626-2020")</f>
        <v/>
      </c>
      <c r="W52">
        <f>HYPERLINK("https://klasma.github.io/Logging_2062/klagomålsmail/A 59626-2020 FSC-klagomål mail.docx", "A 59626-2020")</f>
        <v/>
      </c>
      <c r="X52">
        <f>HYPERLINK("https://klasma.github.io/Logging_2062/tillsyn/A 59626-2020 tillsynsbegäran.docx", "A 59626-2020")</f>
        <v/>
      </c>
      <c r="Y52">
        <f>HYPERLINK("https://klasma.github.io/Logging_2062/tillsynsmail/A 59626-2020 tillsynsbegäran mail.docx", "A 59626-2020")</f>
        <v/>
      </c>
    </row>
    <row r="53" ht="15" customHeight="1">
      <c r="A53" t="inlineStr">
        <is>
          <t>A 62286-2020</t>
        </is>
      </c>
      <c r="B53" s="1" t="n">
        <v>44160</v>
      </c>
      <c r="C53" s="1" t="n">
        <v>45929</v>
      </c>
      <c r="D53" t="inlineStr">
        <is>
          <t>DALARNAS LÄN</t>
        </is>
      </c>
      <c r="E53" t="inlineStr">
        <is>
          <t>MORA</t>
        </is>
      </c>
      <c r="G53" t="n">
        <v>0.6</v>
      </c>
      <c r="H53" t="n">
        <v>1</v>
      </c>
      <c r="I53" t="n">
        <v>1</v>
      </c>
      <c r="J53" t="n">
        <v>1</v>
      </c>
      <c r="K53" t="n">
        <v>0</v>
      </c>
      <c r="L53" t="n">
        <v>0</v>
      </c>
      <c r="M53" t="n">
        <v>0</v>
      </c>
      <c r="N53" t="n">
        <v>0</v>
      </c>
      <c r="O53" t="n">
        <v>1</v>
      </c>
      <c r="P53" t="n">
        <v>0</v>
      </c>
      <c r="Q53" t="n">
        <v>2</v>
      </c>
      <c r="R53" s="2" t="inlineStr">
        <is>
          <t>Brun gräsfjäril
Traslav</t>
        </is>
      </c>
      <c r="S53">
        <f>HYPERLINK("https://klasma.github.io/Logging_2062/artfynd/A 62286-2020 artfynd.xlsx", "A 62286-2020")</f>
        <v/>
      </c>
      <c r="T53">
        <f>HYPERLINK("https://klasma.github.io/Logging_2062/kartor/A 62286-2020 karta.png", "A 62286-2020")</f>
        <v/>
      </c>
      <c r="V53">
        <f>HYPERLINK("https://klasma.github.io/Logging_2062/klagomål/A 62286-2020 FSC-klagomål.docx", "A 62286-2020")</f>
        <v/>
      </c>
      <c r="W53">
        <f>HYPERLINK("https://klasma.github.io/Logging_2062/klagomålsmail/A 62286-2020 FSC-klagomål mail.docx", "A 62286-2020")</f>
        <v/>
      </c>
      <c r="X53">
        <f>HYPERLINK("https://klasma.github.io/Logging_2062/tillsyn/A 62286-2020 tillsynsbegäran.docx", "A 62286-2020")</f>
        <v/>
      </c>
      <c r="Y53">
        <f>HYPERLINK("https://klasma.github.io/Logging_2062/tillsynsmail/A 62286-2020 tillsynsbegäran mail.docx", "A 62286-2020")</f>
        <v/>
      </c>
    </row>
    <row r="54" ht="15" customHeight="1">
      <c r="A54" t="inlineStr">
        <is>
          <t>A 24126-2025</t>
        </is>
      </c>
      <c r="B54" s="1" t="n">
        <v>45796.63011574074</v>
      </c>
      <c r="C54" s="1" t="n">
        <v>45929</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23163-2025</t>
        </is>
      </c>
      <c r="B55" s="1" t="n">
        <v>45791.41832175926</v>
      </c>
      <c r="C55" s="1" t="n">
        <v>45929</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HYPERLINK("https://klasma.github.io/Logging_2062/artfynd/A 23163-2025 artfynd.xlsx", "A 23163-2025")</f>
        <v/>
      </c>
      <c r="T55">
        <f>HYPERLINK("https://klasma.github.io/Logging_2062/kartor/A 23163-2025 karta.png", "A 23163-2025")</f>
        <v/>
      </c>
      <c r="V55">
        <f>HYPERLINK("https://klasma.github.io/Logging_2062/klagomål/A 23163-2025 FSC-klagomål.docx", "A 23163-2025")</f>
        <v/>
      </c>
      <c r="W55">
        <f>HYPERLINK("https://klasma.github.io/Logging_2062/klagomålsmail/A 23163-2025 FSC-klagomål mail.docx", "A 23163-2025")</f>
        <v/>
      </c>
      <c r="X55">
        <f>HYPERLINK("https://klasma.github.io/Logging_2062/tillsyn/A 23163-2025 tillsynsbegäran.docx", "A 23163-2025")</f>
        <v/>
      </c>
      <c r="Y55">
        <f>HYPERLINK("https://klasma.github.io/Logging_2062/tillsynsmail/A 23163-2025 tillsynsbegäran mail.docx", "A 23163-2025")</f>
        <v/>
      </c>
      <c r="Z55">
        <f>HYPERLINK("https://klasma.github.io/Logging_2062/fåglar/A 23163-2025 prioriterade fågelarter.docx", "A 23163-2025")</f>
        <v/>
      </c>
    </row>
    <row r="56" ht="15" customHeight="1">
      <c r="A56" t="inlineStr">
        <is>
          <t>A 42028-2023</t>
        </is>
      </c>
      <c r="B56" s="1" t="n">
        <v>45177.49715277777</v>
      </c>
      <c r="C56" s="1" t="n">
        <v>45929</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35068-2025</t>
        </is>
      </c>
      <c r="B57" s="1" t="n">
        <v>45852.45686342593</v>
      </c>
      <c r="C57" s="1" t="n">
        <v>45929</v>
      </c>
      <c r="D57" t="inlineStr">
        <is>
          <t>DALARNAS LÄN</t>
        </is>
      </c>
      <c r="E57" t="inlineStr">
        <is>
          <t>MORA</t>
        </is>
      </c>
      <c r="G57" t="n">
        <v>0.7</v>
      </c>
      <c r="H57" t="n">
        <v>0</v>
      </c>
      <c r="I57" t="n">
        <v>1</v>
      </c>
      <c r="J57" t="n">
        <v>1</v>
      </c>
      <c r="K57" t="n">
        <v>0</v>
      </c>
      <c r="L57" t="n">
        <v>0</v>
      </c>
      <c r="M57" t="n">
        <v>0</v>
      </c>
      <c r="N57" t="n">
        <v>0</v>
      </c>
      <c r="O57" t="n">
        <v>1</v>
      </c>
      <c r="P57" t="n">
        <v>0</v>
      </c>
      <c r="Q57" t="n">
        <v>2</v>
      </c>
      <c r="R57" s="2" t="inlineStr">
        <is>
          <t>Garnlav
Mindre märgborre</t>
        </is>
      </c>
      <c r="S57">
        <f>HYPERLINK("https://klasma.github.io/Logging_2062/artfynd/A 35068-2025 artfynd.xlsx", "A 35068-2025")</f>
        <v/>
      </c>
      <c r="T57">
        <f>HYPERLINK("https://klasma.github.io/Logging_2062/kartor/A 35068-2025 karta.png", "A 35068-2025")</f>
        <v/>
      </c>
      <c r="V57">
        <f>HYPERLINK("https://klasma.github.io/Logging_2062/klagomål/A 35068-2025 FSC-klagomål.docx", "A 35068-2025")</f>
        <v/>
      </c>
      <c r="W57">
        <f>HYPERLINK("https://klasma.github.io/Logging_2062/klagomålsmail/A 35068-2025 FSC-klagomål mail.docx", "A 35068-2025")</f>
        <v/>
      </c>
      <c r="X57">
        <f>HYPERLINK("https://klasma.github.io/Logging_2062/tillsyn/A 35068-2025 tillsynsbegäran.docx", "A 35068-2025")</f>
        <v/>
      </c>
      <c r="Y57">
        <f>HYPERLINK("https://klasma.github.io/Logging_2062/tillsynsmail/A 35068-2025 tillsynsbegäran mail.docx", "A 35068-2025")</f>
        <v/>
      </c>
    </row>
    <row r="58" ht="15" customHeight="1">
      <c r="A58" t="inlineStr">
        <is>
          <t>A 30328-2021</t>
        </is>
      </c>
      <c r="B58" s="1" t="n">
        <v>44364</v>
      </c>
      <c r="C58" s="1" t="n">
        <v>45929</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45344-2024</t>
        </is>
      </c>
      <c r="B59" s="1" t="n">
        <v>45576</v>
      </c>
      <c r="C59" s="1" t="n">
        <v>45929</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57669-2022</t>
        </is>
      </c>
      <c r="B60" s="1" t="n">
        <v>44897</v>
      </c>
      <c r="C60" s="1" t="n">
        <v>45929</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16094-2024</t>
        </is>
      </c>
      <c r="B61" s="1" t="n">
        <v>45406.41648148148</v>
      </c>
      <c r="C61" s="1" t="n">
        <v>45929</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23736-2023</t>
        </is>
      </c>
      <c r="B62" s="1" t="n">
        <v>45077</v>
      </c>
      <c r="C62" s="1" t="n">
        <v>45929</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20538-2025</t>
        </is>
      </c>
      <c r="B63" s="1" t="n">
        <v>45775.62283564815</v>
      </c>
      <c r="C63" s="1" t="n">
        <v>45929</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20538-2025 artfynd.xlsx", "A 20538-2025")</f>
        <v/>
      </c>
      <c r="T63">
        <f>HYPERLINK("https://klasma.github.io/Logging_2062/kartor/A 20538-2025 karta.png", "A 20538-2025")</f>
        <v/>
      </c>
      <c r="V63">
        <f>HYPERLINK("https://klasma.github.io/Logging_2062/klagomål/A 20538-2025 FSC-klagomål.docx", "A 20538-2025")</f>
        <v/>
      </c>
      <c r="W63">
        <f>HYPERLINK("https://klasma.github.io/Logging_2062/klagomålsmail/A 20538-2025 FSC-klagomål mail.docx", "A 20538-2025")</f>
        <v/>
      </c>
      <c r="X63">
        <f>HYPERLINK("https://klasma.github.io/Logging_2062/tillsyn/A 20538-2025 tillsynsbegäran.docx", "A 20538-2025")</f>
        <v/>
      </c>
      <c r="Y63">
        <f>HYPERLINK("https://klasma.github.io/Logging_2062/tillsynsmail/A 20538-2025 tillsynsbegäran mail.docx", "A 20538-2025")</f>
        <v/>
      </c>
    </row>
    <row r="64" ht="15" customHeight="1">
      <c r="A64" t="inlineStr">
        <is>
          <t>A 13717-2023</t>
        </is>
      </c>
      <c r="B64" s="1" t="n">
        <v>45007</v>
      </c>
      <c r="C64" s="1" t="n">
        <v>45929</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5304-2023</t>
        </is>
      </c>
      <c r="B65" s="1" t="n">
        <v>44959.55116898148</v>
      </c>
      <c r="C65" s="1" t="n">
        <v>45929</v>
      </c>
      <c r="D65" t="inlineStr">
        <is>
          <t>DALARNAS LÄN</t>
        </is>
      </c>
      <c r="E65" t="inlineStr">
        <is>
          <t>MORA</t>
        </is>
      </c>
      <c r="F65" t="inlineStr">
        <is>
          <t>Bergvik skog väst AB</t>
        </is>
      </c>
      <c r="G65" t="n">
        <v>7.3</v>
      </c>
      <c r="H65" t="n">
        <v>0</v>
      </c>
      <c r="I65" t="n">
        <v>0</v>
      </c>
      <c r="J65" t="n">
        <v>1</v>
      </c>
      <c r="K65" t="n">
        <v>0</v>
      </c>
      <c r="L65" t="n">
        <v>0</v>
      </c>
      <c r="M65" t="n">
        <v>0</v>
      </c>
      <c r="N65" t="n">
        <v>0</v>
      </c>
      <c r="O65" t="n">
        <v>1</v>
      </c>
      <c r="P65" t="n">
        <v>0</v>
      </c>
      <c r="Q65" t="n">
        <v>1</v>
      </c>
      <c r="R65" s="2" t="inlineStr">
        <is>
          <t>Backruta</t>
        </is>
      </c>
      <c r="S65">
        <f>HYPERLINK("https://klasma.github.io/Logging_2062/artfynd/A 5304-2023 artfynd.xlsx", "A 5304-2023")</f>
        <v/>
      </c>
      <c r="T65">
        <f>HYPERLINK("https://klasma.github.io/Logging_2062/kartor/A 5304-2023 karta.png", "A 5304-2023")</f>
        <v/>
      </c>
      <c r="V65">
        <f>HYPERLINK("https://klasma.github.io/Logging_2062/klagomål/A 5304-2023 FSC-klagomål.docx", "A 5304-2023")</f>
        <v/>
      </c>
      <c r="W65">
        <f>HYPERLINK("https://klasma.github.io/Logging_2062/klagomålsmail/A 5304-2023 FSC-klagomål mail.docx", "A 5304-2023")</f>
        <v/>
      </c>
      <c r="X65">
        <f>HYPERLINK("https://klasma.github.io/Logging_2062/tillsyn/A 5304-2023 tillsynsbegäran.docx", "A 5304-2023")</f>
        <v/>
      </c>
      <c r="Y65">
        <f>HYPERLINK("https://klasma.github.io/Logging_2062/tillsynsmail/A 5304-2023 tillsynsbegäran mail.docx", "A 5304-2023")</f>
        <v/>
      </c>
    </row>
    <row r="66" ht="15" customHeight="1">
      <c r="A66" t="inlineStr">
        <is>
          <t>A 37552-2023</t>
        </is>
      </c>
      <c r="B66" s="1" t="n">
        <v>45159.32799768518</v>
      </c>
      <c r="C66" s="1" t="n">
        <v>45929</v>
      </c>
      <c r="D66" t="inlineStr">
        <is>
          <t>DALARNAS LÄN</t>
        </is>
      </c>
      <c r="E66" t="inlineStr">
        <is>
          <t>MORA</t>
        </is>
      </c>
      <c r="G66" t="n">
        <v>4</v>
      </c>
      <c r="H66" t="n">
        <v>0</v>
      </c>
      <c r="I66" t="n">
        <v>0</v>
      </c>
      <c r="J66" t="n">
        <v>1</v>
      </c>
      <c r="K66" t="n">
        <v>0</v>
      </c>
      <c r="L66" t="n">
        <v>0</v>
      </c>
      <c r="M66" t="n">
        <v>0</v>
      </c>
      <c r="N66" t="n">
        <v>0</v>
      </c>
      <c r="O66" t="n">
        <v>1</v>
      </c>
      <c r="P66" t="n">
        <v>0</v>
      </c>
      <c r="Q66" t="n">
        <v>1</v>
      </c>
      <c r="R66" s="2" t="inlineStr">
        <is>
          <t>Tallticka</t>
        </is>
      </c>
      <c r="S66">
        <f>HYPERLINK("https://klasma.github.io/Logging_2062/artfynd/A 37552-2023 artfynd.xlsx", "A 37552-2023")</f>
        <v/>
      </c>
      <c r="T66">
        <f>HYPERLINK("https://klasma.github.io/Logging_2062/kartor/A 37552-2023 karta.png", "A 37552-2023")</f>
        <v/>
      </c>
      <c r="V66">
        <f>HYPERLINK("https://klasma.github.io/Logging_2062/klagomål/A 37552-2023 FSC-klagomål.docx", "A 37552-2023")</f>
        <v/>
      </c>
      <c r="W66">
        <f>HYPERLINK("https://klasma.github.io/Logging_2062/klagomålsmail/A 37552-2023 FSC-klagomål mail.docx", "A 37552-2023")</f>
        <v/>
      </c>
      <c r="X66">
        <f>HYPERLINK("https://klasma.github.io/Logging_2062/tillsyn/A 37552-2023 tillsynsbegäran.docx", "A 37552-2023")</f>
        <v/>
      </c>
      <c r="Y66">
        <f>HYPERLINK("https://klasma.github.io/Logging_2062/tillsynsmail/A 37552-2023 tillsynsbegäran mail.docx", "A 37552-2023")</f>
        <v/>
      </c>
    </row>
    <row r="67" ht="15" customHeight="1">
      <c r="A67" t="inlineStr">
        <is>
          <t>A 27113-2024</t>
        </is>
      </c>
      <c r="B67" s="1" t="n">
        <v>45471</v>
      </c>
      <c r="C67" s="1" t="n">
        <v>45929</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831-2025</t>
        </is>
      </c>
      <c r="B68" s="1" t="n">
        <v>45665.58001157407</v>
      </c>
      <c r="C68" s="1" t="n">
        <v>45929</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66990-2020</t>
        </is>
      </c>
      <c r="B69" s="1" t="n">
        <v>44180</v>
      </c>
      <c r="C69" s="1" t="n">
        <v>45929</v>
      </c>
      <c r="D69" t="inlineStr">
        <is>
          <t>DALARNAS LÄN</t>
        </is>
      </c>
      <c r="E69" t="inlineStr">
        <is>
          <t>MORA</t>
        </is>
      </c>
      <c r="G69" t="n">
        <v>1</v>
      </c>
      <c r="H69" t="n">
        <v>0</v>
      </c>
      <c r="I69" t="n">
        <v>0</v>
      </c>
      <c r="J69" t="n">
        <v>0</v>
      </c>
      <c r="K69" t="n">
        <v>0</v>
      </c>
      <c r="L69" t="n">
        <v>0</v>
      </c>
      <c r="M69" t="n">
        <v>0</v>
      </c>
      <c r="N69" t="n">
        <v>0</v>
      </c>
      <c r="O69" t="n">
        <v>0</v>
      </c>
      <c r="P69" t="n">
        <v>0</v>
      </c>
      <c r="Q69" t="n">
        <v>0</v>
      </c>
      <c r="R69" s="2" t="inlineStr"/>
    </row>
    <row r="70" ht="15" customHeight="1">
      <c r="A70" t="inlineStr">
        <is>
          <t>A 38769-2021</t>
        </is>
      </c>
      <c r="B70" s="1" t="n">
        <v>44410</v>
      </c>
      <c r="C70" s="1" t="n">
        <v>45929</v>
      </c>
      <c r="D70" t="inlineStr">
        <is>
          <t>DALARNAS LÄN</t>
        </is>
      </c>
      <c r="E70" t="inlineStr">
        <is>
          <t>MORA</t>
        </is>
      </c>
      <c r="G70" t="n">
        <v>0.8</v>
      </c>
      <c r="H70" t="n">
        <v>0</v>
      </c>
      <c r="I70" t="n">
        <v>0</v>
      </c>
      <c r="J70" t="n">
        <v>0</v>
      </c>
      <c r="K70" t="n">
        <v>0</v>
      </c>
      <c r="L70" t="n">
        <v>0</v>
      </c>
      <c r="M70" t="n">
        <v>0</v>
      </c>
      <c r="N70" t="n">
        <v>0</v>
      </c>
      <c r="O70" t="n">
        <v>0</v>
      </c>
      <c r="P70" t="n">
        <v>0</v>
      </c>
      <c r="Q70" t="n">
        <v>0</v>
      </c>
      <c r="R70" s="2" t="inlineStr"/>
    </row>
    <row r="71" ht="15" customHeight="1">
      <c r="A71" t="inlineStr">
        <is>
          <t>A 73930-2021</t>
        </is>
      </c>
      <c r="B71" s="1" t="n">
        <v>44553</v>
      </c>
      <c r="C71" s="1" t="n">
        <v>45929</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657-2021</t>
        </is>
      </c>
      <c r="B72" s="1" t="n">
        <v>44203</v>
      </c>
      <c r="C72" s="1" t="n">
        <v>45929</v>
      </c>
      <c r="D72" t="inlineStr">
        <is>
          <t>DALARNAS LÄN</t>
        </is>
      </c>
      <c r="E72" t="inlineStr">
        <is>
          <t>MORA</t>
        </is>
      </c>
      <c r="G72" t="n">
        <v>1.8</v>
      </c>
      <c r="H72" t="n">
        <v>0</v>
      </c>
      <c r="I72" t="n">
        <v>0</v>
      </c>
      <c r="J72" t="n">
        <v>0</v>
      </c>
      <c r="K72" t="n">
        <v>0</v>
      </c>
      <c r="L72" t="n">
        <v>0</v>
      </c>
      <c r="M72" t="n">
        <v>0</v>
      </c>
      <c r="N72" t="n">
        <v>0</v>
      </c>
      <c r="O72" t="n">
        <v>0</v>
      </c>
      <c r="P72" t="n">
        <v>0</v>
      </c>
      <c r="Q72" t="n">
        <v>0</v>
      </c>
      <c r="R72" s="2" t="inlineStr"/>
    </row>
    <row r="73" ht="15" customHeight="1">
      <c r="A73" t="inlineStr">
        <is>
          <t>A 52732-2020</t>
        </is>
      </c>
      <c r="B73" s="1" t="n">
        <v>44118</v>
      </c>
      <c r="C73" s="1" t="n">
        <v>45929</v>
      </c>
      <c r="D73" t="inlineStr">
        <is>
          <t>DALARNAS LÄN</t>
        </is>
      </c>
      <c r="E73" t="inlineStr">
        <is>
          <t>MORA</t>
        </is>
      </c>
      <c r="G73" t="n">
        <v>3.9</v>
      </c>
      <c r="H73" t="n">
        <v>0</v>
      </c>
      <c r="I73" t="n">
        <v>0</v>
      </c>
      <c r="J73" t="n">
        <v>0</v>
      </c>
      <c r="K73" t="n">
        <v>0</v>
      </c>
      <c r="L73" t="n">
        <v>0</v>
      </c>
      <c r="M73" t="n">
        <v>0</v>
      </c>
      <c r="N73" t="n">
        <v>0</v>
      </c>
      <c r="O73" t="n">
        <v>0</v>
      </c>
      <c r="P73" t="n">
        <v>0</v>
      </c>
      <c r="Q73" t="n">
        <v>0</v>
      </c>
      <c r="R73" s="2" t="inlineStr"/>
    </row>
    <row r="74" ht="15" customHeight="1">
      <c r="A74" t="inlineStr">
        <is>
          <t>A 837-2021</t>
        </is>
      </c>
      <c r="B74" s="1" t="n">
        <v>44204</v>
      </c>
      <c r="C74" s="1" t="n">
        <v>45929</v>
      </c>
      <c r="D74" t="inlineStr">
        <is>
          <t>DALARNAS LÄN</t>
        </is>
      </c>
      <c r="E74" t="inlineStr">
        <is>
          <t>MORA</t>
        </is>
      </c>
      <c r="G74" t="n">
        <v>10.4</v>
      </c>
      <c r="H74" t="n">
        <v>0</v>
      </c>
      <c r="I74" t="n">
        <v>0</v>
      </c>
      <c r="J74" t="n">
        <v>0</v>
      </c>
      <c r="K74" t="n">
        <v>0</v>
      </c>
      <c r="L74" t="n">
        <v>0</v>
      </c>
      <c r="M74" t="n">
        <v>0</v>
      </c>
      <c r="N74" t="n">
        <v>0</v>
      </c>
      <c r="O74" t="n">
        <v>0</v>
      </c>
      <c r="P74" t="n">
        <v>0</v>
      </c>
      <c r="Q74" t="n">
        <v>0</v>
      </c>
      <c r="R74" s="2" t="inlineStr"/>
    </row>
    <row r="75" ht="15" customHeight="1">
      <c r="A75" t="inlineStr">
        <is>
          <t>A 66158-2021</t>
        </is>
      </c>
      <c r="B75" s="1" t="n">
        <v>44517.934375</v>
      </c>
      <c r="C75" s="1" t="n">
        <v>45929</v>
      </c>
      <c r="D75" t="inlineStr">
        <is>
          <t>DALARNAS LÄN</t>
        </is>
      </c>
      <c r="E75" t="inlineStr">
        <is>
          <t>MORA</t>
        </is>
      </c>
      <c r="G75" t="n">
        <v>3.3</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45929</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72648-2021</t>
        </is>
      </c>
      <c r="B77" s="1" t="n">
        <v>44546.5862037037</v>
      </c>
      <c r="C77" s="1" t="n">
        <v>45929</v>
      </c>
      <c r="D77" t="inlineStr">
        <is>
          <t>DALARNAS LÄN</t>
        </is>
      </c>
      <c r="E77" t="inlineStr">
        <is>
          <t>MORA</t>
        </is>
      </c>
      <c r="G77" t="n">
        <v>0.2</v>
      </c>
      <c r="H77" t="n">
        <v>0</v>
      </c>
      <c r="I77" t="n">
        <v>0</v>
      </c>
      <c r="J77" t="n">
        <v>0</v>
      </c>
      <c r="K77" t="n">
        <v>0</v>
      </c>
      <c r="L77" t="n">
        <v>0</v>
      </c>
      <c r="M77" t="n">
        <v>0</v>
      </c>
      <c r="N77" t="n">
        <v>0</v>
      </c>
      <c r="O77" t="n">
        <v>0</v>
      </c>
      <c r="P77" t="n">
        <v>0</v>
      </c>
      <c r="Q77" t="n">
        <v>0</v>
      </c>
      <c r="R77" s="2" t="inlineStr"/>
    </row>
    <row r="78" ht="15" customHeight="1">
      <c r="A78" t="inlineStr">
        <is>
          <t>A 34897-2022</t>
        </is>
      </c>
      <c r="B78" s="1" t="n">
        <v>44796</v>
      </c>
      <c r="C78" s="1" t="n">
        <v>45929</v>
      </c>
      <c r="D78" t="inlineStr">
        <is>
          <t>DALARNAS LÄN</t>
        </is>
      </c>
      <c r="E78" t="inlineStr">
        <is>
          <t>MORA</t>
        </is>
      </c>
      <c r="F78" t="inlineStr">
        <is>
          <t>Bergvik skog väst AB</t>
        </is>
      </c>
      <c r="G78" t="n">
        <v>8</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45929</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61338-2020</t>
        </is>
      </c>
      <c r="B80" s="1" t="n">
        <v>44155</v>
      </c>
      <c r="C80" s="1" t="n">
        <v>45929</v>
      </c>
      <c r="D80" t="inlineStr">
        <is>
          <t>DALARNAS LÄN</t>
        </is>
      </c>
      <c r="E80" t="inlineStr">
        <is>
          <t>MORA</t>
        </is>
      </c>
      <c r="F80" t="inlineStr">
        <is>
          <t>Bergvik skog väst AB</t>
        </is>
      </c>
      <c r="G80" t="n">
        <v>2</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45929</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51608-2020</t>
        </is>
      </c>
      <c r="B82" s="1" t="n">
        <v>44109</v>
      </c>
      <c r="C82" s="1" t="n">
        <v>45929</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45929</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45929</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45929</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45929</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45929</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45929</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45929</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45929</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45929</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45929</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45929</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45929</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45929</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45929</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45929</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45929</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43458-2021</t>
        </is>
      </c>
      <c r="B99" s="1" t="n">
        <v>44432</v>
      </c>
      <c r="C99" s="1" t="n">
        <v>45929</v>
      </c>
      <c r="D99" t="inlineStr">
        <is>
          <t>DALARNAS LÄN</t>
        </is>
      </c>
      <c r="E99" t="inlineStr">
        <is>
          <t>MORA</t>
        </is>
      </c>
      <c r="G99" t="n">
        <v>2.4</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45929</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45929</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45929</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45929</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45929</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67028-2020</t>
        </is>
      </c>
      <c r="B105" s="1" t="n">
        <v>44180</v>
      </c>
      <c r="C105" s="1" t="n">
        <v>45929</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45929</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45929</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45929</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45929</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45929</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45929</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45929</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45929</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45929</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45929</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45929</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45929</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45929</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45929</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45929</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59899-2021</t>
        </is>
      </c>
      <c r="B121" s="1" t="n">
        <v>44494.63381944445</v>
      </c>
      <c r="C121" s="1" t="n">
        <v>45929</v>
      </c>
      <c r="D121" t="inlineStr">
        <is>
          <t>DALARNAS LÄN</t>
        </is>
      </c>
      <c r="E121" t="inlineStr">
        <is>
          <t>MORA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45929</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45929</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55249-2020</t>
        </is>
      </c>
      <c r="B124" s="1" t="n">
        <v>44130</v>
      </c>
      <c r="C124" s="1" t="n">
        <v>45929</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45929</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14744-2022</t>
        </is>
      </c>
      <c r="B126" s="1" t="n">
        <v>44656.37616898148</v>
      </c>
      <c r="C126" s="1" t="n">
        <v>45929</v>
      </c>
      <c r="D126" t="inlineStr">
        <is>
          <t>DALARNAS LÄN</t>
        </is>
      </c>
      <c r="E126" t="inlineStr">
        <is>
          <t>MORA</t>
        </is>
      </c>
      <c r="G126" t="n">
        <v>1.9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45929</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8546-2022</t>
        </is>
      </c>
      <c r="B128" s="1" t="n">
        <v>44613</v>
      </c>
      <c r="C128" s="1" t="n">
        <v>45929</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45929</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45929</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45929</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45929</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62301-2020</t>
        </is>
      </c>
      <c r="B133" s="1" t="n">
        <v>44160</v>
      </c>
      <c r="C133" s="1" t="n">
        <v>45929</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22931-2021</t>
        </is>
      </c>
      <c r="B134" s="1" t="n">
        <v>44326</v>
      </c>
      <c r="C134" s="1" t="n">
        <v>45929</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45929</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45929</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655-2021</t>
        </is>
      </c>
      <c r="B137" s="1" t="n">
        <v>44203</v>
      </c>
      <c r="C137" s="1" t="n">
        <v>45929</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45929</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45929</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56770-2024</t>
        </is>
      </c>
      <c r="B140" s="1" t="n">
        <v>45628.41587962963</v>
      </c>
      <c r="C140" s="1" t="n">
        <v>45929</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43498-2023</t>
        </is>
      </c>
      <c r="B141" s="1" t="n">
        <v>45184</v>
      </c>
      <c r="C141" s="1" t="n">
        <v>45929</v>
      </c>
      <c r="D141" t="inlineStr">
        <is>
          <t>DALARNAS LÄN</t>
        </is>
      </c>
      <c r="E141" t="inlineStr">
        <is>
          <t>MORA</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28914-2022</t>
        </is>
      </c>
      <c r="B142" s="1" t="n">
        <v>44749.56221064815</v>
      </c>
      <c r="C142" s="1" t="n">
        <v>45929</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45929</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45929</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45929</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5527-2024</t>
        </is>
      </c>
      <c r="B146" s="1" t="n">
        <v>45334.38981481481</v>
      </c>
      <c r="C146" s="1" t="n">
        <v>45929</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45929</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45929</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20299-2023</t>
        </is>
      </c>
      <c r="B149" s="1" t="n">
        <v>45056</v>
      </c>
      <c r="C149" s="1" t="n">
        <v>45929</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17145-2024</t>
        </is>
      </c>
      <c r="B150" s="1" t="n">
        <v>45412</v>
      </c>
      <c r="C150" s="1" t="n">
        <v>45929</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51780-2023</t>
        </is>
      </c>
      <c r="B151" s="1" t="n">
        <v>45222</v>
      </c>
      <c r="C151" s="1" t="n">
        <v>45929</v>
      </c>
      <c r="D151" t="inlineStr">
        <is>
          <t>DALARNAS LÄN</t>
        </is>
      </c>
      <c r="E151" t="inlineStr">
        <is>
          <t>MORA</t>
        </is>
      </c>
      <c r="G151" t="n">
        <v>9.9</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45929</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45929</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45929</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37771-2022</t>
        </is>
      </c>
      <c r="B155" s="1" t="n">
        <v>44810.63806712963</v>
      </c>
      <c r="C155" s="1" t="n">
        <v>45929</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17516-2024</t>
        </is>
      </c>
      <c r="B156" s="1" t="n">
        <v>45415.58502314815</v>
      </c>
      <c r="C156" s="1" t="n">
        <v>45929</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58413-2021</t>
        </is>
      </c>
      <c r="B157" s="1" t="n">
        <v>44488</v>
      </c>
      <c r="C157" s="1" t="n">
        <v>45929</v>
      </c>
      <c r="D157" t="inlineStr">
        <is>
          <t>DALARNAS LÄN</t>
        </is>
      </c>
      <c r="E157" t="inlineStr">
        <is>
          <t>MORA</t>
        </is>
      </c>
      <c r="F157" t="inlineStr">
        <is>
          <t>Bergvik skog öst AB</t>
        </is>
      </c>
      <c r="G157" t="n">
        <v>5.3</v>
      </c>
      <c r="H157" t="n">
        <v>0</v>
      </c>
      <c r="I157" t="n">
        <v>0</v>
      </c>
      <c r="J157" t="n">
        <v>0</v>
      </c>
      <c r="K157" t="n">
        <v>0</v>
      </c>
      <c r="L157" t="n">
        <v>0</v>
      </c>
      <c r="M157" t="n">
        <v>0</v>
      </c>
      <c r="N157" t="n">
        <v>0</v>
      </c>
      <c r="O157" t="n">
        <v>0</v>
      </c>
      <c r="P157" t="n">
        <v>0</v>
      </c>
      <c r="Q157" t="n">
        <v>0</v>
      </c>
      <c r="R157" s="2" t="inlineStr"/>
    </row>
    <row r="158" ht="15" customHeight="1">
      <c r="A158" t="inlineStr">
        <is>
          <t>A 67045-2021</t>
        </is>
      </c>
      <c r="B158" s="1" t="n">
        <v>44522</v>
      </c>
      <c r="C158" s="1" t="n">
        <v>45929</v>
      </c>
      <c r="D158" t="inlineStr">
        <is>
          <t>DALARNAS LÄN</t>
        </is>
      </c>
      <c r="E158" t="inlineStr">
        <is>
          <t>MORA</t>
        </is>
      </c>
      <c r="G158" t="n">
        <v>0.2</v>
      </c>
      <c r="H158" t="n">
        <v>0</v>
      </c>
      <c r="I158" t="n">
        <v>0</v>
      </c>
      <c r="J158" t="n">
        <v>0</v>
      </c>
      <c r="K158" t="n">
        <v>0</v>
      </c>
      <c r="L158" t="n">
        <v>0</v>
      </c>
      <c r="M158" t="n">
        <v>0</v>
      </c>
      <c r="N158" t="n">
        <v>0</v>
      </c>
      <c r="O158" t="n">
        <v>0</v>
      </c>
      <c r="P158" t="n">
        <v>0</v>
      </c>
      <c r="Q158" t="n">
        <v>0</v>
      </c>
      <c r="R158" s="2" t="inlineStr"/>
    </row>
    <row r="159" ht="15" customHeight="1">
      <c r="A159" t="inlineStr">
        <is>
          <t>A 32474-2022</t>
        </is>
      </c>
      <c r="B159" s="1" t="n">
        <v>44782</v>
      </c>
      <c r="C159" s="1" t="n">
        <v>45929</v>
      </c>
      <c r="D159" t="inlineStr">
        <is>
          <t>DALARNAS LÄN</t>
        </is>
      </c>
      <c r="E159" t="inlineStr">
        <is>
          <t>MORA</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24335-2022</t>
        </is>
      </c>
      <c r="B160" s="1" t="n">
        <v>44725</v>
      </c>
      <c r="C160" s="1" t="n">
        <v>45929</v>
      </c>
      <c r="D160" t="inlineStr">
        <is>
          <t>DALARNAS LÄN</t>
        </is>
      </c>
      <c r="E160" t="inlineStr">
        <is>
          <t>MORA</t>
        </is>
      </c>
      <c r="G160" t="n">
        <v>16</v>
      </c>
      <c r="H160" t="n">
        <v>0</v>
      </c>
      <c r="I160" t="n">
        <v>0</v>
      </c>
      <c r="J160" t="n">
        <v>0</v>
      </c>
      <c r="K160" t="n">
        <v>0</v>
      </c>
      <c r="L160" t="n">
        <v>0</v>
      </c>
      <c r="M160" t="n">
        <v>0</v>
      </c>
      <c r="N160" t="n">
        <v>0</v>
      </c>
      <c r="O160" t="n">
        <v>0</v>
      </c>
      <c r="P160" t="n">
        <v>0</v>
      </c>
      <c r="Q160" t="n">
        <v>0</v>
      </c>
      <c r="R160" s="2" t="inlineStr"/>
    </row>
    <row r="161" ht="15" customHeight="1">
      <c r="A161" t="inlineStr">
        <is>
          <t>A 53026-2023</t>
        </is>
      </c>
      <c r="B161" s="1" t="n">
        <v>45226.6987037037</v>
      </c>
      <c r="C161" s="1" t="n">
        <v>45929</v>
      </c>
      <c r="D161" t="inlineStr">
        <is>
          <t>DALARNAS LÄN</t>
        </is>
      </c>
      <c r="E161" t="inlineStr">
        <is>
          <t>MORA</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51253-2023</t>
        </is>
      </c>
      <c r="B162" s="1" t="n">
        <v>45219</v>
      </c>
      <c r="C162" s="1" t="n">
        <v>45929</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24772-2024</t>
        </is>
      </c>
      <c r="B163" s="1" t="n">
        <v>45460.70204861111</v>
      </c>
      <c r="C163" s="1" t="n">
        <v>45929</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58116-2022</t>
        </is>
      </c>
      <c r="B164" s="1" t="n">
        <v>44900.65716435185</v>
      </c>
      <c r="C164" s="1" t="n">
        <v>45929</v>
      </c>
      <c r="D164" t="inlineStr">
        <is>
          <t>DALARNAS LÄN</t>
        </is>
      </c>
      <c r="E164" t="inlineStr">
        <is>
          <t>MORA</t>
        </is>
      </c>
      <c r="G164" t="n">
        <v>2.9</v>
      </c>
      <c r="H164" t="n">
        <v>0</v>
      </c>
      <c r="I164" t="n">
        <v>0</v>
      </c>
      <c r="J164" t="n">
        <v>0</v>
      </c>
      <c r="K164" t="n">
        <v>0</v>
      </c>
      <c r="L164" t="n">
        <v>0</v>
      </c>
      <c r="M164" t="n">
        <v>0</v>
      </c>
      <c r="N164" t="n">
        <v>0</v>
      </c>
      <c r="O164" t="n">
        <v>0</v>
      </c>
      <c r="P164" t="n">
        <v>0</v>
      </c>
      <c r="Q164" t="n">
        <v>0</v>
      </c>
      <c r="R164" s="2" t="inlineStr"/>
    </row>
    <row r="165" ht="15" customHeight="1">
      <c r="A165" t="inlineStr">
        <is>
          <t>A 39824-2025</t>
        </is>
      </c>
      <c r="B165" s="1" t="n">
        <v>45891</v>
      </c>
      <c r="C165" s="1" t="n">
        <v>45929</v>
      </c>
      <c r="D165" t="inlineStr">
        <is>
          <t>DALARNAS LÄN</t>
        </is>
      </c>
      <c r="E165" t="inlineStr">
        <is>
          <t>MORA</t>
        </is>
      </c>
      <c r="G165" t="n">
        <v>2</v>
      </c>
      <c r="H165" t="n">
        <v>0</v>
      </c>
      <c r="I165" t="n">
        <v>0</v>
      </c>
      <c r="J165" t="n">
        <v>0</v>
      </c>
      <c r="K165" t="n">
        <v>0</v>
      </c>
      <c r="L165" t="n">
        <v>0</v>
      </c>
      <c r="M165" t="n">
        <v>0</v>
      </c>
      <c r="N165" t="n">
        <v>0</v>
      </c>
      <c r="O165" t="n">
        <v>0</v>
      </c>
      <c r="P165" t="n">
        <v>0</v>
      </c>
      <c r="Q165" t="n">
        <v>0</v>
      </c>
      <c r="R165" s="2" t="inlineStr"/>
    </row>
    <row r="166" ht="15" customHeight="1">
      <c r="A166" t="inlineStr">
        <is>
          <t>A 35121-2025</t>
        </is>
      </c>
      <c r="B166" s="1" t="n">
        <v>45852.60936342592</v>
      </c>
      <c r="C166" s="1" t="n">
        <v>45929</v>
      </c>
      <c r="D166" t="inlineStr">
        <is>
          <t>DALARNAS LÄN</t>
        </is>
      </c>
      <c r="E166" t="inlineStr">
        <is>
          <t>MORA</t>
        </is>
      </c>
      <c r="F166" t="inlineStr">
        <is>
          <t>Bergvik skog öst AB</t>
        </is>
      </c>
      <c r="G166" t="n">
        <v>15.9</v>
      </c>
      <c r="H166" t="n">
        <v>0</v>
      </c>
      <c r="I166" t="n">
        <v>0</v>
      </c>
      <c r="J166" t="n">
        <v>0</v>
      </c>
      <c r="K166" t="n">
        <v>0</v>
      </c>
      <c r="L166" t="n">
        <v>0</v>
      </c>
      <c r="M166" t="n">
        <v>0</v>
      </c>
      <c r="N166" t="n">
        <v>0</v>
      </c>
      <c r="O166" t="n">
        <v>0</v>
      </c>
      <c r="P166" t="n">
        <v>0</v>
      </c>
      <c r="Q166" t="n">
        <v>0</v>
      </c>
      <c r="R166" s="2" t="inlineStr"/>
    </row>
    <row r="167" ht="15" customHeight="1">
      <c r="A167" t="inlineStr">
        <is>
          <t>A 34923-2022</t>
        </is>
      </c>
      <c r="B167" s="1" t="n">
        <v>44796</v>
      </c>
      <c r="C167" s="1" t="n">
        <v>45929</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59174-2023</t>
        </is>
      </c>
      <c r="B168" s="1" t="n">
        <v>45253.43202546296</v>
      </c>
      <c r="C168" s="1" t="n">
        <v>45929</v>
      </c>
      <c r="D168" t="inlineStr">
        <is>
          <t>DALARNAS LÄN</t>
        </is>
      </c>
      <c r="E168" t="inlineStr">
        <is>
          <t>MORA</t>
        </is>
      </c>
      <c r="G168" t="n">
        <v>2.5</v>
      </c>
      <c r="H168" t="n">
        <v>0</v>
      </c>
      <c r="I168" t="n">
        <v>0</v>
      </c>
      <c r="J168" t="n">
        <v>0</v>
      </c>
      <c r="K168" t="n">
        <v>0</v>
      </c>
      <c r="L168" t="n">
        <v>0</v>
      </c>
      <c r="M168" t="n">
        <v>0</v>
      </c>
      <c r="N168" t="n">
        <v>0</v>
      </c>
      <c r="O168" t="n">
        <v>0</v>
      </c>
      <c r="P168" t="n">
        <v>0</v>
      </c>
      <c r="Q168" t="n">
        <v>0</v>
      </c>
      <c r="R168" s="2" t="inlineStr"/>
    </row>
    <row r="169" ht="15" customHeight="1">
      <c r="A169" t="inlineStr">
        <is>
          <t>A 36184-2021</t>
        </is>
      </c>
      <c r="B169" s="1" t="n">
        <v>44389</v>
      </c>
      <c r="C169" s="1" t="n">
        <v>45929</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18202-2024</t>
        </is>
      </c>
      <c r="B170" s="1" t="n">
        <v>45420.68172453704</v>
      </c>
      <c r="C170" s="1" t="n">
        <v>45929</v>
      </c>
      <c r="D170" t="inlineStr">
        <is>
          <t>DALARNAS LÄN</t>
        </is>
      </c>
      <c r="E170" t="inlineStr">
        <is>
          <t>MORA</t>
        </is>
      </c>
      <c r="G170" t="n">
        <v>2</v>
      </c>
      <c r="H170" t="n">
        <v>0</v>
      </c>
      <c r="I170" t="n">
        <v>0</v>
      </c>
      <c r="J170" t="n">
        <v>0</v>
      </c>
      <c r="K170" t="n">
        <v>0</v>
      </c>
      <c r="L170" t="n">
        <v>0</v>
      </c>
      <c r="M170" t="n">
        <v>0</v>
      </c>
      <c r="N170" t="n">
        <v>0</v>
      </c>
      <c r="O170" t="n">
        <v>0</v>
      </c>
      <c r="P170" t="n">
        <v>0</v>
      </c>
      <c r="Q170" t="n">
        <v>0</v>
      </c>
      <c r="R170" s="2" t="inlineStr"/>
    </row>
    <row r="171" ht="15" customHeight="1">
      <c r="A171" t="inlineStr">
        <is>
          <t>A 23057-2024</t>
        </is>
      </c>
      <c r="B171" s="1" t="n">
        <v>45450</v>
      </c>
      <c r="C171" s="1" t="n">
        <v>45929</v>
      </c>
      <c r="D171" t="inlineStr">
        <is>
          <t>DALARNAS LÄN</t>
        </is>
      </c>
      <c r="E171" t="inlineStr">
        <is>
          <t>MORA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33666-2024</t>
        </is>
      </c>
      <c r="B172" s="1" t="n">
        <v>45520.48304398148</v>
      </c>
      <c r="C172" s="1" t="n">
        <v>45929</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15440-2024</t>
        </is>
      </c>
      <c r="B173" s="1" t="n">
        <v>45401.4194212963</v>
      </c>
      <c r="C173" s="1" t="n">
        <v>45929</v>
      </c>
      <c r="D173" t="inlineStr">
        <is>
          <t>DALARNAS LÄN</t>
        </is>
      </c>
      <c r="E173" t="inlineStr">
        <is>
          <t>MORA</t>
        </is>
      </c>
      <c r="G173" t="n">
        <v>1.1</v>
      </c>
      <c r="H173" t="n">
        <v>0</v>
      </c>
      <c r="I173" t="n">
        <v>0</v>
      </c>
      <c r="J173" t="n">
        <v>0</v>
      </c>
      <c r="K173" t="n">
        <v>0</v>
      </c>
      <c r="L173" t="n">
        <v>0</v>
      </c>
      <c r="M173" t="n">
        <v>0</v>
      </c>
      <c r="N173" t="n">
        <v>0</v>
      </c>
      <c r="O173" t="n">
        <v>0</v>
      </c>
      <c r="P173" t="n">
        <v>0</v>
      </c>
      <c r="Q173" t="n">
        <v>0</v>
      </c>
      <c r="R173" s="2" t="inlineStr"/>
    </row>
    <row r="174" ht="15" customHeight="1">
      <c r="A174" t="inlineStr">
        <is>
          <t>A 40660-2025</t>
        </is>
      </c>
      <c r="B174" s="1" t="n">
        <v>45896.64631944444</v>
      </c>
      <c r="C174" s="1" t="n">
        <v>45929</v>
      </c>
      <c r="D174" t="inlineStr">
        <is>
          <t>DALARNAS LÄN</t>
        </is>
      </c>
      <c r="E174" t="inlineStr">
        <is>
          <t>MORA</t>
        </is>
      </c>
      <c r="F174" t="inlineStr">
        <is>
          <t>Bergvik skog väst AB</t>
        </is>
      </c>
      <c r="G174" t="n">
        <v>5.4</v>
      </c>
      <c r="H174" t="n">
        <v>0</v>
      </c>
      <c r="I174" t="n">
        <v>0</v>
      </c>
      <c r="J174" t="n">
        <v>0</v>
      </c>
      <c r="K174" t="n">
        <v>0</v>
      </c>
      <c r="L174" t="n">
        <v>0</v>
      </c>
      <c r="M174" t="n">
        <v>0</v>
      </c>
      <c r="N174" t="n">
        <v>0</v>
      </c>
      <c r="O174" t="n">
        <v>0</v>
      </c>
      <c r="P174" t="n">
        <v>0</v>
      </c>
      <c r="Q174" t="n">
        <v>0</v>
      </c>
      <c r="R174" s="2" t="inlineStr"/>
    </row>
    <row r="175" ht="15" customHeight="1">
      <c r="A175" t="inlineStr">
        <is>
          <t>A 40661-2025</t>
        </is>
      </c>
      <c r="B175" s="1" t="n">
        <v>45896.64715277778</v>
      </c>
      <c r="C175" s="1" t="n">
        <v>45929</v>
      </c>
      <c r="D175" t="inlineStr">
        <is>
          <t>DALARNAS LÄN</t>
        </is>
      </c>
      <c r="E175" t="inlineStr">
        <is>
          <t>MORA</t>
        </is>
      </c>
      <c r="G175" t="n">
        <v>2.8</v>
      </c>
      <c r="H175" t="n">
        <v>0</v>
      </c>
      <c r="I175" t="n">
        <v>0</v>
      </c>
      <c r="J175" t="n">
        <v>0</v>
      </c>
      <c r="K175" t="n">
        <v>0</v>
      </c>
      <c r="L175" t="n">
        <v>0</v>
      </c>
      <c r="M175" t="n">
        <v>0</v>
      </c>
      <c r="N175" t="n">
        <v>0</v>
      </c>
      <c r="O175" t="n">
        <v>0</v>
      </c>
      <c r="P175" t="n">
        <v>0</v>
      </c>
      <c r="Q175" t="n">
        <v>0</v>
      </c>
      <c r="R175" s="2" t="inlineStr"/>
    </row>
    <row r="176" ht="15" customHeight="1">
      <c r="A176" t="inlineStr">
        <is>
          <t>A 11857-2023</t>
        </is>
      </c>
      <c r="B176" s="1" t="n">
        <v>44995</v>
      </c>
      <c r="C176" s="1" t="n">
        <v>45929</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40471-2025</t>
        </is>
      </c>
      <c r="B177" s="1" t="n">
        <v>45895.67356481482</v>
      </c>
      <c r="C177" s="1" t="n">
        <v>45929</v>
      </c>
      <c r="D177" t="inlineStr">
        <is>
          <t>DALARNAS LÄN</t>
        </is>
      </c>
      <c r="E177" t="inlineStr">
        <is>
          <t>MORA</t>
        </is>
      </c>
      <c r="G177" t="n">
        <v>2.8</v>
      </c>
      <c r="H177" t="n">
        <v>0</v>
      </c>
      <c r="I177" t="n">
        <v>0</v>
      </c>
      <c r="J177" t="n">
        <v>0</v>
      </c>
      <c r="K177" t="n">
        <v>0</v>
      </c>
      <c r="L177" t="n">
        <v>0</v>
      </c>
      <c r="M177" t="n">
        <v>0</v>
      </c>
      <c r="N177" t="n">
        <v>0</v>
      </c>
      <c r="O177" t="n">
        <v>0</v>
      </c>
      <c r="P177" t="n">
        <v>0</v>
      </c>
      <c r="Q177" t="n">
        <v>0</v>
      </c>
      <c r="R177" s="2" t="inlineStr"/>
    </row>
    <row r="178" ht="15" customHeight="1">
      <c r="A178" t="inlineStr">
        <is>
          <t>A 15818-2024</t>
        </is>
      </c>
      <c r="B178" s="1" t="n">
        <v>45404.67442129629</v>
      </c>
      <c r="C178" s="1" t="n">
        <v>45929</v>
      </c>
      <c r="D178" t="inlineStr">
        <is>
          <t>DALARNAS LÄN</t>
        </is>
      </c>
      <c r="E178" t="inlineStr">
        <is>
          <t>MORA</t>
        </is>
      </c>
      <c r="G178" t="n">
        <v>7</v>
      </c>
      <c r="H178" t="n">
        <v>0</v>
      </c>
      <c r="I178" t="n">
        <v>0</v>
      </c>
      <c r="J178" t="n">
        <v>0</v>
      </c>
      <c r="K178" t="n">
        <v>0</v>
      </c>
      <c r="L178" t="n">
        <v>0</v>
      </c>
      <c r="M178" t="n">
        <v>0</v>
      </c>
      <c r="N178" t="n">
        <v>0</v>
      </c>
      <c r="O178" t="n">
        <v>0</v>
      </c>
      <c r="P178" t="n">
        <v>0</v>
      </c>
      <c r="Q178" t="n">
        <v>0</v>
      </c>
      <c r="R178" s="2" t="inlineStr"/>
    </row>
    <row r="179" ht="15" customHeight="1">
      <c r="A179" t="inlineStr">
        <is>
          <t>A 25494-2024</t>
        </is>
      </c>
      <c r="B179" s="1" t="n">
        <v>45463</v>
      </c>
      <c r="C179" s="1" t="n">
        <v>45929</v>
      </c>
      <c r="D179" t="inlineStr">
        <is>
          <t>DALARNAS LÄN</t>
        </is>
      </c>
      <c r="E179" t="inlineStr">
        <is>
          <t>MORA</t>
        </is>
      </c>
      <c r="G179" t="n">
        <v>4.9</v>
      </c>
      <c r="H179" t="n">
        <v>0</v>
      </c>
      <c r="I179" t="n">
        <v>0</v>
      </c>
      <c r="J179" t="n">
        <v>0</v>
      </c>
      <c r="K179" t="n">
        <v>0</v>
      </c>
      <c r="L179" t="n">
        <v>0</v>
      </c>
      <c r="M179" t="n">
        <v>0</v>
      </c>
      <c r="N179" t="n">
        <v>0</v>
      </c>
      <c r="O179" t="n">
        <v>0</v>
      </c>
      <c r="P179" t="n">
        <v>0</v>
      </c>
      <c r="Q179" t="n">
        <v>0</v>
      </c>
      <c r="R179" s="2" t="inlineStr"/>
    </row>
    <row r="180" ht="15" customHeight="1">
      <c r="A180" t="inlineStr">
        <is>
          <t>A 42941-2024</t>
        </is>
      </c>
      <c r="B180" s="1" t="n">
        <v>45567.3515162037</v>
      </c>
      <c r="C180" s="1" t="n">
        <v>45929</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45674-2024</t>
        </is>
      </c>
      <c r="B181" s="1" t="n">
        <v>45573</v>
      </c>
      <c r="C181" s="1" t="n">
        <v>45929</v>
      </c>
      <c r="D181" t="inlineStr">
        <is>
          <t>DALARNAS LÄN</t>
        </is>
      </c>
      <c r="E181" t="inlineStr">
        <is>
          <t>MORA</t>
        </is>
      </c>
      <c r="G181" t="n">
        <v>3.2</v>
      </c>
      <c r="H181" t="n">
        <v>0</v>
      </c>
      <c r="I181" t="n">
        <v>0</v>
      </c>
      <c r="J181" t="n">
        <v>0</v>
      </c>
      <c r="K181" t="n">
        <v>0</v>
      </c>
      <c r="L181" t="n">
        <v>0</v>
      </c>
      <c r="M181" t="n">
        <v>0</v>
      </c>
      <c r="N181" t="n">
        <v>0</v>
      </c>
      <c r="O181" t="n">
        <v>0</v>
      </c>
      <c r="P181" t="n">
        <v>0</v>
      </c>
      <c r="Q181" t="n">
        <v>0</v>
      </c>
      <c r="R181" s="2" t="inlineStr"/>
    </row>
    <row r="182" ht="15" customHeight="1">
      <c r="A182" t="inlineStr">
        <is>
          <t>A 41200-2025</t>
        </is>
      </c>
      <c r="B182" s="1" t="n">
        <v>45898.5738425926</v>
      </c>
      <c r="C182" s="1" t="n">
        <v>45929</v>
      </c>
      <c r="D182" t="inlineStr">
        <is>
          <t>DALARNAS LÄN</t>
        </is>
      </c>
      <c r="E182" t="inlineStr">
        <is>
          <t>MORA</t>
        </is>
      </c>
      <c r="G182" t="n">
        <v>8.9</v>
      </c>
      <c r="H182" t="n">
        <v>0</v>
      </c>
      <c r="I182" t="n">
        <v>0</v>
      </c>
      <c r="J182" t="n">
        <v>0</v>
      </c>
      <c r="K182" t="n">
        <v>0</v>
      </c>
      <c r="L182" t="n">
        <v>0</v>
      </c>
      <c r="M182" t="n">
        <v>0</v>
      </c>
      <c r="N182" t="n">
        <v>0</v>
      </c>
      <c r="O182" t="n">
        <v>0</v>
      </c>
      <c r="P182" t="n">
        <v>0</v>
      </c>
      <c r="Q182" t="n">
        <v>0</v>
      </c>
      <c r="R182" s="2" t="inlineStr"/>
    </row>
    <row r="183" ht="15" customHeight="1">
      <c r="A183" t="inlineStr">
        <is>
          <t>A 49159-2023</t>
        </is>
      </c>
      <c r="B183" s="1" t="n">
        <v>45210</v>
      </c>
      <c r="C183" s="1" t="n">
        <v>45929</v>
      </c>
      <c r="D183" t="inlineStr">
        <is>
          <t>DALARNAS LÄN</t>
        </is>
      </c>
      <c r="E183" t="inlineStr">
        <is>
          <t>MORA</t>
        </is>
      </c>
      <c r="G183" t="n">
        <v>1.6</v>
      </c>
      <c r="H183" t="n">
        <v>0</v>
      </c>
      <c r="I183" t="n">
        <v>0</v>
      </c>
      <c r="J183" t="n">
        <v>0</v>
      </c>
      <c r="K183" t="n">
        <v>0</v>
      </c>
      <c r="L183" t="n">
        <v>0</v>
      </c>
      <c r="M183" t="n">
        <v>0</v>
      </c>
      <c r="N183" t="n">
        <v>0</v>
      </c>
      <c r="O183" t="n">
        <v>0</v>
      </c>
      <c r="P183" t="n">
        <v>0</v>
      </c>
      <c r="Q183" t="n">
        <v>0</v>
      </c>
      <c r="R183" s="2" t="inlineStr"/>
    </row>
    <row r="184" ht="15" customHeight="1">
      <c r="A184" t="inlineStr">
        <is>
          <t>A 40805-2025</t>
        </is>
      </c>
      <c r="B184" s="1" t="n">
        <v>45897.46659722222</v>
      </c>
      <c r="C184" s="1" t="n">
        <v>45929</v>
      </c>
      <c r="D184" t="inlineStr">
        <is>
          <t>DALARNAS LÄN</t>
        </is>
      </c>
      <c r="E184" t="inlineStr">
        <is>
          <t>MORA</t>
        </is>
      </c>
      <c r="G184" t="n">
        <v>1.6</v>
      </c>
      <c r="H184" t="n">
        <v>0</v>
      </c>
      <c r="I184" t="n">
        <v>0</v>
      </c>
      <c r="J184" t="n">
        <v>0</v>
      </c>
      <c r="K184" t="n">
        <v>0</v>
      </c>
      <c r="L184" t="n">
        <v>0</v>
      </c>
      <c r="M184" t="n">
        <v>0</v>
      </c>
      <c r="N184" t="n">
        <v>0</v>
      </c>
      <c r="O184" t="n">
        <v>0</v>
      </c>
      <c r="P184" t="n">
        <v>0</v>
      </c>
      <c r="Q184" t="n">
        <v>0</v>
      </c>
      <c r="R184" s="2" t="inlineStr"/>
    </row>
    <row r="185" ht="15" customHeight="1">
      <c r="A185" t="inlineStr">
        <is>
          <t>A 45390-2024</t>
        </is>
      </c>
      <c r="B185" s="1" t="n">
        <v>45576.54820601852</v>
      </c>
      <c r="C185" s="1" t="n">
        <v>45929</v>
      </c>
      <c r="D185" t="inlineStr">
        <is>
          <t>DALARNAS LÄN</t>
        </is>
      </c>
      <c r="E185" t="inlineStr">
        <is>
          <t>MORA</t>
        </is>
      </c>
      <c r="F185" t="inlineStr">
        <is>
          <t>Bergvik skog väst AB</t>
        </is>
      </c>
      <c r="G185" t="n">
        <v>5.6</v>
      </c>
      <c r="H185" t="n">
        <v>0</v>
      </c>
      <c r="I185" t="n">
        <v>0</v>
      </c>
      <c r="J185" t="n">
        <v>0</v>
      </c>
      <c r="K185" t="n">
        <v>0</v>
      </c>
      <c r="L185" t="n">
        <v>0</v>
      </c>
      <c r="M185" t="n">
        <v>0</v>
      </c>
      <c r="N185" t="n">
        <v>0</v>
      </c>
      <c r="O185" t="n">
        <v>0</v>
      </c>
      <c r="P185" t="n">
        <v>0</v>
      </c>
      <c r="Q185" t="n">
        <v>0</v>
      </c>
      <c r="R185" s="2" t="inlineStr"/>
    </row>
    <row r="186" ht="15" customHeight="1">
      <c r="A186" t="inlineStr">
        <is>
          <t>A 41175-2025</t>
        </is>
      </c>
      <c r="B186" s="1" t="n">
        <v>45898.55165509259</v>
      </c>
      <c r="C186" s="1" t="n">
        <v>45929</v>
      </c>
      <c r="D186" t="inlineStr">
        <is>
          <t>DALARNAS LÄN</t>
        </is>
      </c>
      <c r="E186" t="inlineStr">
        <is>
          <t>MORA</t>
        </is>
      </c>
      <c r="G186" t="n">
        <v>4.5</v>
      </c>
      <c r="H186" t="n">
        <v>0</v>
      </c>
      <c r="I186" t="n">
        <v>0</v>
      </c>
      <c r="J186" t="n">
        <v>0</v>
      </c>
      <c r="K186" t="n">
        <v>0</v>
      </c>
      <c r="L186" t="n">
        <v>0</v>
      </c>
      <c r="M186" t="n">
        <v>0</v>
      </c>
      <c r="N186" t="n">
        <v>0</v>
      </c>
      <c r="O186" t="n">
        <v>0</v>
      </c>
      <c r="P186" t="n">
        <v>0</v>
      </c>
      <c r="Q186" t="n">
        <v>0</v>
      </c>
      <c r="R186" s="2" t="inlineStr"/>
    </row>
    <row r="187" ht="15" customHeight="1">
      <c r="A187" t="inlineStr">
        <is>
          <t>A 39674-2023</t>
        </is>
      </c>
      <c r="B187" s="1" t="n">
        <v>45167</v>
      </c>
      <c r="C187" s="1" t="n">
        <v>45929</v>
      </c>
      <c r="D187" t="inlineStr">
        <is>
          <t>DALARNAS LÄN</t>
        </is>
      </c>
      <c r="E187" t="inlineStr">
        <is>
          <t>MORA</t>
        </is>
      </c>
      <c r="G187" t="n">
        <v>2.4</v>
      </c>
      <c r="H187" t="n">
        <v>0</v>
      </c>
      <c r="I187" t="n">
        <v>0</v>
      </c>
      <c r="J187" t="n">
        <v>0</v>
      </c>
      <c r="K187" t="n">
        <v>0</v>
      </c>
      <c r="L187" t="n">
        <v>0</v>
      </c>
      <c r="M187" t="n">
        <v>0</v>
      </c>
      <c r="N187" t="n">
        <v>0</v>
      </c>
      <c r="O187" t="n">
        <v>0</v>
      </c>
      <c r="P187" t="n">
        <v>0</v>
      </c>
      <c r="Q187" t="n">
        <v>0</v>
      </c>
      <c r="R187" s="2" t="inlineStr"/>
    </row>
    <row r="188" ht="15" customHeight="1">
      <c r="A188" t="inlineStr">
        <is>
          <t>A 35407-2025</t>
        </is>
      </c>
      <c r="B188" s="1" t="n">
        <v>45855.35989583333</v>
      </c>
      <c r="C188" s="1" t="n">
        <v>45929</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19756-2022</t>
        </is>
      </c>
      <c r="B189" s="1" t="n">
        <v>44694.62913194444</v>
      </c>
      <c r="C189" s="1" t="n">
        <v>45929</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53341-2023</t>
        </is>
      </c>
      <c r="B190" s="1" t="n">
        <v>45229</v>
      </c>
      <c r="C190" s="1" t="n">
        <v>45929</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5216-2025</t>
        </is>
      </c>
      <c r="B191" s="1" t="n">
        <v>45691.69671296296</v>
      </c>
      <c r="C191" s="1" t="n">
        <v>45929</v>
      </c>
      <c r="D191" t="inlineStr">
        <is>
          <t>DALARNAS LÄN</t>
        </is>
      </c>
      <c r="E191" t="inlineStr">
        <is>
          <t>MORA</t>
        </is>
      </c>
      <c r="G191" t="n">
        <v>2.5</v>
      </c>
      <c r="H191" t="n">
        <v>0</v>
      </c>
      <c r="I191" t="n">
        <v>0</v>
      </c>
      <c r="J191" t="n">
        <v>0</v>
      </c>
      <c r="K191" t="n">
        <v>0</v>
      </c>
      <c r="L191" t="n">
        <v>0</v>
      </c>
      <c r="M191" t="n">
        <v>0</v>
      </c>
      <c r="N191" t="n">
        <v>0</v>
      </c>
      <c r="O191" t="n">
        <v>0</v>
      </c>
      <c r="P191" t="n">
        <v>0</v>
      </c>
      <c r="Q191" t="n">
        <v>0</v>
      </c>
      <c r="R191" s="2" t="inlineStr"/>
    </row>
    <row r="192" ht="15" customHeight="1">
      <c r="A192" t="inlineStr">
        <is>
          <t>A 53344-2023</t>
        </is>
      </c>
      <c r="B192" s="1" t="n">
        <v>45229</v>
      </c>
      <c r="C192" s="1" t="n">
        <v>45929</v>
      </c>
      <c r="D192" t="inlineStr">
        <is>
          <t>DALARNAS LÄN</t>
        </is>
      </c>
      <c r="E192" t="inlineStr">
        <is>
          <t>MORA</t>
        </is>
      </c>
      <c r="G192" t="n">
        <v>2.4</v>
      </c>
      <c r="H192" t="n">
        <v>0</v>
      </c>
      <c r="I192" t="n">
        <v>0</v>
      </c>
      <c r="J192" t="n">
        <v>0</v>
      </c>
      <c r="K192" t="n">
        <v>0</v>
      </c>
      <c r="L192" t="n">
        <v>0</v>
      </c>
      <c r="M192" t="n">
        <v>0</v>
      </c>
      <c r="N192" t="n">
        <v>0</v>
      </c>
      <c r="O192" t="n">
        <v>0</v>
      </c>
      <c r="P192" t="n">
        <v>0</v>
      </c>
      <c r="Q192" t="n">
        <v>0</v>
      </c>
      <c r="R192" s="2" t="inlineStr"/>
    </row>
    <row r="193" ht="15" customHeight="1">
      <c r="A193" t="inlineStr">
        <is>
          <t>A 18444-2024</t>
        </is>
      </c>
      <c r="B193" s="1" t="n">
        <v>45425.45568287037</v>
      </c>
      <c r="C193" s="1" t="n">
        <v>45929</v>
      </c>
      <c r="D193" t="inlineStr">
        <is>
          <t>DALARNAS LÄN</t>
        </is>
      </c>
      <c r="E193" t="inlineStr">
        <is>
          <t>MORA</t>
        </is>
      </c>
      <c r="G193" t="n">
        <v>5</v>
      </c>
      <c r="H193" t="n">
        <v>0</v>
      </c>
      <c r="I193" t="n">
        <v>0</v>
      </c>
      <c r="J193" t="n">
        <v>0</v>
      </c>
      <c r="K193" t="n">
        <v>0</v>
      </c>
      <c r="L193" t="n">
        <v>0</v>
      </c>
      <c r="M193" t="n">
        <v>0</v>
      </c>
      <c r="N193" t="n">
        <v>0</v>
      </c>
      <c r="O193" t="n">
        <v>0</v>
      </c>
      <c r="P193" t="n">
        <v>0</v>
      </c>
      <c r="Q193" t="n">
        <v>0</v>
      </c>
      <c r="R193" s="2" t="inlineStr"/>
    </row>
    <row r="194" ht="15" customHeight="1">
      <c r="A194" t="inlineStr">
        <is>
          <t>A 18992-2024</t>
        </is>
      </c>
      <c r="B194" s="1" t="n">
        <v>45427.61516203704</v>
      </c>
      <c r="C194" s="1" t="n">
        <v>45929</v>
      </c>
      <c r="D194" t="inlineStr">
        <is>
          <t>DALARNAS LÄN</t>
        </is>
      </c>
      <c r="E194" t="inlineStr">
        <is>
          <t>MORA</t>
        </is>
      </c>
      <c r="G194" t="n">
        <v>9.9</v>
      </c>
      <c r="H194" t="n">
        <v>0</v>
      </c>
      <c r="I194" t="n">
        <v>0</v>
      </c>
      <c r="J194" t="n">
        <v>0</v>
      </c>
      <c r="K194" t="n">
        <v>0</v>
      </c>
      <c r="L194" t="n">
        <v>0</v>
      </c>
      <c r="M194" t="n">
        <v>0</v>
      </c>
      <c r="N194" t="n">
        <v>0</v>
      </c>
      <c r="O194" t="n">
        <v>0</v>
      </c>
      <c r="P194" t="n">
        <v>0</v>
      </c>
      <c r="Q194" t="n">
        <v>0</v>
      </c>
      <c r="R194" s="2" t="inlineStr"/>
    </row>
    <row r="195" ht="15" customHeight="1">
      <c r="A195" t="inlineStr">
        <is>
          <t>A 5001-2025</t>
        </is>
      </c>
      <c r="B195" s="1" t="n">
        <v>45691.36403935185</v>
      </c>
      <c r="C195" s="1" t="n">
        <v>45929</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35611-2025</t>
        </is>
      </c>
      <c r="B196" s="1" t="n">
        <v>45859.35384259259</v>
      </c>
      <c r="C196" s="1" t="n">
        <v>45929</v>
      </c>
      <c r="D196" t="inlineStr">
        <is>
          <t>DALARNAS LÄN</t>
        </is>
      </c>
      <c r="E196" t="inlineStr">
        <is>
          <t>MORA</t>
        </is>
      </c>
      <c r="G196" t="n">
        <v>2.5</v>
      </c>
      <c r="H196" t="n">
        <v>0</v>
      </c>
      <c r="I196" t="n">
        <v>0</v>
      </c>
      <c r="J196" t="n">
        <v>0</v>
      </c>
      <c r="K196" t="n">
        <v>0</v>
      </c>
      <c r="L196" t="n">
        <v>0</v>
      </c>
      <c r="M196" t="n">
        <v>0</v>
      </c>
      <c r="N196" t="n">
        <v>0</v>
      </c>
      <c r="O196" t="n">
        <v>0</v>
      </c>
      <c r="P196" t="n">
        <v>0</v>
      </c>
      <c r="Q196" t="n">
        <v>0</v>
      </c>
      <c r="R196" s="2" t="inlineStr"/>
    </row>
    <row r="197" ht="15" customHeight="1">
      <c r="A197" t="inlineStr">
        <is>
          <t>A 41794-2025</t>
        </is>
      </c>
      <c r="B197" s="1" t="n">
        <v>45902.60008101852</v>
      </c>
      <c r="C197" s="1" t="n">
        <v>45929</v>
      </c>
      <c r="D197" t="inlineStr">
        <is>
          <t>DALARNAS LÄN</t>
        </is>
      </c>
      <c r="E197" t="inlineStr">
        <is>
          <t>MORA</t>
        </is>
      </c>
      <c r="G197" t="n">
        <v>14.4</v>
      </c>
      <c r="H197" t="n">
        <v>0</v>
      </c>
      <c r="I197" t="n">
        <v>0</v>
      </c>
      <c r="J197" t="n">
        <v>0</v>
      </c>
      <c r="K197" t="n">
        <v>0</v>
      </c>
      <c r="L197" t="n">
        <v>0</v>
      </c>
      <c r="M197" t="n">
        <v>0</v>
      </c>
      <c r="N197" t="n">
        <v>0</v>
      </c>
      <c r="O197" t="n">
        <v>0</v>
      </c>
      <c r="P197" t="n">
        <v>0</v>
      </c>
      <c r="Q197" t="n">
        <v>0</v>
      </c>
      <c r="R197" s="2" t="inlineStr"/>
    </row>
    <row r="198" ht="15" customHeight="1">
      <c r="A198" t="inlineStr">
        <is>
          <t>A 59448-2022</t>
        </is>
      </c>
      <c r="B198" s="1" t="n">
        <v>44907</v>
      </c>
      <c r="C198" s="1" t="n">
        <v>45929</v>
      </c>
      <c r="D198" t="inlineStr">
        <is>
          <t>DALARNAS LÄN</t>
        </is>
      </c>
      <c r="E198" t="inlineStr">
        <is>
          <t>MORA</t>
        </is>
      </c>
      <c r="G198" t="n">
        <v>35.7</v>
      </c>
      <c r="H198" t="n">
        <v>0</v>
      </c>
      <c r="I198" t="n">
        <v>0</v>
      </c>
      <c r="J198" t="n">
        <v>0</v>
      </c>
      <c r="K198" t="n">
        <v>0</v>
      </c>
      <c r="L198" t="n">
        <v>0</v>
      </c>
      <c r="M198" t="n">
        <v>0</v>
      </c>
      <c r="N198" t="n">
        <v>0</v>
      </c>
      <c r="O198" t="n">
        <v>0</v>
      </c>
      <c r="P198" t="n">
        <v>0</v>
      </c>
      <c r="Q198" t="n">
        <v>0</v>
      </c>
      <c r="R198" s="2" t="inlineStr"/>
    </row>
    <row r="199" ht="15" customHeight="1">
      <c r="A199" t="inlineStr">
        <is>
          <t>A 60673-2023</t>
        </is>
      </c>
      <c r="B199" s="1" t="n">
        <v>45260.46438657407</v>
      </c>
      <c r="C199" s="1" t="n">
        <v>45929</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57797-2022</t>
        </is>
      </c>
      <c r="B200" s="1" t="n">
        <v>44897</v>
      </c>
      <c r="C200" s="1" t="n">
        <v>45929</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41783-2025</t>
        </is>
      </c>
      <c r="B201" s="1" t="n">
        <v>45902.58721064815</v>
      </c>
      <c r="C201" s="1" t="n">
        <v>45929</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35622-2025</t>
        </is>
      </c>
      <c r="B202" s="1" t="n">
        <v>45859</v>
      </c>
      <c r="C202" s="1" t="n">
        <v>45929</v>
      </c>
      <c r="D202" t="inlineStr">
        <is>
          <t>DALARNAS LÄN</t>
        </is>
      </c>
      <c r="E202" t="inlineStr">
        <is>
          <t>MORA</t>
        </is>
      </c>
      <c r="F202" t="inlineStr">
        <is>
          <t>Bergvik skog öst AB</t>
        </is>
      </c>
      <c r="G202" t="n">
        <v>5.8</v>
      </c>
      <c r="H202" t="n">
        <v>0</v>
      </c>
      <c r="I202" t="n">
        <v>0</v>
      </c>
      <c r="J202" t="n">
        <v>0</v>
      </c>
      <c r="K202" t="n">
        <v>0</v>
      </c>
      <c r="L202" t="n">
        <v>0</v>
      </c>
      <c r="M202" t="n">
        <v>0</v>
      </c>
      <c r="N202" t="n">
        <v>0</v>
      </c>
      <c r="O202" t="n">
        <v>0</v>
      </c>
      <c r="P202" t="n">
        <v>0</v>
      </c>
      <c r="Q202" t="n">
        <v>0</v>
      </c>
      <c r="R202" s="2" t="inlineStr"/>
    </row>
    <row r="203" ht="15" customHeight="1">
      <c r="A203" t="inlineStr">
        <is>
          <t>A 54903-2024</t>
        </is>
      </c>
      <c r="B203" s="1" t="n">
        <v>45618</v>
      </c>
      <c r="C203" s="1" t="n">
        <v>45929</v>
      </c>
      <c r="D203" t="inlineStr">
        <is>
          <t>DALARNAS LÄN</t>
        </is>
      </c>
      <c r="E203" t="inlineStr">
        <is>
          <t>MORA</t>
        </is>
      </c>
      <c r="G203" t="n">
        <v>28.2</v>
      </c>
      <c r="H203" t="n">
        <v>0</v>
      </c>
      <c r="I203" t="n">
        <v>0</v>
      </c>
      <c r="J203" t="n">
        <v>0</v>
      </c>
      <c r="K203" t="n">
        <v>0</v>
      </c>
      <c r="L203" t="n">
        <v>0</v>
      </c>
      <c r="M203" t="n">
        <v>0</v>
      </c>
      <c r="N203" t="n">
        <v>0</v>
      </c>
      <c r="O203" t="n">
        <v>0</v>
      </c>
      <c r="P203" t="n">
        <v>0</v>
      </c>
      <c r="Q203" t="n">
        <v>0</v>
      </c>
      <c r="R203" s="2" t="inlineStr"/>
    </row>
    <row r="204" ht="15" customHeight="1">
      <c r="A204" t="inlineStr">
        <is>
          <t>A 35734-2025</t>
        </is>
      </c>
      <c r="B204" s="1" t="n">
        <v>45860.471875</v>
      </c>
      <c r="C204" s="1" t="n">
        <v>45929</v>
      </c>
      <c r="D204" t="inlineStr">
        <is>
          <t>DALARNAS LÄN</t>
        </is>
      </c>
      <c r="E204" t="inlineStr">
        <is>
          <t>MORA</t>
        </is>
      </c>
      <c r="G204" t="n">
        <v>1.3</v>
      </c>
      <c r="H204" t="n">
        <v>0</v>
      </c>
      <c r="I204" t="n">
        <v>0</v>
      </c>
      <c r="J204" t="n">
        <v>0</v>
      </c>
      <c r="K204" t="n">
        <v>0</v>
      </c>
      <c r="L204" t="n">
        <v>0</v>
      </c>
      <c r="M204" t="n">
        <v>0</v>
      </c>
      <c r="N204" t="n">
        <v>0</v>
      </c>
      <c r="O204" t="n">
        <v>0</v>
      </c>
      <c r="P204" t="n">
        <v>0</v>
      </c>
      <c r="Q204" t="n">
        <v>0</v>
      </c>
      <c r="R204" s="2" t="inlineStr"/>
    </row>
    <row r="205" ht="15" customHeight="1">
      <c r="A205" t="inlineStr">
        <is>
          <t>A 40286-2024</t>
        </is>
      </c>
      <c r="B205" s="1" t="n">
        <v>45554.6687037037</v>
      </c>
      <c r="C205" s="1" t="n">
        <v>45929</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9277-2024</t>
        </is>
      </c>
      <c r="B206" s="1" t="n">
        <v>45358.63265046296</v>
      </c>
      <c r="C206" s="1" t="n">
        <v>45929</v>
      </c>
      <c r="D206" t="inlineStr">
        <is>
          <t>DALARNAS LÄN</t>
        </is>
      </c>
      <c r="E206" t="inlineStr">
        <is>
          <t>MORA</t>
        </is>
      </c>
      <c r="G206" t="n">
        <v>1.7</v>
      </c>
      <c r="H206" t="n">
        <v>0</v>
      </c>
      <c r="I206" t="n">
        <v>0</v>
      </c>
      <c r="J206" t="n">
        <v>0</v>
      </c>
      <c r="K206" t="n">
        <v>0</v>
      </c>
      <c r="L206" t="n">
        <v>0</v>
      </c>
      <c r="M206" t="n">
        <v>0</v>
      </c>
      <c r="N206" t="n">
        <v>0</v>
      </c>
      <c r="O206" t="n">
        <v>0</v>
      </c>
      <c r="P206" t="n">
        <v>0</v>
      </c>
      <c r="Q206" t="n">
        <v>0</v>
      </c>
      <c r="R206" s="2" t="inlineStr"/>
    </row>
    <row r="207" ht="15" customHeight="1">
      <c r="A207" t="inlineStr">
        <is>
          <t>A 41410-2025</t>
        </is>
      </c>
      <c r="B207" s="1" t="n">
        <v>45901.35030092593</v>
      </c>
      <c r="C207" s="1" t="n">
        <v>45929</v>
      </c>
      <c r="D207" t="inlineStr">
        <is>
          <t>DALARNAS LÄN</t>
        </is>
      </c>
      <c r="E207" t="inlineStr">
        <is>
          <t>MORA</t>
        </is>
      </c>
      <c r="G207" t="n">
        <v>4.5</v>
      </c>
      <c r="H207" t="n">
        <v>0</v>
      </c>
      <c r="I207" t="n">
        <v>0</v>
      </c>
      <c r="J207" t="n">
        <v>0</v>
      </c>
      <c r="K207" t="n">
        <v>0</v>
      </c>
      <c r="L207" t="n">
        <v>0</v>
      </c>
      <c r="M207" t="n">
        <v>0</v>
      </c>
      <c r="N207" t="n">
        <v>0</v>
      </c>
      <c r="O207" t="n">
        <v>0</v>
      </c>
      <c r="P207" t="n">
        <v>0</v>
      </c>
      <c r="Q207" t="n">
        <v>0</v>
      </c>
      <c r="R207" s="2" t="inlineStr"/>
    </row>
    <row r="208" ht="15" customHeight="1">
      <c r="A208" t="inlineStr">
        <is>
          <t>A 48824-2023</t>
        </is>
      </c>
      <c r="B208" s="1" t="n">
        <v>45203</v>
      </c>
      <c r="C208" s="1" t="n">
        <v>45929</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45355-2024</t>
        </is>
      </c>
      <c r="B209" s="1" t="n">
        <v>45576</v>
      </c>
      <c r="C209" s="1" t="n">
        <v>45929</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20504-2023</t>
        </is>
      </c>
      <c r="B210" s="1" t="n">
        <v>45057</v>
      </c>
      <c r="C210" s="1" t="n">
        <v>45929</v>
      </c>
      <c r="D210" t="inlineStr">
        <is>
          <t>DALARNAS LÄN</t>
        </is>
      </c>
      <c r="E210" t="inlineStr">
        <is>
          <t>MORA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44595-2024</t>
        </is>
      </c>
      <c r="B211" s="1" t="n">
        <v>45574.51053240741</v>
      </c>
      <c r="C211" s="1" t="n">
        <v>45929</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60847-2021</t>
        </is>
      </c>
      <c r="B212" s="1" t="n">
        <v>44497</v>
      </c>
      <c r="C212" s="1" t="n">
        <v>45929</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35623-2025</t>
        </is>
      </c>
      <c r="B213" s="1" t="n">
        <v>45859</v>
      </c>
      <c r="C213" s="1" t="n">
        <v>45929</v>
      </c>
      <c r="D213" t="inlineStr">
        <is>
          <t>DALARNAS LÄN</t>
        </is>
      </c>
      <c r="E213" t="inlineStr">
        <is>
          <t>MORA</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41614-2025</t>
        </is>
      </c>
      <c r="B214" s="1" t="n">
        <v>45901.68267361111</v>
      </c>
      <c r="C214" s="1" t="n">
        <v>45929</v>
      </c>
      <c r="D214" t="inlineStr">
        <is>
          <t>DALARNAS LÄN</t>
        </is>
      </c>
      <c r="E214" t="inlineStr">
        <is>
          <t>MORA</t>
        </is>
      </c>
      <c r="F214" t="inlineStr">
        <is>
          <t>Bergvik skog väst AB</t>
        </is>
      </c>
      <c r="G214" t="n">
        <v>13.8</v>
      </c>
      <c r="H214" t="n">
        <v>0</v>
      </c>
      <c r="I214" t="n">
        <v>0</v>
      </c>
      <c r="J214" t="n">
        <v>0</v>
      </c>
      <c r="K214" t="n">
        <v>0</v>
      </c>
      <c r="L214" t="n">
        <v>0</v>
      </c>
      <c r="M214" t="n">
        <v>0</v>
      </c>
      <c r="N214" t="n">
        <v>0</v>
      </c>
      <c r="O214" t="n">
        <v>0</v>
      </c>
      <c r="P214" t="n">
        <v>0</v>
      </c>
      <c r="Q214" t="n">
        <v>0</v>
      </c>
      <c r="R214" s="2" t="inlineStr"/>
    </row>
    <row r="215" ht="15" customHeight="1">
      <c r="A215" t="inlineStr">
        <is>
          <t>A 35624-2025</t>
        </is>
      </c>
      <c r="B215" s="1" t="n">
        <v>45859</v>
      </c>
      <c r="C215" s="1" t="n">
        <v>45929</v>
      </c>
      <c r="D215" t="inlineStr">
        <is>
          <t>DALARNAS LÄN</t>
        </is>
      </c>
      <c r="E215" t="inlineStr">
        <is>
          <t>MORA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43566-2023</t>
        </is>
      </c>
      <c r="B216" s="1" t="n">
        <v>45184.58199074074</v>
      </c>
      <c r="C216" s="1" t="n">
        <v>45929</v>
      </c>
      <c r="D216" t="inlineStr">
        <is>
          <t>DALARNAS LÄN</t>
        </is>
      </c>
      <c r="E216" t="inlineStr">
        <is>
          <t>MORA</t>
        </is>
      </c>
      <c r="F216" t="inlineStr">
        <is>
          <t>Bergvik skog väst AB</t>
        </is>
      </c>
      <c r="G216" t="n">
        <v>4.3</v>
      </c>
      <c r="H216" t="n">
        <v>0</v>
      </c>
      <c r="I216" t="n">
        <v>0</v>
      </c>
      <c r="J216" t="n">
        <v>0</v>
      </c>
      <c r="K216" t="n">
        <v>0</v>
      </c>
      <c r="L216" t="n">
        <v>0</v>
      </c>
      <c r="M216" t="n">
        <v>0</v>
      </c>
      <c r="N216" t="n">
        <v>0</v>
      </c>
      <c r="O216" t="n">
        <v>0</v>
      </c>
      <c r="P216" t="n">
        <v>0</v>
      </c>
      <c r="Q216" t="n">
        <v>0</v>
      </c>
      <c r="R216" s="2" t="inlineStr"/>
    </row>
    <row r="217" ht="15" customHeight="1">
      <c r="A217" t="inlineStr">
        <is>
          <t>A 32410-2024</t>
        </is>
      </c>
      <c r="B217" s="1" t="n">
        <v>45512.70077546296</v>
      </c>
      <c r="C217" s="1" t="n">
        <v>45929</v>
      </c>
      <c r="D217" t="inlineStr">
        <is>
          <t>DALARNAS LÄN</t>
        </is>
      </c>
      <c r="E217" t="inlineStr">
        <is>
          <t>MORA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42112-2025</t>
        </is>
      </c>
      <c r="B218" s="1" t="n">
        <v>45904.32134259259</v>
      </c>
      <c r="C218" s="1" t="n">
        <v>45929</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45929</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14040-2023</t>
        </is>
      </c>
      <c r="B220" s="1" t="n">
        <v>45008.64575231481</v>
      </c>
      <c r="C220" s="1" t="n">
        <v>45929</v>
      </c>
      <c r="D220" t="inlineStr">
        <is>
          <t>DALARNAS LÄN</t>
        </is>
      </c>
      <c r="E220" t="inlineStr">
        <is>
          <t>MORA</t>
        </is>
      </c>
      <c r="G220" t="n">
        <v>1.3</v>
      </c>
      <c r="H220" t="n">
        <v>0</v>
      </c>
      <c r="I220" t="n">
        <v>0</v>
      </c>
      <c r="J220" t="n">
        <v>0</v>
      </c>
      <c r="K220" t="n">
        <v>0</v>
      </c>
      <c r="L220" t="n">
        <v>0</v>
      </c>
      <c r="M220" t="n">
        <v>0</v>
      </c>
      <c r="N220" t="n">
        <v>0</v>
      </c>
      <c r="O220" t="n">
        <v>0</v>
      </c>
      <c r="P220" t="n">
        <v>0</v>
      </c>
      <c r="Q220" t="n">
        <v>0</v>
      </c>
      <c r="R220" s="2" t="inlineStr"/>
    </row>
    <row r="221" ht="15" customHeight="1">
      <c r="A221" t="inlineStr">
        <is>
          <t>A 32721-2024</t>
        </is>
      </c>
      <c r="B221" s="1" t="n">
        <v>45516.40261574074</v>
      </c>
      <c r="C221" s="1" t="n">
        <v>45929</v>
      </c>
      <c r="D221" t="inlineStr">
        <is>
          <t>DALARNAS LÄN</t>
        </is>
      </c>
      <c r="E221" t="inlineStr">
        <is>
          <t>MORA</t>
        </is>
      </c>
      <c r="G221" t="n">
        <v>4.2</v>
      </c>
      <c r="H221" t="n">
        <v>0</v>
      </c>
      <c r="I221" t="n">
        <v>0</v>
      </c>
      <c r="J221" t="n">
        <v>0</v>
      </c>
      <c r="K221" t="n">
        <v>0</v>
      </c>
      <c r="L221" t="n">
        <v>0</v>
      </c>
      <c r="M221" t="n">
        <v>0</v>
      </c>
      <c r="N221" t="n">
        <v>0</v>
      </c>
      <c r="O221" t="n">
        <v>0</v>
      </c>
      <c r="P221" t="n">
        <v>0</v>
      </c>
      <c r="Q221" t="n">
        <v>0</v>
      </c>
      <c r="R221" s="2" t="inlineStr"/>
    </row>
    <row r="222" ht="15" customHeight="1">
      <c r="A222" t="inlineStr">
        <is>
          <t>A 36038-2024</t>
        </is>
      </c>
      <c r="B222" s="1" t="n">
        <v>45533</v>
      </c>
      <c r="C222" s="1" t="n">
        <v>45929</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55331-2022</t>
        </is>
      </c>
      <c r="B223" s="1" t="n">
        <v>44887.43714120371</v>
      </c>
      <c r="C223" s="1" t="n">
        <v>45929</v>
      </c>
      <c r="D223" t="inlineStr">
        <is>
          <t>DALARNAS LÄN</t>
        </is>
      </c>
      <c r="E223" t="inlineStr">
        <is>
          <t>MORA</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41855-2025</t>
        </is>
      </c>
      <c r="B224" s="1" t="n">
        <v>45902.93693287037</v>
      </c>
      <c r="C224" s="1" t="n">
        <v>45929</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53743-2024</t>
        </is>
      </c>
      <c r="B225" s="1" t="n">
        <v>45615.47137731482</v>
      </c>
      <c r="C225" s="1" t="n">
        <v>45929</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48170-2024</t>
        </is>
      </c>
      <c r="B226" s="1" t="n">
        <v>45589.76975694444</v>
      </c>
      <c r="C226" s="1" t="n">
        <v>45929</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45475-2023</t>
        </is>
      </c>
      <c r="B227" s="1" t="n">
        <v>45188</v>
      </c>
      <c r="C227" s="1" t="n">
        <v>45929</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42813-2025</t>
        </is>
      </c>
      <c r="B228" s="1" t="n">
        <v>45908.56168981481</v>
      </c>
      <c r="C228" s="1" t="n">
        <v>45929</v>
      </c>
      <c r="D228" t="inlineStr">
        <is>
          <t>DALARNAS LÄN</t>
        </is>
      </c>
      <c r="E228" t="inlineStr">
        <is>
          <t>MORA</t>
        </is>
      </c>
      <c r="G228" t="n">
        <v>4.3</v>
      </c>
      <c r="H228" t="n">
        <v>0</v>
      </c>
      <c r="I228" t="n">
        <v>0</v>
      </c>
      <c r="J228" t="n">
        <v>0</v>
      </c>
      <c r="K228" t="n">
        <v>0</v>
      </c>
      <c r="L228" t="n">
        <v>0</v>
      </c>
      <c r="M228" t="n">
        <v>0</v>
      </c>
      <c r="N228" t="n">
        <v>0</v>
      </c>
      <c r="O228" t="n">
        <v>0</v>
      </c>
      <c r="P228" t="n">
        <v>0</v>
      </c>
      <c r="Q228" t="n">
        <v>0</v>
      </c>
      <c r="R228" s="2" t="inlineStr"/>
    </row>
    <row r="229" ht="15" customHeight="1">
      <c r="A229" t="inlineStr">
        <is>
          <t>A 11919-2024</t>
        </is>
      </c>
      <c r="B229" s="1" t="n">
        <v>45376.61019675926</v>
      </c>
      <c r="C229" s="1" t="n">
        <v>45929</v>
      </c>
      <c r="D229" t="inlineStr">
        <is>
          <t>DALARNAS LÄN</t>
        </is>
      </c>
      <c r="E229" t="inlineStr">
        <is>
          <t>MORA</t>
        </is>
      </c>
      <c r="G229" t="n">
        <v>3.5</v>
      </c>
      <c r="H229" t="n">
        <v>0</v>
      </c>
      <c r="I229" t="n">
        <v>0</v>
      </c>
      <c r="J229" t="n">
        <v>0</v>
      </c>
      <c r="K229" t="n">
        <v>0</v>
      </c>
      <c r="L229" t="n">
        <v>0</v>
      </c>
      <c r="M229" t="n">
        <v>0</v>
      </c>
      <c r="N229" t="n">
        <v>0</v>
      </c>
      <c r="O229" t="n">
        <v>0</v>
      </c>
      <c r="P229" t="n">
        <v>0</v>
      </c>
      <c r="Q229" t="n">
        <v>0</v>
      </c>
      <c r="R229" s="2" t="inlineStr"/>
    </row>
    <row r="230" ht="15" customHeight="1">
      <c r="A230" t="inlineStr">
        <is>
          <t>A 30194-2024</t>
        </is>
      </c>
      <c r="B230" s="1" t="n">
        <v>45490.33387731481</v>
      </c>
      <c r="C230" s="1" t="n">
        <v>45929</v>
      </c>
      <c r="D230" t="inlineStr">
        <is>
          <t>DALARNAS LÄN</t>
        </is>
      </c>
      <c r="E230" t="inlineStr">
        <is>
          <t>MORA</t>
        </is>
      </c>
      <c r="G230" t="n">
        <v>3.1</v>
      </c>
      <c r="H230" t="n">
        <v>0</v>
      </c>
      <c r="I230" t="n">
        <v>0</v>
      </c>
      <c r="J230" t="n">
        <v>0</v>
      </c>
      <c r="K230" t="n">
        <v>0</v>
      </c>
      <c r="L230" t="n">
        <v>0</v>
      </c>
      <c r="M230" t="n">
        <v>0</v>
      </c>
      <c r="N230" t="n">
        <v>0</v>
      </c>
      <c r="O230" t="n">
        <v>0</v>
      </c>
      <c r="P230" t="n">
        <v>0</v>
      </c>
      <c r="Q230" t="n">
        <v>0</v>
      </c>
      <c r="R230" s="2" t="inlineStr"/>
    </row>
    <row r="231" ht="15" customHeight="1">
      <c r="A231" t="inlineStr">
        <is>
          <t>A 47143-2022</t>
        </is>
      </c>
      <c r="B231" s="1" t="n">
        <v>44852</v>
      </c>
      <c r="C231" s="1" t="n">
        <v>45929</v>
      </c>
      <c r="D231" t="inlineStr">
        <is>
          <t>DALARNAS LÄN</t>
        </is>
      </c>
      <c r="E231" t="inlineStr">
        <is>
          <t>MORA</t>
        </is>
      </c>
      <c r="G231" t="n">
        <v>3.9</v>
      </c>
      <c r="H231" t="n">
        <v>0</v>
      </c>
      <c r="I231" t="n">
        <v>0</v>
      </c>
      <c r="J231" t="n">
        <v>0</v>
      </c>
      <c r="K231" t="n">
        <v>0</v>
      </c>
      <c r="L231" t="n">
        <v>0</v>
      </c>
      <c r="M231" t="n">
        <v>0</v>
      </c>
      <c r="N231" t="n">
        <v>0</v>
      </c>
      <c r="O231" t="n">
        <v>0</v>
      </c>
      <c r="P231" t="n">
        <v>0</v>
      </c>
      <c r="Q231" t="n">
        <v>0</v>
      </c>
      <c r="R231" s="2" t="inlineStr"/>
    </row>
    <row r="232" ht="15" customHeight="1">
      <c r="A232" t="inlineStr">
        <is>
          <t>A 45315-2024</t>
        </is>
      </c>
      <c r="B232" s="1" t="n">
        <v>45576.43782407408</v>
      </c>
      <c r="C232" s="1" t="n">
        <v>45929</v>
      </c>
      <c r="D232" t="inlineStr">
        <is>
          <t>DALARNAS LÄN</t>
        </is>
      </c>
      <c r="E232" t="inlineStr">
        <is>
          <t>MORA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45929</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42830-2025</t>
        </is>
      </c>
      <c r="B234" s="1" t="n">
        <v>45908.57753472222</v>
      </c>
      <c r="C234" s="1" t="n">
        <v>45929</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20594-2025</t>
        </is>
      </c>
      <c r="B235" s="1" t="n">
        <v>45775.74009259259</v>
      </c>
      <c r="C235" s="1" t="n">
        <v>45929</v>
      </c>
      <c r="D235" t="inlineStr">
        <is>
          <t>DALARNAS LÄN</t>
        </is>
      </c>
      <c r="E235" t="inlineStr">
        <is>
          <t>MORA</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36041-2025</t>
        </is>
      </c>
      <c r="B236" s="1" t="n">
        <v>45866.34385416667</v>
      </c>
      <c r="C236" s="1" t="n">
        <v>45929</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17529-2023</t>
        </is>
      </c>
      <c r="B237" s="1" t="n">
        <v>45036.46804398148</v>
      </c>
      <c r="C237" s="1" t="n">
        <v>45929</v>
      </c>
      <c r="D237" t="inlineStr">
        <is>
          <t>DALARNAS LÄN</t>
        </is>
      </c>
      <c r="E237" t="inlineStr">
        <is>
          <t>MORA</t>
        </is>
      </c>
      <c r="G237" t="n">
        <v>6</v>
      </c>
      <c r="H237" t="n">
        <v>0</v>
      </c>
      <c r="I237" t="n">
        <v>0</v>
      </c>
      <c r="J237" t="n">
        <v>0</v>
      </c>
      <c r="K237" t="n">
        <v>0</v>
      </c>
      <c r="L237" t="n">
        <v>0</v>
      </c>
      <c r="M237" t="n">
        <v>0</v>
      </c>
      <c r="N237" t="n">
        <v>0</v>
      </c>
      <c r="O237" t="n">
        <v>0</v>
      </c>
      <c r="P237" t="n">
        <v>0</v>
      </c>
      <c r="Q237" t="n">
        <v>0</v>
      </c>
      <c r="R237" s="2" t="inlineStr"/>
    </row>
    <row r="238" ht="15" customHeight="1">
      <c r="A238" t="inlineStr">
        <is>
          <t>A 16174-2025</t>
        </is>
      </c>
      <c r="B238" s="1" t="n">
        <v>45750</v>
      </c>
      <c r="C238" s="1" t="n">
        <v>45929</v>
      </c>
      <c r="D238" t="inlineStr">
        <is>
          <t>DALARNAS LÄN</t>
        </is>
      </c>
      <c r="E238" t="inlineStr">
        <is>
          <t>MORA</t>
        </is>
      </c>
      <c r="G238" t="n">
        <v>0.9</v>
      </c>
      <c r="H238" t="n">
        <v>0</v>
      </c>
      <c r="I238" t="n">
        <v>0</v>
      </c>
      <c r="J238" t="n">
        <v>0</v>
      </c>
      <c r="K238" t="n">
        <v>0</v>
      </c>
      <c r="L238" t="n">
        <v>0</v>
      </c>
      <c r="M238" t="n">
        <v>0</v>
      </c>
      <c r="N238" t="n">
        <v>0</v>
      </c>
      <c r="O238" t="n">
        <v>0</v>
      </c>
      <c r="P238" t="n">
        <v>0</v>
      </c>
      <c r="Q238" t="n">
        <v>0</v>
      </c>
      <c r="R238" s="2" t="inlineStr"/>
    </row>
    <row r="239" ht="15" customHeight="1">
      <c r="A239" t="inlineStr">
        <is>
          <t>A 4209-2023</t>
        </is>
      </c>
      <c r="B239" s="1" t="n">
        <v>44953</v>
      </c>
      <c r="C239" s="1" t="n">
        <v>45929</v>
      </c>
      <c r="D239" t="inlineStr">
        <is>
          <t>DALARNAS LÄN</t>
        </is>
      </c>
      <c r="E239" t="inlineStr">
        <is>
          <t>MORA</t>
        </is>
      </c>
      <c r="G239" t="n">
        <v>1</v>
      </c>
      <c r="H239" t="n">
        <v>0</v>
      </c>
      <c r="I239" t="n">
        <v>0</v>
      </c>
      <c r="J239" t="n">
        <v>0</v>
      </c>
      <c r="K239" t="n">
        <v>0</v>
      </c>
      <c r="L239" t="n">
        <v>0</v>
      </c>
      <c r="M239" t="n">
        <v>0</v>
      </c>
      <c r="N239" t="n">
        <v>0</v>
      </c>
      <c r="O239" t="n">
        <v>0</v>
      </c>
      <c r="P239" t="n">
        <v>0</v>
      </c>
      <c r="Q239" t="n">
        <v>0</v>
      </c>
      <c r="R239" s="2" t="inlineStr"/>
    </row>
    <row r="240" ht="15" customHeight="1">
      <c r="A240" t="inlineStr">
        <is>
          <t>A 64088-2023</t>
        </is>
      </c>
      <c r="B240" s="1" t="n">
        <v>45279.43570601852</v>
      </c>
      <c r="C240" s="1" t="n">
        <v>45929</v>
      </c>
      <c r="D240" t="inlineStr">
        <is>
          <t>DALARNAS LÄN</t>
        </is>
      </c>
      <c r="E240" t="inlineStr">
        <is>
          <t>MORA</t>
        </is>
      </c>
      <c r="G240" t="n">
        <v>1</v>
      </c>
      <c r="H240" t="n">
        <v>0</v>
      </c>
      <c r="I240" t="n">
        <v>0</v>
      </c>
      <c r="J240" t="n">
        <v>0</v>
      </c>
      <c r="K240" t="n">
        <v>0</v>
      </c>
      <c r="L240" t="n">
        <v>0</v>
      </c>
      <c r="M240" t="n">
        <v>0</v>
      </c>
      <c r="N240" t="n">
        <v>0</v>
      </c>
      <c r="O240" t="n">
        <v>0</v>
      </c>
      <c r="P240" t="n">
        <v>0</v>
      </c>
      <c r="Q240" t="n">
        <v>0</v>
      </c>
      <c r="R240" s="2" t="inlineStr"/>
    </row>
    <row r="241" ht="15" customHeight="1">
      <c r="A241" t="inlineStr">
        <is>
          <t>A 34282-2024</t>
        </is>
      </c>
      <c r="B241" s="1" t="n">
        <v>45524.62600694445</v>
      </c>
      <c r="C241" s="1" t="n">
        <v>45929</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43153-2025</t>
        </is>
      </c>
      <c r="B242" s="1" t="n">
        <v>45910.34449074074</v>
      </c>
      <c r="C242" s="1" t="n">
        <v>45929</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42954-2025</t>
        </is>
      </c>
      <c r="B243" s="1" t="n">
        <v>45909.3578125</v>
      </c>
      <c r="C243" s="1" t="n">
        <v>45929</v>
      </c>
      <c r="D243" t="inlineStr">
        <is>
          <t>DALARNAS LÄN</t>
        </is>
      </c>
      <c r="E243" t="inlineStr">
        <is>
          <t>MORA</t>
        </is>
      </c>
      <c r="G243" t="n">
        <v>2.5</v>
      </c>
      <c r="H243" t="n">
        <v>0</v>
      </c>
      <c r="I243" t="n">
        <v>0</v>
      </c>
      <c r="J243" t="n">
        <v>0</v>
      </c>
      <c r="K243" t="n">
        <v>0</v>
      </c>
      <c r="L243" t="n">
        <v>0</v>
      </c>
      <c r="M243" t="n">
        <v>0</v>
      </c>
      <c r="N243" t="n">
        <v>0</v>
      </c>
      <c r="O243" t="n">
        <v>0</v>
      </c>
      <c r="P243" t="n">
        <v>0</v>
      </c>
      <c r="Q243" t="n">
        <v>0</v>
      </c>
      <c r="R243" s="2" t="inlineStr"/>
    </row>
    <row r="244" ht="15" customHeight="1">
      <c r="A244" t="inlineStr">
        <is>
          <t>A 42960-2025</t>
        </is>
      </c>
      <c r="B244" s="1" t="n">
        <v>45909.36631944445</v>
      </c>
      <c r="C244" s="1" t="n">
        <v>45929</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42319-2025</t>
        </is>
      </c>
      <c r="B245" s="1" t="n">
        <v>45903</v>
      </c>
      <c r="C245" s="1" t="n">
        <v>45929</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43157-2025</t>
        </is>
      </c>
      <c r="B246" s="1" t="n">
        <v>45910.34953703704</v>
      </c>
      <c r="C246" s="1" t="n">
        <v>45929</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36179-2025</t>
        </is>
      </c>
      <c r="B247" s="1" t="n">
        <v>45867</v>
      </c>
      <c r="C247" s="1" t="n">
        <v>45929</v>
      </c>
      <c r="D247" t="inlineStr">
        <is>
          <t>DALARNAS LÄN</t>
        </is>
      </c>
      <c r="E247" t="inlineStr">
        <is>
          <t>MORA</t>
        </is>
      </c>
      <c r="G247" t="n">
        <v>2.5</v>
      </c>
      <c r="H247" t="n">
        <v>0</v>
      </c>
      <c r="I247" t="n">
        <v>0</v>
      </c>
      <c r="J247" t="n">
        <v>0</v>
      </c>
      <c r="K247" t="n">
        <v>0</v>
      </c>
      <c r="L247" t="n">
        <v>0</v>
      </c>
      <c r="M247" t="n">
        <v>0</v>
      </c>
      <c r="N247" t="n">
        <v>0</v>
      </c>
      <c r="O247" t="n">
        <v>0</v>
      </c>
      <c r="P247" t="n">
        <v>0</v>
      </c>
      <c r="Q247" t="n">
        <v>0</v>
      </c>
      <c r="R247" s="2" t="inlineStr"/>
    </row>
    <row r="248" ht="15" customHeight="1">
      <c r="A248" t="inlineStr">
        <is>
          <t>A 42947-2025</t>
        </is>
      </c>
      <c r="B248" s="1" t="n">
        <v>45909.34799768519</v>
      </c>
      <c r="C248" s="1" t="n">
        <v>45929</v>
      </c>
      <c r="D248" t="inlineStr">
        <is>
          <t>DALARNAS LÄN</t>
        </is>
      </c>
      <c r="E248" t="inlineStr">
        <is>
          <t>MORA</t>
        </is>
      </c>
      <c r="F248" t="inlineStr">
        <is>
          <t>Allmännings- och besparingsskogar</t>
        </is>
      </c>
      <c r="G248" t="n">
        <v>6.2</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45929</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52525-2022</t>
        </is>
      </c>
      <c r="B250" s="1" t="n">
        <v>44874</v>
      </c>
      <c r="C250" s="1" t="n">
        <v>45929</v>
      </c>
      <c r="D250" t="inlineStr">
        <is>
          <t>DALARNAS LÄN</t>
        </is>
      </c>
      <c r="E250" t="inlineStr">
        <is>
          <t>MORA</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39344-2024</t>
        </is>
      </c>
      <c r="B251" s="1" t="n">
        <v>45551.44503472222</v>
      </c>
      <c r="C251" s="1" t="n">
        <v>45929</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26314-2021</t>
        </is>
      </c>
      <c r="B252" s="1" t="n">
        <v>44347</v>
      </c>
      <c r="C252" s="1" t="n">
        <v>45929</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43569-2025</t>
        </is>
      </c>
      <c r="B253" s="1" t="n">
        <v>45911.63363425926</v>
      </c>
      <c r="C253" s="1" t="n">
        <v>45929</v>
      </c>
      <c r="D253" t="inlineStr">
        <is>
          <t>DALARNAS LÄN</t>
        </is>
      </c>
      <c r="E253" t="inlineStr">
        <is>
          <t>MORA</t>
        </is>
      </c>
      <c r="G253" t="n">
        <v>4.7</v>
      </c>
      <c r="H253" t="n">
        <v>0</v>
      </c>
      <c r="I253" t="n">
        <v>0</v>
      </c>
      <c r="J253" t="n">
        <v>0</v>
      </c>
      <c r="K253" t="n">
        <v>0</v>
      </c>
      <c r="L253" t="n">
        <v>0</v>
      </c>
      <c r="M253" t="n">
        <v>0</v>
      </c>
      <c r="N253" t="n">
        <v>0</v>
      </c>
      <c r="O253" t="n">
        <v>0</v>
      </c>
      <c r="P253" t="n">
        <v>0</v>
      </c>
      <c r="Q253" t="n">
        <v>0</v>
      </c>
      <c r="R253" s="2" t="inlineStr"/>
    </row>
    <row r="254" ht="15" customHeight="1">
      <c r="A254" t="inlineStr">
        <is>
          <t>A 43811-2025</t>
        </is>
      </c>
      <c r="B254" s="1" t="n">
        <v>45912.58710648148</v>
      </c>
      <c r="C254" s="1" t="n">
        <v>45929</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60718-2023</t>
        </is>
      </c>
      <c r="B255" s="1" t="n">
        <v>45260.5284375</v>
      </c>
      <c r="C255" s="1" t="n">
        <v>45929</v>
      </c>
      <c r="D255" t="inlineStr">
        <is>
          <t>DALARNAS LÄN</t>
        </is>
      </c>
      <c r="E255" t="inlineStr">
        <is>
          <t>MORA</t>
        </is>
      </c>
      <c r="G255" t="n">
        <v>2.6</v>
      </c>
      <c r="H255" t="n">
        <v>0</v>
      </c>
      <c r="I255" t="n">
        <v>0</v>
      </c>
      <c r="J255" t="n">
        <v>0</v>
      </c>
      <c r="K255" t="n">
        <v>0</v>
      </c>
      <c r="L255" t="n">
        <v>0</v>
      </c>
      <c r="M255" t="n">
        <v>0</v>
      </c>
      <c r="N255" t="n">
        <v>0</v>
      </c>
      <c r="O255" t="n">
        <v>0</v>
      </c>
      <c r="P255" t="n">
        <v>0</v>
      </c>
      <c r="Q255" t="n">
        <v>0</v>
      </c>
      <c r="R255" s="2" t="inlineStr"/>
    </row>
    <row r="256" ht="15" customHeight="1">
      <c r="A256" t="inlineStr">
        <is>
          <t>A 41169-2023</t>
        </is>
      </c>
      <c r="B256" s="1" t="n">
        <v>45174.34662037037</v>
      </c>
      <c r="C256" s="1" t="n">
        <v>45929</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36586-2025</t>
        </is>
      </c>
      <c r="B257" s="1" t="n">
        <v>45869</v>
      </c>
      <c r="C257" s="1" t="n">
        <v>45929</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14641-2023</t>
        </is>
      </c>
      <c r="B258" s="1" t="n">
        <v>45013</v>
      </c>
      <c r="C258" s="1" t="n">
        <v>45929</v>
      </c>
      <c r="D258" t="inlineStr">
        <is>
          <t>DALARNAS LÄN</t>
        </is>
      </c>
      <c r="E258" t="inlineStr">
        <is>
          <t>MORA</t>
        </is>
      </c>
      <c r="G258" t="n">
        <v>1.5</v>
      </c>
      <c r="H258" t="n">
        <v>0</v>
      </c>
      <c r="I258" t="n">
        <v>0</v>
      </c>
      <c r="J258" t="n">
        <v>0</v>
      </c>
      <c r="K258" t="n">
        <v>0</v>
      </c>
      <c r="L258" t="n">
        <v>0</v>
      </c>
      <c r="M258" t="n">
        <v>0</v>
      </c>
      <c r="N258" t="n">
        <v>0</v>
      </c>
      <c r="O258" t="n">
        <v>0</v>
      </c>
      <c r="P258" t="n">
        <v>0</v>
      </c>
      <c r="Q258" t="n">
        <v>0</v>
      </c>
      <c r="R258" s="2" t="inlineStr"/>
    </row>
    <row r="259" ht="15" customHeight="1">
      <c r="A259" t="inlineStr">
        <is>
          <t>A 43474-2025</t>
        </is>
      </c>
      <c r="B259" s="1" t="n">
        <v>45911.48967592593</v>
      </c>
      <c r="C259" s="1" t="n">
        <v>45929</v>
      </c>
      <c r="D259" t="inlineStr">
        <is>
          <t>DALARNAS LÄN</t>
        </is>
      </c>
      <c r="E259" t="inlineStr">
        <is>
          <t>MORA</t>
        </is>
      </c>
      <c r="G259" t="n">
        <v>1.8</v>
      </c>
      <c r="H259" t="n">
        <v>0</v>
      </c>
      <c r="I259" t="n">
        <v>0</v>
      </c>
      <c r="J259" t="n">
        <v>0</v>
      </c>
      <c r="K259" t="n">
        <v>0</v>
      </c>
      <c r="L259" t="n">
        <v>0</v>
      </c>
      <c r="M259" t="n">
        <v>0</v>
      </c>
      <c r="N259" t="n">
        <v>0</v>
      </c>
      <c r="O259" t="n">
        <v>0</v>
      </c>
      <c r="P259" t="n">
        <v>0</v>
      </c>
      <c r="Q259" t="n">
        <v>0</v>
      </c>
      <c r="R259" s="2" t="inlineStr"/>
    </row>
    <row r="260" ht="15" customHeight="1">
      <c r="A260" t="inlineStr">
        <is>
          <t>A 12151-2021</t>
        </is>
      </c>
      <c r="B260" s="1" t="n">
        <v>44266</v>
      </c>
      <c r="C260" s="1" t="n">
        <v>45929</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69483-2021</t>
        </is>
      </c>
      <c r="B261" s="1" t="n">
        <v>44531</v>
      </c>
      <c r="C261" s="1" t="n">
        <v>45929</v>
      </c>
      <c r="D261" t="inlineStr">
        <is>
          <t>DALARNAS LÄN</t>
        </is>
      </c>
      <c r="E261" t="inlineStr">
        <is>
          <t>MORA</t>
        </is>
      </c>
      <c r="G261" t="n">
        <v>1.5</v>
      </c>
      <c r="H261" t="n">
        <v>0</v>
      </c>
      <c r="I261" t="n">
        <v>0</v>
      </c>
      <c r="J261" t="n">
        <v>0</v>
      </c>
      <c r="K261" t="n">
        <v>0</v>
      </c>
      <c r="L261" t="n">
        <v>0</v>
      </c>
      <c r="M261" t="n">
        <v>0</v>
      </c>
      <c r="N261" t="n">
        <v>0</v>
      </c>
      <c r="O261" t="n">
        <v>0</v>
      </c>
      <c r="P261" t="n">
        <v>0</v>
      </c>
      <c r="Q261" t="n">
        <v>0</v>
      </c>
      <c r="R261" s="2" t="inlineStr"/>
    </row>
    <row r="262" ht="15" customHeight="1">
      <c r="A262" t="inlineStr">
        <is>
          <t>A 56460-2022</t>
        </is>
      </c>
      <c r="B262" s="1" t="n">
        <v>44893</v>
      </c>
      <c r="C262" s="1" t="n">
        <v>45929</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57110-2021</t>
        </is>
      </c>
      <c r="B263" s="1" t="n">
        <v>44482</v>
      </c>
      <c r="C263" s="1" t="n">
        <v>45929</v>
      </c>
      <c r="D263" t="inlineStr">
        <is>
          <t>DALARNAS LÄN</t>
        </is>
      </c>
      <c r="E263" t="inlineStr">
        <is>
          <t>MORA</t>
        </is>
      </c>
      <c r="G263" t="n">
        <v>5.4</v>
      </c>
      <c r="H263" t="n">
        <v>0</v>
      </c>
      <c r="I263" t="n">
        <v>0</v>
      </c>
      <c r="J263" t="n">
        <v>0</v>
      </c>
      <c r="K263" t="n">
        <v>0</v>
      </c>
      <c r="L263" t="n">
        <v>0</v>
      </c>
      <c r="M263" t="n">
        <v>0</v>
      </c>
      <c r="N263" t="n">
        <v>0</v>
      </c>
      <c r="O263" t="n">
        <v>0</v>
      </c>
      <c r="P263" t="n">
        <v>0</v>
      </c>
      <c r="Q263" t="n">
        <v>0</v>
      </c>
      <c r="R263" s="2" t="inlineStr"/>
    </row>
    <row r="264" ht="15" customHeight="1">
      <c r="A264" t="inlineStr">
        <is>
          <t>A 39882-2024</t>
        </is>
      </c>
      <c r="B264" s="1" t="n">
        <v>45553</v>
      </c>
      <c r="C264" s="1" t="n">
        <v>45929</v>
      </c>
      <c r="D264" t="inlineStr">
        <is>
          <t>DALARNAS LÄN</t>
        </is>
      </c>
      <c r="E264" t="inlineStr">
        <is>
          <t>MORA</t>
        </is>
      </c>
      <c r="G264" t="n">
        <v>14.6</v>
      </c>
      <c r="H264" t="n">
        <v>0</v>
      </c>
      <c r="I264" t="n">
        <v>0</v>
      </c>
      <c r="J264" t="n">
        <v>0</v>
      </c>
      <c r="K264" t="n">
        <v>0</v>
      </c>
      <c r="L264" t="n">
        <v>0</v>
      </c>
      <c r="M264" t="n">
        <v>0</v>
      </c>
      <c r="N264" t="n">
        <v>0</v>
      </c>
      <c r="O264" t="n">
        <v>0</v>
      </c>
      <c r="P264" t="n">
        <v>0</v>
      </c>
      <c r="Q264" t="n">
        <v>0</v>
      </c>
      <c r="R264" s="2" t="inlineStr"/>
    </row>
    <row r="265" ht="15" customHeight="1">
      <c r="A265" t="inlineStr">
        <is>
          <t>A 39897-2022</t>
        </is>
      </c>
      <c r="B265" s="1" t="n">
        <v>44819.66083333334</v>
      </c>
      <c r="C265" s="1" t="n">
        <v>45929</v>
      </c>
      <c r="D265" t="inlineStr">
        <is>
          <t>DALARNAS LÄN</t>
        </is>
      </c>
      <c r="E265" t="inlineStr">
        <is>
          <t>MORA</t>
        </is>
      </c>
      <c r="G265" t="n">
        <v>15.8</v>
      </c>
      <c r="H265" t="n">
        <v>0</v>
      </c>
      <c r="I265" t="n">
        <v>0</v>
      </c>
      <c r="J265" t="n">
        <v>0</v>
      </c>
      <c r="K265" t="n">
        <v>0</v>
      </c>
      <c r="L265" t="n">
        <v>0</v>
      </c>
      <c r="M265" t="n">
        <v>0</v>
      </c>
      <c r="N265" t="n">
        <v>0</v>
      </c>
      <c r="O265" t="n">
        <v>0</v>
      </c>
      <c r="P265" t="n">
        <v>0</v>
      </c>
      <c r="Q265" t="n">
        <v>0</v>
      </c>
      <c r="R265" s="2" t="inlineStr"/>
    </row>
    <row r="266" ht="15" customHeight="1">
      <c r="A266" t="inlineStr">
        <is>
          <t>A 18559-2024</t>
        </is>
      </c>
      <c r="B266" s="1" t="n">
        <v>45425.66265046296</v>
      </c>
      <c r="C266" s="1" t="n">
        <v>45929</v>
      </c>
      <c r="D266" t="inlineStr">
        <is>
          <t>DALARNAS LÄN</t>
        </is>
      </c>
      <c r="E266" t="inlineStr">
        <is>
          <t>MORA</t>
        </is>
      </c>
      <c r="G266" t="n">
        <v>3.6</v>
      </c>
      <c r="H266" t="n">
        <v>0</v>
      </c>
      <c r="I266" t="n">
        <v>0</v>
      </c>
      <c r="J266" t="n">
        <v>0</v>
      </c>
      <c r="K266" t="n">
        <v>0</v>
      </c>
      <c r="L266" t="n">
        <v>0</v>
      </c>
      <c r="M266" t="n">
        <v>0</v>
      </c>
      <c r="N266" t="n">
        <v>0</v>
      </c>
      <c r="O266" t="n">
        <v>0</v>
      </c>
      <c r="P266" t="n">
        <v>0</v>
      </c>
      <c r="Q266" t="n">
        <v>0</v>
      </c>
      <c r="R266" s="2" t="inlineStr"/>
    </row>
    <row r="267" ht="15" customHeight="1">
      <c r="A267" t="inlineStr">
        <is>
          <t>A 42611-2022</t>
        </is>
      </c>
      <c r="B267" s="1" t="n">
        <v>44831.81482638889</v>
      </c>
      <c r="C267" s="1" t="n">
        <v>45929</v>
      </c>
      <c r="D267" t="inlineStr">
        <is>
          <t>DALARNAS LÄN</t>
        </is>
      </c>
      <c r="E267" t="inlineStr">
        <is>
          <t>MORA</t>
        </is>
      </c>
      <c r="G267" t="n">
        <v>2.1</v>
      </c>
      <c r="H267" t="n">
        <v>0</v>
      </c>
      <c r="I267" t="n">
        <v>0</v>
      </c>
      <c r="J267" t="n">
        <v>0</v>
      </c>
      <c r="K267" t="n">
        <v>0</v>
      </c>
      <c r="L267" t="n">
        <v>0</v>
      </c>
      <c r="M267" t="n">
        <v>0</v>
      </c>
      <c r="N267" t="n">
        <v>0</v>
      </c>
      <c r="O267" t="n">
        <v>0</v>
      </c>
      <c r="P267" t="n">
        <v>0</v>
      </c>
      <c r="Q267" t="n">
        <v>0</v>
      </c>
      <c r="R267" s="2" t="inlineStr"/>
    </row>
    <row r="268" ht="15" customHeight="1">
      <c r="A268" t="inlineStr">
        <is>
          <t>A 44384-2025</t>
        </is>
      </c>
      <c r="B268" s="1" t="n">
        <v>45916.48513888889</v>
      </c>
      <c r="C268" s="1" t="n">
        <v>45929</v>
      </c>
      <c r="D268" t="inlineStr">
        <is>
          <t>DALARNAS LÄN</t>
        </is>
      </c>
      <c r="E268" t="inlineStr">
        <is>
          <t>MORA</t>
        </is>
      </c>
      <c r="F268" t="inlineStr">
        <is>
          <t>Kyrkan</t>
        </is>
      </c>
      <c r="G268" t="n">
        <v>5.1</v>
      </c>
      <c r="H268" t="n">
        <v>0</v>
      </c>
      <c r="I268" t="n">
        <v>0</v>
      </c>
      <c r="J268" t="n">
        <v>0</v>
      </c>
      <c r="K268" t="n">
        <v>0</v>
      </c>
      <c r="L268" t="n">
        <v>0</v>
      </c>
      <c r="M268" t="n">
        <v>0</v>
      </c>
      <c r="N268" t="n">
        <v>0</v>
      </c>
      <c r="O268" t="n">
        <v>0</v>
      </c>
      <c r="P268" t="n">
        <v>0</v>
      </c>
      <c r="Q268" t="n">
        <v>0</v>
      </c>
      <c r="R268" s="2" t="inlineStr"/>
    </row>
    <row r="269" ht="15" customHeight="1">
      <c r="A269" t="inlineStr">
        <is>
          <t>A 44417-2025</t>
        </is>
      </c>
      <c r="B269" s="1" t="n">
        <v>45916.5453587963</v>
      </c>
      <c r="C269" s="1" t="n">
        <v>45929</v>
      </c>
      <c r="D269" t="inlineStr">
        <is>
          <t>DALARNAS LÄN</t>
        </is>
      </c>
      <c r="E269" t="inlineStr">
        <is>
          <t>MORA</t>
        </is>
      </c>
      <c r="G269" t="n">
        <v>13.1</v>
      </c>
      <c r="H269" t="n">
        <v>0</v>
      </c>
      <c r="I269" t="n">
        <v>0</v>
      </c>
      <c r="J269" t="n">
        <v>0</v>
      </c>
      <c r="K269" t="n">
        <v>0</v>
      </c>
      <c r="L269" t="n">
        <v>0</v>
      </c>
      <c r="M269" t="n">
        <v>0</v>
      </c>
      <c r="N269" t="n">
        <v>0</v>
      </c>
      <c r="O269" t="n">
        <v>0</v>
      </c>
      <c r="P269" t="n">
        <v>0</v>
      </c>
      <c r="Q269" t="n">
        <v>0</v>
      </c>
      <c r="R269" s="2" t="inlineStr"/>
    </row>
    <row r="270" ht="15" customHeight="1">
      <c r="A270" t="inlineStr">
        <is>
          <t>A 23302-2024</t>
        </is>
      </c>
      <c r="B270" s="1" t="n">
        <v>45453.44091435185</v>
      </c>
      <c r="C270" s="1" t="n">
        <v>45929</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36760-2025</t>
        </is>
      </c>
      <c r="B271" s="1" t="n">
        <v>45873.57319444444</v>
      </c>
      <c r="C271" s="1" t="n">
        <v>45929</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30985-2024</t>
        </is>
      </c>
      <c r="B272" s="1" t="n">
        <v>45499.51721064815</v>
      </c>
      <c r="C272" s="1" t="n">
        <v>45929</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57859-2022</t>
        </is>
      </c>
      <c r="B273" s="1" t="n">
        <v>44898</v>
      </c>
      <c r="C273" s="1" t="n">
        <v>45929</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5309-2023</t>
        </is>
      </c>
      <c r="B274" s="1" t="n">
        <v>44956</v>
      </c>
      <c r="C274" s="1" t="n">
        <v>45929</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60051-2022</t>
        </is>
      </c>
      <c r="B275" s="1" t="n">
        <v>44909.52385416667</v>
      </c>
      <c r="C275" s="1" t="n">
        <v>45929</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60647-2022</t>
        </is>
      </c>
      <c r="B276" s="1" t="n">
        <v>44911</v>
      </c>
      <c r="C276" s="1" t="n">
        <v>45929</v>
      </c>
      <c r="D276" t="inlineStr">
        <is>
          <t>DALARNAS LÄN</t>
        </is>
      </c>
      <c r="E276" t="inlineStr">
        <is>
          <t>MORA</t>
        </is>
      </c>
      <c r="G276" t="n">
        <v>4.8</v>
      </c>
      <c r="H276" t="n">
        <v>0</v>
      </c>
      <c r="I276" t="n">
        <v>0</v>
      </c>
      <c r="J276" t="n">
        <v>0</v>
      </c>
      <c r="K276" t="n">
        <v>0</v>
      </c>
      <c r="L276" t="n">
        <v>0</v>
      </c>
      <c r="M276" t="n">
        <v>0</v>
      </c>
      <c r="N276" t="n">
        <v>0</v>
      </c>
      <c r="O276" t="n">
        <v>0</v>
      </c>
      <c r="P276" t="n">
        <v>0</v>
      </c>
      <c r="Q276" t="n">
        <v>0</v>
      </c>
      <c r="R276" s="2" t="inlineStr"/>
    </row>
    <row r="277" ht="15" customHeight="1">
      <c r="A277" t="inlineStr">
        <is>
          <t>A 48390-2024</t>
        </is>
      </c>
      <c r="B277" s="1" t="n">
        <v>45590.60216435185</v>
      </c>
      <c r="C277" s="1" t="n">
        <v>45929</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22854-2023</t>
        </is>
      </c>
      <c r="B278" s="1" t="n">
        <v>45072</v>
      </c>
      <c r="C278" s="1" t="n">
        <v>45929</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44318-2025</t>
        </is>
      </c>
      <c r="B279" s="1" t="n">
        <v>45916.39680555555</v>
      </c>
      <c r="C279" s="1" t="n">
        <v>45929</v>
      </c>
      <c r="D279" t="inlineStr">
        <is>
          <t>DALARNAS LÄN</t>
        </is>
      </c>
      <c r="E279" t="inlineStr">
        <is>
          <t>MORA</t>
        </is>
      </c>
      <c r="G279" t="n">
        <v>7.4</v>
      </c>
      <c r="H279" t="n">
        <v>0</v>
      </c>
      <c r="I279" t="n">
        <v>0</v>
      </c>
      <c r="J279" t="n">
        <v>0</v>
      </c>
      <c r="K279" t="n">
        <v>0</v>
      </c>
      <c r="L279" t="n">
        <v>0</v>
      </c>
      <c r="M279" t="n">
        <v>0</v>
      </c>
      <c r="N279" t="n">
        <v>0</v>
      </c>
      <c r="O279" t="n">
        <v>0</v>
      </c>
      <c r="P279" t="n">
        <v>0</v>
      </c>
      <c r="Q279" t="n">
        <v>0</v>
      </c>
      <c r="R279" s="2" t="inlineStr"/>
    </row>
    <row r="280" ht="15" customHeight="1">
      <c r="A280" t="inlineStr">
        <is>
          <t>A 55671-2024</t>
        </is>
      </c>
      <c r="B280" s="1" t="n">
        <v>45622.65269675926</v>
      </c>
      <c r="C280" s="1" t="n">
        <v>45929</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15416-2023</t>
        </is>
      </c>
      <c r="B281" s="1" t="n">
        <v>45019.71342592593</v>
      </c>
      <c r="C281" s="1" t="n">
        <v>45929</v>
      </c>
      <c r="D281" t="inlineStr">
        <is>
          <t>DALARNAS LÄN</t>
        </is>
      </c>
      <c r="E281" t="inlineStr">
        <is>
          <t>MORA</t>
        </is>
      </c>
      <c r="G281" t="n">
        <v>2</v>
      </c>
      <c r="H281" t="n">
        <v>0</v>
      </c>
      <c r="I281" t="n">
        <v>0</v>
      </c>
      <c r="J281" t="n">
        <v>0</v>
      </c>
      <c r="K281" t="n">
        <v>0</v>
      </c>
      <c r="L281" t="n">
        <v>0</v>
      </c>
      <c r="M281" t="n">
        <v>0</v>
      </c>
      <c r="N281" t="n">
        <v>0</v>
      </c>
      <c r="O281" t="n">
        <v>0</v>
      </c>
      <c r="P281" t="n">
        <v>0</v>
      </c>
      <c r="Q281" t="n">
        <v>0</v>
      </c>
      <c r="R281" s="2" t="inlineStr"/>
    </row>
    <row r="282" ht="15" customHeight="1">
      <c r="A282" t="inlineStr">
        <is>
          <t>A 24590-2024</t>
        </is>
      </c>
      <c r="B282" s="1" t="n">
        <v>45460</v>
      </c>
      <c r="C282" s="1" t="n">
        <v>45929</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36846-2025</t>
        </is>
      </c>
      <c r="B283" s="1" t="n">
        <v>45874.38655092593</v>
      </c>
      <c r="C283" s="1" t="n">
        <v>45929</v>
      </c>
      <c r="D283" t="inlineStr">
        <is>
          <t>DALARNAS LÄN</t>
        </is>
      </c>
      <c r="E283" t="inlineStr">
        <is>
          <t>MORA</t>
        </is>
      </c>
      <c r="G283" t="n">
        <v>10.7</v>
      </c>
      <c r="H283" t="n">
        <v>0</v>
      </c>
      <c r="I283" t="n">
        <v>0</v>
      </c>
      <c r="J283" t="n">
        <v>0</v>
      </c>
      <c r="K283" t="n">
        <v>0</v>
      </c>
      <c r="L283" t="n">
        <v>0</v>
      </c>
      <c r="M283" t="n">
        <v>0</v>
      </c>
      <c r="N283" t="n">
        <v>0</v>
      </c>
      <c r="O283" t="n">
        <v>0</v>
      </c>
      <c r="P283" t="n">
        <v>0</v>
      </c>
      <c r="Q283" t="n">
        <v>0</v>
      </c>
      <c r="R283" s="2" t="inlineStr"/>
    </row>
    <row r="284" ht="15" customHeight="1">
      <c r="A284" t="inlineStr">
        <is>
          <t>A 52288-2024</t>
        </is>
      </c>
      <c r="B284" s="1" t="n">
        <v>45608.69395833334</v>
      </c>
      <c r="C284" s="1" t="n">
        <v>45929</v>
      </c>
      <c r="D284" t="inlineStr">
        <is>
          <t>DALARNAS LÄN</t>
        </is>
      </c>
      <c r="E284" t="inlineStr">
        <is>
          <t>MORA</t>
        </is>
      </c>
      <c r="G284" t="n">
        <v>2</v>
      </c>
      <c r="H284" t="n">
        <v>0</v>
      </c>
      <c r="I284" t="n">
        <v>0</v>
      </c>
      <c r="J284" t="n">
        <v>0</v>
      </c>
      <c r="K284" t="n">
        <v>0</v>
      </c>
      <c r="L284" t="n">
        <v>0</v>
      </c>
      <c r="M284" t="n">
        <v>0</v>
      </c>
      <c r="N284" t="n">
        <v>0</v>
      </c>
      <c r="O284" t="n">
        <v>0</v>
      </c>
      <c r="P284" t="n">
        <v>0</v>
      </c>
      <c r="Q284" t="n">
        <v>0</v>
      </c>
      <c r="R284" s="2" t="inlineStr"/>
    </row>
    <row r="285" ht="15" customHeight="1">
      <c r="A285" t="inlineStr">
        <is>
          <t>A 25935-2023</t>
        </is>
      </c>
      <c r="B285" s="1" t="n">
        <v>45090.68675925926</v>
      </c>
      <c r="C285" s="1" t="n">
        <v>45929</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4208-2023</t>
        </is>
      </c>
      <c r="B286" s="1" t="n">
        <v>44953</v>
      </c>
      <c r="C286" s="1" t="n">
        <v>45929</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4210-2023</t>
        </is>
      </c>
      <c r="B287" s="1" t="n">
        <v>44953.44965277778</v>
      </c>
      <c r="C287" s="1" t="n">
        <v>45929</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5491-2023</t>
        </is>
      </c>
      <c r="B288" s="1" t="n">
        <v>44957</v>
      </c>
      <c r="C288" s="1" t="n">
        <v>45929</v>
      </c>
      <c r="D288" t="inlineStr">
        <is>
          <t>DALARNAS LÄN</t>
        </is>
      </c>
      <c r="E288" t="inlineStr">
        <is>
          <t>MORA</t>
        </is>
      </c>
      <c r="G288" t="n">
        <v>3.5</v>
      </c>
      <c r="H288" t="n">
        <v>0</v>
      </c>
      <c r="I288" t="n">
        <v>0</v>
      </c>
      <c r="J288" t="n">
        <v>0</v>
      </c>
      <c r="K288" t="n">
        <v>0</v>
      </c>
      <c r="L288" t="n">
        <v>0</v>
      </c>
      <c r="M288" t="n">
        <v>0</v>
      </c>
      <c r="N288" t="n">
        <v>0</v>
      </c>
      <c r="O288" t="n">
        <v>0</v>
      </c>
      <c r="P288" t="n">
        <v>0</v>
      </c>
      <c r="Q288" t="n">
        <v>0</v>
      </c>
      <c r="R288" s="2" t="inlineStr"/>
    </row>
    <row r="289" ht="15" customHeight="1">
      <c r="A289" t="inlineStr">
        <is>
          <t>A 5493-2023</t>
        </is>
      </c>
      <c r="B289" s="1" t="n">
        <v>44957</v>
      </c>
      <c r="C289" s="1" t="n">
        <v>45929</v>
      </c>
      <c r="D289" t="inlineStr">
        <is>
          <t>DALARNAS LÄN</t>
        </is>
      </c>
      <c r="E289" t="inlineStr">
        <is>
          <t>MORA</t>
        </is>
      </c>
      <c r="F289" t="inlineStr">
        <is>
          <t>Allmännings- och besparingsskogar</t>
        </is>
      </c>
      <c r="G289" t="n">
        <v>14.9</v>
      </c>
      <c r="H289" t="n">
        <v>0</v>
      </c>
      <c r="I289" t="n">
        <v>0</v>
      </c>
      <c r="J289" t="n">
        <v>0</v>
      </c>
      <c r="K289" t="n">
        <v>0</v>
      </c>
      <c r="L289" t="n">
        <v>0</v>
      </c>
      <c r="M289" t="n">
        <v>0</v>
      </c>
      <c r="N289" t="n">
        <v>0</v>
      </c>
      <c r="O289" t="n">
        <v>0</v>
      </c>
      <c r="P289" t="n">
        <v>0</v>
      </c>
      <c r="Q289" t="n">
        <v>0</v>
      </c>
      <c r="R289" s="2" t="inlineStr"/>
    </row>
    <row r="290" ht="15" customHeight="1">
      <c r="A290" t="inlineStr">
        <is>
          <t>A 24768-2024</t>
        </is>
      </c>
      <c r="B290" s="1" t="n">
        <v>45460.69545138889</v>
      </c>
      <c r="C290" s="1" t="n">
        <v>45929</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9554-2025</t>
        </is>
      </c>
      <c r="B291" s="1" t="n">
        <v>45715.59936342593</v>
      </c>
      <c r="C291" s="1" t="n">
        <v>45929</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11463-2024</t>
        </is>
      </c>
      <c r="B292" s="1" t="n">
        <v>45372.58969907407</v>
      </c>
      <c r="C292" s="1" t="n">
        <v>45929</v>
      </c>
      <c r="D292" t="inlineStr">
        <is>
          <t>DALARNAS LÄN</t>
        </is>
      </c>
      <c r="E292" t="inlineStr">
        <is>
          <t>MORA</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42934-2024</t>
        </is>
      </c>
      <c r="B293" s="1" t="n">
        <v>45567.33655092592</v>
      </c>
      <c r="C293" s="1" t="n">
        <v>45929</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50911-2024</t>
        </is>
      </c>
      <c r="B294" s="1" t="n">
        <v>45602.7022337963</v>
      </c>
      <c r="C294" s="1" t="n">
        <v>45929</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2879-2022</t>
        </is>
      </c>
      <c r="B295" s="1" t="n">
        <v>44581</v>
      </c>
      <c r="C295" s="1" t="n">
        <v>45929</v>
      </c>
      <c r="D295" t="inlineStr">
        <is>
          <t>DALARNAS LÄN</t>
        </is>
      </c>
      <c r="E295" t="inlineStr">
        <is>
          <t>MORA</t>
        </is>
      </c>
      <c r="G295" t="n">
        <v>2.3</v>
      </c>
      <c r="H295" t="n">
        <v>0</v>
      </c>
      <c r="I295" t="n">
        <v>0</v>
      </c>
      <c r="J295" t="n">
        <v>0</v>
      </c>
      <c r="K295" t="n">
        <v>0</v>
      </c>
      <c r="L295" t="n">
        <v>0</v>
      </c>
      <c r="M295" t="n">
        <v>0</v>
      </c>
      <c r="N295" t="n">
        <v>0</v>
      </c>
      <c r="O295" t="n">
        <v>0</v>
      </c>
      <c r="P295" t="n">
        <v>0</v>
      </c>
      <c r="Q295" t="n">
        <v>0</v>
      </c>
      <c r="R295" s="2" t="inlineStr"/>
    </row>
    <row r="296" ht="15" customHeight="1">
      <c r="A296" t="inlineStr">
        <is>
          <t>A 44621-2025</t>
        </is>
      </c>
      <c r="B296" s="1" t="n">
        <v>45917.466875</v>
      </c>
      <c r="C296" s="1" t="n">
        <v>45929</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35040-2023</t>
        </is>
      </c>
      <c r="B297" s="1" t="n">
        <v>45145.36853009259</v>
      </c>
      <c r="C297" s="1" t="n">
        <v>45929</v>
      </c>
      <c r="D297" t="inlineStr">
        <is>
          <t>DALARNAS LÄN</t>
        </is>
      </c>
      <c r="E297" t="inlineStr">
        <is>
          <t>MORA</t>
        </is>
      </c>
      <c r="G297" t="n">
        <v>2.1</v>
      </c>
      <c r="H297" t="n">
        <v>0</v>
      </c>
      <c r="I297" t="n">
        <v>0</v>
      </c>
      <c r="J297" t="n">
        <v>0</v>
      </c>
      <c r="K297" t="n">
        <v>0</v>
      </c>
      <c r="L297" t="n">
        <v>0</v>
      </c>
      <c r="M297" t="n">
        <v>0</v>
      </c>
      <c r="N297" t="n">
        <v>0</v>
      </c>
      <c r="O297" t="n">
        <v>0</v>
      </c>
      <c r="P297" t="n">
        <v>0</v>
      </c>
      <c r="Q297" t="n">
        <v>0</v>
      </c>
      <c r="R297" s="2" t="inlineStr"/>
    </row>
    <row r="298" ht="15" customHeight="1">
      <c r="A298" t="inlineStr">
        <is>
          <t>A 37268-2025</t>
        </is>
      </c>
      <c r="B298" s="1" t="n">
        <v>45876.46681712963</v>
      </c>
      <c r="C298" s="1" t="n">
        <v>45929</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27975-2023</t>
        </is>
      </c>
      <c r="B299" s="1" t="n">
        <v>45098</v>
      </c>
      <c r="C299" s="1" t="n">
        <v>45929</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5769-2025</t>
        </is>
      </c>
      <c r="B300" s="1" t="n">
        <v>45694.59288194445</v>
      </c>
      <c r="C300" s="1" t="n">
        <v>45929</v>
      </c>
      <c r="D300" t="inlineStr">
        <is>
          <t>DALARNAS LÄN</t>
        </is>
      </c>
      <c r="E300" t="inlineStr">
        <is>
          <t>MORA</t>
        </is>
      </c>
      <c r="G300" t="n">
        <v>15.7</v>
      </c>
      <c r="H300" t="n">
        <v>0</v>
      </c>
      <c r="I300" t="n">
        <v>0</v>
      </c>
      <c r="J300" t="n">
        <v>0</v>
      </c>
      <c r="K300" t="n">
        <v>0</v>
      </c>
      <c r="L300" t="n">
        <v>0</v>
      </c>
      <c r="M300" t="n">
        <v>0</v>
      </c>
      <c r="N300" t="n">
        <v>0</v>
      </c>
      <c r="O300" t="n">
        <v>0</v>
      </c>
      <c r="P300" t="n">
        <v>0</v>
      </c>
      <c r="Q300" t="n">
        <v>0</v>
      </c>
      <c r="R300" s="2" t="inlineStr"/>
    </row>
    <row r="301" ht="15" customHeight="1">
      <c r="A301" t="inlineStr">
        <is>
          <t>A 58036-2024</t>
        </is>
      </c>
      <c r="B301" s="1" t="n">
        <v>45631.71893518518</v>
      </c>
      <c r="C301" s="1" t="n">
        <v>45929</v>
      </c>
      <c r="D301" t="inlineStr">
        <is>
          <t>DALARNAS LÄN</t>
        </is>
      </c>
      <c r="E301" t="inlineStr">
        <is>
          <t>MORA</t>
        </is>
      </c>
      <c r="G301" t="n">
        <v>1.6</v>
      </c>
      <c r="H301" t="n">
        <v>0</v>
      </c>
      <c r="I301" t="n">
        <v>0</v>
      </c>
      <c r="J301" t="n">
        <v>0</v>
      </c>
      <c r="K301" t="n">
        <v>0</v>
      </c>
      <c r="L301" t="n">
        <v>0</v>
      </c>
      <c r="M301" t="n">
        <v>0</v>
      </c>
      <c r="N301" t="n">
        <v>0</v>
      </c>
      <c r="O301" t="n">
        <v>0</v>
      </c>
      <c r="P301" t="n">
        <v>0</v>
      </c>
      <c r="Q301" t="n">
        <v>0</v>
      </c>
      <c r="R301" s="2" t="inlineStr"/>
    </row>
    <row r="302" ht="15" customHeight="1">
      <c r="A302" t="inlineStr">
        <is>
          <t>A 59101-2024</t>
        </is>
      </c>
      <c r="B302" s="1" t="n">
        <v>45637.34074074074</v>
      </c>
      <c r="C302" s="1" t="n">
        <v>45929</v>
      </c>
      <c r="D302" t="inlineStr">
        <is>
          <t>DALARNAS LÄN</t>
        </is>
      </c>
      <c r="E302" t="inlineStr">
        <is>
          <t>MORA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37070-2025</t>
        </is>
      </c>
      <c r="B303" s="1" t="n">
        <v>45875.39822916667</v>
      </c>
      <c r="C303" s="1" t="n">
        <v>45929</v>
      </c>
      <c r="D303" t="inlineStr">
        <is>
          <t>DALARNAS LÄN</t>
        </is>
      </c>
      <c r="E303" t="inlineStr">
        <is>
          <t>MORA</t>
        </is>
      </c>
      <c r="G303" t="n">
        <v>2.7</v>
      </c>
      <c r="H303" t="n">
        <v>0</v>
      </c>
      <c r="I303" t="n">
        <v>0</v>
      </c>
      <c r="J303" t="n">
        <v>0</v>
      </c>
      <c r="K303" t="n">
        <v>0</v>
      </c>
      <c r="L303" t="n">
        <v>0</v>
      </c>
      <c r="M303" t="n">
        <v>0</v>
      </c>
      <c r="N303" t="n">
        <v>0</v>
      </c>
      <c r="O303" t="n">
        <v>0</v>
      </c>
      <c r="P303" t="n">
        <v>0</v>
      </c>
      <c r="Q303" t="n">
        <v>0</v>
      </c>
      <c r="R303" s="2" t="inlineStr"/>
    </row>
    <row r="304" ht="15" customHeight="1">
      <c r="A304" t="inlineStr">
        <is>
          <t>A 28964-2024</t>
        </is>
      </c>
      <c r="B304" s="1" t="n">
        <v>45481.42923611111</v>
      </c>
      <c r="C304" s="1" t="n">
        <v>45929</v>
      </c>
      <c r="D304" t="inlineStr">
        <is>
          <t>DALARNAS LÄN</t>
        </is>
      </c>
      <c r="E304" t="inlineStr">
        <is>
          <t>MORA</t>
        </is>
      </c>
      <c r="G304" t="n">
        <v>1.3</v>
      </c>
      <c r="H304" t="n">
        <v>0</v>
      </c>
      <c r="I304" t="n">
        <v>0</v>
      </c>
      <c r="J304" t="n">
        <v>0</v>
      </c>
      <c r="K304" t="n">
        <v>0</v>
      </c>
      <c r="L304" t="n">
        <v>0</v>
      </c>
      <c r="M304" t="n">
        <v>0</v>
      </c>
      <c r="N304" t="n">
        <v>0</v>
      </c>
      <c r="O304" t="n">
        <v>0</v>
      </c>
      <c r="P304" t="n">
        <v>0</v>
      </c>
      <c r="Q304" t="n">
        <v>0</v>
      </c>
      <c r="R304" s="2" t="inlineStr"/>
    </row>
    <row r="305" ht="15" customHeight="1">
      <c r="A305" t="inlineStr">
        <is>
          <t>A 27420-2024</t>
        </is>
      </c>
      <c r="B305" s="1" t="n">
        <v>45474.37850694444</v>
      </c>
      <c r="C305" s="1" t="n">
        <v>45929</v>
      </c>
      <c r="D305" t="inlineStr">
        <is>
          <t>DALARNAS LÄN</t>
        </is>
      </c>
      <c r="E305" t="inlineStr">
        <is>
          <t>MORA</t>
        </is>
      </c>
      <c r="G305" t="n">
        <v>7.3</v>
      </c>
      <c r="H305" t="n">
        <v>0</v>
      </c>
      <c r="I305" t="n">
        <v>0</v>
      </c>
      <c r="J305" t="n">
        <v>0</v>
      </c>
      <c r="K305" t="n">
        <v>0</v>
      </c>
      <c r="L305" t="n">
        <v>0</v>
      </c>
      <c r="M305" t="n">
        <v>0</v>
      </c>
      <c r="N305" t="n">
        <v>0</v>
      </c>
      <c r="O305" t="n">
        <v>0</v>
      </c>
      <c r="P305" t="n">
        <v>0</v>
      </c>
      <c r="Q305" t="n">
        <v>0</v>
      </c>
      <c r="R305" s="2" t="inlineStr"/>
    </row>
    <row r="306" ht="15" customHeight="1">
      <c r="A306" t="inlineStr">
        <is>
          <t>A 43874-2024</t>
        </is>
      </c>
      <c r="B306" s="1" t="n">
        <v>45572.38476851852</v>
      </c>
      <c r="C306" s="1" t="n">
        <v>45929</v>
      </c>
      <c r="D306" t="inlineStr">
        <is>
          <t>DALARNAS LÄN</t>
        </is>
      </c>
      <c r="E306" t="inlineStr">
        <is>
          <t>MORA</t>
        </is>
      </c>
      <c r="G306" t="n">
        <v>3.6</v>
      </c>
      <c r="H306" t="n">
        <v>0</v>
      </c>
      <c r="I306" t="n">
        <v>0</v>
      </c>
      <c r="J306" t="n">
        <v>0</v>
      </c>
      <c r="K306" t="n">
        <v>0</v>
      </c>
      <c r="L306" t="n">
        <v>0</v>
      </c>
      <c r="M306" t="n">
        <v>0</v>
      </c>
      <c r="N306" t="n">
        <v>0</v>
      </c>
      <c r="O306" t="n">
        <v>0</v>
      </c>
      <c r="P306" t="n">
        <v>0</v>
      </c>
      <c r="Q306" t="n">
        <v>0</v>
      </c>
      <c r="R306" s="2" t="inlineStr"/>
    </row>
    <row r="307" ht="15" customHeight="1">
      <c r="A307" t="inlineStr">
        <is>
          <t>A 61654-2024</t>
        </is>
      </c>
      <c r="B307" s="1" t="n">
        <v>45646.74988425926</v>
      </c>
      <c r="C307" s="1" t="n">
        <v>45929</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45191-2025</t>
        </is>
      </c>
      <c r="B308" s="1" t="n">
        <v>45919.54811342592</v>
      </c>
      <c r="C308" s="1" t="n">
        <v>45929</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57903-2022</t>
        </is>
      </c>
      <c r="B309" s="1" t="n">
        <v>44900.3521412037</v>
      </c>
      <c r="C309" s="1" t="n">
        <v>45929</v>
      </c>
      <c r="D309" t="inlineStr">
        <is>
          <t>DALARNAS LÄN</t>
        </is>
      </c>
      <c r="E309" t="inlineStr">
        <is>
          <t>MORA</t>
        </is>
      </c>
      <c r="G309" t="n">
        <v>4.3</v>
      </c>
      <c r="H309" t="n">
        <v>0</v>
      </c>
      <c r="I309" t="n">
        <v>0</v>
      </c>
      <c r="J309" t="n">
        <v>0</v>
      </c>
      <c r="K309" t="n">
        <v>0</v>
      </c>
      <c r="L309" t="n">
        <v>0</v>
      </c>
      <c r="M309" t="n">
        <v>0</v>
      </c>
      <c r="N309" t="n">
        <v>0</v>
      </c>
      <c r="O309" t="n">
        <v>0</v>
      </c>
      <c r="P309" t="n">
        <v>0</v>
      </c>
      <c r="Q309" t="n">
        <v>0</v>
      </c>
      <c r="R309" s="2" t="inlineStr"/>
    </row>
    <row r="310" ht="15" customHeight="1">
      <c r="A310" t="inlineStr">
        <is>
          <t>A 24169-2022</t>
        </is>
      </c>
      <c r="B310" s="1" t="n">
        <v>44725.50280092593</v>
      </c>
      <c r="C310" s="1" t="n">
        <v>45929</v>
      </c>
      <c r="D310" t="inlineStr">
        <is>
          <t>DALARNAS LÄN</t>
        </is>
      </c>
      <c r="E310" t="inlineStr">
        <is>
          <t>MORA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65186-2021</t>
        </is>
      </c>
      <c r="B311" s="1" t="n">
        <v>44515</v>
      </c>
      <c r="C311" s="1" t="n">
        <v>45929</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45181-2025</t>
        </is>
      </c>
      <c r="B312" s="1" t="n">
        <v>45919.53329861111</v>
      </c>
      <c r="C312" s="1" t="n">
        <v>45929</v>
      </c>
      <c r="D312" t="inlineStr">
        <is>
          <t>DALARNAS LÄN</t>
        </is>
      </c>
      <c r="E312" t="inlineStr">
        <is>
          <t>MORA</t>
        </is>
      </c>
      <c r="G312" t="n">
        <v>4.5</v>
      </c>
      <c r="H312" t="n">
        <v>0</v>
      </c>
      <c r="I312" t="n">
        <v>0</v>
      </c>
      <c r="J312" t="n">
        <v>0</v>
      </c>
      <c r="K312" t="n">
        <v>0</v>
      </c>
      <c r="L312" t="n">
        <v>0</v>
      </c>
      <c r="M312" t="n">
        <v>0</v>
      </c>
      <c r="N312" t="n">
        <v>0</v>
      </c>
      <c r="O312" t="n">
        <v>0</v>
      </c>
      <c r="P312" t="n">
        <v>0</v>
      </c>
      <c r="Q312" t="n">
        <v>0</v>
      </c>
      <c r="R312" s="2" t="inlineStr"/>
    </row>
    <row r="313" ht="15" customHeight="1">
      <c r="A313" t="inlineStr">
        <is>
          <t>A 58892-2023</t>
        </is>
      </c>
      <c r="B313" s="1" t="n">
        <v>45252.48592592592</v>
      </c>
      <c r="C313" s="1" t="n">
        <v>45929</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11442-2022</t>
        </is>
      </c>
      <c r="B314" s="1" t="n">
        <v>44630.62788194444</v>
      </c>
      <c r="C314" s="1" t="n">
        <v>45929</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6183-2024</t>
        </is>
      </c>
      <c r="B315" s="1" t="n">
        <v>45337.54135416666</v>
      </c>
      <c r="C315" s="1" t="n">
        <v>45929</v>
      </c>
      <c r="D315" t="inlineStr">
        <is>
          <t>DALARNAS LÄN</t>
        </is>
      </c>
      <c r="E315" t="inlineStr">
        <is>
          <t>MORA</t>
        </is>
      </c>
      <c r="G315" t="n">
        <v>7.9</v>
      </c>
      <c r="H315" t="n">
        <v>0</v>
      </c>
      <c r="I315" t="n">
        <v>0</v>
      </c>
      <c r="J315" t="n">
        <v>0</v>
      </c>
      <c r="K315" t="n">
        <v>0</v>
      </c>
      <c r="L315" t="n">
        <v>0</v>
      </c>
      <c r="M315" t="n">
        <v>0</v>
      </c>
      <c r="N315" t="n">
        <v>0</v>
      </c>
      <c r="O315" t="n">
        <v>0</v>
      </c>
      <c r="P315" t="n">
        <v>0</v>
      </c>
      <c r="Q315" t="n">
        <v>0</v>
      </c>
      <c r="R315" s="2" t="inlineStr"/>
    </row>
    <row r="316" ht="15" customHeight="1">
      <c r="A316" t="inlineStr">
        <is>
          <t>A 45562-2023</t>
        </is>
      </c>
      <c r="B316" s="1" t="n">
        <v>45194.59378472222</v>
      </c>
      <c r="C316" s="1" t="n">
        <v>45929</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45199-2025</t>
        </is>
      </c>
      <c r="B317" s="1" t="n">
        <v>45919.56107638889</v>
      </c>
      <c r="C317" s="1" t="n">
        <v>45929</v>
      </c>
      <c r="D317" t="inlineStr">
        <is>
          <t>DALARNAS LÄN</t>
        </is>
      </c>
      <c r="E317" t="inlineStr">
        <is>
          <t>MORA</t>
        </is>
      </c>
      <c r="G317" t="n">
        <v>12.1</v>
      </c>
      <c r="H317" t="n">
        <v>0</v>
      </c>
      <c r="I317" t="n">
        <v>0</v>
      </c>
      <c r="J317" t="n">
        <v>0</v>
      </c>
      <c r="K317" t="n">
        <v>0</v>
      </c>
      <c r="L317" t="n">
        <v>0</v>
      </c>
      <c r="M317" t="n">
        <v>0</v>
      </c>
      <c r="N317" t="n">
        <v>0</v>
      </c>
      <c r="O317" t="n">
        <v>0</v>
      </c>
      <c r="P317" t="n">
        <v>0</v>
      </c>
      <c r="Q317" t="n">
        <v>0</v>
      </c>
      <c r="R317" s="2" t="inlineStr"/>
    </row>
    <row r="318" ht="15" customHeight="1">
      <c r="A318" t="inlineStr">
        <is>
          <t>A 35551-2023</t>
        </is>
      </c>
      <c r="B318" s="1" t="n">
        <v>45147.3934837963</v>
      </c>
      <c r="C318" s="1" t="n">
        <v>45929</v>
      </c>
      <c r="D318" t="inlineStr">
        <is>
          <t>DALARNAS LÄN</t>
        </is>
      </c>
      <c r="E318" t="inlineStr">
        <is>
          <t>MORA</t>
        </is>
      </c>
      <c r="G318" t="n">
        <v>1.1</v>
      </c>
      <c r="H318" t="n">
        <v>0</v>
      </c>
      <c r="I318" t="n">
        <v>0</v>
      </c>
      <c r="J318" t="n">
        <v>0</v>
      </c>
      <c r="K318" t="n">
        <v>0</v>
      </c>
      <c r="L318" t="n">
        <v>0</v>
      </c>
      <c r="M318" t="n">
        <v>0</v>
      </c>
      <c r="N318" t="n">
        <v>0</v>
      </c>
      <c r="O318" t="n">
        <v>0</v>
      </c>
      <c r="P318" t="n">
        <v>0</v>
      </c>
      <c r="Q318" t="n">
        <v>0</v>
      </c>
      <c r="R318" s="2" t="inlineStr"/>
    </row>
    <row r="319" ht="15" customHeight="1">
      <c r="A319" t="inlineStr">
        <is>
          <t>A 12920-2022</t>
        </is>
      </c>
      <c r="B319" s="1" t="n">
        <v>44642.65418981481</v>
      </c>
      <c r="C319" s="1" t="n">
        <v>45929</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61188-2024</t>
        </is>
      </c>
      <c r="B320" s="1" t="n">
        <v>45645.62282407407</v>
      </c>
      <c r="C320" s="1" t="n">
        <v>45929</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58089-2024</t>
        </is>
      </c>
      <c r="B321" s="1" t="n">
        <v>45632.34984953704</v>
      </c>
      <c r="C321" s="1" t="n">
        <v>45929</v>
      </c>
      <c r="D321" t="inlineStr">
        <is>
          <t>DALARNAS LÄN</t>
        </is>
      </c>
      <c r="E321" t="inlineStr">
        <is>
          <t>MORA</t>
        </is>
      </c>
      <c r="G321" t="n">
        <v>1.4</v>
      </c>
      <c r="H321" t="n">
        <v>0</v>
      </c>
      <c r="I321" t="n">
        <v>0</v>
      </c>
      <c r="J321" t="n">
        <v>0</v>
      </c>
      <c r="K321" t="n">
        <v>0</v>
      </c>
      <c r="L321" t="n">
        <v>0</v>
      </c>
      <c r="M321" t="n">
        <v>0</v>
      </c>
      <c r="N321" t="n">
        <v>0</v>
      </c>
      <c r="O321" t="n">
        <v>0</v>
      </c>
      <c r="P321" t="n">
        <v>0</v>
      </c>
      <c r="Q321" t="n">
        <v>0</v>
      </c>
      <c r="R321" s="2" t="inlineStr"/>
    </row>
    <row r="322" ht="15" customHeight="1">
      <c r="A322" t="inlineStr">
        <is>
          <t>A 23300-2024</t>
        </is>
      </c>
      <c r="B322" s="1" t="n">
        <v>45453.43695601852</v>
      </c>
      <c r="C322" s="1" t="n">
        <v>45929</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61350-2024</t>
        </is>
      </c>
      <c r="B323" s="1" t="n">
        <v>45646.37872685185</v>
      </c>
      <c r="C323" s="1" t="n">
        <v>45929</v>
      </c>
      <c r="D323" t="inlineStr">
        <is>
          <t>DALARNAS LÄN</t>
        </is>
      </c>
      <c r="E323" t="inlineStr">
        <is>
          <t>MORA</t>
        </is>
      </c>
      <c r="G323" t="n">
        <v>1.4</v>
      </c>
      <c r="H323" t="n">
        <v>0</v>
      </c>
      <c r="I323" t="n">
        <v>0</v>
      </c>
      <c r="J323" t="n">
        <v>0</v>
      </c>
      <c r="K323" t="n">
        <v>0</v>
      </c>
      <c r="L323" t="n">
        <v>0</v>
      </c>
      <c r="M323" t="n">
        <v>0</v>
      </c>
      <c r="N323" t="n">
        <v>0</v>
      </c>
      <c r="O323" t="n">
        <v>0</v>
      </c>
      <c r="P323" t="n">
        <v>0</v>
      </c>
      <c r="Q323" t="n">
        <v>0</v>
      </c>
      <c r="R323" s="2" t="inlineStr"/>
    </row>
    <row r="324" ht="15" customHeight="1">
      <c r="A324" t="inlineStr">
        <is>
          <t>A 62266-2020</t>
        </is>
      </c>
      <c r="B324" s="1" t="n">
        <v>44160.35008101852</v>
      </c>
      <c r="C324" s="1" t="n">
        <v>45929</v>
      </c>
      <c r="D324" t="inlineStr">
        <is>
          <t>DALARNAS LÄN</t>
        </is>
      </c>
      <c r="E324" t="inlineStr">
        <is>
          <t>MORA</t>
        </is>
      </c>
      <c r="F324" t="inlineStr">
        <is>
          <t>Bergvik skog väst AB</t>
        </is>
      </c>
      <c r="G324" t="n">
        <v>5.9</v>
      </c>
      <c r="H324" t="n">
        <v>0</v>
      </c>
      <c r="I324" t="n">
        <v>0</v>
      </c>
      <c r="J324" t="n">
        <v>0</v>
      </c>
      <c r="K324" t="n">
        <v>0</v>
      </c>
      <c r="L324" t="n">
        <v>0</v>
      </c>
      <c r="M324" t="n">
        <v>0</v>
      </c>
      <c r="N324" t="n">
        <v>0</v>
      </c>
      <c r="O324" t="n">
        <v>0</v>
      </c>
      <c r="P324" t="n">
        <v>0</v>
      </c>
      <c r="Q324" t="n">
        <v>0</v>
      </c>
      <c r="R324" s="2" t="inlineStr"/>
    </row>
    <row r="325" ht="15" customHeight="1">
      <c r="A325" t="inlineStr">
        <is>
          <t>A 46090-2025</t>
        </is>
      </c>
      <c r="B325" s="1" t="n">
        <v>45924.5253125</v>
      </c>
      <c r="C325" s="1" t="n">
        <v>45929</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46091-2025</t>
        </is>
      </c>
      <c r="B326" s="1" t="n">
        <v>45924.52871527777</v>
      </c>
      <c r="C326" s="1" t="n">
        <v>45929</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56268-2024</t>
        </is>
      </c>
      <c r="B327" s="1" t="n">
        <v>45624.65785879629</v>
      </c>
      <c r="C327" s="1" t="n">
        <v>45929</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54628-2024</t>
        </is>
      </c>
      <c r="B328" s="1" t="n">
        <v>45617.83969907407</v>
      </c>
      <c r="C328" s="1" t="n">
        <v>45929</v>
      </c>
      <c r="D328" t="inlineStr">
        <is>
          <t>DALARNAS LÄN</t>
        </is>
      </c>
      <c r="E328" t="inlineStr">
        <is>
          <t>MORA</t>
        </is>
      </c>
      <c r="G328" t="n">
        <v>1.1</v>
      </c>
      <c r="H328" t="n">
        <v>0</v>
      </c>
      <c r="I328" t="n">
        <v>0</v>
      </c>
      <c r="J328" t="n">
        <v>0</v>
      </c>
      <c r="K328" t="n">
        <v>0</v>
      </c>
      <c r="L328" t="n">
        <v>0</v>
      </c>
      <c r="M328" t="n">
        <v>0</v>
      </c>
      <c r="N328" t="n">
        <v>0</v>
      </c>
      <c r="O328" t="n">
        <v>0</v>
      </c>
      <c r="P328" t="n">
        <v>0</v>
      </c>
      <c r="Q328" t="n">
        <v>0</v>
      </c>
      <c r="R328" s="2" t="inlineStr"/>
    </row>
    <row r="329" ht="15" customHeight="1">
      <c r="A329" t="inlineStr">
        <is>
          <t>A 1252-2025</t>
        </is>
      </c>
      <c r="B329" s="1" t="n">
        <v>45667.46648148148</v>
      </c>
      <c r="C329" s="1" t="n">
        <v>45929</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38073-2025</t>
        </is>
      </c>
      <c r="B330" s="1" t="n">
        <v>45882</v>
      </c>
      <c r="C330" s="1" t="n">
        <v>45929</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38086-2025</t>
        </is>
      </c>
      <c r="B331" s="1" t="n">
        <v>45882.47625</v>
      </c>
      <c r="C331" s="1" t="n">
        <v>45929</v>
      </c>
      <c r="D331" t="inlineStr">
        <is>
          <t>DALARNAS LÄN</t>
        </is>
      </c>
      <c r="E331" t="inlineStr">
        <is>
          <t>MORA</t>
        </is>
      </c>
      <c r="G331" t="n">
        <v>2.4</v>
      </c>
      <c r="H331" t="n">
        <v>0</v>
      </c>
      <c r="I331" t="n">
        <v>0</v>
      </c>
      <c r="J331" t="n">
        <v>0</v>
      </c>
      <c r="K331" t="n">
        <v>0</v>
      </c>
      <c r="L331" t="n">
        <v>0</v>
      </c>
      <c r="M331" t="n">
        <v>0</v>
      </c>
      <c r="N331" t="n">
        <v>0</v>
      </c>
      <c r="O331" t="n">
        <v>0</v>
      </c>
      <c r="P331" t="n">
        <v>0</v>
      </c>
      <c r="Q331" t="n">
        <v>0</v>
      </c>
      <c r="R331" s="2" t="inlineStr"/>
    </row>
    <row r="332" ht="15" customHeight="1">
      <c r="A332" t="inlineStr">
        <is>
          <t>A 39348-2024</t>
        </is>
      </c>
      <c r="B332" s="1" t="n">
        <v>45551.45322916667</v>
      </c>
      <c r="C332" s="1" t="n">
        <v>45929</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571-2024</t>
        </is>
      </c>
      <c r="B333" s="1" t="n">
        <v>45299</v>
      </c>
      <c r="C333" s="1" t="n">
        <v>45929</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37879-2025</t>
        </is>
      </c>
      <c r="B334" s="1" t="n">
        <v>45881.48791666667</v>
      </c>
      <c r="C334" s="1" t="n">
        <v>45929</v>
      </c>
      <c r="D334" t="inlineStr">
        <is>
          <t>DALARNAS LÄN</t>
        </is>
      </c>
      <c r="E334" t="inlineStr">
        <is>
          <t>MORA</t>
        </is>
      </c>
      <c r="G334" t="n">
        <v>1.4</v>
      </c>
      <c r="H334" t="n">
        <v>0</v>
      </c>
      <c r="I334" t="n">
        <v>0</v>
      </c>
      <c r="J334" t="n">
        <v>0</v>
      </c>
      <c r="K334" t="n">
        <v>0</v>
      </c>
      <c r="L334" t="n">
        <v>0</v>
      </c>
      <c r="M334" t="n">
        <v>0</v>
      </c>
      <c r="N334" t="n">
        <v>0</v>
      </c>
      <c r="O334" t="n">
        <v>0</v>
      </c>
      <c r="P334" t="n">
        <v>0</v>
      </c>
      <c r="Q334" t="n">
        <v>0</v>
      </c>
      <c r="R334" s="2" t="inlineStr"/>
    </row>
    <row r="335" ht="15" customHeight="1">
      <c r="A335" t="inlineStr">
        <is>
          <t>A 2830-2023</t>
        </is>
      </c>
      <c r="B335" s="1" t="n">
        <v>44945.32997685186</v>
      </c>
      <c r="C335" s="1" t="n">
        <v>45929</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50056-2022</t>
        </is>
      </c>
      <c r="B336" s="1" t="n">
        <v>44865</v>
      </c>
      <c r="C336" s="1" t="n">
        <v>45929</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53527-2024</t>
        </is>
      </c>
      <c r="B337" s="1" t="n">
        <v>45614.61569444444</v>
      </c>
      <c r="C337" s="1" t="n">
        <v>45929</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43533-2023</t>
        </is>
      </c>
      <c r="B338" s="1" t="n">
        <v>45184.53412037037</v>
      </c>
      <c r="C338" s="1" t="n">
        <v>45929</v>
      </c>
      <c r="D338" t="inlineStr">
        <is>
          <t>DALARNAS LÄN</t>
        </is>
      </c>
      <c r="E338" t="inlineStr">
        <is>
          <t>MORA</t>
        </is>
      </c>
      <c r="F338" t="inlineStr">
        <is>
          <t>Bergvik skog väst AB</t>
        </is>
      </c>
      <c r="G338" t="n">
        <v>10.3</v>
      </c>
      <c r="H338" t="n">
        <v>0</v>
      </c>
      <c r="I338" t="n">
        <v>0</v>
      </c>
      <c r="J338" t="n">
        <v>0</v>
      </c>
      <c r="K338" t="n">
        <v>0</v>
      </c>
      <c r="L338" t="n">
        <v>0</v>
      </c>
      <c r="M338" t="n">
        <v>0</v>
      </c>
      <c r="N338" t="n">
        <v>0</v>
      </c>
      <c r="O338" t="n">
        <v>0</v>
      </c>
      <c r="P338" t="n">
        <v>0</v>
      </c>
      <c r="Q338" t="n">
        <v>0</v>
      </c>
      <c r="R338" s="2" t="inlineStr"/>
    </row>
    <row r="339" ht="15" customHeight="1">
      <c r="A339" t="inlineStr">
        <is>
          <t>A 30998-2022</t>
        </is>
      </c>
      <c r="B339" s="1" t="n">
        <v>44768</v>
      </c>
      <c r="C339" s="1" t="n">
        <v>45929</v>
      </c>
      <c r="D339" t="inlineStr">
        <is>
          <t>DALARNAS LÄN</t>
        </is>
      </c>
      <c r="E339" t="inlineStr">
        <is>
          <t>MORA</t>
        </is>
      </c>
      <c r="G339" t="n">
        <v>1.7</v>
      </c>
      <c r="H339" t="n">
        <v>0</v>
      </c>
      <c r="I339" t="n">
        <v>0</v>
      </c>
      <c r="J339" t="n">
        <v>0</v>
      </c>
      <c r="K339" t="n">
        <v>0</v>
      </c>
      <c r="L339" t="n">
        <v>0</v>
      </c>
      <c r="M339" t="n">
        <v>0</v>
      </c>
      <c r="N339" t="n">
        <v>0</v>
      </c>
      <c r="O339" t="n">
        <v>0</v>
      </c>
      <c r="P339" t="n">
        <v>0</v>
      </c>
      <c r="Q339" t="n">
        <v>0</v>
      </c>
      <c r="R339" s="2" t="inlineStr"/>
    </row>
    <row r="340" ht="15" customHeight="1">
      <c r="A340" t="inlineStr">
        <is>
          <t>A 15499-2024</t>
        </is>
      </c>
      <c r="B340" s="1" t="n">
        <v>45401.53798611111</v>
      </c>
      <c r="C340" s="1" t="n">
        <v>45929</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8343-2025</t>
        </is>
      </c>
      <c r="B341" s="1" t="n">
        <v>45708.67253472222</v>
      </c>
      <c r="C341" s="1" t="n">
        <v>45929</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43879-2022</t>
        </is>
      </c>
      <c r="B342" s="1" t="n">
        <v>44838.46721064814</v>
      </c>
      <c r="C342" s="1" t="n">
        <v>45929</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39888-2024</t>
        </is>
      </c>
      <c r="B343" s="1" t="n">
        <v>45553.47538194444</v>
      </c>
      <c r="C343" s="1" t="n">
        <v>45929</v>
      </c>
      <c r="D343" t="inlineStr">
        <is>
          <t>DALARNAS LÄN</t>
        </is>
      </c>
      <c r="E343" t="inlineStr">
        <is>
          <t>MORA</t>
        </is>
      </c>
      <c r="G343" t="n">
        <v>5.4</v>
      </c>
      <c r="H343" t="n">
        <v>0</v>
      </c>
      <c r="I343" t="n">
        <v>0</v>
      </c>
      <c r="J343" t="n">
        <v>0</v>
      </c>
      <c r="K343" t="n">
        <v>0</v>
      </c>
      <c r="L343" t="n">
        <v>0</v>
      </c>
      <c r="M343" t="n">
        <v>0</v>
      </c>
      <c r="N343" t="n">
        <v>0</v>
      </c>
      <c r="O343" t="n">
        <v>0</v>
      </c>
      <c r="P343" t="n">
        <v>0</v>
      </c>
      <c r="Q343" t="n">
        <v>0</v>
      </c>
      <c r="R343" s="2" t="inlineStr"/>
    </row>
    <row r="344" ht="15" customHeight="1">
      <c r="A344" t="inlineStr">
        <is>
          <t>A 12828-2023</t>
        </is>
      </c>
      <c r="B344" s="1" t="n">
        <v>45001</v>
      </c>
      <c r="C344" s="1" t="n">
        <v>45929</v>
      </c>
      <c r="D344" t="inlineStr">
        <is>
          <t>DALARNAS LÄN</t>
        </is>
      </c>
      <c r="E344" t="inlineStr">
        <is>
          <t>MORA</t>
        </is>
      </c>
      <c r="F344" t="inlineStr">
        <is>
          <t>Bergvik skog väst AB</t>
        </is>
      </c>
      <c r="G344" t="n">
        <v>5.4</v>
      </c>
      <c r="H344" t="n">
        <v>0</v>
      </c>
      <c r="I344" t="n">
        <v>0</v>
      </c>
      <c r="J344" t="n">
        <v>0</v>
      </c>
      <c r="K344" t="n">
        <v>0</v>
      </c>
      <c r="L344" t="n">
        <v>0</v>
      </c>
      <c r="M344" t="n">
        <v>0</v>
      </c>
      <c r="N344" t="n">
        <v>0</v>
      </c>
      <c r="O344" t="n">
        <v>0</v>
      </c>
      <c r="P344" t="n">
        <v>0</v>
      </c>
      <c r="Q344" t="n">
        <v>0</v>
      </c>
      <c r="R344" s="2" t="inlineStr"/>
    </row>
    <row r="345" ht="15" customHeight="1">
      <c r="A345" t="inlineStr">
        <is>
          <t>A 60099-2024</t>
        </is>
      </c>
      <c r="B345" s="1" t="n">
        <v>45642.55645833333</v>
      </c>
      <c r="C345" s="1" t="n">
        <v>45929</v>
      </c>
      <c r="D345" t="inlineStr">
        <is>
          <t>DALARNAS LÄN</t>
        </is>
      </c>
      <c r="E345" t="inlineStr">
        <is>
          <t>MORA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53750-2024</t>
        </is>
      </c>
      <c r="B346" s="1" t="n">
        <v>45615.48465277778</v>
      </c>
      <c r="C346" s="1" t="n">
        <v>45929</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34660-2021</t>
        </is>
      </c>
      <c r="B347" s="1" t="n">
        <v>44382.57981481482</v>
      </c>
      <c r="C347" s="1" t="n">
        <v>45929</v>
      </c>
      <c r="D347" t="inlineStr">
        <is>
          <t>DALARNAS LÄN</t>
        </is>
      </c>
      <c r="E347" t="inlineStr">
        <is>
          <t>MORA</t>
        </is>
      </c>
      <c r="G347" t="n">
        <v>7.5</v>
      </c>
      <c r="H347" t="n">
        <v>0</v>
      </c>
      <c r="I347" t="n">
        <v>0</v>
      </c>
      <c r="J347" t="n">
        <v>0</v>
      </c>
      <c r="K347" t="n">
        <v>0</v>
      </c>
      <c r="L347" t="n">
        <v>0</v>
      </c>
      <c r="M347" t="n">
        <v>0</v>
      </c>
      <c r="N347" t="n">
        <v>0</v>
      </c>
      <c r="O347" t="n">
        <v>0</v>
      </c>
      <c r="P347" t="n">
        <v>0</v>
      </c>
      <c r="Q347" t="n">
        <v>0</v>
      </c>
      <c r="R347" s="2" t="inlineStr"/>
    </row>
    <row r="348" ht="15" customHeight="1">
      <c r="A348" t="inlineStr">
        <is>
          <t>A 61278-2024</t>
        </is>
      </c>
      <c r="B348" s="1" t="n">
        <v>45645.76561342592</v>
      </c>
      <c r="C348" s="1" t="n">
        <v>45929</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37971-2024</t>
        </is>
      </c>
      <c r="B349" s="1" t="n">
        <v>45544</v>
      </c>
      <c r="C349" s="1" t="n">
        <v>45929</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17164-2025</t>
        </is>
      </c>
      <c r="B350" s="1" t="n">
        <v>45756.36403935185</v>
      </c>
      <c r="C350" s="1" t="n">
        <v>45929</v>
      </c>
      <c r="D350" t="inlineStr">
        <is>
          <t>DALARNAS LÄN</t>
        </is>
      </c>
      <c r="E350" t="inlineStr">
        <is>
          <t>MORA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2308-2023</t>
        </is>
      </c>
      <c r="B351" s="1" t="n">
        <v>44942.57987268519</v>
      </c>
      <c r="C351" s="1" t="n">
        <v>45929</v>
      </c>
      <c r="D351" t="inlineStr">
        <is>
          <t>DALARNAS LÄN</t>
        </is>
      </c>
      <c r="E351" t="inlineStr">
        <is>
          <t>MORA</t>
        </is>
      </c>
      <c r="G351" t="n">
        <v>2.2</v>
      </c>
      <c r="H351" t="n">
        <v>0</v>
      </c>
      <c r="I351" t="n">
        <v>0</v>
      </c>
      <c r="J351" t="n">
        <v>0</v>
      </c>
      <c r="K351" t="n">
        <v>0</v>
      </c>
      <c r="L351" t="n">
        <v>0</v>
      </c>
      <c r="M351" t="n">
        <v>0</v>
      </c>
      <c r="N351" t="n">
        <v>0</v>
      </c>
      <c r="O351" t="n">
        <v>0</v>
      </c>
      <c r="P351" t="n">
        <v>0</v>
      </c>
      <c r="Q351" t="n">
        <v>0</v>
      </c>
      <c r="R351" s="2" t="inlineStr"/>
    </row>
    <row r="352" ht="15" customHeight="1">
      <c r="A352" t="inlineStr">
        <is>
          <t>A 37774-2022</t>
        </is>
      </c>
      <c r="B352" s="1" t="n">
        <v>44810.64164351852</v>
      </c>
      <c r="C352" s="1" t="n">
        <v>45929</v>
      </c>
      <c r="D352" t="inlineStr">
        <is>
          <t>DALARNAS LÄN</t>
        </is>
      </c>
      <c r="E352" t="inlineStr">
        <is>
          <t>MORA</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56012-2023</t>
        </is>
      </c>
      <c r="B353" s="1" t="n">
        <v>45240</v>
      </c>
      <c r="C353" s="1" t="n">
        <v>45929</v>
      </c>
      <c r="D353" t="inlineStr">
        <is>
          <t>DALARNAS LÄN</t>
        </is>
      </c>
      <c r="E353" t="inlineStr">
        <is>
          <t>MORA</t>
        </is>
      </c>
      <c r="G353" t="n">
        <v>0.3</v>
      </c>
      <c r="H353" t="n">
        <v>0</v>
      </c>
      <c r="I353" t="n">
        <v>0</v>
      </c>
      <c r="J353" t="n">
        <v>0</v>
      </c>
      <c r="K353" t="n">
        <v>0</v>
      </c>
      <c r="L353" t="n">
        <v>0</v>
      </c>
      <c r="M353" t="n">
        <v>0</v>
      </c>
      <c r="N353" t="n">
        <v>0</v>
      </c>
      <c r="O353" t="n">
        <v>0</v>
      </c>
      <c r="P353" t="n">
        <v>0</v>
      </c>
      <c r="Q353" t="n">
        <v>0</v>
      </c>
      <c r="R353" s="2" t="inlineStr"/>
    </row>
    <row r="354" ht="15" customHeight="1">
      <c r="A354" t="inlineStr">
        <is>
          <t>A 18122-2025</t>
        </is>
      </c>
      <c r="B354" s="1" t="n">
        <v>45761.59221064814</v>
      </c>
      <c r="C354" s="1" t="n">
        <v>45929</v>
      </c>
      <c r="D354" t="inlineStr">
        <is>
          <t>DALARNAS LÄN</t>
        </is>
      </c>
      <c r="E354" t="inlineStr">
        <is>
          <t>MORA</t>
        </is>
      </c>
      <c r="F354" t="inlineStr">
        <is>
          <t>Bergvik skog öst AB</t>
        </is>
      </c>
      <c r="G354" t="n">
        <v>1.1</v>
      </c>
      <c r="H354" t="n">
        <v>0</v>
      </c>
      <c r="I354" t="n">
        <v>0</v>
      </c>
      <c r="J354" t="n">
        <v>0</v>
      </c>
      <c r="K354" t="n">
        <v>0</v>
      </c>
      <c r="L354" t="n">
        <v>0</v>
      </c>
      <c r="M354" t="n">
        <v>0</v>
      </c>
      <c r="N354" t="n">
        <v>0</v>
      </c>
      <c r="O354" t="n">
        <v>0</v>
      </c>
      <c r="P354" t="n">
        <v>0</v>
      </c>
      <c r="Q354" t="n">
        <v>0</v>
      </c>
      <c r="R354" s="2" t="inlineStr"/>
    </row>
    <row r="355" ht="15" customHeight="1">
      <c r="A355" t="inlineStr">
        <is>
          <t>A 46923-2024</t>
        </is>
      </c>
      <c r="B355" s="1" t="n">
        <v>45584.42887731481</v>
      </c>
      <c r="C355" s="1" t="n">
        <v>45929</v>
      </c>
      <c r="D355" t="inlineStr">
        <is>
          <t>DALARNAS LÄN</t>
        </is>
      </c>
      <c r="E355" t="inlineStr">
        <is>
          <t>MORA</t>
        </is>
      </c>
      <c r="G355" t="n">
        <v>3.4</v>
      </c>
      <c r="H355" t="n">
        <v>0</v>
      </c>
      <c r="I355" t="n">
        <v>0</v>
      </c>
      <c r="J355" t="n">
        <v>0</v>
      </c>
      <c r="K355" t="n">
        <v>0</v>
      </c>
      <c r="L355" t="n">
        <v>0</v>
      </c>
      <c r="M355" t="n">
        <v>0</v>
      </c>
      <c r="N355" t="n">
        <v>0</v>
      </c>
      <c r="O355" t="n">
        <v>0</v>
      </c>
      <c r="P355" t="n">
        <v>0</v>
      </c>
      <c r="Q355" t="n">
        <v>0</v>
      </c>
      <c r="R355" s="2" t="inlineStr"/>
    </row>
    <row r="356" ht="15" customHeight="1">
      <c r="A356" t="inlineStr">
        <is>
          <t>A 13262-2022</t>
        </is>
      </c>
      <c r="B356" s="1" t="n">
        <v>44644.70184027778</v>
      </c>
      <c r="C356" s="1" t="n">
        <v>45929</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47036-2023</t>
        </is>
      </c>
      <c r="B357" s="1" t="n">
        <v>45196</v>
      </c>
      <c r="C357" s="1" t="n">
        <v>45929</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1897-2023</t>
        </is>
      </c>
      <c r="B358" s="1" t="n">
        <v>44937</v>
      </c>
      <c r="C358" s="1" t="n">
        <v>45929</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45929</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19193-2025</t>
        </is>
      </c>
      <c r="B360" s="1" t="n">
        <v>45769.42203703704</v>
      </c>
      <c r="C360" s="1" t="n">
        <v>45929</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56532-2024</t>
        </is>
      </c>
      <c r="B361" s="1" t="n">
        <v>45625.55440972222</v>
      </c>
      <c r="C361" s="1" t="n">
        <v>45929</v>
      </c>
      <c r="D361" t="inlineStr">
        <is>
          <t>DALARNAS LÄN</t>
        </is>
      </c>
      <c r="E361" t="inlineStr">
        <is>
          <t>MORA</t>
        </is>
      </c>
      <c r="G361" t="n">
        <v>6.9</v>
      </c>
      <c r="H361" t="n">
        <v>0</v>
      </c>
      <c r="I361" t="n">
        <v>0</v>
      </c>
      <c r="J361" t="n">
        <v>0</v>
      </c>
      <c r="K361" t="n">
        <v>0</v>
      </c>
      <c r="L361" t="n">
        <v>0</v>
      </c>
      <c r="M361" t="n">
        <v>0</v>
      </c>
      <c r="N361" t="n">
        <v>0</v>
      </c>
      <c r="O361" t="n">
        <v>0</v>
      </c>
      <c r="P361" t="n">
        <v>0</v>
      </c>
      <c r="Q361" t="n">
        <v>0</v>
      </c>
      <c r="R361" s="2" t="inlineStr"/>
    </row>
    <row r="362" ht="15" customHeight="1">
      <c r="A362" t="inlineStr">
        <is>
          <t>A 40325-2024</t>
        </is>
      </c>
      <c r="B362" s="1" t="n">
        <v>45554.88538194444</v>
      </c>
      <c r="C362" s="1" t="n">
        <v>45929</v>
      </c>
      <c r="D362" t="inlineStr">
        <is>
          <t>DALARNAS LÄN</t>
        </is>
      </c>
      <c r="E362" t="inlineStr">
        <is>
          <t>MORA</t>
        </is>
      </c>
      <c r="G362" t="n">
        <v>2.8</v>
      </c>
      <c r="H362" t="n">
        <v>0</v>
      </c>
      <c r="I362" t="n">
        <v>0</v>
      </c>
      <c r="J362" t="n">
        <v>0</v>
      </c>
      <c r="K362" t="n">
        <v>0</v>
      </c>
      <c r="L362" t="n">
        <v>0</v>
      </c>
      <c r="M362" t="n">
        <v>0</v>
      </c>
      <c r="N362" t="n">
        <v>0</v>
      </c>
      <c r="O362" t="n">
        <v>0</v>
      </c>
      <c r="P362" t="n">
        <v>0</v>
      </c>
      <c r="Q362" t="n">
        <v>0</v>
      </c>
      <c r="R362" s="2" t="inlineStr"/>
    </row>
    <row r="363" ht="15" customHeight="1">
      <c r="A363" t="inlineStr">
        <is>
          <t>A 24465-2021</t>
        </is>
      </c>
      <c r="B363" s="1" t="n">
        <v>44337</v>
      </c>
      <c r="C363" s="1" t="n">
        <v>45929</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5298-2023</t>
        </is>
      </c>
      <c r="B364" s="1" t="n">
        <v>44959.54355324074</v>
      </c>
      <c r="C364" s="1" t="n">
        <v>45929</v>
      </c>
      <c r="D364" t="inlineStr">
        <is>
          <t>DALARNAS LÄN</t>
        </is>
      </c>
      <c r="E364" t="inlineStr">
        <is>
          <t>MORA</t>
        </is>
      </c>
      <c r="F364" t="inlineStr">
        <is>
          <t>Bergvik skog väst AB</t>
        </is>
      </c>
      <c r="G364" t="n">
        <v>6.2</v>
      </c>
      <c r="H364" t="n">
        <v>0</v>
      </c>
      <c r="I364" t="n">
        <v>0</v>
      </c>
      <c r="J364" t="n">
        <v>0</v>
      </c>
      <c r="K364" t="n">
        <v>0</v>
      </c>
      <c r="L364" t="n">
        <v>0</v>
      </c>
      <c r="M364" t="n">
        <v>0</v>
      </c>
      <c r="N364" t="n">
        <v>0</v>
      </c>
      <c r="O364" t="n">
        <v>0</v>
      </c>
      <c r="P364" t="n">
        <v>0</v>
      </c>
      <c r="Q364" t="n">
        <v>0</v>
      </c>
      <c r="R364" s="2" t="inlineStr"/>
    </row>
    <row r="365" ht="15" customHeight="1">
      <c r="A365" t="inlineStr">
        <is>
          <t>A 19814-2025</t>
        </is>
      </c>
      <c r="B365" s="1" t="n">
        <v>45771.45686342593</v>
      </c>
      <c r="C365" s="1" t="n">
        <v>45929</v>
      </c>
      <c r="D365" t="inlineStr">
        <is>
          <t>DALARNAS LÄN</t>
        </is>
      </c>
      <c r="E365" t="inlineStr">
        <is>
          <t>MORA</t>
        </is>
      </c>
      <c r="G365" t="n">
        <v>2.1</v>
      </c>
      <c r="H365" t="n">
        <v>0</v>
      </c>
      <c r="I365" t="n">
        <v>0</v>
      </c>
      <c r="J365" t="n">
        <v>0</v>
      </c>
      <c r="K365" t="n">
        <v>0</v>
      </c>
      <c r="L365" t="n">
        <v>0</v>
      </c>
      <c r="M365" t="n">
        <v>0</v>
      </c>
      <c r="N365" t="n">
        <v>0</v>
      </c>
      <c r="O365" t="n">
        <v>0</v>
      </c>
      <c r="P365" t="n">
        <v>0</v>
      </c>
      <c r="Q365" t="n">
        <v>0</v>
      </c>
      <c r="R365" s="2" t="inlineStr"/>
    </row>
    <row r="366" ht="15" customHeight="1">
      <c r="A366" t="inlineStr">
        <is>
          <t>A 59002-2024</t>
        </is>
      </c>
      <c r="B366" s="1" t="n">
        <v>45636</v>
      </c>
      <c r="C366" s="1" t="n">
        <v>45929</v>
      </c>
      <c r="D366" t="inlineStr">
        <is>
          <t>DALARNAS LÄN</t>
        </is>
      </c>
      <c r="E366" t="inlineStr">
        <is>
          <t>MORA</t>
        </is>
      </c>
      <c r="F366" t="inlineStr">
        <is>
          <t>Bergvik skog väst AB</t>
        </is>
      </c>
      <c r="G366" t="n">
        <v>24.8</v>
      </c>
      <c r="H366" t="n">
        <v>0</v>
      </c>
      <c r="I366" t="n">
        <v>0</v>
      </c>
      <c r="J366" t="n">
        <v>0</v>
      </c>
      <c r="K366" t="n">
        <v>0</v>
      </c>
      <c r="L366" t="n">
        <v>0</v>
      </c>
      <c r="M366" t="n">
        <v>0</v>
      </c>
      <c r="N366" t="n">
        <v>0</v>
      </c>
      <c r="O366" t="n">
        <v>0</v>
      </c>
      <c r="P366" t="n">
        <v>0</v>
      </c>
      <c r="Q366" t="n">
        <v>0</v>
      </c>
      <c r="R366" s="2" t="inlineStr"/>
    </row>
    <row r="367" ht="15" customHeight="1">
      <c r="A367" t="inlineStr">
        <is>
          <t>A 8100-2024</t>
        </is>
      </c>
      <c r="B367" s="1" t="n">
        <v>45351.46583333334</v>
      </c>
      <c r="C367" s="1" t="n">
        <v>45929</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44106-2023</t>
        </is>
      </c>
      <c r="B368" s="1" t="n">
        <v>45188</v>
      </c>
      <c r="C368" s="1" t="n">
        <v>45929</v>
      </c>
      <c r="D368" t="inlineStr">
        <is>
          <t>DALARNAS LÄN</t>
        </is>
      </c>
      <c r="E368" t="inlineStr">
        <is>
          <t>MORA</t>
        </is>
      </c>
      <c r="G368" t="n">
        <v>10.1</v>
      </c>
      <c r="H368" t="n">
        <v>0</v>
      </c>
      <c r="I368" t="n">
        <v>0</v>
      </c>
      <c r="J368" t="n">
        <v>0</v>
      </c>
      <c r="K368" t="n">
        <v>0</v>
      </c>
      <c r="L368" t="n">
        <v>0</v>
      </c>
      <c r="M368" t="n">
        <v>0</v>
      </c>
      <c r="N368" t="n">
        <v>0</v>
      </c>
      <c r="O368" t="n">
        <v>0</v>
      </c>
      <c r="P368" t="n">
        <v>0</v>
      </c>
      <c r="Q368" t="n">
        <v>0</v>
      </c>
      <c r="R368" s="2" t="inlineStr"/>
    </row>
    <row r="369" ht="15" customHeight="1">
      <c r="A369" t="inlineStr">
        <is>
          <t>A 9855-2024</t>
        </is>
      </c>
      <c r="B369" s="1" t="n">
        <v>45363.40368055556</v>
      </c>
      <c r="C369" s="1" t="n">
        <v>45929</v>
      </c>
      <c r="D369" t="inlineStr">
        <is>
          <t>DALARNAS LÄN</t>
        </is>
      </c>
      <c r="E369" t="inlineStr">
        <is>
          <t>MORA</t>
        </is>
      </c>
      <c r="G369" t="n">
        <v>8.6</v>
      </c>
      <c r="H369" t="n">
        <v>0</v>
      </c>
      <c r="I369" t="n">
        <v>0</v>
      </c>
      <c r="J369" t="n">
        <v>0</v>
      </c>
      <c r="K369" t="n">
        <v>0</v>
      </c>
      <c r="L369" t="n">
        <v>0</v>
      </c>
      <c r="M369" t="n">
        <v>0</v>
      </c>
      <c r="N369" t="n">
        <v>0</v>
      </c>
      <c r="O369" t="n">
        <v>0</v>
      </c>
      <c r="P369" t="n">
        <v>0</v>
      </c>
      <c r="Q369" t="n">
        <v>0</v>
      </c>
      <c r="R369" s="2" t="inlineStr"/>
    </row>
    <row r="370" ht="15" customHeight="1">
      <c r="A370" t="inlineStr">
        <is>
          <t>A 22732-2024</t>
        </is>
      </c>
      <c r="B370" s="1" t="n">
        <v>45448.38677083333</v>
      </c>
      <c r="C370" s="1" t="n">
        <v>45929</v>
      </c>
      <c r="D370" t="inlineStr">
        <is>
          <t>DALARNAS LÄN</t>
        </is>
      </c>
      <c r="E370" t="inlineStr">
        <is>
          <t>MORA</t>
        </is>
      </c>
      <c r="G370" t="n">
        <v>3.6</v>
      </c>
      <c r="H370" t="n">
        <v>0</v>
      </c>
      <c r="I370" t="n">
        <v>0</v>
      </c>
      <c r="J370" t="n">
        <v>0</v>
      </c>
      <c r="K370" t="n">
        <v>0</v>
      </c>
      <c r="L370" t="n">
        <v>0</v>
      </c>
      <c r="M370" t="n">
        <v>0</v>
      </c>
      <c r="N370" t="n">
        <v>0</v>
      </c>
      <c r="O370" t="n">
        <v>0</v>
      </c>
      <c r="P370" t="n">
        <v>0</v>
      </c>
      <c r="Q370" t="n">
        <v>0</v>
      </c>
      <c r="R370" s="2" t="inlineStr"/>
    </row>
    <row r="371" ht="15" customHeight="1">
      <c r="A371" t="inlineStr">
        <is>
          <t>A 57091-2021</t>
        </is>
      </c>
      <c r="B371" s="1" t="n">
        <v>44482</v>
      </c>
      <c r="C371" s="1" t="n">
        <v>45929</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4994-2025</t>
        </is>
      </c>
      <c r="B372" s="1" t="n">
        <v>45691.35427083333</v>
      </c>
      <c r="C372" s="1" t="n">
        <v>45929</v>
      </c>
      <c r="D372" t="inlineStr">
        <is>
          <t>DALARNAS LÄN</t>
        </is>
      </c>
      <c r="E372" t="inlineStr">
        <is>
          <t>MORA</t>
        </is>
      </c>
      <c r="G372" t="n">
        <v>4.6</v>
      </c>
      <c r="H372" t="n">
        <v>0</v>
      </c>
      <c r="I372" t="n">
        <v>0</v>
      </c>
      <c r="J372" t="n">
        <v>0</v>
      </c>
      <c r="K372" t="n">
        <v>0</v>
      </c>
      <c r="L372" t="n">
        <v>0</v>
      </c>
      <c r="M372" t="n">
        <v>0</v>
      </c>
      <c r="N372" t="n">
        <v>0</v>
      </c>
      <c r="O372" t="n">
        <v>0</v>
      </c>
      <c r="P372" t="n">
        <v>0</v>
      </c>
      <c r="Q372" t="n">
        <v>0</v>
      </c>
      <c r="R372" s="2" t="inlineStr"/>
    </row>
    <row r="373" ht="15" customHeight="1">
      <c r="A373" t="inlineStr">
        <is>
          <t>A 46537-2025</t>
        </is>
      </c>
      <c r="B373" s="1" t="n">
        <v>45926.34195601852</v>
      </c>
      <c r="C373" s="1" t="n">
        <v>45929</v>
      </c>
      <c r="D373" t="inlineStr">
        <is>
          <t>DALARNAS LÄN</t>
        </is>
      </c>
      <c r="E373" t="inlineStr">
        <is>
          <t>MORA</t>
        </is>
      </c>
      <c r="G373" t="n">
        <v>10.6</v>
      </c>
      <c r="H373" t="n">
        <v>0</v>
      </c>
      <c r="I373" t="n">
        <v>0</v>
      </c>
      <c r="J373" t="n">
        <v>0</v>
      </c>
      <c r="K373" t="n">
        <v>0</v>
      </c>
      <c r="L373" t="n">
        <v>0</v>
      </c>
      <c r="M373" t="n">
        <v>0</v>
      </c>
      <c r="N373" t="n">
        <v>0</v>
      </c>
      <c r="O373" t="n">
        <v>0</v>
      </c>
      <c r="P373" t="n">
        <v>0</v>
      </c>
      <c r="Q373" t="n">
        <v>0</v>
      </c>
      <c r="R373" s="2" t="inlineStr"/>
    </row>
    <row r="374" ht="15" customHeight="1">
      <c r="A374" t="inlineStr">
        <is>
          <t>A 46450-2025</t>
        </is>
      </c>
      <c r="B374" s="1" t="n">
        <v>45925.6530324074</v>
      </c>
      <c r="C374" s="1" t="n">
        <v>45929</v>
      </c>
      <c r="D374" t="inlineStr">
        <is>
          <t>DALARNAS LÄN</t>
        </is>
      </c>
      <c r="E374" t="inlineStr">
        <is>
          <t>MORA</t>
        </is>
      </c>
      <c r="G374" t="n">
        <v>4.2</v>
      </c>
      <c r="H374" t="n">
        <v>0</v>
      </c>
      <c r="I374" t="n">
        <v>0</v>
      </c>
      <c r="J374" t="n">
        <v>0</v>
      </c>
      <c r="K374" t="n">
        <v>0</v>
      </c>
      <c r="L374" t="n">
        <v>0</v>
      </c>
      <c r="M374" t="n">
        <v>0</v>
      </c>
      <c r="N374" t="n">
        <v>0</v>
      </c>
      <c r="O374" t="n">
        <v>0</v>
      </c>
      <c r="P374" t="n">
        <v>0</v>
      </c>
      <c r="Q374" t="n">
        <v>0</v>
      </c>
      <c r="R374" s="2" t="inlineStr"/>
    </row>
    <row r="375" ht="15" customHeight="1">
      <c r="A375" t="inlineStr">
        <is>
          <t>A 46283-2025</t>
        </is>
      </c>
      <c r="B375" s="1" t="n">
        <v>45925.38109953704</v>
      </c>
      <c r="C375" s="1" t="n">
        <v>45929</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46525-2025</t>
        </is>
      </c>
      <c r="B376" s="1" t="n">
        <v>45926.3312962963</v>
      </c>
      <c r="C376" s="1" t="n">
        <v>45929</v>
      </c>
      <c r="D376" t="inlineStr">
        <is>
          <t>DALARNAS LÄN</t>
        </is>
      </c>
      <c r="E376" t="inlineStr">
        <is>
          <t>MORA</t>
        </is>
      </c>
      <c r="G376" t="n">
        <v>6.3</v>
      </c>
      <c r="H376" t="n">
        <v>0</v>
      </c>
      <c r="I376" t="n">
        <v>0</v>
      </c>
      <c r="J376" t="n">
        <v>0</v>
      </c>
      <c r="K376" t="n">
        <v>0</v>
      </c>
      <c r="L376" t="n">
        <v>0</v>
      </c>
      <c r="M376" t="n">
        <v>0</v>
      </c>
      <c r="N376" t="n">
        <v>0</v>
      </c>
      <c r="O376" t="n">
        <v>0</v>
      </c>
      <c r="P376" t="n">
        <v>0</v>
      </c>
      <c r="Q376" t="n">
        <v>0</v>
      </c>
      <c r="R376" s="2" t="inlineStr"/>
    </row>
    <row r="377" ht="15" customHeight="1">
      <c r="A377" t="inlineStr">
        <is>
          <t>A 16967-2025</t>
        </is>
      </c>
      <c r="B377" s="1" t="n">
        <v>45755.46106481482</v>
      </c>
      <c r="C377" s="1" t="n">
        <v>45929</v>
      </c>
      <c r="D377" t="inlineStr">
        <is>
          <t>DALARNAS LÄN</t>
        </is>
      </c>
      <c r="E377" t="inlineStr">
        <is>
          <t>MORA</t>
        </is>
      </c>
      <c r="F377" t="inlineStr">
        <is>
          <t>Bergvik skog öst AB</t>
        </is>
      </c>
      <c r="G377" t="n">
        <v>2.9</v>
      </c>
      <c r="H377" t="n">
        <v>0</v>
      </c>
      <c r="I377" t="n">
        <v>0</v>
      </c>
      <c r="J377" t="n">
        <v>0</v>
      </c>
      <c r="K377" t="n">
        <v>0</v>
      </c>
      <c r="L377" t="n">
        <v>0</v>
      </c>
      <c r="M377" t="n">
        <v>0</v>
      </c>
      <c r="N377" t="n">
        <v>0</v>
      </c>
      <c r="O377" t="n">
        <v>0</v>
      </c>
      <c r="P377" t="n">
        <v>0</v>
      </c>
      <c r="Q377" t="n">
        <v>0</v>
      </c>
      <c r="R377" s="2" t="inlineStr"/>
    </row>
    <row r="378" ht="15" customHeight="1">
      <c r="A378" t="inlineStr">
        <is>
          <t>A 35287-2024</t>
        </is>
      </c>
      <c r="B378" s="1" t="n">
        <v>45530</v>
      </c>
      <c r="C378" s="1" t="n">
        <v>45929</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18702-2025</t>
        </is>
      </c>
      <c r="B379" s="1" t="n">
        <v>45763.63166666667</v>
      </c>
      <c r="C379" s="1" t="n">
        <v>45929</v>
      </c>
      <c r="D379" t="inlineStr">
        <is>
          <t>DALARNAS LÄN</t>
        </is>
      </c>
      <c r="E379" t="inlineStr">
        <is>
          <t>MORA</t>
        </is>
      </c>
      <c r="G379" t="n">
        <v>3.6</v>
      </c>
      <c r="H379" t="n">
        <v>0</v>
      </c>
      <c r="I379" t="n">
        <v>0</v>
      </c>
      <c r="J379" t="n">
        <v>0</v>
      </c>
      <c r="K379" t="n">
        <v>0</v>
      </c>
      <c r="L379" t="n">
        <v>0</v>
      </c>
      <c r="M379" t="n">
        <v>0</v>
      </c>
      <c r="N379" t="n">
        <v>0</v>
      </c>
      <c r="O379" t="n">
        <v>0</v>
      </c>
      <c r="P379" t="n">
        <v>0</v>
      </c>
      <c r="Q379" t="n">
        <v>0</v>
      </c>
      <c r="R379" s="2" t="inlineStr"/>
    </row>
    <row r="380" ht="15" customHeight="1">
      <c r="A380" t="inlineStr">
        <is>
          <t>A 7766-2025</t>
        </is>
      </c>
      <c r="B380" s="1" t="n">
        <v>45706.5562037037</v>
      </c>
      <c r="C380" s="1" t="n">
        <v>45929</v>
      </c>
      <c r="D380" t="inlineStr">
        <is>
          <t>DALARNAS LÄN</t>
        </is>
      </c>
      <c r="E380" t="inlineStr">
        <is>
          <t>MORA</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47784-2024</t>
        </is>
      </c>
      <c r="B381" s="1" t="n">
        <v>45588.59290509259</v>
      </c>
      <c r="C381" s="1" t="n">
        <v>45929</v>
      </c>
      <c r="D381" t="inlineStr">
        <is>
          <t>DALARNAS LÄN</t>
        </is>
      </c>
      <c r="E381" t="inlineStr">
        <is>
          <t>MORA</t>
        </is>
      </c>
      <c r="G381" t="n">
        <v>15.3</v>
      </c>
      <c r="H381" t="n">
        <v>0</v>
      </c>
      <c r="I381" t="n">
        <v>0</v>
      </c>
      <c r="J381" t="n">
        <v>0</v>
      </c>
      <c r="K381" t="n">
        <v>0</v>
      </c>
      <c r="L381" t="n">
        <v>0</v>
      </c>
      <c r="M381" t="n">
        <v>0</v>
      </c>
      <c r="N381" t="n">
        <v>0</v>
      </c>
      <c r="O381" t="n">
        <v>0</v>
      </c>
      <c r="P381" t="n">
        <v>0</v>
      </c>
      <c r="Q381" t="n">
        <v>0</v>
      </c>
      <c r="R381" s="2" t="inlineStr"/>
    </row>
    <row r="382" ht="15" customHeight="1">
      <c r="A382" t="inlineStr">
        <is>
          <t>A 12478-2025</t>
        </is>
      </c>
      <c r="B382" s="1" t="n">
        <v>45730.57429398148</v>
      </c>
      <c r="C382" s="1" t="n">
        <v>45929</v>
      </c>
      <c r="D382" t="inlineStr">
        <is>
          <t>DALARNAS LÄN</t>
        </is>
      </c>
      <c r="E382" t="inlineStr">
        <is>
          <t>MORA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30030-2021</t>
        </is>
      </c>
      <c r="B383" s="1" t="n">
        <v>44363</v>
      </c>
      <c r="C383" s="1" t="n">
        <v>45929</v>
      </c>
      <c r="D383" t="inlineStr">
        <is>
          <t>DALARNAS LÄN</t>
        </is>
      </c>
      <c r="E383" t="inlineStr">
        <is>
          <t>MORA</t>
        </is>
      </c>
      <c r="G383" t="n">
        <v>7.1</v>
      </c>
      <c r="H383" t="n">
        <v>0</v>
      </c>
      <c r="I383" t="n">
        <v>0</v>
      </c>
      <c r="J383" t="n">
        <v>0</v>
      </c>
      <c r="K383" t="n">
        <v>0</v>
      </c>
      <c r="L383" t="n">
        <v>0</v>
      </c>
      <c r="M383" t="n">
        <v>0</v>
      </c>
      <c r="N383" t="n">
        <v>0</v>
      </c>
      <c r="O383" t="n">
        <v>0</v>
      </c>
      <c r="P383" t="n">
        <v>0</v>
      </c>
      <c r="Q383" t="n">
        <v>0</v>
      </c>
      <c r="R383" s="2" t="inlineStr"/>
    </row>
    <row r="384" ht="15" customHeight="1">
      <c r="A384" t="inlineStr">
        <is>
          <t>A 64099-2023</t>
        </is>
      </c>
      <c r="B384" s="1" t="n">
        <v>45279.46009259259</v>
      </c>
      <c r="C384" s="1" t="n">
        <v>45929</v>
      </c>
      <c r="D384" t="inlineStr">
        <is>
          <t>DALARNAS LÄN</t>
        </is>
      </c>
      <c r="E384" t="inlineStr">
        <is>
          <t>MORA</t>
        </is>
      </c>
      <c r="G384" t="n">
        <v>0.6</v>
      </c>
      <c r="H384" t="n">
        <v>0</v>
      </c>
      <c r="I384" t="n">
        <v>0</v>
      </c>
      <c r="J384" t="n">
        <v>0</v>
      </c>
      <c r="K384" t="n">
        <v>0</v>
      </c>
      <c r="L384" t="n">
        <v>0</v>
      </c>
      <c r="M384" t="n">
        <v>0</v>
      </c>
      <c r="N384" t="n">
        <v>0</v>
      </c>
      <c r="O384" t="n">
        <v>0</v>
      </c>
      <c r="P384" t="n">
        <v>0</v>
      </c>
      <c r="Q384" t="n">
        <v>0</v>
      </c>
      <c r="R384" s="2" t="inlineStr"/>
    </row>
    <row r="385" ht="15" customHeight="1">
      <c r="A385" t="inlineStr">
        <is>
          <t>A 31085-2024</t>
        </is>
      </c>
      <c r="B385" s="1" t="n">
        <v>45502.48047453703</v>
      </c>
      <c r="C385" s="1" t="n">
        <v>45929</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21244-2024</t>
        </is>
      </c>
      <c r="B386" s="1" t="n">
        <v>45440.59936342593</v>
      </c>
      <c r="C386" s="1" t="n">
        <v>45929</v>
      </c>
      <c r="D386" t="inlineStr">
        <is>
          <t>DALARNAS LÄN</t>
        </is>
      </c>
      <c r="E386" t="inlineStr">
        <is>
          <t>MORA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44071-2024</t>
        </is>
      </c>
      <c r="B387" s="1" t="n">
        <v>45572.60915509259</v>
      </c>
      <c r="C387" s="1" t="n">
        <v>45929</v>
      </c>
      <c r="D387" t="inlineStr">
        <is>
          <t>DALARNAS LÄN</t>
        </is>
      </c>
      <c r="E387" t="inlineStr">
        <is>
          <t>MORA</t>
        </is>
      </c>
      <c r="G387" t="n">
        <v>4.5</v>
      </c>
      <c r="H387" t="n">
        <v>0</v>
      </c>
      <c r="I387" t="n">
        <v>0</v>
      </c>
      <c r="J387" t="n">
        <v>0</v>
      </c>
      <c r="K387" t="n">
        <v>0</v>
      </c>
      <c r="L387" t="n">
        <v>0</v>
      </c>
      <c r="M387" t="n">
        <v>0</v>
      </c>
      <c r="N387" t="n">
        <v>0</v>
      </c>
      <c r="O387" t="n">
        <v>0</v>
      </c>
      <c r="P387" t="n">
        <v>0</v>
      </c>
      <c r="Q387" t="n">
        <v>0</v>
      </c>
      <c r="R387" s="2" t="inlineStr"/>
    </row>
    <row r="388" ht="15" customHeight="1">
      <c r="A388" t="inlineStr">
        <is>
          <t>A 12490-2025</t>
        </is>
      </c>
      <c r="B388" s="1" t="n">
        <v>45730.59239583334</v>
      </c>
      <c r="C388" s="1" t="n">
        <v>45929</v>
      </c>
      <c r="D388" t="inlineStr">
        <is>
          <t>DALARNAS LÄN</t>
        </is>
      </c>
      <c r="E388" t="inlineStr">
        <is>
          <t>MORA</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37471-2024</t>
        </is>
      </c>
      <c r="B389" s="1" t="n">
        <v>45540.85054398148</v>
      </c>
      <c r="C389" s="1" t="n">
        <v>45929</v>
      </c>
      <c r="D389" t="inlineStr">
        <is>
          <t>DALARNAS LÄN</t>
        </is>
      </c>
      <c r="E389" t="inlineStr">
        <is>
          <t>MORA</t>
        </is>
      </c>
      <c r="G389" t="n">
        <v>3.5</v>
      </c>
      <c r="H389" t="n">
        <v>0</v>
      </c>
      <c r="I389" t="n">
        <v>0</v>
      </c>
      <c r="J389" t="n">
        <v>0</v>
      </c>
      <c r="K389" t="n">
        <v>0</v>
      </c>
      <c r="L389" t="n">
        <v>0</v>
      </c>
      <c r="M389" t="n">
        <v>0</v>
      </c>
      <c r="N389" t="n">
        <v>0</v>
      </c>
      <c r="O389" t="n">
        <v>0</v>
      </c>
      <c r="P389" t="n">
        <v>0</v>
      </c>
      <c r="Q389" t="n">
        <v>0</v>
      </c>
      <c r="R389" s="2" t="inlineStr"/>
    </row>
    <row r="390" ht="15" customHeight="1">
      <c r="A390" t="inlineStr">
        <is>
          <t>A 33531-2024</t>
        </is>
      </c>
      <c r="B390" s="1" t="n">
        <v>45519.67503472222</v>
      </c>
      <c r="C390" s="1" t="n">
        <v>45929</v>
      </c>
      <c r="D390" t="inlineStr">
        <is>
          <t>DALARNAS LÄN</t>
        </is>
      </c>
      <c r="E390" t="inlineStr">
        <is>
          <t>MORA</t>
        </is>
      </c>
      <c r="G390" t="n">
        <v>14.8</v>
      </c>
      <c r="H390" t="n">
        <v>0</v>
      </c>
      <c r="I390" t="n">
        <v>0</v>
      </c>
      <c r="J390" t="n">
        <v>0</v>
      </c>
      <c r="K390" t="n">
        <v>0</v>
      </c>
      <c r="L390" t="n">
        <v>0</v>
      </c>
      <c r="M390" t="n">
        <v>0</v>
      </c>
      <c r="N390" t="n">
        <v>0</v>
      </c>
      <c r="O390" t="n">
        <v>0</v>
      </c>
      <c r="P390" t="n">
        <v>0</v>
      </c>
      <c r="Q390" t="n">
        <v>0</v>
      </c>
      <c r="R390" s="2" t="inlineStr"/>
    </row>
    <row r="391" ht="15" customHeight="1">
      <c r="A391" t="inlineStr">
        <is>
          <t>A 22785-2023</t>
        </is>
      </c>
      <c r="B391" s="1" t="n">
        <v>45072.34796296297</v>
      </c>
      <c r="C391" s="1" t="n">
        <v>45929</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21410-2023</t>
        </is>
      </c>
      <c r="B392" s="1" t="n">
        <v>45063</v>
      </c>
      <c r="C392" s="1" t="n">
        <v>45929</v>
      </c>
      <c r="D392" t="inlineStr">
        <is>
          <t>DALARNAS LÄN</t>
        </is>
      </c>
      <c r="E392" t="inlineStr">
        <is>
          <t>MORA</t>
        </is>
      </c>
      <c r="G392" t="n">
        <v>7</v>
      </c>
      <c r="H392" t="n">
        <v>0</v>
      </c>
      <c r="I392" t="n">
        <v>0</v>
      </c>
      <c r="J392" t="n">
        <v>0</v>
      </c>
      <c r="K392" t="n">
        <v>0</v>
      </c>
      <c r="L392" t="n">
        <v>0</v>
      </c>
      <c r="M392" t="n">
        <v>0</v>
      </c>
      <c r="N392" t="n">
        <v>0</v>
      </c>
      <c r="O392" t="n">
        <v>0</v>
      </c>
      <c r="P392" t="n">
        <v>0</v>
      </c>
      <c r="Q392" t="n">
        <v>0</v>
      </c>
      <c r="R392" s="2" t="inlineStr"/>
    </row>
    <row r="393" ht="15" customHeight="1">
      <c r="A393" t="inlineStr">
        <is>
          <t>A 53754-2024</t>
        </is>
      </c>
      <c r="B393" s="1" t="n">
        <v>45615.49371527778</v>
      </c>
      <c r="C393" s="1" t="n">
        <v>45929</v>
      </c>
      <c r="D393" t="inlineStr">
        <is>
          <t>DALARNAS LÄN</t>
        </is>
      </c>
      <c r="E393" t="inlineStr">
        <is>
          <t>MORA</t>
        </is>
      </c>
      <c r="G393" t="n">
        <v>4.8</v>
      </c>
      <c r="H393" t="n">
        <v>0</v>
      </c>
      <c r="I393" t="n">
        <v>0</v>
      </c>
      <c r="J393" t="n">
        <v>0</v>
      </c>
      <c r="K393" t="n">
        <v>0</v>
      </c>
      <c r="L393" t="n">
        <v>0</v>
      </c>
      <c r="M393" t="n">
        <v>0</v>
      </c>
      <c r="N393" t="n">
        <v>0</v>
      </c>
      <c r="O393" t="n">
        <v>0</v>
      </c>
      <c r="P393" t="n">
        <v>0</v>
      </c>
      <c r="Q393" t="n">
        <v>0</v>
      </c>
      <c r="R393" s="2" t="inlineStr"/>
    </row>
    <row r="394" ht="15" customHeight="1">
      <c r="A394" t="inlineStr">
        <is>
          <t>A 46801-2022</t>
        </is>
      </c>
      <c r="B394" s="1" t="n">
        <v>44851</v>
      </c>
      <c r="C394" s="1" t="n">
        <v>45929</v>
      </c>
      <c r="D394" t="inlineStr">
        <is>
          <t>DALARNAS LÄN</t>
        </is>
      </c>
      <c r="E394" t="inlineStr">
        <is>
          <t>MORA</t>
        </is>
      </c>
      <c r="G394" t="n">
        <v>1.5</v>
      </c>
      <c r="H394" t="n">
        <v>0</v>
      </c>
      <c r="I394" t="n">
        <v>0</v>
      </c>
      <c r="J394" t="n">
        <v>0</v>
      </c>
      <c r="K394" t="n">
        <v>0</v>
      </c>
      <c r="L394" t="n">
        <v>0</v>
      </c>
      <c r="M394" t="n">
        <v>0</v>
      </c>
      <c r="N394" t="n">
        <v>0</v>
      </c>
      <c r="O394" t="n">
        <v>0</v>
      </c>
      <c r="P394" t="n">
        <v>0</v>
      </c>
      <c r="Q394" t="n">
        <v>0</v>
      </c>
      <c r="R394" s="2" t="inlineStr"/>
    </row>
    <row r="395" ht="15" customHeight="1">
      <c r="A395" t="inlineStr">
        <is>
          <t>A 20989-2024</t>
        </is>
      </c>
      <c r="B395" s="1" t="n">
        <v>45439</v>
      </c>
      <c r="C395" s="1" t="n">
        <v>45929</v>
      </c>
      <c r="D395" t="inlineStr">
        <is>
          <t>DALARNAS LÄN</t>
        </is>
      </c>
      <c r="E395" t="inlineStr">
        <is>
          <t>MORA</t>
        </is>
      </c>
      <c r="F395" t="inlineStr">
        <is>
          <t>Bergvik skog öst AB</t>
        </is>
      </c>
      <c r="G395" t="n">
        <v>14.7</v>
      </c>
      <c r="H395" t="n">
        <v>0</v>
      </c>
      <c r="I395" t="n">
        <v>0</v>
      </c>
      <c r="J395" t="n">
        <v>0</v>
      </c>
      <c r="K395" t="n">
        <v>0</v>
      </c>
      <c r="L395" t="n">
        <v>0</v>
      </c>
      <c r="M395" t="n">
        <v>0</v>
      </c>
      <c r="N395" t="n">
        <v>0</v>
      </c>
      <c r="O395" t="n">
        <v>0</v>
      </c>
      <c r="P395" t="n">
        <v>0</v>
      </c>
      <c r="Q395" t="n">
        <v>0</v>
      </c>
      <c r="R395" s="2" t="inlineStr"/>
    </row>
    <row r="396" ht="15" customHeight="1">
      <c r="A396" t="inlineStr">
        <is>
          <t>A 20930-2024</t>
        </is>
      </c>
      <c r="B396" s="1" t="n">
        <v>45439.51907407407</v>
      </c>
      <c r="C396" s="1" t="n">
        <v>45929</v>
      </c>
      <c r="D396" t="inlineStr">
        <is>
          <t>DALARNAS LÄN</t>
        </is>
      </c>
      <c r="E396" t="inlineStr">
        <is>
          <t>MORA</t>
        </is>
      </c>
      <c r="F396" t="inlineStr">
        <is>
          <t>Bergvik skog väst AB</t>
        </is>
      </c>
      <c r="G396" t="n">
        <v>5.3</v>
      </c>
      <c r="H396" t="n">
        <v>0</v>
      </c>
      <c r="I396" t="n">
        <v>0</v>
      </c>
      <c r="J396" t="n">
        <v>0</v>
      </c>
      <c r="K396" t="n">
        <v>0</v>
      </c>
      <c r="L396" t="n">
        <v>0</v>
      </c>
      <c r="M396" t="n">
        <v>0</v>
      </c>
      <c r="N396" t="n">
        <v>0</v>
      </c>
      <c r="O396" t="n">
        <v>0</v>
      </c>
      <c r="P396" t="n">
        <v>0</v>
      </c>
      <c r="Q396" t="n">
        <v>0</v>
      </c>
      <c r="R396" s="2" t="inlineStr"/>
    </row>
    <row r="397" ht="15" customHeight="1">
      <c r="A397" t="inlineStr">
        <is>
          <t>A 70141-2021</t>
        </is>
      </c>
      <c r="B397" s="1" t="n">
        <v>44533</v>
      </c>
      <c r="C397" s="1" t="n">
        <v>45929</v>
      </c>
      <c r="D397" t="inlineStr">
        <is>
          <t>DALARNAS LÄN</t>
        </is>
      </c>
      <c r="E397" t="inlineStr">
        <is>
          <t>MORA</t>
        </is>
      </c>
      <c r="G397" t="n">
        <v>4.1</v>
      </c>
      <c r="H397" t="n">
        <v>0</v>
      </c>
      <c r="I397" t="n">
        <v>0</v>
      </c>
      <c r="J397" t="n">
        <v>0</v>
      </c>
      <c r="K397" t="n">
        <v>0</v>
      </c>
      <c r="L397" t="n">
        <v>0</v>
      </c>
      <c r="M397" t="n">
        <v>0</v>
      </c>
      <c r="N397" t="n">
        <v>0</v>
      </c>
      <c r="O397" t="n">
        <v>0</v>
      </c>
      <c r="P397" t="n">
        <v>0</v>
      </c>
      <c r="Q397" t="n">
        <v>0</v>
      </c>
      <c r="R397" s="2" t="inlineStr"/>
    </row>
    <row r="398" ht="15" customHeight="1">
      <c r="A398" t="inlineStr">
        <is>
          <t>A 56767-2023</t>
        </is>
      </c>
      <c r="B398" s="1" t="n">
        <v>45244</v>
      </c>
      <c r="C398" s="1" t="n">
        <v>45929</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40949-2023</t>
        </is>
      </c>
      <c r="B399" s="1" t="n">
        <v>45173</v>
      </c>
      <c r="C399" s="1" t="n">
        <v>45929</v>
      </c>
      <c r="D399" t="inlineStr">
        <is>
          <t>DALARNAS LÄN</t>
        </is>
      </c>
      <c r="E399" t="inlineStr">
        <is>
          <t>MORA</t>
        </is>
      </c>
      <c r="F399" t="inlineStr">
        <is>
          <t>Kyrkan</t>
        </is>
      </c>
      <c r="G399" t="n">
        <v>0.5</v>
      </c>
      <c r="H399" t="n">
        <v>0</v>
      </c>
      <c r="I399" t="n">
        <v>0</v>
      </c>
      <c r="J399" t="n">
        <v>0</v>
      </c>
      <c r="K399" t="n">
        <v>0</v>
      </c>
      <c r="L399" t="n">
        <v>0</v>
      </c>
      <c r="M399" t="n">
        <v>0</v>
      </c>
      <c r="N399" t="n">
        <v>0</v>
      </c>
      <c r="O399" t="n">
        <v>0</v>
      </c>
      <c r="P399" t="n">
        <v>0</v>
      </c>
      <c r="Q399" t="n">
        <v>0</v>
      </c>
      <c r="R399" s="2" t="inlineStr"/>
    </row>
    <row r="400" ht="15" customHeight="1">
      <c r="A400" t="inlineStr">
        <is>
          <t>A 66232-2021</t>
        </is>
      </c>
      <c r="B400" s="1" t="n">
        <v>44518.39234953704</v>
      </c>
      <c r="C400" s="1" t="n">
        <v>45929</v>
      </c>
      <c r="D400" t="inlineStr">
        <is>
          <t>DALARNAS LÄN</t>
        </is>
      </c>
      <c r="E400" t="inlineStr">
        <is>
          <t>MORA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7972-2024</t>
        </is>
      </c>
      <c r="B401" s="1" t="n">
        <v>45350</v>
      </c>
      <c r="C401" s="1" t="n">
        <v>45929</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43432-2024</t>
        </is>
      </c>
      <c r="B402" s="1" t="n">
        <v>45568.64337962963</v>
      </c>
      <c r="C402" s="1" t="n">
        <v>45929</v>
      </c>
      <c r="D402" t="inlineStr">
        <is>
          <t>DALARNAS LÄN</t>
        </is>
      </c>
      <c r="E402" t="inlineStr">
        <is>
          <t>MORA</t>
        </is>
      </c>
      <c r="G402" t="n">
        <v>0.4</v>
      </c>
      <c r="H402" t="n">
        <v>0</v>
      </c>
      <c r="I402" t="n">
        <v>0</v>
      </c>
      <c r="J402" t="n">
        <v>0</v>
      </c>
      <c r="K402" t="n">
        <v>0</v>
      </c>
      <c r="L402" t="n">
        <v>0</v>
      </c>
      <c r="M402" t="n">
        <v>0</v>
      </c>
      <c r="N402" t="n">
        <v>0</v>
      </c>
      <c r="O402" t="n">
        <v>0</v>
      </c>
      <c r="P402" t="n">
        <v>0</v>
      </c>
      <c r="Q402" t="n">
        <v>0</v>
      </c>
      <c r="R402" s="2" t="inlineStr"/>
    </row>
    <row r="403" ht="15" customHeight="1">
      <c r="A403" t="inlineStr">
        <is>
          <t>A 44307-2021</t>
        </is>
      </c>
      <c r="B403" s="1" t="n">
        <v>44435</v>
      </c>
      <c r="C403" s="1" t="n">
        <v>45929</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34272-2024</t>
        </is>
      </c>
      <c r="B404" s="1" t="n">
        <v>45524.61752314815</v>
      </c>
      <c r="C404" s="1" t="n">
        <v>45929</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28131-2024</t>
        </is>
      </c>
      <c r="B405" s="1" t="n">
        <v>45476.68435185185</v>
      </c>
      <c r="C405" s="1" t="n">
        <v>45929</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28132-2024</t>
        </is>
      </c>
      <c r="B406" s="1" t="n">
        <v>45476.68616898148</v>
      </c>
      <c r="C406" s="1" t="n">
        <v>45929</v>
      </c>
      <c r="D406" t="inlineStr">
        <is>
          <t>DALARNAS LÄN</t>
        </is>
      </c>
      <c r="E406" t="inlineStr">
        <is>
          <t>MORA</t>
        </is>
      </c>
      <c r="G406" t="n">
        <v>0.2</v>
      </c>
      <c r="H406" t="n">
        <v>0</v>
      </c>
      <c r="I406" t="n">
        <v>0</v>
      </c>
      <c r="J406" t="n">
        <v>0</v>
      </c>
      <c r="K406" t="n">
        <v>0</v>
      </c>
      <c r="L406" t="n">
        <v>0</v>
      </c>
      <c r="M406" t="n">
        <v>0</v>
      </c>
      <c r="N406" t="n">
        <v>0</v>
      </c>
      <c r="O406" t="n">
        <v>0</v>
      </c>
      <c r="P406" t="n">
        <v>0</v>
      </c>
      <c r="Q406" t="n">
        <v>0</v>
      </c>
      <c r="R406" s="2" t="inlineStr"/>
    </row>
    <row r="407" ht="15" customHeight="1">
      <c r="A407" t="inlineStr">
        <is>
          <t>A 60428-2023</t>
        </is>
      </c>
      <c r="B407" s="1" t="n">
        <v>45259.50996527778</v>
      </c>
      <c r="C407" s="1" t="n">
        <v>45929</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437-2024</t>
        </is>
      </c>
      <c r="B408" s="1" t="n">
        <v>45296</v>
      </c>
      <c r="C408" s="1" t="n">
        <v>45929</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57608-2021</t>
        </is>
      </c>
      <c r="B409" s="1" t="n">
        <v>44484</v>
      </c>
      <c r="C409" s="1" t="n">
        <v>45929</v>
      </c>
      <c r="D409" t="inlineStr">
        <is>
          <t>DALARNAS LÄN</t>
        </is>
      </c>
      <c r="E409" t="inlineStr">
        <is>
          <t>MORA</t>
        </is>
      </c>
      <c r="G409" t="n">
        <v>6.3</v>
      </c>
      <c r="H409" t="n">
        <v>0</v>
      </c>
      <c r="I409" t="n">
        <v>0</v>
      </c>
      <c r="J409" t="n">
        <v>0</v>
      </c>
      <c r="K409" t="n">
        <v>0</v>
      </c>
      <c r="L409" t="n">
        <v>0</v>
      </c>
      <c r="M409" t="n">
        <v>0</v>
      </c>
      <c r="N409" t="n">
        <v>0</v>
      </c>
      <c r="O409" t="n">
        <v>0</v>
      </c>
      <c r="P409" t="n">
        <v>0</v>
      </c>
      <c r="Q409" t="n">
        <v>0</v>
      </c>
      <c r="R409" s="2" t="inlineStr"/>
    </row>
    <row r="410" ht="15" customHeight="1">
      <c r="A410" t="inlineStr">
        <is>
          <t>A 23586-2023</t>
        </is>
      </c>
      <c r="B410" s="1" t="n">
        <v>45077</v>
      </c>
      <c r="C410" s="1" t="n">
        <v>45929</v>
      </c>
      <c r="D410" t="inlineStr">
        <is>
          <t>DALARNAS LÄN</t>
        </is>
      </c>
      <c r="E410" t="inlineStr">
        <is>
          <t>MORA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60715-2023</t>
        </is>
      </c>
      <c r="B411" s="1" t="n">
        <v>45260.52684027778</v>
      </c>
      <c r="C411" s="1" t="n">
        <v>45929</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5644-2024</t>
        </is>
      </c>
      <c r="B412" s="1" t="n">
        <v>45334</v>
      </c>
      <c r="C412" s="1" t="n">
        <v>45929</v>
      </c>
      <c r="D412" t="inlineStr">
        <is>
          <t>DALARNAS LÄN</t>
        </is>
      </c>
      <c r="E412" t="inlineStr">
        <is>
          <t>MORA</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27125-2024</t>
        </is>
      </c>
      <c r="B413" s="1" t="n">
        <v>45471</v>
      </c>
      <c r="C413" s="1" t="n">
        <v>45929</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30822-2024</t>
        </is>
      </c>
      <c r="B414" s="1" t="n">
        <v>45497</v>
      </c>
      <c r="C414" s="1" t="n">
        <v>45929</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54257-2023</t>
        </is>
      </c>
      <c r="B415" s="1" t="n">
        <v>45232.64195601852</v>
      </c>
      <c r="C415" s="1" t="n">
        <v>45929</v>
      </c>
      <c r="D415" t="inlineStr">
        <is>
          <t>DALARNAS LÄN</t>
        </is>
      </c>
      <c r="E415" t="inlineStr">
        <is>
          <t>MORA</t>
        </is>
      </c>
      <c r="G415" t="n">
        <v>4</v>
      </c>
      <c r="H415" t="n">
        <v>0</v>
      </c>
      <c r="I415" t="n">
        <v>0</v>
      </c>
      <c r="J415" t="n">
        <v>0</v>
      </c>
      <c r="K415" t="n">
        <v>0</v>
      </c>
      <c r="L415" t="n">
        <v>0</v>
      </c>
      <c r="M415" t="n">
        <v>0</v>
      </c>
      <c r="N415" t="n">
        <v>0</v>
      </c>
      <c r="O415" t="n">
        <v>0</v>
      </c>
      <c r="P415" t="n">
        <v>0</v>
      </c>
      <c r="Q415" t="n">
        <v>0</v>
      </c>
      <c r="R415" s="2" t="inlineStr"/>
    </row>
    <row r="416" ht="15" customHeight="1">
      <c r="A416" t="inlineStr">
        <is>
          <t>A 37385-2022</t>
        </is>
      </c>
      <c r="B416" s="1" t="n">
        <v>44806</v>
      </c>
      <c r="C416" s="1" t="n">
        <v>45929</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61217-2023</t>
        </is>
      </c>
      <c r="B417" s="1" t="n">
        <v>45264.43802083333</v>
      </c>
      <c r="C417" s="1" t="n">
        <v>45929</v>
      </c>
      <c r="D417" t="inlineStr">
        <is>
          <t>DALARNAS LÄN</t>
        </is>
      </c>
      <c r="E417" t="inlineStr">
        <is>
          <t>MORA</t>
        </is>
      </c>
      <c r="F417" t="inlineStr">
        <is>
          <t>Allmännings- och besparingsskogar</t>
        </is>
      </c>
      <c r="G417" t="n">
        <v>2</v>
      </c>
      <c r="H417" t="n">
        <v>0</v>
      </c>
      <c r="I417" t="n">
        <v>0</v>
      </c>
      <c r="J417" t="n">
        <v>0</v>
      </c>
      <c r="K417" t="n">
        <v>0</v>
      </c>
      <c r="L417" t="n">
        <v>0</v>
      </c>
      <c r="M417" t="n">
        <v>0</v>
      </c>
      <c r="N417" t="n">
        <v>0</v>
      </c>
      <c r="O417" t="n">
        <v>0</v>
      </c>
      <c r="P417" t="n">
        <v>0</v>
      </c>
      <c r="Q417" t="n">
        <v>0</v>
      </c>
      <c r="R417" s="2" t="inlineStr"/>
    </row>
    <row r="418" ht="15" customHeight="1">
      <c r="A418" t="inlineStr">
        <is>
          <t>A 61218-2023</t>
        </is>
      </c>
      <c r="B418" s="1" t="n">
        <v>45264</v>
      </c>
      <c r="C418" s="1" t="n">
        <v>45929</v>
      </c>
      <c r="D418" t="inlineStr">
        <is>
          <t>DALARNAS LÄN</t>
        </is>
      </c>
      <c r="E418" t="inlineStr">
        <is>
          <t>MORA</t>
        </is>
      </c>
      <c r="F418" t="inlineStr">
        <is>
          <t>Allmännings- och besparingsskogar</t>
        </is>
      </c>
      <c r="G418" t="n">
        <v>2.6</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45929</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25749-2023</t>
        </is>
      </c>
      <c r="B420" s="1" t="n">
        <v>45090</v>
      </c>
      <c r="C420" s="1" t="n">
        <v>45929</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58177-2024</t>
        </is>
      </c>
      <c r="B421" s="1" t="n">
        <v>45632.46821759259</v>
      </c>
      <c r="C421" s="1" t="n">
        <v>45929</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35363-2024</t>
        </is>
      </c>
      <c r="B422" s="1" t="n">
        <v>45531.34050925926</v>
      </c>
      <c r="C422" s="1" t="n">
        <v>45929</v>
      </c>
      <c r="D422" t="inlineStr">
        <is>
          <t>DALARNAS LÄN</t>
        </is>
      </c>
      <c r="E422" t="inlineStr">
        <is>
          <t>MORA</t>
        </is>
      </c>
      <c r="G422" t="n">
        <v>2.5</v>
      </c>
      <c r="H422" t="n">
        <v>0</v>
      </c>
      <c r="I422" t="n">
        <v>0</v>
      </c>
      <c r="J422" t="n">
        <v>0</v>
      </c>
      <c r="K422" t="n">
        <v>0</v>
      </c>
      <c r="L422" t="n">
        <v>0</v>
      </c>
      <c r="M422" t="n">
        <v>0</v>
      </c>
      <c r="N422" t="n">
        <v>0</v>
      </c>
      <c r="O422" t="n">
        <v>0</v>
      </c>
      <c r="P422" t="n">
        <v>0</v>
      </c>
      <c r="Q422" t="n">
        <v>0</v>
      </c>
      <c r="R422" s="2" t="inlineStr"/>
    </row>
    <row r="423" ht="15" customHeight="1">
      <c r="A423" t="inlineStr">
        <is>
          <t>A 58972-2023</t>
        </is>
      </c>
      <c r="B423" s="1" t="n">
        <v>45252</v>
      </c>
      <c r="C423" s="1" t="n">
        <v>45929</v>
      </c>
      <c r="D423" t="inlineStr">
        <is>
          <t>DALARNAS LÄN</t>
        </is>
      </c>
      <c r="E423" t="inlineStr">
        <is>
          <t>MORA</t>
        </is>
      </c>
      <c r="G423" t="n">
        <v>0.5</v>
      </c>
      <c r="H423" t="n">
        <v>0</v>
      </c>
      <c r="I423" t="n">
        <v>0</v>
      </c>
      <c r="J423" t="n">
        <v>0</v>
      </c>
      <c r="K423" t="n">
        <v>0</v>
      </c>
      <c r="L423" t="n">
        <v>0</v>
      </c>
      <c r="M423" t="n">
        <v>0</v>
      </c>
      <c r="N423" t="n">
        <v>0</v>
      </c>
      <c r="O423" t="n">
        <v>0</v>
      </c>
      <c r="P423" t="n">
        <v>0</v>
      </c>
      <c r="Q423" t="n">
        <v>0</v>
      </c>
      <c r="R423" s="2" t="inlineStr"/>
    </row>
    <row r="424" ht="15" customHeight="1">
      <c r="A424" t="inlineStr">
        <is>
          <t>A 58171-2024</t>
        </is>
      </c>
      <c r="B424" s="1" t="n">
        <v>45632.46545138889</v>
      </c>
      <c r="C424" s="1" t="n">
        <v>45929</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17172-2025</t>
        </is>
      </c>
      <c r="B425" s="1" t="n">
        <v>45756.37201388889</v>
      </c>
      <c r="C425" s="1" t="n">
        <v>45929</v>
      </c>
      <c r="D425" t="inlineStr">
        <is>
          <t>DALARNAS LÄN</t>
        </is>
      </c>
      <c r="E425" t="inlineStr">
        <is>
          <t>MORA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33513-2024</t>
        </is>
      </c>
      <c r="B426" s="1" t="n">
        <v>45519.644375</v>
      </c>
      <c r="C426" s="1" t="n">
        <v>45929</v>
      </c>
      <c r="D426" t="inlineStr">
        <is>
          <t>DALARNAS LÄN</t>
        </is>
      </c>
      <c r="E426" t="inlineStr">
        <is>
          <t>MORA</t>
        </is>
      </c>
      <c r="G426" t="n">
        <v>5.9</v>
      </c>
      <c r="H426" t="n">
        <v>0</v>
      </c>
      <c r="I426" t="n">
        <v>0</v>
      </c>
      <c r="J426" t="n">
        <v>0</v>
      </c>
      <c r="K426" t="n">
        <v>0</v>
      </c>
      <c r="L426" t="n">
        <v>0</v>
      </c>
      <c r="M426" t="n">
        <v>0</v>
      </c>
      <c r="N426" t="n">
        <v>0</v>
      </c>
      <c r="O426" t="n">
        <v>0</v>
      </c>
      <c r="P426" t="n">
        <v>0</v>
      </c>
      <c r="Q426" t="n">
        <v>0</v>
      </c>
      <c r="R426" s="2" t="inlineStr"/>
    </row>
    <row r="427" ht="15" customHeight="1">
      <c r="A427" t="inlineStr">
        <is>
          <t>A 39856-2024</t>
        </is>
      </c>
      <c r="B427" s="1" t="n">
        <v>45553.44084490741</v>
      </c>
      <c r="C427" s="1" t="n">
        <v>45929</v>
      </c>
      <c r="D427" t="inlineStr">
        <is>
          <t>DALARNAS LÄN</t>
        </is>
      </c>
      <c r="E427" t="inlineStr">
        <is>
          <t>MORA</t>
        </is>
      </c>
      <c r="G427" t="n">
        <v>4.8</v>
      </c>
      <c r="H427" t="n">
        <v>0</v>
      </c>
      <c r="I427" t="n">
        <v>0</v>
      </c>
      <c r="J427" t="n">
        <v>0</v>
      </c>
      <c r="K427" t="n">
        <v>0</v>
      </c>
      <c r="L427" t="n">
        <v>0</v>
      </c>
      <c r="M427" t="n">
        <v>0</v>
      </c>
      <c r="N427" t="n">
        <v>0</v>
      </c>
      <c r="O427" t="n">
        <v>0</v>
      </c>
      <c r="P427" t="n">
        <v>0</v>
      </c>
      <c r="Q427" t="n">
        <v>0</v>
      </c>
      <c r="R427" s="2" t="inlineStr"/>
    </row>
    <row r="428" ht="15" customHeight="1">
      <c r="A428" t="inlineStr">
        <is>
          <t>A 15993-2025</t>
        </is>
      </c>
      <c r="B428" s="1" t="n">
        <v>45749.58428240741</v>
      </c>
      <c r="C428" s="1" t="n">
        <v>45929</v>
      </c>
      <c r="D428" t="inlineStr">
        <is>
          <t>DALARNAS LÄN</t>
        </is>
      </c>
      <c r="E428" t="inlineStr">
        <is>
          <t>MORA</t>
        </is>
      </c>
      <c r="G428" t="n">
        <v>1.1</v>
      </c>
      <c r="H428" t="n">
        <v>0</v>
      </c>
      <c r="I428" t="n">
        <v>0</v>
      </c>
      <c r="J428" t="n">
        <v>0</v>
      </c>
      <c r="K428" t="n">
        <v>0</v>
      </c>
      <c r="L428" t="n">
        <v>0</v>
      </c>
      <c r="M428" t="n">
        <v>0</v>
      </c>
      <c r="N428" t="n">
        <v>0</v>
      </c>
      <c r="O428" t="n">
        <v>0</v>
      </c>
      <c r="P428" t="n">
        <v>0</v>
      </c>
      <c r="Q428" t="n">
        <v>0</v>
      </c>
      <c r="R428" s="2" t="inlineStr"/>
    </row>
    <row r="429" ht="15" customHeight="1">
      <c r="A429" t="inlineStr">
        <is>
          <t>A 14832-2025</t>
        </is>
      </c>
      <c r="B429" s="1" t="n">
        <v>45743</v>
      </c>
      <c r="C429" s="1" t="n">
        <v>45929</v>
      </c>
      <c r="D429" t="inlineStr">
        <is>
          <t>DALARNAS LÄN</t>
        </is>
      </c>
      <c r="E429" t="inlineStr">
        <is>
          <t>MORA</t>
        </is>
      </c>
      <c r="G429" t="n">
        <v>9.1</v>
      </c>
      <c r="H429" t="n">
        <v>0</v>
      </c>
      <c r="I429" t="n">
        <v>0</v>
      </c>
      <c r="J429" t="n">
        <v>0</v>
      </c>
      <c r="K429" t="n">
        <v>0</v>
      </c>
      <c r="L429" t="n">
        <v>0</v>
      </c>
      <c r="M429" t="n">
        <v>0</v>
      </c>
      <c r="N429" t="n">
        <v>0</v>
      </c>
      <c r="O429" t="n">
        <v>0</v>
      </c>
      <c r="P429" t="n">
        <v>0</v>
      </c>
      <c r="Q429" t="n">
        <v>0</v>
      </c>
      <c r="R429" s="2" t="inlineStr"/>
    </row>
    <row r="430" ht="15" customHeight="1">
      <c r="A430" t="inlineStr">
        <is>
          <t>A 15443-2025</t>
        </is>
      </c>
      <c r="B430" s="1" t="n">
        <v>45747.48371527778</v>
      </c>
      <c r="C430" s="1" t="n">
        <v>45929</v>
      </c>
      <c r="D430" t="inlineStr">
        <is>
          <t>DALARNAS LÄN</t>
        </is>
      </c>
      <c r="E430" t="inlineStr">
        <is>
          <t>MORA</t>
        </is>
      </c>
      <c r="G430" t="n">
        <v>1.8</v>
      </c>
      <c r="H430" t="n">
        <v>0</v>
      </c>
      <c r="I430" t="n">
        <v>0</v>
      </c>
      <c r="J430" t="n">
        <v>0</v>
      </c>
      <c r="K430" t="n">
        <v>0</v>
      </c>
      <c r="L430" t="n">
        <v>0</v>
      </c>
      <c r="M430" t="n">
        <v>0</v>
      </c>
      <c r="N430" t="n">
        <v>0</v>
      </c>
      <c r="O430" t="n">
        <v>0</v>
      </c>
      <c r="P430" t="n">
        <v>0</v>
      </c>
      <c r="Q430" t="n">
        <v>0</v>
      </c>
      <c r="R430" s="2" t="inlineStr"/>
    </row>
    <row r="431" ht="15" customHeight="1">
      <c r="A431" t="inlineStr">
        <is>
          <t>A 59182-2023</t>
        </is>
      </c>
      <c r="B431" s="1" t="n">
        <v>45253</v>
      </c>
      <c r="C431" s="1" t="n">
        <v>45929</v>
      </c>
      <c r="D431" t="inlineStr">
        <is>
          <t>DALARNAS LÄN</t>
        </is>
      </c>
      <c r="E431" t="inlineStr">
        <is>
          <t>MORA</t>
        </is>
      </c>
      <c r="G431" t="n">
        <v>3.3</v>
      </c>
      <c r="H431" t="n">
        <v>0</v>
      </c>
      <c r="I431" t="n">
        <v>0</v>
      </c>
      <c r="J431" t="n">
        <v>0</v>
      </c>
      <c r="K431" t="n">
        <v>0</v>
      </c>
      <c r="L431" t="n">
        <v>0</v>
      </c>
      <c r="M431" t="n">
        <v>0</v>
      </c>
      <c r="N431" t="n">
        <v>0</v>
      </c>
      <c r="O431" t="n">
        <v>0</v>
      </c>
      <c r="P431" t="n">
        <v>0</v>
      </c>
      <c r="Q431" t="n">
        <v>0</v>
      </c>
      <c r="R431" s="2" t="inlineStr"/>
    </row>
    <row r="432" ht="15" customHeight="1">
      <c r="A432" t="inlineStr">
        <is>
          <t>A 45574-2023</t>
        </is>
      </c>
      <c r="B432" s="1" t="n">
        <v>45194</v>
      </c>
      <c r="C432" s="1" t="n">
        <v>45929</v>
      </c>
      <c r="D432" t="inlineStr">
        <is>
          <t>DALARNAS LÄN</t>
        </is>
      </c>
      <c r="E432" t="inlineStr">
        <is>
          <t>MORA</t>
        </is>
      </c>
      <c r="G432" t="n">
        <v>6.3</v>
      </c>
      <c r="H432" t="n">
        <v>0</v>
      </c>
      <c r="I432" t="n">
        <v>0</v>
      </c>
      <c r="J432" t="n">
        <v>0</v>
      </c>
      <c r="K432" t="n">
        <v>0</v>
      </c>
      <c r="L432" t="n">
        <v>0</v>
      </c>
      <c r="M432" t="n">
        <v>0</v>
      </c>
      <c r="N432" t="n">
        <v>0</v>
      </c>
      <c r="O432" t="n">
        <v>0</v>
      </c>
      <c r="P432" t="n">
        <v>0</v>
      </c>
      <c r="Q432" t="n">
        <v>0</v>
      </c>
      <c r="R432" s="2" t="inlineStr"/>
    </row>
    <row r="433" ht="15" customHeight="1">
      <c r="A433" t="inlineStr">
        <is>
          <t>A 501-2024</t>
        </is>
      </c>
      <c r="B433" s="1" t="n">
        <v>45299</v>
      </c>
      <c r="C433" s="1" t="n">
        <v>45929</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64327-2023</t>
        </is>
      </c>
      <c r="B434" s="1" t="n">
        <v>45280</v>
      </c>
      <c r="C434" s="1" t="n">
        <v>45929</v>
      </c>
      <c r="D434" t="inlineStr">
        <is>
          <t>DALARNAS LÄN</t>
        </is>
      </c>
      <c r="E434" t="inlineStr">
        <is>
          <t>MORA</t>
        </is>
      </c>
      <c r="G434" t="n">
        <v>0.8</v>
      </c>
      <c r="H434" t="n">
        <v>0</v>
      </c>
      <c r="I434" t="n">
        <v>0</v>
      </c>
      <c r="J434" t="n">
        <v>0</v>
      </c>
      <c r="K434" t="n">
        <v>0</v>
      </c>
      <c r="L434" t="n">
        <v>0</v>
      </c>
      <c r="M434" t="n">
        <v>0</v>
      </c>
      <c r="N434" t="n">
        <v>0</v>
      </c>
      <c r="O434" t="n">
        <v>0</v>
      </c>
      <c r="P434" t="n">
        <v>0</v>
      </c>
      <c r="Q434" t="n">
        <v>0</v>
      </c>
      <c r="R434" s="2" t="inlineStr"/>
    </row>
    <row r="435" ht="15" customHeight="1">
      <c r="A435" t="inlineStr">
        <is>
          <t>A 5922-2025</t>
        </is>
      </c>
      <c r="B435" s="1" t="n">
        <v>45695.42762731481</v>
      </c>
      <c r="C435" s="1" t="n">
        <v>45929</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19910-2024</t>
        </is>
      </c>
      <c r="B436" s="1" t="n">
        <v>45433.5741087963</v>
      </c>
      <c r="C436" s="1" t="n">
        <v>45929</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17494-2025</t>
        </is>
      </c>
      <c r="B437" s="1" t="n">
        <v>45757.52033564815</v>
      </c>
      <c r="C437" s="1" t="n">
        <v>45929</v>
      </c>
      <c r="D437" t="inlineStr">
        <is>
          <t>DALARNAS LÄN</t>
        </is>
      </c>
      <c r="E437" t="inlineStr">
        <is>
          <t>MORA</t>
        </is>
      </c>
      <c r="G437" t="n">
        <v>5.3</v>
      </c>
      <c r="H437" t="n">
        <v>0</v>
      </c>
      <c r="I437" t="n">
        <v>0</v>
      </c>
      <c r="J437" t="n">
        <v>0</v>
      </c>
      <c r="K437" t="n">
        <v>0</v>
      </c>
      <c r="L437" t="n">
        <v>0</v>
      </c>
      <c r="M437" t="n">
        <v>0</v>
      </c>
      <c r="N437" t="n">
        <v>0</v>
      </c>
      <c r="O437" t="n">
        <v>0</v>
      </c>
      <c r="P437" t="n">
        <v>0</v>
      </c>
      <c r="Q437" t="n">
        <v>0</v>
      </c>
      <c r="R437" s="2" t="inlineStr"/>
    </row>
    <row r="438" ht="15" customHeight="1">
      <c r="A438" t="inlineStr">
        <is>
          <t>A 20126-2025</t>
        </is>
      </c>
      <c r="B438" s="1" t="n">
        <v>45772.49640046297</v>
      </c>
      <c r="C438" s="1" t="n">
        <v>45929</v>
      </c>
      <c r="D438" t="inlineStr">
        <is>
          <t>DALARNAS LÄN</t>
        </is>
      </c>
      <c r="E438" t="inlineStr">
        <is>
          <t>MORA</t>
        </is>
      </c>
      <c r="G438" t="n">
        <v>12.1</v>
      </c>
      <c r="H438" t="n">
        <v>0</v>
      </c>
      <c r="I438" t="n">
        <v>0</v>
      </c>
      <c r="J438" t="n">
        <v>0</v>
      </c>
      <c r="K438" t="n">
        <v>0</v>
      </c>
      <c r="L438" t="n">
        <v>0</v>
      </c>
      <c r="M438" t="n">
        <v>0</v>
      </c>
      <c r="N438" t="n">
        <v>0</v>
      </c>
      <c r="O438" t="n">
        <v>0</v>
      </c>
      <c r="P438" t="n">
        <v>0</v>
      </c>
      <c r="Q438" t="n">
        <v>0</v>
      </c>
      <c r="R438" s="2" t="inlineStr"/>
    </row>
    <row r="439" ht="15" customHeight="1">
      <c r="A439" t="inlineStr">
        <is>
          <t>A 15643-2025</t>
        </is>
      </c>
      <c r="B439" s="1" t="n">
        <v>45748.39222222222</v>
      </c>
      <c r="C439" s="1" t="n">
        <v>45929</v>
      </c>
      <c r="D439" t="inlineStr">
        <is>
          <t>DALARNAS LÄN</t>
        </is>
      </c>
      <c r="E439" t="inlineStr">
        <is>
          <t>MORA</t>
        </is>
      </c>
      <c r="G439" t="n">
        <v>7.6</v>
      </c>
      <c r="H439" t="n">
        <v>0</v>
      </c>
      <c r="I439" t="n">
        <v>0</v>
      </c>
      <c r="J439" t="n">
        <v>0</v>
      </c>
      <c r="K439" t="n">
        <v>0</v>
      </c>
      <c r="L439" t="n">
        <v>0</v>
      </c>
      <c r="M439" t="n">
        <v>0</v>
      </c>
      <c r="N439" t="n">
        <v>0</v>
      </c>
      <c r="O439" t="n">
        <v>0</v>
      </c>
      <c r="P439" t="n">
        <v>0</v>
      </c>
      <c r="Q439" t="n">
        <v>0</v>
      </c>
      <c r="R439" s="2" t="inlineStr"/>
    </row>
    <row r="440" ht="15" customHeight="1">
      <c r="A440" t="inlineStr">
        <is>
          <t>A 36058-2024</t>
        </is>
      </c>
      <c r="B440" s="1" t="n">
        <v>45533</v>
      </c>
      <c r="C440" s="1" t="n">
        <v>45929</v>
      </c>
      <c r="D440" t="inlineStr">
        <is>
          <t>DALARNAS LÄN</t>
        </is>
      </c>
      <c r="E440" t="inlineStr">
        <is>
          <t>MORA</t>
        </is>
      </c>
      <c r="G440" t="n">
        <v>1</v>
      </c>
      <c r="H440" t="n">
        <v>0</v>
      </c>
      <c r="I440" t="n">
        <v>0</v>
      </c>
      <c r="J440" t="n">
        <v>0</v>
      </c>
      <c r="K440" t="n">
        <v>0</v>
      </c>
      <c r="L440" t="n">
        <v>0</v>
      </c>
      <c r="M440" t="n">
        <v>0</v>
      </c>
      <c r="N440" t="n">
        <v>0</v>
      </c>
      <c r="O440" t="n">
        <v>0</v>
      </c>
      <c r="P440" t="n">
        <v>0</v>
      </c>
      <c r="Q440" t="n">
        <v>0</v>
      </c>
      <c r="R440" s="2" t="inlineStr"/>
    </row>
    <row r="441" ht="15" customHeight="1">
      <c r="A441" t="inlineStr">
        <is>
          <t>A 17692-2024</t>
        </is>
      </c>
      <c r="B441" s="1" t="n">
        <v>45418.44195601852</v>
      </c>
      <c r="C441" s="1" t="n">
        <v>45929</v>
      </c>
      <c r="D441" t="inlineStr">
        <is>
          <t>DALARNAS LÄN</t>
        </is>
      </c>
      <c r="E441" t="inlineStr">
        <is>
          <t>MORA</t>
        </is>
      </c>
      <c r="F441" t="inlineStr">
        <is>
          <t>Bergvik skog öst AB</t>
        </is>
      </c>
      <c r="G441" t="n">
        <v>7.9</v>
      </c>
      <c r="H441" t="n">
        <v>0</v>
      </c>
      <c r="I441" t="n">
        <v>0</v>
      </c>
      <c r="J441" t="n">
        <v>0</v>
      </c>
      <c r="K441" t="n">
        <v>0</v>
      </c>
      <c r="L441" t="n">
        <v>0</v>
      </c>
      <c r="M441" t="n">
        <v>0</v>
      </c>
      <c r="N441" t="n">
        <v>0</v>
      </c>
      <c r="O441" t="n">
        <v>0</v>
      </c>
      <c r="P441" t="n">
        <v>0</v>
      </c>
      <c r="Q441" t="n">
        <v>0</v>
      </c>
      <c r="R441" s="2" t="inlineStr"/>
    </row>
    <row r="442" ht="15" customHeight="1">
      <c r="A442" t="inlineStr">
        <is>
          <t>A 21890-2025</t>
        </is>
      </c>
      <c r="B442" s="1" t="n">
        <v>45784.44481481481</v>
      </c>
      <c r="C442" s="1" t="n">
        <v>45929</v>
      </c>
      <c r="D442" t="inlineStr">
        <is>
          <t>DALARNAS LÄN</t>
        </is>
      </c>
      <c r="E442" t="inlineStr">
        <is>
          <t>MORA</t>
        </is>
      </c>
      <c r="G442" t="n">
        <v>3.8</v>
      </c>
      <c r="H442" t="n">
        <v>0</v>
      </c>
      <c r="I442" t="n">
        <v>0</v>
      </c>
      <c r="J442" t="n">
        <v>0</v>
      </c>
      <c r="K442" t="n">
        <v>0</v>
      </c>
      <c r="L442" t="n">
        <v>0</v>
      </c>
      <c r="M442" t="n">
        <v>0</v>
      </c>
      <c r="N442" t="n">
        <v>0</v>
      </c>
      <c r="O442" t="n">
        <v>0</v>
      </c>
      <c r="P442" t="n">
        <v>0</v>
      </c>
      <c r="Q442" t="n">
        <v>0</v>
      </c>
      <c r="R442" s="2" t="inlineStr"/>
    </row>
    <row r="443" ht="15" customHeight="1">
      <c r="A443" t="inlineStr">
        <is>
          <t>A 21895-2025</t>
        </is>
      </c>
      <c r="B443" s="1" t="n">
        <v>45784.45273148148</v>
      </c>
      <c r="C443" s="1" t="n">
        <v>45929</v>
      </c>
      <c r="D443" t="inlineStr">
        <is>
          <t>DALARNAS LÄN</t>
        </is>
      </c>
      <c r="E443" t="inlineStr">
        <is>
          <t>MORA</t>
        </is>
      </c>
      <c r="G443" t="n">
        <v>0.4</v>
      </c>
      <c r="H443" t="n">
        <v>0</v>
      </c>
      <c r="I443" t="n">
        <v>0</v>
      </c>
      <c r="J443" t="n">
        <v>0</v>
      </c>
      <c r="K443" t="n">
        <v>0</v>
      </c>
      <c r="L443" t="n">
        <v>0</v>
      </c>
      <c r="M443" t="n">
        <v>0</v>
      </c>
      <c r="N443" t="n">
        <v>0</v>
      </c>
      <c r="O443" t="n">
        <v>0</v>
      </c>
      <c r="P443" t="n">
        <v>0</v>
      </c>
      <c r="Q443" t="n">
        <v>0</v>
      </c>
      <c r="R443" s="2" t="inlineStr"/>
    </row>
    <row r="444" ht="15" customHeight="1">
      <c r="A444" t="inlineStr">
        <is>
          <t>A 58958-2022</t>
        </is>
      </c>
      <c r="B444" s="1" t="n">
        <v>44903.6605324074</v>
      </c>
      <c r="C444" s="1" t="n">
        <v>45929</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12987-2024</t>
        </is>
      </c>
      <c r="B445" s="1" t="n">
        <v>45385.55375</v>
      </c>
      <c r="C445" s="1" t="n">
        <v>45929</v>
      </c>
      <c r="D445" t="inlineStr">
        <is>
          <t>DALARNAS LÄN</t>
        </is>
      </c>
      <c r="E445" t="inlineStr">
        <is>
          <t>MORA</t>
        </is>
      </c>
      <c r="G445" t="n">
        <v>1.3</v>
      </c>
      <c r="H445" t="n">
        <v>0</v>
      </c>
      <c r="I445" t="n">
        <v>0</v>
      </c>
      <c r="J445" t="n">
        <v>0</v>
      </c>
      <c r="K445" t="n">
        <v>0</v>
      </c>
      <c r="L445" t="n">
        <v>0</v>
      </c>
      <c r="M445" t="n">
        <v>0</v>
      </c>
      <c r="N445" t="n">
        <v>0</v>
      </c>
      <c r="O445" t="n">
        <v>0</v>
      </c>
      <c r="P445" t="n">
        <v>0</v>
      </c>
      <c r="Q445" t="n">
        <v>0</v>
      </c>
      <c r="R445" s="2" t="inlineStr"/>
    </row>
    <row r="446" ht="15" customHeight="1">
      <c r="A446" t="inlineStr">
        <is>
          <t>A 29188-2023</t>
        </is>
      </c>
      <c r="B446" s="1" t="n">
        <v>45105.54270833333</v>
      </c>
      <c r="C446" s="1" t="n">
        <v>45929</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21894-2025</t>
        </is>
      </c>
      <c r="B447" s="1" t="n">
        <v>45784.45060185185</v>
      </c>
      <c r="C447" s="1" t="n">
        <v>45929</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442-2024</t>
        </is>
      </c>
      <c r="B448" s="1" t="n">
        <v>45296.60353009259</v>
      </c>
      <c r="C448" s="1" t="n">
        <v>45929</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21877-2025</t>
        </is>
      </c>
      <c r="B449" s="1" t="n">
        <v>45784.40041666666</v>
      </c>
      <c r="C449" s="1" t="n">
        <v>45929</v>
      </c>
      <c r="D449" t="inlineStr">
        <is>
          <t>DALARNAS LÄN</t>
        </is>
      </c>
      <c r="E449" t="inlineStr">
        <is>
          <t>MORA</t>
        </is>
      </c>
      <c r="G449" t="n">
        <v>5.9</v>
      </c>
      <c r="H449" t="n">
        <v>0</v>
      </c>
      <c r="I449" t="n">
        <v>0</v>
      </c>
      <c r="J449" t="n">
        <v>0</v>
      </c>
      <c r="K449" t="n">
        <v>0</v>
      </c>
      <c r="L449" t="n">
        <v>0</v>
      </c>
      <c r="M449" t="n">
        <v>0</v>
      </c>
      <c r="N449" t="n">
        <v>0</v>
      </c>
      <c r="O449" t="n">
        <v>0</v>
      </c>
      <c r="P449" t="n">
        <v>0</v>
      </c>
      <c r="Q449" t="n">
        <v>0</v>
      </c>
      <c r="R449" s="2" t="inlineStr"/>
    </row>
    <row r="450" ht="15" customHeight="1">
      <c r="A450" t="inlineStr">
        <is>
          <t>A 15172-2025</t>
        </is>
      </c>
      <c r="B450" s="1" t="n">
        <v>45744.50722222222</v>
      </c>
      <c r="C450" s="1" t="n">
        <v>45929</v>
      </c>
      <c r="D450" t="inlineStr">
        <is>
          <t>DALARNAS LÄN</t>
        </is>
      </c>
      <c r="E450" t="inlineStr">
        <is>
          <t>MORA</t>
        </is>
      </c>
      <c r="G450" t="n">
        <v>3.2</v>
      </c>
      <c r="H450" t="n">
        <v>0</v>
      </c>
      <c r="I450" t="n">
        <v>0</v>
      </c>
      <c r="J450" t="n">
        <v>0</v>
      </c>
      <c r="K450" t="n">
        <v>0</v>
      </c>
      <c r="L450" t="n">
        <v>0</v>
      </c>
      <c r="M450" t="n">
        <v>0</v>
      </c>
      <c r="N450" t="n">
        <v>0</v>
      </c>
      <c r="O450" t="n">
        <v>0</v>
      </c>
      <c r="P450" t="n">
        <v>0</v>
      </c>
      <c r="Q450" t="n">
        <v>0</v>
      </c>
      <c r="R450" s="2" t="inlineStr"/>
    </row>
    <row r="451" ht="15" customHeight="1">
      <c r="A451" t="inlineStr">
        <is>
          <t>A 17278-2025</t>
        </is>
      </c>
      <c r="B451" s="1" t="n">
        <v>45756.56131944444</v>
      </c>
      <c r="C451" s="1" t="n">
        <v>45929</v>
      </c>
      <c r="D451" t="inlineStr">
        <is>
          <t>DALARNAS LÄN</t>
        </is>
      </c>
      <c r="E451" t="inlineStr">
        <is>
          <t>MORA</t>
        </is>
      </c>
      <c r="G451" t="n">
        <v>3</v>
      </c>
      <c r="H451" t="n">
        <v>0</v>
      </c>
      <c r="I451" t="n">
        <v>0</v>
      </c>
      <c r="J451" t="n">
        <v>0</v>
      </c>
      <c r="K451" t="n">
        <v>0</v>
      </c>
      <c r="L451" t="n">
        <v>0</v>
      </c>
      <c r="M451" t="n">
        <v>0</v>
      </c>
      <c r="N451" t="n">
        <v>0</v>
      </c>
      <c r="O451" t="n">
        <v>0</v>
      </c>
      <c r="P451" t="n">
        <v>0</v>
      </c>
      <c r="Q451" t="n">
        <v>0</v>
      </c>
      <c r="R451" s="2" t="inlineStr"/>
    </row>
    <row r="452" ht="15" customHeight="1">
      <c r="A452" t="inlineStr">
        <is>
          <t>A 33627-2024</t>
        </is>
      </c>
      <c r="B452" s="1" t="n">
        <v>45520</v>
      </c>
      <c r="C452" s="1" t="n">
        <v>45929</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16573-2024</t>
        </is>
      </c>
      <c r="B453" s="1" t="n">
        <v>45408.46980324074</v>
      </c>
      <c r="C453" s="1" t="n">
        <v>45929</v>
      </c>
      <c r="D453" t="inlineStr">
        <is>
          <t>DALARNAS LÄN</t>
        </is>
      </c>
      <c r="E453" t="inlineStr">
        <is>
          <t>MORA</t>
        </is>
      </c>
      <c r="G453" t="n">
        <v>4.5</v>
      </c>
      <c r="H453" t="n">
        <v>0</v>
      </c>
      <c r="I453" t="n">
        <v>0</v>
      </c>
      <c r="J453" t="n">
        <v>0</v>
      </c>
      <c r="K453" t="n">
        <v>0</v>
      </c>
      <c r="L453" t="n">
        <v>0</v>
      </c>
      <c r="M453" t="n">
        <v>0</v>
      </c>
      <c r="N453" t="n">
        <v>0</v>
      </c>
      <c r="O453" t="n">
        <v>0</v>
      </c>
      <c r="P453" t="n">
        <v>0</v>
      </c>
      <c r="Q453" t="n">
        <v>0</v>
      </c>
      <c r="R453" s="2" t="inlineStr"/>
    </row>
    <row r="454" ht="15" customHeight="1">
      <c r="A454" t="inlineStr">
        <is>
          <t>A 22409-2025</t>
        </is>
      </c>
      <c r="B454" s="1" t="n">
        <v>45786.54940972223</v>
      </c>
      <c r="C454" s="1" t="n">
        <v>45929</v>
      </c>
      <c r="D454" t="inlineStr">
        <is>
          <t>DALARNAS LÄN</t>
        </is>
      </c>
      <c r="E454" t="inlineStr">
        <is>
          <t>MORA</t>
        </is>
      </c>
      <c r="F454" t="inlineStr">
        <is>
          <t>Bergvik skog öst AB</t>
        </is>
      </c>
      <c r="G454" t="n">
        <v>5</v>
      </c>
      <c r="H454" t="n">
        <v>0</v>
      </c>
      <c r="I454" t="n">
        <v>0</v>
      </c>
      <c r="J454" t="n">
        <v>0</v>
      </c>
      <c r="K454" t="n">
        <v>0</v>
      </c>
      <c r="L454" t="n">
        <v>0</v>
      </c>
      <c r="M454" t="n">
        <v>0</v>
      </c>
      <c r="N454" t="n">
        <v>0</v>
      </c>
      <c r="O454" t="n">
        <v>0</v>
      </c>
      <c r="P454" t="n">
        <v>0</v>
      </c>
      <c r="Q454" t="n">
        <v>0</v>
      </c>
      <c r="R454" s="2" t="inlineStr"/>
    </row>
    <row r="455" ht="15" customHeight="1">
      <c r="A455" t="inlineStr">
        <is>
          <t>A 60674-2023</t>
        </is>
      </c>
      <c r="B455" s="1" t="n">
        <v>45260.46609953704</v>
      </c>
      <c r="C455" s="1" t="n">
        <v>45929</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61293-2022</t>
        </is>
      </c>
      <c r="B456" s="1" t="n">
        <v>44915.62751157407</v>
      </c>
      <c r="C456" s="1" t="n">
        <v>45929</v>
      </c>
      <c r="D456" t="inlineStr">
        <is>
          <t>DALARNAS LÄN</t>
        </is>
      </c>
      <c r="E456" t="inlineStr">
        <is>
          <t>MORA</t>
        </is>
      </c>
      <c r="G456" t="n">
        <v>0.3</v>
      </c>
      <c r="H456" t="n">
        <v>0</v>
      </c>
      <c r="I456" t="n">
        <v>0</v>
      </c>
      <c r="J456" t="n">
        <v>0</v>
      </c>
      <c r="K456" t="n">
        <v>0</v>
      </c>
      <c r="L456" t="n">
        <v>0</v>
      </c>
      <c r="M456" t="n">
        <v>0</v>
      </c>
      <c r="N456" t="n">
        <v>0</v>
      </c>
      <c r="O456" t="n">
        <v>0</v>
      </c>
      <c r="P456" t="n">
        <v>0</v>
      </c>
      <c r="Q456" t="n">
        <v>0</v>
      </c>
      <c r="R456" s="2" t="inlineStr"/>
    </row>
    <row r="457" ht="15" customHeight="1">
      <c r="A457" t="inlineStr">
        <is>
          <t>A 60360-2023</t>
        </is>
      </c>
      <c r="B457" s="1" t="n">
        <v>45259</v>
      </c>
      <c r="C457" s="1" t="n">
        <v>45929</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18139-2025</t>
        </is>
      </c>
      <c r="B458" s="1" t="n">
        <v>45761.60459490741</v>
      </c>
      <c r="C458" s="1" t="n">
        <v>45929</v>
      </c>
      <c r="D458" t="inlineStr">
        <is>
          <t>DALARNAS LÄN</t>
        </is>
      </c>
      <c r="E458" t="inlineStr">
        <is>
          <t>MORA</t>
        </is>
      </c>
      <c r="F458" t="inlineStr">
        <is>
          <t>Bergvik skog öst AB</t>
        </is>
      </c>
      <c r="G458" t="n">
        <v>3</v>
      </c>
      <c r="H458" t="n">
        <v>0</v>
      </c>
      <c r="I458" t="n">
        <v>0</v>
      </c>
      <c r="J458" t="n">
        <v>0</v>
      </c>
      <c r="K458" t="n">
        <v>0</v>
      </c>
      <c r="L458" t="n">
        <v>0</v>
      </c>
      <c r="M458" t="n">
        <v>0</v>
      </c>
      <c r="N458" t="n">
        <v>0</v>
      </c>
      <c r="O458" t="n">
        <v>0</v>
      </c>
      <c r="P458" t="n">
        <v>0</v>
      </c>
      <c r="Q458" t="n">
        <v>0</v>
      </c>
      <c r="R458" s="2" t="inlineStr"/>
    </row>
    <row r="459" ht="15" customHeight="1">
      <c r="A459" t="inlineStr">
        <is>
          <t>A 25499-2024</t>
        </is>
      </c>
      <c r="B459" s="1" t="n">
        <v>45463</v>
      </c>
      <c r="C459" s="1" t="n">
        <v>45929</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61405-2023</t>
        </is>
      </c>
      <c r="B460" s="1" t="n">
        <v>45264.65987268519</v>
      </c>
      <c r="C460" s="1" t="n">
        <v>45929</v>
      </c>
      <c r="D460" t="inlineStr">
        <is>
          <t>DALARNAS LÄN</t>
        </is>
      </c>
      <c r="E460" t="inlineStr">
        <is>
          <t>MORA</t>
        </is>
      </c>
      <c r="G460" t="n">
        <v>0.4</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45929</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11193-2025</t>
        </is>
      </c>
      <c r="B462" s="1" t="n">
        <v>45725</v>
      </c>
      <c r="C462" s="1" t="n">
        <v>45929</v>
      </c>
      <c r="D462" t="inlineStr">
        <is>
          <t>DALARNAS LÄN</t>
        </is>
      </c>
      <c r="E462" t="inlineStr">
        <is>
          <t>MORA</t>
        </is>
      </c>
      <c r="G462" t="n">
        <v>4.1</v>
      </c>
      <c r="H462" t="n">
        <v>0</v>
      </c>
      <c r="I462" t="n">
        <v>0</v>
      </c>
      <c r="J462" t="n">
        <v>0</v>
      </c>
      <c r="K462" t="n">
        <v>0</v>
      </c>
      <c r="L462" t="n">
        <v>0</v>
      </c>
      <c r="M462" t="n">
        <v>0</v>
      </c>
      <c r="N462" t="n">
        <v>0</v>
      </c>
      <c r="O462" t="n">
        <v>0</v>
      </c>
      <c r="P462" t="n">
        <v>0</v>
      </c>
      <c r="Q462" t="n">
        <v>0</v>
      </c>
      <c r="R462" s="2" t="inlineStr"/>
    </row>
    <row r="463" ht="15" customHeight="1">
      <c r="A463" t="inlineStr">
        <is>
          <t>A 22354-2025</t>
        </is>
      </c>
      <c r="B463" s="1" t="n">
        <v>45786.45721064815</v>
      </c>
      <c r="C463" s="1" t="n">
        <v>45929</v>
      </c>
      <c r="D463" t="inlineStr">
        <is>
          <t>DALARNAS LÄN</t>
        </is>
      </c>
      <c r="E463" t="inlineStr">
        <is>
          <t>MORA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46414-2024</t>
        </is>
      </c>
      <c r="B464" s="1" t="n">
        <v>45582.45226851852</v>
      </c>
      <c r="C464" s="1" t="n">
        <v>45929</v>
      </c>
      <c r="D464" t="inlineStr">
        <is>
          <t>DALARNAS LÄN</t>
        </is>
      </c>
      <c r="E464" t="inlineStr">
        <is>
          <t>MORA</t>
        </is>
      </c>
      <c r="G464" t="n">
        <v>0.6</v>
      </c>
      <c r="H464" t="n">
        <v>0</v>
      </c>
      <c r="I464" t="n">
        <v>0</v>
      </c>
      <c r="J464" t="n">
        <v>0</v>
      </c>
      <c r="K464" t="n">
        <v>0</v>
      </c>
      <c r="L464" t="n">
        <v>0</v>
      </c>
      <c r="M464" t="n">
        <v>0</v>
      </c>
      <c r="N464" t="n">
        <v>0</v>
      </c>
      <c r="O464" t="n">
        <v>0</v>
      </c>
      <c r="P464" t="n">
        <v>0</v>
      </c>
      <c r="Q464" t="n">
        <v>0</v>
      </c>
      <c r="R464" s="2" t="inlineStr"/>
    </row>
    <row r="465" ht="15" customHeight="1">
      <c r="A465" t="inlineStr">
        <is>
          <t>A 46417-2024</t>
        </is>
      </c>
      <c r="B465" s="1" t="n">
        <v>45582.45449074074</v>
      </c>
      <c r="C465" s="1" t="n">
        <v>45929</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17280-2025</t>
        </is>
      </c>
      <c r="B466" s="1" t="n">
        <v>45756</v>
      </c>
      <c r="C466" s="1" t="n">
        <v>45929</v>
      </c>
      <c r="D466" t="inlineStr">
        <is>
          <t>DALARNAS LÄN</t>
        </is>
      </c>
      <c r="E466" t="inlineStr">
        <is>
          <t>MORA</t>
        </is>
      </c>
      <c r="G466" t="n">
        <v>2.1</v>
      </c>
      <c r="H466" t="n">
        <v>0</v>
      </c>
      <c r="I466" t="n">
        <v>0</v>
      </c>
      <c r="J466" t="n">
        <v>0</v>
      </c>
      <c r="K466" t="n">
        <v>0</v>
      </c>
      <c r="L466" t="n">
        <v>0</v>
      </c>
      <c r="M466" t="n">
        <v>0</v>
      </c>
      <c r="N466" t="n">
        <v>0</v>
      </c>
      <c r="O466" t="n">
        <v>0</v>
      </c>
      <c r="P466" t="n">
        <v>0</v>
      </c>
      <c r="Q466" t="n">
        <v>0</v>
      </c>
      <c r="R466" s="2" t="inlineStr"/>
    </row>
    <row r="467" ht="15" customHeight="1">
      <c r="A467" t="inlineStr">
        <is>
          <t>A 61270-2024</t>
        </is>
      </c>
      <c r="B467" s="1" t="n">
        <v>45645.74694444444</v>
      </c>
      <c r="C467" s="1" t="n">
        <v>45929</v>
      </c>
      <c r="D467" t="inlineStr">
        <is>
          <t>DALARNAS LÄN</t>
        </is>
      </c>
      <c r="E467" t="inlineStr">
        <is>
          <t>MORA</t>
        </is>
      </c>
      <c r="G467" t="n">
        <v>5.1</v>
      </c>
      <c r="H467" t="n">
        <v>0</v>
      </c>
      <c r="I467" t="n">
        <v>0</v>
      </c>
      <c r="J467" t="n">
        <v>0</v>
      </c>
      <c r="K467" t="n">
        <v>0</v>
      </c>
      <c r="L467" t="n">
        <v>0</v>
      </c>
      <c r="M467" t="n">
        <v>0</v>
      </c>
      <c r="N467" t="n">
        <v>0</v>
      </c>
      <c r="O467" t="n">
        <v>0</v>
      </c>
      <c r="P467" t="n">
        <v>0</v>
      </c>
      <c r="Q467" t="n">
        <v>0</v>
      </c>
      <c r="R467" s="2" t="inlineStr"/>
    </row>
    <row r="468" ht="15" customHeight="1">
      <c r="A468" t="inlineStr">
        <is>
          <t>A 56900-2024</t>
        </is>
      </c>
      <c r="B468" s="1" t="n">
        <v>45625</v>
      </c>
      <c r="C468" s="1" t="n">
        <v>45929</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56927-2024</t>
        </is>
      </c>
      <c r="B469" s="1" t="n">
        <v>45625</v>
      </c>
      <c r="C469" s="1" t="n">
        <v>45929</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55691-2023</t>
        </is>
      </c>
      <c r="B470" s="1" t="n">
        <v>45239.36509259259</v>
      </c>
      <c r="C470" s="1" t="n">
        <v>45929</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54192-2023</t>
        </is>
      </c>
      <c r="B471" s="1" t="n">
        <v>45232.53052083333</v>
      </c>
      <c r="C471" s="1" t="n">
        <v>45929</v>
      </c>
      <c r="D471" t="inlineStr">
        <is>
          <t>DALARNAS LÄN</t>
        </is>
      </c>
      <c r="E471" t="inlineStr">
        <is>
          <t>MORA</t>
        </is>
      </c>
      <c r="G471" t="n">
        <v>3.4</v>
      </c>
      <c r="H471" t="n">
        <v>0</v>
      </c>
      <c r="I471" t="n">
        <v>0</v>
      </c>
      <c r="J471" t="n">
        <v>0</v>
      </c>
      <c r="K471" t="n">
        <v>0</v>
      </c>
      <c r="L471" t="n">
        <v>0</v>
      </c>
      <c r="M471" t="n">
        <v>0</v>
      </c>
      <c r="N471" t="n">
        <v>0</v>
      </c>
      <c r="O471" t="n">
        <v>0</v>
      </c>
      <c r="P471" t="n">
        <v>0</v>
      </c>
      <c r="Q471" t="n">
        <v>0</v>
      </c>
      <c r="R471" s="2" t="inlineStr"/>
    </row>
    <row r="472" ht="15" customHeight="1">
      <c r="A472" t="inlineStr">
        <is>
          <t>A 7116-2024</t>
        </is>
      </c>
      <c r="B472" s="1" t="n">
        <v>45343.95445601852</v>
      </c>
      <c r="C472" s="1" t="n">
        <v>45929</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59995-2023</t>
        </is>
      </c>
      <c r="B473" s="1" t="n">
        <v>45254</v>
      </c>
      <c r="C473" s="1" t="n">
        <v>45929</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59404-2024</t>
        </is>
      </c>
      <c r="B474" s="1" t="n">
        <v>45638</v>
      </c>
      <c r="C474" s="1" t="n">
        <v>45929</v>
      </c>
      <c r="D474" t="inlineStr">
        <is>
          <t>DALARNAS LÄN</t>
        </is>
      </c>
      <c r="E474" t="inlineStr">
        <is>
          <t>MORA</t>
        </is>
      </c>
      <c r="G474" t="n">
        <v>2.6</v>
      </c>
      <c r="H474" t="n">
        <v>0</v>
      </c>
      <c r="I474" t="n">
        <v>0</v>
      </c>
      <c r="J474" t="n">
        <v>0</v>
      </c>
      <c r="K474" t="n">
        <v>0</v>
      </c>
      <c r="L474" t="n">
        <v>0</v>
      </c>
      <c r="M474" t="n">
        <v>0</v>
      </c>
      <c r="N474" t="n">
        <v>0</v>
      </c>
      <c r="O474" t="n">
        <v>0</v>
      </c>
      <c r="P474" t="n">
        <v>0</v>
      </c>
      <c r="Q474" t="n">
        <v>0</v>
      </c>
      <c r="R474" s="2" t="inlineStr"/>
    </row>
    <row r="475" ht="15" customHeight="1">
      <c r="A475" t="inlineStr">
        <is>
          <t>A 13479-2024</t>
        </is>
      </c>
      <c r="B475" s="1" t="n">
        <v>45387.5900925926</v>
      </c>
      <c r="C475" s="1" t="n">
        <v>45929</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22185-2025</t>
        </is>
      </c>
      <c r="B476" s="1" t="n">
        <v>45785</v>
      </c>
      <c r="C476" s="1" t="n">
        <v>45929</v>
      </c>
      <c r="D476" t="inlineStr">
        <is>
          <t>DALARNAS LÄN</t>
        </is>
      </c>
      <c r="E476" t="inlineStr">
        <is>
          <t>MORA</t>
        </is>
      </c>
      <c r="G476" t="n">
        <v>2.4</v>
      </c>
      <c r="H476" t="n">
        <v>0</v>
      </c>
      <c r="I476" t="n">
        <v>0</v>
      </c>
      <c r="J476" t="n">
        <v>0</v>
      </c>
      <c r="K476" t="n">
        <v>0</v>
      </c>
      <c r="L476" t="n">
        <v>0</v>
      </c>
      <c r="M476" t="n">
        <v>0</v>
      </c>
      <c r="N476" t="n">
        <v>0</v>
      </c>
      <c r="O476" t="n">
        <v>0</v>
      </c>
      <c r="P476" t="n">
        <v>0</v>
      </c>
      <c r="Q476" t="n">
        <v>0</v>
      </c>
      <c r="R476" s="2" t="inlineStr"/>
    </row>
    <row r="477" ht="15" customHeight="1">
      <c r="A477" t="inlineStr">
        <is>
          <t>A 41812-2024</t>
        </is>
      </c>
      <c r="B477" s="1" t="n">
        <v>45561.3771412037</v>
      </c>
      <c r="C477" s="1" t="n">
        <v>45929</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42085-2024</t>
        </is>
      </c>
      <c r="B478" s="1" t="n">
        <v>45562.33179398148</v>
      </c>
      <c r="C478" s="1" t="n">
        <v>45929</v>
      </c>
      <c r="D478" t="inlineStr">
        <is>
          <t>DALARNAS LÄN</t>
        </is>
      </c>
      <c r="E478" t="inlineStr">
        <is>
          <t>MORA</t>
        </is>
      </c>
      <c r="G478" t="n">
        <v>4.9</v>
      </c>
      <c r="H478" t="n">
        <v>0</v>
      </c>
      <c r="I478" t="n">
        <v>0</v>
      </c>
      <c r="J478" t="n">
        <v>0</v>
      </c>
      <c r="K478" t="n">
        <v>0</v>
      </c>
      <c r="L478" t="n">
        <v>0</v>
      </c>
      <c r="M478" t="n">
        <v>0</v>
      </c>
      <c r="N478" t="n">
        <v>0</v>
      </c>
      <c r="O478" t="n">
        <v>0</v>
      </c>
      <c r="P478" t="n">
        <v>0</v>
      </c>
      <c r="Q478" t="n">
        <v>0</v>
      </c>
      <c r="R478" s="2" t="inlineStr"/>
    </row>
    <row r="479" ht="15" customHeight="1">
      <c r="A479" t="inlineStr">
        <is>
          <t>A 23368-2025</t>
        </is>
      </c>
      <c r="B479" s="1" t="n">
        <v>45791.70299768518</v>
      </c>
      <c r="C479" s="1" t="n">
        <v>45929</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56935-2024</t>
        </is>
      </c>
      <c r="B480" s="1" t="n">
        <v>45625</v>
      </c>
      <c r="C480" s="1" t="n">
        <v>45929</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60465-2023</t>
        </is>
      </c>
      <c r="B481" s="1" t="n">
        <v>45259.57872685185</v>
      </c>
      <c r="C481" s="1" t="n">
        <v>45929</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33676-2023</t>
        </is>
      </c>
      <c r="B482" s="1" t="n">
        <v>45132.6291550926</v>
      </c>
      <c r="C482" s="1" t="n">
        <v>45929</v>
      </c>
      <c r="D482" t="inlineStr">
        <is>
          <t>DALARNAS LÄN</t>
        </is>
      </c>
      <c r="E482" t="inlineStr">
        <is>
          <t>MORA</t>
        </is>
      </c>
      <c r="F482" t="inlineStr">
        <is>
          <t>Bergvik skog öst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23354-2022</t>
        </is>
      </c>
      <c r="B483" s="1" t="n">
        <v>44720</v>
      </c>
      <c r="C483" s="1" t="n">
        <v>45929</v>
      </c>
      <c r="D483" t="inlineStr">
        <is>
          <t>DALARNAS LÄN</t>
        </is>
      </c>
      <c r="E483" t="inlineStr">
        <is>
          <t>MORA</t>
        </is>
      </c>
      <c r="G483" t="n">
        <v>5.2</v>
      </c>
      <c r="H483" t="n">
        <v>0</v>
      </c>
      <c r="I483" t="n">
        <v>0</v>
      </c>
      <c r="J483" t="n">
        <v>0</v>
      </c>
      <c r="K483" t="n">
        <v>0</v>
      </c>
      <c r="L483" t="n">
        <v>0</v>
      </c>
      <c r="M483" t="n">
        <v>0</v>
      </c>
      <c r="N483" t="n">
        <v>0</v>
      </c>
      <c r="O483" t="n">
        <v>0</v>
      </c>
      <c r="P483" t="n">
        <v>0</v>
      </c>
      <c r="Q483" t="n">
        <v>0</v>
      </c>
      <c r="R483" s="2" t="inlineStr"/>
    </row>
    <row r="484" ht="15" customHeight="1">
      <c r="A484" t="inlineStr">
        <is>
          <t>A 34928-2022</t>
        </is>
      </c>
      <c r="B484" s="1" t="n">
        <v>44796.60479166666</v>
      </c>
      <c r="C484" s="1" t="n">
        <v>45929</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29193-2023</t>
        </is>
      </c>
      <c r="B485" s="1" t="n">
        <v>45105.54791666667</v>
      </c>
      <c r="C485" s="1" t="n">
        <v>45929</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9461-2025</t>
        </is>
      </c>
      <c r="B486" s="1" t="n">
        <v>45715.45341435185</v>
      </c>
      <c r="C486" s="1" t="n">
        <v>45929</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24127-2025</t>
        </is>
      </c>
      <c r="B487" s="1" t="n">
        <v>45796.63137731481</v>
      </c>
      <c r="C487" s="1" t="n">
        <v>45929</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35325-2024</t>
        </is>
      </c>
      <c r="B488" s="1" t="n">
        <v>45530.71158564815</v>
      </c>
      <c r="C488" s="1" t="n">
        <v>45929</v>
      </c>
      <c r="D488" t="inlineStr">
        <is>
          <t>DALARNAS LÄN</t>
        </is>
      </c>
      <c r="E488" t="inlineStr">
        <is>
          <t>MORA</t>
        </is>
      </c>
      <c r="G488" t="n">
        <v>5</v>
      </c>
      <c r="H488" t="n">
        <v>0</v>
      </c>
      <c r="I488" t="n">
        <v>0</v>
      </c>
      <c r="J488" t="n">
        <v>0</v>
      </c>
      <c r="K488" t="n">
        <v>0</v>
      </c>
      <c r="L488" t="n">
        <v>0</v>
      </c>
      <c r="M488" t="n">
        <v>0</v>
      </c>
      <c r="N488" t="n">
        <v>0</v>
      </c>
      <c r="O488" t="n">
        <v>0</v>
      </c>
      <c r="P488" t="n">
        <v>0</v>
      </c>
      <c r="Q488" t="n">
        <v>0</v>
      </c>
      <c r="R488" s="2" t="inlineStr"/>
    </row>
    <row r="489" ht="15" customHeight="1">
      <c r="A489" t="inlineStr">
        <is>
          <t>A 6371-2022</t>
        </is>
      </c>
      <c r="B489" s="1" t="n">
        <v>44600</v>
      </c>
      <c r="C489" s="1" t="n">
        <v>45929</v>
      </c>
      <c r="D489" t="inlineStr">
        <is>
          <t>DALARNAS LÄN</t>
        </is>
      </c>
      <c r="E489" t="inlineStr">
        <is>
          <t>MORA</t>
        </is>
      </c>
      <c r="G489" t="n">
        <v>4.6</v>
      </c>
      <c r="H489" t="n">
        <v>0</v>
      </c>
      <c r="I489" t="n">
        <v>0</v>
      </c>
      <c r="J489" t="n">
        <v>0</v>
      </c>
      <c r="K489" t="n">
        <v>0</v>
      </c>
      <c r="L489" t="n">
        <v>0</v>
      </c>
      <c r="M489" t="n">
        <v>0</v>
      </c>
      <c r="N489" t="n">
        <v>0</v>
      </c>
      <c r="O489" t="n">
        <v>0</v>
      </c>
      <c r="P489" t="n">
        <v>0</v>
      </c>
      <c r="Q489" t="n">
        <v>0</v>
      </c>
      <c r="R489" s="2" t="inlineStr"/>
    </row>
    <row r="490" ht="15" customHeight="1">
      <c r="A490" t="inlineStr">
        <is>
          <t>A 69519-2020</t>
        </is>
      </c>
      <c r="B490" s="1" t="n">
        <v>44194</v>
      </c>
      <c r="C490" s="1" t="n">
        <v>45929</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64093-2023</t>
        </is>
      </c>
      <c r="B491" s="1" t="n">
        <v>45279</v>
      </c>
      <c r="C491" s="1" t="n">
        <v>45929</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28832-2023</t>
        </is>
      </c>
      <c r="B492" s="1" t="n">
        <v>45104.40493055555</v>
      </c>
      <c r="C492" s="1" t="n">
        <v>45929</v>
      </c>
      <c r="D492" t="inlineStr">
        <is>
          <t>DALARNAS LÄN</t>
        </is>
      </c>
      <c r="E492" t="inlineStr">
        <is>
          <t>MORA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37710-2023</t>
        </is>
      </c>
      <c r="B493" s="1" t="n">
        <v>45159.59186342593</v>
      </c>
      <c r="C493" s="1" t="n">
        <v>45929</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27188-2023</t>
        </is>
      </c>
      <c r="B494" s="1" t="n">
        <v>45096</v>
      </c>
      <c r="C494" s="1" t="n">
        <v>45929</v>
      </c>
      <c r="D494" t="inlineStr">
        <is>
          <t>DALARNAS LÄN</t>
        </is>
      </c>
      <c r="E494" t="inlineStr">
        <is>
          <t>MORA</t>
        </is>
      </c>
      <c r="G494" t="n">
        <v>4.8</v>
      </c>
      <c r="H494" t="n">
        <v>0</v>
      </c>
      <c r="I494" t="n">
        <v>0</v>
      </c>
      <c r="J494" t="n">
        <v>0</v>
      </c>
      <c r="K494" t="n">
        <v>0</v>
      </c>
      <c r="L494" t="n">
        <v>0</v>
      </c>
      <c r="M494" t="n">
        <v>0</v>
      </c>
      <c r="N494" t="n">
        <v>0</v>
      </c>
      <c r="O494" t="n">
        <v>0</v>
      </c>
      <c r="P494" t="n">
        <v>0</v>
      </c>
      <c r="Q494" t="n">
        <v>0</v>
      </c>
      <c r="R494" s="2" t="inlineStr"/>
    </row>
    <row r="495" ht="15" customHeight="1">
      <c r="A495" t="inlineStr">
        <is>
          <t>A 62854-2023</t>
        </is>
      </c>
      <c r="B495" s="1" t="n">
        <v>45272</v>
      </c>
      <c r="C495" s="1" t="n">
        <v>45929</v>
      </c>
      <c r="D495" t="inlineStr">
        <is>
          <t>DALARNAS LÄN</t>
        </is>
      </c>
      <c r="E495" t="inlineStr">
        <is>
          <t>MORA</t>
        </is>
      </c>
      <c r="G495" t="n">
        <v>11.3</v>
      </c>
      <c r="H495" t="n">
        <v>0</v>
      </c>
      <c r="I495" t="n">
        <v>0</v>
      </c>
      <c r="J495" t="n">
        <v>0</v>
      </c>
      <c r="K495" t="n">
        <v>0</v>
      </c>
      <c r="L495" t="n">
        <v>0</v>
      </c>
      <c r="M495" t="n">
        <v>0</v>
      </c>
      <c r="N495" t="n">
        <v>0</v>
      </c>
      <c r="O495" t="n">
        <v>0</v>
      </c>
      <c r="P495" t="n">
        <v>0</v>
      </c>
      <c r="Q495" t="n">
        <v>0</v>
      </c>
      <c r="R495" s="2" t="inlineStr"/>
    </row>
    <row r="496" ht="15" customHeight="1">
      <c r="A496" t="inlineStr">
        <is>
          <t>A 19286-2023</t>
        </is>
      </c>
      <c r="B496" s="1" t="n">
        <v>45049</v>
      </c>
      <c r="C496" s="1" t="n">
        <v>45929</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31395-2024</t>
        </is>
      </c>
      <c r="B497" s="1" t="n">
        <v>45505.47716435185</v>
      </c>
      <c r="C497" s="1" t="n">
        <v>45929</v>
      </c>
      <c r="D497" t="inlineStr">
        <is>
          <t>DALARNAS LÄN</t>
        </is>
      </c>
      <c r="E497" t="inlineStr">
        <is>
          <t>MORA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23229-2025</t>
        </is>
      </c>
      <c r="B498" s="1" t="n">
        <v>45791</v>
      </c>
      <c r="C498" s="1" t="n">
        <v>45929</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24280-2025</t>
        </is>
      </c>
      <c r="B499" s="1" t="n">
        <v>45797.45581018519</v>
      </c>
      <c r="C499" s="1" t="n">
        <v>45929</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24630-2025</t>
        </is>
      </c>
      <c r="B500" s="1" t="n">
        <v>45798.6003587963</v>
      </c>
      <c r="C500" s="1" t="n">
        <v>45929</v>
      </c>
      <c r="D500" t="inlineStr">
        <is>
          <t>DALARNAS LÄN</t>
        </is>
      </c>
      <c r="E500" t="inlineStr">
        <is>
          <t>MORA</t>
        </is>
      </c>
      <c r="F500" t="inlineStr">
        <is>
          <t>Bergvik skog väst AB</t>
        </is>
      </c>
      <c r="G500" t="n">
        <v>10.4</v>
      </c>
      <c r="H500" t="n">
        <v>0</v>
      </c>
      <c r="I500" t="n">
        <v>0</v>
      </c>
      <c r="J500" t="n">
        <v>0</v>
      </c>
      <c r="K500" t="n">
        <v>0</v>
      </c>
      <c r="L500" t="n">
        <v>0</v>
      </c>
      <c r="M500" t="n">
        <v>0</v>
      </c>
      <c r="N500" t="n">
        <v>0</v>
      </c>
      <c r="O500" t="n">
        <v>0</v>
      </c>
      <c r="P500" t="n">
        <v>0</v>
      </c>
      <c r="Q500" t="n">
        <v>0</v>
      </c>
      <c r="R500" s="2" t="inlineStr"/>
    </row>
    <row r="501" ht="15" customHeight="1">
      <c r="A501" t="inlineStr">
        <is>
          <t>A 19183-2025</t>
        </is>
      </c>
      <c r="B501" s="1" t="n">
        <v>45769</v>
      </c>
      <c r="C501" s="1" t="n">
        <v>45929</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38055-2024</t>
        </is>
      </c>
      <c r="B502" s="1" t="n">
        <v>45544</v>
      </c>
      <c r="C502" s="1" t="n">
        <v>45929</v>
      </c>
      <c r="D502" t="inlineStr">
        <is>
          <t>DALARNAS LÄN</t>
        </is>
      </c>
      <c r="E502" t="inlineStr">
        <is>
          <t>MORA</t>
        </is>
      </c>
      <c r="G502" t="n">
        <v>0.7</v>
      </c>
      <c r="H502" t="n">
        <v>0</v>
      </c>
      <c r="I502" t="n">
        <v>0</v>
      </c>
      <c r="J502" t="n">
        <v>0</v>
      </c>
      <c r="K502" t="n">
        <v>0</v>
      </c>
      <c r="L502" t="n">
        <v>0</v>
      </c>
      <c r="M502" t="n">
        <v>0</v>
      </c>
      <c r="N502" t="n">
        <v>0</v>
      </c>
      <c r="O502" t="n">
        <v>0</v>
      </c>
      <c r="P502" t="n">
        <v>0</v>
      </c>
      <c r="Q502" t="n">
        <v>0</v>
      </c>
      <c r="R502" s="2" t="inlineStr"/>
    </row>
    <row r="503" ht="15" customHeight="1">
      <c r="A503" t="inlineStr">
        <is>
          <t>A 24642-2025</t>
        </is>
      </c>
      <c r="B503" s="1" t="n">
        <v>45798.62894675926</v>
      </c>
      <c r="C503" s="1" t="n">
        <v>45929</v>
      </c>
      <c r="D503" t="inlineStr">
        <is>
          <t>DALARNAS LÄN</t>
        </is>
      </c>
      <c r="E503" t="inlineStr">
        <is>
          <t>MORA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35327-2024</t>
        </is>
      </c>
      <c r="B504" s="1" t="n">
        <v>45530.71334490741</v>
      </c>
      <c r="C504" s="1" t="n">
        <v>45929</v>
      </c>
      <c r="D504" t="inlineStr">
        <is>
          <t>DALARNAS LÄN</t>
        </is>
      </c>
      <c r="E504" t="inlineStr">
        <is>
          <t>MORA</t>
        </is>
      </c>
      <c r="G504" t="n">
        <v>5</v>
      </c>
      <c r="H504" t="n">
        <v>0</v>
      </c>
      <c r="I504" t="n">
        <v>0</v>
      </c>
      <c r="J504" t="n">
        <v>0</v>
      </c>
      <c r="K504" t="n">
        <v>0</v>
      </c>
      <c r="L504" t="n">
        <v>0</v>
      </c>
      <c r="M504" t="n">
        <v>0</v>
      </c>
      <c r="N504" t="n">
        <v>0</v>
      </c>
      <c r="O504" t="n">
        <v>0</v>
      </c>
      <c r="P504" t="n">
        <v>0</v>
      </c>
      <c r="Q504" t="n">
        <v>0</v>
      </c>
      <c r="R504" s="2" t="inlineStr"/>
    </row>
    <row r="505" ht="15" customHeight="1">
      <c r="A505" t="inlineStr">
        <is>
          <t>A 5486-2023</t>
        </is>
      </c>
      <c r="B505" s="1" t="n">
        <v>44957</v>
      </c>
      <c r="C505" s="1" t="n">
        <v>45929</v>
      </c>
      <c r="D505" t="inlineStr">
        <is>
          <t>DALARNAS LÄN</t>
        </is>
      </c>
      <c r="E505" t="inlineStr">
        <is>
          <t>MORA</t>
        </is>
      </c>
      <c r="G505" t="n">
        <v>3.2</v>
      </c>
      <c r="H505" t="n">
        <v>0</v>
      </c>
      <c r="I505" t="n">
        <v>0</v>
      </c>
      <c r="J505" t="n">
        <v>0</v>
      </c>
      <c r="K505" t="n">
        <v>0</v>
      </c>
      <c r="L505" t="n">
        <v>0</v>
      </c>
      <c r="M505" t="n">
        <v>0</v>
      </c>
      <c r="N505" t="n">
        <v>0</v>
      </c>
      <c r="O505" t="n">
        <v>0</v>
      </c>
      <c r="P505" t="n">
        <v>0</v>
      </c>
      <c r="Q505" t="n">
        <v>0</v>
      </c>
      <c r="R505" s="2" t="inlineStr"/>
    </row>
    <row r="506" ht="15" customHeight="1">
      <c r="A506" t="inlineStr">
        <is>
          <t>A 24653-2025</t>
        </is>
      </c>
      <c r="B506" s="1" t="n">
        <v>45798.63875</v>
      </c>
      <c r="C506" s="1" t="n">
        <v>45929</v>
      </c>
      <c r="D506" t="inlineStr">
        <is>
          <t>DALARNAS LÄN</t>
        </is>
      </c>
      <c r="E506" t="inlineStr">
        <is>
          <t>MORA</t>
        </is>
      </c>
      <c r="F506" t="inlineStr">
        <is>
          <t>Bergvik skog väst AB</t>
        </is>
      </c>
      <c r="G506" t="n">
        <v>4.9</v>
      </c>
      <c r="H506" t="n">
        <v>0</v>
      </c>
      <c r="I506" t="n">
        <v>0</v>
      </c>
      <c r="J506" t="n">
        <v>0</v>
      </c>
      <c r="K506" t="n">
        <v>0</v>
      </c>
      <c r="L506" t="n">
        <v>0</v>
      </c>
      <c r="M506" t="n">
        <v>0</v>
      </c>
      <c r="N506" t="n">
        <v>0</v>
      </c>
      <c r="O506" t="n">
        <v>0</v>
      </c>
      <c r="P506" t="n">
        <v>0</v>
      </c>
      <c r="Q506" t="n">
        <v>0</v>
      </c>
      <c r="R506" s="2" t="inlineStr"/>
    </row>
    <row r="507" ht="15" customHeight="1">
      <c r="A507" t="inlineStr">
        <is>
          <t>A 24249-2025</t>
        </is>
      </c>
      <c r="B507" s="1" t="n">
        <v>45797.40260416667</v>
      </c>
      <c r="C507" s="1" t="n">
        <v>45929</v>
      </c>
      <c r="D507" t="inlineStr">
        <is>
          <t>DALARNAS LÄN</t>
        </is>
      </c>
      <c r="E507" t="inlineStr">
        <is>
          <t>MORA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46129-2024</t>
        </is>
      </c>
      <c r="B508" s="1" t="n">
        <v>45581.43337962963</v>
      </c>
      <c r="C508" s="1" t="n">
        <v>45929</v>
      </c>
      <c r="D508" t="inlineStr">
        <is>
          <t>DALARNAS LÄN</t>
        </is>
      </c>
      <c r="E508" t="inlineStr">
        <is>
          <t>MORA</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24640-2025</t>
        </is>
      </c>
      <c r="B509" s="1" t="n">
        <v>45798.62243055556</v>
      </c>
      <c r="C509" s="1" t="n">
        <v>45929</v>
      </c>
      <c r="D509" t="inlineStr">
        <is>
          <t>DALARNAS LÄN</t>
        </is>
      </c>
      <c r="E509" t="inlineStr">
        <is>
          <t>MORA</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28934-2023</t>
        </is>
      </c>
      <c r="B510" s="1" t="n">
        <v>45104</v>
      </c>
      <c r="C510" s="1" t="n">
        <v>45929</v>
      </c>
      <c r="D510" t="inlineStr">
        <is>
          <t>DALARNAS LÄN</t>
        </is>
      </c>
      <c r="E510" t="inlineStr">
        <is>
          <t>MORA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24230-2025</t>
        </is>
      </c>
      <c r="B511" s="1" t="n">
        <v>45797.37607638889</v>
      </c>
      <c r="C511" s="1" t="n">
        <v>45929</v>
      </c>
      <c r="D511" t="inlineStr">
        <is>
          <t>DALARNAS LÄN</t>
        </is>
      </c>
      <c r="E511" t="inlineStr">
        <is>
          <t>MORA</t>
        </is>
      </c>
      <c r="G511" t="n">
        <v>6.8</v>
      </c>
      <c r="H511" t="n">
        <v>0</v>
      </c>
      <c r="I511" t="n">
        <v>0</v>
      </c>
      <c r="J511" t="n">
        <v>0</v>
      </c>
      <c r="K511" t="n">
        <v>0</v>
      </c>
      <c r="L511" t="n">
        <v>0</v>
      </c>
      <c r="M511" t="n">
        <v>0</v>
      </c>
      <c r="N511" t="n">
        <v>0</v>
      </c>
      <c r="O511" t="n">
        <v>0</v>
      </c>
      <c r="P511" t="n">
        <v>0</v>
      </c>
      <c r="Q511" t="n">
        <v>0</v>
      </c>
      <c r="R511" s="2" t="inlineStr"/>
    </row>
    <row r="512" ht="15" customHeight="1">
      <c r="A512" t="inlineStr">
        <is>
          <t>A 31929-2024</t>
        </is>
      </c>
      <c r="B512" s="1" t="n">
        <v>45510.40587962963</v>
      </c>
      <c r="C512" s="1" t="n">
        <v>45929</v>
      </c>
      <c r="D512" t="inlineStr">
        <is>
          <t>DALARNAS LÄN</t>
        </is>
      </c>
      <c r="E512" t="inlineStr">
        <is>
          <t>MORA</t>
        </is>
      </c>
      <c r="G512" t="n">
        <v>10.8</v>
      </c>
      <c r="H512" t="n">
        <v>0</v>
      </c>
      <c r="I512" t="n">
        <v>0</v>
      </c>
      <c r="J512" t="n">
        <v>0</v>
      </c>
      <c r="K512" t="n">
        <v>0</v>
      </c>
      <c r="L512" t="n">
        <v>0</v>
      </c>
      <c r="M512" t="n">
        <v>0</v>
      </c>
      <c r="N512" t="n">
        <v>0</v>
      </c>
      <c r="O512" t="n">
        <v>0</v>
      </c>
      <c r="P512" t="n">
        <v>0</v>
      </c>
      <c r="Q512" t="n">
        <v>0</v>
      </c>
      <c r="R512" s="2" t="inlineStr"/>
    </row>
    <row r="513" ht="15" customHeight="1">
      <c r="A513" t="inlineStr">
        <is>
          <t>A 54398-2021</t>
        </is>
      </c>
      <c r="B513" s="1" t="n">
        <v>44473.39252314815</v>
      </c>
      <c r="C513" s="1" t="n">
        <v>45929</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24620-2025</t>
        </is>
      </c>
      <c r="B514" s="1" t="n">
        <v>45798.59290509259</v>
      </c>
      <c r="C514" s="1" t="n">
        <v>45929</v>
      </c>
      <c r="D514" t="inlineStr">
        <is>
          <t>DALARNAS LÄN</t>
        </is>
      </c>
      <c r="E514" t="inlineStr">
        <is>
          <t>MORA</t>
        </is>
      </c>
      <c r="F514" t="inlineStr">
        <is>
          <t>Bergvik skog väst AB</t>
        </is>
      </c>
      <c r="G514" t="n">
        <v>4.9</v>
      </c>
      <c r="H514" t="n">
        <v>0</v>
      </c>
      <c r="I514" t="n">
        <v>0</v>
      </c>
      <c r="J514" t="n">
        <v>0</v>
      </c>
      <c r="K514" t="n">
        <v>0</v>
      </c>
      <c r="L514" t="n">
        <v>0</v>
      </c>
      <c r="M514" t="n">
        <v>0</v>
      </c>
      <c r="N514" t="n">
        <v>0</v>
      </c>
      <c r="O514" t="n">
        <v>0</v>
      </c>
      <c r="P514" t="n">
        <v>0</v>
      </c>
      <c r="Q514" t="n">
        <v>0</v>
      </c>
      <c r="R514" s="2" t="inlineStr"/>
    </row>
    <row r="515" ht="15" customHeight="1">
      <c r="A515" t="inlineStr">
        <is>
          <t>A 24960-2025</t>
        </is>
      </c>
      <c r="B515" s="1" t="n">
        <v>45799.57666666667</v>
      </c>
      <c r="C515" s="1" t="n">
        <v>45929</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24947-2025</t>
        </is>
      </c>
      <c r="B516" s="1" t="n">
        <v>45799.56524305556</v>
      </c>
      <c r="C516" s="1" t="n">
        <v>45929</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25737-2025</t>
        </is>
      </c>
      <c r="B517" s="1" t="n">
        <v>45800</v>
      </c>
      <c r="C517" s="1" t="n">
        <v>45929</v>
      </c>
      <c r="D517" t="inlineStr">
        <is>
          <t>DALARNAS LÄN</t>
        </is>
      </c>
      <c r="E517" t="inlineStr">
        <is>
          <t>MORA</t>
        </is>
      </c>
      <c r="G517" t="n">
        <v>9.6</v>
      </c>
      <c r="H517" t="n">
        <v>0</v>
      </c>
      <c r="I517" t="n">
        <v>0</v>
      </c>
      <c r="J517" t="n">
        <v>0</v>
      </c>
      <c r="K517" t="n">
        <v>0</v>
      </c>
      <c r="L517" t="n">
        <v>0</v>
      </c>
      <c r="M517" t="n">
        <v>0</v>
      </c>
      <c r="N517" t="n">
        <v>0</v>
      </c>
      <c r="O517" t="n">
        <v>0</v>
      </c>
      <c r="P517" t="n">
        <v>0</v>
      </c>
      <c r="Q517" t="n">
        <v>0</v>
      </c>
      <c r="R517" s="2" t="inlineStr"/>
    </row>
    <row r="518" ht="15" customHeight="1">
      <c r="A518" t="inlineStr">
        <is>
          <t>A 26647-2025</t>
        </is>
      </c>
      <c r="B518" s="1" t="n">
        <v>45810.38439814815</v>
      </c>
      <c r="C518" s="1" t="n">
        <v>45929</v>
      </c>
      <c r="D518" t="inlineStr">
        <is>
          <t>DALARNAS LÄN</t>
        </is>
      </c>
      <c r="E518" t="inlineStr">
        <is>
          <t>MORA</t>
        </is>
      </c>
      <c r="G518" t="n">
        <v>7.9</v>
      </c>
      <c r="H518" t="n">
        <v>0</v>
      </c>
      <c r="I518" t="n">
        <v>0</v>
      </c>
      <c r="J518" t="n">
        <v>0</v>
      </c>
      <c r="K518" t="n">
        <v>0</v>
      </c>
      <c r="L518" t="n">
        <v>0</v>
      </c>
      <c r="M518" t="n">
        <v>0</v>
      </c>
      <c r="N518" t="n">
        <v>0</v>
      </c>
      <c r="O518" t="n">
        <v>0</v>
      </c>
      <c r="P518" t="n">
        <v>0</v>
      </c>
      <c r="Q518" t="n">
        <v>0</v>
      </c>
      <c r="R518" s="2" t="inlineStr"/>
    </row>
    <row r="519" ht="15" customHeight="1">
      <c r="A519" t="inlineStr">
        <is>
          <t>A 36600-2023</t>
        </is>
      </c>
      <c r="B519" s="1" t="n">
        <v>45153</v>
      </c>
      <c r="C519" s="1" t="n">
        <v>45929</v>
      </c>
      <c r="D519" t="inlineStr">
        <is>
          <t>DALARNAS LÄN</t>
        </is>
      </c>
      <c r="E519" t="inlineStr">
        <is>
          <t>MORA</t>
        </is>
      </c>
      <c r="G519" t="n">
        <v>7.3</v>
      </c>
      <c r="H519" t="n">
        <v>0</v>
      </c>
      <c r="I519" t="n">
        <v>0</v>
      </c>
      <c r="J519" t="n">
        <v>0</v>
      </c>
      <c r="K519" t="n">
        <v>0</v>
      </c>
      <c r="L519" t="n">
        <v>0</v>
      </c>
      <c r="M519" t="n">
        <v>0</v>
      </c>
      <c r="N519" t="n">
        <v>0</v>
      </c>
      <c r="O519" t="n">
        <v>0</v>
      </c>
      <c r="P519" t="n">
        <v>0</v>
      </c>
      <c r="Q519" t="n">
        <v>0</v>
      </c>
      <c r="R519" s="2" t="inlineStr"/>
    </row>
    <row r="520" ht="15" customHeight="1">
      <c r="A520" t="inlineStr">
        <is>
          <t>A 42943-2024</t>
        </is>
      </c>
      <c r="B520" s="1" t="n">
        <v>45567.35359953704</v>
      </c>
      <c r="C520" s="1" t="n">
        <v>45929</v>
      </c>
      <c r="D520" t="inlineStr">
        <is>
          <t>DALARNAS LÄN</t>
        </is>
      </c>
      <c r="E520" t="inlineStr">
        <is>
          <t>MORA</t>
        </is>
      </c>
      <c r="G520" t="n">
        <v>0.5</v>
      </c>
      <c r="H520" t="n">
        <v>0</v>
      </c>
      <c r="I520" t="n">
        <v>0</v>
      </c>
      <c r="J520" t="n">
        <v>0</v>
      </c>
      <c r="K520" t="n">
        <v>0</v>
      </c>
      <c r="L520" t="n">
        <v>0</v>
      </c>
      <c r="M520" t="n">
        <v>0</v>
      </c>
      <c r="N520" t="n">
        <v>0</v>
      </c>
      <c r="O520" t="n">
        <v>0</v>
      </c>
      <c r="P520" t="n">
        <v>0</v>
      </c>
      <c r="Q520" t="n">
        <v>0</v>
      </c>
      <c r="R520" s="2" t="inlineStr"/>
    </row>
    <row r="521" ht="15" customHeight="1">
      <c r="A521" t="inlineStr">
        <is>
          <t>A 56425-2024</t>
        </is>
      </c>
      <c r="B521" s="1" t="n">
        <v>45625.38677083333</v>
      </c>
      <c r="C521" s="1" t="n">
        <v>45929</v>
      </c>
      <c r="D521" t="inlineStr">
        <is>
          <t>DALARNAS LÄN</t>
        </is>
      </c>
      <c r="E521" t="inlineStr">
        <is>
          <t>MORA</t>
        </is>
      </c>
      <c r="G521" t="n">
        <v>2.1</v>
      </c>
      <c r="H521" t="n">
        <v>0</v>
      </c>
      <c r="I521" t="n">
        <v>0</v>
      </c>
      <c r="J521" t="n">
        <v>0</v>
      </c>
      <c r="K521" t="n">
        <v>0</v>
      </c>
      <c r="L521" t="n">
        <v>0</v>
      </c>
      <c r="M521" t="n">
        <v>0</v>
      </c>
      <c r="N521" t="n">
        <v>0</v>
      </c>
      <c r="O521" t="n">
        <v>0</v>
      </c>
      <c r="P521" t="n">
        <v>0</v>
      </c>
      <c r="Q521" t="n">
        <v>0</v>
      </c>
      <c r="R521" s="2" t="inlineStr"/>
    </row>
    <row r="522" ht="15" customHeight="1">
      <c r="A522" t="inlineStr">
        <is>
          <t>A 30819-2024</t>
        </is>
      </c>
      <c r="B522" s="1" t="n">
        <v>45497</v>
      </c>
      <c r="C522" s="1" t="n">
        <v>45929</v>
      </c>
      <c r="D522" t="inlineStr">
        <is>
          <t>DALARNAS LÄN</t>
        </is>
      </c>
      <c r="E522" t="inlineStr">
        <is>
          <t>MORA</t>
        </is>
      </c>
      <c r="G522" t="n">
        <v>2.2</v>
      </c>
      <c r="H522" t="n">
        <v>0</v>
      </c>
      <c r="I522" t="n">
        <v>0</v>
      </c>
      <c r="J522" t="n">
        <v>0</v>
      </c>
      <c r="K522" t="n">
        <v>0</v>
      </c>
      <c r="L522" t="n">
        <v>0</v>
      </c>
      <c r="M522" t="n">
        <v>0</v>
      </c>
      <c r="N522" t="n">
        <v>0</v>
      </c>
      <c r="O522" t="n">
        <v>0</v>
      </c>
      <c r="P522" t="n">
        <v>0</v>
      </c>
      <c r="Q522" t="n">
        <v>0</v>
      </c>
      <c r="R522" s="2" t="inlineStr"/>
    </row>
    <row r="523" ht="15" customHeight="1">
      <c r="A523" t="inlineStr">
        <is>
          <t>A 4489-2022</t>
        </is>
      </c>
      <c r="B523" s="1" t="n">
        <v>44589</v>
      </c>
      <c r="C523" s="1" t="n">
        <v>45929</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5418-2025</t>
        </is>
      </c>
      <c r="B524" s="1" t="n">
        <v>45692.68561342593</v>
      </c>
      <c r="C524" s="1" t="n">
        <v>45929</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19842-2025</t>
        </is>
      </c>
      <c r="B525" s="1" t="n">
        <v>45771.47938657407</v>
      </c>
      <c r="C525" s="1" t="n">
        <v>45929</v>
      </c>
      <c r="D525" t="inlineStr">
        <is>
          <t>DALARNAS LÄN</t>
        </is>
      </c>
      <c r="E525" t="inlineStr">
        <is>
          <t>MORA</t>
        </is>
      </c>
      <c r="G525" t="n">
        <v>1.9</v>
      </c>
      <c r="H525" t="n">
        <v>0</v>
      </c>
      <c r="I525" t="n">
        <v>0</v>
      </c>
      <c r="J525" t="n">
        <v>0</v>
      </c>
      <c r="K525" t="n">
        <v>0</v>
      </c>
      <c r="L525" t="n">
        <v>0</v>
      </c>
      <c r="M525" t="n">
        <v>0</v>
      </c>
      <c r="N525" t="n">
        <v>0</v>
      </c>
      <c r="O525" t="n">
        <v>0</v>
      </c>
      <c r="P525" t="n">
        <v>0</v>
      </c>
      <c r="Q525" t="n">
        <v>0</v>
      </c>
      <c r="R525" s="2" t="inlineStr"/>
    </row>
    <row r="526" ht="15" customHeight="1">
      <c r="A526" t="inlineStr">
        <is>
          <t>A 26546-2025</t>
        </is>
      </c>
      <c r="B526" s="1" t="n">
        <v>45807</v>
      </c>
      <c r="C526" s="1" t="n">
        <v>45929</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26573-2025</t>
        </is>
      </c>
      <c r="B527" s="1" t="n">
        <v>45807</v>
      </c>
      <c r="C527" s="1" t="n">
        <v>45929</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26532-2025</t>
        </is>
      </c>
      <c r="B528" s="1" t="n">
        <v>45807</v>
      </c>
      <c r="C528" s="1" t="n">
        <v>45929</v>
      </c>
      <c r="D528" t="inlineStr">
        <is>
          <t>DALARNAS LÄN</t>
        </is>
      </c>
      <c r="E528" t="inlineStr">
        <is>
          <t>MORA</t>
        </is>
      </c>
      <c r="G528" t="n">
        <v>4.4</v>
      </c>
      <c r="H528" t="n">
        <v>0</v>
      </c>
      <c r="I528" t="n">
        <v>0</v>
      </c>
      <c r="J528" t="n">
        <v>0</v>
      </c>
      <c r="K528" t="n">
        <v>0</v>
      </c>
      <c r="L528" t="n">
        <v>0</v>
      </c>
      <c r="M528" t="n">
        <v>0</v>
      </c>
      <c r="N528" t="n">
        <v>0</v>
      </c>
      <c r="O528" t="n">
        <v>0</v>
      </c>
      <c r="P528" t="n">
        <v>0</v>
      </c>
      <c r="Q528" t="n">
        <v>0</v>
      </c>
      <c r="R528" s="2" t="inlineStr"/>
    </row>
    <row r="529" ht="15" customHeight="1">
      <c r="A529" t="inlineStr">
        <is>
          <t>A 26545-2025</t>
        </is>
      </c>
      <c r="B529" s="1" t="n">
        <v>45807</v>
      </c>
      <c r="C529" s="1" t="n">
        <v>45929</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20885-2024</t>
        </is>
      </c>
      <c r="B530" s="1" t="n">
        <v>45439.45527777778</v>
      </c>
      <c r="C530" s="1" t="n">
        <v>45929</v>
      </c>
      <c r="D530" t="inlineStr">
        <is>
          <t>DALARNAS LÄN</t>
        </is>
      </c>
      <c r="E530" t="inlineStr">
        <is>
          <t>MORA</t>
        </is>
      </c>
      <c r="G530" t="n">
        <v>5</v>
      </c>
      <c r="H530" t="n">
        <v>0</v>
      </c>
      <c r="I530" t="n">
        <v>0</v>
      </c>
      <c r="J530" t="n">
        <v>0</v>
      </c>
      <c r="K530" t="n">
        <v>0</v>
      </c>
      <c r="L530" t="n">
        <v>0</v>
      </c>
      <c r="M530" t="n">
        <v>0</v>
      </c>
      <c r="N530" t="n">
        <v>0</v>
      </c>
      <c r="O530" t="n">
        <v>0</v>
      </c>
      <c r="P530" t="n">
        <v>0</v>
      </c>
      <c r="Q530" t="n">
        <v>0</v>
      </c>
      <c r="R530" s="2" t="inlineStr"/>
    </row>
    <row r="531" ht="15" customHeight="1">
      <c r="A531" t="inlineStr">
        <is>
          <t>A 26630-2025</t>
        </is>
      </c>
      <c r="B531" s="1" t="n">
        <v>45809</v>
      </c>
      <c r="C531" s="1" t="n">
        <v>45929</v>
      </c>
      <c r="D531" t="inlineStr">
        <is>
          <t>DALARNAS LÄN</t>
        </is>
      </c>
      <c r="E531" t="inlineStr">
        <is>
          <t>MORA</t>
        </is>
      </c>
      <c r="G531" t="n">
        <v>32.1</v>
      </c>
      <c r="H531" t="n">
        <v>0</v>
      </c>
      <c r="I531" t="n">
        <v>0</v>
      </c>
      <c r="J531" t="n">
        <v>0</v>
      </c>
      <c r="K531" t="n">
        <v>0</v>
      </c>
      <c r="L531" t="n">
        <v>0</v>
      </c>
      <c r="M531" t="n">
        <v>0</v>
      </c>
      <c r="N531" t="n">
        <v>0</v>
      </c>
      <c r="O531" t="n">
        <v>0</v>
      </c>
      <c r="P531" t="n">
        <v>0</v>
      </c>
      <c r="Q531" t="n">
        <v>0</v>
      </c>
      <c r="R531" s="2" t="inlineStr"/>
    </row>
    <row r="532" ht="15" customHeight="1">
      <c r="A532" t="inlineStr">
        <is>
          <t>A 18134-2025</t>
        </is>
      </c>
      <c r="B532" s="1" t="n">
        <v>45761.60189814815</v>
      </c>
      <c r="C532" s="1" t="n">
        <v>45929</v>
      </c>
      <c r="D532" t="inlineStr">
        <is>
          <t>DALARNAS LÄN</t>
        </is>
      </c>
      <c r="E532" t="inlineStr">
        <is>
          <t>MORA</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26577-2025</t>
        </is>
      </c>
      <c r="B533" s="1" t="n">
        <v>45807</v>
      </c>
      <c r="C533" s="1" t="n">
        <v>45929</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26854-2025</t>
        </is>
      </c>
      <c r="B534" s="1" t="n">
        <v>45810.67462962963</v>
      </c>
      <c r="C534" s="1" t="n">
        <v>45929</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61249-2023</t>
        </is>
      </c>
      <c r="B535" s="1" t="n">
        <v>45264</v>
      </c>
      <c r="C535" s="1" t="n">
        <v>45929</v>
      </c>
      <c r="D535" t="inlineStr">
        <is>
          <t>DALARNAS LÄN</t>
        </is>
      </c>
      <c r="E535" t="inlineStr">
        <is>
          <t>MORA</t>
        </is>
      </c>
      <c r="F535" t="inlineStr">
        <is>
          <t>Allmännings- och besparingsskogar</t>
        </is>
      </c>
      <c r="G535" t="n">
        <v>1.7</v>
      </c>
      <c r="H535" t="n">
        <v>0</v>
      </c>
      <c r="I535" t="n">
        <v>0</v>
      </c>
      <c r="J535" t="n">
        <v>0</v>
      </c>
      <c r="K535" t="n">
        <v>0</v>
      </c>
      <c r="L535" t="n">
        <v>0</v>
      </c>
      <c r="M535" t="n">
        <v>0</v>
      </c>
      <c r="N535" t="n">
        <v>0</v>
      </c>
      <c r="O535" t="n">
        <v>0</v>
      </c>
      <c r="P535" t="n">
        <v>0</v>
      </c>
      <c r="Q535" t="n">
        <v>0</v>
      </c>
      <c r="R535" s="2" t="inlineStr"/>
    </row>
    <row r="536" ht="15" customHeight="1">
      <c r="A536" t="inlineStr">
        <is>
          <t>A 26731-2025</t>
        </is>
      </c>
      <c r="B536" s="1" t="n">
        <v>45810.50702546296</v>
      </c>
      <c r="C536" s="1" t="n">
        <v>45929</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48522-2024</t>
        </is>
      </c>
      <c r="B537" s="1" t="n">
        <v>45593.32924768519</v>
      </c>
      <c r="C537" s="1" t="n">
        <v>45929</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26711-2025</t>
        </is>
      </c>
      <c r="B538" s="1" t="n">
        <v>45810.46144675926</v>
      </c>
      <c r="C538" s="1" t="n">
        <v>45929</v>
      </c>
      <c r="D538" t="inlineStr">
        <is>
          <t>DALARNAS LÄN</t>
        </is>
      </c>
      <c r="E538" t="inlineStr">
        <is>
          <t>MORA</t>
        </is>
      </c>
      <c r="G538" t="n">
        <v>0.5</v>
      </c>
      <c r="H538" t="n">
        <v>0</v>
      </c>
      <c r="I538" t="n">
        <v>0</v>
      </c>
      <c r="J538" t="n">
        <v>0</v>
      </c>
      <c r="K538" t="n">
        <v>0</v>
      </c>
      <c r="L538" t="n">
        <v>0</v>
      </c>
      <c r="M538" t="n">
        <v>0</v>
      </c>
      <c r="N538" t="n">
        <v>0</v>
      </c>
      <c r="O538" t="n">
        <v>0</v>
      </c>
      <c r="P538" t="n">
        <v>0</v>
      </c>
      <c r="Q538" t="n">
        <v>0</v>
      </c>
      <c r="R538" s="2" t="inlineStr"/>
    </row>
    <row r="539" ht="15" customHeight="1">
      <c r="A539" t="inlineStr">
        <is>
          <t>A 16733-2024</t>
        </is>
      </c>
      <c r="B539" s="1" t="n">
        <v>45410.78502314815</v>
      </c>
      <c r="C539" s="1" t="n">
        <v>45929</v>
      </c>
      <c r="D539" t="inlineStr">
        <is>
          <t>DALARNAS LÄN</t>
        </is>
      </c>
      <c r="E539" t="inlineStr">
        <is>
          <t>MORA</t>
        </is>
      </c>
      <c r="G539" t="n">
        <v>6.3</v>
      </c>
      <c r="H539" t="n">
        <v>0</v>
      </c>
      <c r="I539" t="n">
        <v>0</v>
      </c>
      <c r="J539" t="n">
        <v>0</v>
      </c>
      <c r="K539" t="n">
        <v>0</v>
      </c>
      <c r="L539" t="n">
        <v>0</v>
      </c>
      <c r="M539" t="n">
        <v>0</v>
      </c>
      <c r="N539" t="n">
        <v>0</v>
      </c>
      <c r="O539" t="n">
        <v>0</v>
      </c>
      <c r="P539" t="n">
        <v>0</v>
      </c>
      <c r="Q539" t="n">
        <v>0</v>
      </c>
      <c r="R539" s="2" t="inlineStr"/>
    </row>
    <row r="540" ht="15" customHeight="1">
      <c r="A540" t="inlineStr">
        <is>
          <t>A 53159-2024</t>
        </is>
      </c>
      <c r="B540" s="1" t="n">
        <v>45611.63849537037</v>
      </c>
      <c r="C540" s="1" t="n">
        <v>45929</v>
      </c>
      <c r="D540" t="inlineStr">
        <is>
          <t>DALARNAS LÄN</t>
        </is>
      </c>
      <c r="E540" t="inlineStr">
        <is>
          <t>MORA</t>
        </is>
      </c>
      <c r="G540" t="n">
        <v>3.3</v>
      </c>
      <c r="H540" t="n">
        <v>0</v>
      </c>
      <c r="I540" t="n">
        <v>0</v>
      </c>
      <c r="J540" t="n">
        <v>0</v>
      </c>
      <c r="K540" t="n">
        <v>0</v>
      </c>
      <c r="L540" t="n">
        <v>0</v>
      </c>
      <c r="M540" t="n">
        <v>0</v>
      </c>
      <c r="N540" t="n">
        <v>0</v>
      </c>
      <c r="O540" t="n">
        <v>0</v>
      </c>
      <c r="P540" t="n">
        <v>0</v>
      </c>
      <c r="Q540" t="n">
        <v>0</v>
      </c>
      <c r="R540" s="2" t="inlineStr"/>
    </row>
    <row r="541" ht="15" customHeight="1">
      <c r="A541" t="inlineStr">
        <is>
          <t>A 68415-2021</t>
        </is>
      </c>
      <c r="B541" s="1" t="n">
        <v>44529</v>
      </c>
      <c r="C541" s="1" t="n">
        <v>45929</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60187-2024</t>
        </is>
      </c>
      <c r="B542" s="1" t="n">
        <v>45642.64803240741</v>
      </c>
      <c r="C542" s="1" t="n">
        <v>45929</v>
      </c>
      <c r="D542" t="inlineStr">
        <is>
          <t>DALARNAS LÄN</t>
        </is>
      </c>
      <c r="E542" t="inlineStr">
        <is>
          <t>MORA</t>
        </is>
      </c>
      <c r="F542" t="inlineStr">
        <is>
          <t>Allmännings- och besparingsskogar</t>
        </is>
      </c>
      <c r="G542" t="n">
        <v>24.6</v>
      </c>
      <c r="H542" t="n">
        <v>0</v>
      </c>
      <c r="I542" t="n">
        <v>0</v>
      </c>
      <c r="J542" t="n">
        <v>0</v>
      </c>
      <c r="K542" t="n">
        <v>0</v>
      </c>
      <c r="L542" t="n">
        <v>0</v>
      </c>
      <c r="M542" t="n">
        <v>0</v>
      </c>
      <c r="N542" t="n">
        <v>0</v>
      </c>
      <c r="O542" t="n">
        <v>0</v>
      </c>
      <c r="P542" t="n">
        <v>0</v>
      </c>
      <c r="Q542" t="n">
        <v>0</v>
      </c>
      <c r="R542" s="2" t="inlineStr"/>
    </row>
    <row r="543" ht="15" customHeight="1">
      <c r="A543" t="inlineStr">
        <is>
          <t>A 15435-2024</t>
        </is>
      </c>
      <c r="B543" s="1" t="n">
        <v>45401.40806712963</v>
      </c>
      <c r="C543" s="1" t="n">
        <v>45929</v>
      </c>
      <c r="D543" t="inlineStr">
        <is>
          <t>DALARNAS LÄN</t>
        </is>
      </c>
      <c r="E543" t="inlineStr">
        <is>
          <t>MORA</t>
        </is>
      </c>
      <c r="G543" t="n">
        <v>2.1</v>
      </c>
      <c r="H543" t="n">
        <v>0</v>
      </c>
      <c r="I543" t="n">
        <v>0</v>
      </c>
      <c r="J543" t="n">
        <v>0</v>
      </c>
      <c r="K543" t="n">
        <v>0</v>
      </c>
      <c r="L543" t="n">
        <v>0</v>
      </c>
      <c r="M543" t="n">
        <v>0</v>
      </c>
      <c r="N543" t="n">
        <v>0</v>
      </c>
      <c r="O543" t="n">
        <v>0</v>
      </c>
      <c r="P543" t="n">
        <v>0</v>
      </c>
      <c r="Q543" t="n">
        <v>0</v>
      </c>
      <c r="R543" s="2" t="inlineStr"/>
    </row>
    <row r="544" ht="15" customHeight="1">
      <c r="A544" t="inlineStr">
        <is>
          <t>A 51965-2024</t>
        </is>
      </c>
      <c r="B544" s="1" t="n">
        <v>45607.65123842593</v>
      </c>
      <c r="C544" s="1" t="n">
        <v>45929</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27177-2025</t>
        </is>
      </c>
      <c r="B545" s="1" t="n">
        <v>45812.3533912037</v>
      </c>
      <c r="C545" s="1" t="n">
        <v>45929</v>
      </c>
      <c r="D545" t="inlineStr">
        <is>
          <t>DALARNAS LÄN</t>
        </is>
      </c>
      <c r="E545" t="inlineStr">
        <is>
          <t>MORA</t>
        </is>
      </c>
      <c r="F545" t="inlineStr">
        <is>
          <t>Bergvik skog öst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27194-2025</t>
        </is>
      </c>
      <c r="B546" s="1" t="n">
        <v>45812.37965277778</v>
      </c>
      <c r="C546" s="1" t="n">
        <v>45929</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14611-2025</t>
        </is>
      </c>
      <c r="B547" s="1" t="n">
        <v>45742.38511574074</v>
      </c>
      <c r="C547" s="1" t="n">
        <v>45929</v>
      </c>
      <c r="D547" t="inlineStr">
        <is>
          <t>DALARNAS LÄN</t>
        </is>
      </c>
      <c r="E547" t="inlineStr">
        <is>
          <t>MORA</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27175-2025</t>
        </is>
      </c>
      <c r="B548" s="1" t="n">
        <v>45812.35072916667</v>
      </c>
      <c r="C548" s="1" t="n">
        <v>45929</v>
      </c>
      <c r="D548" t="inlineStr">
        <is>
          <t>DALARNAS LÄN</t>
        </is>
      </c>
      <c r="E548" t="inlineStr">
        <is>
          <t>MORA</t>
        </is>
      </c>
      <c r="F548" t="inlineStr">
        <is>
          <t>Bergvik skog öst AB</t>
        </is>
      </c>
      <c r="G548" t="n">
        <v>4</v>
      </c>
      <c r="H548" t="n">
        <v>0</v>
      </c>
      <c r="I548" t="n">
        <v>0</v>
      </c>
      <c r="J548" t="n">
        <v>0</v>
      </c>
      <c r="K548" t="n">
        <v>0</v>
      </c>
      <c r="L548" t="n">
        <v>0</v>
      </c>
      <c r="M548" t="n">
        <v>0</v>
      </c>
      <c r="N548" t="n">
        <v>0</v>
      </c>
      <c r="O548" t="n">
        <v>0</v>
      </c>
      <c r="P548" t="n">
        <v>0</v>
      </c>
      <c r="Q548" t="n">
        <v>0</v>
      </c>
      <c r="R548" s="2" t="inlineStr"/>
    </row>
    <row r="549" ht="15" customHeight="1">
      <c r="A549" t="inlineStr">
        <is>
          <t>A 7565-2025</t>
        </is>
      </c>
      <c r="B549" s="1" t="n">
        <v>45705.59269675926</v>
      </c>
      <c r="C549" s="1" t="n">
        <v>45929</v>
      </c>
      <c r="D549" t="inlineStr">
        <is>
          <t>DALARNAS LÄN</t>
        </is>
      </c>
      <c r="E549" t="inlineStr">
        <is>
          <t>MORA</t>
        </is>
      </c>
      <c r="G549" t="n">
        <v>3</v>
      </c>
      <c r="H549" t="n">
        <v>0</v>
      </c>
      <c r="I549" t="n">
        <v>0</v>
      </c>
      <c r="J549" t="n">
        <v>0</v>
      </c>
      <c r="K549" t="n">
        <v>0</v>
      </c>
      <c r="L549" t="n">
        <v>0</v>
      </c>
      <c r="M549" t="n">
        <v>0</v>
      </c>
      <c r="N549" t="n">
        <v>0</v>
      </c>
      <c r="O549" t="n">
        <v>0</v>
      </c>
      <c r="P549" t="n">
        <v>0</v>
      </c>
      <c r="Q549" t="n">
        <v>0</v>
      </c>
      <c r="R549" s="2" t="inlineStr"/>
    </row>
    <row r="550" ht="15" customHeight="1">
      <c r="A550" t="inlineStr">
        <is>
          <t>A 27184-2025</t>
        </is>
      </c>
      <c r="B550" s="1" t="n">
        <v>45812.36133101852</v>
      </c>
      <c r="C550" s="1" t="n">
        <v>45929</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17268-2025</t>
        </is>
      </c>
      <c r="B551" s="1" t="n">
        <v>45756</v>
      </c>
      <c r="C551" s="1" t="n">
        <v>45929</v>
      </c>
      <c r="D551" t="inlineStr">
        <is>
          <t>DALARNAS LÄN</t>
        </is>
      </c>
      <c r="E551" t="inlineStr">
        <is>
          <t>MORA</t>
        </is>
      </c>
      <c r="G551" t="n">
        <v>6.8</v>
      </c>
      <c r="H551" t="n">
        <v>0</v>
      </c>
      <c r="I551" t="n">
        <v>0</v>
      </c>
      <c r="J551" t="n">
        <v>0</v>
      </c>
      <c r="K551" t="n">
        <v>0</v>
      </c>
      <c r="L551" t="n">
        <v>0</v>
      </c>
      <c r="M551" t="n">
        <v>0</v>
      </c>
      <c r="N551" t="n">
        <v>0</v>
      </c>
      <c r="O551" t="n">
        <v>0</v>
      </c>
      <c r="P551" t="n">
        <v>0</v>
      </c>
      <c r="Q551" t="n">
        <v>0</v>
      </c>
      <c r="R551" s="2" t="inlineStr"/>
    </row>
    <row r="552" ht="15" customHeight="1">
      <c r="A552" t="inlineStr">
        <is>
          <t>A 27642-2025</t>
        </is>
      </c>
      <c r="B552" s="1" t="n">
        <v>45813.59405092592</v>
      </c>
      <c r="C552" s="1" t="n">
        <v>45929</v>
      </c>
      <c r="D552" t="inlineStr">
        <is>
          <t>DALARNAS LÄN</t>
        </is>
      </c>
      <c r="E552" t="inlineStr">
        <is>
          <t>MORA</t>
        </is>
      </c>
      <c r="G552" t="n">
        <v>2.5</v>
      </c>
      <c r="H552" t="n">
        <v>0</v>
      </c>
      <c r="I552" t="n">
        <v>0</v>
      </c>
      <c r="J552" t="n">
        <v>0</v>
      </c>
      <c r="K552" t="n">
        <v>0</v>
      </c>
      <c r="L552" t="n">
        <v>0</v>
      </c>
      <c r="M552" t="n">
        <v>0</v>
      </c>
      <c r="N552" t="n">
        <v>0</v>
      </c>
      <c r="O552" t="n">
        <v>0</v>
      </c>
      <c r="P552" t="n">
        <v>0</v>
      </c>
      <c r="Q552" t="n">
        <v>0</v>
      </c>
      <c r="R552" s="2" t="inlineStr"/>
    </row>
    <row r="553" ht="15" customHeight="1">
      <c r="A553" t="inlineStr">
        <is>
          <t>A 42391-2023</t>
        </is>
      </c>
      <c r="B553" s="1" t="n">
        <v>45180</v>
      </c>
      <c r="C553" s="1" t="n">
        <v>45929</v>
      </c>
      <c r="D553" t="inlineStr">
        <is>
          <t>DALARNAS LÄN</t>
        </is>
      </c>
      <c r="E553" t="inlineStr">
        <is>
          <t>MORA</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28033-2025</t>
        </is>
      </c>
      <c r="B554" s="1" t="n">
        <v>45817.6325462963</v>
      </c>
      <c r="C554" s="1" t="n">
        <v>45929</v>
      </c>
      <c r="D554" t="inlineStr">
        <is>
          <t>DALARNAS LÄN</t>
        </is>
      </c>
      <c r="E554" t="inlineStr">
        <is>
          <t>MORA</t>
        </is>
      </c>
      <c r="F554" t="inlineStr">
        <is>
          <t>Bergvik skog öst AB</t>
        </is>
      </c>
      <c r="G554" t="n">
        <v>12.8</v>
      </c>
      <c r="H554" t="n">
        <v>0</v>
      </c>
      <c r="I554" t="n">
        <v>0</v>
      </c>
      <c r="J554" t="n">
        <v>0</v>
      </c>
      <c r="K554" t="n">
        <v>0</v>
      </c>
      <c r="L554" t="n">
        <v>0</v>
      </c>
      <c r="M554" t="n">
        <v>0</v>
      </c>
      <c r="N554" t="n">
        <v>0</v>
      </c>
      <c r="O554" t="n">
        <v>0</v>
      </c>
      <c r="P554" t="n">
        <v>0</v>
      </c>
      <c r="Q554" t="n">
        <v>0</v>
      </c>
      <c r="R554" s="2" t="inlineStr"/>
    </row>
    <row r="555" ht="15" customHeight="1">
      <c r="A555" t="inlineStr">
        <is>
          <t>A 2865-2022</t>
        </is>
      </c>
      <c r="B555" s="1" t="n">
        <v>44581</v>
      </c>
      <c r="C555" s="1" t="n">
        <v>45929</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28751-2025</t>
        </is>
      </c>
      <c r="B556" s="1" t="n">
        <v>45820.40034722222</v>
      </c>
      <c r="C556" s="1" t="n">
        <v>45929</v>
      </c>
      <c r="D556" t="inlineStr">
        <is>
          <t>DALARNAS LÄN</t>
        </is>
      </c>
      <c r="E556" t="inlineStr">
        <is>
          <t>MORA</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28925-2025</t>
        </is>
      </c>
      <c r="B557" s="1" t="n">
        <v>45820.67107638889</v>
      </c>
      <c r="C557" s="1" t="n">
        <v>45929</v>
      </c>
      <c r="D557" t="inlineStr">
        <is>
          <t>DALARNAS LÄN</t>
        </is>
      </c>
      <c r="E557" t="inlineStr">
        <is>
          <t>MORA</t>
        </is>
      </c>
      <c r="G557" t="n">
        <v>3.7</v>
      </c>
      <c r="H557" t="n">
        <v>0</v>
      </c>
      <c r="I557" t="n">
        <v>0</v>
      </c>
      <c r="J557" t="n">
        <v>0</v>
      </c>
      <c r="K557" t="n">
        <v>0</v>
      </c>
      <c r="L557" t="n">
        <v>0</v>
      </c>
      <c r="M557" t="n">
        <v>0</v>
      </c>
      <c r="N557" t="n">
        <v>0</v>
      </c>
      <c r="O557" t="n">
        <v>0</v>
      </c>
      <c r="P557" t="n">
        <v>0</v>
      </c>
      <c r="Q557" t="n">
        <v>0</v>
      </c>
      <c r="R557" s="2" t="inlineStr"/>
    </row>
    <row r="558" ht="15" customHeight="1">
      <c r="A558" t="inlineStr">
        <is>
          <t>A 28927-2025</t>
        </is>
      </c>
      <c r="B558" s="1" t="n">
        <v>45820.67221064815</v>
      </c>
      <c r="C558" s="1" t="n">
        <v>45929</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28924-2025</t>
        </is>
      </c>
      <c r="B559" s="1" t="n">
        <v>45820.66846064815</v>
      </c>
      <c r="C559" s="1" t="n">
        <v>45929</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25345-2025</t>
        </is>
      </c>
      <c r="B560" s="1" t="n">
        <v>45799</v>
      </c>
      <c r="C560" s="1" t="n">
        <v>45929</v>
      </c>
      <c r="D560" t="inlineStr">
        <is>
          <t>DALARNAS LÄN</t>
        </is>
      </c>
      <c r="E560" t="inlineStr">
        <is>
          <t>MORA</t>
        </is>
      </c>
      <c r="G560" t="n">
        <v>3.1</v>
      </c>
      <c r="H560" t="n">
        <v>0</v>
      </c>
      <c r="I560" t="n">
        <v>0</v>
      </c>
      <c r="J560" t="n">
        <v>0</v>
      </c>
      <c r="K560" t="n">
        <v>0</v>
      </c>
      <c r="L560" t="n">
        <v>0</v>
      </c>
      <c r="M560" t="n">
        <v>0</v>
      </c>
      <c r="N560" t="n">
        <v>0</v>
      </c>
      <c r="O560" t="n">
        <v>0</v>
      </c>
      <c r="P560" t="n">
        <v>0</v>
      </c>
      <c r="Q560" t="n">
        <v>0</v>
      </c>
      <c r="R560" s="2" t="inlineStr"/>
    </row>
    <row r="561" ht="15" customHeight="1">
      <c r="A561" t="inlineStr">
        <is>
          <t>A 29425-2025</t>
        </is>
      </c>
      <c r="B561" s="1" t="n">
        <v>45824.64524305556</v>
      </c>
      <c r="C561" s="1" t="n">
        <v>45929</v>
      </c>
      <c r="D561" t="inlineStr">
        <is>
          <t>DALARNAS LÄN</t>
        </is>
      </c>
      <c r="E561" t="inlineStr">
        <is>
          <t>MORA</t>
        </is>
      </c>
      <c r="G561" t="n">
        <v>4.4</v>
      </c>
      <c r="H561" t="n">
        <v>0</v>
      </c>
      <c r="I561" t="n">
        <v>0</v>
      </c>
      <c r="J561" t="n">
        <v>0</v>
      </c>
      <c r="K561" t="n">
        <v>0</v>
      </c>
      <c r="L561" t="n">
        <v>0</v>
      </c>
      <c r="M561" t="n">
        <v>0</v>
      </c>
      <c r="N561" t="n">
        <v>0</v>
      </c>
      <c r="O561" t="n">
        <v>0</v>
      </c>
      <c r="P561" t="n">
        <v>0</v>
      </c>
      <c r="Q561" t="n">
        <v>0</v>
      </c>
      <c r="R561" s="2" t="inlineStr"/>
    </row>
    <row r="562" ht="15" customHeight="1">
      <c r="A562" t="inlineStr">
        <is>
          <t>A 28976-2025</t>
        </is>
      </c>
      <c r="B562" s="1" t="n">
        <v>45821.34855324074</v>
      </c>
      <c r="C562" s="1" t="n">
        <v>45929</v>
      </c>
      <c r="D562" t="inlineStr">
        <is>
          <t>DALARNAS LÄN</t>
        </is>
      </c>
      <c r="E562" t="inlineStr">
        <is>
          <t>MORA</t>
        </is>
      </c>
      <c r="F562" t="inlineStr">
        <is>
          <t>Bergvik skog öst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29440-2025</t>
        </is>
      </c>
      <c r="B563" s="1" t="n">
        <v>45824.65862268519</v>
      </c>
      <c r="C563" s="1" t="n">
        <v>45929</v>
      </c>
      <c r="D563" t="inlineStr">
        <is>
          <t>DALARNAS LÄN</t>
        </is>
      </c>
      <c r="E563" t="inlineStr">
        <is>
          <t>MORA</t>
        </is>
      </c>
      <c r="G563" t="n">
        <v>1.7</v>
      </c>
      <c r="H563" t="n">
        <v>0</v>
      </c>
      <c r="I563" t="n">
        <v>0</v>
      </c>
      <c r="J563" t="n">
        <v>0</v>
      </c>
      <c r="K563" t="n">
        <v>0</v>
      </c>
      <c r="L563" t="n">
        <v>0</v>
      </c>
      <c r="M563" t="n">
        <v>0</v>
      </c>
      <c r="N563" t="n">
        <v>0</v>
      </c>
      <c r="O563" t="n">
        <v>0</v>
      </c>
      <c r="P563" t="n">
        <v>0</v>
      </c>
      <c r="Q563" t="n">
        <v>0</v>
      </c>
      <c r="R563" s="2" t="inlineStr"/>
    </row>
    <row r="564" ht="15" customHeight="1">
      <c r="A564" t="inlineStr">
        <is>
          <t>A 29068-2025</t>
        </is>
      </c>
      <c r="B564" s="1" t="n">
        <v>45821.50900462963</v>
      </c>
      <c r="C564" s="1" t="n">
        <v>45929</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45349-2024</t>
        </is>
      </c>
      <c r="B565" s="1" t="n">
        <v>45576</v>
      </c>
      <c r="C565" s="1" t="n">
        <v>45929</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29870-2025</t>
        </is>
      </c>
      <c r="B566" s="1" t="n">
        <v>45826.35716435185</v>
      </c>
      <c r="C566" s="1" t="n">
        <v>45929</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29873-2025</t>
        </is>
      </c>
      <c r="B567" s="1" t="n">
        <v>45826</v>
      </c>
      <c r="C567" s="1" t="n">
        <v>45929</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29528-2025</t>
        </is>
      </c>
      <c r="B568" s="1" t="n">
        <v>45825.34322916667</v>
      </c>
      <c r="C568" s="1" t="n">
        <v>45929</v>
      </c>
      <c r="D568" t="inlineStr">
        <is>
          <t>DALARNAS LÄN</t>
        </is>
      </c>
      <c r="E568" t="inlineStr">
        <is>
          <t>MORA</t>
        </is>
      </c>
      <c r="G568" t="n">
        <v>2.2</v>
      </c>
      <c r="H568" t="n">
        <v>0</v>
      </c>
      <c r="I568" t="n">
        <v>0</v>
      </c>
      <c r="J568" t="n">
        <v>0</v>
      </c>
      <c r="K568" t="n">
        <v>0</v>
      </c>
      <c r="L568" t="n">
        <v>0</v>
      </c>
      <c r="M568" t="n">
        <v>0</v>
      </c>
      <c r="N568" t="n">
        <v>0</v>
      </c>
      <c r="O568" t="n">
        <v>0</v>
      </c>
      <c r="P568" t="n">
        <v>0</v>
      </c>
      <c r="Q568" t="n">
        <v>0</v>
      </c>
      <c r="R568" s="2" t="inlineStr"/>
    </row>
    <row r="569" ht="15" customHeight="1">
      <c r="A569" t="inlineStr">
        <is>
          <t>A 57408-2024</t>
        </is>
      </c>
      <c r="B569" s="1" t="n">
        <v>45629</v>
      </c>
      <c r="C569" s="1" t="n">
        <v>45929</v>
      </c>
      <c r="D569" t="inlineStr">
        <is>
          <t>DALARNAS LÄN</t>
        </is>
      </c>
      <c r="E569" t="inlineStr">
        <is>
          <t>MORA</t>
        </is>
      </c>
      <c r="F569" t="inlineStr">
        <is>
          <t>Allmännings- och besparingsskogar</t>
        </is>
      </c>
      <c r="G569" t="n">
        <v>2.5</v>
      </c>
      <c r="H569" t="n">
        <v>0</v>
      </c>
      <c r="I569" t="n">
        <v>0</v>
      </c>
      <c r="J569" t="n">
        <v>0</v>
      </c>
      <c r="K569" t="n">
        <v>0</v>
      </c>
      <c r="L569" t="n">
        <v>0</v>
      </c>
      <c r="M569" t="n">
        <v>0</v>
      </c>
      <c r="N569" t="n">
        <v>0</v>
      </c>
      <c r="O569" t="n">
        <v>0</v>
      </c>
      <c r="P569" t="n">
        <v>0</v>
      </c>
      <c r="Q569" t="n">
        <v>0</v>
      </c>
      <c r="R569" s="2" t="inlineStr"/>
    </row>
    <row r="570" ht="15" customHeight="1">
      <c r="A570" t="inlineStr">
        <is>
          <t>A 30087-2025</t>
        </is>
      </c>
      <c r="B570" s="1" t="n">
        <v>45826.6575</v>
      </c>
      <c r="C570" s="1" t="n">
        <v>45929</v>
      </c>
      <c r="D570" t="inlineStr">
        <is>
          <t>DALARNAS LÄN</t>
        </is>
      </c>
      <c r="E570" t="inlineStr">
        <is>
          <t>MORA</t>
        </is>
      </c>
      <c r="G570" t="n">
        <v>1.6</v>
      </c>
      <c r="H570" t="n">
        <v>0</v>
      </c>
      <c r="I570" t="n">
        <v>0</v>
      </c>
      <c r="J570" t="n">
        <v>0</v>
      </c>
      <c r="K570" t="n">
        <v>0</v>
      </c>
      <c r="L570" t="n">
        <v>0</v>
      </c>
      <c r="M570" t="n">
        <v>0</v>
      </c>
      <c r="N570" t="n">
        <v>0</v>
      </c>
      <c r="O570" t="n">
        <v>0</v>
      </c>
      <c r="P570" t="n">
        <v>0</v>
      </c>
      <c r="Q570" t="n">
        <v>0</v>
      </c>
      <c r="R570" s="2" t="inlineStr"/>
    </row>
    <row r="571" ht="15" customHeight="1">
      <c r="A571" t="inlineStr">
        <is>
          <t>A 46412-2024</t>
        </is>
      </c>
      <c r="B571" s="1" t="n">
        <v>45582.44894675926</v>
      </c>
      <c r="C571" s="1" t="n">
        <v>45929</v>
      </c>
      <c r="D571" t="inlineStr">
        <is>
          <t>DALARNAS LÄN</t>
        </is>
      </c>
      <c r="E571" t="inlineStr">
        <is>
          <t>MORA</t>
        </is>
      </c>
      <c r="G571" t="n">
        <v>4.1</v>
      </c>
      <c r="H571" t="n">
        <v>0</v>
      </c>
      <c r="I571" t="n">
        <v>0</v>
      </c>
      <c r="J571" t="n">
        <v>0</v>
      </c>
      <c r="K571" t="n">
        <v>0</v>
      </c>
      <c r="L571" t="n">
        <v>0</v>
      </c>
      <c r="M571" t="n">
        <v>0</v>
      </c>
      <c r="N571" t="n">
        <v>0</v>
      </c>
      <c r="O571" t="n">
        <v>0</v>
      </c>
      <c r="P571" t="n">
        <v>0</v>
      </c>
      <c r="Q571" t="n">
        <v>0</v>
      </c>
      <c r="R571" s="2" t="inlineStr"/>
    </row>
    <row r="572" ht="15" customHeight="1">
      <c r="A572" t="inlineStr">
        <is>
          <t>A 50685-2023</t>
        </is>
      </c>
      <c r="B572" s="1" t="n">
        <v>45210</v>
      </c>
      <c r="C572" s="1" t="n">
        <v>45929</v>
      </c>
      <c r="D572" t="inlineStr">
        <is>
          <t>DALARNAS LÄN</t>
        </is>
      </c>
      <c r="E572" t="inlineStr">
        <is>
          <t>MORA</t>
        </is>
      </c>
      <c r="G572" t="n">
        <v>1.7</v>
      </c>
      <c r="H572" t="n">
        <v>0</v>
      </c>
      <c r="I572" t="n">
        <v>0</v>
      </c>
      <c r="J572" t="n">
        <v>0</v>
      </c>
      <c r="K572" t="n">
        <v>0</v>
      </c>
      <c r="L572" t="n">
        <v>0</v>
      </c>
      <c r="M572" t="n">
        <v>0</v>
      </c>
      <c r="N572" t="n">
        <v>0</v>
      </c>
      <c r="O572" t="n">
        <v>0</v>
      </c>
      <c r="P572" t="n">
        <v>0</v>
      </c>
      <c r="Q572" t="n">
        <v>0</v>
      </c>
      <c r="R572" s="2" t="inlineStr"/>
    </row>
    <row r="573" ht="15" customHeight="1">
      <c r="A573" t="inlineStr">
        <is>
          <t>A 50759-2023</t>
        </is>
      </c>
      <c r="B573" s="1" t="n">
        <v>45217.60914351852</v>
      </c>
      <c r="C573" s="1" t="n">
        <v>45929</v>
      </c>
      <c r="D573" t="inlineStr">
        <is>
          <t>DALARNAS LÄN</t>
        </is>
      </c>
      <c r="E573" t="inlineStr">
        <is>
          <t>MORA</t>
        </is>
      </c>
      <c r="G573" t="n">
        <v>5.3</v>
      </c>
      <c r="H573" t="n">
        <v>0</v>
      </c>
      <c r="I573" t="n">
        <v>0</v>
      </c>
      <c r="J573" t="n">
        <v>0</v>
      </c>
      <c r="K573" t="n">
        <v>0</v>
      </c>
      <c r="L573" t="n">
        <v>0</v>
      </c>
      <c r="M573" t="n">
        <v>0</v>
      </c>
      <c r="N573" t="n">
        <v>0</v>
      </c>
      <c r="O573" t="n">
        <v>0</v>
      </c>
      <c r="P573" t="n">
        <v>0</v>
      </c>
      <c r="Q573" t="n">
        <v>0</v>
      </c>
      <c r="R573" s="2" t="inlineStr"/>
    </row>
    <row r="574" ht="15" customHeight="1">
      <c r="A574" t="inlineStr">
        <is>
          <t>A 30166-2025</t>
        </is>
      </c>
      <c r="B574" s="1" t="n">
        <v>45827.33116898148</v>
      </c>
      <c r="C574" s="1" t="n">
        <v>45929</v>
      </c>
      <c r="D574" t="inlineStr">
        <is>
          <t>DALARNAS LÄN</t>
        </is>
      </c>
      <c r="E574" t="inlineStr">
        <is>
          <t>MORA</t>
        </is>
      </c>
      <c r="G574" t="n">
        <v>1.3</v>
      </c>
      <c r="H574" t="n">
        <v>0</v>
      </c>
      <c r="I574" t="n">
        <v>0</v>
      </c>
      <c r="J574" t="n">
        <v>0</v>
      </c>
      <c r="K574" t="n">
        <v>0</v>
      </c>
      <c r="L574" t="n">
        <v>0</v>
      </c>
      <c r="M574" t="n">
        <v>0</v>
      </c>
      <c r="N574" t="n">
        <v>0</v>
      </c>
      <c r="O574" t="n">
        <v>0</v>
      </c>
      <c r="P574" t="n">
        <v>0</v>
      </c>
      <c r="Q574" t="n">
        <v>0</v>
      </c>
      <c r="R574" s="2" t="inlineStr"/>
    </row>
    <row r="575" ht="15" customHeight="1">
      <c r="A575" t="inlineStr">
        <is>
          <t>A 43964-2024</t>
        </is>
      </c>
      <c r="B575" s="1" t="n">
        <v>45572.48407407408</v>
      </c>
      <c r="C575" s="1" t="n">
        <v>45929</v>
      </c>
      <c r="D575" t="inlineStr">
        <is>
          <t>DALARNAS LÄN</t>
        </is>
      </c>
      <c r="E575" t="inlineStr">
        <is>
          <t>MORA</t>
        </is>
      </c>
      <c r="G575" t="n">
        <v>0.9</v>
      </c>
      <c r="H575" t="n">
        <v>0</v>
      </c>
      <c r="I575" t="n">
        <v>0</v>
      </c>
      <c r="J575" t="n">
        <v>0</v>
      </c>
      <c r="K575" t="n">
        <v>0</v>
      </c>
      <c r="L575" t="n">
        <v>0</v>
      </c>
      <c r="M575" t="n">
        <v>0</v>
      </c>
      <c r="N575" t="n">
        <v>0</v>
      </c>
      <c r="O575" t="n">
        <v>0</v>
      </c>
      <c r="P575" t="n">
        <v>0</v>
      </c>
      <c r="Q575" t="n">
        <v>0</v>
      </c>
      <c r="R575" s="2" t="inlineStr"/>
    </row>
    <row r="576" ht="15" customHeight="1">
      <c r="A576" t="inlineStr">
        <is>
          <t>A 30507-2025</t>
        </is>
      </c>
      <c r="B576" s="1" t="n">
        <v>45831.24760416667</v>
      </c>
      <c r="C576" s="1" t="n">
        <v>45929</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30858-2025</t>
        </is>
      </c>
      <c r="B577" s="1" t="n">
        <v>45831.92416666666</v>
      </c>
      <c r="C577" s="1" t="n">
        <v>45929</v>
      </c>
      <c r="D577" t="inlineStr">
        <is>
          <t>DALARNAS LÄN</t>
        </is>
      </c>
      <c r="E577" t="inlineStr">
        <is>
          <t>MORA</t>
        </is>
      </c>
      <c r="G577" t="n">
        <v>2.9</v>
      </c>
      <c r="H577" t="n">
        <v>0</v>
      </c>
      <c r="I577" t="n">
        <v>0</v>
      </c>
      <c r="J577" t="n">
        <v>0</v>
      </c>
      <c r="K577" t="n">
        <v>0</v>
      </c>
      <c r="L577" t="n">
        <v>0</v>
      </c>
      <c r="M577" t="n">
        <v>0</v>
      </c>
      <c r="N577" t="n">
        <v>0</v>
      </c>
      <c r="O577" t="n">
        <v>0</v>
      </c>
      <c r="P577" t="n">
        <v>0</v>
      </c>
      <c r="Q577" t="n">
        <v>0</v>
      </c>
      <c r="R577" s="2" t="inlineStr"/>
    </row>
    <row r="578" ht="15" customHeight="1">
      <c r="A578" t="inlineStr">
        <is>
          <t>A 30859-2025</t>
        </is>
      </c>
      <c r="B578" s="1" t="n">
        <v>45831.93105324074</v>
      </c>
      <c r="C578" s="1" t="n">
        <v>45929</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30989-2025</t>
        </is>
      </c>
      <c r="B579" s="1" t="n">
        <v>45832.48185185185</v>
      </c>
      <c r="C579" s="1" t="n">
        <v>45929</v>
      </c>
      <c r="D579" t="inlineStr">
        <is>
          <t>DALARNAS LÄN</t>
        </is>
      </c>
      <c r="E579" t="inlineStr">
        <is>
          <t>MORA</t>
        </is>
      </c>
      <c r="F579" t="inlineStr">
        <is>
          <t>Bergvik skog öst AB</t>
        </is>
      </c>
      <c r="G579" t="n">
        <v>4.1</v>
      </c>
      <c r="H579" t="n">
        <v>0</v>
      </c>
      <c r="I579" t="n">
        <v>0</v>
      </c>
      <c r="J579" t="n">
        <v>0</v>
      </c>
      <c r="K579" t="n">
        <v>0</v>
      </c>
      <c r="L579" t="n">
        <v>0</v>
      </c>
      <c r="M579" t="n">
        <v>0</v>
      </c>
      <c r="N579" t="n">
        <v>0</v>
      </c>
      <c r="O579" t="n">
        <v>0</v>
      </c>
      <c r="P579" t="n">
        <v>0</v>
      </c>
      <c r="Q579" t="n">
        <v>0</v>
      </c>
      <c r="R579" s="2" t="inlineStr"/>
    </row>
    <row r="580" ht="15" customHeight="1">
      <c r="A580" t="inlineStr">
        <is>
          <t>A 30509-2025</t>
        </is>
      </c>
      <c r="B580" s="1" t="n">
        <v>45831.25519675926</v>
      </c>
      <c r="C580" s="1" t="n">
        <v>45929</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39511-2024</t>
        </is>
      </c>
      <c r="B581" s="1" t="n">
        <v>45551.68347222222</v>
      </c>
      <c r="C581" s="1" t="n">
        <v>45929</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37695-2024</t>
        </is>
      </c>
      <c r="B582" s="1" t="n">
        <v>45541.61094907407</v>
      </c>
      <c r="C582" s="1" t="n">
        <v>45929</v>
      </c>
      <c r="D582" t="inlineStr">
        <is>
          <t>DALARNAS LÄN</t>
        </is>
      </c>
      <c r="E582" t="inlineStr">
        <is>
          <t>MORA</t>
        </is>
      </c>
      <c r="G582" t="n">
        <v>19.7</v>
      </c>
      <c r="H582" t="n">
        <v>0</v>
      </c>
      <c r="I582" t="n">
        <v>0</v>
      </c>
      <c r="J582" t="n">
        <v>0</v>
      </c>
      <c r="K582" t="n">
        <v>0</v>
      </c>
      <c r="L582" t="n">
        <v>0</v>
      </c>
      <c r="M582" t="n">
        <v>0</v>
      </c>
      <c r="N582" t="n">
        <v>0</v>
      </c>
      <c r="O582" t="n">
        <v>0</v>
      </c>
      <c r="P582" t="n">
        <v>0</v>
      </c>
      <c r="Q582" t="n">
        <v>0</v>
      </c>
      <c r="R582" s="2" t="inlineStr"/>
    </row>
    <row r="583" ht="15" customHeight="1">
      <c r="A583" t="inlineStr">
        <is>
          <t>A 56834-2024</t>
        </is>
      </c>
      <c r="B583" s="1" t="n">
        <v>45628.49931712963</v>
      </c>
      <c r="C583" s="1" t="n">
        <v>45929</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31849-2025</t>
        </is>
      </c>
      <c r="B584" s="1" t="n">
        <v>45834.60525462963</v>
      </c>
      <c r="C584" s="1" t="n">
        <v>45929</v>
      </c>
      <c r="D584" t="inlineStr">
        <is>
          <t>DALARNAS LÄN</t>
        </is>
      </c>
      <c r="E584" t="inlineStr">
        <is>
          <t>MORA</t>
        </is>
      </c>
      <c r="G584" t="n">
        <v>3.9</v>
      </c>
      <c r="H584" t="n">
        <v>0</v>
      </c>
      <c r="I584" t="n">
        <v>0</v>
      </c>
      <c r="J584" t="n">
        <v>0</v>
      </c>
      <c r="K584" t="n">
        <v>0</v>
      </c>
      <c r="L584" t="n">
        <v>0</v>
      </c>
      <c r="M584" t="n">
        <v>0</v>
      </c>
      <c r="N584" t="n">
        <v>0</v>
      </c>
      <c r="O584" t="n">
        <v>0</v>
      </c>
      <c r="P584" t="n">
        <v>0</v>
      </c>
      <c r="Q584" t="n">
        <v>0</v>
      </c>
      <c r="R584" s="2" t="inlineStr"/>
    </row>
    <row r="585" ht="15" customHeight="1">
      <c r="A585" t="inlineStr">
        <is>
          <t>A 31846-2025</t>
        </is>
      </c>
      <c r="B585" s="1" t="n">
        <v>45834.60209490741</v>
      </c>
      <c r="C585" s="1" t="n">
        <v>45929</v>
      </c>
      <c r="D585" t="inlineStr">
        <is>
          <t>DALARNAS LÄN</t>
        </is>
      </c>
      <c r="E585" t="inlineStr">
        <is>
          <t>MORA</t>
        </is>
      </c>
      <c r="G585" t="n">
        <v>3.6</v>
      </c>
      <c r="H585" t="n">
        <v>0</v>
      </c>
      <c r="I585" t="n">
        <v>0</v>
      </c>
      <c r="J585" t="n">
        <v>0</v>
      </c>
      <c r="K585" t="n">
        <v>0</v>
      </c>
      <c r="L585" t="n">
        <v>0</v>
      </c>
      <c r="M585" t="n">
        <v>0</v>
      </c>
      <c r="N585" t="n">
        <v>0</v>
      </c>
      <c r="O585" t="n">
        <v>0</v>
      </c>
      <c r="P585" t="n">
        <v>0</v>
      </c>
      <c r="Q585" t="n">
        <v>0</v>
      </c>
      <c r="R585" s="2" t="inlineStr"/>
    </row>
    <row r="586" ht="15" customHeight="1">
      <c r="A586" t="inlineStr">
        <is>
          <t>A 8068-2024</t>
        </is>
      </c>
      <c r="B586" s="1" t="n">
        <v>45351.41524305556</v>
      </c>
      <c r="C586" s="1" t="n">
        <v>45929</v>
      </c>
      <c r="D586" t="inlineStr">
        <is>
          <t>DALARNAS LÄN</t>
        </is>
      </c>
      <c r="E586" t="inlineStr">
        <is>
          <t>MORA</t>
        </is>
      </c>
      <c r="G586" t="n">
        <v>6.4</v>
      </c>
      <c r="H586" t="n">
        <v>0</v>
      </c>
      <c r="I586" t="n">
        <v>0</v>
      </c>
      <c r="J586" t="n">
        <v>0</v>
      </c>
      <c r="K586" t="n">
        <v>0</v>
      </c>
      <c r="L586" t="n">
        <v>0</v>
      </c>
      <c r="M586" t="n">
        <v>0</v>
      </c>
      <c r="N586" t="n">
        <v>0</v>
      </c>
      <c r="O586" t="n">
        <v>0</v>
      </c>
      <c r="P586" t="n">
        <v>0</v>
      </c>
      <c r="Q586" t="n">
        <v>0</v>
      </c>
      <c r="R586" s="2" t="inlineStr"/>
    </row>
    <row r="587" ht="15" customHeight="1">
      <c r="A587" t="inlineStr">
        <is>
          <t>A 31842-2025</t>
        </is>
      </c>
      <c r="B587" s="1" t="n">
        <v>45834.59822916667</v>
      </c>
      <c r="C587" s="1" t="n">
        <v>45929</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43863-2023</t>
        </is>
      </c>
      <c r="B588" s="1" t="n">
        <v>45187.62532407408</v>
      </c>
      <c r="C588" s="1" t="n">
        <v>45929</v>
      </c>
      <c r="D588" t="inlineStr">
        <is>
          <t>DALARNAS LÄN</t>
        </is>
      </c>
      <c r="E588" t="inlineStr">
        <is>
          <t>MORA</t>
        </is>
      </c>
      <c r="F588" t="inlineStr">
        <is>
          <t>Bergvik skog väst AB</t>
        </is>
      </c>
      <c r="G588" t="n">
        <v>3.9</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45147.33251157407</v>
      </c>
      <c r="C589" s="1" t="n">
        <v>45929</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31112-2024</t>
        </is>
      </c>
      <c r="B590" s="1" t="n">
        <v>45502.55185185185</v>
      </c>
      <c r="C590" s="1" t="n">
        <v>45929</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44205-2023</t>
        </is>
      </c>
      <c r="B591" s="1" t="n">
        <v>45188</v>
      </c>
      <c r="C591" s="1" t="n">
        <v>45929</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32852-2025</t>
        </is>
      </c>
      <c r="B592" s="1" t="n">
        <v>45839.57559027777</v>
      </c>
      <c r="C592" s="1" t="n">
        <v>45929</v>
      </c>
      <c r="D592" t="inlineStr">
        <is>
          <t>DALARNAS LÄN</t>
        </is>
      </c>
      <c r="E592" t="inlineStr">
        <is>
          <t>MORA</t>
        </is>
      </c>
      <c r="G592" t="n">
        <v>1.7</v>
      </c>
      <c r="H592" t="n">
        <v>0</v>
      </c>
      <c r="I592" t="n">
        <v>0</v>
      </c>
      <c r="J592" t="n">
        <v>0</v>
      </c>
      <c r="K592" t="n">
        <v>0</v>
      </c>
      <c r="L592" t="n">
        <v>0</v>
      </c>
      <c r="M592" t="n">
        <v>0</v>
      </c>
      <c r="N592" t="n">
        <v>0</v>
      </c>
      <c r="O592" t="n">
        <v>0</v>
      </c>
      <c r="P592" t="n">
        <v>0</v>
      </c>
      <c r="Q592" t="n">
        <v>0</v>
      </c>
      <c r="R592" s="2" t="inlineStr"/>
    </row>
    <row r="593" ht="15" customHeight="1">
      <c r="A593" t="inlineStr">
        <is>
          <t>A 33443-2025</t>
        </is>
      </c>
      <c r="B593" s="1" t="n">
        <v>45841</v>
      </c>
      <c r="C593" s="1" t="n">
        <v>45929</v>
      </c>
      <c r="D593" t="inlineStr">
        <is>
          <t>DALARNAS LÄN</t>
        </is>
      </c>
      <c r="E593" t="inlineStr">
        <is>
          <t>MORA</t>
        </is>
      </c>
      <c r="G593" t="n">
        <v>2.7</v>
      </c>
      <c r="H593" t="n">
        <v>0</v>
      </c>
      <c r="I593" t="n">
        <v>0</v>
      </c>
      <c r="J593" t="n">
        <v>0</v>
      </c>
      <c r="K593" t="n">
        <v>0</v>
      </c>
      <c r="L593" t="n">
        <v>0</v>
      </c>
      <c r="M593" t="n">
        <v>0</v>
      </c>
      <c r="N593" t="n">
        <v>0</v>
      </c>
      <c r="O593" t="n">
        <v>0</v>
      </c>
      <c r="P593" t="n">
        <v>0</v>
      </c>
      <c r="Q593" t="n">
        <v>0</v>
      </c>
      <c r="R593" s="2" t="inlineStr"/>
    </row>
    <row r="594" ht="15" customHeight="1">
      <c r="A594" t="inlineStr">
        <is>
          <t>A 51168-2024</t>
        </is>
      </c>
      <c r="B594" s="1" t="n">
        <v>45603.58619212963</v>
      </c>
      <c r="C594" s="1" t="n">
        <v>45929</v>
      </c>
      <c r="D594" t="inlineStr">
        <is>
          <t>DALARNAS LÄN</t>
        </is>
      </c>
      <c r="E594" t="inlineStr">
        <is>
          <t>MORA</t>
        </is>
      </c>
      <c r="G594" t="n">
        <v>3</v>
      </c>
      <c r="H594" t="n">
        <v>0</v>
      </c>
      <c r="I594" t="n">
        <v>0</v>
      </c>
      <c r="J594" t="n">
        <v>0</v>
      </c>
      <c r="K594" t="n">
        <v>0</v>
      </c>
      <c r="L594" t="n">
        <v>0</v>
      </c>
      <c r="M594" t="n">
        <v>0</v>
      </c>
      <c r="N594" t="n">
        <v>0</v>
      </c>
      <c r="O594" t="n">
        <v>0</v>
      </c>
      <c r="P594" t="n">
        <v>0</v>
      </c>
      <c r="Q594" t="n">
        <v>0</v>
      </c>
      <c r="R594" s="2" t="inlineStr"/>
    </row>
    <row r="595" ht="15" customHeight="1">
      <c r="A595" t="inlineStr">
        <is>
          <t>A 18214-2024</t>
        </is>
      </c>
      <c r="B595" s="1" t="n">
        <v>45420</v>
      </c>
      <c r="C595" s="1" t="n">
        <v>45929</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16522-2024</t>
        </is>
      </c>
      <c r="B596" s="1" t="n">
        <v>45408.41166666667</v>
      </c>
      <c r="C596" s="1" t="n">
        <v>45929</v>
      </c>
      <c r="D596" t="inlineStr">
        <is>
          <t>DALARNAS LÄN</t>
        </is>
      </c>
      <c r="E596" t="inlineStr">
        <is>
          <t>MORA</t>
        </is>
      </c>
      <c r="G596" t="n">
        <v>11.2</v>
      </c>
      <c r="H596" t="n">
        <v>0</v>
      </c>
      <c r="I596" t="n">
        <v>0</v>
      </c>
      <c r="J596" t="n">
        <v>0</v>
      </c>
      <c r="K596" t="n">
        <v>0</v>
      </c>
      <c r="L596" t="n">
        <v>0</v>
      </c>
      <c r="M596" t="n">
        <v>0</v>
      </c>
      <c r="N596" t="n">
        <v>0</v>
      </c>
      <c r="O596" t="n">
        <v>0</v>
      </c>
      <c r="P596" t="n">
        <v>0</v>
      </c>
      <c r="Q596" t="n">
        <v>0</v>
      </c>
      <c r="R596" s="2" t="inlineStr"/>
    </row>
    <row r="597" ht="15" customHeight="1">
      <c r="A597" t="inlineStr">
        <is>
          <t>A 55120-2024</t>
        </is>
      </c>
      <c r="B597" s="1" t="n">
        <v>45621.45765046297</v>
      </c>
      <c r="C597" s="1" t="n">
        <v>45929</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34005-2025</t>
        </is>
      </c>
      <c r="B598" s="1" t="n">
        <v>45844.58890046296</v>
      </c>
      <c r="C598" s="1" t="n">
        <v>45929</v>
      </c>
      <c r="D598" t="inlineStr">
        <is>
          <t>DALARNAS LÄN</t>
        </is>
      </c>
      <c r="E598" t="inlineStr">
        <is>
          <t>MORA</t>
        </is>
      </c>
      <c r="G598" t="n">
        <v>7.2</v>
      </c>
      <c r="H598" t="n">
        <v>0</v>
      </c>
      <c r="I598" t="n">
        <v>0</v>
      </c>
      <c r="J598" t="n">
        <v>0</v>
      </c>
      <c r="K598" t="n">
        <v>0</v>
      </c>
      <c r="L598" t="n">
        <v>0</v>
      </c>
      <c r="M598" t="n">
        <v>0</v>
      </c>
      <c r="N598" t="n">
        <v>0</v>
      </c>
      <c r="O598" t="n">
        <v>0</v>
      </c>
      <c r="P598" t="n">
        <v>0</v>
      </c>
      <c r="Q598" t="n">
        <v>0</v>
      </c>
      <c r="R598" s="2" t="inlineStr"/>
    </row>
    <row r="599" ht="15" customHeight="1">
      <c r="A599" t="inlineStr">
        <is>
          <t>A 43873-2024</t>
        </is>
      </c>
      <c r="B599" s="1" t="n">
        <v>45572.38429398148</v>
      </c>
      <c r="C599" s="1" t="n">
        <v>45929</v>
      </c>
      <c r="D599" t="inlineStr">
        <is>
          <t>DALARNAS LÄN</t>
        </is>
      </c>
      <c r="E599" t="inlineStr">
        <is>
          <t>MORA</t>
        </is>
      </c>
      <c r="G599" t="n">
        <v>4.1</v>
      </c>
      <c r="H599" t="n">
        <v>0</v>
      </c>
      <c r="I599" t="n">
        <v>0</v>
      </c>
      <c r="J599" t="n">
        <v>0</v>
      </c>
      <c r="K599" t="n">
        <v>0</v>
      </c>
      <c r="L599" t="n">
        <v>0</v>
      </c>
      <c r="M599" t="n">
        <v>0</v>
      </c>
      <c r="N599" t="n">
        <v>0</v>
      </c>
      <c r="O599" t="n">
        <v>0</v>
      </c>
      <c r="P599" t="n">
        <v>0</v>
      </c>
      <c r="Q599" t="n">
        <v>0</v>
      </c>
      <c r="R599" s="2" t="inlineStr"/>
    </row>
    <row r="600" ht="15" customHeight="1">
      <c r="A600" t="inlineStr">
        <is>
          <t>A 34382-2025</t>
        </is>
      </c>
      <c r="B600" s="1" t="n">
        <v>45846</v>
      </c>
      <c r="C600" s="1" t="n">
        <v>45929</v>
      </c>
      <c r="D600" t="inlineStr">
        <is>
          <t>DALARNAS LÄN</t>
        </is>
      </c>
      <c r="E600" t="inlineStr">
        <is>
          <t>MORA</t>
        </is>
      </c>
      <c r="G600" t="n">
        <v>0.7</v>
      </c>
      <c r="H600" t="n">
        <v>0</v>
      </c>
      <c r="I600" t="n">
        <v>0</v>
      </c>
      <c r="J600" t="n">
        <v>0</v>
      </c>
      <c r="K600" t="n">
        <v>0</v>
      </c>
      <c r="L600" t="n">
        <v>0</v>
      </c>
      <c r="M600" t="n">
        <v>0</v>
      </c>
      <c r="N600" t="n">
        <v>0</v>
      </c>
      <c r="O600" t="n">
        <v>0</v>
      </c>
      <c r="P600" t="n">
        <v>0</v>
      </c>
      <c r="Q600" t="n">
        <v>0</v>
      </c>
      <c r="R600" s="2" t="inlineStr"/>
    </row>
    <row r="601" ht="15" customHeight="1">
      <c r="A601" t="inlineStr">
        <is>
          <t>A 34182-2025</t>
        </is>
      </c>
      <c r="B601" s="1" t="n">
        <v>45845.60520833333</v>
      </c>
      <c r="C601" s="1" t="n">
        <v>45929</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46152-2023</t>
        </is>
      </c>
      <c r="B602" s="1" t="n">
        <v>45196.58278935185</v>
      </c>
      <c r="C602" s="1" t="n">
        <v>45929</v>
      </c>
      <c r="D602" t="inlineStr">
        <is>
          <t>DALARNAS LÄN</t>
        </is>
      </c>
      <c r="E602" t="inlineStr">
        <is>
          <t>MORA</t>
        </is>
      </c>
      <c r="G602" t="n">
        <v>2</v>
      </c>
      <c r="H602" t="n">
        <v>0</v>
      </c>
      <c r="I602" t="n">
        <v>0</v>
      </c>
      <c r="J602" t="n">
        <v>0</v>
      </c>
      <c r="K602" t="n">
        <v>0</v>
      </c>
      <c r="L602" t="n">
        <v>0</v>
      </c>
      <c r="M602" t="n">
        <v>0</v>
      </c>
      <c r="N602" t="n">
        <v>0</v>
      </c>
      <c r="O602" t="n">
        <v>0</v>
      </c>
      <c r="P602" t="n">
        <v>0</v>
      </c>
      <c r="Q602" t="n">
        <v>0</v>
      </c>
      <c r="R602" s="2" t="inlineStr"/>
    </row>
    <row r="603" ht="15" customHeight="1">
      <c r="A603" t="inlineStr">
        <is>
          <t>A 34482-2025</t>
        </is>
      </c>
      <c r="B603" s="1" t="n">
        <v>45847.38469907407</v>
      </c>
      <c r="C603" s="1" t="n">
        <v>45929</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42035-2022</t>
        </is>
      </c>
      <c r="B604" s="1" t="n">
        <v>44830</v>
      </c>
      <c r="C604" s="1" t="n">
        <v>45929</v>
      </c>
      <c r="D604" t="inlineStr">
        <is>
          <t>DALARNAS LÄN</t>
        </is>
      </c>
      <c r="E604" t="inlineStr">
        <is>
          <t>MORA</t>
        </is>
      </c>
      <c r="G604" t="n">
        <v>2.7</v>
      </c>
      <c r="H604" t="n">
        <v>0</v>
      </c>
      <c r="I604" t="n">
        <v>0</v>
      </c>
      <c r="J604" t="n">
        <v>0</v>
      </c>
      <c r="K604" t="n">
        <v>0</v>
      </c>
      <c r="L604" t="n">
        <v>0</v>
      </c>
      <c r="M604" t="n">
        <v>0</v>
      </c>
      <c r="N604" t="n">
        <v>0</v>
      </c>
      <c r="O604" t="n">
        <v>0</v>
      </c>
      <c r="P604" t="n">
        <v>0</v>
      </c>
      <c r="Q604" t="n">
        <v>0</v>
      </c>
      <c r="R604" s="2" t="inlineStr"/>
    </row>
    <row r="605" ht="15" customHeight="1">
      <c r="A605" t="inlineStr">
        <is>
          <t>A 39456-2025</t>
        </is>
      </c>
      <c r="B605" s="1" t="n">
        <v>45889.76200231481</v>
      </c>
      <c r="C605" s="1" t="n">
        <v>45929</v>
      </c>
      <c r="D605" t="inlineStr">
        <is>
          <t>DALARNAS LÄN</t>
        </is>
      </c>
      <c r="E605" t="inlineStr">
        <is>
          <t>MORA</t>
        </is>
      </c>
      <c r="F605" t="inlineStr">
        <is>
          <t>Bergvik skog öst AB</t>
        </is>
      </c>
      <c r="G605" t="n">
        <v>16.7</v>
      </c>
      <c r="H605" t="n">
        <v>0</v>
      </c>
      <c r="I605" t="n">
        <v>0</v>
      </c>
      <c r="J605" t="n">
        <v>0</v>
      </c>
      <c r="K605" t="n">
        <v>0</v>
      </c>
      <c r="L605" t="n">
        <v>0</v>
      </c>
      <c r="M605" t="n">
        <v>0</v>
      </c>
      <c r="N605" t="n">
        <v>0</v>
      </c>
      <c r="O605" t="n">
        <v>0</v>
      </c>
      <c r="P605" t="n">
        <v>0</v>
      </c>
      <c r="Q605" t="n">
        <v>0</v>
      </c>
      <c r="R605" s="2" t="inlineStr"/>
    </row>
    <row r="606" ht="15" customHeight="1">
      <c r="A606" t="inlineStr">
        <is>
          <t>A 5980-2025</t>
        </is>
      </c>
      <c r="B606" s="1" t="n">
        <v>45695.54651620371</v>
      </c>
      <c r="C606" s="1" t="n">
        <v>45929</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40147-2025</t>
        </is>
      </c>
      <c r="B607" s="1" t="n">
        <v>45894.57918981482</v>
      </c>
      <c r="C607" s="1" t="n">
        <v>45929</v>
      </c>
      <c r="D607" t="inlineStr">
        <is>
          <t>DALARNAS LÄN</t>
        </is>
      </c>
      <c r="E607" t="inlineStr">
        <is>
          <t>MORA</t>
        </is>
      </c>
      <c r="G607" t="n">
        <v>1.4</v>
      </c>
      <c r="H607" t="n">
        <v>0</v>
      </c>
      <c r="I607" t="n">
        <v>0</v>
      </c>
      <c r="J607" t="n">
        <v>0</v>
      </c>
      <c r="K607" t="n">
        <v>0</v>
      </c>
      <c r="L607" t="n">
        <v>0</v>
      </c>
      <c r="M607" t="n">
        <v>0</v>
      </c>
      <c r="N607" t="n">
        <v>0</v>
      </c>
      <c r="O607" t="n">
        <v>0</v>
      </c>
      <c r="P607" t="n">
        <v>0</v>
      </c>
      <c r="Q607" t="n">
        <v>0</v>
      </c>
      <c r="R607" s="2" t="inlineStr"/>
    </row>
    <row r="608" ht="15" customHeight="1">
      <c r="A608" t="inlineStr">
        <is>
          <t>A 9599-2022</t>
        </is>
      </c>
      <c r="B608" s="1" t="n">
        <v>44617.48909722222</v>
      </c>
      <c r="C608" s="1" t="n">
        <v>45929</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51883-2024</t>
        </is>
      </c>
      <c r="B609" s="1" t="n">
        <v>45607</v>
      </c>
      <c r="C609" s="1" t="n">
        <v>45929</v>
      </c>
      <c r="D609" t="inlineStr">
        <is>
          <t>DALARNAS LÄN</t>
        </is>
      </c>
      <c r="E609" t="inlineStr">
        <is>
          <t>MORA</t>
        </is>
      </c>
      <c r="G609" t="n">
        <v>0.2</v>
      </c>
      <c r="H609" t="n">
        <v>0</v>
      </c>
      <c r="I609" t="n">
        <v>0</v>
      </c>
      <c r="J609" t="n">
        <v>0</v>
      </c>
      <c r="K609" t="n">
        <v>0</v>
      </c>
      <c r="L609" t="n">
        <v>0</v>
      </c>
      <c r="M609" t="n">
        <v>0</v>
      </c>
      <c r="N609" t="n">
        <v>0</v>
      </c>
      <c r="O609" t="n">
        <v>0</v>
      </c>
      <c r="P609" t="n">
        <v>0</v>
      </c>
      <c r="Q609" t="n">
        <v>0</v>
      </c>
      <c r="R609" s="2" t="inlineStr"/>
    </row>
    <row r="610" ht="15" customHeight="1">
      <c r="A610" t="inlineStr">
        <is>
          <t>A 34933-2025</t>
        </is>
      </c>
      <c r="B610" s="1" t="n">
        <v>45849.57297453703</v>
      </c>
      <c r="C610" s="1" t="n">
        <v>45929</v>
      </c>
      <c r="D610" t="inlineStr">
        <is>
          <t>DALARNAS LÄN</t>
        </is>
      </c>
      <c r="E610" t="inlineStr">
        <is>
          <t>MORA</t>
        </is>
      </c>
      <c r="F610" t="inlineStr">
        <is>
          <t>Bergvik skog väst AB</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51888-2024</t>
        </is>
      </c>
      <c r="B611" s="1" t="n">
        <v>45607.57142361111</v>
      </c>
      <c r="C611" s="1" t="n">
        <v>45929</v>
      </c>
      <c r="D611" t="inlineStr">
        <is>
          <t>DALARNAS LÄN</t>
        </is>
      </c>
      <c r="E611" t="inlineStr">
        <is>
          <t>MORA</t>
        </is>
      </c>
      <c r="G611" t="n">
        <v>0.9</v>
      </c>
      <c r="H611" t="n">
        <v>0</v>
      </c>
      <c r="I611" t="n">
        <v>0</v>
      </c>
      <c r="J611" t="n">
        <v>0</v>
      </c>
      <c r="K611" t="n">
        <v>0</v>
      </c>
      <c r="L611" t="n">
        <v>0</v>
      </c>
      <c r="M611" t="n">
        <v>0</v>
      </c>
      <c r="N611" t="n">
        <v>0</v>
      </c>
      <c r="O611" t="n">
        <v>0</v>
      </c>
      <c r="P611" t="n">
        <v>0</v>
      </c>
      <c r="Q611" t="n">
        <v>0</v>
      </c>
      <c r="R611" s="2" t="inlineStr"/>
    </row>
    <row r="612" ht="15" customHeight="1">
      <c r="A612" t="inlineStr">
        <is>
          <t>A 40140-2025</t>
        </is>
      </c>
      <c r="B612" s="1" t="n">
        <v>45894.57016203704</v>
      </c>
      <c r="C612" s="1" t="n">
        <v>45929</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40142-2025</t>
        </is>
      </c>
      <c r="B613" s="1" t="n">
        <v>45894.57202546296</v>
      </c>
      <c r="C613" s="1" t="n">
        <v>45929</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39787-2025</t>
        </is>
      </c>
      <c r="B614" s="1" t="n">
        <v>45891</v>
      </c>
      <c r="C614" s="1" t="n">
        <v>45929</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45162.68787037037</v>
      </c>
      <c r="C615" s="1" t="n">
        <v>45929</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16637-2025</t>
        </is>
      </c>
      <c r="B616" s="1" t="n">
        <v>45754.36738425926</v>
      </c>
      <c r="C616" s="1" t="n">
        <v>45929</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48570-2022</t>
        </is>
      </c>
      <c r="B617" s="1" t="n">
        <v>44859</v>
      </c>
      <c r="C617" s="1" t="n">
        <v>45929</v>
      </c>
      <c r="D617" t="inlineStr">
        <is>
          <t>DALARNAS LÄN</t>
        </is>
      </c>
      <c r="E617" t="inlineStr">
        <is>
          <t>MORA</t>
        </is>
      </c>
      <c r="G617" t="n">
        <v>6.2</v>
      </c>
      <c r="H617" t="n">
        <v>0</v>
      </c>
      <c r="I617" t="n">
        <v>0</v>
      </c>
      <c r="J617" t="n">
        <v>0</v>
      </c>
      <c r="K617" t="n">
        <v>0</v>
      </c>
      <c r="L617" t="n">
        <v>0</v>
      </c>
      <c r="M617" t="n">
        <v>0</v>
      </c>
      <c r="N617" t="n">
        <v>0</v>
      </c>
      <c r="O617" t="n">
        <v>0</v>
      </c>
      <c r="P617" t="n">
        <v>0</v>
      </c>
      <c r="Q617" t="n">
        <v>0</v>
      </c>
      <c r="R617" s="2" t="inlineStr"/>
    </row>
    <row r="618" ht="15" customHeight="1">
      <c r="A618" t="inlineStr">
        <is>
          <t>A 49991-2023</t>
        </is>
      </c>
      <c r="B618" s="1" t="n">
        <v>45215.43879629629</v>
      </c>
      <c r="C618" s="1" t="n">
        <v>45929</v>
      </c>
      <c r="D618" t="inlineStr">
        <is>
          <t>DALARNAS LÄN</t>
        </is>
      </c>
      <c r="E618" t="inlineStr">
        <is>
          <t>MORA</t>
        </is>
      </c>
      <c r="G618" t="n">
        <v>1.8</v>
      </c>
      <c r="H618" t="n">
        <v>0</v>
      </c>
      <c r="I618" t="n">
        <v>0</v>
      </c>
      <c r="J618" t="n">
        <v>0</v>
      </c>
      <c r="K618" t="n">
        <v>0</v>
      </c>
      <c r="L618" t="n">
        <v>0</v>
      </c>
      <c r="M618" t="n">
        <v>0</v>
      </c>
      <c r="N618" t="n">
        <v>0</v>
      </c>
      <c r="O618" t="n">
        <v>0</v>
      </c>
      <c r="P618" t="n">
        <v>0</v>
      </c>
      <c r="Q618" t="n">
        <v>0</v>
      </c>
      <c r="R618" s="2" t="inlineStr"/>
    </row>
    <row r="619" ht="15" customHeight="1">
      <c r="A619" t="inlineStr">
        <is>
          <t>A 62268-2020</t>
        </is>
      </c>
      <c r="B619" s="1" t="n">
        <v>44160</v>
      </c>
      <c r="C619" s="1" t="n">
        <v>45929</v>
      </c>
      <c r="D619" t="inlineStr">
        <is>
          <t>DALARNAS LÄN</t>
        </is>
      </c>
      <c r="E619" t="inlineStr">
        <is>
          <t>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20401-2022</t>
        </is>
      </c>
      <c r="B620" s="1" t="n">
        <v>44699</v>
      </c>
      <c r="C620" s="1" t="n">
        <v>45929</v>
      </c>
      <c r="D620" t="inlineStr">
        <is>
          <t>DALARNAS LÄN</t>
        </is>
      </c>
      <c r="E620" t="inlineStr">
        <is>
          <t>MORA</t>
        </is>
      </c>
      <c r="G620" t="n">
        <v>3.2</v>
      </c>
      <c r="H620" t="n">
        <v>0</v>
      </c>
      <c r="I620" t="n">
        <v>0</v>
      </c>
      <c r="J620" t="n">
        <v>0</v>
      </c>
      <c r="K620" t="n">
        <v>0</v>
      </c>
      <c r="L620" t="n">
        <v>0</v>
      </c>
      <c r="M620" t="n">
        <v>0</v>
      </c>
      <c r="N620" t="n">
        <v>0</v>
      </c>
      <c r="O620" t="n">
        <v>0</v>
      </c>
      <c r="P620" t="n">
        <v>0</v>
      </c>
      <c r="Q620" t="n">
        <v>0</v>
      </c>
      <c r="R620" s="2" t="inlineStr"/>
    </row>
    <row r="621" ht="15" customHeight="1">
      <c r="A621" t="inlineStr">
        <is>
          <t>A 18120-2025</t>
        </is>
      </c>
      <c r="B621" s="1" t="n">
        <v>45761</v>
      </c>
      <c r="C621" s="1" t="n">
        <v>45929</v>
      </c>
      <c r="D621" t="inlineStr">
        <is>
          <t>DALARNAS LÄN</t>
        </is>
      </c>
      <c r="E621" t="inlineStr">
        <is>
          <t>MORA</t>
        </is>
      </c>
      <c r="F621" t="inlineStr">
        <is>
          <t>Bergvik skog väst AB</t>
        </is>
      </c>
      <c r="G621" t="n">
        <v>6.4</v>
      </c>
      <c r="H621" t="n">
        <v>0</v>
      </c>
      <c r="I621" t="n">
        <v>0</v>
      </c>
      <c r="J621" t="n">
        <v>0</v>
      </c>
      <c r="K621" t="n">
        <v>0</v>
      </c>
      <c r="L621" t="n">
        <v>0</v>
      </c>
      <c r="M621" t="n">
        <v>0</v>
      </c>
      <c r="N621" t="n">
        <v>0</v>
      </c>
      <c r="O621" t="n">
        <v>0</v>
      </c>
      <c r="P621" t="n">
        <v>0</v>
      </c>
      <c r="Q621" t="n">
        <v>0</v>
      </c>
      <c r="R621" s="2" t="inlineStr"/>
    </row>
    <row r="622" ht="15" customHeight="1">
      <c r="A622" t="inlineStr">
        <is>
          <t>A 18127-2025</t>
        </is>
      </c>
      <c r="B622" s="1" t="n">
        <v>45761.59523148148</v>
      </c>
      <c r="C622" s="1" t="n">
        <v>45929</v>
      </c>
      <c r="D622" t="inlineStr">
        <is>
          <t>DALARNAS LÄN</t>
        </is>
      </c>
      <c r="E622" t="inlineStr">
        <is>
          <t>MORA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25887-2023</t>
        </is>
      </c>
      <c r="B623" s="1" t="n">
        <v>45090.62493055555</v>
      </c>
      <c r="C623" s="1" t="n">
        <v>45929</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20544-2025</t>
        </is>
      </c>
      <c r="B624" s="1" t="n">
        <v>45775.63119212963</v>
      </c>
      <c r="C624" s="1" t="n">
        <v>45929</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36740-2023</t>
        </is>
      </c>
      <c r="B625" s="1" t="n">
        <v>45153</v>
      </c>
      <c r="C625" s="1" t="n">
        <v>45929</v>
      </c>
      <c r="D625" t="inlineStr">
        <is>
          <t>DALARNAS LÄN</t>
        </is>
      </c>
      <c r="E625" t="inlineStr">
        <is>
          <t>MORA</t>
        </is>
      </c>
      <c r="G625" t="n">
        <v>0.2</v>
      </c>
      <c r="H625" t="n">
        <v>0</v>
      </c>
      <c r="I625" t="n">
        <v>0</v>
      </c>
      <c r="J625" t="n">
        <v>0</v>
      </c>
      <c r="K625" t="n">
        <v>0</v>
      </c>
      <c r="L625" t="n">
        <v>0</v>
      </c>
      <c r="M625" t="n">
        <v>0</v>
      </c>
      <c r="N625" t="n">
        <v>0</v>
      </c>
      <c r="O625" t="n">
        <v>0</v>
      </c>
      <c r="P625" t="n">
        <v>0</v>
      </c>
      <c r="Q625" t="n">
        <v>0</v>
      </c>
      <c r="R625" s="2" t="inlineStr"/>
    </row>
    <row r="626" ht="15" customHeight="1">
      <c r="A626" t="inlineStr">
        <is>
          <t>A 48342-2023</t>
        </is>
      </c>
      <c r="B626" s="1" t="n">
        <v>45205</v>
      </c>
      <c r="C626" s="1" t="n">
        <v>45929</v>
      </c>
      <c r="D626" t="inlineStr">
        <is>
          <t>DALARNAS LÄN</t>
        </is>
      </c>
      <c r="E626" t="inlineStr">
        <is>
          <t>MORA</t>
        </is>
      </c>
      <c r="G626" t="n">
        <v>1</v>
      </c>
      <c r="H626" t="n">
        <v>0</v>
      </c>
      <c r="I626" t="n">
        <v>0</v>
      </c>
      <c r="J626" t="n">
        <v>0</v>
      </c>
      <c r="K626" t="n">
        <v>0</v>
      </c>
      <c r="L626" t="n">
        <v>0</v>
      </c>
      <c r="M626" t="n">
        <v>0</v>
      </c>
      <c r="N626" t="n">
        <v>0</v>
      </c>
      <c r="O626" t="n">
        <v>0</v>
      </c>
      <c r="P626" t="n">
        <v>0</v>
      </c>
      <c r="Q626" t="n">
        <v>0</v>
      </c>
      <c r="R626" s="2" t="inlineStr"/>
    </row>
    <row r="627" ht="15" customHeight="1">
      <c r="A627" t="inlineStr">
        <is>
          <t>A 17393-2025</t>
        </is>
      </c>
      <c r="B627" s="1" t="n">
        <v>45757.34350694445</v>
      </c>
      <c r="C627" s="1" t="n">
        <v>45929</v>
      </c>
      <c r="D627" t="inlineStr">
        <is>
          <t>DALARNAS LÄN</t>
        </is>
      </c>
      <c r="E627" t="inlineStr">
        <is>
          <t>MORA</t>
        </is>
      </c>
      <c r="G627" t="n">
        <v>10.1</v>
      </c>
      <c r="H627" t="n">
        <v>0</v>
      </c>
      <c r="I627" t="n">
        <v>0</v>
      </c>
      <c r="J627" t="n">
        <v>0</v>
      </c>
      <c r="K627" t="n">
        <v>0</v>
      </c>
      <c r="L627" t="n">
        <v>0</v>
      </c>
      <c r="M627" t="n">
        <v>0</v>
      </c>
      <c r="N627" t="n">
        <v>0</v>
      </c>
      <c r="O627" t="n">
        <v>0</v>
      </c>
      <c r="P627" t="n">
        <v>0</v>
      </c>
      <c r="Q627" t="n">
        <v>0</v>
      </c>
      <c r="R627" s="2" t="inlineStr"/>
    </row>
    <row r="628" ht="15" customHeight="1">
      <c r="A628" t="inlineStr">
        <is>
          <t>A 14936-2025</t>
        </is>
      </c>
      <c r="B628" s="1" t="n">
        <v>45743.55756944444</v>
      </c>
      <c r="C628" s="1" t="n">
        <v>45929</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35381-2024</t>
        </is>
      </c>
      <c r="B629" s="1" t="n">
        <v>45531.38372685185</v>
      </c>
      <c r="C629" s="1" t="n">
        <v>45929</v>
      </c>
      <c r="D629" t="inlineStr">
        <is>
          <t>DALARNAS LÄN</t>
        </is>
      </c>
      <c r="E629" t="inlineStr">
        <is>
          <t>MORA</t>
        </is>
      </c>
      <c r="G629" t="n">
        <v>3.7</v>
      </c>
      <c r="H629" t="n">
        <v>0</v>
      </c>
      <c r="I629" t="n">
        <v>0</v>
      </c>
      <c r="J629" t="n">
        <v>0</v>
      </c>
      <c r="K629" t="n">
        <v>0</v>
      </c>
      <c r="L629" t="n">
        <v>0</v>
      </c>
      <c r="M629" t="n">
        <v>0</v>
      </c>
      <c r="N629" t="n">
        <v>0</v>
      </c>
      <c r="O629" t="n">
        <v>0</v>
      </c>
      <c r="P629" t="n">
        <v>0</v>
      </c>
      <c r="Q629" t="n">
        <v>0</v>
      </c>
      <c r="R629" s="2" t="inlineStr"/>
    </row>
    <row r="630" ht="15" customHeight="1">
      <c r="A630" t="inlineStr">
        <is>
          <t>A 15817-2024</t>
        </is>
      </c>
      <c r="B630" s="1" t="n">
        <v>45404.67387731482</v>
      </c>
      <c r="C630" s="1" t="n">
        <v>45929</v>
      </c>
      <c r="D630" t="inlineStr">
        <is>
          <t>DALARNAS LÄN</t>
        </is>
      </c>
      <c r="E630" t="inlineStr">
        <is>
          <t>MORA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46755-2023</t>
        </is>
      </c>
      <c r="B631" s="1" t="n">
        <v>45198.61314814815</v>
      </c>
      <c r="C631" s="1" t="n">
        <v>45929</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14372-2025</t>
        </is>
      </c>
      <c r="B632" s="1" t="n">
        <v>45741.4050462963</v>
      </c>
      <c r="C632" s="1" t="n">
        <v>45929</v>
      </c>
      <c r="D632" t="inlineStr">
        <is>
          <t>DALARNAS LÄN</t>
        </is>
      </c>
      <c r="E632" t="inlineStr">
        <is>
          <t>MORA</t>
        </is>
      </c>
      <c r="G632" t="n">
        <v>5.1</v>
      </c>
      <c r="H632" t="n">
        <v>0</v>
      </c>
      <c r="I632" t="n">
        <v>0</v>
      </c>
      <c r="J632" t="n">
        <v>0</v>
      </c>
      <c r="K632" t="n">
        <v>0</v>
      </c>
      <c r="L632" t="n">
        <v>0</v>
      </c>
      <c r="M632" t="n">
        <v>0</v>
      </c>
      <c r="N632" t="n">
        <v>0</v>
      </c>
      <c r="O632" t="n">
        <v>0</v>
      </c>
      <c r="P632" t="n">
        <v>0</v>
      </c>
      <c r="Q632" t="n">
        <v>0</v>
      </c>
      <c r="R632" s="2" t="inlineStr"/>
    </row>
    <row r="633" ht="15" customHeight="1">
      <c r="A633" t="inlineStr">
        <is>
          <t>A 14378-2025</t>
        </is>
      </c>
      <c r="B633" s="1" t="n">
        <v>45741</v>
      </c>
      <c r="C633" s="1" t="n">
        <v>45929</v>
      </c>
      <c r="D633" t="inlineStr">
        <is>
          <t>DALARNAS LÄN</t>
        </is>
      </c>
      <c r="E633" t="inlineStr">
        <is>
          <t>MORA</t>
        </is>
      </c>
      <c r="G633" t="n">
        <v>5.2</v>
      </c>
      <c r="H633" t="n">
        <v>0</v>
      </c>
      <c r="I633" t="n">
        <v>0</v>
      </c>
      <c r="J633" t="n">
        <v>0</v>
      </c>
      <c r="K633" t="n">
        <v>0</v>
      </c>
      <c r="L633" t="n">
        <v>0</v>
      </c>
      <c r="M633" t="n">
        <v>0</v>
      </c>
      <c r="N633" t="n">
        <v>0</v>
      </c>
      <c r="O633" t="n">
        <v>0</v>
      </c>
      <c r="P633" t="n">
        <v>0</v>
      </c>
      <c r="Q633" t="n">
        <v>0</v>
      </c>
      <c r="R633" s="2" t="inlineStr"/>
    </row>
    <row r="634" ht="15" customHeight="1">
      <c r="A634" t="inlineStr">
        <is>
          <t>A 44177-2023</t>
        </is>
      </c>
      <c r="B634" s="1" t="n">
        <v>45188.51439814815</v>
      </c>
      <c r="C634" s="1" t="n">
        <v>45929</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45929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55222-2023</t>
        </is>
      </c>
      <c r="B636" s="1" t="n">
        <v>45237.60775462963</v>
      </c>
      <c r="C636" s="1" t="n">
        <v>45929</v>
      </c>
      <c r="D636" t="inlineStr">
        <is>
          <t>DALARNAS LÄN</t>
        </is>
      </c>
      <c r="E636" t="inlineStr">
        <is>
          <t>MORA</t>
        </is>
      </c>
      <c r="F636" t="inlineStr">
        <is>
          <t>Allmännings- och besparingsskogar</t>
        </is>
      </c>
      <c r="G636" t="n">
        <v>19.8</v>
      </c>
      <c r="H636" t="n">
        <v>0</v>
      </c>
      <c r="I636" t="n">
        <v>0</v>
      </c>
      <c r="J636" t="n">
        <v>0</v>
      </c>
      <c r="K636" t="n">
        <v>0</v>
      </c>
      <c r="L636" t="n">
        <v>0</v>
      </c>
      <c r="M636" t="n">
        <v>0</v>
      </c>
      <c r="N636" t="n">
        <v>0</v>
      </c>
      <c r="O636" t="n">
        <v>0</v>
      </c>
      <c r="P636" t="n">
        <v>0</v>
      </c>
      <c r="Q636" t="n">
        <v>0</v>
      </c>
      <c r="R636" s="2" t="inlineStr"/>
    </row>
    <row r="637" ht="15" customHeight="1">
      <c r="A637" t="inlineStr">
        <is>
          <t>A 31177-2021</t>
        </is>
      </c>
      <c r="B637" s="1" t="n">
        <v>44368</v>
      </c>
      <c r="C637" s="1" t="n">
        <v>45929</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51570-2023</t>
        </is>
      </c>
      <c r="B638" s="1" t="n">
        <v>45222</v>
      </c>
      <c r="C638" s="1" t="n">
        <v>45929</v>
      </c>
      <c r="D638" t="inlineStr">
        <is>
          <t>DALARNAS LÄN</t>
        </is>
      </c>
      <c r="E638" t="inlineStr">
        <is>
          <t>MORA</t>
        </is>
      </c>
      <c r="G638" t="n">
        <v>10.1</v>
      </c>
      <c r="H638" t="n">
        <v>0</v>
      </c>
      <c r="I638" t="n">
        <v>0</v>
      </c>
      <c r="J638" t="n">
        <v>0</v>
      </c>
      <c r="K638" t="n">
        <v>0</v>
      </c>
      <c r="L638" t="n">
        <v>0</v>
      </c>
      <c r="M638" t="n">
        <v>0</v>
      </c>
      <c r="N638" t="n">
        <v>0</v>
      </c>
      <c r="O638" t="n">
        <v>0</v>
      </c>
      <c r="P638" t="n">
        <v>0</v>
      </c>
      <c r="Q638" t="n">
        <v>0</v>
      </c>
      <c r="R638" s="2" t="inlineStr"/>
    </row>
    <row r="639" ht="15" customHeight="1">
      <c r="A639" t="inlineStr">
        <is>
          <t>A 32261-2022</t>
        </is>
      </c>
      <c r="B639" s="1" t="n">
        <v>44781.5350925926</v>
      </c>
      <c r="C639" s="1" t="n">
        <v>45929</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48825-2023</t>
        </is>
      </c>
      <c r="B640" s="1" t="n">
        <v>45203</v>
      </c>
      <c r="C640" s="1" t="n">
        <v>45929</v>
      </c>
      <c r="D640" t="inlineStr">
        <is>
          <t>DALARNAS LÄN</t>
        </is>
      </c>
      <c r="E640" t="inlineStr">
        <is>
          <t>MORA</t>
        </is>
      </c>
      <c r="G640" t="n">
        <v>7.9</v>
      </c>
      <c r="H640" t="n">
        <v>0</v>
      </c>
      <c r="I640" t="n">
        <v>0</v>
      </c>
      <c r="J640" t="n">
        <v>0</v>
      </c>
      <c r="K640" t="n">
        <v>0</v>
      </c>
      <c r="L640" t="n">
        <v>0</v>
      </c>
      <c r="M640" t="n">
        <v>0</v>
      </c>
      <c r="N640" t="n">
        <v>0</v>
      </c>
      <c r="O640" t="n">
        <v>0</v>
      </c>
      <c r="P640" t="n">
        <v>0</v>
      </c>
      <c r="Q640" t="n">
        <v>0</v>
      </c>
      <c r="R640" s="2" t="inlineStr"/>
    </row>
    <row r="641" ht="15" customHeight="1">
      <c r="A641" t="inlineStr">
        <is>
          <t>A 18806-2025</t>
        </is>
      </c>
      <c r="B641" s="1" t="n">
        <v>45764.35269675926</v>
      </c>
      <c r="C641" s="1" t="n">
        <v>45929</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17163-2025</t>
        </is>
      </c>
      <c r="B642" s="1" t="n">
        <v>45756.35998842592</v>
      </c>
      <c r="C642" s="1" t="n">
        <v>45929</v>
      </c>
      <c r="D642" t="inlineStr">
        <is>
          <t>DALARNAS LÄN</t>
        </is>
      </c>
      <c r="E642" t="inlineStr">
        <is>
          <t>MORA</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10777-2025</t>
        </is>
      </c>
      <c r="B643" s="1" t="n">
        <v>45722.47743055555</v>
      </c>
      <c r="C643" s="1" t="n">
        <v>45929</v>
      </c>
      <c r="D643" t="inlineStr">
        <is>
          <t>DALARNAS LÄN</t>
        </is>
      </c>
      <c r="E643" t="inlineStr">
        <is>
          <t>MORA</t>
        </is>
      </c>
      <c r="G643" t="n">
        <v>9.9</v>
      </c>
      <c r="H643" t="n">
        <v>0</v>
      </c>
      <c r="I643" t="n">
        <v>0</v>
      </c>
      <c r="J643" t="n">
        <v>0</v>
      </c>
      <c r="K643" t="n">
        <v>0</v>
      </c>
      <c r="L643" t="n">
        <v>0</v>
      </c>
      <c r="M643" t="n">
        <v>0</v>
      </c>
      <c r="N643" t="n">
        <v>0</v>
      </c>
      <c r="O643" t="n">
        <v>0</v>
      </c>
      <c r="P643" t="n">
        <v>0</v>
      </c>
      <c r="Q643" t="n">
        <v>0</v>
      </c>
      <c r="R643" s="2" t="inlineStr"/>
    </row>
    <row r="644" ht="15" customHeight="1">
      <c r="A644" t="inlineStr">
        <is>
          <t>A 54253-2023</t>
        </is>
      </c>
      <c r="B644" s="1" t="n">
        <v>45232.63217592592</v>
      </c>
      <c r="C644" s="1" t="n">
        <v>45929</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44817-2023</t>
        </is>
      </c>
      <c r="B645" s="1" t="n">
        <v>45190.51887731482</v>
      </c>
      <c r="C645" s="1" t="n">
        <v>45929</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17865-2025</t>
        </is>
      </c>
      <c r="B646" s="1" t="n">
        <v>45758.62951388889</v>
      </c>
      <c r="C646" s="1" t="n">
        <v>45929</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17167-2025</t>
        </is>
      </c>
      <c r="B647" s="1" t="n">
        <v>45756.36844907407</v>
      </c>
      <c r="C647" s="1" t="n">
        <v>45929</v>
      </c>
      <c r="D647" t="inlineStr">
        <is>
          <t>DALARNAS LÄN</t>
        </is>
      </c>
      <c r="E647" t="inlineStr">
        <is>
          <t>MORA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17176-2025</t>
        </is>
      </c>
      <c r="B648" s="1" t="n">
        <v>45756.37520833333</v>
      </c>
      <c r="C648" s="1" t="n">
        <v>45929</v>
      </c>
      <c r="D648" t="inlineStr">
        <is>
          <t>DALARNAS LÄN</t>
        </is>
      </c>
      <c r="E648" t="inlineStr">
        <is>
          <t>MORA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57999-2023</t>
        </is>
      </c>
      <c r="B649" s="1" t="n">
        <v>45247</v>
      </c>
      <c r="C649" s="1" t="n">
        <v>45929</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57319-2023</t>
        </is>
      </c>
      <c r="B650" s="1" t="n">
        <v>45245.64877314815</v>
      </c>
      <c r="C650" s="1" t="n">
        <v>45929</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62853-2023</t>
        </is>
      </c>
      <c r="B651" s="1" t="n">
        <v>45272</v>
      </c>
      <c r="C651" s="1" t="n">
        <v>45929</v>
      </c>
      <c r="D651" t="inlineStr">
        <is>
          <t>DALARNAS LÄN</t>
        </is>
      </c>
      <c r="E651" t="inlineStr">
        <is>
          <t>MORA</t>
        </is>
      </c>
      <c r="G651" t="n">
        <v>13.6</v>
      </c>
      <c r="H651" t="n">
        <v>0</v>
      </c>
      <c r="I651" t="n">
        <v>0</v>
      </c>
      <c r="J651" t="n">
        <v>0</v>
      </c>
      <c r="K651" t="n">
        <v>0</v>
      </c>
      <c r="L651" t="n">
        <v>0</v>
      </c>
      <c r="M651" t="n">
        <v>0</v>
      </c>
      <c r="N651" t="n">
        <v>0</v>
      </c>
      <c r="O651" t="n">
        <v>0</v>
      </c>
      <c r="P651" t="n">
        <v>0</v>
      </c>
      <c r="Q651" t="n">
        <v>0</v>
      </c>
      <c r="R651" s="2" t="inlineStr"/>
    </row>
    <row r="652" ht="15" customHeight="1">
      <c r="A652" t="inlineStr">
        <is>
          <t>A 43826-2022</t>
        </is>
      </c>
      <c r="B652" s="1" t="n">
        <v>44838</v>
      </c>
      <c r="C652" s="1" t="n">
        <v>45929</v>
      </c>
      <c r="D652" t="inlineStr">
        <is>
          <t>DALARNAS LÄN</t>
        </is>
      </c>
      <c r="E652" t="inlineStr">
        <is>
          <t>MORA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29754-2022</t>
        </is>
      </c>
      <c r="B653" s="1" t="n">
        <v>44755.59188657408</v>
      </c>
      <c r="C653" s="1" t="n">
        <v>45929</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36579-2022</t>
        </is>
      </c>
      <c r="B654" s="1" t="n">
        <v>44804.61636574074</v>
      </c>
      <c r="C654" s="1" t="n">
        <v>45929</v>
      </c>
      <c r="D654" t="inlineStr">
        <is>
          <t>DALARNAS LÄN</t>
        </is>
      </c>
      <c r="E654" t="inlineStr">
        <is>
          <t>MORA</t>
        </is>
      </c>
      <c r="G654" t="n">
        <v>2.3</v>
      </c>
      <c r="H654" t="n">
        <v>0</v>
      </c>
      <c r="I654" t="n">
        <v>0</v>
      </c>
      <c r="J654" t="n">
        <v>0</v>
      </c>
      <c r="K654" t="n">
        <v>0</v>
      </c>
      <c r="L654" t="n">
        <v>0</v>
      </c>
      <c r="M654" t="n">
        <v>0</v>
      </c>
      <c r="N654" t="n">
        <v>0</v>
      </c>
      <c r="O654" t="n">
        <v>0</v>
      </c>
      <c r="P654" t="n">
        <v>0</v>
      </c>
      <c r="Q654" t="n">
        <v>0</v>
      </c>
      <c r="R654" s="2" t="inlineStr"/>
    </row>
    <row r="655" ht="15" customHeight="1">
      <c r="A655" t="inlineStr">
        <is>
          <t>A 3531-2024</t>
        </is>
      </c>
      <c r="B655" s="1" t="n">
        <v>45320</v>
      </c>
      <c r="C655" s="1" t="n">
        <v>45929</v>
      </c>
      <c r="D655" t="inlineStr">
        <is>
          <t>DALARNAS LÄN</t>
        </is>
      </c>
      <c r="E655" t="inlineStr">
        <is>
          <t>MORA</t>
        </is>
      </c>
      <c r="G655" t="n">
        <v>1.4</v>
      </c>
      <c r="H655" t="n">
        <v>0</v>
      </c>
      <c r="I655" t="n">
        <v>0</v>
      </c>
      <c r="J655" t="n">
        <v>0</v>
      </c>
      <c r="K655" t="n">
        <v>0</v>
      </c>
      <c r="L655" t="n">
        <v>0</v>
      </c>
      <c r="M655" t="n">
        <v>0</v>
      </c>
      <c r="N655" t="n">
        <v>0</v>
      </c>
      <c r="O655" t="n">
        <v>0</v>
      </c>
      <c r="P655" t="n">
        <v>0</v>
      </c>
      <c r="Q655" t="n">
        <v>0</v>
      </c>
      <c r="R655" s="2" t="inlineStr"/>
      <c r="U655">
        <f>HYPERLINK("https://klasma.github.io/Logging_2062/knärot/A 3531-2024 karta knärot.png", "A 3531-2024")</f>
        <v/>
      </c>
      <c r="V655">
        <f>HYPERLINK("https://klasma.github.io/Logging_2062/klagomål/A 3531-2024 FSC-klagomål.docx", "A 3531-2024")</f>
        <v/>
      </c>
      <c r="W655">
        <f>HYPERLINK("https://klasma.github.io/Logging_2062/klagomålsmail/A 3531-2024 FSC-klagomål mail.docx", "A 3531-2024")</f>
        <v/>
      </c>
      <c r="X655">
        <f>HYPERLINK("https://klasma.github.io/Logging_2062/tillsyn/A 3531-2024 tillsynsbegäran.docx", "A 3531-2024")</f>
        <v/>
      </c>
      <c r="Y655">
        <f>HYPERLINK("https://klasma.github.io/Logging_2062/tillsynsmail/A 3531-2024 tillsynsbegäran mail.docx", "A 3531-2024")</f>
        <v/>
      </c>
    </row>
    <row r="656" ht="15" customHeight="1">
      <c r="A656" t="inlineStr">
        <is>
          <t>A 39009-2023</t>
        </is>
      </c>
      <c r="B656" s="1" t="n">
        <v>45162</v>
      </c>
      <c r="C656" s="1" t="n">
        <v>45929</v>
      </c>
      <c r="D656" t="inlineStr">
        <is>
          <t>DALARNAS LÄN</t>
        </is>
      </c>
      <c r="E656" t="inlineStr">
        <is>
          <t>MORA</t>
        </is>
      </c>
      <c r="G656" t="n">
        <v>1.9</v>
      </c>
      <c r="H656" t="n">
        <v>0</v>
      </c>
      <c r="I656" t="n">
        <v>0</v>
      </c>
      <c r="J656" t="n">
        <v>0</v>
      </c>
      <c r="K656" t="n">
        <v>0</v>
      </c>
      <c r="L656" t="n">
        <v>0</v>
      </c>
      <c r="M656" t="n">
        <v>0</v>
      </c>
      <c r="N656" t="n">
        <v>0</v>
      </c>
      <c r="O656" t="n">
        <v>0</v>
      </c>
      <c r="P656" t="n">
        <v>0</v>
      </c>
      <c r="Q656" t="n">
        <v>0</v>
      </c>
      <c r="R656" s="2" t="inlineStr"/>
    </row>
    <row r="657" ht="15" customHeight="1">
      <c r="A657" t="inlineStr">
        <is>
          <t>A 44769-2021</t>
        </is>
      </c>
      <c r="B657" s="1" t="n">
        <v>44438</v>
      </c>
      <c r="C657" s="1" t="n">
        <v>45929</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28487-2024</t>
        </is>
      </c>
      <c r="B658" s="1" t="n">
        <v>45477.75744212963</v>
      </c>
      <c r="C658" s="1" t="n">
        <v>45929</v>
      </c>
      <c r="D658" t="inlineStr">
        <is>
          <t>DALARNAS LÄN</t>
        </is>
      </c>
      <c r="E658" t="inlineStr">
        <is>
          <t>MORA</t>
        </is>
      </c>
      <c r="G658" t="n">
        <v>3.1</v>
      </c>
      <c r="H658" t="n">
        <v>0</v>
      </c>
      <c r="I658" t="n">
        <v>0</v>
      </c>
      <c r="J658" t="n">
        <v>0</v>
      </c>
      <c r="K658" t="n">
        <v>0</v>
      </c>
      <c r="L658" t="n">
        <v>0</v>
      </c>
      <c r="M658" t="n">
        <v>0</v>
      </c>
      <c r="N658" t="n">
        <v>0</v>
      </c>
      <c r="O658" t="n">
        <v>0</v>
      </c>
      <c r="P658" t="n">
        <v>0</v>
      </c>
      <c r="Q658" t="n">
        <v>0</v>
      </c>
      <c r="R658" s="2" t="inlineStr"/>
    </row>
    <row r="659" ht="15" customHeight="1">
      <c r="A659" t="inlineStr">
        <is>
          <t>A 48728-2022</t>
        </is>
      </c>
      <c r="B659" s="1" t="n">
        <v>44859.52145833334</v>
      </c>
      <c r="C659" s="1" t="n">
        <v>45929</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61222-2023</t>
        </is>
      </c>
      <c r="B660" s="1" t="n">
        <v>45264</v>
      </c>
      <c r="C660" s="1" t="n">
        <v>45929</v>
      </c>
      <c r="D660" t="inlineStr">
        <is>
          <t>DALARNAS LÄN</t>
        </is>
      </c>
      <c r="E660" t="inlineStr">
        <is>
          <t>MORA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60526-2023</t>
        </is>
      </c>
      <c r="B661" s="1" t="n">
        <v>45259</v>
      </c>
      <c r="C661" s="1" t="n">
        <v>45929</v>
      </c>
      <c r="D661" t="inlineStr">
        <is>
          <t>DALARNAS LÄN</t>
        </is>
      </c>
      <c r="E661" t="inlineStr">
        <is>
          <t>MORA</t>
        </is>
      </c>
      <c r="G661" t="n">
        <v>6.7</v>
      </c>
      <c r="H661" t="n">
        <v>0</v>
      </c>
      <c r="I661" t="n">
        <v>0</v>
      </c>
      <c r="J661" t="n">
        <v>0</v>
      </c>
      <c r="K661" t="n">
        <v>0</v>
      </c>
      <c r="L661" t="n">
        <v>0</v>
      </c>
      <c r="M661" t="n">
        <v>0</v>
      </c>
      <c r="N661" t="n">
        <v>0</v>
      </c>
      <c r="O661" t="n">
        <v>0</v>
      </c>
      <c r="P661" t="n">
        <v>0</v>
      </c>
      <c r="Q661" t="n">
        <v>0</v>
      </c>
      <c r="R661" s="2" t="inlineStr"/>
    </row>
    <row r="662" ht="15" customHeight="1">
      <c r="A662" t="inlineStr">
        <is>
          <t>A 63958-2023</t>
        </is>
      </c>
      <c r="B662" s="1" t="n">
        <v>45278</v>
      </c>
      <c r="C662" s="1" t="n">
        <v>45929</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45226.49950231481</v>
      </c>
      <c r="C663" s="1" t="n">
        <v>45929</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c r="A664" t="inlineStr">
        <is>
          <t>A 19896-2021</t>
        </is>
      </c>
      <c r="B664" s="1" t="n">
        <v>44313.54942129629</v>
      </c>
      <c r="C664" s="1" t="n">
        <v>45929</v>
      </c>
      <c r="D664" t="inlineStr">
        <is>
          <t>DALARNAS LÄN</t>
        </is>
      </c>
      <c r="E664" t="inlineStr">
        <is>
          <t>MORA</t>
        </is>
      </c>
      <c r="G664" t="n">
        <v>1.8</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2025-09-29T12:17:10Z</dcterms:created>
  <dcterms:modified xmlns:dcterms="http://purl.org/dc/terms/" xmlns:xsi="http://www.w3.org/2001/XMLSchema-instance" xsi:type="dcterms:W3CDTF">2025-09-29T12:17:11Z</dcterms:modified>
</cp:coreProperties>
</file>