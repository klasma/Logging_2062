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46001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46001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46001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46001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46001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46001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46001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46001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46001</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46001</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46001</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46001</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46001</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46001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46001</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46001</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46001</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23535-2025</t>
        </is>
      </c>
      <c r="B19" s="1" t="n">
        <v>45792</v>
      </c>
      <c r="C19" s="1" t="n">
        <v>46001</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46001</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46001</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46001</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46001</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35944-2024</t>
        </is>
      </c>
      <c r="B24" s="1" t="n">
        <v>45533.45853009259</v>
      </c>
      <c r="C24" s="1" t="n">
        <v>46001</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56940-2025</t>
        </is>
      </c>
      <c r="B25" s="1" t="n">
        <v>45978.62241898148</v>
      </c>
      <c r="C25" s="1" t="n">
        <v>46001</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34714-2025</t>
        </is>
      </c>
      <c r="B26" s="1" t="n">
        <v>45848</v>
      </c>
      <c r="C26" s="1" t="n">
        <v>46001</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46001</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5064-2023</t>
        </is>
      </c>
      <c r="B28" s="1" t="n">
        <v>44958.60337962963</v>
      </c>
      <c r="C28" s="1" t="n">
        <v>46001</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41794-2025</t>
        </is>
      </c>
      <c r="B29" s="1" t="n">
        <v>45902.60008101852</v>
      </c>
      <c r="C29" s="1" t="n">
        <v>46001</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57661-2025</t>
        </is>
      </c>
      <c r="B30" s="1" t="n">
        <v>45981.41530092592</v>
      </c>
      <c r="C30" s="1" t="n">
        <v>46001</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46001</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40313-2025</t>
        </is>
      </c>
      <c r="B32" s="1" t="n">
        <v>45895.42209490741</v>
      </c>
      <c r="C32" s="1" t="n">
        <v>46001</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21041-2023</t>
        </is>
      </c>
      <c r="B33" s="1" t="n">
        <v>45061.58952546296</v>
      </c>
      <c r="C33" s="1" t="n">
        <v>46001</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61943-2024</t>
        </is>
      </c>
      <c r="B34" s="1" t="n">
        <v>45653.49774305556</v>
      </c>
      <c r="C34" s="1" t="n">
        <v>46001</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59983-2024</t>
        </is>
      </c>
      <c r="B35" s="1" t="n">
        <v>45642</v>
      </c>
      <c r="C35" s="1" t="n">
        <v>46001</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46001</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33380-2025</t>
        </is>
      </c>
      <c r="B37" s="1" t="n">
        <v>45841.40309027778</v>
      </c>
      <c r="C37" s="1" t="n">
        <v>46001</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46450-2025</t>
        </is>
      </c>
      <c r="B38" s="1" t="n">
        <v>45925.6530324074</v>
      </c>
      <c r="C38" s="1" t="n">
        <v>46001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58003-2025</t>
        </is>
      </c>
      <c r="B39" s="1" t="n">
        <v>45982.44465277778</v>
      </c>
      <c r="C39" s="1" t="n">
        <v>46001</v>
      </c>
      <c r="D39" t="inlineStr">
        <is>
          <t>DALARNAS LÄN</t>
        </is>
      </c>
      <c r="E39" t="inlineStr">
        <is>
          <t>MORA</t>
        </is>
      </c>
      <c r="F39" t="inlineStr">
        <is>
          <t>Allmännings- och besparingsskogar</t>
        </is>
      </c>
      <c r="G39" t="n">
        <v>12.3</v>
      </c>
      <c r="H39" t="n">
        <v>2</v>
      </c>
      <c r="I39" t="n">
        <v>1</v>
      </c>
      <c r="J39" t="n">
        <v>7</v>
      </c>
      <c r="K39" t="n">
        <v>0</v>
      </c>
      <c r="L39" t="n">
        <v>0</v>
      </c>
      <c r="M39" t="n">
        <v>0</v>
      </c>
      <c r="N39" t="n">
        <v>0</v>
      </c>
      <c r="O39" t="n">
        <v>7</v>
      </c>
      <c r="P39" t="n">
        <v>0</v>
      </c>
      <c r="Q39" t="n">
        <v>8</v>
      </c>
      <c r="R39" s="2" t="inlineStr">
        <is>
          <t>Garnlav
Kolflarnlav
Spillkråka
Tallticka
Tretåig hackspett
Vedflamlav
Vedskivlav
Mindre märgborre</t>
        </is>
      </c>
      <c r="S39">
        <f>HYPERLINK("https://klasma.github.io/Logging_2062/artfynd/A 58003-2025 artfynd.xlsx", "A 58003-2025")</f>
        <v/>
      </c>
      <c r="T39">
        <f>HYPERLINK("https://klasma.github.io/Logging_2062/kartor/A 58003-2025 karta.png", "A 58003-2025")</f>
        <v/>
      </c>
      <c r="V39">
        <f>HYPERLINK("https://klasma.github.io/Logging_2062/klagomål/A 58003-2025 FSC-klagomål.docx", "A 58003-2025")</f>
        <v/>
      </c>
      <c r="W39">
        <f>HYPERLINK("https://klasma.github.io/Logging_2062/klagomålsmail/A 58003-2025 FSC-klagomål mail.docx", "A 58003-2025")</f>
        <v/>
      </c>
      <c r="X39">
        <f>HYPERLINK("https://klasma.github.io/Logging_2062/tillsyn/A 58003-2025 tillsynsbegäran.docx", "A 58003-2025")</f>
        <v/>
      </c>
      <c r="Y39">
        <f>HYPERLINK("https://klasma.github.io/Logging_2062/tillsynsmail/A 58003-2025 tillsynsbegäran mail.docx", "A 58003-2025")</f>
        <v/>
      </c>
      <c r="Z39">
        <f>HYPERLINK("https://klasma.github.io/Logging_2062/fåglar/A 58003-2025 prioriterade fågelarter.docx", "A 58003-2025")</f>
        <v/>
      </c>
    </row>
    <row r="40" ht="15" customHeight="1">
      <c r="A40" t="inlineStr">
        <is>
          <t>A 30904-2025</t>
        </is>
      </c>
      <c r="B40" s="1" t="n">
        <v>45832</v>
      </c>
      <c r="C40" s="1" t="n">
        <v>46001</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29380-2025</t>
        </is>
      </c>
      <c r="B41" s="1" t="n">
        <v>45824.59025462963</v>
      </c>
      <c r="C41" s="1" t="n">
        <v>46001</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46001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46001</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46001</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46001</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46001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46001</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46001</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35487-2025</t>
        </is>
      </c>
      <c r="B49" s="1" t="n">
        <v>45855</v>
      </c>
      <c r="C49" s="1" t="n">
        <v>46001</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46001</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46001</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14293-2024</t>
        </is>
      </c>
      <c r="B52" s="1" t="n">
        <v>45393.63902777778</v>
      </c>
      <c r="C52" s="1" t="n">
        <v>46001</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46001</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39478-2025</t>
        </is>
      </c>
      <c r="B54" s="1" t="n">
        <v>45890.3469212963</v>
      </c>
      <c r="C54" s="1" t="n">
        <v>46001</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46001</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14829-2025</t>
        </is>
      </c>
      <c r="B56" s="1" t="n">
        <v>45743.36951388889</v>
      </c>
      <c r="C56" s="1" t="n">
        <v>46001</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32222-2025</t>
        </is>
      </c>
      <c r="B57" s="1" t="n">
        <v>45835.59140046296</v>
      </c>
      <c r="C57" s="1" t="n">
        <v>46001</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46001</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23163-2025</t>
        </is>
      </c>
      <c r="B59" s="1" t="n">
        <v>45791.41832175926</v>
      </c>
      <c r="C59" s="1" t="n">
        <v>46001</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46001</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46001</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46001</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35068-2025</t>
        </is>
      </c>
      <c r="B63" s="1" t="n">
        <v>45852.45686342593</v>
      </c>
      <c r="C63" s="1" t="n">
        <v>46001</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46001</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46001</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46001</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46001</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46001</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46001</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46001</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46001</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46001</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46001</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46001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46001</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46001</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46001</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46001</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46001</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46001</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46001</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46001</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46001</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46001</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46001</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46001</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46001</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46001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46001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46001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46001</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46001</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46001</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46001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46001</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46001</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46001</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46001</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46001</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46001</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46001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46001</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46001</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46001</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46001</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46001</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46001</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46001</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46001</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46001</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46001</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46001</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46001</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46001</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46001</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46001</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46001</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46001</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46001</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46001</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46001</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46001</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46001</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46001</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46001</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46001</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46001</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46001</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46001</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46001</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46001</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46001</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46001</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46001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46001</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46001</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46001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46001</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46001</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46001</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46001</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46001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46001</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46001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46001</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46001</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46001</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24393-2022</t>
        </is>
      </c>
      <c r="B148" s="1" t="n">
        <v>44726</v>
      </c>
      <c r="C148" s="1" t="n">
        <v>46001</v>
      </c>
      <c r="D148" t="inlineStr">
        <is>
          <t>DALARNAS LÄN</t>
        </is>
      </c>
      <c r="E148" t="inlineStr">
        <is>
          <t>MORA</t>
        </is>
      </c>
      <c r="G148" t="n">
        <v>2.1</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46001</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46001</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46001</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5527-2024</t>
        </is>
      </c>
      <c r="B152" s="1" t="n">
        <v>45334.38981481481</v>
      </c>
      <c r="C152" s="1" t="n">
        <v>46001</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20299-2023</t>
        </is>
      </c>
      <c r="B153" s="1" t="n">
        <v>45056</v>
      </c>
      <c r="C153" s="1" t="n">
        <v>46001</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17145-2024</t>
        </is>
      </c>
      <c r="B154" s="1" t="n">
        <v>45412</v>
      </c>
      <c r="C154" s="1" t="n">
        <v>46001</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row>
    <row r="155" ht="15" customHeight="1">
      <c r="A155" t="inlineStr">
        <is>
          <t>A 51780-2023</t>
        </is>
      </c>
      <c r="B155" s="1" t="n">
        <v>45222</v>
      </c>
      <c r="C155" s="1" t="n">
        <v>46001</v>
      </c>
      <c r="D155" t="inlineStr">
        <is>
          <t>DALARNAS LÄN</t>
        </is>
      </c>
      <c r="E155" t="inlineStr">
        <is>
          <t>MORA</t>
        </is>
      </c>
      <c r="G155" t="n">
        <v>9.9</v>
      </c>
      <c r="H155" t="n">
        <v>0</v>
      </c>
      <c r="I155" t="n">
        <v>0</v>
      </c>
      <c r="J155" t="n">
        <v>0</v>
      </c>
      <c r="K155" t="n">
        <v>0</v>
      </c>
      <c r="L155" t="n">
        <v>0</v>
      </c>
      <c r="M155" t="n">
        <v>0</v>
      </c>
      <c r="N155" t="n">
        <v>0</v>
      </c>
      <c r="O155" t="n">
        <v>0</v>
      </c>
      <c r="P155" t="n">
        <v>0</v>
      </c>
      <c r="Q155" t="n">
        <v>0</v>
      </c>
      <c r="R155" s="2" t="inlineStr"/>
    </row>
    <row r="156" ht="15" customHeight="1">
      <c r="A156" t="inlineStr">
        <is>
          <t>A 46188-2022</t>
        </is>
      </c>
      <c r="B156" s="1" t="n">
        <v>44847.518125</v>
      </c>
      <c r="C156" s="1" t="n">
        <v>46001</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17516-2024</t>
        </is>
      </c>
      <c r="B157" s="1" t="n">
        <v>45415.58502314815</v>
      </c>
      <c r="C157" s="1" t="n">
        <v>46001</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24772-2024</t>
        </is>
      </c>
      <c r="B158" s="1" t="n">
        <v>45460.70204861111</v>
      </c>
      <c r="C158" s="1" t="n">
        <v>46001</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34923-2022</t>
        </is>
      </c>
      <c r="B159" s="1" t="n">
        <v>44796</v>
      </c>
      <c r="C159" s="1" t="n">
        <v>46001</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59174-2023</t>
        </is>
      </c>
      <c r="B160" s="1" t="n">
        <v>45253.43202546296</v>
      </c>
      <c r="C160" s="1" t="n">
        <v>46001</v>
      </c>
      <c r="D160" t="inlineStr">
        <is>
          <t>DALARNAS LÄN</t>
        </is>
      </c>
      <c r="E160" t="inlineStr">
        <is>
          <t>MORA</t>
        </is>
      </c>
      <c r="G160" t="n">
        <v>2.5</v>
      </c>
      <c r="H160" t="n">
        <v>0</v>
      </c>
      <c r="I160" t="n">
        <v>0</v>
      </c>
      <c r="J160" t="n">
        <v>0</v>
      </c>
      <c r="K160" t="n">
        <v>0</v>
      </c>
      <c r="L160" t="n">
        <v>0</v>
      </c>
      <c r="M160" t="n">
        <v>0</v>
      </c>
      <c r="N160" t="n">
        <v>0</v>
      </c>
      <c r="O160" t="n">
        <v>0</v>
      </c>
      <c r="P160" t="n">
        <v>0</v>
      </c>
      <c r="Q160" t="n">
        <v>0</v>
      </c>
      <c r="R160" s="2" t="inlineStr"/>
    </row>
    <row r="161" ht="15" customHeight="1">
      <c r="A161" t="inlineStr">
        <is>
          <t>A 18202-2024</t>
        </is>
      </c>
      <c r="B161" s="1" t="n">
        <v>45420.68172453704</v>
      </c>
      <c r="C161" s="1" t="n">
        <v>46001</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36184-2021</t>
        </is>
      </c>
      <c r="B162" s="1" t="n">
        <v>44389</v>
      </c>
      <c r="C162" s="1" t="n">
        <v>46001</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23057-2024</t>
        </is>
      </c>
      <c r="B163" s="1" t="n">
        <v>45450</v>
      </c>
      <c r="C163" s="1" t="n">
        <v>46001</v>
      </c>
      <c r="D163" t="inlineStr">
        <is>
          <t>DALARNAS LÄN</t>
        </is>
      </c>
      <c r="E163" t="inlineStr">
        <is>
          <t>MORA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11193-2025</t>
        </is>
      </c>
      <c r="B164" s="1" t="n">
        <v>45725</v>
      </c>
      <c r="C164" s="1" t="n">
        <v>46001</v>
      </c>
      <c r="D164" t="inlineStr">
        <is>
          <t>DALARNAS LÄN</t>
        </is>
      </c>
      <c r="E164" t="inlineStr">
        <is>
          <t>MORA</t>
        </is>
      </c>
      <c r="G164" t="n">
        <v>4.1</v>
      </c>
      <c r="H164" t="n">
        <v>0</v>
      </c>
      <c r="I164" t="n">
        <v>0</v>
      </c>
      <c r="J164" t="n">
        <v>0</v>
      </c>
      <c r="K164" t="n">
        <v>0</v>
      </c>
      <c r="L164" t="n">
        <v>0</v>
      </c>
      <c r="M164" t="n">
        <v>0</v>
      </c>
      <c r="N164" t="n">
        <v>0</v>
      </c>
      <c r="O164" t="n">
        <v>0</v>
      </c>
      <c r="P164" t="n">
        <v>0</v>
      </c>
      <c r="Q164" t="n">
        <v>0</v>
      </c>
      <c r="R164" s="2" t="inlineStr"/>
    </row>
    <row r="165" ht="15" customHeight="1">
      <c r="A165" t="inlineStr">
        <is>
          <t>A 22354-2025</t>
        </is>
      </c>
      <c r="B165" s="1" t="n">
        <v>45786.45721064815</v>
      </c>
      <c r="C165" s="1" t="n">
        <v>46001</v>
      </c>
      <c r="D165" t="inlineStr">
        <is>
          <t>DALARNAS LÄN</t>
        </is>
      </c>
      <c r="E165" t="inlineStr">
        <is>
          <t>MORA</t>
        </is>
      </c>
      <c r="F165" t="inlineStr">
        <is>
          <t>Bergvik skog öst AB</t>
        </is>
      </c>
      <c r="G165" t="n">
        <v>2</v>
      </c>
      <c r="H165" t="n">
        <v>0</v>
      </c>
      <c r="I165" t="n">
        <v>0</v>
      </c>
      <c r="J165" t="n">
        <v>0</v>
      </c>
      <c r="K165" t="n">
        <v>0</v>
      </c>
      <c r="L165" t="n">
        <v>0</v>
      </c>
      <c r="M165" t="n">
        <v>0</v>
      </c>
      <c r="N165" t="n">
        <v>0</v>
      </c>
      <c r="O165" t="n">
        <v>0</v>
      </c>
      <c r="P165" t="n">
        <v>0</v>
      </c>
      <c r="Q165" t="n">
        <v>0</v>
      </c>
      <c r="R165" s="2" t="inlineStr"/>
    </row>
    <row r="166" ht="15" customHeight="1">
      <c r="A166" t="inlineStr">
        <is>
          <t>A 25494-2024</t>
        </is>
      </c>
      <c r="B166" s="1" t="n">
        <v>45463</v>
      </c>
      <c r="C166" s="1" t="n">
        <v>46001</v>
      </c>
      <c r="D166" t="inlineStr">
        <is>
          <t>DALARNAS LÄN</t>
        </is>
      </c>
      <c r="E166" t="inlineStr">
        <is>
          <t>MORA</t>
        </is>
      </c>
      <c r="G166" t="n">
        <v>4.9</v>
      </c>
      <c r="H166" t="n">
        <v>0</v>
      </c>
      <c r="I166" t="n">
        <v>0</v>
      </c>
      <c r="J166" t="n">
        <v>0</v>
      </c>
      <c r="K166" t="n">
        <v>0</v>
      </c>
      <c r="L166" t="n">
        <v>0</v>
      </c>
      <c r="M166" t="n">
        <v>0</v>
      </c>
      <c r="N166" t="n">
        <v>0</v>
      </c>
      <c r="O166" t="n">
        <v>0</v>
      </c>
      <c r="P166" t="n">
        <v>0</v>
      </c>
      <c r="Q166" t="n">
        <v>0</v>
      </c>
      <c r="R166" s="2" t="inlineStr"/>
    </row>
    <row r="167" ht="15" customHeight="1">
      <c r="A167" t="inlineStr">
        <is>
          <t>A 49159-2023</t>
        </is>
      </c>
      <c r="B167" s="1" t="n">
        <v>45210</v>
      </c>
      <c r="C167" s="1" t="n">
        <v>46001</v>
      </c>
      <c r="D167" t="inlineStr">
        <is>
          <t>DALARNAS LÄN</t>
        </is>
      </c>
      <c r="E167" t="inlineStr">
        <is>
          <t>MORA</t>
        </is>
      </c>
      <c r="G167" t="n">
        <v>1.6</v>
      </c>
      <c r="H167" t="n">
        <v>0</v>
      </c>
      <c r="I167" t="n">
        <v>0</v>
      </c>
      <c r="J167" t="n">
        <v>0</v>
      </c>
      <c r="K167" t="n">
        <v>0</v>
      </c>
      <c r="L167" t="n">
        <v>0</v>
      </c>
      <c r="M167" t="n">
        <v>0</v>
      </c>
      <c r="N167" t="n">
        <v>0</v>
      </c>
      <c r="O167" t="n">
        <v>0</v>
      </c>
      <c r="P167" t="n">
        <v>0</v>
      </c>
      <c r="Q167" t="n">
        <v>0</v>
      </c>
      <c r="R167" s="2" t="inlineStr"/>
    </row>
    <row r="168" ht="15" customHeight="1">
      <c r="A168" t="inlineStr">
        <is>
          <t>A 18444-2024</t>
        </is>
      </c>
      <c r="B168" s="1" t="n">
        <v>45425.45568287037</v>
      </c>
      <c r="C168" s="1" t="n">
        <v>46001</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56900-2024</t>
        </is>
      </c>
      <c r="B169" s="1" t="n">
        <v>45625</v>
      </c>
      <c r="C169" s="1" t="n">
        <v>46001</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18992-2024</t>
        </is>
      </c>
      <c r="B170" s="1" t="n">
        <v>45427.61516203704</v>
      </c>
      <c r="C170" s="1" t="n">
        <v>46001</v>
      </c>
      <c r="D170" t="inlineStr">
        <is>
          <t>DALARNAS LÄN</t>
        </is>
      </c>
      <c r="E170" t="inlineStr">
        <is>
          <t>MORA</t>
        </is>
      </c>
      <c r="G170" t="n">
        <v>9.9</v>
      </c>
      <c r="H170" t="n">
        <v>0</v>
      </c>
      <c r="I170" t="n">
        <v>0</v>
      </c>
      <c r="J170" t="n">
        <v>0</v>
      </c>
      <c r="K170" t="n">
        <v>0</v>
      </c>
      <c r="L170" t="n">
        <v>0</v>
      </c>
      <c r="M170" t="n">
        <v>0</v>
      </c>
      <c r="N170" t="n">
        <v>0</v>
      </c>
      <c r="O170" t="n">
        <v>0</v>
      </c>
      <c r="P170" t="n">
        <v>0</v>
      </c>
      <c r="Q170" t="n">
        <v>0</v>
      </c>
      <c r="R170" s="2" t="inlineStr"/>
    </row>
    <row r="171" ht="15" customHeight="1">
      <c r="A171" t="inlineStr">
        <is>
          <t>A 56927-2024</t>
        </is>
      </c>
      <c r="B171" s="1" t="n">
        <v>45625</v>
      </c>
      <c r="C171" s="1" t="n">
        <v>46001</v>
      </c>
      <c r="D171" t="inlineStr">
        <is>
          <t>DALARNAS LÄN</t>
        </is>
      </c>
      <c r="E171" t="inlineStr">
        <is>
          <t>MORA</t>
        </is>
      </c>
      <c r="G171" t="n">
        <v>2.8</v>
      </c>
      <c r="H171" t="n">
        <v>0</v>
      </c>
      <c r="I171" t="n">
        <v>0</v>
      </c>
      <c r="J171" t="n">
        <v>0</v>
      </c>
      <c r="K171" t="n">
        <v>0</v>
      </c>
      <c r="L171" t="n">
        <v>0</v>
      </c>
      <c r="M171" t="n">
        <v>0</v>
      </c>
      <c r="N171" t="n">
        <v>0</v>
      </c>
      <c r="O171" t="n">
        <v>0</v>
      </c>
      <c r="P171" t="n">
        <v>0</v>
      </c>
      <c r="Q171" t="n">
        <v>0</v>
      </c>
      <c r="R171" s="2" t="inlineStr"/>
    </row>
    <row r="172" ht="15" customHeight="1">
      <c r="A172" t="inlineStr">
        <is>
          <t>A 55691-2023</t>
        </is>
      </c>
      <c r="B172" s="1" t="n">
        <v>45239.36509259259</v>
      </c>
      <c r="C172" s="1" t="n">
        <v>46001</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60673-2023</t>
        </is>
      </c>
      <c r="B173" s="1" t="n">
        <v>45260.46438657407</v>
      </c>
      <c r="C173" s="1" t="n">
        <v>46001</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54192-2023</t>
        </is>
      </c>
      <c r="B174" s="1" t="n">
        <v>45232.53052083333</v>
      </c>
      <c r="C174" s="1" t="n">
        <v>46001</v>
      </c>
      <c r="D174" t="inlineStr">
        <is>
          <t>DALARNAS LÄN</t>
        </is>
      </c>
      <c r="E174" t="inlineStr">
        <is>
          <t>MORA</t>
        </is>
      </c>
      <c r="G174" t="n">
        <v>3.4</v>
      </c>
      <c r="H174" t="n">
        <v>0</v>
      </c>
      <c r="I174" t="n">
        <v>0</v>
      </c>
      <c r="J174" t="n">
        <v>0</v>
      </c>
      <c r="K174" t="n">
        <v>0</v>
      </c>
      <c r="L174" t="n">
        <v>0</v>
      </c>
      <c r="M174" t="n">
        <v>0</v>
      </c>
      <c r="N174" t="n">
        <v>0</v>
      </c>
      <c r="O174" t="n">
        <v>0</v>
      </c>
      <c r="P174" t="n">
        <v>0</v>
      </c>
      <c r="Q174" t="n">
        <v>0</v>
      </c>
      <c r="R174" s="2" t="inlineStr"/>
    </row>
    <row r="175" ht="15" customHeight="1">
      <c r="A175" t="inlineStr">
        <is>
          <t>A 59404-2024</t>
        </is>
      </c>
      <c r="B175" s="1" t="n">
        <v>45638</v>
      </c>
      <c r="C175" s="1" t="n">
        <v>46001</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22185-2025</t>
        </is>
      </c>
      <c r="B176" s="1" t="n">
        <v>45785</v>
      </c>
      <c r="C176" s="1" t="n">
        <v>46001</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60847-2021</t>
        </is>
      </c>
      <c r="B177" s="1" t="n">
        <v>44497</v>
      </c>
      <c r="C177" s="1" t="n">
        <v>46001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23368-2025</t>
        </is>
      </c>
      <c r="B178" s="1" t="n">
        <v>45791.70299768518</v>
      </c>
      <c r="C178" s="1" t="n">
        <v>46001</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56935-2024</t>
        </is>
      </c>
      <c r="B179" s="1" t="n">
        <v>45625</v>
      </c>
      <c r="C179" s="1" t="n">
        <v>46001</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23354-2022</t>
        </is>
      </c>
      <c r="B180" s="1" t="n">
        <v>44720</v>
      </c>
      <c r="C180" s="1" t="n">
        <v>46001</v>
      </c>
      <c r="D180" t="inlineStr">
        <is>
          <t>DALARNAS LÄN</t>
        </is>
      </c>
      <c r="E180" t="inlineStr">
        <is>
          <t>MORA</t>
        </is>
      </c>
      <c r="G180" t="n">
        <v>5.2</v>
      </c>
      <c r="H180" t="n">
        <v>0</v>
      </c>
      <c r="I180" t="n">
        <v>0</v>
      </c>
      <c r="J180" t="n">
        <v>0</v>
      </c>
      <c r="K180" t="n">
        <v>0</v>
      </c>
      <c r="L180" t="n">
        <v>0</v>
      </c>
      <c r="M180" t="n">
        <v>0</v>
      </c>
      <c r="N180" t="n">
        <v>0</v>
      </c>
      <c r="O180" t="n">
        <v>0</v>
      </c>
      <c r="P180" t="n">
        <v>0</v>
      </c>
      <c r="Q180" t="n">
        <v>0</v>
      </c>
      <c r="R180" s="2" t="inlineStr"/>
    </row>
    <row r="181" ht="15" customHeight="1">
      <c r="A181" t="inlineStr">
        <is>
          <t>A 34928-2022</t>
        </is>
      </c>
      <c r="B181" s="1" t="n">
        <v>44796.60479166666</v>
      </c>
      <c r="C181" s="1" t="n">
        <v>46001</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32410-2024</t>
        </is>
      </c>
      <c r="B182" s="1" t="n">
        <v>45512.70077546296</v>
      </c>
      <c r="C182" s="1" t="n">
        <v>46001</v>
      </c>
      <c r="D182" t="inlineStr">
        <is>
          <t>DALARNAS LÄN</t>
        </is>
      </c>
      <c r="E182" t="inlineStr">
        <is>
          <t>MORA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16967-2025</t>
        </is>
      </c>
      <c r="B183" s="1" t="n">
        <v>45755.46106481482</v>
      </c>
      <c r="C183" s="1" t="n">
        <v>46001</v>
      </c>
      <c r="D183" t="inlineStr">
        <is>
          <t>DALARNAS LÄN</t>
        </is>
      </c>
      <c r="E183" t="inlineStr">
        <is>
          <t>MORA</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9461-2025</t>
        </is>
      </c>
      <c r="B184" s="1" t="n">
        <v>45715.45341435185</v>
      </c>
      <c r="C184" s="1" t="n">
        <v>46001</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24127-2025</t>
        </is>
      </c>
      <c r="B185" s="1" t="n">
        <v>45796.63137731481</v>
      </c>
      <c r="C185" s="1" t="n">
        <v>46001</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32721-2024</t>
        </is>
      </c>
      <c r="B186" s="1" t="n">
        <v>45516.40261574074</v>
      </c>
      <c r="C186" s="1" t="n">
        <v>46001</v>
      </c>
      <c r="D186" t="inlineStr">
        <is>
          <t>DALARNAS LÄN</t>
        </is>
      </c>
      <c r="E186" t="inlineStr">
        <is>
          <t>MORA</t>
        </is>
      </c>
      <c r="G186" t="n">
        <v>4.2</v>
      </c>
      <c r="H186" t="n">
        <v>0</v>
      </c>
      <c r="I186" t="n">
        <v>0</v>
      </c>
      <c r="J186" t="n">
        <v>0</v>
      </c>
      <c r="K186" t="n">
        <v>0</v>
      </c>
      <c r="L186" t="n">
        <v>0</v>
      </c>
      <c r="M186" t="n">
        <v>0</v>
      </c>
      <c r="N186" t="n">
        <v>0</v>
      </c>
      <c r="O186" t="n">
        <v>0</v>
      </c>
      <c r="P186" t="n">
        <v>0</v>
      </c>
      <c r="Q186" t="n">
        <v>0</v>
      </c>
      <c r="R186" s="2" t="inlineStr"/>
    </row>
    <row r="187" ht="15" customHeight="1">
      <c r="A187" t="inlineStr">
        <is>
          <t>A 36038-2024</t>
        </is>
      </c>
      <c r="B187" s="1" t="n">
        <v>45533</v>
      </c>
      <c r="C187" s="1" t="n">
        <v>46001</v>
      </c>
      <c r="D187" t="inlineStr">
        <is>
          <t>DALARNAS LÄN</t>
        </is>
      </c>
      <c r="E187" t="inlineStr">
        <is>
          <t>MORA</t>
        </is>
      </c>
      <c r="G187" t="n">
        <v>5.1</v>
      </c>
      <c r="H187" t="n">
        <v>0</v>
      </c>
      <c r="I187" t="n">
        <v>0</v>
      </c>
      <c r="J187" t="n">
        <v>0</v>
      </c>
      <c r="K187" t="n">
        <v>0</v>
      </c>
      <c r="L187" t="n">
        <v>0</v>
      </c>
      <c r="M187" t="n">
        <v>0</v>
      </c>
      <c r="N187" t="n">
        <v>0</v>
      </c>
      <c r="O187" t="n">
        <v>0</v>
      </c>
      <c r="P187" t="n">
        <v>0</v>
      </c>
      <c r="Q187" t="n">
        <v>0</v>
      </c>
      <c r="R187" s="2" t="inlineStr"/>
    </row>
    <row r="188" ht="15" customHeight="1">
      <c r="A188" t="inlineStr">
        <is>
          <t>A 30194-2024</t>
        </is>
      </c>
      <c r="B188" s="1" t="n">
        <v>45490.33387731481</v>
      </c>
      <c r="C188" s="1" t="n">
        <v>46001</v>
      </c>
      <c r="D188" t="inlineStr">
        <is>
          <t>DALARNAS LÄN</t>
        </is>
      </c>
      <c r="E188" t="inlineStr">
        <is>
          <t>MORA</t>
        </is>
      </c>
      <c r="G188" t="n">
        <v>3.1</v>
      </c>
      <c r="H188" t="n">
        <v>0</v>
      </c>
      <c r="I188" t="n">
        <v>0</v>
      </c>
      <c r="J188" t="n">
        <v>0</v>
      </c>
      <c r="K188" t="n">
        <v>0</v>
      </c>
      <c r="L188" t="n">
        <v>0</v>
      </c>
      <c r="M188" t="n">
        <v>0</v>
      </c>
      <c r="N188" t="n">
        <v>0</v>
      </c>
      <c r="O188" t="n">
        <v>0</v>
      </c>
      <c r="P188" t="n">
        <v>0</v>
      </c>
      <c r="Q188" t="n">
        <v>0</v>
      </c>
      <c r="R188" s="2" t="inlineStr"/>
    </row>
    <row r="189" ht="15" customHeight="1">
      <c r="A189" t="inlineStr">
        <is>
          <t>A 62854-2023</t>
        </is>
      </c>
      <c r="B189" s="1" t="n">
        <v>45272</v>
      </c>
      <c r="C189" s="1" t="n">
        <v>46001</v>
      </c>
      <c r="D189" t="inlineStr">
        <is>
          <t>DALARNAS LÄN</t>
        </is>
      </c>
      <c r="E189" t="inlineStr">
        <is>
          <t>MORA</t>
        </is>
      </c>
      <c r="G189" t="n">
        <v>11.3</v>
      </c>
      <c r="H189" t="n">
        <v>0</v>
      </c>
      <c r="I189" t="n">
        <v>0</v>
      </c>
      <c r="J189" t="n">
        <v>0</v>
      </c>
      <c r="K189" t="n">
        <v>0</v>
      </c>
      <c r="L189" t="n">
        <v>0</v>
      </c>
      <c r="M189" t="n">
        <v>0</v>
      </c>
      <c r="N189" t="n">
        <v>0</v>
      </c>
      <c r="O189" t="n">
        <v>0</v>
      </c>
      <c r="P189" t="n">
        <v>0</v>
      </c>
      <c r="Q189" t="n">
        <v>0</v>
      </c>
      <c r="R189" s="2" t="inlineStr"/>
    </row>
    <row r="190" ht="15" customHeight="1">
      <c r="A190" t="inlineStr">
        <is>
          <t>A 47143-2022</t>
        </is>
      </c>
      <c r="B190" s="1" t="n">
        <v>44852</v>
      </c>
      <c r="C190" s="1" t="n">
        <v>46001</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19286-2023</t>
        </is>
      </c>
      <c r="B191" s="1" t="n">
        <v>45049</v>
      </c>
      <c r="C191" s="1" t="n">
        <v>46001</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3430-2023</t>
        </is>
      </c>
      <c r="B192" s="1" t="n">
        <v>44949.57856481482</v>
      </c>
      <c r="C192" s="1" t="n">
        <v>46001</v>
      </c>
      <c r="D192" t="inlineStr">
        <is>
          <t>DALARNAS LÄN</t>
        </is>
      </c>
      <c r="E192" t="inlineStr">
        <is>
          <t>MORA</t>
        </is>
      </c>
      <c r="G192" t="n">
        <v>2.6</v>
      </c>
      <c r="H192" t="n">
        <v>0</v>
      </c>
      <c r="I192" t="n">
        <v>0</v>
      </c>
      <c r="J192" t="n">
        <v>0</v>
      </c>
      <c r="K192" t="n">
        <v>0</v>
      </c>
      <c r="L192" t="n">
        <v>0</v>
      </c>
      <c r="M192" t="n">
        <v>0</v>
      </c>
      <c r="N192" t="n">
        <v>0</v>
      </c>
      <c r="O192" t="n">
        <v>0</v>
      </c>
      <c r="P192" t="n">
        <v>0</v>
      </c>
      <c r="Q192" t="n">
        <v>0</v>
      </c>
      <c r="R192" s="2" t="inlineStr"/>
    </row>
    <row r="193" ht="15" customHeight="1">
      <c r="A193" t="inlineStr">
        <is>
          <t>A 23229-2025</t>
        </is>
      </c>
      <c r="B193" s="1" t="n">
        <v>45791</v>
      </c>
      <c r="C193" s="1" t="n">
        <v>46001</v>
      </c>
      <c r="D193" t="inlineStr">
        <is>
          <t>DALARNAS LÄN</t>
        </is>
      </c>
      <c r="E193" t="inlineStr">
        <is>
          <t>MORA</t>
        </is>
      </c>
      <c r="G193" t="n">
        <v>2.2</v>
      </c>
      <c r="H193" t="n">
        <v>0</v>
      </c>
      <c r="I193" t="n">
        <v>0</v>
      </c>
      <c r="J193" t="n">
        <v>0</v>
      </c>
      <c r="K193" t="n">
        <v>0</v>
      </c>
      <c r="L193" t="n">
        <v>0</v>
      </c>
      <c r="M193" t="n">
        <v>0</v>
      </c>
      <c r="N193" t="n">
        <v>0</v>
      </c>
      <c r="O193" t="n">
        <v>0</v>
      </c>
      <c r="P193" t="n">
        <v>0</v>
      </c>
      <c r="Q193" t="n">
        <v>0</v>
      </c>
      <c r="R193" s="2" t="inlineStr"/>
    </row>
    <row r="194" ht="15" customHeight="1">
      <c r="A194" t="inlineStr">
        <is>
          <t>A 24280-2025</t>
        </is>
      </c>
      <c r="B194" s="1" t="n">
        <v>45797.45581018519</v>
      </c>
      <c r="C194" s="1" t="n">
        <v>46001</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24630-2025</t>
        </is>
      </c>
      <c r="B195" s="1" t="n">
        <v>45798.6003587963</v>
      </c>
      <c r="C195" s="1" t="n">
        <v>46001</v>
      </c>
      <c r="D195" t="inlineStr">
        <is>
          <t>DALARNAS LÄN</t>
        </is>
      </c>
      <c r="E195" t="inlineStr">
        <is>
          <t>MORA</t>
        </is>
      </c>
      <c r="F195" t="inlineStr">
        <is>
          <t>Bergvik skog väst AB</t>
        </is>
      </c>
      <c r="G195" t="n">
        <v>10.4</v>
      </c>
      <c r="H195" t="n">
        <v>0</v>
      </c>
      <c r="I195" t="n">
        <v>0</v>
      </c>
      <c r="J195" t="n">
        <v>0</v>
      </c>
      <c r="K195" t="n">
        <v>0</v>
      </c>
      <c r="L195" t="n">
        <v>0</v>
      </c>
      <c r="M195" t="n">
        <v>0</v>
      </c>
      <c r="N195" t="n">
        <v>0</v>
      </c>
      <c r="O195" t="n">
        <v>0</v>
      </c>
      <c r="P195" t="n">
        <v>0</v>
      </c>
      <c r="Q195" t="n">
        <v>0</v>
      </c>
      <c r="R195" s="2" t="inlineStr"/>
    </row>
    <row r="196" ht="15" customHeight="1">
      <c r="A196" t="inlineStr">
        <is>
          <t>A 34282-2024</t>
        </is>
      </c>
      <c r="B196" s="1" t="n">
        <v>45524.62600694445</v>
      </c>
      <c r="C196" s="1" t="n">
        <v>46001</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19183-2025</t>
        </is>
      </c>
      <c r="B197" s="1" t="n">
        <v>45769</v>
      </c>
      <c r="C197" s="1" t="n">
        <v>46001</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24642-2025</t>
        </is>
      </c>
      <c r="B198" s="1" t="n">
        <v>45798.62894675926</v>
      </c>
      <c r="C198" s="1" t="n">
        <v>46001</v>
      </c>
      <c r="D198" t="inlineStr">
        <is>
          <t>DALARNAS LÄN</t>
        </is>
      </c>
      <c r="E198" t="inlineStr">
        <is>
          <t>MORA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39456-2025</t>
        </is>
      </c>
      <c r="B199" s="1" t="n">
        <v>45889.76200231481</v>
      </c>
      <c r="C199" s="1" t="n">
        <v>46001</v>
      </c>
      <c r="D199" t="inlineStr">
        <is>
          <t>DALARNAS LÄN</t>
        </is>
      </c>
      <c r="E199" t="inlineStr">
        <is>
          <t>MORA</t>
        </is>
      </c>
      <c r="F199" t="inlineStr">
        <is>
          <t>Bergvik skog öst AB</t>
        </is>
      </c>
      <c r="G199" t="n">
        <v>16.7</v>
      </c>
      <c r="H199" t="n">
        <v>0</v>
      </c>
      <c r="I199" t="n">
        <v>0</v>
      </c>
      <c r="J199" t="n">
        <v>0</v>
      </c>
      <c r="K199" t="n">
        <v>0</v>
      </c>
      <c r="L199" t="n">
        <v>0</v>
      </c>
      <c r="M199" t="n">
        <v>0</v>
      </c>
      <c r="N199" t="n">
        <v>0</v>
      </c>
      <c r="O199" t="n">
        <v>0</v>
      </c>
      <c r="P199" t="n">
        <v>0</v>
      </c>
      <c r="Q199" t="n">
        <v>0</v>
      </c>
      <c r="R199" s="2" t="inlineStr"/>
    </row>
    <row r="200" ht="15" customHeight="1">
      <c r="A200" t="inlineStr">
        <is>
          <t>A 24249-2025</t>
        </is>
      </c>
      <c r="B200" s="1" t="n">
        <v>45797.40260416667</v>
      </c>
      <c r="C200" s="1" t="n">
        <v>46001</v>
      </c>
      <c r="D200" t="inlineStr">
        <is>
          <t>DALARNAS LÄN</t>
        </is>
      </c>
      <c r="E200" t="inlineStr">
        <is>
          <t>MORA</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24640-2025</t>
        </is>
      </c>
      <c r="B201" s="1" t="n">
        <v>45798.62243055556</v>
      </c>
      <c r="C201" s="1" t="n">
        <v>46001</v>
      </c>
      <c r="D201" t="inlineStr">
        <is>
          <t>DALARNAS LÄN</t>
        </is>
      </c>
      <c r="E201" t="inlineStr">
        <is>
          <t>MORA</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24230-2025</t>
        </is>
      </c>
      <c r="B202" s="1" t="n">
        <v>45797.37607638889</v>
      </c>
      <c r="C202" s="1" t="n">
        <v>46001</v>
      </c>
      <c r="D202" t="inlineStr">
        <is>
          <t>DALARNAS LÄN</t>
        </is>
      </c>
      <c r="E202" t="inlineStr">
        <is>
          <t>MORA</t>
        </is>
      </c>
      <c r="G202" t="n">
        <v>6.8</v>
      </c>
      <c r="H202" t="n">
        <v>0</v>
      </c>
      <c r="I202" t="n">
        <v>0</v>
      </c>
      <c r="J202" t="n">
        <v>0</v>
      </c>
      <c r="K202" t="n">
        <v>0</v>
      </c>
      <c r="L202" t="n">
        <v>0</v>
      </c>
      <c r="M202" t="n">
        <v>0</v>
      </c>
      <c r="N202" t="n">
        <v>0</v>
      </c>
      <c r="O202" t="n">
        <v>0</v>
      </c>
      <c r="P202" t="n">
        <v>0</v>
      </c>
      <c r="Q202" t="n">
        <v>0</v>
      </c>
      <c r="R202" s="2" t="inlineStr"/>
    </row>
    <row r="203" ht="15" customHeight="1">
      <c r="A203" t="inlineStr">
        <is>
          <t>A 54398-2021</t>
        </is>
      </c>
      <c r="B203" s="1" t="n">
        <v>44473.39252314815</v>
      </c>
      <c r="C203" s="1" t="n">
        <v>46001</v>
      </c>
      <c r="D203" t="inlineStr">
        <is>
          <t>DALARNAS LÄN</t>
        </is>
      </c>
      <c r="E203" t="inlineStr">
        <is>
          <t>MORA</t>
        </is>
      </c>
      <c r="G203" t="n">
        <v>0.9</v>
      </c>
      <c r="H203" t="n">
        <v>0</v>
      </c>
      <c r="I203" t="n">
        <v>0</v>
      </c>
      <c r="J203" t="n">
        <v>0</v>
      </c>
      <c r="K203" t="n">
        <v>0</v>
      </c>
      <c r="L203" t="n">
        <v>0</v>
      </c>
      <c r="M203" t="n">
        <v>0</v>
      </c>
      <c r="N203" t="n">
        <v>0</v>
      </c>
      <c r="O203" t="n">
        <v>0</v>
      </c>
      <c r="P203" t="n">
        <v>0</v>
      </c>
      <c r="Q203" t="n">
        <v>0</v>
      </c>
      <c r="R203" s="2" t="inlineStr"/>
    </row>
    <row r="204" ht="15" customHeight="1">
      <c r="A204" t="inlineStr">
        <is>
          <t>A 52525-2022</t>
        </is>
      </c>
      <c r="B204" s="1" t="n">
        <v>44874</v>
      </c>
      <c r="C204" s="1" t="n">
        <v>46001</v>
      </c>
      <c r="D204" t="inlineStr">
        <is>
          <t>DALARNAS LÄN</t>
        </is>
      </c>
      <c r="E204" t="inlineStr">
        <is>
          <t>MORA</t>
        </is>
      </c>
      <c r="F204" t="inlineStr">
        <is>
          <t>Bergvik skog öst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40147-2025</t>
        </is>
      </c>
      <c r="B205" s="1" t="n">
        <v>45894.57918981482</v>
      </c>
      <c r="C205" s="1" t="n">
        <v>46001</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41169-2023</t>
        </is>
      </c>
      <c r="B206" s="1" t="n">
        <v>45174.34662037037</v>
      </c>
      <c r="C206" s="1" t="n">
        <v>46001</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39824-2025</t>
        </is>
      </c>
      <c r="B207" s="1" t="n">
        <v>45891</v>
      </c>
      <c r="C207" s="1" t="n">
        <v>46001</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24960-2025</t>
        </is>
      </c>
      <c r="B208" s="1" t="n">
        <v>45799.57666666667</v>
      </c>
      <c r="C208" s="1" t="n">
        <v>46001</v>
      </c>
      <c r="D208" t="inlineStr">
        <is>
          <t>DALARNAS LÄN</t>
        </is>
      </c>
      <c r="E208" t="inlineStr">
        <is>
          <t>MORA</t>
        </is>
      </c>
      <c r="G208" t="n">
        <v>3.2</v>
      </c>
      <c r="H208" t="n">
        <v>0</v>
      </c>
      <c r="I208" t="n">
        <v>0</v>
      </c>
      <c r="J208" t="n">
        <v>0</v>
      </c>
      <c r="K208" t="n">
        <v>0</v>
      </c>
      <c r="L208" t="n">
        <v>0</v>
      </c>
      <c r="M208" t="n">
        <v>0</v>
      </c>
      <c r="N208" t="n">
        <v>0</v>
      </c>
      <c r="O208" t="n">
        <v>0</v>
      </c>
      <c r="P208" t="n">
        <v>0</v>
      </c>
      <c r="Q208" t="n">
        <v>0</v>
      </c>
      <c r="R208" s="2" t="inlineStr"/>
    </row>
    <row r="209" ht="15" customHeight="1">
      <c r="A209" t="inlineStr">
        <is>
          <t>A 25737-2025</t>
        </is>
      </c>
      <c r="B209" s="1" t="n">
        <v>45800</v>
      </c>
      <c r="C209" s="1" t="n">
        <v>46001</v>
      </c>
      <c r="D209" t="inlineStr">
        <is>
          <t>DALARNAS LÄN</t>
        </is>
      </c>
      <c r="E209" t="inlineStr">
        <is>
          <t>MORA</t>
        </is>
      </c>
      <c r="G209" t="n">
        <v>9.6</v>
      </c>
      <c r="H209" t="n">
        <v>0</v>
      </c>
      <c r="I209" t="n">
        <v>0</v>
      </c>
      <c r="J209" t="n">
        <v>0</v>
      </c>
      <c r="K209" t="n">
        <v>0</v>
      </c>
      <c r="L209" t="n">
        <v>0</v>
      </c>
      <c r="M209" t="n">
        <v>0</v>
      </c>
      <c r="N209" t="n">
        <v>0</v>
      </c>
      <c r="O209" t="n">
        <v>0</v>
      </c>
      <c r="P209" t="n">
        <v>0</v>
      </c>
      <c r="Q209" t="n">
        <v>0</v>
      </c>
      <c r="R209" s="2" t="inlineStr"/>
    </row>
    <row r="210" ht="15" customHeight="1">
      <c r="A210" t="inlineStr">
        <is>
          <t>A 24947-2025</t>
        </is>
      </c>
      <c r="B210" s="1" t="n">
        <v>45799.56524305556</v>
      </c>
      <c r="C210" s="1" t="n">
        <v>46001</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69483-2021</t>
        </is>
      </c>
      <c r="B211" s="1" t="n">
        <v>44531</v>
      </c>
      <c r="C211" s="1" t="n">
        <v>46001</v>
      </c>
      <c r="D211" t="inlineStr">
        <is>
          <t>DALARNAS LÄN</t>
        </is>
      </c>
      <c r="E211" t="inlineStr">
        <is>
          <t>MORA</t>
        </is>
      </c>
      <c r="G211" t="n">
        <v>1.5</v>
      </c>
      <c r="H211" t="n">
        <v>0</v>
      </c>
      <c r="I211" t="n">
        <v>0</v>
      </c>
      <c r="J211" t="n">
        <v>0</v>
      </c>
      <c r="K211" t="n">
        <v>0</v>
      </c>
      <c r="L211" t="n">
        <v>0</v>
      </c>
      <c r="M211" t="n">
        <v>0</v>
      </c>
      <c r="N211" t="n">
        <v>0</v>
      </c>
      <c r="O211" t="n">
        <v>0</v>
      </c>
      <c r="P211" t="n">
        <v>0</v>
      </c>
      <c r="Q211" t="n">
        <v>0</v>
      </c>
      <c r="R211" s="2" t="inlineStr"/>
    </row>
    <row r="212" ht="15" customHeight="1">
      <c r="A212" t="inlineStr">
        <is>
          <t>A 39787-2025</t>
        </is>
      </c>
      <c r="B212" s="1" t="n">
        <v>45891</v>
      </c>
      <c r="C212" s="1" t="n">
        <v>46001</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56460-2022</t>
        </is>
      </c>
      <c r="B213" s="1" t="n">
        <v>44893</v>
      </c>
      <c r="C213" s="1" t="n">
        <v>46001</v>
      </c>
      <c r="D213" t="inlineStr">
        <is>
          <t>DALARNAS LÄN</t>
        </is>
      </c>
      <c r="E213" t="inlineStr">
        <is>
          <t>MORA</t>
        </is>
      </c>
      <c r="G213" t="n">
        <v>2.2</v>
      </c>
      <c r="H213" t="n">
        <v>0</v>
      </c>
      <c r="I213" t="n">
        <v>0</v>
      </c>
      <c r="J213" t="n">
        <v>0</v>
      </c>
      <c r="K213" t="n">
        <v>0</v>
      </c>
      <c r="L213" t="n">
        <v>0</v>
      </c>
      <c r="M213" t="n">
        <v>0</v>
      </c>
      <c r="N213" t="n">
        <v>0</v>
      </c>
      <c r="O213" t="n">
        <v>0</v>
      </c>
      <c r="P213" t="n">
        <v>0</v>
      </c>
      <c r="Q213" t="n">
        <v>0</v>
      </c>
      <c r="R213" s="2" t="inlineStr"/>
    </row>
    <row r="214" ht="15" customHeight="1">
      <c r="A214" t="inlineStr">
        <is>
          <t>A 57110-2021</t>
        </is>
      </c>
      <c r="B214" s="1" t="n">
        <v>44482</v>
      </c>
      <c r="C214" s="1" t="n">
        <v>46001</v>
      </c>
      <c r="D214" t="inlineStr">
        <is>
          <t>DALARNAS LÄN</t>
        </is>
      </c>
      <c r="E214" t="inlineStr">
        <is>
          <t>MORA</t>
        </is>
      </c>
      <c r="G214" t="n">
        <v>5.4</v>
      </c>
      <c r="H214" t="n">
        <v>0</v>
      </c>
      <c r="I214" t="n">
        <v>0</v>
      </c>
      <c r="J214" t="n">
        <v>0</v>
      </c>
      <c r="K214" t="n">
        <v>0</v>
      </c>
      <c r="L214" t="n">
        <v>0</v>
      </c>
      <c r="M214" t="n">
        <v>0</v>
      </c>
      <c r="N214" t="n">
        <v>0</v>
      </c>
      <c r="O214" t="n">
        <v>0</v>
      </c>
      <c r="P214" t="n">
        <v>0</v>
      </c>
      <c r="Q214" t="n">
        <v>0</v>
      </c>
      <c r="R214" s="2" t="inlineStr"/>
    </row>
    <row r="215" ht="15" customHeight="1">
      <c r="A215" t="inlineStr">
        <is>
          <t>A 40140-2025</t>
        </is>
      </c>
      <c r="B215" s="1" t="n">
        <v>45894.57016203704</v>
      </c>
      <c r="C215" s="1" t="n">
        <v>46001</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40142-2025</t>
        </is>
      </c>
      <c r="B216" s="1" t="n">
        <v>45894.57202546296</v>
      </c>
      <c r="C216" s="1" t="n">
        <v>46001</v>
      </c>
      <c r="D216" t="inlineStr">
        <is>
          <t>DALARNAS LÄN</t>
        </is>
      </c>
      <c r="E216" t="inlineStr">
        <is>
          <t>MORA</t>
        </is>
      </c>
      <c r="G216" t="n">
        <v>0.4</v>
      </c>
      <c r="H216" t="n">
        <v>0</v>
      </c>
      <c r="I216" t="n">
        <v>0</v>
      </c>
      <c r="J216" t="n">
        <v>0</v>
      </c>
      <c r="K216" t="n">
        <v>0</v>
      </c>
      <c r="L216" t="n">
        <v>0</v>
      </c>
      <c r="M216" t="n">
        <v>0</v>
      </c>
      <c r="N216" t="n">
        <v>0</v>
      </c>
      <c r="O216" t="n">
        <v>0</v>
      </c>
      <c r="P216" t="n">
        <v>0</v>
      </c>
      <c r="Q216" t="n">
        <v>0</v>
      </c>
      <c r="R216" s="2" t="inlineStr"/>
    </row>
    <row r="217" ht="15" customHeight="1">
      <c r="A217" t="inlineStr">
        <is>
          <t>A 40471-2025</t>
        </is>
      </c>
      <c r="B217" s="1" t="n">
        <v>45895.67356481482</v>
      </c>
      <c r="C217" s="1" t="n">
        <v>46001</v>
      </c>
      <c r="D217" t="inlineStr">
        <is>
          <t>DALARNAS LÄN</t>
        </is>
      </c>
      <c r="E217" t="inlineStr">
        <is>
          <t>MORA</t>
        </is>
      </c>
      <c r="G217" t="n">
        <v>2.8</v>
      </c>
      <c r="H217" t="n">
        <v>0</v>
      </c>
      <c r="I217" t="n">
        <v>0</v>
      </c>
      <c r="J217" t="n">
        <v>0</v>
      </c>
      <c r="K217" t="n">
        <v>0</v>
      </c>
      <c r="L217" t="n">
        <v>0</v>
      </c>
      <c r="M217" t="n">
        <v>0</v>
      </c>
      <c r="N217" t="n">
        <v>0</v>
      </c>
      <c r="O217" t="n">
        <v>0</v>
      </c>
      <c r="P217" t="n">
        <v>0</v>
      </c>
      <c r="Q217" t="n">
        <v>0</v>
      </c>
      <c r="R217" s="2" t="inlineStr"/>
    </row>
    <row r="218" ht="15" customHeight="1">
      <c r="A218" t="inlineStr">
        <is>
          <t>A 39882-2024</t>
        </is>
      </c>
      <c r="B218" s="1" t="n">
        <v>45553</v>
      </c>
      <c r="C218" s="1" t="n">
        <v>46001</v>
      </c>
      <c r="D218" t="inlineStr">
        <is>
          <t>DALARNAS LÄN</t>
        </is>
      </c>
      <c r="E218" t="inlineStr">
        <is>
          <t>MORA</t>
        </is>
      </c>
      <c r="G218" t="n">
        <v>14.6</v>
      </c>
      <c r="H218" t="n">
        <v>0</v>
      </c>
      <c r="I218" t="n">
        <v>0</v>
      </c>
      <c r="J218" t="n">
        <v>0</v>
      </c>
      <c r="K218" t="n">
        <v>0</v>
      </c>
      <c r="L218" t="n">
        <v>0</v>
      </c>
      <c r="M218" t="n">
        <v>0</v>
      </c>
      <c r="N218" t="n">
        <v>0</v>
      </c>
      <c r="O218" t="n">
        <v>0</v>
      </c>
      <c r="P218" t="n">
        <v>0</v>
      </c>
      <c r="Q218" t="n">
        <v>0</v>
      </c>
      <c r="R218" s="2" t="inlineStr"/>
    </row>
    <row r="219" ht="15" customHeight="1">
      <c r="A219" t="inlineStr">
        <is>
          <t>A 40661-2025</t>
        </is>
      </c>
      <c r="B219" s="1" t="n">
        <v>45896.64715277778</v>
      </c>
      <c r="C219" s="1" t="n">
        <v>46001</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40660-2025</t>
        </is>
      </c>
      <c r="B220" s="1" t="n">
        <v>45896.64631944444</v>
      </c>
      <c r="C220" s="1" t="n">
        <v>46001</v>
      </c>
      <c r="D220" t="inlineStr">
        <is>
          <t>DALARNAS LÄN</t>
        </is>
      </c>
      <c r="E220" t="inlineStr">
        <is>
          <t>MORA</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25345-2025</t>
        </is>
      </c>
      <c r="B221" s="1" t="n">
        <v>45799</v>
      </c>
      <c r="C221" s="1" t="n">
        <v>46001</v>
      </c>
      <c r="D221" t="inlineStr">
        <is>
          <t>DALARNAS LÄN</t>
        </is>
      </c>
      <c r="E221" t="inlineStr">
        <is>
          <t>MORA</t>
        </is>
      </c>
      <c r="G221" t="n">
        <v>3.1</v>
      </c>
      <c r="H221" t="n">
        <v>0</v>
      </c>
      <c r="I221" t="n">
        <v>0</v>
      </c>
      <c r="J221" t="n">
        <v>0</v>
      </c>
      <c r="K221" t="n">
        <v>0</v>
      </c>
      <c r="L221" t="n">
        <v>0</v>
      </c>
      <c r="M221" t="n">
        <v>0</v>
      </c>
      <c r="N221" t="n">
        <v>0</v>
      </c>
      <c r="O221" t="n">
        <v>0</v>
      </c>
      <c r="P221" t="n">
        <v>0</v>
      </c>
      <c r="Q221" t="n">
        <v>0</v>
      </c>
      <c r="R221" s="2" t="inlineStr"/>
    </row>
    <row r="222" ht="15" customHeight="1">
      <c r="A222" t="inlineStr">
        <is>
          <t>A 39897-2022</t>
        </is>
      </c>
      <c r="B222" s="1" t="n">
        <v>44819.66083333334</v>
      </c>
      <c r="C222" s="1" t="n">
        <v>46001</v>
      </c>
      <c r="D222" t="inlineStr">
        <is>
          <t>DALARNAS LÄN</t>
        </is>
      </c>
      <c r="E222" t="inlineStr">
        <is>
          <t>MORA</t>
        </is>
      </c>
      <c r="G222" t="n">
        <v>15.8</v>
      </c>
      <c r="H222" t="n">
        <v>0</v>
      </c>
      <c r="I222" t="n">
        <v>0</v>
      </c>
      <c r="J222" t="n">
        <v>0</v>
      </c>
      <c r="K222" t="n">
        <v>0</v>
      </c>
      <c r="L222" t="n">
        <v>0</v>
      </c>
      <c r="M222" t="n">
        <v>0</v>
      </c>
      <c r="N222" t="n">
        <v>0</v>
      </c>
      <c r="O222" t="n">
        <v>0</v>
      </c>
      <c r="P222" t="n">
        <v>0</v>
      </c>
      <c r="Q222" t="n">
        <v>0</v>
      </c>
      <c r="R222" s="2" t="inlineStr"/>
    </row>
    <row r="223" ht="15" customHeight="1">
      <c r="A223" t="inlineStr">
        <is>
          <t>A 40805-2025</t>
        </is>
      </c>
      <c r="B223" s="1" t="n">
        <v>45897.46659722222</v>
      </c>
      <c r="C223" s="1" t="n">
        <v>46001</v>
      </c>
      <c r="D223" t="inlineStr">
        <is>
          <t>DALARNAS LÄN</t>
        </is>
      </c>
      <c r="E223" t="inlineStr">
        <is>
          <t>MORA</t>
        </is>
      </c>
      <c r="G223" t="n">
        <v>1.6</v>
      </c>
      <c r="H223" t="n">
        <v>0</v>
      </c>
      <c r="I223" t="n">
        <v>0</v>
      </c>
      <c r="J223" t="n">
        <v>0</v>
      </c>
      <c r="K223" t="n">
        <v>0</v>
      </c>
      <c r="L223" t="n">
        <v>0</v>
      </c>
      <c r="M223" t="n">
        <v>0</v>
      </c>
      <c r="N223" t="n">
        <v>0</v>
      </c>
      <c r="O223" t="n">
        <v>0</v>
      </c>
      <c r="P223" t="n">
        <v>0</v>
      </c>
      <c r="Q223" t="n">
        <v>0</v>
      </c>
      <c r="R223" s="2" t="inlineStr"/>
    </row>
    <row r="224" ht="15" customHeight="1">
      <c r="A224" t="inlineStr">
        <is>
          <t>A 41175-2025</t>
        </is>
      </c>
      <c r="B224" s="1" t="n">
        <v>45898.55165509259</v>
      </c>
      <c r="C224" s="1" t="n">
        <v>46001</v>
      </c>
      <c r="D224" t="inlineStr">
        <is>
          <t>DALARNAS LÄN</t>
        </is>
      </c>
      <c r="E224" t="inlineStr">
        <is>
          <t>MORA</t>
        </is>
      </c>
      <c r="G224" t="n">
        <v>4.5</v>
      </c>
      <c r="H224" t="n">
        <v>0</v>
      </c>
      <c r="I224" t="n">
        <v>0</v>
      </c>
      <c r="J224" t="n">
        <v>0</v>
      </c>
      <c r="K224" t="n">
        <v>0</v>
      </c>
      <c r="L224" t="n">
        <v>0</v>
      </c>
      <c r="M224" t="n">
        <v>0</v>
      </c>
      <c r="N224" t="n">
        <v>0</v>
      </c>
      <c r="O224" t="n">
        <v>0</v>
      </c>
      <c r="P224" t="n">
        <v>0</v>
      </c>
      <c r="Q224" t="n">
        <v>0</v>
      </c>
      <c r="R224" s="2" t="inlineStr"/>
    </row>
    <row r="225" ht="15" customHeight="1">
      <c r="A225" t="inlineStr">
        <is>
          <t>A 24620-2025</t>
        </is>
      </c>
      <c r="B225" s="1" t="n">
        <v>45798.59290509259</v>
      </c>
      <c r="C225" s="1" t="n">
        <v>46001</v>
      </c>
      <c r="D225" t="inlineStr">
        <is>
          <t>DALARNAS LÄN</t>
        </is>
      </c>
      <c r="E225" t="inlineStr">
        <is>
          <t>MORA</t>
        </is>
      </c>
      <c r="F225" t="inlineStr">
        <is>
          <t>Bergvik skog väst AB</t>
        </is>
      </c>
      <c r="G225" t="n">
        <v>4.9</v>
      </c>
      <c r="H225" t="n">
        <v>0</v>
      </c>
      <c r="I225" t="n">
        <v>0</v>
      </c>
      <c r="J225" t="n">
        <v>0</v>
      </c>
      <c r="K225" t="n">
        <v>0</v>
      </c>
      <c r="L225" t="n">
        <v>0</v>
      </c>
      <c r="M225" t="n">
        <v>0</v>
      </c>
      <c r="N225" t="n">
        <v>0</v>
      </c>
      <c r="O225" t="n">
        <v>0</v>
      </c>
      <c r="P225" t="n">
        <v>0</v>
      </c>
      <c r="Q225" t="n">
        <v>0</v>
      </c>
      <c r="R225" s="2" t="inlineStr"/>
    </row>
    <row r="226" ht="15" customHeight="1">
      <c r="A226" t="inlineStr">
        <is>
          <t>A 24653-2025</t>
        </is>
      </c>
      <c r="B226" s="1" t="n">
        <v>45798.63875</v>
      </c>
      <c r="C226" s="1" t="n">
        <v>46001</v>
      </c>
      <c r="D226" t="inlineStr">
        <is>
          <t>DALARNAS LÄN</t>
        </is>
      </c>
      <c r="E226" t="inlineStr">
        <is>
          <t>MORA</t>
        </is>
      </c>
      <c r="F226" t="inlineStr">
        <is>
          <t>Bergvik skog väst AB</t>
        </is>
      </c>
      <c r="G226" t="n">
        <v>4.9</v>
      </c>
      <c r="H226" t="n">
        <v>0</v>
      </c>
      <c r="I226" t="n">
        <v>0</v>
      </c>
      <c r="J226" t="n">
        <v>0</v>
      </c>
      <c r="K226" t="n">
        <v>0</v>
      </c>
      <c r="L226" t="n">
        <v>0</v>
      </c>
      <c r="M226" t="n">
        <v>0</v>
      </c>
      <c r="N226" t="n">
        <v>0</v>
      </c>
      <c r="O226" t="n">
        <v>0</v>
      </c>
      <c r="P226" t="n">
        <v>0</v>
      </c>
      <c r="Q226" t="n">
        <v>0</v>
      </c>
      <c r="R226" s="2" t="inlineStr"/>
    </row>
    <row r="227" ht="15" customHeight="1">
      <c r="A227" t="inlineStr">
        <is>
          <t>A 2879-2022</t>
        </is>
      </c>
      <c r="B227" s="1" t="n">
        <v>44581</v>
      </c>
      <c r="C227" s="1" t="n">
        <v>46001</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46001</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26647-2025</t>
        </is>
      </c>
      <c r="B229" s="1" t="n">
        <v>45810.38439814815</v>
      </c>
      <c r="C229" s="1" t="n">
        <v>46001</v>
      </c>
      <c r="D229" t="inlineStr">
        <is>
          <t>DALARNAS LÄN</t>
        </is>
      </c>
      <c r="E229" t="inlineStr">
        <is>
          <t>MORA</t>
        </is>
      </c>
      <c r="G229" t="n">
        <v>7.9</v>
      </c>
      <c r="H229" t="n">
        <v>0</v>
      </c>
      <c r="I229" t="n">
        <v>0</v>
      </c>
      <c r="J229" t="n">
        <v>0</v>
      </c>
      <c r="K229" t="n">
        <v>0</v>
      </c>
      <c r="L229" t="n">
        <v>0</v>
      </c>
      <c r="M229" t="n">
        <v>0</v>
      </c>
      <c r="N229" t="n">
        <v>0</v>
      </c>
      <c r="O229" t="n">
        <v>0</v>
      </c>
      <c r="P229" t="n">
        <v>0</v>
      </c>
      <c r="Q229" t="n">
        <v>0</v>
      </c>
      <c r="R229" s="2" t="inlineStr"/>
    </row>
    <row r="230" ht="15" customHeight="1">
      <c r="A230" t="inlineStr">
        <is>
          <t>A 56425-2024</t>
        </is>
      </c>
      <c r="B230" s="1" t="n">
        <v>45625.38677083333</v>
      </c>
      <c r="C230" s="1" t="n">
        <v>46001</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30819-2024</t>
        </is>
      </c>
      <c r="B231" s="1" t="n">
        <v>45497</v>
      </c>
      <c r="C231" s="1" t="n">
        <v>46001</v>
      </c>
      <c r="D231" t="inlineStr">
        <is>
          <t>DALARNAS LÄN</t>
        </is>
      </c>
      <c r="E231" t="inlineStr">
        <is>
          <t>MORA</t>
        </is>
      </c>
      <c r="G231" t="n">
        <v>2.2</v>
      </c>
      <c r="H231" t="n">
        <v>0</v>
      </c>
      <c r="I231" t="n">
        <v>0</v>
      </c>
      <c r="J231" t="n">
        <v>0</v>
      </c>
      <c r="K231" t="n">
        <v>0</v>
      </c>
      <c r="L231" t="n">
        <v>0</v>
      </c>
      <c r="M231" t="n">
        <v>0</v>
      </c>
      <c r="N231" t="n">
        <v>0</v>
      </c>
      <c r="O231" t="n">
        <v>0</v>
      </c>
      <c r="P231" t="n">
        <v>0</v>
      </c>
      <c r="Q231" t="n">
        <v>0</v>
      </c>
      <c r="R231" s="2" t="inlineStr"/>
    </row>
    <row r="232" ht="15" customHeight="1">
      <c r="A232" t="inlineStr">
        <is>
          <t>A 23302-2024</t>
        </is>
      </c>
      <c r="B232" s="1" t="n">
        <v>45453.44091435185</v>
      </c>
      <c r="C232" s="1" t="n">
        <v>46001</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30985-2024</t>
        </is>
      </c>
      <c r="B233" s="1" t="n">
        <v>45499.51721064815</v>
      </c>
      <c r="C233" s="1" t="n">
        <v>46001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57859-2022</t>
        </is>
      </c>
      <c r="B234" s="1" t="n">
        <v>44898</v>
      </c>
      <c r="C234" s="1" t="n">
        <v>46001</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26546-2025</t>
        </is>
      </c>
      <c r="B235" s="1" t="n">
        <v>45807</v>
      </c>
      <c r="C235" s="1" t="n">
        <v>46001</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26573-2025</t>
        </is>
      </c>
      <c r="B236" s="1" t="n">
        <v>45807</v>
      </c>
      <c r="C236" s="1" t="n">
        <v>46001</v>
      </c>
      <c r="D236" t="inlineStr">
        <is>
          <t>DALARNAS LÄN</t>
        </is>
      </c>
      <c r="E236" t="inlineStr">
        <is>
          <t>MORA</t>
        </is>
      </c>
      <c r="G236" t="n">
        <v>4.3</v>
      </c>
      <c r="H236" t="n">
        <v>0</v>
      </c>
      <c r="I236" t="n">
        <v>0</v>
      </c>
      <c r="J236" t="n">
        <v>0</v>
      </c>
      <c r="K236" t="n">
        <v>0</v>
      </c>
      <c r="L236" t="n">
        <v>0</v>
      </c>
      <c r="M236" t="n">
        <v>0</v>
      </c>
      <c r="N236" t="n">
        <v>0</v>
      </c>
      <c r="O236" t="n">
        <v>0</v>
      </c>
      <c r="P236" t="n">
        <v>0</v>
      </c>
      <c r="Q236" t="n">
        <v>0</v>
      </c>
      <c r="R236" s="2" t="inlineStr"/>
    </row>
    <row r="237" ht="15" customHeight="1">
      <c r="A237" t="inlineStr">
        <is>
          <t>A 41783-2025</t>
        </is>
      </c>
      <c r="B237" s="1" t="n">
        <v>45902.58721064815</v>
      </c>
      <c r="C237" s="1" t="n">
        <v>46001</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26532-2025</t>
        </is>
      </c>
      <c r="B238" s="1" t="n">
        <v>45807</v>
      </c>
      <c r="C238" s="1" t="n">
        <v>46001</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26545-2025</t>
        </is>
      </c>
      <c r="B239" s="1" t="n">
        <v>45807</v>
      </c>
      <c r="C239" s="1" t="n">
        <v>46001</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20885-2024</t>
        </is>
      </c>
      <c r="B240" s="1" t="n">
        <v>45439.45527777778</v>
      </c>
      <c r="C240" s="1" t="n">
        <v>46001</v>
      </c>
      <c r="D240" t="inlineStr">
        <is>
          <t>DALARNAS LÄN</t>
        </is>
      </c>
      <c r="E240" t="inlineStr">
        <is>
          <t>MORA</t>
        </is>
      </c>
      <c r="G240" t="n">
        <v>5</v>
      </c>
      <c r="H240" t="n">
        <v>0</v>
      </c>
      <c r="I240" t="n">
        <v>0</v>
      </c>
      <c r="J240" t="n">
        <v>0</v>
      </c>
      <c r="K240" t="n">
        <v>0</v>
      </c>
      <c r="L240" t="n">
        <v>0</v>
      </c>
      <c r="M240" t="n">
        <v>0</v>
      </c>
      <c r="N240" t="n">
        <v>0</v>
      </c>
      <c r="O240" t="n">
        <v>0</v>
      </c>
      <c r="P240" t="n">
        <v>0</v>
      </c>
      <c r="Q240" t="n">
        <v>0</v>
      </c>
      <c r="R240" s="2" t="inlineStr"/>
    </row>
    <row r="241" ht="15" customHeight="1">
      <c r="A241" t="inlineStr">
        <is>
          <t>A 26630-2025</t>
        </is>
      </c>
      <c r="B241" s="1" t="n">
        <v>45809</v>
      </c>
      <c r="C241" s="1" t="n">
        <v>46001</v>
      </c>
      <c r="D241" t="inlineStr">
        <is>
          <t>DALARNAS LÄN</t>
        </is>
      </c>
      <c r="E241" t="inlineStr">
        <is>
          <t>MORA</t>
        </is>
      </c>
      <c r="G241" t="n">
        <v>32.1</v>
      </c>
      <c r="H241" t="n">
        <v>0</v>
      </c>
      <c r="I241" t="n">
        <v>0</v>
      </c>
      <c r="J241" t="n">
        <v>0</v>
      </c>
      <c r="K241" t="n">
        <v>0</v>
      </c>
      <c r="L241" t="n">
        <v>0</v>
      </c>
      <c r="M241" t="n">
        <v>0</v>
      </c>
      <c r="N241" t="n">
        <v>0</v>
      </c>
      <c r="O241" t="n">
        <v>0</v>
      </c>
      <c r="P241" t="n">
        <v>0</v>
      </c>
      <c r="Q241" t="n">
        <v>0</v>
      </c>
      <c r="R241" s="2" t="inlineStr"/>
    </row>
    <row r="242" ht="15" customHeight="1">
      <c r="A242" t="inlineStr">
        <is>
          <t>A 60647-2022</t>
        </is>
      </c>
      <c r="B242" s="1" t="n">
        <v>44911</v>
      </c>
      <c r="C242" s="1" t="n">
        <v>46001</v>
      </c>
      <c r="D242" t="inlineStr">
        <is>
          <t>DALARNAS LÄN</t>
        </is>
      </c>
      <c r="E242" t="inlineStr">
        <is>
          <t>MORA</t>
        </is>
      </c>
      <c r="G242" t="n">
        <v>4.8</v>
      </c>
      <c r="H242" t="n">
        <v>0</v>
      </c>
      <c r="I242" t="n">
        <v>0</v>
      </c>
      <c r="J242" t="n">
        <v>0</v>
      </c>
      <c r="K242" t="n">
        <v>0</v>
      </c>
      <c r="L242" t="n">
        <v>0</v>
      </c>
      <c r="M242" t="n">
        <v>0</v>
      </c>
      <c r="N242" t="n">
        <v>0</v>
      </c>
      <c r="O242" t="n">
        <v>0</v>
      </c>
      <c r="P242" t="n">
        <v>0</v>
      </c>
      <c r="Q242" t="n">
        <v>0</v>
      </c>
      <c r="R242" s="2" t="inlineStr"/>
    </row>
    <row r="243" ht="15" customHeight="1">
      <c r="A243" t="inlineStr">
        <is>
          <t>A 41614-2025</t>
        </is>
      </c>
      <c r="B243" s="1" t="n">
        <v>45901.68267361111</v>
      </c>
      <c r="C243" s="1" t="n">
        <v>46001</v>
      </c>
      <c r="D243" t="inlineStr">
        <is>
          <t>DALARNAS LÄN</t>
        </is>
      </c>
      <c r="E243" t="inlineStr">
        <is>
          <t>MORA</t>
        </is>
      </c>
      <c r="F243" t="inlineStr">
        <is>
          <t>Bergvik skog väst AB</t>
        </is>
      </c>
      <c r="G243" t="n">
        <v>13.8</v>
      </c>
      <c r="H243" t="n">
        <v>0</v>
      </c>
      <c r="I243" t="n">
        <v>0</v>
      </c>
      <c r="J243" t="n">
        <v>0</v>
      </c>
      <c r="K243" t="n">
        <v>0</v>
      </c>
      <c r="L243" t="n">
        <v>0</v>
      </c>
      <c r="M243" t="n">
        <v>0</v>
      </c>
      <c r="N243" t="n">
        <v>0</v>
      </c>
      <c r="O243" t="n">
        <v>0</v>
      </c>
      <c r="P243" t="n">
        <v>0</v>
      </c>
      <c r="Q243" t="n">
        <v>0</v>
      </c>
      <c r="R243" s="2" t="inlineStr"/>
    </row>
    <row r="244" ht="15" customHeight="1">
      <c r="A244" t="inlineStr">
        <is>
          <t>A 26577-2025</t>
        </is>
      </c>
      <c r="B244" s="1" t="n">
        <v>45807</v>
      </c>
      <c r="C244" s="1" t="n">
        <v>46001</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26854-2025</t>
        </is>
      </c>
      <c r="B245" s="1" t="n">
        <v>45810.67462962963</v>
      </c>
      <c r="C245" s="1" t="n">
        <v>46001</v>
      </c>
      <c r="D245" t="inlineStr">
        <is>
          <t>DALARNAS LÄN</t>
        </is>
      </c>
      <c r="E245" t="inlineStr">
        <is>
          <t>MORA</t>
        </is>
      </c>
      <c r="G245" t="n">
        <v>4.4</v>
      </c>
      <c r="H245" t="n">
        <v>0</v>
      </c>
      <c r="I245" t="n">
        <v>0</v>
      </c>
      <c r="J245" t="n">
        <v>0</v>
      </c>
      <c r="K245" t="n">
        <v>0</v>
      </c>
      <c r="L245" t="n">
        <v>0</v>
      </c>
      <c r="M245" t="n">
        <v>0</v>
      </c>
      <c r="N245" t="n">
        <v>0</v>
      </c>
      <c r="O245" t="n">
        <v>0</v>
      </c>
      <c r="P245" t="n">
        <v>0</v>
      </c>
      <c r="Q245" t="n">
        <v>0</v>
      </c>
      <c r="R245" s="2" t="inlineStr"/>
    </row>
    <row r="246" ht="15" customHeight="1">
      <c r="A246" t="inlineStr">
        <is>
          <t>A 26731-2025</t>
        </is>
      </c>
      <c r="B246" s="1" t="n">
        <v>45810.50702546296</v>
      </c>
      <c r="C246" s="1" t="n">
        <v>46001</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24590-2024</t>
        </is>
      </c>
      <c r="B247" s="1" t="n">
        <v>45460</v>
      </c>
      <c r="C247" s="1" t="n">
        <v>46001</v>
      </c>
      <c r="D247" t="inlineStr">
        <is>
          <t>DALARNAS LÄN</t>
        </is>
      </c>
      <c r="E247" t="inlineStr">
        <is>
          <t>MORA</t>
        </is>
      </c>
      <c r="G247" t="n">
        <v>0.6</v>
      </c>
      <c r="H247" t="n">
        <v>0</v>
      </c>
      <c r="I247" t="n">
        <v>0</v>
      </c>
      <c r="J247" t="n">
        <v>0</v>
      </c>
      <c r="K247" t="n">
        <v>0</v>
      </c>
      <c r="L247" t="n">
        <v>0</v>
      </c>
      <c r="M247" t="n">
        <v>0</v>
      </c>
      <c r="N247" t="n">
        <v>0</v>
      </c>
      <c r="O247" t="n">
        <v>0</v>
      </c>
      <c r="P247" t="n">
        <v>0</v>
      </c>
      <c r="Q247" t="n">
        <v>0</v>
      </c>
      <c r="R247" s="2" t="inlineStr"/>
    </row>
    <row r="248" ht="15" customHeight="1">
      <c r="A248" t="inlineStr">
        <is>
          <t>A 26711-2025</t>
        </is>
      </c>
      <c r="B248" s="1" t="n">
        <v>45810.46144675926</v>
      </c>
      <c r="C248" s="1" t="n">
        <v>46001</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5309-2023</t>
        </is>
      </c>
      <c r="B249" s="1" t="n">
        <v>44956</v>
      </c>
      <c r="C249" s="1" t="n">
        <v>46001</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42319-2025</t>
        </is>
      </c>
      <c r="B250" s="1" t="n">
        <v>45903</v>
      </c>
      <c r="C250" s="1" t="n">
        <v>46001</v>
      </c>
      <c r="D250" t="inlineStr">
        <is>
          <t>DALARNAS LÄN</t>
        </is>
      </c>
      <c r="E250" t="inlineStr">
        <is>
          <t>MORA</t>
        </is>
      </c>
      <c r="G250" t="n">
        <v>2.3</v>
      </c>
      <c r="H250" t="n">
        <v>0</v>
      </c>
      <c r="I250" t="n">
        <v>0</v>
      </c>
      <c r="J250" t="n">
        <v>0</v>
      </c>
      <c r="K250" t="n">
        <v>0</v>
      </c>
      <c r="L250" t="n">
        <v>0</v>
      </c>
      <c r="M250" t="n">
        <v>0</v>
      </c>
      <c r="N250" t="n">
        <v>0</v>
      </c>
      <c r="O250" t="n">
        <v>0</v>
      </c>
      <c r="P250" t="n">
        <v>0</v>
      </c>
      <c r="Q250" t="n">
        <v>0</v>
      </c>
      <c r="R250" s="2" t="inlineStr"/>
    </row>
    <row r="251" ht="15" customHeight="1">
      <c r="A251" t="inlineStr">
        <is>
          <t>A 27177-2025</t>
        </is>
      </c>
      <c r="B251" s="1" t="n">
        <v>45812.3533912037</v>
      </c>
      <c r="C251" s="1" t="n">
        <v>46001</v>
      </c>
      <c r="D251" t="inlineStr">
        <is>
          <t>DALARNAS LÄN</t>
        </is>
      </c>
      <c r="E251" t="inlineStr">
        <is>
          <t>MORA</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27194-2025</t>
        </is>
      </c>
      <c r="B252" s="1" t="n">
        <v>45812.37965277778</v>
      </c>
      <c r="C252" s="1" t="n">
        <v>46001</v>
      </c>
      <c r="D252" t="inlineStr">
        <is>
          <t>DALARNAS LÄN</t>
        </is>
      </c>
      <c r="E252" t="inlineStr">
        <is>
          <t>MORA</t>
        </is>
      </c>
      <c r="G252" t="n">
        <v>2.4</v>
      </c>
      <c r="H252" t="n">
        <v>0</v>
      </c>
      <c r="I252" t="n">
        <v>0</v>
      </c>
      <c r="J252" t="n">
        <v>0</v>
      </c>
      <c r="K252" t="n">
        <v>0</v>
      </c>
      <c r="L252" t="n">
        <v>0</v>
      </c>
      <c r="M252" t="n">
        <v>0</v>
      </c>
      <c r="N252" t="n">
        <v>0</v>
      </c>
      <c r="O252" t="n">
        <v>0</v>
      </c>
      <c r="P252" t="n">
        <v>0</v>
      </c>
      <c r="Q252" t="n">
        <v>0</v>
      </c>
      <c r="R252" s="2" t="inlineStr"/>
    </row>
    <row r="253" ht="15" customHeight="1">
      <c r="A253" t="inlineStr">
        <is>
          <t>A 14611-2025</t>
        </is>
      </c>
      <c r="B253" s="1" t="n">
        <v>45742.38511574074</v>
      </c>
      <c r="C253" s="1" t="n">
        <v>46001</v>
      </c>
      <c r="D253" t="inlineStr">
        <is>
          <t>DALARNAS LÄN</t>
        </is>
      </c>
      <c r="E253" t="inlineStr">
        <is>
          <t>MORA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42934-2024</t>
        </is>
      </c>
      <c r="B254" s="1" t="n">
        <v>45567.33655092592</v>
      </c>
      <c r="C254" s="1" t="n">
        <v>46001</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27175-2025</t>
        </is>
      </c>
      <c r="B255" s="1" t="n">
        <v>45812.35072916667</v>
      </c>
      <c r="C255" s="1" t="n">
        <v>46001</v>
      </c>
      <c r="D255" t="inlineStr">
        <is>
          <t>DALARNAS LÄN</t>
        </is>
      </c>
      <c r="E255" t="inlineStr">
        <is>
          <t>MORA</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46001</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46001</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27184-2025</t>
        </is>
      </c>
      <c r="B258" s="1" t="n">
        <v>45812.36133101852</v>
      </c>
      <c r="C258" s="1" t="n">
        <v>46001</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42112-2025</t>
        </is>
      </c>
      <c r="B259" s="1" t="n">
        <v>45904.32134259259</v>
      </c>
      <c r="C259" s="1" t="n">
        <v>46001</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17268-2025</t>
        </is>
      </c>
      <c r="B260" s="1" t="n">
        <v>45756</v>
      </c>
      <c r="C260" s="1" t="n">
        <v>46001</v>
      </c>
      <c r="D260" t="inlineStr">
        <is>
          <t>DALARNAS LÄN</t>
        </is>
      </c>
      <c r="E260" t="inlineStr">
        <is>
          <t>MORA</t>
        </is>
      </c>
      <c r="G260" t="n">
        <v>6.8</v>
      </c>
      <c r="H260" t="n">
        <v>0</v>
      </c>
      <c r="I260" t="n">
        <v>0</v>
      </c>
      <c r="J260" t="n">
        <v>0</v>
      </c>
      <c r="K260" t="n">
        <v>0</v>
      </c>
      <c r="L260" t="n">
        <v>0</v>
      </c>
      <c r="M260" t="n">
        <v>0</v>
      </c>
      <c r="N260" t="n">
        <v>0</v>
      </c>
      <c r="O260" t="n">
        <v>0</v>
      </c>
      <c r="P260" t="n">
        <v>0</v>
      </c>
      <c r="Q260" t="n">
        <v>0</v>
      </c>
      <c r="R260" s="2" t="inlineStr"/>
    </row>
    <row r="261" ht="15" customHeight="1">
      <c r="A261" t="inlineStr">
        <is>
          <t>A 61654-2024</t>
        </is>
      </c>
      <c r="B261" s="1" t="n">
        <v>45646.74988425926</v>
      </c>
      <c r="C261" s="1" t="n">
        <v>46001</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42813-2025</t>
        </is>
      </c>
      <c r="B262" s="1" t="n">
        <v>45908.56168981481</v>
      </c>
      <c r="C262" s="1" t="n">
        <v>46001</v>
      </c>
      <c r="D262" t="inlineStr">
        <is>
          <t>DALARNAS LÄN</t>
        </is>
      </c>
      <c r="E262" t="inlineStr">
        <is>
          <t>MORA</t>
        </is>
      </c>
      <c r="G262" t="n">
        <v>4.3</v>
      </c>
      <c r="H262" t="n">
        <v>0</v>
      </c>
      <c r="I262" t="n">
        <v>0</v>
      </c>
      <c r="J262" t="n">
        <v>0</v>
      </c>
      <c r="K262" t="n">
        <v>0</v>
      </c>
      <c r="L262" t="n">
        <v>0</v>
      </c>
      <c r="M262" t="n">
        <v>0</v>
      </c>
      <c r="N262" t="n">
        <v>0</v>
      </c>
      <c r="O262" t="n">
        <v>0</v>
      </c>
      <c r="P262" t="n">
        <v>0</v>
      </c>
      <c r="Q262" t="n">
        <v>0</v>
      </c>
      <c r="R262" s="2" t="inlineStr"/>
    </row>
    <row r="263" ht="15" customHeight="1">
      <c r="A263" t="inlineStr">
        <is>
          <t>A 27642-2025</t>
        </is>
      </c>
      <c r="B263" s="1" t="n">
        <v>45813.59405092592</v>
      </c>
      <c r="C263" s="1" t="n">
        <v>46001</v>
      </c>
      <c r="D263" t="inlineStr">
        <is>
          <t>DALARNAS LÄN</t>
        </is>
      </c>
      <c r="E263" t="inlineStr">
        <is>
          <t>MORA</t>
        </is>
      </c>
      <c r="G263" t="n">
        <v>2.5</v>
      </c>
      <c r="H263" t="n">
        <v>0</v>
      </c>
      <c r="I263" t="n">
        <v>0</v>
      </c>
      <c r="J263" t="n">
        <v>0</v>
      </c>
      <c r="K263" t="n">
        <v>0</v>
      </c>
      <c r="L263" t="n">
        <v>0</v>
      </c>
      <c r="M263" t="n">
        <v>0</v>
      </c>
      <c r="N263" t="n">
        <v>0</v>
      </c>
      <c r="O263" t="n">
        <v>0</v>
      </c>
      <c r="P263" t="n">
        <v>0</v>
      </c>
      <c r="Q263" t="n">
        <v>0</v>
      </c>
      <c r="R263" s="2" t="inlineStr"/>
    </row>
    <row r="264" ht="15" customHeight="1">
      <c r="A264" t="inlineStr">
        <is>
          <t>A 28033-2025</t>
        </is>
      </c>
      <c r="B264" s="1" t="n">
        <v>45817.6325462963</v>
      </c>
      <c r="C264" s="1" t="n">
        <v>46001</v>
      </c>
      <c r="D264" t="inlineStr">
        <is>
          <t>DALARNAS LÄN</t>
        </is>
      </c>
      <c r="E264" t="inlineStr">
        <is>
          <t>MORA</t>
        </is>
      </c>
      <c r="F264" t="inlineStr">
        <is>
          <t>Bergvik skog öst AB</t>
        </is>
      </c>
      <c r="G264" t="n">
        <v>12.8</v>
      </c>
      <c r="H264" t="n">
        <v>0</v>
      </c>
      <c r="I264" t="n">
        <v>0</v>
      </c>
      <c r="J264" t="n">
        <v>0</v>
      </c>
      <c r="K264" t="n">
        <v>0</v>
      </c>
      <c r="L264" t="n">
        <v>0</v>
      </c>
      <c r="M264" t="n">
        <v>0</v>
      </c>
      <c r="N264" t="n">
        <v>0</v>
      </c>
      <c r="O264" t="n">
        <v>0</v>
      </c>
      <c r="P264" t="n">
        <v>0</v>
      </c>
      <c r="Q264" t="n">
        <v>0</v>
      </c>
      <c r="R264" s="2" t="inlineStr"/>
    </row>
    <row r="265" ht="15" customHeight="1">
      <c r="A265" t="inlineStr">
        <is>
          <t>A 42830-2025</t>
        </is>
      </c>
      <c r="B265" s="1" t="n">
        <v>45908.57753472222</v>
      </c>
      <c r="C265" s="1" t="n">
        <v>46001</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42947-2025</t>
        </is>
      </c>
      <c r="B266" s="1" t="n">
        <v>45909.34799768519</v>
      </c>
      <c r="C266" s="1" t="n">
        <v>46001</v>
      </c>
      <c r="D266" t="inlineStr">
        <is>
          <t>DALARNAS LÄN</t>
        </is>
      </c>
      <c r="E266" t="inlineStr">
        <is>
          <t>MORA</t>
        </is>
      </c>
      <c r="F266" t="inlineStr">
        <is>
          <t>Allmännings- och besparingsskogar</t>
        </is>
      </c>
      <c r="G266" t="n">
        <v>6.2</v>
      </c>
      <c r="H266" t="n">
        <v>0</v>
      </c>
      <c r="I266" t="n">
        <v>0</v>
      </c>
      <c r="J266" t="n">
        <v>0</v>
      </c>
      <c r="K266" t="n">
        <v>0</v>
      </c>
      <c r="L266" t="n">
        <v>0</v>
      </c>
      <c r="M266" t="n">
        <v>0</v>
      </c>
      <c r="N266" t="n">
        <v>0</v>
      </c>
      <c r="O266" t="n">
        <v>0</v>
      </c>
      <c r="P266" t="n">
        <v>0</v>
      </c>
      <c r="Q266" t="n">
        <v>0</v>
      </c>
      <c r="R266" s="2" t="inlineStr"/>
    </row>
    <row r="267" ht="15" customHeight="1">
      <c r="A267" t="inlineStr">
        <is>
          <t>A 42954-2025</t>
        </is>
      </c>
      <c r="B267" s="1" t="n">
        <v>45909.3578125</v>
      </c>
      <c r="C267" s="1" t="n">
        <v>46001</v>
      </c>
      <c r="D267" t="inlineStr">
        <is>
          <t>DALARNAS LÄN</t>
        </is>
      </c>
      <c r="E267" t="inlineStr">
        <is>
          <t>MORA</t>
        </is>
      </c>
      <c r="G267" t="n">
        <v>2.5</v>
      </c>
      <c r="H267" t="n">
        <v>0</v>
      </c>
      <c r="I267" t="n">
        <v>0</v>
      </c>
      <c r="J267" t="n">
        <v>0</v>
      </c>
      <c r="K267" t="n">
        <v>0</v>
      </c>
      <c r="L267" t="n">
        <v>0</v>
      </c>
      <c r="M267" t="n">
        <v>0</v>
      </c>
      <c r="N267" t="n">
        <v>0</v>
      </c>
      <c r="O267" t="n">
        <v>0</v>
      </c>
      <c r="P267" t="n">
        <v>0</v>
      </c>
      <c r="Q267" t="n">
        <v>0</v>
      </c>
      <c r="R267" s="2" t="inlineStr"/>
    </row>
    <row r="268" ht="15" customHeight="1">
      <c r="A268" t="inlineStr">
        <is>
          <t>A 42960-2025</t>
        </is>
      </c>
      <c r="B268" s="1" t="n">
        <v>45909.36631944445</v>
      </c>
      <c r="C268" s="1" t="n">
        <v>46001</v>
      </c>
      <c r="D268" t="inlineStr">
        <is>
          <t>DALARNAS LÄN</t>
        </is>
      </c>
      <c r="E268" t="inlineStr">
        <is>
          <t>MORA</t>
        </is>
      </c>
      <c r="G268" t="n">
        <v>0.7</v>
      </c>
      <c r="H268" t="n">
        <v>0</v>
      </c>
      <c r="I268" t="n">
        <v>0</v>
      </c>
      <c r="J268" t="n">
        <v>0</v>
      </c>
      <c r="K268" t="n">
        <v>0</v>
      </c>
      <c r="L268" t="n">
        <v>0</v>
      </c>
      <c r="M268" t="n">
        <v>0</v>
      </c>
      <c r="N268" t="n">
        <v>0</v>
      </c>
      <c r="O268" t="n">
        <v>0</v>
      </c>
      <c r="P268" t="n">
        <v>0</v>
      </c>
      <c r="Q268" t="n">
        <v>0</v>
      </c>
      <c r="R268" s="2" t="inlineStr"/>
    </row>
    <row r="269" ht="15" customHeight="1">
      <c r="A269" t="inlineStr">
        <is>
          <t>A 54628-2024</t>
        </is>
      </c>
      <c r="B269" s="1" t="n">
        <v>45617.83969907407</v>
      </c>
      <c r="C269" s="1" t="n">
        <v>46001</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1252-2025</t>
        </is>
      </c>
      <c r="B270" s="1" t="n">
        <v>45667.46648148148</v>
      </c>
      <c r="C270" s="1" t="n">
        <v>46001</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39348-2024</t>
        </is>
      </c>
      <c r="B271" s="1" t="n">
        <v>45551.45322916667</v>
      </c>
      <c r="C271" s="1" t="n">
        <v>46001</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43153-2025</t>
        </is>
      </c>
      <c r="B272" s="1" t="n">
        <v>45910.34449074074</v>
      </c>
      <c r="C272" s="1" t="n">
        <v>46001</v>
      </c>
      <c r="D272" t="inlineStr">
        <is>
          <t>DALARNAS LÄN</t>
        </is>
      </c>
      <c r="E272" t="inlineStr">
        <is>
          <t>MORA</t>
        </is>
      </c>
      <c r="G272" t="n">
        <v>3.9</v>
      </c>
      <c r="H272" t="n">
        <v>0</v>
      </c>
      <c r="I272" t="n">
        <v>0</v>
      </c>
      <c r="J272" t="n">
        <v>0</v>
      </c>
      <c r="K272" t="n">
        <v>0</v>
      </c>
      <c r="L272" t="n">
        <v>0</v>
      </c>
      <c r="M272" t="n">
        <v>0</v>
      </c>
      <c r="N272" t="n">
        <v>0</v>
      </c>
      <c r="O272" t="n">
        <v>0</v>
      </c>
      <c r="P272" t="n">
        <v>0</v>
      </c>
      <c r="Q272" t="n">
        <v>0</v>
      </c>
      <c r="R272" s="2" t="inlineStr"/>
    </row>
    <row r="273" ht="15" customHeight="1">
      <c r="A273" t="inlineStr">
        <is>
          <t>A 43157-2025</t>
        </is>
      </c>
      <c r="B273" s="1" t="n">
        <v>45910.34953703704</v>
      </c>
      <c r="C273" s="1" t="n">
        <v>46001</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28751-2025</t>
        </is>
      </c>
      <c r="B274" s="1" t="n">
        <v>45820.40034722222</v>
      </c>
      <c r="C274" s="1" t="n">
        <v>46001</v>
      </c>
      <c r="D274" t="inlineStr">
        <is>
          <t>DALARNAS LÄN</t>
        </is>
      </c>
      <c r="E274" t="inlineStr">
        <is>
          <t>MORA</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43474-2025</t>
        </is>
      </c>
      <c r="B275" s="1" t="n">
        <v>45911.48967592593</v>
      </c>
      <c r="C275" s="1" t="n">
        <v>46001</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2830-2023</t>
        </is>
      </c>
      <c r="B276" s="1" t="n">
        <v>44945.32997685186</v>
      </c>
      <c r="C276" s="1" t="n">
        <v>46001</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28925-2025</t>
        </is>
      </c>
      <c r="B277" s="1" t="n">
        <v>45820.67107638889</v>
      </c>
      <c r="C277" s="1" t="n">
        <v>46001</v>
      </c>
      <c r="D277" t="inlineStr">
        <is>
          <t>DALARNAS LÄN</t>
        </is>
      </c>
      <c r="E277" t="inlineStr">
        <is>
          <t>MORA</t>
        </is>
      </c>
      <c r="G277" t="n">
        <v>3.7</v>
      </c>
      <c r="H277" t="n">
        <v>0</v>
      </c>
      <c r="I277" t="n">
        <v>0</v>
      </c>
      <c r="J277" t="n">
        <v>0</v>
      </c>
      <c r="K277" t="n">
        <v>0</v>
      </c>
      <c r="L277" t="n">
        <v>0</v>
      </c>
      <c r="M277" t="n">
        <v>0</v>
      </c>
      <c r="N277" t="n">
        <v>0</v>
      </c>
      <c r="O277" t="n">
        <v>0</v>
      </c>
      <c r="P277" t="n">
        <v>0</v>
      </c>
      <c r="Q277" t="n">
        <v>0</v>
      </c>
      <c r="R277" s="2" t="inlineStr"/>
    </row>
    <row r="278" ht="15" customHeight="1">
      <c r="A278" t="inlineStr">
        <is>
          <t>A 28927-2025</t>
        </is>
      </c>
      <c r="B278" s="1" t="n">
        <v>45820.67221064815</v>
      </c>
      <c r="C278" s="1" t="n">
        <v>46001</v>
      </c>
      <c r="D278" t="inlineStr">
        <is>
          <t>DALARNAS LÄN</t>
        </is>
      </c>
      <c r="E278" t="inlineStr">
        <is>
          <t>MORA</t>
        </is>
      </c>
      <c r="G278" t="n">
        <v>0.4</v>
      </c>
      <c r="H278" t="n">
        <v>0</v>
      </c>
      <c r="I278" t="n">
        <v>0</v>
      </c>
      <c r="J278" t="n">
        <v>0</v>
      </c>
      <c r="K278" t="n">
        <v>0</v>
      </c>
      <c r="L278" t="n">
        <v>0</v>
      </c>
      <c r="M278" t="n">
        <v>0</v>
      </c>
      <c r="N278" t="n">
        <v>0</v>
      </c>
      <c r="O278" t="n">
        <v>0</v>
      </c>
      <c r="P278" t="n">
        <v>0</v>
      </c>
      <c r="Q278" t="n">
        <v>0</v>
      </c>
      <c r="R278" s="2" t="inlineStr"/>
    </row>
    <row r="279" ht="15" customHeight="1">
      <c r="A279" t="inlineStr">
        <is>
          <t>A 43569-2025</t>
        </is>
      </c>
      <c r="B279" s="1" t="n">
        <v>45911.63363425926</v>
      </c>
      <c r="C279" s="1" t="n">
        <v>46001</v>
      </c>
      <c r="D279" t="inlineStr">
        <is>
          <t>DALARNAS LÄN</t>
        </is>
      </c>
      <c r="E279" t="inlineStr">
        <is>
          <t>MORA</t>
        </is>
      </c>
      <c r="G279" t="n">
        <v>4.7</v>
      </c>
      <c r="H279" t="n">
        <v>0</v>
      </c>
      <c r="I279" t="n">
        <v>0</v>
      </c>
      <c r="J279" t="n">
        <v>0</v>
      </c>
      <c r="K279" t="n">
        <v>0</v>
      </c>
      <c r="L279" t="n">
        <v>0</v>
      </c>
      <c r="M279" t="n">
        <v>0</v>
      </c>
      <c r="N279" t="n">
        <v>0</v>
      </c>
      <c r="O279" t="n">
        <v>0</v>
      </c>
      <c r="P279" t="n">
        <v>0</v>
      </c>
      <c r="Q279" t="n">
        <v>0</v>
      </c>
      <c r="R279" s="2" t="inlineStr"/>
    </row>
    <row r="280" ht="15" customHeight="1">
      <c r="A280" t="inlineStr">
        <is>
          <t>A 28924-2025</t>
        </is>
      </c>
      <c r="B280" s="1" t="n">
        <v>45820.66846064815</v>
      </c>
      <c r="C280" s="1" t="n">
        <v>46001</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43811-2025</t>
        </is>
      </c>
      <c r="B281" s="1" t="n">
        <v>45912.58710648148</v>
      </c>
      <c r="C281" s="1" t="n">
        <v>46001</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29425-2025</t>
        </is>
      </c>
      <c r="B282" s="1" t="n">
        <v>45824.64524305556</v>
      </c>
      <c r="C282" s="1" t="n">
        <v>46001</v>
      </c>
      <c r="D282" t="inlineStr">
        <is>
          <t>DALARNAS LÄN</t>
        </is>
      </c>
      <c r="E282" t="inlineStr">
        <is>
          <t>MORA</t>
        </is>
      </c>
      <c r="G282" t="n">
        <v>4.4</v>
      </c>
      <c r="H282" t="n">
        <v>0</v>
      </c>
      <c r="I282" t="n">
        <v>0</v>
      </c>
      <c r="J282" t="n">
        <v>0</v>
      </c>
      <c r="K282" t="n">
        <v>0</v>
      </c>
      <c r="L282" t="n">
        <v>0</v>
      </c>
      <c r="M282" t="n">
        <v>0</v>
      </c>
      <c r="N282" t="n">
        <v>0</v>
      </c>
      <c r="O282" t="n">
        <v>0</v>
      </c>
      <c r="P282" t="n">
        <v>0</v>
      </c>
      <c r="Q282" t="n">
        <v>0</v>
      </c>
      <c r="R282" s="2" t="inlineStr"/>
    </row>
    <row r="283" ht="15" customHeight="1">
      <c r="A283" t="inlineStr">
        <is>
          <t>A 28976-2025</t>
        </is>
      </c>
      <c r="B283" s="1" t="n">
        <v>45821.34855324074</v>
      </c>
      <c r="C283" s="1" t="n">
        <v>46001</v>
      </c>
      <c r="D283" t="inlineStr">
        <is>
          <t>DALARNAS LÄN</t>
        </is>
      </c>
      <c r="E283" t="inlineStr">
        <is>
          <t>MORA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29440-2025</t>
        </is>
      </c>
      <c r="B284" s="1" t="n">
        <v>45824.65862268519</v>
      </c>
      <c r="C284" s="1" t="n">
        <v>46001</v>
      </c>
      <c r="D284" t="inlineStr">
        <is>
          <t>DALARNAS LÄN</t>
        </is>
      </c>
      <c r="E284" t="inlineStr">
        <is>
          <t>MORA</t>
        </is>
      </c>
      <c r="G284" t="n">
        <v>1.7</v>
      </c>
      <c r="H284" t="n">
        <v>0</v>
      </c>
      <c r="I284" t="n">
        <v>0</v>
      </c>
      <c r="J284" t="n">
        <v>0</v>
      </c>
      <c r="K284" t="n">
        <v>0</v>
      </c>
      <c r="L284" t="n">
        <v>0</v>
      </c>
      <c r="M284" t="n">
        <v>0</v>
      </c>
      <c r="N284" t="n">
        <v>0</v>
      </c>
      <c r="O284" t="n">
        <v>0</v>
      </c>
      <c r="P284" t="n">
        <v>0</v>
      </c>
      <c r="Q284" t="n">
        <v>0</v>
      </c>
      <c r="R284" s="2" t="inlineStr"/>
    </row>
    <row r="285" ht="15" customHeight="1">
      <c r="A285" t="inlineStr">
        <is>
          <t>A 29068-2025</t>
        </is>
      </c>
      <c r="B285" s="1" t="n">
        <v>45821.50900462963</v>
      </c>
      <c r="C285" s="1" t="n">
        <v>46001</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29870-2025</t>
        </is>
      </c>
      <c r="B286" s="1" t="n">
        <v>45826.35716435185</v>
      </c>
      <c r="C286" s="1" t="n">
        <v>46001</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29873-2025</t>
        </is>
      </c>
      <c r="B287" s="1" t="n">
        <v>45826</v>
      </c>
      <c r="C287" s="1" t="n">
        <v>46001</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44384-2025</t>
        </is>
      </c>
      <c r="B288" s="1" t="n">
        <v>45916.48513888889</v>
      </c>
      <c r="C288" s="1" t="n">
        <v>46001</v>
      </c>
      <c r="D288" t="inlineStr">
        <is>
          <t>DALARNAS LÄN</t>
        </is>
      </c>
      <c r="E288" t="inlineStr">
        <is>
          <t>MORA</t>
        </is>
      </c>
      <c r="F288" t="inlineStr">
        <is>
          <t>Kyrkan</t>
        </is>
      </c>
      <c r="G288" t="n">
        <v>5.1</v>
      </c>
      <c r="H288" t="n">
        <v>0</v>
      </c>
      <c r="I288" t="n">
        <v>0</v>
      </c>
      <c r="J288" t="n">
        <v>0</v>
      </c>
      <c r="K288" t="n">
        <v>0</v>
      </c>
      <c r="L288" t="n">
        <v>0</v>
      </c>
      <c r="M288" t="n">
        <v>0</v>
      </c>
      <c r="N288" t="n">
        <v>0</v>
      </c>
      <c r="O288" t="n">
        <v>0</v>
      </c>
      <c r="P288" t="n">
        <v>0</v>
      </c>
      <c r="Q288" t="n">
        <v>0</v>
      </c>
      <c r="R288" s="2" t="inlineStr"/>
    </row>
    <row r="289" ht="15" customHeight="1">
      <c r="A289" t="inlineStr">
        <is>
          <t>A 34660-2021</t>
        </is>
      </c>
      <c r="B289" s="1" t="n">
        <v>44382.57981481482</v>
      </c>
      <c r="C289" s="1" t="n">
        <v>46001</v>
      </c>
      <c r="D289" t="inlineStr">
        <is>
          <t>DALARNAS LÄN</t>
        </is>
      </c>
      <c r="E289" t="inlineStr">
        <is>
          <t>MORA</t>
        </is>
      </c>
      <c r="G289" t="n">
        <v>7.5</v>
      </c>
      <c r="H289" t="n">
        <v>0</v>
      </c>
      <c r="I289" t="n">
        <v>0</v>
      </c>
      <c r="J289" t="n">
        <v>0</v>
      </c>
      <c r="K289" t="n">
        <v>0</v>
      </c>
      <c r="L289" t="n">
        <v>0</v>
      </c>
      <c r="M289" t="n">
        <v>0</v>
      </c>
      <c r="N289" t="n">
        <v>0</v>
      </c>
      <c r="O289" t="n">
        <v>0</v>
      </c>
      <c r="P289" t="n">
        <v>0</v>
      </c>
      <c r="Q289" t="n">
        <v>0</v>
      </c>
      <c r="R289" s="2" t="inlineStr"/>
    </row>
    <row r="290" ht="15" customHeight="1">
      <c r="A290" t="inlineStr">
        <is>
          <t>A 29528-2025</t>
        </is>
      </c>
      <c r="B290" s="1" t="n">
        <v>45825.34322916667</v>
      </c>
      <c r="C290" s="1" t="n">
        <v>46001</v>
      </c>
      <c r="D290" t="inlineStr">
        <is>
          <t>DALARNAS LÄN</t>
        </is>
      </c>
      <c r="E290" t="inlineStr">
        <is>
          <t>MORA</t>
        </is>
      </c>
      <c r="G290" t="n">
        <v>2.2</v>
      </c>
      <c r="H290" t="n">
        <v>0</v>
      </c>
      <c r="I290" t="n">
        <v>0</v>
      </c>
      <c r="J290" t="n">
        <v>0</v>
      </c>
      <c r="K290" t="n">
        <v>0</v>
      </c>
      <c r="L290" t="n">
        <v>0</v>
      </c>
      <c r="M290" t="n">
        <v>0</v>
      </c>
      <c r="N290" t="n">
        <v>0</v>
      </c>
      <c r="O290" t="n">
        <v>0</v>
      </c>
      <c r="P290" t="n">
        <v>0</v>
      </c>
      <c r="Q290" t="n">
        <v>0</v>
      </c>
      <c r="R290" s="2" t="inlineStr"/>
    </row>
    <row r="291" ht="15" customHeight="1">
      <c r="A291" t="inlineStr">
        <is>
          <t>A 2308-2023</t>
        </is>
      </c>
      <c r="B291" s="1" t="n">
        <v>44942.57987268519</v>
      </c>
      <c r="C291" s="1" t="n">
        <v>46001</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53556-2025</t>
        </is>
      </c>
      <c r="B292" s="1" t="n">
        <v>45960.3921875</v>
      </c>
      <c r="C292" s="1" t="n">
        <v>46001</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53632-2025</t>
        </is>
      </c>
      <c r="B293" s="1" t="n">
        <v>45960.49972222222</v>
      </c>
      <c r="C293" s="1" t="n">
        <v>46001</v>
      </c>
      <c r="D293" t="inlineStr">
        <is>
          <t>DALARNAS LÄN</t>
        </is>
      </c>
      <c r="E293" t="inlineStr">
        <is>
          <t>MORA</t>
        </is>
      </c>
      <c r="G293" t="n">
        <v>3.1</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46001</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30087-2025</t>
        </is>
      </c>
      <c r="B295" s="1" t="n">
        <v>45826.6575</v>
      </c>
      <c r="C295" s="1" t="n">
        <v>46001</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53591-2025</t>
        </is>
      </c>
      <c r="B296" s="1" t="n">
        <v>45960.43893518519</v>
      </c>
      <c r="C296" s="1" t="n">
        <v>46001</v>
      </c>
      <c r="D296" t="inlineStr">
        <is>
          <t>DALARNAS LÄN</t>
        </is>
      </c>
      <c r="E296" t="inlineStr">
        <is>
          <t>MORA</t>
        </is>
      </c>
      <c r="G296" t="n">
        <v>3.8</v>
      </c>
      <c r="H296" t="n">
        <v>0</v>
      </c>
      <c r="I296" t="n">
        <v>0</v>
      </c>
      <c r="J296" t="n">
        <v>0</v>
      </c>
      <c r="K296" t="n">
        <v>0</v>
      </c>
      <c r="L296" t="n">
        <v>0</v>
      </c>
      <c r="M296" t="n">
        <v>0</v>
      </c>
      <c r="N296" t="n">
        <v>0</v>
      </c>
      <c r="O296" t="n">
        <v>0</v>
      </c>
      <c r="P296" t="n">
        <v>0</v>
      </c>
      <c r="Q296" t="n">
        <v>0</v>
      </c>
      <c r="R296" s="2" t="inlineStr"/>
    </row>
    <row r="297" ht="15" customHeight="1">
      <c r="A297" t="inlineStr">
        <is>
          <t>A 30166-2025</t>
        </is>
      </c>
      <c r="B297" s="1" t="n">
        <v>45827.33116898148</v>
      </c>
      <c r="C297" s="1" t="n">
        <v>46001</v>
      </c>
      <c r="D297" t="inlineStr">
        <is>
          <t>DALARNAS LÄN</t>
        </is>
      </c>
      <c r="E297" t="inlineStr">
        <is>
          <t>MORA</t>
        </is>
      </c>
      <c r="G297" t="n">
        <v>1.3</v>
      </c>
      <c r="H297" t="n">
        <v>0</v>
      </c>
      <c r="I297" t="n">
        <v>0</v>
      </c>
      <c r="J297" t="n">
        <v>0</v>
      </c>
      <c r="K297" t="n">
        <v>0</v>
      </c>
      <c r="L297" t="n">
        <v>0</v>
      </c>
      <c r="M297" t="n">
        <v>0</v>
      </c>
      <c r="N297" t="n">
        <v>0</v>
      </c>
      <c r="O297" t="n">
        <v>0</v>
      </c>
      <c r="P297" t="n">
        <v>0</v>
      </c>
      <c r="Q297" t="n">
        <v>0</v>
      </c>
      <c r="R297" s="2" t="inlineStr"/>
    </row>
    <row r="298" ht="15" customHeight="1">
      <c r="A298" t="inlineStr">
        <is>
          <t>A 44621-2025</t>
        </is>
      </c>
      <c r="B298" s="1" t="n">
        <v>45917.466875</v>
      </c>
      <c r="C298" s="1" t="n">
        <v>46001</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53560-2025</t>
        </is>
      </c>
      <c r="B299" s="1" t="n">
        <v>45960.39960648148</v>
      </c>
      <c r="C299" s="1" t="n">
        <v>46001</v>
      </c>
      <c r="D299" t="inlineStr">
        <is>
          <t>DALARNAS LÄN</t>
        </is>
      </c>
      <c r="E299" t="inlineStr">
        <is>
          <t>MORA</t>
        </is>
      </c>
      <c r="G299" t="n">
        <v>5.2</v>
      </c>
      <c r="H299" t="n">
        <v>0</v>
      </c>
      <c r="I299" t="n">
        <v>0</v>
      </c>
      <c r="J299" t="n">
        <v>0</v>
      </c>
      <c r="K299" t="n">
        <v>0</v>
      </c>
      <c r="L299" t="n">
        <v>0</v>
      </c>
      <c r="M299" t="n">
        <v>0</v>
      </c>
      <c r="N299" t="n">
        <v>0</v>
      </c>
      <c r="O299" t="n">
        <v>0</v>
      </c>
      <c r="P299" t="n">
        <v>0</v>
      </c>
      <c r="Q299" t="n">
        <v>0</v>
      </c>
      <c r="R299" s="2" t="inlineStr"/>
    </row>
    <row r="300" ht="15" customHeight="1">
      <c r="A300" t="inlineStr">
        <is>
          <t>A 53565-2025</t>
        </is>
      </c>
      <c r="B300" s="1" t="n">
        <v>45960.40711805555</v>
      </c>
      <c r="C300" s="1" t="n">
        <v>46001</v>
      </c>
      <c r="D300" t="inlineStr">
        <is>
          <t>DALARNAS LÄN</t>
        </is>
      </c>
      <c r="E300" t="inlineStr">
        <is>
          <t>MORA</t>
        </is>
      </c>
      <c r="G300" t="n">
        <v>5.1</v>
      </c>
      <c r="H300" t="n">
        <v>0</v>
      </c>
      <c r="I300" t="n">
        <v>0</v>
      </c>
      <c r="J300" t="n">
        <v>0</v>
      </c>
      <c r="K300" t="n">
        <v>0</v>
      </c>
      <c r="L300" t="n">
        <v>0</v>
      </c>
      <c r="M300" t="n">
        <v>0</v>
      </c>
      <c r="N300" t="n">
        <v>0</v>
      </c>
      <c r="O300" t="n">
        <v>0</v>
      </c>
      <c r="P300" t="n">
        <v>0</v>
      </c>
      <c r="Q300" t="n">
        <v>0</v>
      </c>
      <c r="R300" s="2" t="inlineStr"/>
    </row>
    <row r="301" ht="15" customHeight="1">
      <c r="A301" t="inlineStr">
        <is>
          <t>A 53562-2025</t>
        </is>
      </c>
      <c r="B301" s="1" t="n">
        <v>45960.40662037037</v>
      </c>
      <c r="C301" s="1" t="n">
        <v>46001</v>
      </c>
      <c r="D301" t="inlineStr">
        <is>
          <t>DALARNAS LÄN</t>
        </is>
      </c>
      <c r="E301" t="inlineStr">
        <is>
          <t>MORA</t>
        </is>
      </c>
      <c r="G301" t="n">
        <v>5.1</v>
      </c>
      <c r="H301" t="n">
        <v>0</v>
      </c>
      <c r="I301" t="n">
        <v>0</v>
      </c>
      <c r="J301" t="n">
        <v>0</v>
      </c>
      <c r="K301" t="n">
        <v>0</v>
      </c>
      <c r="L301" t="n">
        <v>0</v>
      </c>
      <c r="M301" t="n">
        <v>0</v>
      </c>
      <c r="N301" t="n">
        <v>0</v>
      </c>
      <c r="O301" t="n">
        <v>0</v>
      </c>
      <c r="P301" t="n">
        <v>0</v>
      </c>
      <c r="Q301" t="n">
        <v>0</v>
      </c>
      <c r="R301" s="2" t="inlineStr"/>
    </row>
    <row r="302" ht="15" customHeight="1">
      <c r="A302" t="inlineStr">
        <is>
          <t>A 30507-2025</t>
        </is>
      </c>
      <c r="B302" s="1" t="n">
        <v>45831.24760416667</v>
      </c>
      <c r="C302" s="1" t="n">
        <v>46001</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40325-2024</t>
        </is>
      </c>
      <c r="B303" s="1" t="n">
        <v>45554.88538194444</v>
      </c>
      <c r="C303" s="1" t="n">
        <v>46001</v>
      </c>
      <c r="D303" t="inlineStr">
        <is>
          <t>DALARNAS LÄN</t>
        </is>
      </c>
      <c r="E303" t="inlineStr">
        <is>
          <t>MORA</t>
        </is>
      </c>
      <c r="G303" t="n">
        <v>2.8</v>
      </c>
      <c r="H303" t="n">
        <v>0</v>
      </c>
      <c r="I303" t="n">
        <v>0</v>
      </c>
      <c r="J303" t="n">
        <v>0</v>
      </c>
      <c r="K303" t="n">
        <v>0</v>
      </c>
      <c r="L303" t="n">
        <v>0</v>
      </c>
      <c r="M303" t="n">
        <v>0</v>
      </c>
      <c r="N303" t="n">
        <v>0</v>
      </c>
      <c r="O303" t="n">
        <v>0</v>
      </c>
      <c r="P303" t="n">
        <v>0</v>
      </c>
      <c r="Q303" t="n">
        <v>0</v>
      </c>
      <c r="R303" s="2" t="inlineStr"/>
    </row>
    <row r="304" ht="15" customHeight="1">
      <c r="A304" t="inlineStr">
        <is>
          <t>A 53982-2025</t>
        </is>
      </c>
      <c r="B304" s="1" t="n">
        <v>45961.57019675926</v>
      </c>
      <c r="C304" s="1" t="n">
        <v>46001</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30858-2025</t>
        </is>
      </c>
      <c r="B305" s="1" t="n">
        <v>45831.92416666666</v>
      </c>
      <c r="C305" s="1" t="n">
        <v>46001</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30859-2025</t>
        </is>
      </c>
      <c r="B306" s="1" t="n">
        <v>45831.93105324074</v>
      </c>
      <c r="C306" s="1" t="n">
        <v>46001</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30989-2025</t>
        </is>
      </c>
      <c r="B307" s="1" t="n">
        <v>45832.48185185185</v>
      </c>
      <c r="C307" s="1" t="n">
        <v>46001</v>
      </c>
      <c r="D307" t="inlineStr">
        <is>
          <t>DALARNAS LÄN</t>
        </is>
      </c>
      <c r="E307" t="inlineStr">
        <is>
          <t>MORA</t>
        </is>
      </c>
      <c r="F307" t="inlineStr">
        <is>
          <t>Bergvik skog öst AB</t>
        </is>
      </c>
      <c r="G307" t="n">
        <v>4.1</v>
      </c>
      <c r="H307" t="n">
        <v>0</v>
      </c>
      <c r="I307" t="n">
        <v>0</v>
      </c>
      <c r="J307" t="n">
        <v>0</v>
      </c>
      <c r="K307" t="n">
        <v>0</v>
      </c>
      <c r="L307" t="n">
        <v>0</v>
      </c>
      <c r="M307" t="n">
        <v>0</v>
      </c>
      <c r="N307" t="n">
        <v>0</v>
      </c>
      <c r="O307" t="n">
        <v>0</v>
      </c>
      <c r="P307" t="n">
        <v>0</v>
      </c>
      <c r="Q307" t="n">
        <v>0</v>
      </c>
      <c r="R307" s="2" t="inlineStr"/>
    </row>
    <row r="308" ht="15" customHeight="1">
      <c r="A308" t="inlineStr">
        <is>
          <t>A 30509-2025</t>
        </is>
      </c>
      <c r="B308" s="1" t="n">
        <v>45831.25519675926</v>
      </c>
      <c r="C308" s="1" t="n">
        <v>46001</v>
      </c>
      <c r="D308" t="inlineStr">
        <is>
          <t>DALARNAS LÄN</t>
        </is>
      </c>
      <c r="E308" t="inlineStr">
        <is>
          <t>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24335-2022</t>
        </is>
      </c>
      <c r="B309" s="1" t="n">
        <v>44725</v>
      </c>
      <c r="C309" s="1" t="n">
        <v>46001</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45191-2025</t>
        </is>
      </c>
      <c r="B310" s="1" t="n">
        <v>45919.54811342592</v>
      </c>
      <c r="C310" s="1" t="n">
        <v>46001</v>
      </c>
      <c r="D310" t="inlineStr">
        <is>
          <t>DALARNAS LÄN</t>
        </is>
      </c>
      <c r="E310" t="inlineStr">
        <is>
          <t>MORA</t>
        </is>
      </c>
      <c r="G310" t="n">
        <v>2.2</v>
      </c>
      <c r="H310" t="n">
        <v>0</v>
      </c>
      <c r="I310" t="n">
        <v>0</v>
      </c>
      <c r="J310" t="n">
        <v>0</v>
      </c>
      <c r="K310" t="n">
        <v>0</v>
      </c>
      <c r="L310" t="n">
        <v>0</v>
      </c>
      <c r="M310" t="n">
        <v>0</v>
      </c>
      <c r="N310" t="n">
        <v>0</v>
      </c>
      <c r="O310" t="n">
        <v>0</v>
      </c>
      <c r="P310" t="n">
        <v>0</v>
      </c>
      <c r="Q310" t="n">
        <v>0</v>
      </c>
      <c r="R310" s="2" t="inlineStr"/>
    </row>
    <row r="311" ht="15" customHeight="1">
      <c r="A311" t="inlineStr">
        <is>
          <t>A 31849-2025</t>
        </is>
      </c>
      <c r="B311" s="1" t="n">
        <v>45834.60525462963</v>
      </c>
      <c r="C311" s="1" t="n">
        <v>46001</v>
      </c>
      <c r="D311" t="inlineStr">
        <is>
          <t>DALARNAS LÄN</t>
        </is>
      </c>
      <c r="E311" t="inlineStr">
        <is>
          <t>MORA</t>
        </is>
      </c>
      <c r="G311" t="n">
        <v>3.9</v>
      </c>
      <c r="H311" t="n">
        <v>0</v>
      </c>
      <c r="I311" t="n">
        <v>0</v>
      </c>
      <c r="J311" t="n">
        <v>0</v>
      </c>
      <c r="K311" t="n">
        <v>0</v>
      </c>
      <c r="L311" t="n">
        <v>0</v>
      </c>
      <c r="M311" t="n">
        <v>0</v>
      </c>
      <c r="N311" t="n">
        <v>0</v>
      </c>
      <c r="O311" t="n">
        <v>0</v>
      </c>
      <c r="P311" t="n">
        <v>0</v>
      </c>
      <c r="Q311" t="n">
        <v>0</v>
      </c>
      <c r="R311" s="2" t="inlineStr"/>
    </row>
    <row r="312" ht="15" customHeight="1">
      <c r="A312" t="inlineStr">
        <is>
          <t>A 45181-2025</t>
        </is>
      </c>
      <c r="B312" s="1" t="n">
        <v>45919.53329861111</v>
      </c>
      <c r="C312" s="1" t="n">
        <v>46001</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15440-2024</t>
        </is>
      </c>
      <c r="B313" s="1" t="n">
        <v>45401.4194212963</v>
      </c>
      <c r="C313" s="1" t="n">
        <v>46001</v>
      </c>
      <c r="D313" t="inlineStr">
        <is>
          <t>DALARNAS LÄN</t>
        </is>
      </c>
      <c r="E313" t="inlineStr">
        <is>
          <t>MORA</t>
        </is>
      </c>
      <c r="G313" t="n">
        <v>1.1</v>
      </c>
      <c r="H313" t="n">
        <v>0</v>
      </c>
      <c r="I313" t="n">
        <v>0</v>
      </c>
      <c r="J313" t="n">
        <v>0</v>
      </c>
      <c r="K313" t="n">
        <v>0</v>
      </c>
      <c r="L313" t="n">
        <v>0</v>
      </c>
      <c r="M313" t="n">
        <v>0</v>
      </c>
      <c r="N313" t="n">
        <v>0</v>
      </c>
      <c r="O313" t="n">
        <v>0</v>
      </c>
      <c r="P313" t="n">
        <v>0</v>
      </c>
      <c r="Q313" t="n">
        <v>0</v>
      </c>
      <c r="R313" s="2" t="inlineStr"/>
    </row>
    <row r="314" ht="15" customHeight="1">
      <c r="A314" t="inlineStr">
        <is>
          <t>A 31846-2025</t>
        </is>
      </c>
      <c r="B314" s="1" t="n">
        <v>45834.60209490741</v>
      </c>
      <c r="C314" s="1" t="n">
        <v>46001</v>
      </c>
      <c r="D314" t="inlineStr">
        <is>
          <t>DALARNAS LÄN</t>
        </is>
      </c>
      <c r="E314" t="inlineStr">
        <is>
          <t>MORA</t>
        </is>
      </c>
      <c r="G314" t="n">
        <v>3.6</v>
      </c>
      <c r="H314" t="n">
        <v>0</v>
      </c>
      <c r="I314" t="n">
        <v>0</v>
      </c>
      <c r="J314" t="n">
        <v>0</v>
      </c>
      <c r="K314" t="n">
        <v>0</v>
      </c>
      <c r="L314" t="n">
        <v>0</v>
      </c>
      <c r="M314" t="n">
        <v>0</v>
      </c>
      <c r="N314" t="n">
        <v>0</v>
      </c>
      <c r="O314" t="n">
        <v>0</v>
      </c>
      <c r="P314" t="n">
        <v>0</v>
      </c>
      <c r="Q314" t="n">
        <v>0</v>
      </c>
      <c r="R314" s="2" t="inlineStr"/>
    </row>
    <row r="315" ht="15" customHeight="1">
      <c r="A315" t="inlineStr">
        <is>
          <t>A 11857-2023</t>
        </is>
      </c>
      <c r="B315" s="1" t="n">
        <v>44995</v>
      </c>
      <c r="C315" s="1" t="n">
        <v>46001</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54099-2025</t>
        </is>
      </c>
      <c r="B316" s="1" t="n">
        <v>45964.41665509259</v>
      </c>
      <c r="C316" s="1" t="n">
        <v>46001</v>
      </c>
      <c r="D316" t="inlineStr">
        <is>
          <t>DALARNAS LÄN</t>
        </is>
      </c>
      <c r="E316" t="inlineStr">
        <is>
          <t>MORA</t>
        </is>
      </c>
      <c r="G316" t="n">
        <v>5.3</v>
      </c>
      <c r="H316" t="n">
        <v>0</v>
      </c>
      <c r="I316" t="n">
        <v>0</v>
      </c>
      <c r="J316" t="n">
        <v>0</v>
      </c>
      <c r="K316" t="n">
        <v>0</v>
      </c>
      <c r="L316" t="n">
        <v>0</v>
      </c>
      <c r="M316" t="n">
        <v>0</v>
      </c>
      <c r="N316" t="n">
        <v>0</v>
      </c>
      <c r="O316" t="n">
        <v>0</v>
      </c>
      <c r="P316" t="n">
        <v>0</v>
      </c>
      <c r="Q316" t="n">
        <v>0</v>
      </c>
      <c r="R316" s="2" t="inlineStr"/>
    </row>
    <row r="317" ht="15" customHeight="1">
      <c r="A317" t="inlineStr">
        <is>
          <t>A 15818-2024</t>
        </is>
      </c>
      <c r="B317" s="1" t="n">
        <v>45404.67442129629</v>
      </c>
      <c r="C317" s="1" t="n">
        <v>46001</v>
      </c>
      <c r="D317" t="inlineStr">
        <is>
          <t>DALARNAS LÄN</t>
        </is>
      </c>
      <c r="E317" t="inlineStr">
        <is>
          <t>MORA</t>
        </is>
      </c>
      <c r="G317" t="n">
        <v>7</v>
      </c>
      <c r="H317" t="n">
        <v>0</v>
      </c>
      <c r="I317" t="n">
        <v>0</v>
      </c>
      <c r="J317" t="n">
        <v>0</v>
      </c>
      <c r="K317" t="n">
        <v>0</v>
      </c>
      <c r="L317" t="n">
        <v>0</v>
      </c>
      <c r="M317" t="n">
        <v>0</v>
      </c>
      <c r="N317" t="n">
        <v>0</v>
      </c>
      <c r="O317" t="n">
        <v>0</v>
      </c>
      <c r="P317" t="n">
        <v>0</v>
      </c>
      <c r="Q317" t="n">
        <v>0</v>
      </c>
      <c r="R317" s="2" t="inlineStr"/>
    </row>
    <row r="318" ht="15" customHeight="1">
      <c r="A318" t="inlineStr">
        <is>
          <t>A 45674-2024</t>
        </is>
      </c>
      <c r="B318" s="1" t="n">
        <v>45573</v>
      </c>
      <c r="C318" s="1" t="n">
        <v>46001</v>
      </c>
      <c r="D318" t="inlineStr">
        <is>
          <t>DALARNAS LÄN</t>
        </is>
      </c>
      <c r="E318" t="inlineStr">
        <is>
          <t>MORA</t>
        </is>
      </c>
      <c r="G318" t="n">
        <v>3.2</v>
      </c>
      <c r="H318" t="n">
        <v>0</v>
      </c>
      <c r="I318" t="n">
        <v>0</v>
      </c>
      <c r="J318" t="n">
        <v>0</v>
      </c>
      <c r="K318" t="n">
        <v>0</v>
      </c>
      <c r="L318" t="n">
        <v>0</v>
      </c>
      <c r="M318" t="n">
        <v>0</v>
      </c>
      <c r="N318" t="n">
        <v>0</v>
      </c>
      <c r="O318" t="n">
        <v>0</v>
      </c>
      <c r="P318" t="n">
        <v>0</v>
      </c>
      <c r="Q318" t="n">
        <v>0</v>
      </c>
      <c r="R318" s="2" t="inlineStr"/>
    </row>
    <row r="319" ht="15" customHeight="1">
      <c r="A319" t="inlineStr">
        <is>
          <t>A 31842-2025</t>
        </is>
      </c>
      <c r="B319" s="1" t="n">
        <v>45834.59822916667</v>
      </c>
      <c r="C319" s="1" t="n">
        <v>46001</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45390-2024</t>
        </is>
      </c>
      <c r="B320" s="1" t="n">
        <v>45576.54820601852</v>
      </c>
      <c r="C320" s="1" t="n">
        <v>46001</v>
      </c>
      <c r="D320" t="inlineStr">
        <is>
          <t>DALARNAS LÄN</t>
        </is>
      </c>
      <c r="E320" t="inlineStr">
        <is>
          <t>MORA</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19756-2022</t>
        </is>
      </c>
      <c r="B321" s="1" t="n">
        <v>44694.62913194444</v>
      </c>
      <c r="C321" s="1" t="n">
        <v>46001</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46090-2025</t>
        </is>
      </c>
      <c r="B322" s="1" t="n">
        <v>45924.5253125</v>
      </c>
      <c r="C322" s="1" t="n">
        <v>46001</v>
      </c>
      <c r="D322" t="inlineStr">
        <is>
          <t>DALARNAS LÄN</t>
        </is>
      </c>
      <c r="E322" t="inlineStr">
        <is>
          <t>MORA</t>
        </is>
      </c>
      <c r="G322" t="n">
        <v>1.1</v>
      </c>
      <c r="H322" t="n">
        <v>0</v>
      </c>
      <c r="I322" t="n">
        <v>0</v>
      </c>
      <c r="J322" t="n">
        <v>0</v>
      </c>
      <c r="K322" t="n">
        <v>0</v>
      </c>
      <c r="L322" t="n">
        <v>0</v>
      </c>
      <c r="M322" t="n">
        <v>0</v>
      </c>
      <c r="N322" t="n">
        <v>0</v>
      </c>
      <c r="O322" t="n">
        <v>0</v>
      </c>
      <c r="P322" t="n">
        <v>0</v>
      </c>
      <c r="Q322" t="n">
        <v>0</v>
      </c>
      <c r="R322" s="2" t="inlineStr"/>
    </row>
    <row r="323" ht="15" customHeight="1">
      <c r="A323" t="inlineStr">
        <is>
          <t>A 5216-2025</t>
        </is>
      </c>
      <c r="B323" s="1" t="n">
        <v>45691.69671296296</v>
      </c>
      <c r="C323" s="1" t="n">
        <v>46001</v>
      </c>
      <c r="D323" t="inlineStr">
        <is>
          <t>DALARNAS LÄN</t>
        </is>
      </c>
      <c r="E323" t="inlineStr">
        <is>
          <t>MORA</t>
        </is>
      </c>
      <c r="G323" t="n">
        <v>2.5</v>
      </c>
      <c r="H323" t="n">
        <v>0</v>
      </c>
      <c r="I323" t="n">
        <v>0</v>
      </c>
      <c r="J323" t="n">
        <v>0</v>
      </c>
      <c r="K323" t="n">
        <v>0</v>
      </c>
      <c r="L323" t="n">
        <v>0</v>
      </c>
      <c r="M323" t="n">
        <v>0</v>
      </c>
      <c r="N323" t="n">
        <v>0</v>
      </c>
      <c r="O323" t="n">
        <v>0</v>
      </c>
      <c r="P323" t="n">
        <v>0</v>
      </c>
      <c r="Q323" t="n">
        <v>0</v>
      </c>
      <c r="R323" s="2" t="inlineStr"/>
    </row>
    <row r="324" ht="15" customHeight="1">
      <c r="A324" t="inlineStr">
        <is>
          <t>A 53344-2023</t>
        </is>
      </c>
      <c r="B324" s="1" t="n">
        <v>45229</v>
      </c>
      <c r="C324" s="1" t="n">
        <v>46001</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59448-2022</t>
        </is>
      </c>
      <c r="B325" s="1" t="n">
        <v>44907</v>
      </c>
      <c r="C325" s="1" t="n">
        <v>46001</v>
      </c>
      <c r="D325" t="inlineStr">
        <is>
          <t>DALARNAS LÄN</t>
        </is>
      </c>
      <c r="E325" t="inlineStr">
        <is>
          <t>MORA</t>
        </is>
      </c>
      <c r="G325" t="n">
        <v>35.7</v>
      </c>
      <c r="H325" t="n">
        <v>0</v>
      </c>
      <c r="I325" t="n">
        <v>0</v>
      </c>
      <c r="J325" t="n">
        <v>0</v>
      </c>
      <c r="K325" t="n">
        <v>0</v>
      </c>
      <c r="L325" t="n">
        <v>0</v>
      </c>
      <c r="M325" t="n">
        <v>0</v>
      </c>
      <c r="N325" t="n">
        <v>0</v>
      </c>
      <c r="O325" t="n">
        <v>0</v>
      </c>
      <c r="P325" t="n">
        <v>0</v>
      </c>
      <c r="Q325" t="n">
        <v>0</v>
      </c>
      <c r="R325" s="2" t="inlineStr"/>
    </row>
    <row r="326" ht="15" customHeight="1">
      <c r="A326" t="inlineStr">
        <is>
          <t>A 46091-2025</t>
        </is>
      </c>
      <c r="B326" s="1" t="n">
        <v>45924.52871527777</v>
      </c>
      <c r="C326" s="1" t="n">
        <v>46001</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57797-2022</t>
        </is>
      </c>
      <c r="B327" s="1" t="n">
        <v>44897</v>
      </c>
      <c r="C327" s="1" t="n">
        <v>46001</v>
      </c>
      <c r="D327" t="inlineStr">
        <is>
          <t>DALARNAS LÄN</t>
        </is>
      </c>
      <c r="E327" t="inlineStr">
        <is>
          <t>MORA</t>
        </is>
      </c>
      <c r="G327" t="n">
        <v>3.1</v>
      </c>
      <c r="H327" t="n">
        <v>0</v>
      </c>
      <c r="I327" t="n">
        <v>0</v>
      </c>
      <c r="J327" t="n">
        <v>0</v>
      </c>
      <c r="K327" t="n">
        <v>0</v>
      </c>
      <c r="L327" t="n">
        <v>0</v>
      </c>
      <c r="M327" t="n">
        <v>0</v>
      </c>
      <c r="N327" t="n">
        <v>0</v>
      </c>
      <c r="O327" t="n">
        <v>0</v>
      </c>
      <c r="P327" t="n">
        <v>0</v>
      </c>
      <c r="Q327" t="n">
        <v>0</v>
      </c>
      <c r="R327" s="2" t="inlineStr"/>
    </row>
    <row r="328" ht="15" customHeight="1">
      <c r="A328" t="inlineStr">
        <is>
          <t>A 54862-2025</t>
        </is>
      </c>
      <c r="B328" s="1" t="n">
        <v>45966.76542824074</v>
      </c>
      <c r="C328" s="1" t="n">
        <v>46001</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40286-2024</t>
        </is>
      </c>
      <c r="B329" s="1" t="n">
        <v>45554.6687037037</v>
      </c>
      <c r="C329" s="1" t="n">
        <v>46001</v>
      </c>
      <c r="D329" t="inlineStr">
        <is>
          <t>DALARNAS LÄN</t>
        </is>
      </c>
      <c r="E329" t="inlineStr">
        <is>
          <t>MORA</t>
        </is>
      </c>
      <c r="G329" t="n">
        <v>0.4</v>
      </c>
      <c r="H329" t="n">
        <v>0</v>
      </c>
      <c r="I329" t="n">
        <v>0</v>
      </c>
      <c r="J329" t="n">
        <v>0</v>
      </c>
      <c r="K329" t="n">
        <v>0</v>
      </c>
      <c r="L329" t="n">
        <v>0</v>
      </c>
      <c r="M329" t="n">
        <v>0</v>
      </c>
      <c r="N329" t="n">
        <v>0</v>
      </c>
      <c r="O329" t="n">
        <v>0</v>
      </c>
      <c r="P329" t="n">
        <v>0</v>
      </c>
      <c r="Q329" t="n">
        <v>0</v>
      </c>
      <c r="R329" s="2" t="inlineStr"/>
    </row>
    <row r="330" ht="15" customHeight="1">
      <c r="A330" t="inlineStr">
        <is>
          <t>A 48824-2023</t>
        </is>
      </c>
      <c r="B330" s="1" t="n">
        <v>45203</v>
      </c>
      <c r="C330" s="1" t="n">
        <v>46001</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54508-2025</t>
        </is>
      </c>
      <c r="B331" s="1" t="n">
        <v>45965.61844907407</v>
      </c>
      <c r="C331" s="1" t="n">
        <v>46001</v>
      </c>
      <c r="D331" t="inlineStr">
        <is>
          <t>DALARNAS LÄN</t>
        </is>
      </c>
      <c r="E331" t="inlineStr">
        <is>
          <t>MORA</t>
        </is>
      </c>
      <c r="G331" t="n">
        <v>0.9</v>
      </c>
      <c r="H331" t="n">
        <v>0</v>
      </c>
      <c r="I331" t="n">
        <v>0</v>
      </c>
      <c r="J331" t="n">
        <v>0</v>
      </c>
      <c r="K331" t="n">
        <v>0</v>
      </c>
      <c r="L331" t="n">
        <v>0</v>
      </c>
      <c r="M331" t="n">
        <v>0</v>
      </c>
      <c r="N331" t="n">
        <v>0</v>
      </c>
      <c r="O331" t="n">
        <v>0</v>
      </c>
      <c r="P331" t="n">
        <v>0</v>
      </c>
      <c r="Q331" t="n">
        <v>0</v>
      </c>
      <c r="R331" s="2" t="inlineStr"/>
    </row>
    <row r="332" ht="15" customHeight="1">
      <c r="A332" t="inlineStr">
        <is>
          <t>A 54504-2025</t>
        </is>
      </c>
      <c r="B332" s="1" t="n">
        <v>45965.61686342592</v>
      </c>
      <c r="C332" s="1" t="n">
        <v>46001</v>
      </c>
      <c r="D332" t="inlineStr">
        <is>
          <t>DALARNAS LÄN</t>
        </is>
      </c>
      <c r="E332" t="inlineStr">
        <is>
          <t>MORA</t>
        </is>
      </c>
      <c r="G332" t="n">
        <v>0.9</v>
      </c>
      <c r="H332" t="n">
        <v>0</v>
      </c>
      <c r="I332" t="n">
        <v>0</v>
      </c>
      <c r="J332" t="n">
        <v>0</v>
      </c>
      <c r="K332" t="n">
        <v>0</v>
      </c>
      <c r="L332" t="n">
        <v>0</v>
      </c>
      <c r="M332" t="n">
        <v>0</v>
      </c>
      <c r="N332" t="n">
        <v>0</v>
      </c>
      <c r="O332" t="n">
        <v>0</v>
      </c>
      <c r="P332" t="n">
        <v>0</v>
      </c>
      <c r="Q332" t="n">
        <v>0</v>
      </c>
      <c r="R332" s="2" t="inlineStr"/>
    </row>
    <row r="333" ht="15" customHeight="1">
      <c r="A333" t="inlineStr">
        <is>
          <t>A 54367-2025</t>
        </is>
      </c>
      <c r="B333" s="1" t="n">
        <v>45965.4031712963</v>
      </c>
      <c r="C333" s="1" t="n">
        <v>46001</v>
      </c>
      <c r="D333" t="inlineStr">
        <is>
          <t>DALARNAS LÄN</t>
        </is>
      </c>
      <c r="E333" t="inlineStr">
        <is>
          <t>MORA</t>
        </is>
      </c>
      <c r="G333" t="n">
        <v>7</v>
      </c>
      <c r="H333" t="n">
        <v>0</v>
      </c>
      <c r="I333" t="n">
        <v>0</v>
      </c>
      <c r="J333" t="n">
        <v>0</v>
      </c>
      <c r="K333" t="n">
        <v>0</v>
      </c>
      <c r="L333" t="n">
        <v>0</v>
      </c>
      <c r="M333" t="n">
        <v>0</v>
      </c>
      <c r="N333" t="n">
        <v>0</v>
      </c>
      <c r="O333" t="n">
        <v>0</v>
      </c>
      <c r="P333" t="n">
        <v>0</v>
      </c>
      <c r="Q333" t="n">
        <v>0</v>
      </c>
      <c r="R333" s="2" t="inlineStr"/>
    </row>
    <row r="334" ht="15" customHeight="1">
      <c r="A334" t="inlineStr">
        <is>
          <t>A 45355-2024</t>
        </is>
      </c>
      <c r="B334" s="1" t="n">
        <v>45576</v>
      </c>
      <c r="C334" s="1" t="n">
        <v>46001</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20504-2023</t>
        </is>
      </c>
      <c r="B335" s="1" t="n">
        <v>45057</v>
      </c>
      <c r="C335" s="1" t="n">
        <v>46001</v>
      </c>
      <c r="D335" t="inlineStr">
        <is>
          <t>DALARNAS LÄN</t>
        </is>
      </c>
      <c r="E335" t="inlineStr">
        <is>
          <t>MORA</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44595-2024</t>
        </is>
      </c>
      <c r="B336" s="1" t="n">
        <v>45574.51053240741</v>
      </c>
      <c r="C336" s="1" t="n">
        <v>46001</v>
      </c>
      <c r="D336" t="inlineStr">
        <is>
          <t>DALARNAS LÄN</t>
        </is>
      </c>
      <c r="E336" t="inlineStr">
        <is>
          <t>MORA</t>
        </is>
      </c>
      <c r="G336" t="n">
        <v>0.8</v>
      </c>
      <c r="H336" t="n">
        <v>0</v>
      </c>
      <c r="I336" t="n">
        <v>0</v>
      </c>
      <c r="J336" t="n">
        <v>0</v>
      </c>
      <c r="K336" t="n">
        <v>0</v>
      </c>
      <c r="L336" t="n">
        <v>0</v>
      </c>
      <c r="M336" t="n">
        <v>0</v>
      </c>
      <c r="N336" t="n">
        <v>0</v>
      </c>
      <c r="O336" t="n">
        <v>0</v>
      </c>
      <c r="P336" t="n">
        <v>0</v>
      </c>
      <c r="Q336" t="n">
        <v>0</v>
      </c>
      <c r="R336" s="2" t="inlineStr"/>
    </row>
    <row r="337" ht="15" customHeight="1">
      <c r="A337" t="inlineStr">
        <is>
          <t>A 54518-2025</t>
        </is>
      </c>
      <c r="B337" s="1" t="n">
        <v>45965.62608796296</v>
      </c>
      <c r="C337" s="1" t="n">
        <v>46001</v>
      </c>
      <c r="D337" t="inlineStr">
        <is>
          <t>DALARNAS LÄN</t>
        </is>
      </c>
      <c r="E337" t="inlineStr">
        <is>
          <t>MORA</t>
        </is>
      </c>
      <c r="G337" t="n">
        <v>7.1</v>
      </c>
      <c r="H337" t="n">
        <v>0</v>
      </c>
      <c r="I337" t="n">
        <v>0</v>
      </c>
      <c r="J337" t="n">
        <v>0</v>
      </c>
      <c r="K337" t="n">
        <v>0</v>
      </c>
      <c r="L337" t="n">
        <v>0</v>
      </c>
      <c r="M337" t="n">
        <v>0</v>
      </c>
      <c r="N337" t="n">
        <v>0</v>
      </c>
      <c r="O337" t="n">
        <v>0</v>
      </c>
      <c r="P337" t="n">
        <v>0</v>
      </c>
      <c r="Q337" t="n">
        <v>0</v>
      </c>
      <c r="R337" s="2" t="inlineStr"/>
    </row>
    <row r="338" ht="15" customHeight="1">
      <c r="A338" t="inlineStr">
        <is>
          <t>A 32852-2025</t>
        </is>
      </c>
      <c r="B338" s="1" t="n">
        <v>45839.57559027777</v>
      </c>
      <c r="C338" s="1" t="n">
        <v>46001</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54868-2025</t>
        </is>
      </c>
      <c r="B339" s="1" t="n">
        <v>45966.85649305556</v>
      </c>
      <c r="C339" s="1" t="n">
        <v>46001</v>
      </c>
      <c r="D339" t="inlineStr">
        <is>
          <t>DALARNAS LÄN</t>
        </is>
      </c>
      <c r="E339" t="inlineStr">
        <is>
          <t>MORA</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54919-2025</t>
        </is>
      </c>
      <c r="B340" s="1" t="n">
        <v>45967.38884259259</v>
      </c>
      <c r="C340" s="1" t="n">
        <v>46001</v>
      </c>
      <c r="D340" t="inlineStr">
        <is>
          <t>DALARNAS LÄN</t>
        </is>
      </c>
      <c r="E340" t="inlineStr">
        <is>
          <t>MORA</t>
        </is>
      </c>
      <c r="F340" t="inlineStr">
        <is>
          <t>Bergvik skog väst AB</t>
        </is>
      </c>
      <c r="G340" t="n">
        <v>5.6</v>
      </c>
      <c r="H340" t="n">
        <v>0</v>
      </c>
      <c r="I340" t="n">
        <v>0</v>
      </c>
      <c r="J340" t="n">
        <v>0</v>
      </c>
      <c r="K340" t="n">
        <v>0</v>
      </c>
      <c r="L340" t="n">
        <v>0</v>
      </c>
      <c r="M340" t="n">
        <v>0</v>
      </c>
      <c r="N340" t="n">
        <v>0</v>
      </c>
      <c r="O340" t="n">
        <v>0</v>
      </c>
      <c r="P340" t="n">
        <v>0</v>
      </c>
      <c r="Q340" t="n">
        <v>0</v>
      </c>
      <c r="R340" s="2" t="inlineStr"/>
    </row>
    <row r="341" ht="15" customHeight="1">
      <c r="A341" t="inlineStr">
        <is>
          <t>A 55284-2025</t>
        </is>
      </c>
      <c r="B341" s="1" t="n">
        <v>45968.8227662037</v>
      </c>
      <c r="C341" s="1" t="n">
        <v>46001</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43566-2023</t>
        </is>
      </c>
      <c r="B342" s="1" t="n">
        <v>45184.58199074074</v>
      </c>
      <c r="C342" s="1" t="n">
        <v>46001</v>
      </c>
      <c r="D342" t="inlineStr">
        <is>
          <t>DALARNAS LÄN</t>
        </is>
      </c>
      <c r="E342" t="inlineStr">
        <is>
          <t>MORA</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33443-2025</t>
        </is>
      </c>
      <c r="B343" s="1" t="n">
        <v>45841</v>
      </c>
      <c r="C343" s="1" t="n">
        <v>46001</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54905-2025</t>
        </is>
      </c>
      <c r="B344" s="1" t="n">
        <v>45967.3700462963</v>
      </c>
      <c r="C344" s="1" t="n">
        <v>46001</v>
      </c>
      <c r="D344" t="inlineStr">
        <is>
          <t>DALARNAS LÄN</t>
        </is>
      </c>
      <c r="E344" t="inlineStr">
        <is>
          <t>MORA</t>
        </is>
      </c>
      <c r="G344" t="n">
        <v>0.4</v>
      </c>
      <c r="H344" t="n">
        <v>0</v>
      </c>
      <c r="I344" t="n">
        <v>0</v>
      </c>
      <c r="J344" t="n">
        <v>0</v>
      </c>
      <c r="K344" t="n">
        <v>0</v>
      </c>
      <c r="L344" t="n">
        <v>0</v>
      </c>
      <c r="M344" t="n">
        <v>0</v>
      </c>
      <c r="N344" t="n">
        <v>0</v>
      </c>
      <c r="O344" t="n">
        <v>0</v>
      </c>
      <c r="P344" t="n">
        <v>0</v>
      </c>
      <c r="Q344" t="n">
        <v>0</v>
      </c>
      <c r="R344" s="2" t="inlineStr"/>
    </row>
    <row r="345" ht="15" customHeight="1">
      <c r="A345" t="inlineStr">
        <is>
          <t>A 54909-2025</t>
        </is>
      </c>
      <c r="B345" s="1" t="n">
        <v>45967.374375</v>
      </c>
      <c r="C345" s="1" t="n">
        <v>46001</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46525-2025</t>
        </is>
      </c>
      <c r="B346" s="1" t="n">
        <v>45926.3312962963</v>
      </c>
      <c r="C346" s="1" t="n">
        <v>46001</v>
      </c>
      <c r="D346" t="inlineStr">
        <is>
          <t>DALARNAS LÄN</t>
        </is>
      </c>
      <c r="E346" t="inlineStr">
        <is>
          <t>MORA</t>
        </is>
      </c>
      <c r="G346" t="n">
        <v>6.3</v>
      </c>
      <c r="H346" t="n">
        <v>0</v>
      </c>
      <c r="I346" t="n">
        <v>0</v>
      </c>
      <c r="J346" t="n">
        <v>0</v>
      </c>
      <c r="K346" t="n">
        <v>0</v>
      </c>
      <c r="L346" t="n">
        <v>0</v>
      </c>
      <c r="M346" t="n">
        <v>0</v>
      </c>
      <c r="N346" t="n">
        <v>0</v>
      </c>
      <c r="O346" t="n">
        <v>0</v>
      </c>
      <c r="P346" t="n">
        <v>0</v>
      </c>
      <c r="Q346" t="n">
        <v>0</v>
      </c>
      <c r="R346" s="2" t="inlineStr"/>
    </row>
    <row r="347" ht="15" customHeight="1">
      <c r="A347" t="inlineStr">
        <is>
          <t>A 46283-2025</t>
        </is>
      </c>
      <c r="B347" s="1" t="n">
        <v>45925</v>
      </c>
      <c r="C347" s="1" t="n">
        <v>46001</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8153-2021</t>
        </is>
      </c>
      <c r="B348" s="1" t="n">
        <v>44244</v>
      </c>
      <c r="C348" s="1" t="n">
        <v>46001</v>
      </c>
      <c r="D348" t="inlineStr">
        <is>
          <t>DALARNAS LÄN</t>
        </is>
      </c>
      <c r="E348" t="inlineStr">
        <is>
          <t>MORA</t>
        </is>
      </c>
      <c r="G348" t="n">
        <v>2.5</v>
      </c>
      <c r="H348" t="n">
        <v>0</v>
      </c>
      <c r="I348" t="n">
        <v>0</v>
      </c>
      <c r="J348" t="n">
        <v>0</v>
      </c>
      <c r="K348" t="n">
        <v>0</v>
      </c>
      <c r="L348" t="n">
        <v>0</v>
      </c>
      <c r="M348" t="n">
        <v>0</v>
      </c>
      <c r="N348" t="n">
        <v>0</v>
      </c>
      <c r="O348" t="n">
        <v>0</v>
      </c>
      <c r="P348" t="n">
        <v>0</v>
      </c>
      <c r="Q348" t="n">
        <v>0</v>
      </c>
      <c r="R348" s="2" t="inlineStr"/>
    </row>
    <row r="349" ht="15" customHeight="1">
      <c r="A349" t="inlineStr">
        <is>
          <t>A 55262-2025</t>
        </is>
      </c>
      <c r="B349" s="1" t="n">
        <v>45968.64847222222</v>
      </c>
      <c r="C349" s="1" t="n">
        <v>46001</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53743-2024</t>
        </is>
      </c>
      <c r="B350" s="1" t="n">
        <v>45615.47137731482</v>
      </c>
      <c r="C350" s="1" t="n">
        <v>46001</v>
      </c>
      <c r="D350" t="inlineStr">
        <is>
          <t>DALARNAS LÄN</t>
        </is>
      </c>
      <c r="E350" t="inlineStr">
        <is>
          <t>MORA</t>
        </is>
      </c>
      <c r="G350" t="n">
        <v>1.4</v>
      </c>
      <c r="H350" t="n">
        <v>0</v>
      </c>
      <c r="I350" t="n">
        <v>0</v>
      </c>
      <c r="J350" t="n">
        <v>0</v>
      </c>
      <c r="K350" t="n">
        <v>0</v>
      </c>
      <c r="L350" t="n">
        <v>0</v>
      </c>
      <c r="M350" t="n">
        <v>0</v>
      </c>
      <c r="N350" t="n">
        <v>0</v>
      </c>
      <c r="O350" t="n">
        <v>0</v>
      </c>
      <c r="P350" t="n">
        <v>0</v>
      </c>
      <c r="Q350" t="n">
        <v>0</v>
      </c>
      <c r="R350" s="2" t="inlineStr"/>
    </row>
    <row r="351" ht="15" customHeight="1">
      <c r="A351" t="inlineStr">
        <is>
          <t>A 55124-2025</t>
        </is>
      </c>
      <c r="B351" s="1" t="n">
        <v>45968.40621527778</v>
      </c>
      <c r="C351" s="1" t="n">
        <v>46001</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48170-2024</t>
        </is>
      </c>
      <c r="B352" s="1" t="n">
        <v>45589.76975694444</v>
      </c>
      <c r="C352" s="1" t="n">
        <v>46001</v>
      </c>
      <c r="D352" t="inlineStr">
        <is>
          <t>DALARNAS LÄN</t>
        </is>
      </c>
      <c r="E352" t="inlineStr">
        <is>
          <t>MORA</t>
        </is>
      </c>
      <c r="G352" t="n">
        <v>2.4</v>
      </c>
      <c r="H352" t="n">
        <v>0</v>
      </c>
      <c r="I352" t="n">
        <v>0</v>
      </c>
      <c r="J352" t="n">
        <v>0</v>
      </c>
      <c r="K352" t="n">
        <v>0</v>
      </c>
      <c r="L352" t="n">
        <v>0</v>
      </c>
      <c r="M352" t="n">
        <v>0</v>
      </c>
      <c r="N352" t="n">
        <v>0</v>
      </c>
      <c r="O352" t="n">
        <v>0</v>
      </c>
      <c r="P352" t="n">
        <v>0</v>
      </c>
      <c r="Q352" t="n">
        <v>0</v>
      </c>
      <c r="R352" s="2" t="inlineStr"/>
    </row>
    <row r="353" ht="15" customHeight="1">
      <c r="A353" t="inlineStr">
        <is>
          <t>A 55135-2025</t>
        </is>
      </c>
      <c r="B353" s="1" t="n">
        <v>45968.42591435185</v>
      </c>
      <c r="C353" s="1" t="n">
        <v>46001</v>
      </c>
      <c r="D353" t="inlineStr">
        <is>
          <t>DALARNAS LÄN</t>
        </is>
      </c>
      <c r="E353" t="inlineStr">
        <is>
          <t>MORA</t>
        </is>
      </c>
      <c r="G353" t="n">
        <v>5.1</v>
      </c>
      <c r="H353" t="n">
        <v>0</v>
      </c>
      <c r="I353" t="n">
        <v>0</v>
      </c>
      <c r="J353" t="n">
        <v>0</v>
      </c>
      <c r="K353" t="n">
        <v>0</v>
      </c>
      <c r="L353" t="n">
        <v>0</v>
      </c>
      <c r="M353" t="n">
        <v>0</v>
      </c>
      <c r="N353" t="n">
        <v>0</v>
      </c>
      <c r="O353" t="n">
        <v>0</v>
      </c>
      <c r="P353" t="n">
        <v>0</v>
      </c>
      <c r="Q353" t="n">
        <v>0</v>
      </c>
      <c r="R353" s="2" t="inlineStr"/>
    </row>
    <row r="354" ht="15" customHeight="1">
      <c r="A354" t="inlineStr">
        <is>
          <t>A 55123-2025</t>
        </is>
      </c>
      <c r="B354" s="1" t="n">
        <v>45968.40056712963</v>
      </c>
      <c r="C354" s="1" t="n">
        <v>46001</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34005-2025</t>
        </is>
      </c>
      <c r="B355" s="1" t="n">
        <v>45844.58890046296</v>
      </c>
      <c r="C355" s="1" t="n">
        <v>46001</v>
      </c>
      <c r="D355" t="inlineStr">
        <is>
          <t>DALARNAS LÄN</t>
        </is>
      </c>
      <c r="E355" t="inlineStr">
        <is>
          <t>MORA</t>
        </is>
      </c>
      <c r="G355" t="n">
        <v>7.2</v>
      </c>
      <c r="H355" t="n">
        <v>0</v>
      </c>
      <c r="I355" t="n">
        <v>0</v>
      </c>
      <c r="J355" t="n">
        <v>0</v>
      </c>
      <c r="K355" t="n">
        <v>0</v>
      </c>
      <c r="L355" t="n">
        <v>0</v>
      </c>
      <c r="M355" t="n">
        <v>0</v>
      </c>
      <c r="N355" t="n">
        <v>0</v>
      </c>
      <c r="O355" t="n">
        <v>0</v>
      </c>
      <c r="P355" t="n">
        <v>0</v>
      </c>
      <c r="Q355" t="n">
        <v>0</v>
      </c>
      <c r="R355" s="2" t="inlineStr"/>
    </row>
    <row r="356" ht="15" customHeight="1">
      <c r="A356" t="inlineStr">
        <is>
          <t>A 46537-2025</t>
        </is>
      </c>
      <c r="B356" s="1" t="n">
        <v>45926.34195601852</v>
      </c>
      <c r="C356" s="1" t="n">
        <v>46001</v>
      </c>
      <c r="D356" t="inlineStr">
        <is>
          <t>DALARNAS LÄN</t>
        </is>
      </c>
      <c r="E356" t="inlineStr">
        <is>
          <t>MORA</t>
        </is>
      </c>
      <c r="G356" t="n">
        <v>10.6</v>
      </c>
      <c r="H356" t="n">
        <v>0</v>
      </c>
      <c r="I356" t="n">
        <v>0</v>
      </c>
      <c r="J356" t="n">
        <v>0</v>
      </c>
      <c r="K356" t="n">
        <v>0</v>
      </c>
      <c r="L356" t="n">
        <v>0</v>
      </c>
      <c r="M356" t="n">
        <v>0</v>
      </c>
      <c r="N356" t="n">
        <v>0</v>
      </c>
      <c r="O356" t="n">
        <v>0</v>
      </c>
      <c r="P356" t="n">
        <v>0</v>
      </c>
      <c r="Q356" t="n">
        <v>0</v>
      </c>
      <c r="R356" s="2" t="inlineStr"/>
    </row>
    <row r="357" ht="15" customHeight="1">
      <c r="A357" t="inlineStr">
        <is>
          <t>A 54910-2025</t>
        </is>
      </c>
      <c r="B357" s="1" t="n">
        <v>45967.37679398148</v>
      </c>
      <c r="C357" s="1" t="n">
        <v>46001</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20594-2025</t>
        </is>
      </c>
      <c r="B358" s="1" t="n">
        <v>45775.74009259259</v>
      </c>
      <c r="C358" s="1" t="n">
        <v>46001</v>
      </c>
      <c r="D358" t="inlineStr">
        <is>
          <t>DALARNAS LÄN</t>
        </is>
      </c>
      <c r="E358" t="inlineStr">
        <is>
          <t>MORA</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34382-2025</t>
        </is>
      </c>
      <c r="B359" s="1" t="n">
        <v>45846</v>
      </c>
      <c r="C359" s="1" t="n">
        <v>46001</v>
      </c>
      <c r="D359" t="inlineStr">
        <is>
          <t>DALARNAS LÄN</t>
        </is>
      </c>
      <c r="E359" t="inlineStr">
        <is>
          <t>MORA</t>
        </is>
      </c>
      <c r="G359" t="n">
        <v>0.7</v>
      </c>
      <c r="H359" t="n">
        <v>0</v>
      </c>
      <c r="I359" t="n">
        <v>0</v>
      </c>
      <c r="J359" t="n">
        <v>0</v>
      </c>
      <c r="K359" t="n">
        <v>0</v>
      </c>
      <c r="L359" t="n">
        <v>0</v>
      </c>
      <c r="M359" t="n">
        <v>0</v>
      </c>
      <c r="N359" t="n">
        <v>0</v>
      </c>
      <c r="O359" t="n">
        <v>0</v>
      </c>
      <c r="P359" t="n">
        <v>0</v>
      </c>
      <c r="Q359" t="n">
        <v>0</v>
      </c>
      <c r="R359" s="2" t="inlineStr"/>
    </row>
    <row r="360" ht="15" customHeight="1">
      <c r="A360" t="inlineStr">
        <is>
          <t>A 34182-2025</t>
        </is>
      </c>
      <c r="B360" s="1" t="n">
        <v>45845.60520833333</v>
      </c>
      <c r="C360" s="1" t="n">
        <v>46001</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47055-2025</t>
        </is>
      </c>
      <c r="B361" s="1" t="n">
        <v>45929.61931712963</v>
      </c>
      <c r="C361" s="1" t="n">
        <v>46001</v>
      </c>
      <c r="D361" t="inlineStr">
        <is>
          <t>DALARNAS LÄN</t>
        </is>
      </c>
      <c r="E361" t="inlineStr">
        <is>
          <t>MORA</t>
        </is>
      </c>
      <c r="G361" t="n">
        <v>28.1</v>
      </c>
      <c r="H361" t="n">
        <v>0</v>
      </c>
      <c r="I361" t="n">
        <v>0</v>
      </c>
      <c r="J361" t="n">
        <v>0</v>
      </c>
      <c r="K361" t="n">
        <v>0</v>
      </c>
      <c r="L361" t="n">
        <v>0</v>
      </c>
      <c r="M361" t="n">
        <v>0</v>
      </c>
      <c r="N361" t="n">
        <v>0</v>
      </c>
      <c r="O361" t="n">
        <v>0</v>
      </c>
      <c r="P361" t="n">
        <v>0</v>
      </c>
      <c r="Q361" t="n">
        <v>0</v>
      </c>
      <c r="R361" s="2" t="inlineStr"/>
    </row>
    <row r="362" ht="15" customHeight="1">
      <c r="A362" t="inlineStr">
        <is>
          <t>A 34482-2025</t>
        </is>
      </c>
      <c r="B362" s="1" t="n">
        <v>45847.38469907407</v>
      </c>
      <c r="C362" s="1" t="n">
        <v>46001</v>
      </c>
      <c r="D362" t="inlineStr">
        <is>
          <t>DALARNAS LÄN</t>
        </is>
      </c>
      <c r="E362" t="inlineStr">
        <is>
          <t>MORA</t>
        </is>
      </c>
      <c r="G362" t="n">
        <v>1.5</v>
      </c>
      <c r="H362" t="n">
        <v>0</v>
      </c>
      <c r="I362" t="n">
        <v>0</v>
      </c>
      <c r="J362" t="n">
        <v>0</v>
      </c>
      <c r="K362" t="n">
        <v>0</v>
      </c>
      <c r="L362" t="n">
        <v>0</v>
      </c>
      <c r="M362" t="n">
        <v>0</v>
      </c>
      <c r="N362" t="n">
        <v>0</v>
      </c>
      <c r="O362" t="n">
        <v>0</v>
      </c>
      <c r="P362" t="n">
        <v>0</v>
      </c>
      <c r="Q362" t="n">
        <v>0</v>
      </c>
      <c r="R362" s="2" t="inlineStr"/>
    </row>
    <row r="363" ht="15" customHeight="1">
      <c r="A363" t="inlineStr">
        <is>
          <t>A 47414-2025</t>
        </is>
      </c>
      <c r="B363" s="1" t="n">
        <v>45930.61896990741</v>
      </c>
      <c r="C363" s="1" t="n">
        <v>46001</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34933-2025</t>
        </is>
      </c>
      <c r="B364" s="1" t="n">
        <v>45849.57297453703</v>
      </c>
      <c r="C364" s="1" t="n">
        <v>46001</v>
      </c>
      <c r="D364" t="inlineStr">
        <is>
          <t>DALARNAS LÄN</t>
        </is>
      </c>
      <c r="E364" t="inlineStr">
        <is>
          <t>MORA</t>
        </is>
      </c>
      <c r="F364" t="inlineStr">
        <is>
          <t>Bergvik skog väst AB</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64088-2023</t>
        </is>
      </c>
      <c r="B365" s="1" t="n">
        <v>45279.43570601852</v>
      </c>
      <c r="C365" s="1" t="n">
        <v>46001</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54548-2025</t>
        </is>
      </c>
      <c r="B366" s="1" t="n">
        <v>45965.6534837963</v>
      </c>
      <c r="C366" s="1" t="n">
        <v>46001</v>
      </c>
      <c r="D366" t="inlineStr">
        <is>
          <t>DALARNAS LÄN</t>
        </is>
      </c>
      <c r="E366" t="inlineStr">
        <is>
          <t>MORA</t>
        </is>
      </c>
      <c r="G366" t="n">
        <v>2.3</v>
      </c>
      <c r="H366" t="n">
        <v>0</v>
      </c>
      <c r="I366" t="n">
        <v>0</v>
      </c>
      <c r="J366" t="n">
        <v>0</v>
      </c>
      <c r="K366" t="n">
        <v>0</v>
      </c>
      <c r="L366" t="n">
        <v>0</v>
      </c>
      <c r="M366" t="n">
        <v>0</v>
      </c>
      <c r="N366" t="n">
        <v>0</v>
      </c>
      <c r="O366" t="n">
        <v>0</v>
      </c>
      <c r="P366" t="n">
        <v>0</v>
      </c>
      <c r="Q366" t="n">
        <v>0</v>
      </c>
      <c r="R366" s="2" t="inlineStr"/>
    </row>
    <row r="367" ht="15" customHeight="1">
      <c r="A367" t="inlineStr">
        <is>
          <t>A 47072-2025</t>
        </is>
      </c>
      <c r="B367" s="1" t="n">
        <v>45929.6365162037</v>
      </c>
      <c r="C367" s="1" t="n">
        <v>46001</v>
      </c>
      <c r="D367" t="inlineStr">
        <is>
          <t>DALARNAS LÄN</t>
        </is>
      </c>
      <c r="E367" t="inlineStr">
        <is>
          <t>MORA</t>
        </is>
      </c>
      <c r="G367" t="n">
        <v>3.4</v>
      </c>
      <c r="H367" t="n">
        <v>0</v>
      </c>
      <c r="I367" t="n">
        <v>0</v>
      </c>
      <c r="J367" t="n">
        <v>0</v>
      </c>
      <c r="K367" t="n">
        <v>0</v>
      </c>
      <c r="L367" t="n">
        <v>0</v>
      </c>
      <c r="M367" t="n">
        <v>0</v>
      </c>
      <c r="N367" t="n">
        <v>0</v>
      </c>
      <c r="O367" t="n">
        <v>0</v>
      </c>
      <c r="P367" t="n">
        <v>0</v>
      </c>
      <c r="Q367" t="n">
        <v>0</v>
      </c>
      <c r="R367" s="2" t="inlineStr"/>
    </row>
    <row r="368" ht="15" customHeight="1">
      <c r="A368" t="inlineStr">
        <is>
          <t>A 47140-2025</t>
        </is>
      </c>
      <c r="B368" s="1" t="n">
        <v>45929</v>
      </c>
      <c r="C368" s="1" t="n">
        <v>46001</v>
      </c>
      <c r="D368" t="inlineStr">
        <is>
          <t>DALARNAS LÄN</t>
        </is>
      </c>
      <c r="E368" t="inlineStr">
        <is>
          <t>MORA</t>
        </is>
      </c>
      <c r="G368" t="n">
        <v>6.7</v>
      </c>
      <c r="H368" t="n">
        <v>0</v>
      </c>
      <c r="I368" t="n">
        <v>0</v>
      </c>
      <c r="J368" t="n">
        <v>0</v>
      </c>
      <c r="K368" t="n">
        <v>0</v>
      </c>
      <c r="L368" t="n">
        <v>0</v>
      </c>
      <c r="M368" t="n">
        <v>0</v>
      </c>
      <c r="N368" t="n">
        <v>0</v>
      </c>
      <c r="O368" t="n">
        <v>0</v>
      </c>
      <c r="P368" t="n">
        <v>0</v>
      </c>
      <c r="Q368" t="n">
        <v>0</v>
      </c>
      <c r="R368" s="2" t="inlineStr"/>
    </row>
    <row r="369" ht="15" customHeight="1">
      <c r="A369" t="inlineStr">
        <is>
          <t>A 35121-2025</t>
        </is>
      </c>
      <c r="B369" s="1" t="n">
        <v>45852.60936342592</v>
      </c>
      <c r="C369" s="1" t="n">
        <v>46001</v>
      </c>
      <c r="D369" t="inlineStr">
        <is>
          <t>DALARNAS LÄN</t>
        </is>
      </c>
      <c r="E369" t="inlineStr">
        <is>
          <t>MORA</t>
        </is>
      </c>
      <c r="F369" t="inlineStr">
        <is>
          <t>Bergvik skog öst AB</t>
        </is>
      </c>
      <c r="G369" t="n">
        <v>15.9</v>
      </c>
      <c r="H369" t="n">
        <v>0</v>
      </c>
      <c r="I369" t="n">
        <v>0</v>
      </c>
      <c r="J369" t="n">
        <v>0</v>
      </c>
      <c r="K369" t="n">
        <v>0</v>
      </c>
      <c r="L369" t="n">
        <v>0</v>
      </c>
      <c r="M369" t="n">
        <v>0</v>
      </c>
      <c r="N369" t="n">
        <v>0</v>
      </c>
      <c r="O369" t="n">
        <v>0</v>
      </c>
      <c r="P369" t="n">
        <v>0</v>
      </c>
      <c r="Q369" t="n">
        <v>0</v>
      </c>
      <c r="R369" s="2" t="inlineStr"/>
    </row>
    <row r="370" ht="15" customHeight="1">
      <c r="A370" t="inlineStr">
        <is>
          <t>A 60718-2023</t>
        </is>
      </c>
      <c r="B370" s="1" t="n">
        <v>45260.5284375</v>
      </c>
      <c r="C370" s="1" t="n">
        <v>46001</v>
      </c>
      <c r="D370" t="inlineStr">
        <is>
          <t>DALARNAS LÄN</t>
        </is>
      </c>
      <c r="E370" t="inlineStr">
        <is>
          <t>MORA</t>
        </is>
      </c>
      <c r="G370" t="n">
        <v>2.6</v>
      </c>
      <c r="H370" t="n">
        <v>0</v>
      </c>
      <c r="I370" t="n">
        <v>0</v>
      </c>
      <c r="J370" t="n">
        <v>0</v>
      </c>
      <c r="K370" t="n">
        <v>0</v>
      </c>
      <c r="L370" t="n">
        <v>0</v>
      </c>
      <c r="M370" t="n">
        <v>0</v>
      </c>
      <c r="N370" t="n">
        <v>0</v>
      </c>
      <c r="O370" t="n">
        <v>0</v>
      </c>
      <c r="P370" t="n">
        <v>0</v>
      </c>
      <c r="Q370" t="n">
        <v>0</v>
      </c>
      <c r="R370" s="2" t="inlineStr"/>
    </row>
    <row r="371" ht="15" customHeight="1">
      <c r="A371" t="inlineStr">
        <is>
          <t>A 14641-2023</t>
        </is>
      </c>
      <c r="B371" s="1" t="n">
        <v>45013</v>
      </c>
      <c r="C371" s="1" t="n">
        <v>46001</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47769-2025</t>
        </is>
      </c>
      <c r="B372" s="1" t="n">
        <v>45931.70715277778</v>
      </c>
      <c r="C372" s="1" t="n">
        <v>46001</v>
      </c>
      <c r="D372" t="inlineStr">
        <is>
          <t>DALARNAS LÄN</t>
        </is>
      </c>
      <c r="E372" t="inlineStr">
        <is>
          <t>MORA</t>
        </is>
      </c>
      <c r="G372" t="n">
        <v>6.7</v>
      </c>
      <c r="H372" t="n">
        <v>0</v>
      </c>
      <c r="I372" t="n">
        <v>0</v>
      </c>
      <c r="J372" t="n">
        <v>0</v>
      </c>
      <c r="K372" t="n">
        <v>0</v>
      </c>
      <c r="L372" t="n">
        <v>0</v>
      </c>
      <c r="M372" t="n">
        <v>0</v>
      </c>
      <c r="N372" t="n">
        <v>0</v>
      </c>
      <c r="O372" t="n">
        <v>0</v>
      </c>
      <c r="P372" t="n">
        <v>0</v>
      </c>
      <c r="Q372" t="n">
        <v>0</v>
      </c>
      <c r="R372" s="2" t="inlineStr"/>
    </row>
    <row r="373" ht="15" customHeight="1">
      <c r="A373" t="inlineStr">
        <is>
          <t>A 35407-2025</t>
        </is>
      </c>
      <c r="B373" s="1" t="n">
        <v>45855.35989583333</v>
      </c>
      <c r="C373" s="1" t="n">
        <v>46001</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12151-2021</t>
        </is>
      </c>
      <c r="B374" s="1" t="n">
        <v>44266</v>
      </c>
      <c r="C374" s="1" t="n">
        <v>46001</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35611-2025</t>
        </is>
      </c>
      <c r="B375" s="1" t="n">
        <v>45859.35384259259</v>
      </c>
      <c r="C375" s="1" t="n">
        <v>46001</v>
      </c>
      <c r="D375" t="inlineStr">
        <is>
          <t>DALARNAS LÄN</t>
        </is>
      </c>
      <c r="E375" t="inlineStr">
        <is>
          <t>MORA</t>
        </is>
      </c>
      <c r="G375" t="n">
        <v>2.5</v>
      </c>
      <c r="H375" t="n">
        <v>0</v>
      </c>
      <c r="I375" t="n">
        <v>0</v>
      </c>
      <c r="J375" t="n">
        <v>0</v>
      </c>
      <c r="K375" t="n">
        <v>0</v>
      </c>
      <c r="L375" t="n">
        <v>0</v>
      </c>
      <c r="M375" t="n">
        <v>0</v>
      </c>
      <c r="N375" t="n">
        <v>0</v>
      </c>
      <c r="O375" t="n">
        <v>0</v>
      </c>
      <c r="P375" t="n">
        <v>0</v>
      </c>
      <c r="Q375" t="n">
        <v>0</v>
      </c>
      <c r="R375" s="2" t="inlineStr"/>
    </row>
    <row r="376" ht="15" customHeight="1">
      <c r="A376" t="inlineStr">
        <is>
          <t>A 35622-2025</t>
        </is>
      </c>
      <c r="B376" s="1" t="n">
        <v>45859</v>
      </c>
      <c r="C376" s="1" t="n">
        <v>46001</v>
      </c>
      <c r="D376" t="inlineStr">
        <is>
          <t>DALARNAS LÄN</t>
        </is>
      </c>
      <c r="E376" t="inlineStr">
        <is>
          <t>MORA</t>
        </is>
      </c>
      <c r="F376" t="inlineStr">
        <is>
          <t>Bergvik skog öst AB</t>
        </is>
      </c>
      <c r="G376" t="n">
        <v>5.8</v>
      </c>
      <c r="H376" t="n">
        <v>0</v>
      </c>
      <c r="I376" t="n">
        <v>0</v>
      </c>
      <c r="J376" t="n">
        <v>0</v>
      </c>
      <c r="K376" t="n">
        <v>0</v>
      </c>
      <c r="L376" t="n">
        <v>0</v>
      </c>
      <c r="M376" t="n">
        <v>0</v>
      </c>
      <c r="N376" t="n">
        <v>0</v>
      </c>
      <c r="O376" t="n">
        <v>0</v>
      </c>
      <c r="P376" t="n">
        <v>0</v>
      </c>
      <c r="Q376" t="n">
        <v>0</v>
      </c>
      <c r="R376" s="2" t="inlineStr"/>
    </row>
    <row r="377" ht="15" customHeight="1">
      <c r="A377" t="inlineStr">
        <is>
          <t>A 35734-2025</t>
        </is>
      </c>
      <c r="B377" s="1" t="n">
        <v>45860.471875</v>
      </c>
      <c r="C377" s="1" t="n">
        <v>46001</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9277-2024</t>
        </is>
      </c>
      <c r="B378" s="1" t="n">
        <v>45358.63265046296</v>
      </c>
      <c r="C378" s="1" t="n">
        <v>46001</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35623-2025</t>
        </is>
      </c>
      <c r="B379" s="1" t="n">
        <v>45859</v>
      </c>
      <c r="C379" s="1" t="n">
        <v>46001</v>
      </c>
      <c r="D379" t="inlineStr">
        <is>
          <t>DALARNAS LÄN</t>
        </is>
      </c>
      <c r="E379" t="inlineStr">
        <is>
          <t>MORA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42611-2022</t>
        </is>
      </c>
      <c r="B380" s="1" t="n">
        <v>44831.81482638889</v>
      </c>
      <c r="C380" s="1" t="n">
        <v>46001</v>
      </c>
      <c r="D380" t="inlineStr">
        <is>
          <t>DALARNAS LÄN</t>
        </is>
      </c>
      <c r="E380" t="inlineStr">
        <is>
          <t>MORA</t>
        </is>
      </c>
      <c r="G380" t="n">
        <v>2.1</v>
      </c>
      <c r="H380" t="n">
        <v>0</v>
      </c>
      <c r="I380" t="n">
        <v>0</v>
      </c>
      <c r="J380" t="n">
        <v>0</v>
      </c>
      <c r="K380" t="n">
        <v>0</v>
      </c>
      <c r="L380" t="n">
        <v>0</v>
      </c>
      <c r="M380" t="n">
        <v>0</v>
      </c>
      <c r="N380" t="n">
        <v>0</v>
      </c>
      <c r="O380" t="n">
        <v>0</v>
      </c>
      <c r="P380" t="n">
        <v>0</v>
      </c>
      <c r="Q380" t="n">
        <v>0</v>
      </c>
      <c r="R380" s="2" t="inlineStr"/>
    </row>
    <row r="381" ht="15" customHeight="1">
      <c r="A381" t="inlineStr">
        <is>
          <t>A 35624-2025</t>
        </is>
      </c>
      <c r="B381" s="1" t="n">
        <v>45859</v>
      </c>
      <c r="C381" s="1" t="n">
        <v>46001</v>
      </c>
      <c r="D381" t="inlineStr">
        <is>
          <t>DALARNAS LÄN</t>
        </is>
      </c>
      <c r="E381" t="inlineStr">
        <is>
          <t>MORA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47765-2025</t>
        </is>
      </c>
      <c r="B382" s="1" t="n">
        <v>45931.69100694444</v>
      </c>
      <c r="C382" s="1" t="n">
        <v>46001</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15416-2023</t>
        </is>
      </c>
      <c r="B383" s="1" t="n">
        <v>45019.71342592593</v>
      </c>
      <c r="C383" s="1" t="n">
        <v>46001</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47860-2025</t>
        </is>
      </c>
      <c r="B384" s="1" t="n">
        <v>45932.42298611111</v>
      </c>
      <c r="C384" s="1" t="n">
        <v>46001</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52288-2024</t>
        </is>
      </c>
      <c r="B385" s="1" t="n">
        <v>45608.69395833334</v>
      </c>
      <c r="C385" s="1" t="n">
        <v>46001</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25935-2023</t>
        </is>
      </c>
      <c r="B386" s="1" t="n">
        <v>45090.68675925926</v>
      </c>
      <c r="C386" s="1" t="n">
        <v>46001</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36041-2025</t>
        </is>
      </c>
      <c r="B387" s="1" t="n">
        <v>45866.34385416667</v>
      </c>
      <c r="C387" s="1" t="n">
        <v>46001</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48376-2025</t>
        </is>
      </c>
      <c r="B388" s="1" t="n">
        <v>45933.71648148148</v>
      </c>
      <c r="C388" s="1" t="n">
        <v>46001</v>
      </c>
      <c r="D388" t="inlineStr">
        <is>
          <t>DALARNAS LÄN</t>
        </is>
      </c>
      <c r="E388" t="inlineStr">
        <is>
          <t>MORA</t>
        </is>
      </c>
      <c r="G388" t="n">
        <v>0.8</v>
      </c>
      <c r="H388" t="n">
        <v>0</v>
      </c>
      <c r="I388" t="n">
        <v>0</v>
      </c>
      <c r="J388" t="n">
        <v>0</v>
      </c>
      <c r="K388" t="n">
        <v>0</v>
      </c>
      <c r="L388" t="n">
        <v>0</v>
      </c>
      <c r="M388" t="n">
        <v>0</v>
      </c>
      <c r="N388" t="n">
        <v>0</v>
      </c>
      <c r="O388" t="n">
        <v>0</v>
      </c>
      <c r="P388" t="n">
        <v>0</v>
      </c>
      <c r="Q388" t="n">
        <v>0</v>
      </c>
      <c r="R388" s="2" t="inlineStr"/>
    </row>
    <row r="389" ht="15" customHeight="1">
      <c r="A389" t="inlineStr">
        <is>
          <t>A 48377-2025</t>
        </is>
      </c>
      <c r="B389" s="1" t="n">
        <v>45933.71896990741</v>
      </c>
      <c r="C389" s="1" t="n">
        <v>46001</v>
      </c>
      <c r="D389" t="inlineStr">
        <is>
          <t>DALARNAS LÄN</t>
        </is>
      </c>
      <c r="E389" t="inlineStr">
        <is>
          <t>MORA</t>
        </is>
      </c>
      <c r="G389" t="n">
        <v>2</v>
      </c>
      <c r="H389" t="n">
        <v>0</v>
      </c>
      <c r="I389" t="n">
        <v>0</v>
      </c>
      <c r="J389" t="n">
        <v>0</v>
      </c>
      <c r="K389" t="n">
        <v>0</v>
      </c>
      <c r="L389" t="n">
        <v>0</v>
      </c>
      <c r="M389" t="n">
        <v>0</v>
      </c>
      <c r="N389" t="n">
        <v>0</v>
      </c>
      <c r="O389" t="n">
        <v>0</v>
      </c>
      <c r="P389" t="n">
        <v>0</v>
      </c>
      <c r="Q389" t="n">
        <v>0</v>
      </c>
      <c r="R389" s="2" t="inlineStr"/>
    </row>
    <row r="390" ht="15" customHeight="1">
      <c r="A390" t="inlineStr">
        <is>
          <t>A 16174-2025</t>
        </is>
      </c>
      <c r="B390" s="1" t="n">
        <v>45750</v>
      </c>
      <c r="C390" s="1" t="n">
        <v>46001</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24768-2024</t>
        </is>
      </c>
      <c r="B391" s="1" t="n">
        <v>45460.69545138889</v>
      </c>
      <c r="C391" s="1" t="n">
        <v>46001</v>
      </c>
      <c r="D391" t="inlineStr">
        <is>
          <t>DALARNAS LÄN</t>
        </is>
      </c>
      <c r="E391" t="inlineStr">
        <is>
          <t>MORA</t>
        </is>
      </c>
      <c r="G391" t="n">
        <v>2.4</v>
      </c>
      <c r="H391" t="n">
        <v>0</v>
      </c>
      <c r="I391" t="n">
        <v>0</v>
      </c>
      <c r="J391" t="n">
        <v>0</v>
      </c>
      <c r="K391" t="n">
        <v>0</v>
      </c>
      <c r="L391" t="n">
        <v>0</v>
      </c>
      <c r="M391" t="n">
        <v>0</v>
      </c>
      <c r="N391" t="n">
        <v>0</v>
      </c>
      <c r="O391" t="n">
        <v>0</v>
      </c>
      <c r="P391" t="n">
        <v>0</v>
      </c>
      <c r="Q391" t="n">
        <v>0</v>
      </c>
      <c r="R391" s="2" t="inlineStr"/>
    </row>
    <row r="392" ht="15" customHeight="1">
      <c r="A392" t="inlineStr">
        <is>
          <t>A 47716-2025</t>
        </is>
      </c>
      <c r="B392" s="1" t="n">
        <v>45931</v>
      </c>
      <c r="C392" s="1" t="n">
        <v>46001</v>
      </c>
      <c r="D392" t="inlineStr">
        <is>
          <t>DALARNAS LÄN</t>
        </is>
      </c>
      <c r="E392" t="inlineStr">
        <is>
          <t>MORA</t>
        </is>
      </c>
      <c r="G392" t="n">
        <v>8.9</v>
      </c>
      <c r="H392" t="n">
        <v>0</v>
      </c>
      <c r="I392" t="n">
        <v>0</v>
      </c>
      <c r="J392" t="n">
        <v>0</v>
      </c>
      <c r="K392" t="n">
        <v>0</v>
      </c>
      <c r="L392" t="n">
        <v>0</v>
      </c>
      <c r="M392" t="n">
        <v>0</v>
      </c>
      <c r="N392" t="n">
        <v>0</v>
      </c>
      <c r="O392" t="n">
        <v>0</v>
      </c>
      <c r="P392" t="n">
        <v>0</v>
      </c>
      <c r="Q392" t="n">
        <v>0</v>
      </c>
      <c r="R392" s="2" t="inlineStr"/>
    </row>
    <row r="393" ht="15" customHeight="1">
      <c r="A393" t="inlineStr">
        <is>
          <t>A 50911-2024</t>
        </is>
      </c>
      <c r="B393" s="1" t="n">
        <v>45602.7022337963</v>
      </c>
      <c r="C393" s="1" t="n">
        <v>46001</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36586-2025</t>
        </is>
      </c>
      <c r="B394" s="1" t="n">
        <v>45869</v>
      </c>
      <c r="C394" s="1" t="n">
        <v>46001</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35040-2023</t>
        </is>
      </c>
      <c r="B395" s="1" t="n">
        <v>45145.36853009259</v>
      </c>
      <c r="C395" s="1" t="n">
        <v>46001</v>
      </c>
      <c r="D395" t="inlineStr">
        <is>
          <t>DALARNAS LÄN</t>
        </is>
      </c>
      <c r="E395" t="inlineStr">
        <is>
          <t>MORA</t>
        </is>
      </c>
      <c r="G395" t="n">
        <v>2.1</v>
      </c>
      <c r="H395" t="n">
        <v>0</v>
      </c>
      <c r="I395" t="n">
        <v>0</v>
      </c>
      <c r="J395" t="n">
        <v>0</v>
      </c>
      <c r="K395" t="n">
        <v>0</v>
      </c>
      <c r="L395" t="n">
        <v>0</v>
      </c>
      <c r="M395" t="n">
        <v>0</v>
      </c>
      <c r="N395" t="n">
        <v>0</v>
      </c>
      <c r="O395" t="n">
        <v>0</v>
      </c>
      <c r="P395" t="n">
        <v>0</v>
      </c>
      <c r="Q395" t="n">
        <v>0</v>
      </c>
      <c r="R395" s="2" t="inlineStr"/>
    </row>
    <row r="396" ht="15" customHeight="1">
      <c r="A396" t="inlineStr">
        <is>
          <t>A 58036-2024</t>
        </is>
      </c>
      <c r="B396" s="1" t="n">
        <v>45631.71893518518</v>
      </c>
      <c r="C396" s="1" t="n">
        <v>46001</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28964-2024</t>
        </is>
      </c>
      <c r="B397" s="1" t="n">
        <v>45481.42923611111</v>
      </c>
      <c r="C397" s="1" t="n">
        <v>46001</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48927-2025</t>
        </is>
      </c>
      <c r="B398" s="1" t="n">
        <v>45931</v>
      </c>
      <c r="C398" s="1" t="n">
        <v>46001</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27420-2024</t>
        </is>
      </c>
      <c r="B399" s="1" t="n">
        <v>45474.37850694444</v>
      </c>
      <c r="C399" s="1" t="n">
        <v>46001</v>
      </c>
      <c r="D399" t="inlineStr">
        <is>
          <t>DALARNAS LÄN</t>
        </is>
      </c>
      <c r="E399" t="inlineStr">
        <is>
          <t>MORA</t>
        </is>
      </c>
      <c r="G399" t="n">
        <v>7.3</v>
      </c>
      <c r="H399" t="n">
        <v>0</v>
      </c>
      <c r="I399" t="n">
        <v>0</v>
      </c>
      <c r="J399" t="n">
        <v>0</v>
      </c>
      <c r="K399" t="n">
        <v>0</v>
      </c>
      <c r="L399" t="n">
        <v>0</v>
      </c>
      <c r="M399" t="n">
        <v>0</v>
      </c>
      <c r="N399" t="n">
        <v>0</v>
      </c>
      <c r="O399" t="n">
        <v>0</v>
      </c>
      <c r="P399" t="n">
        <v>0</v>
      </c>
      <c r="Q399" t="n">
        <v>0</v>
      </c>
      <c r="R399" s="2" t="inlineStr"/>
    </row>
    <row r="400" ht="15" customHeight="1">
      <c r="A400" t="inlineStr">
        <is>
          <t>A 36760-2025</t>
        </is>
      </c>
      <c r="B400" s="1" t="n">
        <v>45873.57319444444</v>
      </c>
      <c r="C400" s="1" t="n">
        <v>46001</v>
      </c>
      <c r="D400" t="inlineStr">
        <is>
          <t>DALARNAS LÄN</t>
        </is>
      </c>
      <c r="E400" t="inlineStr">
        <is>
          <t>MORA</t>
        </is>
      </c>
      <c r="G400" t="n">
        <v>4.6</v>
      </c>
      <c r="H400" t="n">
        <v>0</v>
      </c>
      <c r="I400" t="n">
        <v>0</v>
      </c>
      <c r="J400" t="n">
        <v>0</v>
      </c>
      <c r="K400" t="n">
        <v>0</v>
      </c>
      <c r="L400" t="n">
        <v>0</v>
      </c>
      <c r="M400" t="n">
        <v>0</v>
      </c>
      <c r="N400" t="n">
        <v>0</v>
      </c>
      <c r="O400" t="n">
        <v>0</v>
      </c>
      <c r="P400" t="n">
        <v>0</v>
      </c>
      <c r="Q400" t="n">
        <v>0</v>
      </c>
      <c r="R400" s="2" t="inlineStr"/>
    </row>
    <row r="401" ht="15" customHeight="1">
      <c r="A401" t="inlineStr">
        <is>
          <t>A 56702-2025</t>
        </is>
      </c>
      <c r="B401" s="1" t="n">
        <v>45977.45586805556</v>
      </c>
      <c r="C401" s="1" t="n">
        <v>46001</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49404-2025</t>
        </is>
      </c>
      <c r="B402" s="1" t="n">
        <v>45938.67662037037</v>
      </c>
      <c r="C402" s="1" t="n">
        <v>46001</v>
      </c>
      <c r="D402" t="inlineStr">
        <is>
          <t>DALARNAS LÄN</t>
        </is>
      </c>
      <c r="E402" t="inlineStr">
        <is>
          <t>MORA</t>
        </is>
      </c>
      <c r="F402" t="inlineStr">
        <is>
          <t>Bergvik skog väst AB</t>
        </is>
      </c>
      <c r="G402" t="n">
        <v>0.9</v>
      </c>
      <c r="H402" t="n">
        <v>0</v>
      </c>
      <c r="I402" t="n">
        <v>0</v>
      </c>
      <c r="J402" t="n">
        <v>0</v>
      </c>
      <c r="K402" t="n">
        <v>0</v>
      </c>
      <c r="L402" t="n">
        <v>0</v>
      </c>
      <c r="M402" t="n">
        <v>0</v>
      </c>
      <c r="N402" t="n">
        <v>0</v>
      </c>
      <c r="O402" t="n">
        <v>0</v>
      </c>
      <c r="P402" t="n">
        <v>0</v>
      </c>
      <c r="Q402" t="n">
        <v>0</v>
      </c>
      <c r="R402" s="2" t="inlineStr"/>
    </row>
    <row r="403" ht="15" customHeight="1">
      <c r="A403" t="inlineStr">
        <is>
          <t>A 22854-2023</t>
        </is>
      </c>
      <c r="B403" s="1" t="n">
        <v>45072</v>
      </c>
      <c r="C403" s="1" t="n">
        <v>46001</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57453-2025</t>
        </is>
      </c>
      <c r="B404" s="1" t="n">
        <v>45980.5122337963</v>
      </c>
      <c r="C404" s="1" t="n">
        <v>46001</v>
      </c>
      <c r="D404" t="inlineStr">
        <is>
          <t>DALARNAS LÄN</t>
        </is>
      </c>
      <c r="E404" t="inlineStr">
        <is>
          <t>MORA</t>
        </is>
      </c>
      <c r="F404" t="inlineStr">
        <is>
          <t>Allmännings- och besparingsskogar</t>
        </is>
      </c>
      <c r="G404" t="n">
        <v>2.9</v>
      </c>
      <c r="H404" t="n">
        <v>0</v>
      </c>
      <c r="I404" t="n">
        <v>0</v>
      </c>
      <c r="J404" t="n">
        <v>0</v>
      </c>
      <c r="K404" t="n">
        <v>0</v>
      </c>
      <c r="L404" t="n">
        <v>0</v>
      </c>
      <c r="M404" t="n">
        <v>0</v>
      </c>
      <c r="N404" t="n">
        <v>0</v>
      </c>
      <c r="O404" t="n">
        <v>0</v>
      </c>
      <c r="P404" t="n">
        <v>0</v>
      </c>
      <c r="Q404" t="n">
        <v>0</v>
      </c>
      <c r="R404" s="2" t="inlineStr"/>
    </row>
    <row r="405" ht="15" customHeight="1">
      <c r="A405" t="inlineStr">
        <is>
          <t>A 48929-2025</t>
        </is>
      </c>
      <c r="B405" s="1" t="n">
        <v>45937.51315972222</v>
      </c>
      <c r="C405" s="1" t="n">
        <v>46001</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36846-2025</t>
        </is>
      </c>
      <c r="B406" s="1" t="n">
        <v>45874.38655092593</v>
      </c>
      <c r="C406" s="1" t="n">
        <v>46001</v>
      </c>
      <c r="D406" t="inlineStr">
        <is>
          <t>DALARNAS LÄN</t>
        </is>
      </c>
      <c r="E406" t="inlineStr">
        <is>
          <t>MORA</t>
        </is>
      </c>
      <c r="G406" t="n">
        <v>10.7</v>
      </c>
      <c r="H406" t="n">
        <v>0</v>
      </c>
      <c r="I406" t="n">
        <v>0</v>
      </c>
      <c r="J406" t="n">
        <v>0</v>
      </c>
      <c r="K406" t="n">
        <v>0</v>
      </c>
      <c r="L406" t="n">
        <v>0</v>
      </c>
      <c r="M406" t="n">
        <v>0</v>
      </c>
      <c r="N406" t="n">
        <v>0</v>
      </c>
      <c r="O406" t="n">
        <v>0</v>
      </c>
      <c r="P406" t="n">
        <v>0</v>
      </c>
      <c r="Q406" t="n">
        <v>0</v>
      </c>
      <c r="R406" s="2" t="inlineStr"/>
    </row>
    <row r="407" ht="15" customHeight="1">
      <c r="A407" t="inlineStr">
        <is>
          <t>A 57097-2025</t>
        </is>
      </c>
      <c r="B407" s="1" t="n">
        <v>45979.43388888889</v>
      </c>
      <c r="C407" s="1" t="n">
        <v>46001</v>
      </c>
      <c r="D407" t="inlineStr">
        <is>
          <t>DALARNAS LÄN</t>
        </is>
      </c>
      <c r="E407" t="inlineStr">
        <is>
          <t>MORA</t>
        </is>
      </c>
      <c r="G407" t="n">
        <v>7.5</v>
      </c>
      <c r="H407" t="n">
        <v>0</v>
      </c>
      <c r="I407" t="n">
        <v>0</v>
      </c>
      <c r="J407" t="n">
        <v>0</v>
      </c>
      <c r="K407" t="n">
        <v>0</v>
      </c>
      <c r="L407" t="n">
        <v>0</v>
      </c>
      <c r="M407" t="n">
        <v>0</v>
      </c>
      <c r="N407" t="n">
        <v>0</v>
      </c>
      <c r="O407" t="n">
        <v>0</v>
      </c>
      <c r="P407" t="n">
        <v>0</v>
      </c>
      <c r="Q407" t="n">
        <v>0</v>
      </c>
      <c r="R407" s="2" t="inlineStr"/>
    </row>
    <row r="408" ht="15" customHeight="1">
      <c r="A408" t="inlineStr">
        <is>
          <t>A 37268-2025</t>
        </is>
      </c>
      <c r="B408" s="1" t="n">
        <v>45876.46681712963</v>
      </c>
      <c r="C408" s="1" t="n">
        <v>46001</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37070-2025</t>
        </is>
      </c>
      <c r="B409" s="1" t="n">
        <v>45875.39822916667</v>
      </c>
      <c r="C409" s="1" t="n">
        <v>46001</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49401-2025</t>
        </is>
      </c>
      <c r="B410" s="1" t="n">
        <v>45938.66932870371</v>
      </c>
      <c r="C410" s="1" t="n">
        <v>46001</v>
      </c>
      <c r="D410" t="inlineStr">
        <is>
          <t>DALARNAS LÄN</t>
        </is>
      </c>
      <c r="E410" t="inlineStr">
        <is>
          <t>MORA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57101-2025</t>
        </is>
      </c>
      <c r="B411" s="1" t="n">
        <v>45979.44006944444</v>
      </c>
      <c r="C411" s="1" t="n">
        <v>46001</v>
      </c>
      <c r="D411" t="inlineStr">
        <is>
          <t>DALARNAS LÄN</t>
        </is>
      </c>
      <c r="E411" t="inlineStr">
        <is>
          <t>MORA</t>
        </is>
      </c>
      <c r="G411" t="n">
        <v>7.5</v>
      </c>
      <c r="H411" t="n">
        <v>0</v>
      </c>
      <c r="I411" t="n">
        <v>0</v>
      </c>
      <c r="J411" t="n">
        <v>0</v>
      </c>
      <c r="K411" t="n">
        <v>0</v>
      </c>
      <c r="L411" t="n">
        <v>0</v>
      </c>
      <c r="M411" t="n">
        <v>0</v>
      </c>
      <c r="N411" t="n">
        <v>0</v>
      </c>
      <c r="O411" t="n">
        <v>0</v>
      </c>
      <c r="P411" t="n">
        <v>0</v>
      </c>
      <c r="Q411" t="n">
        <v>0</v>
      </c>
      <c r="R411" s="2" t="inlineStr"/>
    </row>
    <row r="412" ht="15" customHeight="1">
      <c r="A412" t="inlineStr">
        <is>
          <t>A 12920-2022</t>
        </is>
      </c>
      <c r="B412" s="1" t="n">
        <v>44642.65418981481</v>
      </c>
      <c r="C412" s="1" t="n">
        <v>46001</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61188-2024</t>
        </is>
      </c>
      <c r="B413" s="1" t="n">
        <v>45645.62282407407</v>
      </c>
      <c r="C413" s="1" t="n">
        <v>46001</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58089-2024</t>
        </is>
      </c>
      <c r="B414" s="1" t="n">
        <v>45632.34984953704</v>
      </c>
      <c r="C414" s="1" t="n">
        <v>46001</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61350-2024</t>
        </is>
      </c>
      <c r="B415" s="1" t="n">
        <v>45646.37872685185</v>
      </c>
      <c r="C415" s="1" t="n">
        <v>46001</v>
      </c>
      <c r="D415" t="inlineStr">
        <is>
          <t>DALARNAS LÄN</t>
        </is>
      </c>
      <c r="E415" t="inlineStr">
        <is>
          <t>MORA</t>
        </is>
      </c>
      <c r="G415" t="n">
        <v>1.4</v>
      </c>
      <c r="H415" t="n">
        <v>0</v>
      </c>
      <c r="I415" t="n">
        <v>0</v>
      </c>
      <c r="J415" t="n">
        <v>0</v>
      </c>
      <c r="K415" t="n">
        <v>0</v>
      </c>
      <c r="L415" t="n">
        <v>0</v>
      </c>
      <c r="M415" t="n">
        <v>0</v>
      </c>
      <c r="N415" t="n">
        <v>0</v>
      </c>
      <c r="O415" t="n">
        <v>0</v>
      </c>
      <c r="P415" t="n">
        <v>0</v>
      </c>
      <c r="Q415" t="n">
        <v>0</v>
      </c>
      <c r="R415" s="2" t="inlineStr"/>
    </row>
    <row r="416" ht="15" customHeight="1">
      <c r="A416" t="inlineStr">
        <is>
          <t>A 48926-2025</t>
        </is>
      </c>
      <c r="B416" s="1" t="n">
        <v>45937.50666666667</v>
      </c>
      <c r="C416" s="1" t="n">
        <v>46001</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57647-2025</t>
        </is>
      </c>
      <c r="B417" s="1" t="n">
        <v>45981.37621527778</v>
      </c>
      <c r="C417" s="1" t="n">
        <v>46001</v>
      </c>
      <c r="D417" t="inlineStr">
        <is>
          <t>DALARNAS LÄN</t>
        </is>
      </c>
      <c r="E417" t="inlineStr">
        <is>
          <t>MORA</t>
        </is>
      </c>
      <c r="G417" t="n">
        <v>3.9</v>
      </c>
      <c r="H417" t="n">
        <v>0</v>
      </c>
      <c r="I417" t="n">
        <v>0</v>
      </c>
      <c r="J417" t="n">
        <v>0</v>
      </c>
      <c r="K417" t="n">
        <v>0</v>
      </c>
      <c r="L417" t="n">
        <v>0</v>
      </c>
      <c r="M417" t="n">
        <v>0</v>
      </c>
      <c r="N417" t="n">
        <v>0</v>
      </c>
      <c r="O417" t="n">
        <v>0</v>
      </c>
      <c r="P417" t="n">
        <v>0</v>
      </c>
      <c r="Q417" t="n">
        <v>0</v>
      </c>
      <c r="R417" s="2" t="inlineStr"/>
    </row>
    <row r="418" ht="15" customHeight="1">
      <c r="A418" t="inlineStr">
        <is>
          <t>A 58001-2025</t>
        </is>
      </c>
      <c r="B418" s="1" t="n">
        <v>45982.43615740741</v>
      </c>
      <c r="C418" s="1" t="n">
        <v>46001</v>
      </c>
      <c r="D418" t="inlineStr">
        <is>
          <t>DALARNAS LÄN</t>
        </is>
      </c>
      <c r="E418" t="inlineStr">
        <is>
          <t>MORA</t>
        </is>
      </c>
      <c r="G418" t="n">
        <v>3.2</v>
      </c>
      <c r="H418" t="n">
        <v>0</v>
      </c>
      <c r="I418" t="n">
        <v>0</v>
      </c>
      <c r="J418" t="n">
        <v>0</v>
      </c>
      <c r="K418" t="n">
        <v>0</v>
      </c>
      <c r="L418" t="n">
        <v>0</v>
      </c>
      <c r="M418" t="n">
        <v>0</v>
      </c>
      <c r="N418" t="n">
        <v>0</v>
      </c>
      <c r="O418" t="n">
        <v>0</v>
      </c>
      <c r="P418" t="n">
        <v>0</v>
      </c>
      <c r="Q418" t="n">
        <v>0</v>
      </c>
      <c r="R418" s="2" t="inlineStr"/>
    </row>
    <row r="419" ht="15" customHeight="1">
      <c r="A419" t="inlineStr">
        <is>
          <t>A 38073-2025</t>
        </is>
      </c>
      <c r="B419" s="1" t="n">
        <v>45882</v>
      </c>
      <c r="C419" s="1" t="n">
        <v>46001</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38086-2025</t>
        </is>
      </c>
      <c r="B420" s="1" t="n">
        <v>45882.47625</v>
      </c>
      <c r="C420" s="1" t="n">
        <v>46001</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57843-2025</t>
        </is>
      </c>
      <c r="B421" s="1" t="n">
        <v>45981.62792824074</v>
      </c>
      <c r="C421" s="1" t="n">
        <v>46001</v>
      </c>
      <c r="D421" t="inlineStr">
        <is>
          <t>DALARNAS LÄN</t>
        </is>
      </c>
      <c r="E421" t="inlineStr">
        <is>
          <t>MORA</t>
        </is>
      </c>
      <c r="G421" t="n">
        <v>4.5</v>
      </c>
      <c r="H421" t="n">
        <v>0</v>
      </c>
      <c r="I421" t="n">
        <v>0</v>
      </c>
      <c r="J421" t="n">
        <v>0</v>
      </c>
      <c r="K421" t="n">
        <v>0</v>
      </c>
      <c r="L421" t="n">
        <v>0</v>
      </c>
      <c r="M421" t="n">
        <v>0</v>
      </c>
      <c r="N421" t="n">
        <v>0</v>
      </c>
      <c r="O421" t="n">
        <v>0</v>
      </c>
      <c r="P421" t="n">
        <v>0</v>
      </c>
      <c r="Q421" t="n">
        <v>0</v>
      </c>
      <c r="R421" s="2" t="inlineStr"/>
    </row>
    <row r="422" ht="15" customHeight="1">
      <c r="A422" t="inlineStr">
        <is>
          <t>A 43533-2023</t>
        </is>
      </c>
      <c r="B422" s="1" t="n">
        <v>45184.53412037037</v>
      </c>
      <c r="C422" s="1" t="n">
        <v>46001</v>
      </c>
      <c r="D422" t="inlineStr">
        <is>
          <t>DALARNAS LÄN</t>
        </is>
      </c>
      <c r="E422" t="inlineStr">
        <is>
          <t>MORA</t>
        </is>
      </c>
      <c r="F422" t="inlineStr">
        <is>
          <t>Bergvik skog väst AB</t>
        </is>
      </c>
      <c r="G422" t="n">
        <v>10.3</v>
      </c>
      <c r="H422" t="n">
        <v>0</v>
      </c>
      <c r="I422" t="n">
        <v>0</v>
      </c>
      <c r="J422" t="n">
        <v>0</v>
      </c>
      <c r="K422" t="n">
        <v>0</v>
      </c>
      <c r="L422" t="n">
        <v>0</v>
      </c>
      <c r="M422" t="n">
        <v>0</v>
      </c>
      <c r="N422" t="n">
        <v>0</v>
      </c>
      <c r="O422" t="n">
        <v>0</v>
      </c>
      <c r="P422" t="n">
        <v>0</v>
      </c>
      <c r="Q422" t="n">
        <v>0</v>
      </c>
      <c r="R422" s="2" t="inlineStr"/>
    </row>
    <row r="423" ht="15" customHeight="1">
      <c r="A423" t="inlineStr">
        <is>
          <t>A 37879-2025</t>
        </is>
      </c>
      <c r="B423" s="1" t="n">
        <v>45881.48791666667</v>
      </c>
      <c r="C423" s="1" t="n">
        <v>46001</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30998-2022</t>
        </is>
      </c>
      <c r="B424" s="1" t="n">
        <v>44768</v>
      </c>
      <c r="C424" s="1" t="n">
        <v>46001</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49574-2025</t>
        </is>
      </c>
      <c r="B425" s="1" t="n">
        <v>45939.49045138889</v>
      </c>
      <c r="C425" s="1" t="n">
        <v>46001</v>
      </c>
      <c r="D425" t="inlineStr">
        <is>
          <t>DALARNAS LÄN</t>
        </is>
      </c>
      <c r="E425" t="inlineStr">
        <is>
          <t>MORA</t>
        </is>
      </c>
      <c r="G425" t="n">
        <v>6.3</v>
      </c>
      <c r="H425" t="n">
        <v>0</v>
      </c>
      <c r="I425" t="n">
        <v>0</v>
      </c>
      <c r="J425" t="n">
        <v>0</v>
      </c>
      <c r="K425" t="n">
        <v>0</v>
      </c>
      <c r="L425" t="n">
        <v>0</v>
      </c>
      <c r="M425" t="n">
        <v>0</v>
      </c>
      <c r="N425" t="n">
        <v>0</v>
      </c>
      <c r="O425" t="n">
        <v>0</v>
      </c>
      <c r="P425" t="n">
        <v>0</v>
      </c>
      <c r="Q425" t="n">
        <v>0</v>
      </c>
      <c r="R425" s="2" t="inlineStr"/>
    </row>
    <row r="426" ht="15" customHeight="1">
      <c r="A426" t="inlineStr">
        <is>
          <t>A 53527-2024</t>
        </is>
      </c>
      <c r="B426" s="1" t="n">
        <v>45614.61569444444</v>
      </c>
      <c r="C426" s="1" t="n">
        <v>46001</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57659-2025</t>
        </is>
      </c>
      <c r="B427" s="1" t="n">
        <v>45981.41228009259</v>
      </c>
      <c r="C427" s="1" t="n">
        <v>46001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8343-2025</t>
        </is>
      </c>
      <c r="B428" s="1" t="n">
        <v>45708.67253472222</v>
      </c>
      <c r="C428" s="1" t="n">
        <v>46001</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49828-2025</t>
        </is>
      </c>
      <c r="B429" s="1" t="n">
        <v>45940.44993055556</v>
      </c>
      <c r="C429" s="1" t="n">
        <v>46001</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61278-2024</t>
        </is>
      </c>
      <c r="B430" s="1" t="n">
        <v>45645.76561342592</v>
      </c>
      <c r="C430" s="1" t="n">
        <v>46001</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57855-2025</t>
        </is>
      </c>
      <c r="B431" s="1" t="n">
        <v>45981.63909722222</v>
      </c>
      <c r="C431" s="1" t="n">
        <v>46001</v>
      </c>
      <c r="D431" t="inlineStr">
        <is>
          <t>DALARNAS LÄN</t>
        </is>
      </c>
      <c r="E431" t="inlineStr">
        <is>
          <t>MORA</t>
        </is>
      </c>
      <c r="G431" t="n">
        <v>9.9</v>
      </c>
      <c r="H431" t="n">
        <v>0</v>
      </c>
      <c r="I431" t="n">
        <v>0</v>
      </c>
      <c r="J431" t="n">
        <v>0</v>
      </c>
      <c r="K431" t="n">
        <v>0</v>
      </c>
      <c r="L431" t="n">
        <v>0</v>
      </c>
      <c r="M431" t="n">
        <v>0</v>
      </c>
      <c r="N431" t="n">
        <v>0</v>
      </c>
      <c r="O431" t="n">
        <v>0</v>
      </c>
      <c r="P431" t="n">
        <v>0</v>
      </c>
      <c r="Q431" t="n">
        <v>0</v>
      </c>
      <c r="R431" s="2" t="inlineStr"/>
    </row>
    <row r="432" ht="15" customHeight="1">
      <c r="A432" t="inlineStr">
        <is>
          <t>A 58169-2025</t>
        </is>
      </c>
      <c r="B432" s="1" t="n">
        <v>45982.72690972222</v>
      </c>
      <c r="C432" s="1" t="n">
        <v>46001</v>
      </c>
      <c r="D432" t="inlineStr">
        <is>
          <t>DALARNAS LÄN</t>
        </is>
      </c>
      <c r="E432" t="inlineStr">
        <is>
          <t>MORA</t>
        </is>
      </c>
      <c r="F432" t="inlineStr">
        <is>
          <t>Bergvik skog väst AB</t>
        </is>
      </c>
      <c r="G432" t="n">
        <v>7.7</v>
      </c>
      <c r="H432" t="n">
        <v>0</v>
      </c>
      <c r="I432" t="n">
        <v>0</v>
      </c>
      <c r="J432" t="n">
        <v>0</v>
      </c>
      <c r="K432" t="n">
        <v>0</v>
      </c>
      <c r="L432" t="n">
        <v>0</v>
      </c>
      <c r="M432" t="n">
        <v>0</v>
      </c>
      <c r="N432" t="n">
        <v>0</v>
      </c>
      <c r="O432" t="n">
        <v>0</v>
      </c>
      <c r="P432" t="n">
        <v>0</v>
      </c>
      <c r="Q432" t="n">
        <v>0</v>
      </c>
      <c r="R432" s="2" t="inlineStr"/>
    </row>
    <row r="433" ht="15" customHeight="1">
      <c r="A433" t="inlineStr">
        <is>
          <t>A 57976-2025</t>
        </is>
      </c>
      <c r="B433" s="1" t="n">
        <v>45982.39435185185</v>
      </c>
      <c r="C433" s="1" t="n">
        <v>46001</v>
      </c>
      <c r="D433" t="inlineStr">
        <is>
          <t>DALARNAS LÄN</t>
        </is>
      </c>
      <c r="E433" t="inlineStr">
        <is>
          <t>MORA</t>
        </is>
      </c>
      <c r="G433" t="n">
        <v>7.4</v>
      </c>
      <c r="H433" t="n">
        <v>0</v>
      </c>
      <c r="I433" t="n">
        <v>0</v>
      </c>
      <c r="J433" t="n">
        <v>0</v>
      </c>
      <c r="K433" t="n">
        <v>0</v>
      </c>
      <c r="L433" t="n">
        <v>0</v>
      </c>
      <c r="M433" t="n">
        <v>0</v>
      </c>
      <c r="N433" t="n">
        <v>0</v>
      </c>
      <c r="O433" t="n">
        <v>0</v>
      </c>
      <c r="P433" t="n">
        <v>0</v>
      </c>
      <c r="Q433" t="n">
        <v>0</v>
      </c>
      <c r="R433" s="2" t="inlineStr"/>
    </row>
    <row r="434" ht="15" customHeight="1">
      <c r="A434" t="inlineStr">
        <is>
          <t>A 17164-2025</t>
        </is>
      </c>
      <c r="B434" s="1" t="n">
        <v>45756.36403935185</v>
      </c>
      <c r="C434" s="1" t="n">
        <v>46001</v>
      </c>
      <c r="D434" t="inlineStr">
        <is>
          <t>DALARNAS LÄN</t>
        </is>
      </c>
      <c r="E434" t="inlineStr">
        <is>
          <t>MORA</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37774-2022</t>
        </is>
      </c>
      <c r="B435" s="1" t="n">
        <v>44810.64164351852</v>
      </c>
      <c r="C435" s="1" t="n">
        <v>46001</v>
      </c>
      <c r="D435" t="inlineStr">
        <is>
          <t>DALARNAS LÄN</t>
        </is>
      </c>
      <c r="E435" t="inlineStr">
        <is>
          <t>MORA</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58478-2025</t>
        </is>
      </c>
      <c r="B436" s="1" t="n">
        <v>45985.64645833334</v>
      </c>
      <c r="C436" s="1" t="n">
        <v>46001</v>
      </c>
      <c r="D436" t="inlineStr">
        <is>
          <t>DALARNAS LÄN</t>
        </is>
      </c>
      <c r="E436" t="inlineStr">
        <is>
          <t>MORA</t>
        </is>
      </c>
      <c r="G436" t="n">
        <v>6</v>
      </c>
      <c r="H436" t="n">
        <v>0</v>
      </c>
      <c r="I436" t="n">
        <v>0</v>
      </c>
      <c r="J436" t="n">
        <v>0</v>
      </c>
      <c r="K436" t="n">
        <v>0</v>
      </c>
      <c r="L436" t="n">
        <v>0</v>
      </c>
      <c r="M436" t="n">
        <v>0</v>
      </c>
      <c r="N436" t="n">
        <v>0</v>
      </c>
      <c r="O436" t="n">
        <v>0</v>
      </c>
      <c r="P436" t="n">
        <v>0</v>
      </c>
      <c r="Q436" t="n">
        <v>0</v>
      </c>
      <c r="R436" s="2" t="inlineStr"/>
    </row>
    <row r="437" ht="15" customHeight="1">
      <c r="A437" t="inlineStr">
        <is>
          <t>A 47686-2025</t>
        </is>
      </c>
      <c r="B437" s="1" t="n">
        <v>45931</v>
      </c>
      <c r="C437" s="1" t="n">
        <v>46001</v>
      </c>
      <c r="D437" t="inlineStr">
        <is>
          <t>DALARNAS LÄN</t>
        </is>
      </c>
      <c r="E437" t="inlineStr">
        <is>
          <t>MORA</t>
        </is>
      </c>
      <c r="G437" t="n">
        <v>1.3</v>
      </c>
      <c r="H437" t="n">
        <v>0</v>
      </c>
      <c r="I437" t="n">
        <v>0</v>
      </c>
      <c r="J437" t="n">
        <v>0</v>
      </c>
      <c r="K437" t="n">
        <v>0</v>
      </c>
      <c r="L437" t="n">
        <v>0</v>
      </c>
      <c r="M437" t="n">
        <v>0</v>
      </c>
      <c r="N437" t="n">
        <v>0</v>
      </c>
      <c r="O437" t="n">
        <v>0</v>
      </c>
      <c r="P437" t="n">
        <v>0</v>
      </c>
      <c r="Q437" t="n">
        <v>0</v>
      </c>
      <c r="R437" s="2" t="inlineStr"/>
    </row>
    <row r="438" ht="15" customHeight="1">
      <c r="A438" t="inlineStr">
        <is>
          <t>A 58473-2025</t>
        </is>
      </c>
      <c r="B438" s="1" t="n">
        <v>45985.63859953704</v>
      </c>
      <c r="C438" s="1" t="n">
        <v>46001</v>
      </c>
      <c r="D438" t="inlineStr">
        <is>
          <t>DALARNAS LÄN</t>
        </is>
      </c>
      <c r="E438" t="inlineStr">
        <is>
          <t>MORA</t>
        </is>
      </c>
      <c r="G438" t="n">
        <v>2.3</v>
      </c>
      <c r="H438" t="n">
        <v>0</v>
      </c>
      <c r="I438" t="n">
        <v>0</v>
      </c>
      <c r="J438" t="n">
        <v>0</v>
      </c>
      <c r="K438" t="n">
        <v>0</v>
      </c>
      <c r="L438" t="n">
        <v>0</v>
      </c>
      <c r="M438" t="n">
        <v>0</v>
      </c>
      <c r="N438" t="n">
        <v>0</v>
      </c>
      <c r="O438" t="n">
        <v>0</v>
      </c>
      <c r="P438" t="n">
        <v>0</v>
      </c>
      <c r="Q438" t="n">
        <v>0</v>
      </c>
      <c r="R438" s="2" t="inlineStr"/>
    </row>
    <row r="439" ht="15" customHeight="1">
      <c r="A439" t="inlineStr">
        <is>
          <t>A 56532-2024</t>
        </is>
      </c>
      <c r="B439" s="1" t="n">
        <v>45625.55440972222</v>
      </c>
      <c r="C439" s="1" t="n">
        <v>46001</v>
      </c>
      <c r="D439" t="inlineStr">
        <is>
          <t>DALARNAS LÄN</t>
        </is>
      </c>
      <c r="E439" t="inlineStr">
        <is>
          <t>MORA</t>
        </is>
      </c>
      <c r="G439" t="n">
        <v>6.9</v>
      </c>
      <c r="H439" t="n">
        <v>0</v>
      </c>
      <c r="I439" t="n">
        <v>0</v>
      </c>
      <c r="J439" t="n">
        <v>0</v>
      </c>
      <c r="K439" t="n">
        <v>0</v>
      </c>
      <c r="L439" t="n">
        <v>0</v>
      </c>
      <c r="M439" t="n">
        <v>0</v>
      </c>
      <c r="N439" t="n">
        <v>0</v>
      </c>
      <c r="O439" t="n">
        <v>0</v>
      </c>
      <c r="P439" t="n">
        <v>0</v>
      </c>
      <c r="Q439" t="n">
        <v>0</v>
      </c>
      <c r="R439" s="2" t="inlineStr"/>
    </row>
    <row r="440" ht="15" customHeight="1">
      <c r="A440" t="inlineStr">
        <is>
          <t>A 24465-2021</t>
        </is>
      </c>
      <c r="B440" s="1" t="n">
        <v>44337</v>
      </c>
      <c r="C440" s="1" t="n">
        <v>46001</v>
      </c>
      <c r="D440" t="inlineStr">
        <is>
          <t>DALARNAS LÄN</t>
        </is>
      </c>
      <c r="E440" t="inlineStr">
        <is>
          <t>MORA</t>
        </is>
      </c>
      <c r="G440" t="n">
        <v>2.6</v>
      </c>
      <c r="H440" t="n">
        <v>0</v>
      </c>
      <c r="I440" t="n">
        <v>0</v>
      </c>
      <c r="J440" t="n">
        <v>0</v>
      </c>
      <c r="K440" t="n">
        <v>0</v>
      </c>
      <c r="L440" t="n">
        <v>0</v>
      </c>
      <c r="M440" t="n">
        <v>0</v>
      </c>
      <c r="N440" t="n">
        <v>0</v>
      </c>
      <c r="O440" t="n">
        <v>0</v>
      </c>
      <c r="P440" t="n">
        <v>0</v>
      </c>
      <c r="Q440" t="n">
        <v>0</v>
      </c>
      <c r="R440" s="2" t="inlineStr"/>
    </row>
    <row r="441" ht="15" customHeight="1">
      <c r="A441" t="inlineStr">
        <is>
          <t>A 5298-2023</t>
        </is>
      </c>
      <c r="B441" s="1" t="n">
        <v>44959.54355324074</v>
      </c>
      <c r="C441" s="1" t="n">
        <v>46001</v>
      </c>
      <c r="D441" t="inlineStr">
        <is>
          <t>DALARNAS LÄN</t>
        </is>
      </c>
      <c r="E441" t="inlineStr">
        <is>
          <t>MORA</t>
        </is>
      </c>
      <c r="F441" t="inlineStr">
        <is>
          <t>Bergvik skog väst AB</t>
        </is>
      </c>
      <c r="G441" t="n">
        <v>6.2</v>
      </c>
      <c r="H441" t="n">
        <v>0</v>
      </c>
      <c r="I441" t="n">
        <v>0</v>
      </c>
      <c r="J441" t="n">
        <v>0</v>
      </c>
      <c r="K441" t="n">
        <v>0</v>
      </c>
      <c r="L441" t="n">
        <v>0</v>
      </c>
      <c r="M441" t="n">
        <v>0</v>
      </c>
      <c r="N441" t="n">
        <v>0</v>
      </c>
      <c r="O441" t="n">
        <v>0</v>
      </c>
      <c r="P441" t="n">
        <v>0</v>
      </c>
      <c r="Q441" t="n">
        <v>0</v>
      </c>
      <c r="R441" s="2" t="inlineStr"/>
    </row>
    <row r="442" ht="15" customHeight="1">
      <c r="A442" t="inlineStr">
        <is>
          <t>A 59002-2024</t>
        </is>
      </c>
      <c r="B442" s="1" t="n">
        <v>45636</v>
      </c>
      <c r="C442" s="1" t="n">
        <v>46001</v>
      </c>
      <c r="D442" t="inlineStr">
        <is>
          <t>DALARNAS LÄN</t>
        </is>
      </c>
      <c r="E442" t="inlineStr">
        <is>
          <t>MORA</t>
        </is>
      </c>
      <c r="F442" t="inlineStr">
        <is>
          <t>Bergvik skog väst AB</t>
        </is>
      </c>
      <c r="G442" t="n">
        <v>24.8</v>
      </c>
      <c r="H442" t="n">
        <v>0</v>
      </c>
      <c r="I442" t="n">
        <v>0</v>
      </c>
      <c r="J442" t="n">
        <v>0</v>
      </c>
      <c r="K442" t="n">
        <v>0</v>
      </c>
      <c r="L442" t="n">
        <v>0</v>
      </c>
      <c r="M442" t="n">
        <v>0</v>
      </c>
      <c r="N442" t="n">
        <v>0</v>
      </c>
      <c r="O442" t="n">
        <v>0</v>
      </c>
      <c r="P442" t="n">
        <v>0</v>
      </c>
      <c r="Q442" t="n">
        <v>0</v>
      </c>
      <c r="R442" s="2" t="inlineStr"/>
    </row>
    <row r="443" ht="15" customHeight="1">
      <c r="A443" t="inlineStr">
        <is>
          <t>A 44106-2023</t>
        </is>
      </c>
      <c r="B443" s="1" t="n">
        <v>45188</v>
      </c>
      <c r="C443" s="1" t="n">
        <v>46001</v>
      </c>
      <c r="D443" t="inlineStr">
        <is>
          <t>DALARNAS LÄN</t>
        </is>
      </c>
      <c r="E443" t="inlineStr">
        <is>
          <t>MORA</t>
        </is>
      </c>
      <c r="G443" t="n">
        <v>10.1</v>
      </c>
      <c r="H443" t="n">
        <v>0</v>
      </c>
      <c r="I443" t="n">
        <v>0</v>
      </c>
      <c r="J443" t="n">
        <v>0</v>
      </c>
      <c r="K443" t="n">
        <v>0</v>
      </c>
      <c r="L443" t="n">
        <v>0</v>
      </c>
      <c r="M443" t="n">
        <v>0</v>
      </c>
      <c r="N443" t="n">
        <v>0</v>
      </c>
      <c r="O443" t="n">
        <v>0</v>
      </c>
      <c r="P443" t="n">
        <v>0</v>
      </c>
      <c r="Q443" t="n">
        <v>0</v>
      </c>
      <c r="R443" s="2" t="inlineStr"/>
    </row>
    <row r="444" ht="15" customHeight="1">
      <c r="A444" t="inlineStr">
        <is>
          <t>A 59094-2025</t>
        </is>
      </c>
      <c r="B444" s="1" t="n">
        <v>45988.45105324074</v>
      </c>
      <c r="C444" s="1" t="n">
        <v>46001</v>
      </c>
      <c r="D444" t="inlineStr">
        <is>
          <t>DALARNAS LÄN</t>
        </is>
      </c>
      <c r="E444" t="inlineStr">
        <is>
          <t>MORA</t>
        </is>
      </c>
      <c r="G444" t="n">
        <v>10</v>
      </c>
      <c r="H444" t="n">
        <v>0</v>
      </c>
      <c r="I444" t="n">
        <v>0</v>
      </c>
      <c r="J444" t="n">
        <v>0</v>
      </c>
      <c r="K444" t="n">
        <v>0</v>
      </c>
      <c r="L444" t="n">
        <v>0</v>
      </c>
      <c r="M444" t="n">
        <v>0</v>
      </c>
      <c r="N444" t="n">
        <v>0</v>
      </c>
      <c r="O444" t="n">
        <v>0</v>
      </c>
      <c r="P444" t="n">
        <v>0</v>
      </c>
      <c r="Q444" t="n">
        <v>0</v>
      </c>
      <c r="R444" s="2" t="inlineStr"/>
    </row>
    <row r="445" ht="15" customHeight="1">
      <c r="A445" t="inlineStr">
        <is>
          <t>A 57091-2021</t>
        </is>
      </c>
      <c r="B445" s="1" t="n">
        <v>44482</v>
      </c>
      <c r="C445" s="1" t="n">
        <v>46001</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4994-2025</t>
        </is>
      </c>
      <c r="B446" s="1" t="n">
        <v>45691.35427083333</v>
      </c>
      <c r="C446" s="1" t="n">
        <v>46001</v>
      </c>
      <c r="D446" t="inlineStr">
        <is>
          <t>DALARNAS LÄN</t>
        </is>
      </c>
      <c r="E446" t="inlineStr">
        <is>
          <t>MORA</t>
        </is>
      </c>
      <c r="G446" t="n">
        <v>4.6</v>
      </c>
      <c r="H446" t="n">
        <v>0</v>
      </c>
      <c r="I446" t="n">
        <v>0</v>
      </c>
      <c r="J446" t="n">
        <v>0</v>
      </c>
      <c r="K446" t="n">
        <v>0</v>
      </c>
      <c r="L446" t="n">
        <v>0</v>
      </c>
      <c r="M446" t="n">
        <v>0</v>
      </c>
      <c r="N446" t="n">
        <v>0</v>
      </c>
      <c r="O446" t="n">
        <v>0</v>
      </c>
      <c r="P446" t="n">
        <v>0</v>
      </c>
      <c r="Q446" t="n">
        <v>0</v>
      </c>
      <c r="R446" s="2" t="inlineStr"/>
    </row>
    <row r="447" ht="15" customHeight="1">
      <c r="A447" t="inlineStr">
        <is>
          <t>A 35287-2024</t>
        </is>
      </c>
      <c r="B447" s="1" t="n">
        <v>45530</v>
      </c>
      <c r="C447" s="1" t="n">
        <v>46001</v>
      </c>
      <c r="D447" t="inlineStr">
        <is>
          <t>DALARNAS LÄN</t>
        </is>
      </c>
      <c r="E447" t="inlineStr">
        <is>
          <t>MORA</t>
        </is>
      </c>
      <c r="G447" t="n">
        <v>1</v>
      </c>
      <c r="H447" t="n">
        <v>0</v>
      </c>
      <c r="I447" t="n">
        <v>0</v>
      </c>
      <c r="J447" t="n">
        <v>0</v>
      </c>
      <c r="K447" t="n">
        <v>0</v>
      </c>
      <c r="L447" t="n">
        <v>0</v>
      </c>
      <c r="M447" t="n">
        <v>0</v>
      </c>
      <c r="N447" t="n">
        <v>0</v>
      </c>
      <c r="O447" t="n">
        <v>0</v>
      </c>
      <c r="P447" t="n">
        <v>0</v>
      </c>
      <c r="Q447" t="n">
        <v>0</v>
      </c>
      <c r="R447" s="2" t="inlineStr"/>
    </row>
    <row r="448" ht="15" customHeight="1">
      <c r="A448" t="inlineStr">
        <is>
          <t>A 18702-2025</t>
        </is>
      </c>
      <c r="B448" s="1" t="n">
        <v>45763.63166666667</v>
      </c>
      <c r="C448" s="1" t="n">
        <v>46001</v>
      </c>
      <c r="D448" t="inlineStr">
        <is>
          <t>DALARNAS LÄN</t>
        </is>
      </c>
      <c r="E448" t="inlineStr">
        <is>
          <t>MORA</t>
        </is>
      </c>
      <c r="G448" t="n">
        <v>3.6</v>
      </c>
      <c r="H448" t="n">
        <v>0</v>
      </c>
      <c r="I448" t="n">
        <v>0</v>
      </c>
      <c r="J448" t="n">
        <v>0</v>
      </c>
      <c r="K448" t="n">
        <v>0</v>
      </c>
      <c r="L448" t="n">
        <v>0</v>
      </c>
      <c r="M448" t="n">
        <v>0</v>
      </c>
      <c r="N448" t="n">
        <v>0</v>
      </c>
      <c r="O448" t="n">
        <v>0</v>
      </c>
      <c r="P448" t="n">
        <v>0</v>
      </c>
      <c r="Q448" t="n">
        <v>0</v>
      </c>
      <c r="R448" s="2" t="inlineStr"/>
    </row>
    <row r="449" ht="15" customHeight="1">
      <c r="A449" t="inlineStr">
        <is>
          <t>A 12478-2025</t>
        </is>
      </c>
      <c r="B449" s="1" t="n">
        <v>45730.57429398148</v>
      </c>
      <c r="C449" s="1" t="n">
        <v>46001</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59768-2025</t>
        </is>
      </c>
      <c r="B450" s="1" t="n">
        <v>45992</v>
      </c>
      <c r="C450" s="1" t="n">
        <v>46001</v>
      </c>
      <c r="D450" t="inlineStr">
        <is>
          <t>DALARNAS LÄN</t>
        </is>
      </c>
      <c r="E450" t="inlineStr">
        <is>
          <t>MORA</t>
        </is>
      </c>
      <c r="G450" t="n">
        <v>4</v>
      </c>
      <c r="H450" t="n">
        <v>0</v>
      </c>
      <c r="I450" t="n">
        <v>0</v>
      </c>
      <c r="J450" t="n">
        <v>0</v>
      </c>
      <c r="K450" t="n">
        <v>0</v>
      </c>
      <c r="L450" t="n">
        <v>0</v>
      </c>
      <c r="M450" t="n">
        <v>0</v>
      </c>
      <c r="N450" t="n">
        <v>0</v>
      </c>
      <c r="O450" t="n">
        <v>0</v>
      </c>
      <c r="P450" t="n">
        <v>0</v>
      </c>
      <c r="Q450" t="n">
        <v>0</v>
      </c>
      <c r="R450" s="2" t="inlineStr"/>
    </row>
    <row r="451" ht="15" customHeight="1">
      <c r="A451" t="inlineStr">
        <is>
          <t>A 59669-2025</t>
        </is>
      </c>
      <c r="B451" s="1" t="n">
        <v>45992.45640046296</v>
      </c>
      <c r="C451" s="1" t="n">
        <v>46001</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30030-2021</t>
        </is>
      </c>
      <c r="B452" s="1" t="n">
        <v>44363</v>
      </c>
      <c r="C452" s="1" t="n">
        <v>46001</v>
      </c>
      <c r="D452" t="inlineStr">
        <is>
          <t>DALARNAS LÄN</t>
        </is>
      </c>
      <c r="E452" t="inlineStr">
        <is>
          <t>MORA</t>
        </is>
      </c>
      <c r="G452" t="n">
        <v>7.1</v>
      </c>
      <c r="H452" t="n">
        <v>0</v>
      </c>
      <c r="I452" t="n">
        <v>0</v>
      </c>
      <c r="J452" t="n">
        <v>0</v>
      </c>
      <c r="K452" t="n">
        <v>0</v>
      </c>
      <c r="L452" t="n">
        <v>0</v>
      </c>
      <c r="M452" t="n">
        <v>0</v>
      </c>
      <c r="N452" t="n">
        <v>0</v>
      </c>
      <c r="O452" t="n">
        <v>0</v>
      </c>
      <c r="P452" t="n">
        <v>0</v>
      </c>
      <c r="Q452" t="n">
        <v>0</v>
      </c>
      <c r="R452" s="2" t="inlineStr"/>
    </row>
    <row r="453" ht="15" customHeight="1">
      <c r="A453" t="inlineStr">
        <is>
          <t>A 31085-2024</t>
        </is>
      </c>
      <c r="B453" s="1" t="n">
        <v>45502.48047453703</v>
      </c>
      <c r="C453" s="1" t="n">
        <v>46001</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59805-2025</t>
        </is>
      </c>
      <c r="B454" s="1" t="n">
        <v>45992.62635416666</v>
      </c>
      <c r="C454" s="1" t="n">
        <v>46001</v>
      </c>
      <c r="D454" t="inlineStr">
        <is>
          <t>DALARNAS LÄN</t>
        </is>
      </c>
      <c r="E454" t="inlineStr">
        <is>
          <t>MORA</t>
        </is>
      </c>
      <c r="G454" t="n">
        <v>4.2</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46001</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12490-2025</t>
        </is>
      </c>
      <c r="B456" s="1" t="n">
        <v>45730.59239583334</v>
      </c>
      <c r="C456" s="1" t="n">
        <v>46001</v>
      </c>
      <c r="D456" t="inlineStr">
        <is>
          <t>DALARNAS LÄN</t>
        </is>
      </c>
      <c r="E456" t="inlineStr">
        <is>
          <t>MORA</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52110-2025</t>
        </is>
      </c>
      <c r="B457" s="1" t="n">
        <v>45952.69306712963</v>
      </c>
      <c r="C457" s="1" t="n">
        <v>46001</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21410-2023</t>
        </is>
      </c>
      <c r="B458" s="1" t="n">
        <v>45063</v>
      </c>
      <c r="C458" s="1" t="n">
        <v>46001</v>
      </c>
      <c r="D458" t="inlineStr">
        <is>
          <t>DALARNAS LÄN</t>
        </is>
      </c>
      <c r="E458" t="inlineStr">
        <is>
          <t>MORA</t>
        </is>
      </c>
      <c r="G458" t="n">
        <v>7</v>
      </c>
      <c r="H458" t="n">
        <v>0</v>
      </c>
      <c r="I458" t="n">
        <v>0</v>
      </c>
      <c r="J458" t="n">
        <v>0</v>
      </c>
      <c r="K458" t="n">
        <v>0</v>
      </c>
      <c r="L458" t="n">
        <v>0</v>
      </c>
      <c r="M458" t="n">
        <v>0</v>
      </c>
      <c r="N458" t="n">
        <v>0</v>
      </c>
      <c r="O458" t="n">
        <v>0</v>
      </c>
      <c r="P458" t="n">
        <v>0</v>
      </c>
      <c r="Q458" t="n">
        <v>0</v>
      </c>
      <c r="R458" s="2" t="inlineStr"/>
    </row>
    <row r="459" ht="15" customHeight="1">
      <c r="A459" t="inlineStr">
        <is>
          <t>A 46801-2022</t>
        </is>
      </c>
      <c r="B459" s="1" t="n">
        <v>44851</v>
      </c>
      <c r="C459" s="1" t="n">
        <v>46001</v>
      </c>
      <c r="D459" t="inlineStr">
        <is>
          <t>DALARNAS LÄN</t>
        </is>
      </c>
      <c r="E459" t="inlineStr">
        <is>
          <t>MORA</t>
        </is>
      </c>
      <c r="G459" t="n">
        <v>1.5</v>
      </c>
      <c r="H459" t="n">
        <v>0</v>
      </c>
      <c r="I459" t="n">
        <v>0</v>
      </c>
      <c r="J459" t="n">
        <v>0</v>
      </c>
      <c r="K459" t="n">
        <v>0</v>
      </c>
      <c r="L459" t="n">
        <v>0</v>
      </c>
      <c r="M459" t="n">
        <v>0</v>
      </c>
      <c r="N459" t="n">
        <v>0</v>
      </c>
      <c r="O459" t="n">
        <v>0</v>
      </c>
      <c r="P459" t="n">
        <v>0</v>
      </c>
      <c r="Q459" t="n">
        <v>0</v>
      </c>
      <c r="R459" s="2" t="inlineStr"/>
    </row>
    <row r="460" ht="15" customHeight="1">
      <c r="A460" t="inlineStr">
        <is>
          <t>A 70141-2021</t>
        </is>
      </c>
      <c r="B460" s="1" t="n">
        <v>44533</v>
      </c>
      <c r="C460" s="1" t="n">
        <v>46001</v>
      </c>
      <c r="D460" t="inlineStr">
        <is>
          <t>DALARNAS LÄN</t>
        </is>
      </c>
      <c r="E460" t="inlineStr">
        <is>
          <t>MORA</t>
        </is>
      </c>
      <c r="G460" t="n">
        <v>4.1</v>
      </c>
      <c r="H460" t="n">
        <v>0</v>
      </c>
      <c r="I460" t="n">
        <v>0</v>
      </c>
      <c r="J460" t="n">
        <v>0</v>
      </c>
      <c r="K460" t="n">
        <v>0</v>
      </c>
      <c r="L460" t="n">
        <v>0</v>
      </c>
      <c r="M460" t="n">
        <v>0</v>
      </c>
      <c r="N460" t="n">
        <v>0</v>
      </c>
      <c r="O460" t="n">
        <v>0</v>
      </c>
      <c r="P460" t="n">
        <v>0</v>
      </c>
      <c r="Q460" t="n">
        <v>0</v>
      </c>
      <c r="R460" s="2" t="inlineStr"/>
    </row>
    <row r="461" ht="15" customHeight="1">
      <c r="A461" t="inlineStr">
        <is>
          <t>A 51771-2025</t>
        </is>
      </c>
      <c r="B461" s="1" t="n">
        <v>45951.64653935185</v>
      </c>
      <c r="C461" s="1" t="n">
        <v>46001</v>
      </c>
      <c r="D461" t="inlineStr">
        <is>
          <t>DALARNAS LÄN</t>
        </is>
      </c>
      <c r="E461" t="inlineStr">
        <is>
          <t>MORA</t>
        </is>
      </c>
      <c r="G461" t="n">
        <v>0.7</v>
      </c>
      <c r="H461" t="n">
        <v>0</v>
      </c>
      <c r="I461" t="n">
        <v>0</v>
      </c>
      <c r="J461" t="n">
        <v>0</v>
      </c>
      <c r="K461" t="n">
        <v>0</v>
      </c>
      <c r="L461" t="n">
        <v>0</v>
      </c>
      <c r="M461" t="n">
        <v>0</v>
      </c>
      <c r="N461" t="n">
        <v>0</v>
      </c>
      <c r="O461" t="n">
        <v>0</v>
      </c>
      <c r="P461" t="n">
        <v>0</v>
      </c>
      <c r="Q461" t="n">
        <v>0</v>
      </c>
      <c r="R461" s="2" t="inlineStr"/>
    </row>
    <row r="462" ht="15" customHeight="1">
      <c r="A462" t="inlineStr">
        <is>
          <t>A 56767-2023</t>
        </is>
      </c>
      <c r="B462" s="1" t="n">
        <v>45244</v>
      </c>
      <c r="C462" s="1" t="n">
        <v>46001</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40949-2023</t>
        </is>
      </c>
      <c r="B463" s="1" t="n">
        <v>45173</v>
      </c>
      <c r="C463" s="1" t="n">
        <v>46001</v>
      </c>
      <c r="D463" t="inlineStr">
        <is>
          <t>DALARNAS LÄN</t>
        </is>
      </c>
      <c r="E463" t="inlineStr">
        <is>
          <t>MORA</t>
        </is>
      </c>
      <c r="F463" t="inlineStr">
        <is>
          <t>Kyrkan</t>
        </is>
      </c>
      <c r="G463" t="n">
        <v>0.5</v>
      </c>
      <c r="H463" t="n">
        <v>0</v>
      </c>
      <c r="I463" t="n">
        <v>0</v>
      </c>
      <c r="J463" t="n">
        <v>0</v>
      </c>
      <c r="K463" t="n">
        <v>0</v>
      </c>
      <c r="L463" t="n">
        <v>0</v>
      </c>
      <c r="M463" t="n">
        <v>0</v>
      </c>
      <c r="N463" t="n">
        <v>0</v>
      </c>
      <c r="O463" t="n">
        <v>0</v>
      </c>
      <c r="P463" t="n">
        <v>0</v>
      </c>
      <c r="Q463" t="n">
        <v>0</v>
      </c>
      <c r="R463" s="2" t="inlineStr"/>
    </row>
    <row r="464" ht="15" customHeight="1">
      <c r="A464" t="inlineStr">
        <is>
          <t>A 66232-2021</t>
        </is>
      </c>
      <c r="B464" s="1" t="n">
        <v>44518.39234953704</v>
      </c>
      <c r="C464" s="1" t="n">
        <v>46001</v>
      </c>
      <c r="D464" t="inlineStr">
        <is>
          <t>DALARNAS LÄN</t>
        </is>
      </c>
      <c r="E464" t="inlineStr">
        <is>
          <t>MORA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44307-2021</t>
        </is>
      </c>
      <c r="B465" s="1" t="n">
        <v>44435</v>
      </c>
      <c r="C465" s="1" t="n">
        <v>46001</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34272-2024</t>
        </is>
      </c>
      <c r="B466" s="1" t="n">
        <v>45524.61752314815</v>
      </c>
      <c r="C466" s="1" t="n">
        <v>46001</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28131-2024</t>
        </is>
      </c>
      <c r="B467" s="1" t="n">
        <v>45476.68435185185</v>
      </c>
      <c r="C467" s="1" t="n">
        <v>46001</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28132-2024</t>
        </is>
      </c>
      <c r="B468" s="1" t="n">
        <v>45476.68616898148</v>
      </c>
      <c r="C468" s="1" t="n">
        <v>46001</v>
      </c>
      <c r="D468" t="inlineStr">
        <is>
          <t>DALARNAS LÄN</t>
        </is>
      </c>
      <c r="E468" t="inlineStr">
        <is>
          <t>MORA</t>
        </is>
      </c>
      <c r="G468" t="n">
        <v>0.2</v>
      </c>
      <c r="H468" t="n">
        <v>0</v>
      </c>
      <c r="I468" t="n">
        <v>0</v>
      </c>
      <c r="J468" t="n">
        <v>0</v>
      </c>
      <c r="K468" t="n">
        <v>0</v>
      </c>
      <c r="L468" t="n">
        <v>0</v>
      </c>
      <c r="M468" t="n">
        <v>0</v>
      </c>
      <c r="N468" t="n">
        <v>0</v>
      </c>
      <c r="O468" t="n">
        <v>0</v>
      </c>
      <c r="P468" t="n">
        <v>0</v>
      </c>
      <c r="Q468" t="n">
        <v>0</v>
      </c>
      <c r="R468" s="2" t="inlineStr"/>
    </row>
    <row r="469" ht="15" customHeight="1">
      <c r="A469" t="inlineStr">
        <is>
          <t>A 57608-2021</t>
        </is>
      </c>
      <c r="B469" s="1" t="n">
        <v>44484</v>
      </c>
      <c r="C469" s="1" t="n">
        <v>46001</v>
      </c>
      <c r="D469" t="inlineStr">
        <is>
          <t>DALARNAS LÄN</t>
        </is>
      </c>
      <c r="E469" t="inlineStr">
        <is>
          <t>MORA</t>
        </is>
      </c>
      <c r="G469" t="n">
        <v>6.3</v>
      </c>
      <c r="H469" t="n">
        <v>0</v>
      </c>
      <c r="I469" t="n">
        <v>0</v>
      </c>
      <c r="J469" t="n">
        <v>0</v>
      </c>
      <c r="K469" t="n">
        <v>0</v>
      </c>
      <c r="L469" t="n">
        <v>0</v>
      </c>
      <c r="M469" t="n">
        <v>0</v>
      </c>
      <c r="N469" t="n">
        <v>0</v>
      </c>
      <c r="O469" t="n">
        <v>0</v>
      </c>
      <c r="P469" t="n">
        <v>0</v>
      </c>
      <c r="Q469" t="n">
        <v>0</v>
      </c>
      <c r="R469" s="2" t="inlineStr"/>
    </row>
    <row r="470" ht="15" customHeight="1">
      <c r="A470" t="inlineStr">
        <is>
          <t>A 23586-2023</t>
        </is>
      </c>
      <c r="B470" s="1" t="n">
        <v>45077</v>
      </c>
      <c r="C470" s="1" t="n">
        <v>46001</v>
      </c>
      <c r="D470" t="inlineStr">
        <is>
          <t>DALARNAS LÄN</t>
        </is>
      </c>
      <c r="E470" t="inlineStr">
        <is>
          <t>MORA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52599-2025</t>
        </is>
      </c>
      <c r="B471" s="1" t="n">
        <v>45954.65564814815</v>
      </c>
      <c r="C471" s="1" t="n">
        <v>46001</v>
      </c>
      <c r="D471" t="inlineStr">
        <is>
          <t>DALARNAS LÄN</t>
        </is>
      </c>
      <c r="E471" t="inlineStr">
        <is>
          <t>MORA</t>
        </is>
      </c>
      <c r="G471" t="n">
        <v>10.8</v>
      </c>
      <c r="H471" t="n">
        <v>0</v>
      </c>
      <c r="I471" t="n">
        <v>0</v>
      </c>
      <c r="J471" t="n">
        <v>0</v>
      </c>
      <c r="K471" t="n">
        <v>0</v>
      </c>
      <c r="L471" t="n">
        <v>0</v>
      </c>
      <c r="M471" t="n">
        <v>0</v>
      </c>
      <c r="N471" t="n">
        <v>0</v>
      </c>
      <c r="O471" t="n">
        <v>0</v>
      </c>
      <c r="P471" t="n">
        <v>0</v>
      </c>
      <c r="Q471" t="n">
        <v>0</v>
      </c>
      <c r="R471" s="2" t="inlineStr"/>
    </row>
    <row r="472" ht="15" customHeight="1">
      <c r="A472" t="inlineStr">
        <is>
          <t>A 5644-2024</t>
        </is>
      </c>
      <c r="B472" s="1" t="n">
        <v>45334</v>
      </c>
      <c r="C472" s="1" t="n">
        <v>46001</v>
      </c>
      <c r="D472" t="inlineStr">
        <is>
          <t>DALARNAS LÄN</t>
        </is>
      </c>
      <c r="E472" t="inlineStr">
        <is>
          <t>MORA</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60957-2025</t>
        </is>
      </c>
      <c r="B473" s="1" t="n">
        <v>45999.65799768519</v>
      </c>
      <c r="C473" s="1" t="n">
        <v>46001</v>
      </c>
      <c r="D473" t="inlineStr">
        <is>
          <t>DALARNAS LÄN</t>
        </is>
      </c>
      <c r="E473" t="inlineStr">
        <is>
          <t>MORA</t>
        </is>
      </c>
      <c r="G473" t="n">
        <v>1.6</v>
      </c>
      <c r="H473" t="n">
        <v>0</v>
      </c>
      <c r="I473" t="n">
        <v>0</v>
      </c>
      <c r="J473" t="n">
        <v>0</v>
      </c>
      <c r="K473" t="n">
        <v>0</v>
      </c>
      <c r="L473" t="n">
        <v>0</v>
      </c>
      <c r="M473" t="n">
        <v>0</v>
      </c>
      <c r="N473" t="n">
        <v>0</v>
      </c>
      <c r="O473" t="n">
        <v>0</v>
      </c>
      <c r="P473" t="n">
        <v>0</v>
      </c>
      <c r="Q473" t="n">
        <v>0</v>
      </c>
      <c r="R473" s="2" t="inlineStr"/>
    </row>
    <row r="474" ht="15" customHeight="1">
      <c r="A474" t="inlineStr">
        <is>
          <t>A 60962-2025</t>
        </is>
      </c>
      <c r="B474" s="1" t="n">
        <v>45999.66488425926</v>
      </c>
      <c r="C474" s="1" t="n">
        <v>46001</v>
      </c>
      <c r="D474" t="inlineStr">
        <is>
          <t>DALARNAS LÄN</t>
        </is>
      </c>
      <c r="E474" t="inlineStr">
        <is>
          <t>MORA</t>
        </is>
      </c>
      <c r="G474" t="n">
        <v>2</v>
      </c>
      <c r="H474" t="n">
        <v>0</v>
      </c>
      <c r="I474" t="n">
        <v>0</v>
      </c>
      <c r="J474" t="n">
        <v>0</v>
      </c>
      <c r="K474" t="n">
        <v>0</v>
      </c>
      <c r="L474" t="n">
        <v>0</v>
      </c>
      <c r="M474" t="n">
        <v>0</v>
      </c>
      <c r="N474" t="n">
        <v>0</v>
      </c>
      <c r="O474" t="n">
        <v>0</v>
      </c>
      <c r="P474" t="n">
        <v>0</v>
      </c>
      <c r="Q474" t="n">
        <v>0</v>
      </c>
      <c r="R474" s="2" t="inlineStr"/>
    </row>
    <row r="475" ht="15" customHeight="1">
      <c r="A475" t="inlineStr">
        <is>
          <t>A 54257-2023</t>
        </is>
      </c>
      <c r="B475" s="1" t="n">
        <v>45232.64195601852</v>
      </c>
      <c r="C475" s="1" t="n">
        <v>46001</v>
      </c>
      <c r="D475" t="inlineStr">
        <is>
          <t>DALARNAS LÄN</t>
        </is>
      </c>
      <c r="E475" t="inlineStr">
        <is>
          <t>MORA</t>
        </is>
      </c>
      <c r="G475" t="n">
        <v>4</v>
      </c>
      <c r="H475" t="n">
        <v>0</v>
      </c>
      <c r="I475" t="n">
        <v>0</v>
      </c>
      <c r="J475" t="n">
        <v>0</v>
      </c>
      <c r="K475" t="n">
        <v>0</v>
      </c>
      <c r="L475" t="n">
        <v>0</v>
      </c>
      <c r="M475" t="n">
        <v>0</v>
      </c>
      <c r="N475" t="n">
        <v>0</v>
      </c>
      <c r="O475" t="n">
        <v>0</v>
      </c>
      <c r="P475" t="n">
        <v>0</v>
      </c>
      <c r="Q475" t="n">
        <v>0</v>
      </c>
      <c r="R475" s="2" t="inlineStr"/>
    </row>
    <row r="476" ht="15" customHeight="1">
      <c r="A476" t="inlineStr">
        <is>
          <t>A 37385-2022</t>
        </is>
      </c>
      <c r="B476" s="1" t="n">
        <v>44806</v>
      </c>
      <c r="C476" s="1" t="n">
        <v>46001</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52804-2025</t>
        </is>
      </c>
      <c r="B477" s="1" t="n">
        <v>45957.44552083333</v>
      </c>
      <c r="C477" s="1" t="n">
        <v>46001</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61217-2023</t>
        </is>
      </c>
      <c r="B478" s="1" t="n">
        <v>45264.43802083333</v>
      </c>
      <c r="C478" s="1" t="n">
        <v>46001</v>
      </c>
      <c r="D478" t="inlineStr">
        <is>
          <t>DALARNAS LÄN</t>
        </is>
      </c>
      <c r="E478" t="inlineStr">
        <is>
          <t>MORA</t>
        </is>
      </c>
      <c r="F478" t="inlineStr">
        <is>
          <t>Allmännings- och besparingsskogar</t>
        </is>
      </c>
      <c r="G478" t="n">
        <v>2</v>
      </c>
      <c r="H478" t="n">
        <v>0</v>
      </c>
      <c r="I478" t="n">
        <v>0</v>
      </c>
      <c r="J478" t="n">
        <v>0</v>
      </c>
      <c r="K478" t="n">
        <v>0</v>
      </c>
      <c r="L478" t="n">
        <v>0</v>
      </c>
      <c r="M478" t="n">
        <v>0</v>
      </c>
      <c r="N478" t="n">
        <v>0</v>
      </c>
      <c r="O478" t="n">
        <v>0</v>
      </c>
      <c r="P478" t="n">
        <v>0</v>
      </c>
      <c r="Q478" t="n">
        <v>0</v>
      </c>
      <c r="R478" s="2" t="inlineStr"/>
    </row>
    <row r="479" ht="15" customHeight="1">
      <c r="A479" t="inlineStr">
        <is>
          <t>A 61218-2023</t>
        </is>
      </c>
      <c r="B479" s="1" t="n">
        <v>45264</v>
      </c>
      <c r="C479" s="1" t="n">
        <v>46001</v>
      </c>
      <c r="D479" t="inlineStr">
        <is>
          <t>DALARNAS LÄN</t>
        </is>
      </c>
      <c r="E479" t="inlineStr">
        <is>
          <t>MORA</t>
        </is>
      </c>
      <c r="F479" t="inlineStr">
        <is>
          <t>Allmännings- och besparingsskogar</t>
        </is>
      </c>
      <c r="G479" t="n">
        <v>2.6</v>
      </c>
      <c r="H479" t="n">
        <v>0</v>
      </c>
      <c r="I479" t="n">
        <v>0</v>
      </c>
      <c r="J479" t="n">
        <v>0</v>
      </c>
      <c r="K479" t="n">
        <v>0</v>
      </c>
      <c r="L479" t="n">
        <v>0</v>
      </c>
      <c r="M479" t="n">
        <v>0</v>
      </c>
      <c r="N479" t="n">
        <v>0</v>
      </c>
      <c r="O479" t="n">
        <v>0</v>
      </c>
      <c r="P479" t="n">
        <v>0</v>
      </c>
      <c r="Q479" t="n">
        <v>0</v>
      </c>
      <c r="R479" s="2" t="inlineStr"/>
    </row>
    <row r="480" ht="15" customHeight="1">
      <c r="A480" t="inlineStr">
        <is>
          <t>A 43641-2022</t>
        </is>
      </c>
      <c r="B480" s="1" t="n">
        <v>44837</v>
      </c>
      <c r="C480" s="1" t="n">
        <v>46001</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25749-2023</t>
        </is>
      </c>
      <c r="B481" s="1" t="n">
        <v>45090</v>
      </c>
      <c r="C481" s="1" t="n">
        <v>46001</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35363-2024</t>
        </is>
      </c>
      <c r="B482" s="1" t="n">
        <v>45531.34050925926</v>
      </c>
      <c r="C482" s="1" t="n">
        <v>46001</v>
      </c>
      <c r="D482" t="inlineStr">
        <is>
          <t>DALARNAS LÄN</t>
        </is>
      </c>
      <c r="E482" t="inlineStr">
        <is>
          <t>MORA</t>
        </is>
      </c>
      <c r="G482" t="n">
        <v>2.5</v>
      </c>
      <c r="H482" t="n">
        <v>0</v>
      </c>
      <c r="I482" t="n">
        <v>0</v>
      </c>
      <c r="J482" t="n">
        <v>0</v>
      </c>
      <c r="K482" t="n">
        <v>0</v>
      </c>
      <c r="L482" t="n">
        <v>0</v>
      </c>
      <c r="M482" t="n">
        <v>0</v>
      </c>
      <c r="N482" t="n">
        <v>0</v>
      </c>
      <c r="O482" t="n">
        <v>0</v>
      </c>
      <c r="P482" t="n">
        <v>0</v>
      </c>
      <c r="Q482" t="n">
        <v>0</v>
      </c>
      <c r="R482" s="2" t="inlineStr"/>
    </row>
    <row r="483" ht="15" customHeight="1">
      <c r="A483" t="inlineStr">
        <is>
          <t>A 53418-2025</t>
        </is>
      </c>
      <c r="B483" s="1" t="n">
        <v>45959.58747685186</v>
      </c>
      <c r="C483" s="1" t="n">
        <v>46001</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58972-2023</t>
        </is>
      </c>
      <c r="B484" s="1" t="n">
        <v>45252</v>
      </c>
      <c r="C484" s="1" t="n">
        <v>46001</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58171-2024</t>
        </is>
      </c>
      <c r="B485" s="1" t="n">
        <v>45632.46545138889</v>
      </c>
      <c r="C485" s="1" t="n">
        <v>46001</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33513-2024</t>
        </is>
      </c>
      <c r="B486" s="1" t="n">
        <v>45519.644375</v>
      </c>
      <c r="C486" s="1" t="n">
        <v>46001</v>
      </c>
      <c r="D486" t="inlineStr">
        <is>
          <t>DALARNAS LÄN</t>
        </is>
      </c>
      <c r="E486" t="inlineStr">
        <is>
          <t>MORA</t>
        </is>
      </c>
      <c r="G486" t="n">
        <v>5.9</v>
      </c>
      <c r="H486" t="n">
        <v>0</v>
      </c>
      <c r="I486" t="n">
        <v>0</v>
      </c>
      <c r="J486" t="n">
        <v>0</v>
      </c>
      <c r="K486" t="n">
        <v>0</v>
      </c>
      <c r="L486" t="n">
        <v>0</v>
      </c>
      <c r="M486" t="n">
        <v>0</v>
      </c>
      <c r="N486" t="n">
        <v>0</v>
      </c>
      <c r="O486" t="n">
        <v>0</v>
      </c>
      <c r="P486" t="n">
        <v>0</v>
      </c>
      <c r="Q486" t="n">
        <v>0</v>
      </c>
      <c r="R486" s="2" t="inlineStr"/>
    </row>
    <row r="487" ht="15" customHeight="1">
      <c r="A487" t="inlineStr">
        <is>
          <t>A 39856-2024</t>
        </is>
      </c>
      <c r="B487" s="1" t="n">
        <v>45553.44084490741</v>
      </c>
      <c r="C487" s="1" t="n">
        <v>46001</v>
      </c>
      <c r="D487" t="inlineStr">
        <is>
          <t>DALARNAS LÄN</t>
        </is>
      </c>
      <c r="E487" t="inlineStr">
        <is>
          <t>MORA</t>
        </is>
      </c>
      <c r="G487" t="n">
        <v>4.8</v>
      </c>
      <c r="H487" t="n">
        <v>0</v>
      </c>
      <c r="I487" t="n">
        <v>0</v>
      </c>
      <c r="J487" t="n">
        <v>0</v>
      </c>
      <c r="K487" t="n">
        <v>0</v>
      </c>
      <c r="L487" t="n">
        <v>0</v>
      </c>
      <c r="M487" t="n">
        <v>0</v>
      </c>
      <c r="N487" t="n">
        <v>0</v>
      </c>
      <c r="O487" t="n">
        <v>0</v>
      </c>
      <c r="P487" t="n">
        <v>0</v>
      </c>
      <c r="Q487" t="n">
        <v>0</v>
      </c>
      <c r="R487" s="2" t="inlineStr"/>
    </row>
    <row r="488" ht="15" customHeight="1">
      <c r="A488" t="inlineStr">
        <is>
          <t>A 59182-2023</t>
        </is>
      </c>
      <c r="B488" s="1" t="n">
        <v>45253</v>
      </c>
      <c r="C488" s="1" t="n">
        <v>46001</v>
      </c>
      <c r="D488" t="inlineStr">
        <is>
          <t>DALARNAS LÄN</t>
        </is>
      </c>
      <c r="E488" t="inlineStr">
        <is>
          <t>MORA</t>
        </is>
      </c>
      <c r="G488" t="n">
        <v>3.3</v>
      </c>
      <c r="H488" t="n">
        <v>0</v>
      </c>
      <c r="I488" t="n">
        <v>0</v>
      </c>
      <c r="J488" t="n">
        <v>0</v>
      </c>
      <c r="K488" t="n">
        <v>0</v>
      </c>
      <c r="L488" t="n">
        <v>0</v>
      </c>
      <c r="M488" t="n">
        <v>0</v>
      </c>
      <c r="N488" t="n">
        <v>0</v>
      </c>
      <c r="O488" t="n">
        <v>0</v>
      </c>
      <c r="P488" t="n">
        <v>0</v>
      </c>
      <c r="Q488" t="n">
        <v>0</v>
      </c>
      <c r="R488" s="2" t="inlineStr"/>
    </row>
    <row r="489" ht="15" customHeight="1">
      <c r="A489" t="inlineStr">
        <is>
          <t>A 53150-2025</t>
        </is>
      </c>
      <c r="B489" s="1" t="n">
        <v>45958.48280092593</v>
      </c>
      <c r="C489" s="1" t="n">
        <v>46001</v>
      </c>
      <c r="D489" t="inlineStr">
        <is>
          <t>DALARNAS LÄN</t>
        </is>
      </c>
      <c r="E489" t="inlineStr">
        <is>
          <t>MORA</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501-2024</t>
        </is>
      </c>
      <c r="B490" s="1" t="n">
        <v>45299</v>
      </c>
      <c r="C490" s="1" t="n">
        <v>46001</v>
      </c>
      <c r="D490" t="inlineStr">
        <is>
          <t>DALARNAS LÄN</t>
        </is>
      </c>
      <c r="E490" t="inlineStr">
        <is>
          <t>MORA</t>
        </is>
      </c>
      <c r="G490" t="n">
        <v>2.5</v>
      </c>
      <c r="H490" t="n">
        <v>0</v>
      </c>
      <c r="I490" t="n">
        <v>0</v>
      </c>
      <c r="J490" t="n">
        <v>0</v>
      </c>
      <c r="K490" t="n">
        <v>0</v>
      </c>
      <c r="L490" t="n">
        <v>0</v>
      </c>
      <c r="M490" t="n">
        <v>0</v>
      </c>
      <c r="N490" t="n">
        <v>0</v>
      </c>
      <c r="O490" t="n">
        <v>0</v>
      </c>
      <c r="P490" t="n">
        <v>0</v>
      </c>
      <c r="Q490" t="n">
        <v>0</v>
      </c>
      <c r="R490" s="2" t="inlineStr"/>
    </row>
    <row r="491" ht="15" customHeight="1">
      <c r="A491" t="inlineStr">
        <is>
          <t>A 64327-2023</t>
        </is>
      </c>
      <c r="B491" s="1" t="n">
        <v>45280</v>
      </c>
      <c r="C491" s="1" t="n">
        <v>46001</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17494-2025</t>
        </is>
      </c>
      <c r="B492" s="1" t="n">
        <v>45757.52033564815</v>
      </c>
      <c r="C492" s="1" t="n">
        <v>46001</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44903.6605324074</v>
      </c>
      <c r="C493" s="1" t="n">
        <v>46001</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12987-2024</t>
        </is>
      </c>
      <c r="B494" s="1" t="n">
        <v>45385.55375</v>
      </c>
      <c r="C494" s="1" t="n">
        <v>46001</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29188-2023</t>
        </is>
      </c>
      <c r="B495" s="1" t="n">
        <v>45105.54270833333</v>
      </c>
      <c r="C495" s="1" t="n">
        <v>46001</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53151-2025</t>
        </is>
      </c>
      <c r="B496" s="1" t="n">
        <v>45958.48611111111</v>
      </c>
      <c r="C496" s="1" t="n">
        <v>46001</v>
      </c>
      <c r="D496" t="inlineStr">
        <is>
          <t>DALARNAS LÄN</t>
        </is>
      </c>
      <c r="E496" t="inlineStr">
        <is>
          <t>MORA</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442-2024</t>
        </is>
      </c>
      <c r="B497" s="1" t="n">
        <v>45296.60353009259</v>
      </c>
      <c r="C497" s="1" t="n">
        <v>46001</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15172-2025</t>
        </is>
      </c>
      <c r="B498" s="1" t="n">
        <v>45744.50722222222</v>
      </c>
      <c r="C498" s="1" t="n">
        <v>46001</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17278-2025</t>
        </is>
      </c>
      <c r="B499" s="1" t="n">
        <v>45756.56131944444</v>
      </c>
      <c r="C499" s="1" t="n">
        <v>46001</v>
      </c>
      <c r="D499" t="inlineStr">
        <is>
          <t>DALARNAS LÄN</t>
        </is>
      </c>
      <c r="E499" t="inlineStr">
        <is>
          <t>MORA</t>
        </is>
      </c>
      <c r="G499" t="n">
        <v>3</v>
      </c>
      <c r="H499" t="n">
        <v>0</v>
      </c>
      <c r="I499" t="n">
        <v>0</v>
      </c>
      <c r="J499" t="n">
        <v>0</v>
      </c>
      <c r="K499" t="n">
        <v>0</v>
      </c>
      <c r="L499" t="n">
        <v>0</v>
      </c>
      <c r="M499" t="n">
        <v>0</v>
      </c>
      <c r="N499" t="n">
        <v>0</v>
      </c>
      <c r="O499" t="n">
        <v>0</v>
      </c>
      <c r="P499" t="n">
        <v>0</v>
      </c>
      <c r="Q499" t="n">
        <v>0</v>
      </c>
      <c r="R499" s="2" t="inlineStr"/>
    </row>
    <row r="500" ht="15" customHeight="1">
      <c r="A500" t="inlineStr">
        <is>
          <t>A 33627-2024</t>
        </is>
      </c>
      <c r="B500" s="1" t="n">
        <v>45520</v>
      </c>
      <c r="C500" s="1" t="n">
        <v>46001</v>
      </c>
      <c r="D500" t="inlineStr">
        <is>
          <t>DALARNAS LÄN</t>
        </is>
      </c>
      <c r="E500" t="inlineStr">
        <is>
          <t>MORA</t>
        </is>
      </c>
      <c r="G500" t="n">
        <v>1.1</v>
      </c>
      <c r="H500" t="n">
        <v>0</v>
      </c>
      <c r="I500" t="n">
        <v>0</v>
      </c>
      <c r="J500" t="n">
        <v>0</v>
      </c>
      <c r="K500" t="n">
        <v>0</v>
      </c>
      <c r="L500" t="n">
        <v>0</v>
      </c>
      <c r="M500" t="n">
        <v>0</v>
      </c>
      <c r="N500" t="n">
        <v>0</v>
      </c>
      <c r="O500" t="n">
        <v>0</v>
      </c>
      <c r="P500" t="n">
        <v>0</v>
      </c>
      <c r="Q500" t="n">
        <v>0</v>
      </c>
      <c r="R500" s="2" t="inlineStr"/>
    </row>
    <row r="501" ht="15" customHeight="1">
      <c r="A501" t="inlineStr">
        <is>
          <t>A 60674-2023</t>
        </is>
      </c>
      <c r="B501" s="1" t="n">
        <v>45260.46609953704</v>
      </c>
      <c r="C501" s="1" t="n">
        <v>46001</v>
      </c>
      <c r="D501" t="inlineStr">
        <is>
          <t>DALARNAS LÄN</t>
        </is>
      </c>
      <c r="E501" t="inlineStr">
        <is>
          <t>MORA</t>
        </is>
      </c>
      <c r="G501" t="n">
        <v>2.9</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44915.62751157407</v>
      </c>
      <c r="C502" s="1" t="n">
        <v>46001</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60360-2023</t>
        </is>
      </c>
      <c r="B503" s="1" t="n">
        <v>45259</v>
      </c>
      <c r="C503" s="1" t="n">
        <v>46001</v>
      </c>
      <c r="D503" t="inlineStr">
        <is>
          <t>DALARNAS LÄN</t>
        </is>
      </c>
      <c r="E503" t="inlineStr">
        <is>
          <t>MORA</t>
        </is>
      </c>
      <c r="G503" t="n">
        <v>2.9</v>
      </c>
      <c r="H503" t="n">
        <v>0</v>
      </c>
      <c r="I503" t="n">
        <v>0</v>
      </c>
      <c r="J503" t="n">
        <v>0</v>
      </c>
      <c r="K503" t="n">
        <v>0</v>
      </c>
      <c r="L503" t="n">
        <v>0</v>
      </c>
      <c r="M503" t="n">
        <v>0</v>
      </c>
      <c r="N503" t="n">
        <v>0</v>
      </c>
      <c r="O503" t="n">
        <v>0</v>
      </c>
      <c r="P503" t="n">
        <v>0</v>
      </c>
      <c r="Q503" t="n">
        <v>0</v>
      </c>
      <c r="R503" s="2" t="inlineStr"/>
    </row>
    <row r="504" ht="15" customHeight="1">
      <c r="A504" t="inlineStr">
        <is>
          <t>A 18139-2025</t>
        </is>
      </c>
      <c r="B504" s="1" t="n">
        <v>45761.60459490741</v>
      </c>
      <c r="C504" s="1" t="n">
        <v>46001</v>
      </c>
      <c r="D504" t="inlineStr">
        <is>
          <t>DALARNAS LÄN</t>
        </is>
      </c>
      <c r="E504" t="inlineStr">
        <is>
          <t>MORA</t>
        </is>
      </c>
      <c r="F504" t="inlineStr">
        <is>
          <t>Bergvik skog öst AB</t>
        </is>
      </c>
      <c r="G504" t="n">
        <v>3</v>
      </c>
      <c r="H504" t="n">
        <v>0</v>
      </c>
      <c r="I504" t="n">
        <v>0</v>
      </c>
      <c r="J504" t="n">
        <v>0</v>
      </c>
      <c r="K504" t="n">
        <v>0</v>
      </c>
      <c r="L504" t="n">
        <v>0</v>
      </c>
      <c r="M504" t="n">
        <v>0</v>
      </c>
      <c r="N504" t="n">
        <v>0</v>
      </c>
      <c r="O504" t="n">
        <v>0</v>
      </c>
      <c r="P504" t="n">
        <v>0</v>
      </c>
      <c r="Q504" t="n">
        <v>0</v>
      </c>
      <c r="R504" s="2" t="inlineStr"/>
    </row>
    <row r="505" ht="15" customHeight="1">
      <c r="A505" t="inlineStr">
        <is>
          <t>A 25499-2024</t>
        </is>
      </c>
      <c r="B505" s="1" t="n">
        <v>45463</v>
      </c>
      <c r="C505" s="1" t="n">
        <v>46001</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61405-2023</t>
        </is>
      </c>
      <c r="B506" s="1" t="n">
        <v>45264.65987268519</v>
      </c>
      <c r="C506" s="1" t="n">
        <v>46001</v>
      </c>
      <c r="D506" t="inlineStr">
        <is>
          <t>DALARNAS LÄN</t>
        </is>
      </c>
      <c r="E506" t="inlineStr">
        <is>
          <t>MORA</t>
        </is>
      </c>
      <c r="G506" t="n">
        <v>0.4</v>
      </c>
      <c r="H506" t="n">
        <v>0</v>
      </c>
      <c r="I506" t="n">
        <v>0</v>
      </c>
      <c r="J506" t="n">
        <v>0</v>
      </c>
      <c r="K506" t="n">
        <v>0</v>
      </c>
      <c r="L506" t="n">
        <v>0</v>
      </c>
      <c r="M506" t="n">
        <v>0</v>
      </c>
      <c r="N506" t="n">
        <v>0</v>
      </c>
      <c r="O506" t="n">
        <v>0</v>
      </c>
      <c r="P506" t="n">
        <v>0</v>
      </c>
      <c r="Q506" t="n">
        <v>0</v>
      </c>
      <c r="R506" s="2" t="inlineStr"/>
    </row>
    <row r="507" ht="15" customHeight="1">
      <c r="A507" t="inlineStr">
        <is>
          <t>A 57475-2022</t>
        </is>
      </c>
      <c r="B507" s="1" t="n">
        <v>44896</v>
      </c>
      <c r="C507" s="1" t="n">
        <v>46001</v>
      </c>
      <c r="D507" t="inlineStr">
        <is>
          <t>DALARNAS LÄN</t>
        </is>
      </c>
      <c r="E507" t="inlineStr">
        <is>
          <t>MORA</t>
        </is>
      </c>
      <c r="G507" t="n">
        <v>5.7</v>
      </c>
      <c r="H507" t="n">
        <v>0</v>
      </c>
      <c r="I507" t="n">
        <v>0</v>
      </c>
      <c r="J507" t="n">
        <v>0</v>
      </c>
      <c r="K507" t="n">
        <v>0</v>
      </c>
      <c r="L507" t="n">
        <v>0</v>
      </c>
      <c r="M507" t="n">
        <v>0</v>
      </c>
      <c r="N507" t="n">
        <v>0</v>
      </c>
      <c r="O507" t="n">
        <v>0</v>
      </c>
      <c r="P507" t="n">
        <v>0</v>
      </c>
      <c r="Q507" t="n">
        <v>0</v>
      </c>
      <c r="R507" s="2" t="inlineStr"/>
    </row>
    <row r="508" ht="15" customHeight="1">
      <c r="A508" t="inlineStr">
        <is>
          <t>A 46414-2024</t>
        </is>
      </c>
      <c r="B508" s="1" t="n">
        <v>45582.45226851852</v>
      </c>
      <c r="C508" s="1" t="n">
        <v>46001</v>
      </c>
      <c r="D508" t="inlineStr">
        <is>
          <t>DALARNAS LÄN</t>
        </is>
      </c>
      <c r="E508" t="inlineStr">
        <is>
          <t>MORA</t>
        </is>
      </c>
      <c r="G508" t="n">
        <v>0.6</v>
      </c>
      <c r="H508" t="n">
        <v>0</v>
      </c>
      <c r="I508" t="n">
        <v>0</v>
      </c>
      <c r="J508" t="n">
        <v>0</v>
      </c>
      <c r="K508" t="n">
        <v>0</v>
      </c>
      <c r="L508" t="n">
        <v>0</v>
      </c>
      <c r="M508" t="n">
        <v>0</v>
      </c>
      <c r="N508" t="n">
        <v>0</v>
      </c>
      <c r="O508" t="n">
        <v>0</v>
      </c>
      <c r="P508" t="n">
        <v>0</v>
      </c>
      <c r="Q508" t="n">
        <v>0</v>
      </c>
      <c r="R508" s="2" t="inlineStr"/>
    </row>
    <row r="509" ht="15" customHeight="1">
      <c r="A509" t="inlineStr">
        <is>
          <t>A 46417-2024</t>
        </is>
      </c>
      <c r="B509" s="1" t="n">
        <v>45582.45449074074</v>
      </c>
      <c r="C509" s="1" t="n">
        <v>46001</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17280-2025</t>
        </is>
      </c>
      <c r="B510" s="1" t="n">
        <v>45756</v>
      </c>
      <c r="C510" s="1" t="n">
        <v>46001</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61270-2024</t>
        </is>
      </c>
      <c r="B511" s="1" t="n">
        <v>45645.74694444444</v>
      </c>
      <c r="C511" s="1" t="n">
        <v>46001</v>
      </c>
      <c r="D511" t="inlineStr">
        <is>
          <t>DALARNAS LÄN</t>
        </is>
      </c>
      <c r="E511" t="inlineStr">
        <is>
          <t>MORA</t>
        </is>
      </c>
      <c r="G511" t="n">
        <v>5.1</v>
      </c>
      <c r="H511" t="n">
        <v>0</v>
      </c>
      <c r="I511" t="n">
        <v>0</v>
      </c>
      <c r="J511" t="n">
        <v>0</v>
      </c>
      <c r="K511" t="n">
        <v>0</v>
      </c>
      <c r="L511" t="n">
        <v>0</v>
      </c>
      <c r="M511" t="n">
        <v>0</v>
      </c>
      <c r="N511" t="n">
        <v>0</v>
      </c>
      <c r="O511" t="n">
        <v>0</v>
      </c>
      <c r="P511" t="n">
        <v>0</v>
      </c>
      <c r="Q511" t="n">
        <v>0</v>
      </c>
      <c r="R511" s="2" t="inlineStr"/>
    </row>
    <row r="512" ht="15" customHeight="1">
      <c r="A512" t="inlineStr">
        <is>
          <t>A 7116-2024</t>
        </is>
      </c>
      <c r="B512" s="1" t="n">
        <v>45343.95445601852</v>
      </c>
      <c r="C512" s="1" t="n">
        <v>46001</v>
      </c>
      <c r="D512" t="inlineStr">
        <is>
          <t>DALARNAS LÄN</t>
        </is>
      </c>
      <c r="E512" t="inlineStr">
        <is>
          <t>MORA</t>
        </is>
      </c>
      <c r="G512" t="n">
        <v>0.3</v>
      </c>
      <c r="H512" t="n">
        <v>0</v>
      </c>
      <c r="I512" t="n">
        <v>0</v>
      </c>
      <c r="J512" t="n">
        <v>0</v>
      </c>
      <c r="K512" t="n">
        <v>0</v>
      </c>
      <c r="L512" t="n">
        <v>0</v>
      </c>
      <c r="M512" t="n">
        <v>0</v>
      </c>
      <c r="N512" t="n">
        <v>0</v>
      </c>
      <c r="O512" t="n">
        <v>0</v>
      </c>
      <c r="P512" t="n">
        <v>0</v>
      </c>
      <c r="Q512" t="n">
        <v>0</v>
      </c>
      <c r="R512" s="2" t="inlineStr"/>
    </row>
    <row r="513" ht="15" customHeight="1">
      <c r="A513" t="inlineStr">
        <is>
          <t>A 59995-2023</t>
        </is>
      </c>
      <c r="B513" s="1" t="n">
        <v>45254</v>
      </c>
      <c r="C513" s="1" t="n">
        <v>46001</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13479-2024</t>
        </is>
      </c>
      <c r="B514" s="1" t="n">
        <v>45387.5900925926</v>
      </c>
      <c r="C514" s="1" t="n">
        <v>46001</v>
      </c>
      <c r="D514" t="inlineStr">
        <is>
          <t>DALARNAS LÄN</t>
        </is>
      </c>
      <c r="E514" t="inlineStr">
        <is>
          <t>MORA</t>
        </is>
      </c>
      <c r="G514" t="n">
        <v>1.4</v>
      </c>
      <c r="H514" t="n">
        <v>0</v>
      </c>
      <c r="I514" t="n">
        <v>0</v>
      </c>
      <c r="J514" t="n">
        <v>0</v>
      </c>
      <c r="K514" t="n">
        <v>0</v>
      </c>
      <c r="L514" t="n">
        <v>0</v>
      </c>
      <c r="M514" t="n">
        <v>0</v>
      </c>
      <c r="N514" t="n">
        <v>0</v>
      </c>
      <c r="O514" t="n">
        <v>0</v>
      </c>
      <c r="P514" t="n">
        <v>0</v>
      </c>
      <c r="Q514" t="n">
        <v>0</v>
      </c>
      <c r="R514" s="2" t="inlineStr"/>
    </row>
    <row r="515" ht="15" customHeight="1">
      <c r="A515" t="inlineStr">
        <is>
          <t>A 41812-2024</t>
        </is>
      </c>
      <c r="B515" s="1" t="n">
        <v>45561.3771412037</v>
      </c>
      <c r="C515" s="1" t="n">
        <v>46001</v>
      </c>
      <c r="D515" t="inlineStr">
        <is>
          <t>DALARNAS LÄN</t>
        </is>
      </c>
      <c r="E515" t="inlineStr">
        <is>
          <t>MORA</t>
        </is>
      </c>
      <c r="G515" t="n">
        <v>2.2</v>
      </c>
      <c r="H515" t="n">
        <v>0</v>
      </c>
      <c r="I515" t="n">
        <v>0</v>
      </c>
      <c r="J515" t="n">
        <v>0</v>
      </c>
      <c r="K515" t="n">
        <v>0</v>
      </c>
      <c r="L515" t="n">
        <v>0</v>
      </c>
      <c r="M515" t="n">
        <v>0</v>
      </c>
      <c r="N515" t="n">
        <v>0</v>
      </c>
      <c r="O515" t="n">
        <v>0</v>
      </c>
      <c r="P515" t="n">
        <v>0</v>
      </c>
      <c r="Q515" t="n">
        <v>0</v>
      </c>
      <c r="R515" s="2" t="inlineStr"/>
    </row>
    <row r="516" ht="15" customHeight="1">
      <c r="A516" t="inlineStr">
        <is>
          <t>A 42085-2024</t>
        </is>
      </c>
      <c r="B516" s="1" t="n">
        <v>45562.33179398148</v>
      </c>
      <c r="C516" s="1" t="n">
        <v>46001</v>
      </c>
      <c r="D516" t="inlineStr">
        <is>
          <t>DALARNAS LÄN</t>
        </is>
      </c>
      <c r="E516" t="inlineStr">
        <is>
          <t>MORA</t>
        </is>
      </c>
      <c r="G516" t="n">
        <v>4.9</v>
      </c>
      <c r="H516" t="n">
        <v>0</v>
      </c>
      <c r="I516" t="n">
        <v>0</v>
      </c>
      <c r="J516" t="n">
        <v>0</v>
      </c>
      <c r="K516" t="n">
        <v>0</v>
      </c>
      <c r="L516" t="n">
        <v>0</v>
      </c>
      <c r="M516" t="n">
        <v>0</v>
      </c>
      <c r="N516" t="n">
        <v>0</v>
      </c>
      <c r="O516" t="n">
        <v>0</v>
      </c>
      <c r="P516" t="n">
        <v>0</v>
      </c>
      <c r="Q516" t="n">
        <v>0</v>
      </c>
      <c r="R516" s="2" t="inlineStr"/>
    </row>
    <row r="517" ht="15" customHeight="1">
      <c r="A517" t="inlineStr">
        <is>
          <t>A 60465-2023</t>
        </is>
      </c>
      <c r="B517" s="1" t="n">
        <v>45259.57872685185</v>
      </c>
      <c r="C517" s="1" t="n">
        <v>46001</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33676-2023</t>
        </is>
      </c>
      <c r="B518" s="1" t="n">
        <v>45132.6291550926</v>
      </c>
      <c r="C518" s="1" t="n">
        <v>46001</v>
      </c>
      <c r="D518" t="inlineStr">
        <is>
          <t>DALARNAS LÄN</t>
        </is>
      </c>
      <c r="E518" t="inlineStr">
        <is>
          <t>MORA</t>
        </is>
      </c>
      <c r="F518" t="inlineStr">
        <is>
          <t>Bergvik skog öst AB</t>
        </is>
      </c>
      <c r="G518" t="n">
        <v>2.7</v>
      </c>
      <c r="H518" t="n">
        <v>0</v>
      </c>
      <c r="I518" t="n">
        <v>0</v>
      </c>
      <c r="J518" t="n">
        <v>0</v>
      </c>
      <c r="K518" t="n">
        <v>0</v>
      </c>
      <c r="L518" t="n">
        <v>0</v>
      </c>
      <c r="M518" t="n">
        <v>0</v>
      </c>
      <c r="N518" t="n">
        <v>0</v>
      </c>
      <c r="O518" t="n">
        <v>0</v>
      </c>
      <c r="P518" t="n">
        <v>0</v>
      </c>
      <c r="Q518" t="n">
        <v>0</v>
      </c>
      <c r="R518" s="2" t="inlineStr"/>
    </row>
    <row r="519" ht="15" customHeight="1">
      <c r="A519" t="inlineStr">
        <is>
          <t>A 29193-2023</t>
        </is>
      </c>
      <c r="B519" s="1" t="n">
        <v>45105.54791666667</v>
      </c>
      <c r="C519" s="1" t="n">
        <v>46001</v>
      </c>
      <c r="D519" t="inlineStr">
        <is>
          <t>DALARNAS LÄN</t>
        </is>
      </c>
      <c r="E519" t="inlineStr">
        <is>
          <t>MORA</t>
        </is>
      </c>
      <c r="G519" t="n">
        <v>0.4</v>
      </c>
      <c r="H519" t="n">
        <v>0</v>
      </c>
      <c r="I519" t="n">
        <v>0</v>
      </c>
      <c r="J519" t="n">
        <v>0</v>
      </c>
      <c r="K519" t="n">
        <v>0</v>
      </c>
      <c r="L519" t="n">
        <v>0</v>
      </c>
      <c r="M519" t="n">
        <v>0</v>
      </c>
      <c r="N519" t="n">
        <v>0</v>
      </c>
      <c r="O519" t="n">
        <v>0</v>
      </c>
      <c r="P519" t="n">
        <v>0</v>
      </c>
      <c r="Q519" t="n">
        <v>0</v>
      </c>
      <c r="R519" s="2" t="inlineStr"/>
    </row>
    <row r="520" ht="15" customHeight="1">
      <c r="A520" t="inlineStr">
        <is>
          <t>A 35325-2024</t>
        </is>
      </c>
      <c r="B520" s="1" t="n">
        <v>45530.71158564815</v>
      </c>
      <c r="C520" s="1" t="n">
        <v>46001</v>
      </c>
      <c r="D520" t="inlineStr">
        <is>
          <t>DALARNAS LÄN</t>
        </is>
      </c>
      <c r="E520" t="inlineStr">
        <is>
          <t>MORA</t>
        </is>
      </c>
      <c r="G520" t="n">
        <v>5</v>
      </c>
      <c r="H520" t="n">
        <v>0</v>
      </c>
      <c r="I520" t="n">
        <v>0</v>
      </c>
      <c r="J520" t="n">
        <v>0</v>
      </c>
      <c r="K520" t="n">
        <v>0</v>
      </c>
      <c r="L520" t="n">
        <v>0</v>
      </c>
      <c r="M520" t="n">
        <v>0</v>
      </c>
      <c r="N520" t="n">
        <v>0</v>
      </c>
      <c r="O520" t="n">
        <v>0</v>
      </c>
      <c r="P520" t="n">
        <v>0</v>
      </c>
      <c r="Q520" t="n">
        <v>0</v>
      </c>
      <c r="R520" s="2" t="inlineStr"/>
    </row>
    <row r="521" ht="15" customHeight="1">
      <c r="A521" t="inlineStr">
        <is>
          <t>A 6371-2022</t>
        </is>
      </c>
      <c r="B521" s="1" t="n">
        <v>44600</v>
      </c>
      <c r="C521" s="1" t="n">
        <v>46001</v>
      </c>
      <c r="D521" t="inlineStr">
        <is>
          <t>DALARNAS LÄN</t>
        </is>
      </c>
      <c r="E521" t="inlineStr">
        <is>
          <t>MORA</t>
        </is>
      </c>
      <c r="G521" t="n">
        <v>4.6</v>
      </c>
      <c r="H521" t="n">
        <v>0</v>
      </c>
      <c r="I521" t="n">
        <v>0</v>
      </c>
      <c r="J521" t="n">
        <v>0</v>
      </c>
      <c r="K521" t="n">
        <v>0</v>
      </c>
      <c r="L521" t="n">
        <v>0</v>
      </c>
      <c r="M521" t="n">
        <v>0</v>
      </c>
      <c r="N521" t="n">
        <v>0</v>
      </c>
      <c r="O521" t="n">
        <v>0</v>
      </c>
      <c r="P521" t="n">
        <v>0</v>
      </c>
      <c r="Q521" t="n">
        <v>0</v>
      </c>
      <c r="R521" s="2" t="inlineStr"/>
    </row>
    <row r="522" ht="15" customHeight="1">
      <c r="A522" t="inlineStr">
        <is>
          <t>A 69519-2020</t>
        </is>
      </c>
      <c r="B522" s="1" t="n">
        <v>44194</v>
      </c>
      <c r="C522" s="1" t="n">
        <v>46001</v>
      </c>
      <c r="D522" t="inlineStr">
        <is>
          <t>DALARNAS LÄN</t>
        </is>
      </c>
      <c r="E522" t="inlineStr">
        <is>
          <t>MORA</t>
        </is>
      </c>
      <c r="G522" t="n">
        <v>0.4</v>
      </c>
      <c r="H522" t="n">
        <v>0</v>
      </c>
      <c r="I522" t="n">
        <v>0</v>
      </c>
      <c r="J522" t="n">
        <v>0</v>
      </c>
      <c r="K522" t="n">
        <v>0</v>
      </c>
      <c r="L522" t="n">
        <v>0</v>
      </c>
      <c r="M522" t="n">
        <v>0</v>
      </c>
      <c r="N522" t="n">
        <v>0</v>
      </c>
      <c r="O522" t="n">
        <v>0</v>
      </c>
      <c r="P522" t="n">
        <v>0</v>
      </c>
      <c r="Q522" t="n">
        <v>0</v>
      </c>
      <c r="R522" s="2" t="inlineStr"/>
    </row>
    <row r="523" ht="15" customHeight="1">
      <c r="A523" t="inlineStr">
        <is>
          <t>A 64093-2023</t>
        </is>
      </c>
      <c r="B523" s="1" t="n">
        <v>45279</v>
      </c>
      <c r="C523" s="1" t="n">
        <v>46001</v>
      </c>
      <c r="D523" t="inlineStr">
        <is>
          <t>DALARNAS LÄN</t>
        </is>
      </c>
      <c r="E523" t="inlineStr">
        <is>
          <t>MORA</t>
        </is>
      </c>
      <c r="G523" t="n">
        <v>0.9</v>
      </c>
      <c r="H523" t="n">
        <v>0</v>
      </c>
      <c r="I523" t="n">
        <v>0</v>
      </c>
      <c r="J523" t="n">
        <v>0</v>
      </c>
      <c r="K523" t="n">
        <v>0</v>
      </c>
      <c r="L523" t="n">
        <v>0</v>
      </c>
      <c r="M523" t="n">
        <v>0</v>
      </c>
      <c r="N523" t="n">
        <v>0</v>
      </c>
      <c r="O523" t="n">
        <v>0</v>
      </c>
      <c r="P523" t="n">
        <v>0</v>
      </c>
      <c r="Q523" t="n">
        <v>0</v>
      </c>
      <c r="R523" s="2" t="inlineStr"/>
    </row>
    <row r="524" ht="15" customHeight="1">
      <c r="A524" t="inlineStr">
        <is>
          <t>A 28832-2023</t>
        </is>
      </c>
      <c r="B524" s="1" t="n">
        <v>45104.40493055555</v>
      </c>
      <c r="C524" s="1" t="n">
        <v>46001</v>
      </c>
      <c r="D524" t="inlineStr">
        <is>
          <t>DALARNAS LÄN</t>
        </is>
      </c>
      <c r="E524" t="inlineStr">
        <is>
          <t>MORA</t>
        </is>
      </c>
      <c r="F524" t="inlineStr">
        <is>
          <t>Bergvik skog öst AB</t>
        </is>
      </c>
      <c r="G524" t="n">
        <v>2</v>
      </c>
      <c r="H524" t="n">
        <v>0</v>
      </c>
      <c r="I524" t="n">
        <v>0</v>
      </c>
      <c r="J524" t="n">
        <v>0</v>
      </c>
      <c r="K524" t="n">
        <v>0</v>
      </c>
      <c r="L524" t="n">
        <v>0</v>
      </c>
      <c r="M524" t="n">
        <v>0</v>
      </c>
      <c r="N524" t="n">
        <v>0</v>
      </c>
      <c r="O524" t="n">
        <v>0</v>
      </c>
      <c r="P524" t="n">
        <v>0</v>
      </c>
      <c r="Q524" t="n">
        <v>0</v>
      </c>
      <c r="R524" s="2" t="inlineStr"/>
    </row>
    <row r="525" ht="15" customHeight="1">
      <c r="A525" t="inlineStr">
        <is>
          <t>A 37710-2023</t>
        </is>
      </c>
      <c r="B525" s="1" t="n">
        <v>45159.59186342593</v>
      </c>
      <c r="C525" s="1" t="n">
        <v>46001</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27188-2023</t>
        </is>
      </c>
      <c r="B526" s="1" t="n">
        <v>45096</v>
      </c>
      <c r="C526" s="1" t="n">
        <v>46001</v>
      </c>
      <c r="D526" t="inlineStr">
        <is>
          <t>DALARNAS LÄN</t>
        </is>
      </c>
      <c r="E526" t="inlineStr">
        <is>
          <t>MORA</t>
        </is>
      </c>
      <c r="G526" t="n">
        <v>4.8</v>
      </c>
      <c r="H526" t="n">
        <v>0</v>
      </c>
      <c r="I526" t="n">
        <v>0</v>
      </c>
      <c r="J526" t="n">
        <v>0</v>
      </c>
      <c r="K526" t="n">
        <v>0</v>
      </c>
      <c r="L526" t="n">
        <v>0</v>
      </c>
      <c r="M526" t="n">
        <v>0</v>
      </c>
      <c r="N526" t="n">
        <v>0</v>
      </c>
      <c r="O526" t="n">
        <v>0</v>
      </c>
      <c r="P526" t="n">
        <v>0</v>
      </c>
      <c r="Q526" t="n">
        <v>0</v>
      </c>
      <c r="R526" s="2" t="inlineStr"/>
    </row>
    <row r="527" ht="15" customHeight="1">
      <c r="A527" t="inlineStr">
        <is>
          <t>A 31395-2024</t>
        </is>
      </c>
      <c r="B527" s="1" t="n">
        <v>45505.47716435185</v>
      </c>
      <c r="C527" s="1" t="n">
        <v>46001</v>
      </c>
      <c r="D527" t="inlineStr">
        <is>
          <t>DALARNAS LÄN</t>
        </is>
      </c>
      <c r="E527" t="inlineStr">
        <is>
          <t>MORA</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38055-2024</t>
        </is>
      </c>
      <c r="B528" s="1" t="n">
        <v>45544</v>
      </c>
      <c r="C528" s="1" t="n">
        <v>46001</v>
      </c>
      <c r="D528" t="inlineStr">
        <is>
          <t>DALARNAS LÄN</t>
        </is>
      </c>
      <c r="E528" t="inlineStr">
        <is>
          <t>MORA</t>
        </is>
      </c>
      <c r="G528" t="n">
        <v>0.7</v>
      </c>
      <c r="H528" t="n">
        <v>0</v>
      </c>
      <c r="I528" t="n">
        <v>0</v>
      </c>
      <c r="J528" t="n">
        <v>0</v>
      </c>
      <c r="K528" t="n">
        <v>0</v>
      </c>
      <c r="L528" t="n">
        <v>0</v>
      </c>
      <c r="M528" t="n">
        <v>0</v>
      </c>
      <c r="N528" t="n">
        <v>0</v>
      </c>
      <c r="O528" t="n">
        <v>0</v>
      </c>
      <c r="P528" t="n">
        <v>0</v>
      </c>
      <c r="Q528" t="n">
        <v>0</v>
      </c>
      <c r="R528" s="2" t="inlineStr"/>
    </row>
    <row r="529" ht="15" customHeight="1">
      <c r="A529" t="inlineStr">
        <is>
          <t>A 35327-2024</t>
        </is>
      </c>
      <c r="B529" s="1" t="n">
        <v>45530.71334490741</v>
      </c>
      <c r="C529" s="1" t="n">
        <v>46001</v>
      </c>
      <c r="D529" t="inlineStr">
        <is>
          <t>DALARNAS LÄN</t>
        </is>
      </c>
      <c r="E529" t="inlineStr">
        <is>
          <t>MORA</t>
        </is>
      </c>
      <c r="G529" t="n">
        <v>5</v>
      </c>
      <c r="H529" t="n">
        <v>0</v>
      </c>
      <c r="I529" t="n">
        <v>0</v>
      </c>
      <c r="J529" t="n">
        <v>0</v>
      </c>
      <c r="K529" t="n">
        <v>0</v>
      </c>
      <c r="L529" t="n">
        <v>0</v>
      </c>
      <c r="M529" t="n">
        <v>0</v>
      </c>
      <c r="N529" t="n">
        <v>0</v>
      </c>
      <c r="O529" t="n">
        <v>0</v>
      </c>
      <c r="P529" t="n">
        <v>0</v>
      </c>
      <c r="Q529" t="n">
        <v>0</v>
      </c>
      <c r="R529" s="2" t="inlineStr"/>
    </row>
    <row r="530" ht="15" customHeight="1">
      <c r="A530" t="inlineStr">
        <is>
          <t>A 5486-2023</t>
        </is>
      </c>
      <c r="B530" s="1" t="n">
        <v>44957</v>
      </c>
      <c r="C530" s="1" t="n">
        <v>46001</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46129-2024</t>
        </is>
      </c>
      <c r="B531" s="1" t="n">
        <v>45581.43337962963</v>
      </c>
      <c r="C531" s="1" t="n">
        <v>46001</v>
      </c>
      <c r="D531" t="inlineStr">
        <is>
          <t>DALARNAS LÄN</t>
        </is>
      </c>
      <c r="E531" t="inlineStr">
        <is>
          <t>MORA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28934-2023</t>
        </is>
      </c>
      <c r="B532" s="1" t="n">
        <v>45104</v>
      </c>
      <c r="C532" s="1" t="n">
        <v>46001</v>
      </c>
      <c r="D532" t="inlineStr">
        <is>
          <t>DALARNAS LÄN</t>
        </is>
      </c>
      <c r="E532" t="inlineStr">
        <is>
          <t>MORA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31929-2024</t>
        </is>
      </c>
      <c r="B533" s="1" t="n">
        <v>45510.40587962963</v>
      </c>
      <c r="C533" s="1" t="n">
        <v>46001</v>
      </c>
      <c r="D533" t="inlineStr">
        <is>
          <t>DALARNAS LÄN</t>
        </is>
      </c>
      <c r="E533" t="inlineStr">
        <is>
          <t>MORA</t>
        </is>
      </c>
      <c r="G533" t="n">
        <v>10.8</v>
      </c>
      <c r="H533" t="n">
        <v>0</v>
      </c>
      <c r="I533" t="n">
        <v>0</v>
      </c>
      <c r="J533" t="n">
        <v>0</v>
      </c>
      <c r="K533" t="n">
        <v>0</v>
      </c>
      <c r="L533" t="n">
        <v>0</v>
      </c>
      <c r="M533" t="n">
        <v>0</v>
      </c>
      <c r="N533" t="n">
        <v>0</v>
      </c>
      <c r="O533" t="n">
        <v>0</v>
      </c>
      <c r="P533" t="n">
        <v>0</v>
      </c>
      <c r="Q533" t="n">
        <v>0</v>
      </c>
      <c r="R533" s="2" t="inlineStr"/>
    </row>
    <row r="534" ht="15" customHeight="1">
      <c r="A534" t="inlineStr">
        <is>
          <t>A 36600-2023</t>
        </is>
      </c>
      <c r="B534" s="1" t="n">
        <v>45153</v>
      </c>
      <c r="C534" s="1" t="n">
        <v>46001</v>
      </c>
      <c r="D534" t="inlineStr">
        <is>
          <t>DALARNAS LÄN</t>
        </is>
      </c>
      <c r="E534" t="inlineStr">
        <is>
          <t>MORA</t>
        </is>
      </c>
      <c r="G534" t="n">
        <v>7.3</v>
      </c>
      <c r="H534" t="n">
        <v>0</v>
      </c>
      <c r="I534" t="n">
        <v>0</v>
      </c>
      <c r="J534" t="n">
        <v>0</v>
      </c>
      <c r="K534" t="n">
        <v>0</v>
      </c>
      <c r="L534" t="n">
        <v>0</v>
      </c>
      <c r="M534" t="n">
        <v>0</v>
      </c>
      <c r="N534" t="n">
        <v>0</v>
      </c>
      <c r="O534" t="n">
        <v>0</v>
      </c>
      <c r="P534" t="n">
        <v>0</v>
      </c>
      <c r="Q534" t="n">
        <v>0</v>
      </c>
      <c r="R534" s="2" t="inlineStr"/>
    </row>
    <row r="535" ht="15" customHeight="1">
      <c r="A535" t="inlineStr">
        <is>
          <t>A 42943-2024</t>
        </is>
      </c>
      <c r="B535" s="1" t="n">
        <v>45567.35359953704</v>
      </c>
      <c r="C535" s="1" t="n">
        <v>46001</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4489-2022</t>
        </is>
      </c>
      <c r="B536" s="1" t="n">
        <v>44589</v>
      </c>
      <c r="C536" s="1" t="n">
        <v>46001</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5418-2025</t>
        </is>
      </c>
      <c r="B537" s="1" t="n">
        <v>45692.68561342593</v>
      </c>
      <c r="C537" s="1" t="n">
        <v>46001</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19842-2025</t>
        </is>
      </c>
      <c r="B538" s="1" t="n">
        <v>45771.47938657407</v>
      </c>
      <c r="C538" s="1" t="n">
        <v>46001</v>
      </c>
      <c r="D538" t="inlineStr">
        <is>
          <t>DALARNAS LÄN</t>
        </is>
      </c>
      <c r="E538" t="inlineStr">
        <is>
          <t>MORA</t>
        </is>
      </c>
      <c r="G538" t="n">
        <v>1.9</v>
      </c>
      <c r="H538" t="n">
        <v>0</v>
      </c>
      <c r="I538" t="n">
        <v>0</v>
      </c>
      <c r="J538" t="n">
        <v>0</v>
      </c>
      <c r="K538" t="n">
        <v>0</v>
      </c>
      <c r="L538" t="n">
        <v>0</v>
      </c>
      <c r="M538" t="n">
        <v>0</v>
      </c>
      <c r="N538" t="n">
        <v>0</v>
      </c>
      <c r="O538" t="n">
        <v>0</v>
      </c>
      <c r="P538" t="n">
        <v>0</v>
      </c>
      <c r="Q538" t="n">
        <v>0</v>
      </c>
      <c r="R538" s="2" t="inlineStr"/>
    </row>
    <row r="539" ht="15" customHeight="1">
      <c r="A539" t="inlineStr">
        <is>
          <t>A 18134-2025</t>
        </is>
      </c>
      <c r="B539" s="1" t="n">
        <v>45761.60189814815</v>
      </c>
      <c r="C539" s="1" t="n">
        <v>46001</v>
      </c>
      <c r="D539" t="inlineStr">
        <is>
          <t>DALARNAS LÄN</t>
        </is>
      </c>
      <c r="E539" t="inlineStr">
        <is>
          <t>MORA</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61249-2023</t>
        </is>
      </c>
      <c r="B540" s="1" t="n">
        <v>45264</v>
      </c>
      <c r="C540" s="1" t="n">
        <v>46001</v>
      </c>
      <c r="D540" t="inlineStr">
        <is>
          <t>DALARNAS LÄN</t>
        </is>
      </c>
      <c r="E540" t="inlineStr">
        <is>
          <t>MORA</t>
        </is>
      </c>
      <c r="F540" t="inlineStr">
        <is>
          <t>Allmännings- och besparingsskogar</t>
        </is>
      </c>
      <c r="G540" t="n">
        <v>1.7</v>
      </c>
      <c r="H540" t="n">
        <v>0</v>
      </c>
      <c r="I540" t="n">
        <v>0</v>
      </c>
      <c r="J540" t="n">
        <v>0</v>
      </c>
      <c r="K540" t="n">
        <v>0</v>
      </c>
      <c r="L540" t="n">
        <v>0</v>
      </c>
      <c r="M540" t="n">
        <v>0</v>
      </c>
      <c r="N540" t="n">
        <v>0</v>
      </c>
      <c r="O540" t="n">
        <v>0</v>
      </c>
      <c r="P540" t="n">
        <v>0</v>
      </c>
      <c r="Q540" t="n">
        <v>0</v>
      </c>
      <c r="R540" s="2" t="inlineStr"/>
    </row>
    <row r="541" ht="15" customHeight="1">
      <c r="A541" t="inlineStr">
        <is>
          <t>A 48522-2024</t>
        </is>
      </c>
      <c r="B541" s="1" t="n">
        <v>45593.32924768519</v>
      </c>
      <c r="C541" s="1" t="n">
        <v>46001</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16733-2024</t>
        </is>
      </c>
      <c r="B542" s="1" t="n">
        <v>45410.78502314815</v>
      </c>
      <c r="C542" s="1" t="n">
        <v>46001</v>
      </c>
      <c r="D542" t="inlineStr">
        <is>
          <t>DALARNAS LÄN</t>
        </is>
      </c>
      <c r="E542" t="inlineStr">
        <is>
          <t>MORA</t>
        </is>
      </c>
      <c r="G542" t="n">
        <v>6.3</v>
      </c>
      <c r="H542" t="n">
        <v>0</v>
      </c>
      <c r="I542" t="n">
        <v>0</v>
      </c>
      <c r="J542" t="n">
        <v>0</v>
      </c>
      <c r="K542" t="n">
        <v>0</v>
      </c>
      <c r="L542" t="n">
        <v>0</v>
      </c>
      <c r="M542" t="n">
        <v>0</v>
      </c>
      <c r="N542" t="n">
        <v>0</v>
      </c>
      <c r="O542" t="n">
        <v>0</v>
      </c>
      <c r="P542" t="n">
        <v>0</v>
      </c>
      <c r="Q542" t="n">
        <v>0</v>
      </c>
      <c r="R542" s="2" t="inlineStr"/>
    </row>
    <row r="543" ht="15" customHeight="1">
      <c r="A543" t="inlineStr">
        <is>
          <t>A 53159-2024</t>
        </is>
      </c>
      <c r="B543" s="1" t="n">
        <v>45611.63849537037</v>
      </c>
      <c r="C543" s="1" t="n">
        <v>46001</v>
      </c>
      <c r="D543" t="inlineStr">
        <is>
          <t>DALARNAS LÄN</t>
        </is>
      </c>
      <c r="E543" t="inlineStr">
        <is>
          <t>MORA</t>
        </is>
      </c>
      <c r="G543" t="n">
        <v>3.3</v>
      </c>
      <c r="H543" t="n">
        <v>0</v>
      </c>
      <c r="I543" t="n">
        <v>0</v>
      </c>
      <c r="J543" t="n">
        <v>0</v>
      </c>
      <c r="K543" t="n">
        <v>0</v>
      </c>
      <c r="L543" t="n">
        <v>0</v>
      </c>
      <c r="M543" t="n">
        <v>0</v>
      </c>
      <c r="N543" t="n">
        <v>0</v>
      </c>
      <c r="O543" t="n">
        <v>0</v>
      </c>
      <c r="P543" t="n">
        <v>0</v>
      </c>
      <c r="Q543" t="n">
        <v>0</v>
      </c>
      <c r="R543" s="2" t="inlineStr"/>
    </row>
    <row r="544" ht="15" customHeight="1">
      <c r="A544" t="inlineStr">
        <is>
          <t>A 68415-2021</t>
        </is>
      </c>
      <c r="B544" s="1" t="n">
        <v>44529</v>
      </c>
      <c r="C544" s="1" t="n">
        <v>46001</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60187-2024</t>
        </is>
      </c>
      <c r="B545" s="1" t="n">
        <v>45642.64803240741</v>
      </c>
      <c r="C545" s="1" t="n">
        <v>46001</v>
      </c>
      <c r="D545" t="inlineStr">
        <is>
          <t>DALARNAS LÄN</t>
        </is>
      </c>
      <c r="E545" t="inlineStr">
        <is>
          <t>MORA</t>
        </is>
      </c>
      <c r="F545" t="inlineStr">
        <is>
          <t>Allmännings- och besparingsskogar</t>
        </is>
      </c>
      <c r="G545" t="n">
        <v>24.6</v>
      </c>
      <c r="H545" t="n">
        <v>0</v>
      </c>
      <c r="I545" t="n">
        <v>0</v>
      </c>
      <c r="J545" t="n">
        <v>0</v>
      </c>
      <c r="K545" t="n">
        <v>0</v>
      </c>
      <c r="L545" t="n">
        <v>0</v>
      </c>
      <c r="M545" t="n">
        <v>0</v>
      </c>
      <c r="N545" t="n">
        <v>0</v>
      </c>
      <c r="O545" t="n">
        <v>0</v>
      </c>
      <c r="P545" t="n">
        <v>0</v>
      </c>
      <c r="Q545" t="n">
        <v>0</v>
      </c>
      <c r="R545" s="2" t="inlineStr"/>
    </row>
    <row r="546" ht="15" customHeight="1">
      <c r="A546" t="inlineStr">
        <is>
          <t>A 15435-2024</t>
        </is>
      </c>
      <c r="B546" s="1" t="n">
        <v>45401.40806712963</v>
      </c>
      <c r="C546" s="1" t="n">
        <v>46001</v>
      </c>
      <c r="D546" t="inlineStr">
        <is>
          <t>DALARNAS LÄN</t>
        </is>
      </c>
      <c r="E546" t="inlineStr">
        <is>
          <t>MORA</t>
        </is>
      </c>
      <c r="G546" t="n">
        <v>2.1</v>
      </c>
      <c r="H546" t="n">
        <v>0</v>
      </c>
      <c r="I546" t="n">
        <v>0</v>
      </c>
      <c r="J546" t="n">
        <v>0</v>
      </c>
      <c r="K546" t="n">
        <v>0</v>
      </c>
      <c r="L546" t="n">
        <v>0</v>
      </c>
      <c r="M546" t="n">
        <v>0</v>
      </c>
      <c r="N546" t="n">
        <v>0</v>
      </c>
      <c r="O546" t="n">
        <v>0</v>
      </c>
      <c r="P546" t="n">
        <v>0</v>
      </c>
      <c r="Q546" t="n">
        <v>0</v>
      </c>
      <c r="R546" s="2" t="inlineStr"/>
    </row>
    <row r="547" ht="15" customHeight="1">
      <c r="A547" t="inlineStr">
        <is>
          <t>A 51965-2024</t>
        </is>
      </c>
      <c r="B547" s="1" t="n">
        <v>45607.65123842593</v>
      </c>
      <c r="C547" s="1" t="n">
        <v>46001</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42391-2023</t>
        </is>
      </c>
      <c r="B548" s="1" t="n">
        <v>45180</v>
      </c>
      <c r="C548" s="1" t="n">
        <v>46001</v>
      </c>
      <c r="D548" t="inlineStr">
        <is>
          <t>DALARNAS LÄN</t>
        </is>
      </c>
      <c r="E548" t="inlineStr">
        <is>
          <t>MORA</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2865-2022</t>
        </is>
      </c>
      <c r="B549" s="1" t="n">
        <v>44581</v>
      </c>
      <c r="C549" s="1" t="n">
        <v>46001</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45349-2024</t>
        </is>
      </c>
      <c r="B550" s="1" t="n">
        <v>45576</v>
      </c>
      <c r="C550" s="1" t="n">
        <v>46001</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57408-2024</t>
        </is>
      </c>
      <c r="B551" s="1" t="n">
        <v>45629</v>
      </c>
      <c r="C551" s="1" t="n">
        <v>46001</v>
      </c>
      <c r="D551" t="inlineStr">
        <is>
          <t>DALARNAS LÄN</t>
        </is>
      </c>
      <c r="E551" t="inlineStr">
        <is>
          <t>MORA</t>
        </is>
      </c>
      <c r="F551" t="inlineStr">
        <is>
          <t>Allmännings- och besparingsskogar</t>
        </is>
      </c>
      <c r="G551" t="n">
        <v>2.5</v>
      </c>
      <c r="H551" t="n">
        <v>0</v>
      </c>
      <c r="I551" t="n">
        <v>0</v>
      </c>
      <c r="J551" t="n">
        <v>0</v>
      </c>
      <c r="K551" t="n">
        <v>0</v>
      </c>
      <c r="L551" t="n">
        <v>0</v>
      </c>
      <c r="M551" t="n">
        <v>0</v>
      </c>
      <c r="N551" t="n">
        <v>0</v>
      </c>
      <c r="O551" t="n">
        <v>0</v>
      </c>
      <c r="P551" t="n">
        <v>0</v>
      </c>
      <c r="Q551" t="n">
        <v>0</v>
      </c>
      <c r="R551" s="2" t="inlineStr"/>
    </row>
    <row r="552" ht="15" customHeight="1">
      <c r="A552" t="inlineStr">
        <is>
          <t>A 46412-2024</t>
        </is>
      </c>
      <c r="B552" s="1" t="n">
        <v>45582.44894675926</v>
      </c>
      <c r="C552" s="1" t="n">
        <v>46001</v>
      </c>
      <c r="D552" t="inlineStr">
        <is>
          <t>DALARNAS LÄN</t>
        </is>
      </c>
      <c r="E552" t="inlineStr">
        <is>
          <t>MORA</t>
        </is>
      </c>
      <c r="G552" t="n">
        <v>4.1</v>
      </c>
      <c r="H552" t="n">
        <v>0</v>
      </c>
      <c r="I552" t="n">
        <v>0</v>
      </c>
      <c r="J552" t="n">
        <v>0</v>
      </c>
      <c r="K552" t="n">
        <v>0</v>
      </c>
      <c r="L552" t="n">
        <v>0</v>
      </c>
      <c r="M552" t="n">
        <v>0</v>
      </c>
      <c r="N552" t="n">
        <v>0</v>
      </c>
      <c r="O552" t="n">
        <v>0</v>
      </c>
      <c r="P552" t="n">
        <v>0</v>
      </c>
      <c r="Q552" t="n">
        <v>0</v>
      </c>
      <c r="R552" s="2" t="inlineStr"/>
    </row>
    <row r="553" ht="15" customHeight="1">
      <c r="A553" t="inlineStr">
        <is>
          <t>A 50685-2023</t>
        </is>
      </c>
      <c r="B553" s="1" t="n">
        <v>45210</v>
      </c>
      <c r="C553" s="1" t="n">
        <v>46001</v>
      </c>
      <c r="D553" t="inlineStr">
        <is>
          <t>DALARNAS LÄN</t>
        </is>
      </c>
      <c r="E553" t="inlineStr">
        <is>
          <t>MORA</t>
        </is>
      </c>
      <c r="G553" t="n">
        <v>1.7</v>
      </c>
      <c r="H553" t="n">
        <v>0</v>
      </c>
      <c r="I553" t="n">
        <v>0</v>
      </c>
      <c r="J553" t="n">
        <v>0</v>
      </c>
      <c r="K553" t="n">
        <v>0</v>
      </c>
      <c r="L553" t="n">
        <v>0</v>
      </c>
      <c r="M553" t="n">
        <v>0</v>
      </c>
      <c r="N553" t="n">
        <v>0</v>
      </c>
      <c r="O553" t="n">
        <v>0</v>
      </c>
      <c r="P553" t="n">
        <v>0</v>
      </c>
      <c r="Q553" t="n">
        <v>0</v>
      </c>
      <c r="R553" s="2" t="inlineStr"/>
    </row>
    <row r="554" ht="15" customHeight="1">
      <c r="A554" t="inlineStr">
        <is>
          <t>A 43964-2024</t>
        </is>
      </c>
      <c r="B554" s="1" t="n">
        <v>45572.48407407408</v>
      </c>
      <c r="C554" s="1" t="n">
        <v>46001</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39511-2024</t>
        </is>
      </c>
      <c r="B555" s="1" t="n">
        <v>45551.68347222222</v>
      </c>
      <c r="C555" s="1" t="n">
        <v>46001</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37695-2024</t>
        </is>
      </c>
      <c r="B556" s="1" t="n">
        <v>45541.61094907407</v>
      </c>
      <c r="C556" s="1" t="n">
        <v>46001</v>
      </c>
      <c r="D556" t="inlineStr">
        <is>
          <t>DALARNAS LÄN</t>
        </is>
      </c>
      <c r="E556" t="inlineStr">
        <is>
          <t>MORA</t>
        </is>
      </c>
      <c r="G556" t="n">
        <v>19.7</v>
      </c>
      <c r="H556" t="n">
        <v>0</v>
      </c>
      <c r="I556" t="n">
        <v>0</v>
      </c>
      <c r="J556" t="n">
        <v>0</v>
      </c>
      <c r="K556" t="n">
        <v>0</v>
      </c>
      <c r="L556" t="n">
        <v>0</v>
      </c>
      <c r="M556" t="n">
        <v>0</v>
      </c>
      <c r="N556" t="n">
        <v>0</v>
      </c>
      <c r="O556" t="n">
        <v>0</v>
      </c>
      <c r="P556" t="n">
        <v>0</v>
      </c>
      <c r="Q556" t="n">
        <v>0</v>
      </c>
      <c r="R556" s="2" t="inlineStr"/>
    </row>
    <row r="557" ht="15" customHeight="1">
      <c r="A557" t="inlineStr">
        <is>
          <t>A 56834-2024</t>
        </is>
      </c>
      <c r="B557" s="1" t="n">
        <v>45628.49931712963</v>
      </c>
      <c r="C557" s="1" t="n">
        <v>46001</v>
      </c>
      <c r="D557" t="inlineStr">
        <is>
          <t>DALARNAS LÄN</t>
        </is>
      </c>
      <c r="E557" t="inlineStr">
        <is>
          <t>MORA</t>
        </is>
      </c>
      <c r="G557" t="n">
        <v>0.4</v>
      </c>
      <c r="H557" t="n">
        <v>0</v>
      </c>
      <c r="I557" t="n">
        <v>0</v>
      </c>
      <c r="J557" t="n">
        <v>0</v>
      </c>
      <c r="K557" t="n">
        <v>0</v>
      </c>
      <c r="L557" t="n">
        <v>0</v>
      </c>
      <c r="M557" t="n">
        <v>0</v>
      </c>
      <c r="N557" t="n">
        <v>0</v>
      </c>
      <c r="O557" t="n">
        <v>0</v>
      </c>
      <c r="P557" t="n">
        <v>0</v>
      </c>
      <c r="Q557" t="n">
        <v>0</v>
      </c>
      <c r="R557" s="2" t="inlineStr"/>
    </row>
    <row r="558" ht="15" customHeight="1">
      <c r="A558" t="inlineStr">
        <is>
          <t>A 8068-2024</t>
        </is>
      </c>
      <c r="B558" s="1" t="n">
        <v>45351.41524305556</v>
      </c>
      <c r="C558" s="1" t="n">
        <v>46001</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43863-2023</t>
        </is>
      </c>
      <c r="B559" s="1" t="n">
        <v>45187.62532407408</v>
      </c>
      <c r="C559" s="1" t="n">
        <v>46001</v>
      </c>
      <c r="D559" t="inlineStr">
        <is>
          <t>DALARNAS LÄN</t>
        </is>
      </c>
      <c r="E559" t="inlineStr">
        <is>
          <t>MORA</t>
        </is>
      </c>
      <c r="F559" t="inlineStr">
        <is>
          <t>Bergvik skog väst AB</t>
        </is>
      </c>
      <c r="G559" t="n">
        <v>3.9</v>
      </c>
      <c r="H559" t="n">
        <v>0</v>
      </c>
      <c r="I559" t="n">
        <v>0</v>
      </c>
      <c r="J559" t="n">
        <v>0</v>
      </c>
      <c r="K559" t="n">
        <v>0</v>
      </c>
      <c r="L559" t="n">
        <v>0</v>
      </c>
      <c r="M559" t="n">
        <v>0</v>
      </c>
      <c r="N559" t="n">
        <v>0</v>
      </c>
      <c r="O559" t="n">
        <v>0</v>
      </c>
      <c r="P559" t="n">
        <v>0</v>
      </c>
      <c r="Q559" t="n">
        <v>0</v>
      </c>
      <c r="R559" s="2" t="inlineStr"/>
    </row>
    <row r="560" ht="15" customHeight="1">
      <c r="A560" t="inlineStr">
        <is>
          <t>A 35521-2023</t>
        </is>
      </c>
      <c r="B560" s="1" t="n">
        <v>45147.33251157407</v>
      </c>
      <c r="C560" s="1" t="n">
        <v>46001</v>
      </c>
      <c r="D560" t="inlineStr">
        <is>
          <t>DALARNAS LÄN</t>
        </is>
      </c>
      <c r="E560" t="inlineStr">
        <is>
          <t>MORA</t>
        </is>
      </c>
      <c r="G560" t="n">
        <v>3.7</v>
      </c>
      <c r="H560" t="n">
        <v>0</v>
      </c>
      <c r="I560" t="n">
        <v>0</v>
      </c>
      <c r="J560" t="n">
        <v>0</v>
      </c>
      <c r="K560" t="n">
        <v>0</v>
      </c>
      <c r="L560" t="n">
        <v>0</v>
      </c>
      <c r="M560" t="n">
        <v>0</v>
      </c>
      <c r="N560" t="n">
        <v>0</v>
      </c>
      <c r="O560" t="n">
        <v>0</v>
      </c>
      <c r="P560" t="n">
        <v>0</v>
      </c>
      <c r="Q560" t="n">
        <v>0</v>
      </c>
      <c r="R560" s="2" t="inlineStr"/>
    </row>
    <row r="561" ht="15" customHeight="1">
      <c r="A561" t="inlineStr">
        <is>
          <t>A 31112-2024</t>
        </is>
      </c>
      <c r="B561" s="1" t="n">
        <v>45502.55185185185</v>
      </c>
      <c r="C561" s="1" t="n">
        <v>46001</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44205-2023</t>
        </is>
      </c>
      <c r="B562" s="1" t="n">
        <v>45188</v>
      </c>
      <c r="C562" s="1" t="n">
        <v>46001</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51168-2024</t>
        </is>
      </c>
      <c r="B563" s="1" t="n">
        <v>45603.58619212963</v>
      </c>
      <c r="C563" s="1" t="n">
        <v>46001</v>
      </c>
      <c r="D563" t="inlineStr">
        <is>
          <t>DALARNAS LÄN</t>
        </is>
      </c>
      <c r="E563" t="inlineStr">
        <is>
          <t>MORA</t>
        </is>
      </c>
      <c r="G563" t="n">
        <v>3</v>
      </c>
      <c r="H563" t="n">
        <v>0</v>
      </c>
      <c r="I563" t="n">
        <v>0</v>
      </c>
      <c r="J563" t="n">
        <v>0</v>
      </c>
      <c r="K563" t="n">
        <v>0</v>
      </c>
      <c r="L563" t="n">
        <v>0</v>
      </c>
      <c r="M563" t="n">
        <v>0</v>
      </c>
      <c r="N563" t="n">
        <v>0</v>
      </c>
      <c r="O563" t="n">
        <v>0</v>
      </c>
      <c r="P563" t="n">
        <v>0</v>
      </c>
      <c r="Q563" t="n">
        <v>0</v>
      </c>
      <c r="R563" s="2" t="inlineStr"/>
    </row>
    <row r="564" ht="15" customHeight="1">
      <c r="A564" t="inlineStr">
        <is>
          <t>A 18214-2024</t>
        </is>
      </c>
      <c r="B564" s="1" t="n">
        <v>45420</v>
      </c>
      <c r="C564" s="1" t="n">
        <v>46001</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16522-2024</t>
        </is>
      </c>
      <c r="B565" s="1" t="n">
        <v>45408.41166666667</v>
      </c>
      <c r="C565" s="1" t="n">
        <v>46001</v>
      </c>
      <c r="D565" t="inlineStr">
        <is>
          <t>DALARNAS LÄN</t>
        </is>
      </c>
      <c r="E565" t="inlineStr">
        <is>
          <t>MORA</t>
        </is>
      </c>
      <c r="G565" t="n">
        <v>11.2</v>
      </c>
      <c r="H565" t="n">
        <v>0</v>
      </c>
      <c r="I565" t="n">
        <v>0</v>
      </c>
      <c r="J565" t="n">
        <v>0</v>
      </c>
      <c r="K565" t="n">
        <v>0</v>
      </c>
      <c r="L565" t="n">
        <v>0</v>
      </c>
      <c r="M565" t="n">
        <v>0</v>
      </c>
      <c r="N565" t="n">
        <v>0</v>
      </c>
      <c r="O565" t="n">
        <v>0</v>
      </c>
      <c r="P565" t="n">
        <v>0</v>
      </c>
      <c r="Q565" t="n">
        <v>0</v>
      </c>
      <c r="R565" s="2" t="inlineStr"/>
    </row>
    <row r="566" ht="15" customHeight="1">
      <c r="A566" t="inlineStr">
        <is>
          <t>A 55120-2024</t>
        </is>
      </c>
      <c r="B566" s="1" t="n">
        <v>45621.45765046297</v>
      </c>
      <c r="C566" s="1" t="n">
        <v>46001</v>
      </c>
      <c r="D566" t="inlineStr">
        <is>
          <t>DALARNAS LÄN</t>
        </is>
      </c>
      <c r="E566" t="inlineStr">
        <is>
          <t>MORA</t>
        </is>
      </c>
      <c r="G566" t="n">
        <v>1.9</v>
      </c>
      <c r="H566" t="n">
        <v>0</v>
      </c>
      <c r="I566" t="n">
        <v>0</v>
      </c>
      <c r="J566" t="n">
        <v>0</v>
      </c>
      <c r="K566" t="n">
        <v>0</v>
      </c>
      <c r="L566" t="n">
        <v>0</v>
      </c>
      <c r="M566" t="n">
        <v>0</v>
      </c>
      <c r="N566" t="n">
        <v>0</v>
      </c>
      <c r="O566" t="n">
        <v>0</v>
      </c>
      <c r="P566" t="n">
        <v>0</v>
      </c>
      <c r="Q566" t="n">
        <v>0</v>
      </c>
      <c r="R566" s="2" t="inlineStr"/>
    </row>
    <row r="567" ht="15" customHeight="1">
      <c r="A567" t="inlineStr">
        <is>
          <t>A 43873-2024</t>
        </is>
      </c>
      <c r="B567" s="1" t="n">
        <v>45572.38429398148</v>
      </c>
      <c r="C567" s="1" t="n">
        <v>46001</v>
      </c>
      <c r="D567" t="inlineStr">
        <is>
          <t>DALARNAS LÄN</t>
        </is>
      </c>
      <c r="E567" t="inlineStr">
        <is>
          <t>MORA</t>
        </is>
      </c>
      <c r="G567" t="n">
        <v>4.1</v>
      </c>
      <c r="H567" t="n">
        <v>0</v>
      </c>
      <c r="I567" t="n">
        <v>0</v>
      </c>
      <c r="J567" t="n">
        <v>0</v>
      </c>
      <c r="K567" t="n">
        <v>0</v>
      </c>
      <c r="L567" t="n">
        <v>0</v>
      </c>
      <c r="M567" t="n">
        <v>0</v>
      </c>
      <c r="N567" t="n">
        <v>0</v>
      </c>
      <c r="O567" t="n">
        <v>0</v>
      </c>
      <c r="P567" t="n">
        <v>0</v>
      </c>
      <c r="Q567" t="n">
        <v>0</v>
      </c>
      <c r="R567" s="2" t="inlineStr"/>
    </row>
    <row r="568" ht="15" customHeight="1">
      <c r="A568" t="inlineStr">
        <is>
          <t>A 46152-2023</t>
        </is>
      </c>
      <c r="B568" s="1" t="n">
        <v>45196.58278935185</v>
      </c>
      <c r="C568" s="1" t="n">
        <v>46001</v>
      </c>
      <c r="D568" t="inlineStr">
        <is>
          <t>DALARNAS LÄN</t>
        </is>
      </c>
      <c r="E568" t="inlineStr">
        <is>
          <t>MORA</t>
        </is>
      </c>
      <c r="G568" t="n">
        <v>2</v>
      </c>
      <c r="H568" t="n">
        <v>0</v>
      </c>
      <c r="I568" t="n">
        <v>0</v>
      </c>
      <c r="J568" t="n">
        <v>0</v>
      </c>
      <c r="K568" t="n">
        <v>0</v>
      </c>
      <c r="L568" t="n">
        <v>0</v>
      </c>
      <c r="M568" t="n">
        <v>0</v>
      </c>
      <c r="N568" t="n">
        <v>0</v>
      </c>
      <c r="O568" t="n">
        <v>0</v>
      </c>
      <c r="P568" t="n">
        <v>0</v>
      </c>
      <c r="Q568" t="n">
        <v>0</v>
      </c>
      <c r="R568" s="2" t="inlineStr"/>
    </row>
    <row r="569" ht="15" customHeight="1">
      <c r="A569" t="inlineStr">
        <is>
          <t>A 42035-2022</t>
        </is>
      </c>
      <c r="B569" s="1" t="n">
        <v>44830</v>
      </c>
      <c r="C569" s="1" t="n">
        <v>46001</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5980-2025</t>
        </is>
      </c>
      <c r="B570" s="1" t="n">
        <v>45695.54651620371</v>
      </c>
      <c r="C570" s="1" t="n">
        <v>46001</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9599-2022</t>
        </is>
      </c>
      <c r="B571" s="1" t="n">
        <v>44617.48909722222</v>
      </c>
      <c r="C571" s="1" t="n">
        <v>46001</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51883-2024</t>
        </is>
      </c>
      <c r="B572" s="1" t="n">
        <v>45607</v>
      </c>
      <c r="C572" s="1" t="n">
        <v>46001</v>
      </c>
      <c r="D572" t="inlineStr">
        <is>
          <t>DALARNAS LÄN</t>
        </is>
      </c>
      <c r="E572" t="inlineStr">
        <is>
          <t>MORA</t>
        </is>
      </c>
      <c r="G572" t="n">
        <v>0.2</v>
      </c>
      <c r="H572" t="n">
        <v>0</v>
      </c>
      <c r="I572" t="n">
        <v>0</v>
      </c>
      <c r="J572" t="n">
        <v>0</v>
      </c>
      <c r="K572" t="n">
        <v>0</v>
      </c>
      <c r="L572" t="n">
        <v>0</v>
      </c>
      <c r="M572" t="n">
        <v>0</v>
      </c>
      <c r="N572" t="n">
        <v>0</v>
      </c>
      <c r="O572" t="n">
        <v>0</v>
      </c>
      <c r="P572" t="n">
        <v>0</v>
      </c>
      <c r="Q572" t="n">
        <v>0</v>
      </c>
      <c r="R572" s="2" t="inlineStr"/>
    </row>
    <row r="573" ht="15" customHeight="1">
      <c r="A573" t="inlineStr">
        <is>
          <t>A 51888-2024</t>
        </is>
      </c>
      <c r="B573" s="1" t="n">
        <v>45607.57142361111</v>
      </c>
      <c r="C573" s="1" t="n">
        <v>46001</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38627-2023</t>
        </is>
      </c>
      <c r="B574" s="1" t="n">
        <v>45162.68787037037</v>
      </c>
      <c r="C574" s="1" t="n">
        <v>46001</v>
      </c>
      <c r="D574" t="inlineStr">
        <is>
          <t>DALARNAS LÄN</t>
        </is>
      </c>
      <c r="E574" t="inlineStr">
        <is>
          <t>MORA</t>
        </is>
      </c>
      <c r="G574" t="n">
        <v>6.5</v>
      </c>
      <c r="H574" t="n">
        <v>0</v>
      </c>
      <c r="I574" t="n">
        <v>0</v>
      </c>
      <c r="J574" t="n">
        <v>0</v>
      </c>
      <c r="K574" t="n">
        <v>0</v>
      </c>
      <c r="L574" t="n">
        <v>0</v>
      </c>
      <c r="M574" t="n">
        <v>0</v>
      </c>
      <c r="N574" t="n">
        <v>0</v>
      </c>
      <c r="O574" t="n">
        <v>0</v>
      </c>
      <c r="P574" t="n">
        <v>0</v>
      </c>
      <c r="Q574" t="n">
        <v>0</v>
      </c>
      <c r="R574" s="2" t="inlineStr"/>
    </row>
    <row r="575" ht="15" customHeight="1">
      <c r="A575" t="inlineStr">
        <is>
          <t>A 16637-2025</t>
        </is>
      </c>
      <c r="B575" s="1" t="n">
        <v>45754.36738425926</v>
      </c>
      <c r="C575" s="1" t="n">
        <v>46001</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48570-2022</t>
        </is>
      </c>
      <c r="B576" s="1" t="n">
        <v>44859</v>
      </c>
      <c r="C576" s="1" t="n">
        <v>46001</v>
      </c>
      <c r="D576" t="inlineStr">
        <is>
          <t>DALARNAS LÄN</t>
        </is>
      </c>
      <c r="E576" t="inlineStr">
        <is>
          <t>MORA</t>
        </is>
      </c>
      <c r="G576" t="n">
        <v>6.2</v>
      </c>
      <c r="H576" t="n">
        <v>0</v>
      </c>
      <c r="I576" t="n">
        <v>0</v>
      </c>
      <c r="J576" t="n">
        <v>0</v>
      </c>
      <c r="K576" t="n">
        <v>0</v>
      </c>
      <c r="L576" t="n">
        <v>0</v>
      </c>
      <c r="M576" t="n">
        <v>0</v>
      </c>
      <c r="N576" t="n">
        <v>0</v>
      </c>
      <c r="O576" t="n">
        <v>0</v>
      </c>
      <c r="P576" t="n">
        <v>0</v>
      </c>
      <c r="Q576" t="n">
        <v>0</v>
      </c>
      <c r="R576" s="2" t="inlineStr"/>
    </row>
    <row r="577" ht="15" customHeight="1">
      <c r="A577" t="inlineStr">
        <is>
          <t>A 49991-2023</t>
        </is>
      </c>
      <c r="B577" s="1" t="n">
        <v>45215.43879629629</v>
      </c>
      <c r="C577" s="1" t="n">
        <v>46001</v>
      </c>
      <c r="D577" t="inlineStr">
        <is>
          <t>DALARNAS LÄN</t>
        </is>
      </c>
      <c r="E577" t="inlineStr">
        <is>
          <t>MORA</t>
        </is>
      </c>
      <c r="G577" t="n">
        <v>1.8</v>
      </c>
      <c r="H577" t="n">
        <v>0</v>
      </c>
      <c r="I577" t="n">
        <v>0</v>
      </c>
      <c r="J577" t="n">
        <v>0</v>
      </c>
      <c r="K577" t="n">
        <v>0</v>
      </c>
      <c r="L577" t="n">
        <v>0</v>
      </c>
      <c r="M577" t="n">
        <v>0</v>
      </c>
      <c r="N577" t="n">
        <v>0</v>
      </c>
      <c r="O577" t="n">
        <v>0</v>
      </c>
      <c r="P577" t="n">
        <v>0</v>
      </c>
      <c r="Q577" t="n">
        <v>0</v>
      </c>
      <c r="R577" s="2" t="inlineStr"/>
    </row>
    <row r="578" ht="15" customHeight="1">
      <c r="A578" t="inlineStr">
        <is>
          <t>A 20401-2022</t>
        </is>
      </c>
      <c r="B578" s="1" t="n">
        <v>44699</v>
      </c>
      <c r="C578" s="1" t="n">
        <v>46001</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18120-2025</t>
        </is>
      </c>
      <c r="B579" s="1" t="n">
        <v>45761</v>
      </c>
      <c r="C579" s="1" t="n">
        <v>46001</v>
      </c>
      <c r="D579" t="inlineStr">
        <is>
          <t>DALARNAS LÄN</t>
        </is>
      </c>
      <c r="E579" t="inlineStr">
        <is>
          <t>MORA</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18127-2025</t>
        </is>
      </c>
      <c r="B580" s="1" t="n">
        <v>45761.59523148148</v>
      </c>
      <c r="C580" s="1" t="n">
        <v>46001</v>
      </c>
      <c r="D580" t="inlineStr">
        <is>
          <t>DALARNAS LÄN</t>
        </is>
      </c>
      <c r="E580" t="inlineStr">
        <is>
          <t>MORA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45090.62493055555</v>
      </c>
      <c r="C581" s="1" t="n">
        <v>46001</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20544-2025</t>
        </is>
      </c>
      <c r="B582" s="1" t="n">
        <v>45775.63119212963</v>
      </c>
      <c r="C582" s="1" t="n">
        <v>46001</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36740-2023</t>
        </is>
      </c>
      <c r="B583" s="1" t="n">
        <v>45153</v>
      </c>
      <c r="C583" s="1" t="n">
        <v>46001</v>
      </c>
      <c r="D583" t="inlineStr">
        <is>
          <t>DALARNAS LÄN</t>
        </is>
      </c>
      <c r="E583" t="inlineStr">
        <is>
          <t>MORA</t>
        </is>
      </c>
      <c r="G583" t="n">
        <v>0.2</v>
      </c>
      <c r="H583" t="n">
        <v>0</v>
      </c>
      <c r="I583" t="n">
        <v>0</v>
      </c>
      <c r="J583" t="n">
        <v>0</v>
      </c>
      <c r="K583" t="n">
        <v>0</v>
      </c>
      <c r="L583" t="n">
        <v>0</v>
      </c>
      <c r="M583" t="n">
        <v>0</v>
      </c>
      <c r="N583" t="n">
        <v>0</v>
      </c>
      <c r="O583" t="n">
        <v>0</v>
      </c>
      <c r="P583" t="n">
        <v>0</v>
      </c>
      <c r="Q583" t="n">
        <v>0</v>
      </c>
      <c r="R583" s="2" t="inlineStr"/>
    </row>
    <row r="584" ht="15" customHeight="1">
      <c r="A584" t="inlineStr">
        <is>
          <t>A 48342-2023</t>
        </is>
      </c>
      <c r="B584" s="1" t="n">
        <v>45205</v>
      </c>
      <c r="C584" s="1" t="n">
        <v>46001</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17393-2025</t>
        </is>
      </c>
      <c r="B585" s="1" t="n">
        <v>45757.34350694445</v>
      </c>
      <c r="C585" s="1" t="n">
        <v>46001</v>
      </c>
      <c r="D585" t="inlineStr">
        <is>
          <t>DALARNAS LÄN</t>
        </is>
      </c>
      <c r="E585" t="inlineStr">
        <is>
          <t>MORA</t>
        </is>
      </c>
      <c r="G585" t="n">
        <v>10.1</v>
      </c>
      <c r="H585" t="n">
        <v>0</v>
      </c>
      <c r="I585" t="n">
        <v>0</v>
      </c>
      <c r="J585" t="n">
        <v>0</v>
      </c>
      <c r="K585" t="n">
        <v>0</v>
      </c>
      <c r="L585" t="n">
        <v>0</v>
      </c>
      <c r="M585" t="n">
        <v>0</v>
      </c>
      <c r="N585" t="n">
        <v>0</v>
      </c>
      <c r="O585" t="n">
        <v>0</v>
      </c>
      <c r="P585" t="n">
        <v>0</v>
      </c>
      <c r="Q585" t="n">
        <v>0</v>
      </c>
      <c r="R585" s="2" t="inlineStr"/>
    </row>
    <row r="586" ht="15" customHeight="1">
      <c r="A586" t="inlineStr">
        <is>
          <t>A 14936-2025</t>
        </is>
      </c>
      <c r="B586" s="1" t="n">
        <v>45743.55756944444</v>
      </c>
      <c r="C586" s="1" t="n">
        <v>46001</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35381-2024</t>
        </is>
      </c>
      <c r="B587" s="1" t="n">
        <v>45531.38372685185</v>
      </c>
      <c r="C587" s="1" t="n">
        <v>46001</v>
      </c>
      <c r="D587" t="inlineStr">
        <is>
          <t>DALARNAS LÄN</t>
        </is>
      </c>
      <c r="E587" t="inlineStr">
        <is>
          <t>MORA</t>
        </is>
      </c>
      <c r="G587" t="n">
        <v>3.7</v>
      </c>
      <c r="H587" t="n">
        <v>0</v>
      </c>
      <c r="I587" t="n">
        <v>0</v>
      </c>
      <c r="J587" t="n">
        <v>0</v>
      </c>
      <c r="K587" t="n">
        <v>0</v>
      </c>
      <c r="L587" t="n">
        <v>0</v>
      </c>
      <c r="M587" t="n">
        <v>0</v>
      </c>
      <c r="N587" t="n">
        <v>0</v>
      </c>
      <c r="O587" t="n">
        <v>0</v>
      </c>
      <c r="P587" t="n">
        <v>0</v>
      </c>
      <c r="Q587" t="n">
        <v>0</v>
      </c>
      <c r="R587" s="2" t="inlineStr"/>
    </row>
    <row r="588" ht="15" customHeight="1">
      <c r="A588" t="inlineStr">
        <is>
          <t>A 15817-2024</t>
        </is>
      </c>
      <c r="B588" s="1" t="n">
        <v>45404.67387731482</v>
      </c>
      <c r="C588" s="1" t="n">
        <v>46001</v>
      </c>
      <c r="D588" t="inlineStr">
        <is>
          <t>DALARNAS LÄN</t>
        </is>
      </c>
      <c r="E588" t="inlineStr">
        <is>
          <t>MORA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46755-2023</t>
        </is>
      </c>
      <c r="B589" s="1" t="n">
        <v>45198.61314814815</v>
      </c>
      <c r="C589" s="1" t="n">
        <v>46001</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14372-2025</t>
        </is>
      </c>
      <c r="B590" s="1" t="n">
        <v>45741.4050462963</v>
      </c>
      <c r="C590" s="1" t="n">
        <v>46001</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14378-2025</t>
        </is>
      </c>
      <c r="B591" s="1" t="n">
        <v>45741</v>
      </c>
      <c r="C591" s="1" t="n">
        <v>46001</v>
      </c>
      <c r="D591" t="inlineStr">
        <is>
          <t>DALARNAS LÄN</t>
        </is>
      </c>
      <c r="E591" t="inlineStr">
        <is>
          <t>MORA</t>
        </is>
      </c>
      <c r="G591" t="n">
        <v>5.2</v>
      </c>
      <c r="H591" t="n">
        <v>0</v>
      </c>
      <c r="I591" t="n">
        <v>0</v>
      </c>
      <c r="J591" t="n">
        <v>0</v>
      </c>
      <c r="K591" t="n">
        <v>0</v>
      </c>
      <c r="L591" t="n">
        <v>0</v>
      </c>
      <c r="M591" t="n">
        <v>0</v>
      </c>
      <c r="N591" t="n">
        <v>0</v>
      </c>
      <c r="O591" t="n">
        <v>0</v>
      </c>
      <c r="P591" t="n">
        <v>0</v>
      </c>
      <c r="Q591" t="n">
        <v>0</v>
      </c>
      <c r="R591" s="2" t="inlineStr"/>
    </row>
    <row r="592" ht="15" customHeight="1">
      <c r="A592" t="inlineStr">
        <is>
          <t>A 44177-2023</t>
        </is>
      </c>
      <c r="B592" s="1" t="n">
        <v>45188.51439814815</v>
      </c>
      <c r="C592" s="1" t="n">
        <v>46001</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44201-2023</t>
        </is>
      </c>
      <c r="B593" s="1" t="n">
        <v>45188</v>
      </c>
      <c r="C593" s="1" t="n">
        <v>46001</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55222-2023</t>
        </is>
      </c>
      <c r="B594" s="1" t="n">
        <v>45237.60775462963</v>
      </c>
      <c r="C594" s="1" t="n">
        <v>46001</v>
      </c>
      <c r="D594" t="inlineStr">
        <is>
          <t>DALARNAS LÄN</t>
        </is>
      </c>
      <c r="E594" t="inlineStr">
        <is>
          <t>MORA</t>
        </is>
      </c>
      <c r="F594" t="inlineStr">
        <is>
          <t>Allmännings- och besparingsskogar</t>
        </is>
      </c>
      <c r="G594" t="n">
        <v>19.8</v>
      </c>
      <c r="H594" t="n">
        <v>0</v>
      </c>
      <c r="I594" t="n">
        <v>0</v>
      </c>
      <c r="J594" t="n">
        <v>0</v>
      </c>
      <c r="K594" t="n">
        <v>0</v>
      </c>
      <c r="L594" t="n">
        <v>0</v>
      </c>
      <c r="M594" t="n">
        <v>0</v>
      </c>
      <c r="N594" t="n">
        <v>0</v>
      </c>
      <c r="O594" t="n">
        <v>0</v>
      </c>
      <c r="P594" t="n">
        <v>0</v>
      </c>
      <c r="Q594" t="n">
        <v>0</v>
      </c>
      <c r="R594" s="2" t="inlineStr"/>
    </row>
    <row r="595" ht="15" customHeight="1">
      <c r="A595" t="inlineStr">
        <is>
          <t>A 31177-2021</t>
        </is>
      </c>
      <c r="B595" s="1" t="n">
        <v>44368</v>
      </c>
      <c r="C595" s="1" t="n">
        <v>46001</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51570-2023</t>
        </is>
      </c>
      <c r="B596" s="1" t="n">
        <v>45222</v>
      </c>
      <c r="C596" s="1" t="n">
        <v>46001</v>
      </c>
      <c r="D596" t="inlineStr">
        <is>
          <t>DALARNAS LÄN</t>
        </is>
      </c>
      <c r="E596" t="inlineStr">
        <is>
          <t>MORA</t>
        </is>
      </c>
      <c r="G596" t="n">
        <v>10.1</v>
      </c>
      <c r="H596" t="n">
        <v>0</v>
      </c>
      <c r="I596" t="n">
        <v>0</v>
      </c>
      <c r="J596" t="n">
        <v>0</v>
      </c>
      <c r="K596" t="n">
        <v>0</v>
      </c>
      <c r="L596" t="n">
        <v>0</v>
      </c>
      <c r="M596" t="n">
        <v>0</v>
      </c>
      <c r="N596" t="n">
        <v>0</v>
      </c>
      <c r="O596" t="n">
        <v>0</v>
      </c>
      <c r="P596" t="n">
        <v>0</v>
      </c>
      <c r="Q596" t="n">
        <v>0</v>
      </c>
      <c r="R596" s="2" t="inlineStr"/>
    </row>
    <row r="597" ht="15" customHeight="1">
      <c r="A597" t="inlineStr">
        <is>
          <t>A 32261-2022</t>
        </is>
      </c>
      <c r="B597" s="1" t="n">
        <v>44781.5350925926</v>
      </c>
      <c r="C597" s="1" t="n">
        <v>46001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46001</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18806-2025</t>
        </is>
      </c>
      <c r="B599" s="1" t="n">
        <v>45764.35269675926</v>
      </c>
      <c r="C599" s="1" t="n">
        <v>46001</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17163-2025</t>
        </is>
      </c>
      <c r="B600" s="1" t="n">
        <v>45756.35998842592</v>
      </c>
      <c r="C600" s="1" t="n">
        <v>46001</v>
      </c>
      <c r="D600" t="inlineStr">
        <is>
          <t>DALARNAS LÄN</t>
        </is>
      </c>
      <c r="E600" t="inlineStr">
        <is>
          <t>MORA</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46001</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54253-2023</t>
        </is>
      </c>
      <c r="B602" s="1" t="n">
        <v>45232.63217592592</v>
      </c>
      <c r="C602" s="1" t="n">
        <v>46001</v>
      </c>
      <c r="D602" t="inlineStr">
        <is>
          <t>DALARNAS LÄN</t>
        </is>
      </c>
      <c r="E602" t="inlineStr">
        <is>
          <t>MORA</t>
        </is>
      </c>
      <c r="G602" t="n">
        <v>4.5</v>
      </c>
      <c r="H602" t="n">
        <v>0</v>
      </c>
      <c r="I602" t="n">
        <v>0</v>
      </c>
      <c r="J602" t="n">
        <v>0</v>
      </c>
      <c r="K602" t="n">
        <v>0</v>
      </c>
      <c r="L602" t="n">
        <v>0</v>
      </c>
      <c r="M602" t="n">
        <v>0</v>
      </c>
      <c r="N602" t="n">
        <v>0</v>
      </c>
      <c r="O602" t="n">
        <v>0</v>
      </c>
      <c r="P602" t="n">
        <v>0</v>
      </c>
      <c r="Q602" t="n">
        <v>0</v>
      </c>
      <c r="R602" s="2" t="inlineStr"/>
    </row>
    <row r="603" ht="15" customHeight="1">
      <c r="A603" t="inlineStr">
        <is>
          <t>A 44817-2023</t>
        </is>
      </c>
      <c r="B603" s="1" t="n">
        <v>45190.51887731482</v>
      </c>
      <c r="C603" s="1" t="n">
        <v>46001</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17865-2025</t>
        </is>
      </c>
      <c r="B604" s="1" t="n">
        <v>45758.62951388889</v>
      </c>
      <c r="C604" s="1" t="n">
        <v>46001</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45756.36844907407</v>
      </c>
      <c r="C605" s="1" t="n">
        <v>46001</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17176-2025</t>
        </is>
      </c>
      <c r="B606" s="1" t="n">
        <v>45756.37520833333</v>
      </c>
      <c r="C606" s="1" t="n">
        <v>46001</v>
      </c>
      <c r="D606" t="inlineStr">
        <is>
          <t>DALARNAS LÄN</t>
        </is>
      </c>
      <c r="E606" t="inlineStr">
        <is>
          <t>MORA</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57999-2023</t>
        </is>
      </c>
      <c r="B607" s="1" t="n">
        <v>45247</v>
      </c>
      <c r="C607" s="1" t="n">
        <v>46001</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57319-2023</t>
        </is>
      </c>
      <c r="B608" s="1" t="n">
        <v>45245.64877314815</v>
      </c>
      <c r="C608" s="1" t="n">
        <v>46001</v>
      </c>
      <c r="D608" t="inlineStr">
        <is>
          <t>DALARNAS LÄN</t>
        </is>
      </c>
      <c r="E608" t="inlineStr">
        <is>
          <t>MORA</t>
        </is>
      </c>
      <c r="G608" t="n">
        <v>2</v>
      </c>
      <c r="H608" t="n">
        <v>0</v>
      </c>
      <c r="I608" t="n">
        <v>0</v>
      </c>
      <c r="J608" t="n">
        <v>0</v>
      </c>
      <c r="K608" t="n">
        <v>0</v>
      </c>
      <c r="L608" t="n">
        <v>0</v>
      </c>
      <c r="M608" t="n">
        <v>0</v>
      </c>
      <c r="N608" t="n">
        <v>0</v>
      </c>
      <c r="O608" t="n">
        <v>0</v>
      </c>
      <c r="P608" t="n">
        <v>0</v>
      </c>
      <c r="Q608" t="n">
        <v>0</v>
      </c>
      <c r="R608" s="2" t="inlineStr"/>
    </row>
    <row r="609" ht="15" customHeight="1">
      <c r="A609" t="inlineStr">
        <is>
          <t>A 62853-2023</t>
        </is>
      </c>
      <c r="B609" s="1" t="n">
        <v>45272</v>
      </c>
      <c r="C609" s="1" t="n">
        <v>46001</v>
      </c>
      <c r="D609" t="inlineStr">
        <is>
          <t>DALARNAS LÄN</t>
        </is>
      </c>
      <c r="E609" t="inlineStr">
        <is>
          <t>MORA</t>
        </is>
      </c>
      <c r="G609" t="n">
        <v>13.6</v>
      </c>
      <c r="H609" t="n">
        <v>0</v>
      </c>
      <c r="I609" t="n">
        <v>0</v>
      </c>
      <c r="J609" t="n">
        <v>0</v>
      </c>
      <c r="K609" t="n">
        <v>0</v>
      </c>
      <c r="L609" t="n">
        <v>0</v>
      </c>
      <c r="M609" t="n">
        <v>0</v>
      </c>
      <c r="N609" t="n">
        <v>0</v>
      </c>
      <c r="O609" t="n">
        <v>0</v>
      </c>
      <c r="P609" t="n">
        <v>0</v>
      </c>
      <c r="Q609" t="n">
        <v>0</v>
      </c>
      <c r="R609" s="2" t="inlineStr"/>
    </row>
    <row r="610" ht="15" customHeight="1">
      <c r="A610" t="inlineStr">
        <is>
          <t>A 43826-2022</t>
        </is>
      </c>
      <c r="B610" s="1" t="n">
        <v>44838</v>
      </c>
      <c r="C610" s="1" t="n">
        <v>46001</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29754-2022</t>
        </is>
      </c>
      <c r="B611" s="1" t="n">
        <v>44755.59188657408</v>
      </c>
      <c r="C611" s="1" t="n">
        <v>46001</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36579-2022</t>
        </is>
      </c>
      <c r="B612" s="1" t="n">
        <v>44804.61636574074</v>
      </c>
      <c r="C612" s="1" t="n">
        <v>46001</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3531-2024</t>
        </is>
      </c>
      <c r="B613" s="1" t="n">
        <v>45320</v>
      </c>
      <c r="C613" s="1" t="n">
        <v>46001</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c r="U613">
        <f>HYPERLINK("https://klasma.github.io/Logging_2062/knärot/A 3531-2024 karta knärot.png", "A 3531-2024")</f>
        <v/>
      </c>
      <c r="V613">
        <f>HYPERLINK("https://klasma.github.io/Logging_2062/klagomål/A 3531-2024 FSC-klagomål.docx", "A 3531-2024")</f>
        <v/>
      </c>
      <c r="W613">
        <f>HYPERLINK("https://klasma.github.io/Logging_2062/klagomålsmail/A 3531-2024 FSC-klagomål mail.docx", "A 3531-2024")</f>
        <v/>
      </c>
      <c r="X613">
        <f>HYPERLINK("https://klasma.github.io/Logging_2062/tillsyn/A 3531-2024 tillsynsbegäran.docx", "A 3531-2024")</f>
        <v/>
      </c>
      <c r="Y613">
        <f>HYPERLINK("https://klasma.github.io/Logging_2062/tillsynsmail/A 3531-2024 tillsynsbegäran mail.docx", "A 3531-2024")</f>
        <v/>
      </c>
    </row>
    <row r="614" ht="15" customHeight="1">
      <c r="A614" t="inlineStr">
        <is>
          <t>A 39009-2023</t>
        </is>
      </c>
      <c r="B614" s="1" t="n">
        <v>45162</v>
      </c>
      <c r="C614" s="1" t="n">
        <v>46001</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44769-2021</t>
        </is>
      </c>
      <c r="B615" s="1" t="n">
        <v>44438</v>
      </c>
      <c r="C615" s="1" t="n">
        <v>46001</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28487-2024</t>
        </is>
      </c>
      <c r="B616" s="1" t="n">
        <v>45477.75744212963</v>
      </c>
      <c r="C616" s="1" t="n">
        <v>46001</v>
      </c>
      <c r="D616" t="inlineStr">
        <is>
          <t>DALARNAS LÄN</t>
        </is>
      </c>
      <c r="E616" t="inlineStr">
        <is>
          <t>MORA</t>
        </is>
      </c>
      <c r="G616" t="n">
        <v>3.1</v>
      </c>
      <c r="H616" t="n">
        <v>0</v>
      </c>
      <c r="I616" t="n">
        <v>0</v>
      </c>
      <c r="J616" t="n">
        <v>0</v>
      </c>
      <c r="K616" t="n">
        <v>0</v>
      </c>
      <c r="L616" t="n">
        <v>0</v>
      </c>
      <c r="M616" t="n">
        <v>0</v>
      </c>
      <c r="N616" t="n">
        <v>0</v>
      </c>
      <c r="O616" t="n">
        <v>0</v>
      </c>
      <c r="P616" t="n">
        <v>0</v>
      </c>
      <c r="Q616" t="n">
        <v>0</v>
      </c>
      <c r="R616" s="2" t="inlineStr"/>
    </row>
    <row r="617" ht="15" customHeight="1">
      <c r="A617" t="inlineStr">
        <is>
          <t>A 48728-2022</t>
        </is>
      </c>
      <c r="B617" s="1" t="n">
        <v>44859.52145833334</v>
      </c>
      <c r="C617" s="1" t="n">
        <v>46001</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46001</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60526-2023</t>
        </is>
      </c>
      <c r="B619" s="1" t="n">
        <v>45259</v>
      </c>
      <c r="C619" s="1" t="n">
        <v>46001</v>
      </c>
      <c r="D619" t="inlineStr">
        <is>
          <t>DALARNAS LÄN</t>
        </is>
      </c>
      <c r="E619" t="inlineStr">
        <is>
          <t>MORA</t>
        </is>
      </c>
      <c r="G619" t="n">
        <v>6.7</v>
      </c>
      <c r="H619" t="n">
        <v>0</v>
      </c>
      <c r="I619" t="n">
        <v>0</v>
      </c>
      <c r="J619" t="n">
        <v>0</v>
      </c>
      <c r="K619" t="n">
        <v>0</v>
      </c>
      <c r="L619" t="n">
        <v>0</v>
      </c>
      <c r="M619" t="n">
        <v>0</v>
      </c>
      <c r="N619" t="n">
        <v>0</v>
      </c>
      <c r="O619" t="n">
        <v>0</v>
      </c>
      <c r="P619" t="n">
        <v>0</v>
      </c>
      <c r="Q619" t="n">
        <v>0</v>
      </c>
      <c r="R619" s="2" t="inlineStr"/>
    </row>
    <row r="620" ht="15" customHeight="1">
      <c r="A620" t="inlineStr">
        <is>
          <t>A 63958-2023</t>
        </is>
      </c>
      <c r="B620" s="1" t="n">
        <v>45278</v>
      </c>
      <c r="C620" s="1" t="n">
        <v>46001</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52908-2023</t>
        </is>
      </c>
      <c r="B621" s="1" t="n">
        <v>45226.49950231481</v>
      </c>
      <c r="C621" s="1" t="n">
        <v>46001</v>
      </c>
      <c r="D621" t="inlineStr">
        <is>
          <t>DALARNAS LÄN</t>
        </is>
      </c>
      <c r="E621" t="inlineStr">
        <is>
          <t>MORA</t>
        </is>
      </c>
      <c r="G621" t="n">
        <v>3.3</v>
      </c>
      <c r="H621" t="n">
        <v>0</v>
      </c>
      <c r="I621" t="n">
        <v>0</v>
      </c>
      <c r="J621" t="n">
        <v>0</v>
      </c>
      <c r="K621" t="n">
        <v>0</v>
      </c>
      <c r="L621" t="n">
        <v>0</v>
      </c>
      <c r="M621" t="n">
        <v>0</v>
      </c>
      <c r="N621" t="n">
        <v>0</v>
      </c>
      <c r="O621" t="n">
        <v>0</v>
      </c>
      <c r="P621" t="n">
        <v>0</v>
      </c>
      <c r="Q621" t="n">
        <v>0</v>
      </c>
      <c r="R621" s="2" t="inlineStr"/>
    </row>
    <row r="622" ht="15" customHeight="1">
      <c r="A622" t="inlineStr">
        <is>
          <t>A 19896-2021</t>
        </is>
      </c>
      <c r="B622" s="1" t="n">
        <v>44313.54942129629</v>
      </c>
      <c r="C622" s="1" t="n">
        <v>46001</v>
      </c>
      <c r="D622" t="inlineStr">
        <is>
          <t>DALARNAS LÄN</t>
        </is>
      </c>
      <c r="E622" t="inlineStr">
        <is>
          <t>MORA</t>
        </is>
      </c>
      <c r="G622" t="n">
        <v>1.8</v>
      </c>
      <c r="H622" t="n">
        <v>0</v>
      </c>
      <c r="I622" t="n">
        <v>0</v>
      </c>
      <c r="J622" t="n">
        <v>0</v>
      </c>
      <c r="K622" t="n">
        <v>0</v>
      </c>
      <c r="L622" t="n">
        <v>0</v>
      </c>
      <c r="M622" t="n">
        <v>0</v>
      </c>
      <c r="N622" t="n">
        <v>0</v>
      </c>
      <c r="O622" t="n">
        <v>0</v>
      </c>
      <c r="P622" t="n">
        <v>0</v>
      </c>
      <c r="Q622" t="n">
        <v>0</v>
      </c>
      <c r="R622" s="2" t="inlineStr"/>
    </row>
    <row r="623" ht="15" customHeight="1">
      <c r="A623" t="inlineStr">
        <is>
          <t>A 51253-2023</t>
        </is>
      </c>
      <c r="B623" s="1" t="n">
        <v>45219</v>
      </c>
      <c r="C623" s="1" t="n">
        <v>46001</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58116-2022</t>
        </is>
      </c>
      <c r="B624" s="1" t="n">
        <v>44900.65716435185</v>
      </c>
      <c r="C624" s="1" t="n">
        <v>46001</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33666-2024</t>
        </is>
      </c>
      <c r="B625" s="1" t="n">
        <v>45520.48304398148</v>
      </c>
      <c r="C625" s="1" t="n">
        <v>46001</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42941-2024</t>
        </is>
      </c>
      <c r="B626" s="1" t="n">
        <v>45567.3515162037</v>
      </c>
      <c r="C626" s="1" t="n">
        <v>46001</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46001</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53341-2023</t>
        </is>
      </c>
      <c r="B628" s="1" t="n">
        <v>45229</v>
      </c>
      <c r="C628" s="1" t="n">
        <v>46001</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5001-2025</t>
        </is>
      </c>
      <c r="B629" s="1" t="n">
        <v>45691.36403935185</v>
      </c>
      <c r="C629" s="1" t="n">
        <v>46001</v>
      </c>
      <c r="D629" t="inlineStr">
        <is>
          <t>DALARNAS LÄN</t>
        </is>
      </c>
      <c r="E629" t="inlineStr">
        <is>
          <t>MORA</t>
        </is>
      </c>
      <c r="G629" t="n">
        <v>1.3</v>
      </c>
      <c r="H629" t="n">
        <v>0</v>
      </c>
      <c r="I629" t="n">
        <v>0</v>
      </c>
      <c r="J629" t="n">
        <v>0</v>
      </c>
      <c r="K629" t="n">
        <v>0</v>
      </c>
      <c r="L629" t="n">
        <v>0</v>
      </c>
      <c r="M629" t="n">
        <v>0</v>
      </c>
      <c r="N629" t="n">
        <v>0</v>
      </c>
      <c r="O629" t="n">
        <v>0</v>
      </c>
      <c r="P629" t="n">
        <v>0</v>
      </c>
      <c r="Q629" t="n">
        <v>0</v>
      </c>
      <c r="R629" s="2" t="inlineStr"/>
    </row>
    <row r="630" ht="15" customHeight="1">
      <c r="A630" t="inlineStr">
        <is>
          <t>A 54903-2024</t>
        </is>
      </c>
      <c r="B630" s="1" t="n">
        <v>45618</v>
      </c>
      <c r="C630" s="1" t="n">
        <v>46001</v>
      </c>
      <c r="D630" t="inlineStr">
        <is>
          <t>DALARNAS LÄN</t>
        </is>
      </c>
      <c r="E630" t="inlineStr">
        <is>
          <t>MORA</t>
        </is>
      </c>
      <c r="G630" t="n">
        <v>28.2</v>
      </c>
      <c r="H630" t="n">
        <v>0</v>
      </c>
      <c r="I630" t="n">
        <v>0</v>
      </c>
      <c r="J630" t="n">
        <v>0</v>
      </c>
      <c r="K630" t="n">
        <v>0</v>
      </c>
      <c r="L630" t="n">
        <v>0</v>
      </c>
      <c r="M630" t="n">
        <v>0</v>
      </c>
      <c r="N630" t="n">
        <v>0</v>
      </c>
      <c r="O630" t="n">
        <v>0</v>
      </c>
      <c r="P630" t="n">
        <v>0</v>
      </c>
      <c r="Q630" t="n">
        <v>0</v>
      </c>
      <c r="R630" s="2" t="inlineStr"/>
    </row>
    <row r="631" ht="15" customHeight="1">
      <c r="A631" t="inlineStr">
        <is>
          <t>A 14040-2023</t>
        </is>
      </c>
      <c r="B631" s="1" t="n">
        <v>45008.64575231481</v>
      </c>
      <c r="C631" s="1" t="n">
        <v>46001</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55331-2022</t>
        </is>
      </c>
      <c r="B632" s="1" t="n">
        <v>44887.43714120371</v>
      </c>
      <c r="C632" s="1" t="n">
        <v>46001</v>
      </c>
      <c r="D632" t="inlineStr">
        <is>
          <t>DALARNAS LÄN</t>
        </is>
      </c>
      <c r="E632" t="inlineStr">
        <is>
          <t>MORA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46001</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11919-2024</t>
        </is>
      </c>
      <c r="B634" s="1" t="n">
        <v>45376.61019675926</v>
      </c>
      <c r="C634" s="1" t="n">
        <v>46001</v>
      </c>
      <c r="D634" t="inlineStr">
        <is>
          <t>DALARNAS LÄN</t>
        </is>
      </c>
      <c r="E634" t="inlineStr">
        <is>
          <t>MORA</t>
        </is>
      </c>
      <c r="G634" t="n">
        <v>3.5</v>
      </c>
      <c r="H634" t="n">
        <v>0</v>
      </c>
      <c r="I634" t="n">
        <v>0</v>
      </c>
      <c r="J634" t="n">
        <v>0</v>
      </c>
      <c r="K634" t="n">
        <v>0</v>
      </c>
      <c r="L634" t="n">
        <v>0</v>
      </c>
      <c r="M634" t="n">
        <v>0</v>
      </c>
      <c r="N634" t="n">
        <v>0</v>
      </c>
      <c r="O634" t="n">
        <v>0</v>
      </c>
      <c r="P634" t="n">
        <v>0</v>
      </c>
      <c r="Q634" t="n">
        <v>0</v>
      </c>
      <c r="R634" s="2" t="inlineStr"/>
    </row>
    <row r="635" ht="15" customHeight="1">
      <c r="A635" t="inlineStr">
        <is>
          <t>A 45315-2024</t>
        </is>
      </c>
      <c r="B635" s="1" t="n">
        <v>45576.43782407408</v>
      </c>
      <c r="C635" s="1" t="n">
        <v>46001</v>
      </c>
      <c r="D635" t="inlineStr">
        <is>
          <t>DALARNAS LÄN</t>
        </is>
      </c>
      <c r="E635" t="inlineStr">
        <is>
          <t>MORA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17529-2023</t>
        </is>
      </c>
      <c r="B636" s="1" t="n">
        <v>45036.46804398148</v>
      </c>
      <c r="C636" s="1" t="n">
        <v>46001</v>
      </c>
      <c r="D636" t="inlineStr">
        <is>
          <t>DALARNAS LÄN</t>
        </is>
      </c>
      <c r="E636" t="inlineStr">
        <is>
          <t>MORA</t>
        </is>
      </c>
      <c r="G636" t="n">
        <v>6</v>
      </c>
      <c r="H636" t="n">
        <v>0</v>
      </c>
      <c r="I636" t="n">
        <v>0</v>
      </c>
      <c r="J636" t="n">
        <v>0</v>
      </c>
      <c r="K636" t="n">
        <v>0</v>
      </c>
      <c r="L636" t="n">
        <v>0</v>
      </c>
      <c r="M636" t="n">
        <v>0</v>
      </c>
      <c r="N636" t="n">
        <v>0</v>
      </c>
      <c r="O636" t="n">
        <v>0</v>
      </c>
      <c r="P636" t="n">
        <v>0</v>
      </c>
      <c r="Q636" t="n">
        <v>0</v>
      </c>
      <c r="R636" s="2" t="inlineStr"/>
    </row>
    <row r="637" ht="15" customHeight="1">
      <c r="A637" t="inlineStr">
        <is>
          <t>A 4209-2023</t>
        </is>
      </c>
      <c r="B637" s="1" t="n">
        <v>44953</v>
      </c>
      <c r="C637" s="1" t="n">
        <v>46001</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8146-2021</t>
        </is>
      </c>
      <c r="B638" s="1" t="n">
        <v>44244</v>
      </c>
      <c r="C638" s="1" t="n">
        <v>46001</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39344-2024</t>
        </is>
      </c>
      <c r="B639" s="1" t="n">
        <v>45551.44503472222</v>
      </c>
      <c r="C639" s="1" t="n">
        <v>46001</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26314-2021</t>
        </is>
      </c>
      <c r="B640" s="1" t="n">
        <v>44347</v>
      </c>
      <c r="C640" s="1" t="n">
        <v>46001</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60051-2022</t>
        </is>
      </c>
      <c r="B641" s="1" t="n">
        <v>44909.52385416667</v>
      </c>
      <c r="C641" s="1" t="n">
        <v>46001</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48390-2024</t>
        </is>
      </c>
      <c r="B642" s="1" t="n">
        <v>45590.60216435185</v>
      </c>
      <c r="C642" s="1" t="n">
        <v>46001</v>
      </c>
      <c r="D642" t="inlineStr">
        <is>
          <t>DALARNAS LÄN</t>
        </is>
      </c>
      <c r="E642" t="inlineStr">
        <is>
          <t>MORA</t>
        </is>
      </c>
      <c r="G642" t="n">
        <v>5</v>
      </c>
      <c r="H642" t="n">
        <v>0</v>
      </c>
      <c r="I642" t="n">
        <v>0</v>
      </c>
      <c r="J642" t="n">
        <v>0</v>
      </c>
      <c r="K642" t="n">
        <v>0</v>
      </c>
      <c r="L642" t="n">
        <v>0</v>
      </c>
      <c r="M642" t="n">
        <v>0</v>
      </c>
      <c r="N642" t="n">
        <v>0</v>
      </c>
      <c r="O642" t="n">
        <v>0</v>
      </c>
      <c r="P642" t="n">
        <v>0</v>
      </c>
      <c r="Q642" t="n">
        <v>0</v>
      </c>
      <c r="R642" s="2" t="inlineStr"/>
    </row>
    <row r="643" ht="15" customHeight="1">
      <c r="A643" t="inlineStr">
        <is>
          <t>A 55671-2024</t>
        </is>
      </c>
      <c r="B643" s="1" t="n">
        <v>45622.65269675926</v>
      </c>
      <c r="C643" s="1" t="n">
        <v>46001</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4208-2023</t>
        </is>
      </c>
      <c r="B644" s="1" t="n">
        <v>44953</v>
      </c>
      <c r="C644" s="1" t="n">
        <v>46001</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4210-2023</t>
        </is>
      </c>
      <c r="B645" s="1" t="n">
        <v>44953.44965277778</v>
      </c>
      <c r="C645" s="1" t="n">
        <v>46001</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5491-2023</t>
        </is>
      </c>
      <c r="B646" s="1" t="n">
        <v>44957</v>
      </c>
      <c r="C646" s="1" t="n">
        <v>46001</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5493-2023</t>
        </is>
      </c>
      <c r="B647" s="1" t="n">
        <v>44957</v>
      </c>
      <c r="C647" s="1" t="n">
        <v>46001</v>
      </c>
      <c r="D647" t="inlineStr">
        <is>
          <t>DALARNAS LÄN</t>
        </is>
      </c>
      <c r="E647" t="inlineStr">
        <is>
          <t>MORA</t>
        </is>
      </c>
      <c r="F647" t="inlineStr">
        <is>
          <t>Allmännings- och besparingsskogar</t>
        </is>
      </c>
      <c r="G647" t="n">
        <v>14.9</v>
      </c>
      <c r="H647" t="n">
        <v>0</v>
      </c>
      <c r="I647" t="n">
        <v>0</v>
      </c>
      <c r="J647" t="n">
        <v>0</v>
      </c>
      <c r="K647" t="n">
        <v>0</v>
      </c>
      <c r="L647" t="n">
        <v>0</v>
      </c>
      <c r="M647" t="n">
        <v>0</v>
      </c>
      <c r="N647" t="n">
        <v>0</v>
      </c>
      <c r="O647" t="n">
        <v>0</v>
      </c>
      <c r="P647" t="n">
        <v>0</v>
      </c>
      <c r="Q647" t="n">
        <v>0</v>
      </c>
      <c r="R647" s="2" t="inlineStr"/>
    </row>
    <row r="648" ht="15" customHeight="1">
      <c r="A648" t="inlineStr">
        <is>
          <t>A 9554-2025</t>
        </is>
      </c>
      <c r="B648" s="1" t="n">
        <v>45715.59936342593</v>
      </c>
      <c r="C648" s="1" t="n">
        <v>46001</v>
      </c>
      <c r="D648" t="inlineStr">
        <is>
          <t>DALARNAS LÄN</t>
        </is>
      </c>
      <c r="E648" t="inlineStr">
        <is>
          <t>MORA</t>
        </is>
      </c>
      <c r="G648" t="n">
        <v>0.9</v>
      </c>
      <c r="H648" t="n">
        <v>0</v>
      </c>
      <c r="I648" t="n">
        <v>0</v>
      </c>
      <c r="J648" t="n">
        <v>0</v>
      </c>
      <c r="K648" t="n">
        <v>0</v>
      </c>
      <c r="L648" t="n">
        <v>0</v>
      </c>
      <c r="M648" t="n">
        <v>0</v>
      </c>
      <c r="N648" t="n">
        <v>0</v>
      </c>
      <c r="O648" t="n">
        <v>0</v>
      </c>
      <c r="P648" t="n">
        <v>0</v>
      </c>
      <c r="Q648" t="n">
        <v>0</v>
      </c>
      <c r="R648" s="2" t="inlineStr"/>
    </row>
    <row r="649" ht="15" customHeight="1">
      <c r="A649" t="inlineStr">
        <is>
          <t>A 11463-2024</t>
        </is>
      </c>
      <c r="B649" s="1" t="n">
        <v>45372.58969907407</v>
      </c>
      <c r="C649" s="1" t="n">
        <v>46001</v>
      </c>
      <c r="D649" t="inlineStr">
        <is>
          <t>DALARNAS LÄN</t>
        </is>
      </c>
      <c r="E649" t="inlineStr">
        <is>
          <t>MORA</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27975-2023</t>
        </is>
      </c>
      <c r="B650" s="1" t="n">
        <v>45098</v>
      </c>
      <c r="C650" s="1" t="n">
        <v>46001</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5769-2025</t>
        </is>
      </c>
      <c r="B651" s="1" t="n">
        <v>45694.59288194445</v>
      </c>
      <c r="C651" s="1" t="n">
        <v>46001</v>
      </c>
      <c r="D651" t="inlineStr">
        <is>
          <t>DALARNAS LÄN</t>
        </is>
      </c>
      <c r="E651" t="inlineStr">
        <is>
          <t>MORA</t>
        </is>
      </c>
      <c r="G651" t="n">
        <v>15.7</v>
      </c>
      <c r="H651" t="n">
        <v>0</v>
      </c>
      <c r="I651" t="n">
        <v>0</v>
      </c>
      <c r="J651" t="n">
        <v>0</v>
      </c>
      <c r="K651" t="n">
        <v>0</v>
      </c>
      <c r="L651" t="n">
        <v>0</v>
      </c>
      <c r="M651" t="n">
        <v>0</v>
      </c>
      <c r="N651" t="n">
        <v>0</v>
      </c>
      <c r="O651" t="n">
        <v>0</v>
      </c>
      <c r="P651" t="n">
        <v>0</v>
      </c>
      <c r="Q651" t="n">
        <v>0</v>
      </c>
      <c r="R651" s="2" t="inlineStr"/>
    </row>
    <row r="652" ht="15" customHeight="1">
      <c r="A652" t="inlineStr">
        <is>
          <t>A 59101-2024</t>
        </is>
      </c>
      <c r="B652" s="1" t="n">
        <v>45637.34074074074</v>
      </c>
      <c r="C652" s="1" t="n">
        <v>46001</v>
      </c>
      <c r="D652" t="inlineStr">
        <is>
          <t>DALARNAS LÄN</t>
        </is>
      </c>
      <c r="E652" t="inlineStr">
        <is>
          <t>MORA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43874-2024</t>
        </is>
      </c>
      <c r="B653" s="1" t="n">
        <v>45572.38476851852</v>
      </c>
      <c r="C653" s="1" t="n">
        <v>46001</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57903-2022</t>
        </is>
      </c>
      <c r="B654" s="1" t="n">
        <v>44900.3521412037</v>
      </c>
      <c r="C654" s="1" t="n">
        <v>46001</v>
      </c>
      <c r="D654" t="inlineStr">
        <is>
          <t>DALARNAS LÄN</t>
        </is>
      </c>
      <c r="E654" t="inlineStr">
        <is>
          <t>MORA</t>
        </is>
      </c>
      <c r="G654" t="n">
        <v>4.3</v>
      </c>
      <c r="H654" t="n">
        <v>0</v>
      </c>
      <c r="I654" t="n">
        <v>0</v>
      </c>
      <c r="J654" t="n">
        <v>0</v>
      </c>
      <c r="K654" t="n">
        <v>0</v>
      </c>
      <c r="L654" t="n">
        <v>0</v>
      </c>
      <c r="M654" t="n">
        <v>0</v>
      </c>
      <c r="N654" t="n">
        <v>0</v>
      </c>
      <c r="O654" t="n">
        <v>0</v>
      </c>
      <c r="P654" t="n">
        <v>0</v>
      </c>
      <c r="Q654" t="n">
        <v>0</v>
      </c>
      <c r="R654" s="2" t="inlineStr"/>
    </row>
    <row r="655" ht="15" customHeight="1">
      <c r="A655" t="inlineStr">
        <is>
          <t>A 24169-2022</t>
        </is>
      </c>
      <c r="B655" s="1" t="n">
        <v>44725.50280092593</v>
      </c>
      <c r="C655" s="1" t="n">
        <v>46001</v>
      </c>
      <c r="D655" t="inlineStr">
        <is>
          <t>DALARNAS LÄN</t>
        </is>
      </c>
      <c r="E655" t="inlineStr">
        <is>
          <t>MORA</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65186-2021</t>
        </is>
      </c>
      <c r="B656" s="1" t="n">
        <v>44515</v>
      </c>
      <c r="C656" s="1" t="n">
        <v>46001</v>
      </c>
      <c r="D656" t="inlineStr">
        <is>
          <t>DALARNAS LÄN</t>
        </is>
      </c>
      <c r="E656" t="inlineStr">
        <is>
          <t>MORA</t>
        </is>
      </c>
      <c r="G656" t="n">
        <v>1.4</v>
      </c>
      <c r="H656" t="n">
        <v>0</v>
      </c>
      <c r="I656" t="n">
        <v>0</v>
      </c>
      <c r="J656" t="n">
        <v>0</v>
      </c>
      <c r="K656" t="n">
        <v>0</v>
      </c>
      <c r="L656" t="n">
        <v>0</v>
      </c>
      <c r="M656" t="n">
        <v>0</v>
      </c>
      <c r="N656" t="n">
        <v>0</v>
      </c>
      <c r="O656" t="n">
        <v>0</v>
      </c>
      <c r="P656" t="n">
        <v>0</v>
      </c>
      <c r="Q656" t="n">
        <v>0</v>
      </c>
      <c r="R656" s="2" t="inlineStr"/>
    </row>
    <row r="657" ht="15" customHeight="1">
      <c r="A657" t="inlineStr">
        <is>
          <t>A 58892-2023</t>
        </is>
      </c>
      <c r="B657" s="1" t="n">
        <v>45252.48592592592</v>
      </c>
      <c r="C657" s="1" t="n">
        <v>46001</v>
      </c>
      <c r="D657" t="inlineStr">
        <is>
          <t>DALARNAS LÄN</t>
        </is>
      </c>
      <c r="E657" t="inlineStr">
        <is>
          <t>MORA</t>
        </is>
      </c>
      <c r="G657" t="n">
        <v>2.2</v>
      </c>
      <c r="H657" t="n">
        <v>0</v>
      </c>
      <c r="I657" t="n">
        <v>0</v>
      </c>
      <c r="J657" t="n">
        <v>0</v>
      </c>
      <c r="K657" t="n">
        <v>0</v>
      </c>
      <c r="L657" t="n">
        <v>0</v>
      </c>
      <c r="M657" t="n">
        <v>0</v>
      </c>
      <c r="N657" t="n">
        <v>0</v>
      </c>
      <c r="O657" t="n">
        <v>0</v>
      </c>
      <c r="P657" t="n">
        <v>0</v>
      </c>
      <c r="Q657" t="n">
        <v>0</v>
      </c>
      <c r="R657" s="2" t="inlineStr"/>
    </row>
    <row r="658" ht="15" customHeight="1">
      <c r="A658" t="inlineStr">
        <is>
          <t>A 11442-2022</t>
        </is>
      </c>
      <c r="B658" s="1" t="n">
        <v>44630.62788194444</v>
      </c>
      <c r="C658" s="1" t="n">
        <v>46001</v>
      </c>
      <c r="D658" t="inlineStr">
        <is>
          <t>DALARNAS LÄN</t>
        </is>
      </c>
      <c r="E658" t="inlineStr">
        <is>
          <t>MORA</t>
        </is>
      </c>
      <c r="G658" t="n">
        <v>0.5</v>
      </c>
      <c r="H658" t="n">
        <v>0</v>
      </c>
      <c r="I658" t="n">
        <v>0</v>
      </c>
      <c r="J658" t="n">
        <v>0</v>
      </c>
      <c r="K658" t="n">
        <v>0</v>
      </c>
      <c r="L658" t="n">
        <v>0</v>
      </c>
      <c r="M658" t="n">
        <v>0</v>
      </c>
      <c r="N658" t="n">
        <v>0</v>
      </c>
      <c r="O658" t="n">
        <v>0</v>
      </c>
      <c r="P658" t="n">
        <v>0</v>
      </c>
      <c r="Q658" t="n">
        <v>0</v>
      </c>
      <c r="R658" s="2" t="inlineStr"/>
    </row>
    <row r="659" ht="15" customHeight="1">
      <c r="A659" t="inlineStr">
        <is>
          <t>A 6183-2024</t>
        </is>
      </c>
      <c r="B659" s="1" t="n">
        <v>45337.54135416666</v>
      </c>
      <c r="C659" s="1" t="n">
        <v>46001</v>
      </c>
      <c r="D659" t="inlineStr">
        <is>
          <t>DALARNAS LÄN</t>
        </is>
      </c>
      <c r="E659" t="inlineStr">
        <is>
          <t>MORA</t>
        </is>
      </c>
      <c r="G659" t="n">
        <v>7.9</v>
      </c>
      <c r="H659" t="n">
        <v>0</v>
      </c>
      <c r="I659" t="n">
        <v>0</v>
      </c>
      <c r="J659" t="n">
        <v>0</v>
      </c>
      <c r="K659" t="n">
        <v>0</v>
      </c>
      <c r="L659" t="n">
        <v>0</v>
      </c>
      <c r="M659" t="n">
        <v>0</v>
      </c>
      <c r="N659" t="n">
        <v>0</v>
      </c>
      <c r="O659" t="n">
        <v>0</v>
      </c>
      <c r="P659" t="n">
        <v>0</v>
      </c>
      <c r="Q659" t="n">
        <v>0</v>
      </c>
      <c r="R659" s="2" t="inlineStr"/>
    </row>
    <row r="660" ht="15" customHeight="1">
      <c r="A660" t="inlineStr">
        <is>
          <t>A 45562-2023</t>
        </is>
      </c>
      <c r="B660" s="1" t="n">
        <v>45194.59378472222</v>
      </c>
      <c r="C660" s="1" t="n">
        <v>46001</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35551-2023</t>
        </is>
      </c>
      <c r="B661" s="1" t="n">
        <v>45147.3934837963</v>
      </c>
      <c r="C661" s="1" t="n">
        <v>46001</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23300-2024</t>
        </is>
      </c>
      <c r="B662" s="1" t="n">
        <v>45453.43695601852</v>
      </c>
      <c r="C662" s="1" t="n">
        <v>46001</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56268-2024</t>
        </is>
      </c>
      <c r="B663" s="1" t="n">
        <v>45624.65785879629</v>
      </c>
      <c r="C663" s="1" t="n">
        <v>46001</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571-2024</t>
        </is>
      </c>
      <c r="B664" s="1" t="n">
        <v>45299</v>
      </c>
      <c r="C664" s="1" t="n">
        <v>46001</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50056-2022</t>
        </is>
      </c>
      <c r="B665" s="1" t="n">
        <v>44865</v>
      </c>
      <c r="C665" s="1" t="n">
        <v>46001</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15499-2024</t>
        </is>
      </c>
      <c r="B666" s="1" t="n">
        <v>45401.53798611111</v>
      </c>
      <c r="C666" s="1" t="n">
        <v>46001</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46001</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39888-2024</t>
        </is>
      </c>
      <c r="B668" s="1" t="n">
        <v>45553.47538194444</v>
      </c>
      <c r="C668" s="1" t="n">
        <v>46001</v>
      </c>
      <c r="D668" t="inlineStr">
        <is>
          <t>DALARNAS LÄN</t>
        </is>
      </c>
      <c r="E668" t="inlineStr">
        <is>
          <t>MORA</t>
        </is>
      </c>
      <c r="G668" t="n">
        <v>5.4</v>
      </c>
      <c r="H668" t="n">
        <v>0</v>
      </c>
      <c r="I668" t="n">
        <v>0</v>
      </c>
      <c r="J668" t="n">
        <v>0</v>
      </c>
      <c r="K668" t="n">
        <v>0</v>
      </c>
      <c r="L668" t="n">
        <v>0</v>
      </c>
      <c r="M668" t="n">
        <v>0</v>
      </c>
      <c r="N668" t="n">
        <v>0</v>
      </c>
      <c r="O668" t="n">
        <v>0</v>
      </c>
      <c r="P668" t="n">
        <v>0</v>
      </c>
      <c r="Q668" t="n">
        <v>0</v>
      </c>
      <c r="R668" s="2" t="inlineStr"/>
    </row>
    <row r="669" ht="15" customHeight="1">
      <c r="A669" t="inlineStr">
        <is>
          <t>A 12828-2023</t>
        </is>
      </c>
      <c r="B669" s="1" t="n">
        <v>45001</v>
      </c>
      <c r="C669" s="1" t="n">
        <v>46001</v>
      </c>
      <c r="D669" t="inlineStr">
        <is>
          <t>DALARNAS LÄN</t>
        </is>
      </c>
      <c r="E669" t="inlineStr">
        <is>
          <t>MORA</t>
        </is>
      </c>
      <c r="F669" t="inlineStr">
        <is>
          <t>Bergvik skog väst AB</t>
        </is>
      </c>
      <c r="G669" t="n">
        <v>5.4</v>
      </c>
      <c r="H669" t="n">
        <v>0</v>
      </c>
      <c r="I669" t="n">
        <v>0</v>
      </c>
      <c r="J669" t="n">
        <v>0</v>
      </c>
      <c r="K669" t="n">
        <v>0</v>
      </c>
      <c r="L669" t="n">
        <v>0</v>
      </c>
      <c r="M669" t="n">
        <v>0</v>
      </c>
      <c r="N669" t="n">
        <v>0</v>
      </c>
      <c r="O669" t="n">
        <v>0</v>
      </c>
      <c r="P669" t="n">
        <v>0</v>
      </c>
      <c r="Q669" t="n">
        <v>0</v>
      </c>
      <c r="R669" s="2" t="inlineStr"/>
    </row>
    <row r="670" ht="15" customHeight="1">
      <c r="A670" t="inlineStr">
        <is>
          <t>A 60099-2024</t>
        </is>
      </c>
      <c r="B670" s="1" t="n">
        <v>45642.55645833333</v>
      </c>
      <c r="C670" s="1" t="n">
        <v>46001</v>
      </c>
      <c r="D670" t="inlineStr">
        <is>
          <t>DALARNAS LÄN</t>
        </is>
      </c>
      <c r="E670" t="inlineStr">
        <is>
          <t>MORA</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53750-2024</t>
        </is>
      </c>
      <c r="B671" s="1" t="n">
        <v>45615.48465277778</v>
      </c>
      <c r="C671" s="1" t="n">
        <v>46001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37971-2024</t>
        </is>
      </c>
      <c r="B672" s="1" t="n">
        <v>45544</v>
      </c>
      <c r="C672" s="1" t="n">
        <v>46001</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18122-2025</t>
        </is>
      </c>
      <c r="B673" s="1" t="n">
        <v>45761.59221064814</v>
      </c>
      <c r="C673" s="1" t="n">
        <v>46001</v>
      </c>
      <c r="D673" t="inlineStr">
        <is>
          <t>DALARNAS LÄN</t>
        </is>
      </c>
      <c r="E673" t="inlineStr">
        <is>
          <t>MORA</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46923-2024</t>
        </is>
      </c>
      <c r="B674" s="1" t="n">
        <v>45584.42887731481</v>
      </c>
      <c r="C674" s="1" t="n">
        <v>46001</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13262-2022</t>
        </is>
      </c>
      <c r="B675" s="1" t="n">
        <v>44644.70184027778</v>
      </c>
      <c r="C675" s="1" t="n">
        <v>46001</v>
      </c>
      <c r="D675" t="inlineStr">
        <is>
          <t>DALARNAS LÄN</t>
        </is>
      </c>
      <c r="E675" t="inlineStr">
        <is>
          <t>MORA</t>
        </is>
      </c>
      <c r="G675" t="n">
        <v>0.8</v>
      </c>
      <c r="H675" t="n">
        <v>0</v>
      </c>
      <c r="I675" t="n">
        <v>0</v>
      </c>
      <c r="J675" t="n">
        <v>0</v>
      </c>
      <c r="K675" t="n">
        <v>0</v>
      </c>
      <c r="L675" t="n">
        <v>0</v>
      </c>
      <c r="M675" t="n">
        <v>0</v>
      </c>
      <c r="N675" t="n">
        <v>0</v>
      </c>
      <c r="O675" t="n">
        <v>0</v>
      </c>
      <c r="P675" t="n">
        <v>0</v>
      </c>
      <c r="Q675" t="n">
        <v>0</v>
      </c>
      <c r="R675" s="2" t="inlineStr"/>
    </row>
    <row r="676" ht="15" customHeight="1">
      <c r="A676" t="inlineStr">
        <is>
          <t>A 47036-2023</t>
        </is>
      </c>
      <c r="B676" s="1" t="n">
        <v>45196</v>
      </c>
      <c r="C676" s="1" t="n">
        <v>46001</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1897-2023</t>
        </is>
      </c>
      <c r="B677" s="1" t="n">
        <v>44937</v>
      </c>
      <c r="C677" s="1" t="n">
        <v>46001</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20549-2025</t>
        </is>
      </c>
      <c r="B678" s="1" t="n">
        <v>45775.63459490741</v>
      </c>
      <c r="C678" s="1" t="n">
        <v>46001</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19193-2025</t>
        </is>
      </c>
      <c r="B679" s="1" t="n">
        <v>45769.42203703704</v>
      </c>
      <c r="C679" s="1" t="n">
        <v>46001</v>
      </c>
      <c r="D679" t="inlineStr">
        <is>
          <t>DALARNAS LÄN</t>
        </is>
      </c>
      <c r="E679" t="inlineStr">
        <is>
          <t>MORA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19814-2025</t>
        </is>
      </c>
      <c r="B680" s="1" t="n">
        <v>45771.45686342593</v>
      </c>
      <c r="C680" s="1" t="n">
        <v>46001</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8100-2024</t>
        </is>
      </c>
      <c r="B681" s="1" t="n">
        <v>45351.46583333334</v>
      </c>
      <c r="C681" s="1" t="n">
        <v>46001</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9855-2024</t>
        </is>
      </c>
      <c r="B682" s="1" t="n">
        <v>45363.40368055556</v>
      </c>
      <c r="C682" s="1" t="n">
        <v>46001</v>
      </c>
      <c r="D682" t="inlineStr">
        <is>
          <t>DALARNAS LÄN</t>
        </is>
      </c>
      <c r="E682" t="inlineStr">
        <is>
          <t>MORA</t>
        </is>
      </c>
      <c r="G682" t="n">
        <v>8.6</v>
      </c>
      <c r="H682" t="n">
        <v>0</v>
      </c>
      <c r="I682" t="n">
        <v>0</v>
      </c>
      <c r="J682" t="n">
        <v>0</v>
      </c>
      <c r="K682" t="n">
        <v>0</v>
      </c>
      <c r="L682" t="n">
        <v>0</v>
      </c>
      <c r="M682" t="n">
        <v>0</v>
      </c>
      <c r="N682" t="n">
        <v>0</v>
      </c>
      <c r="O682" t="n">
        <v>0</v>
      </c>
      <c r="P682" t="n">
        <v>0</v>
      </c>
      <c r="Q682" t="n">
        <v>0</v>
      </c>
      <c r="R682" s="2" t="inlineStr"/>
    </row>
    <row r="683" ht="15" customHeight="1">
      <c r="A683" t="inlineStr">
        <is>
          <t>A 22732-2024</t>
        </is>
      </c>
      <c r="B683" s="1" t="n">
        <v>45448.38677083333</v>
      </c>
      <c r="C683" s="1" t="n">
        <v>46001</v>
      </c>
      <c r="D683" t="inlineStr">
        <is>
          <t>DALARNAS LÄN</t>
        </is>
      </c>
      <c r="E683" t="inlineStr">
        <is>
          <t>MORA</t>
        </is>
      </c>
      <c r="G683" t="n">
        <v>3.6</v>
      </c>
      <c r="H683" t="n">
        <v>0</v>
      </c>
      <c r="I683" t="n">
        <v>0</v>
      </c>
      <c r="J683" t="n">
        <v>0</v>
      </c>
      <c r="K683" t="n">
        <v>0</v>
      </c>
      <c r="L683" t="n">
        <v>0</v>
      </c>
      <c r="M683" t="n">
        <v>0</v>
      </c>
      <c r="N683" t="n">
        <v>0</v>
      </c>
      <c r="O683" t="n">
        <v>0</v>
      </c>
      <c r="P683" t="n">
        <v>0</v>
      </c>
      <c r="Q683" t="n">
        <v>0</v>
      </c>
      <c r="R683" s="2" t="inlineStr"/>
    </row>
    <row r="684" ht="15" customHeight="1">
      <c r="A684" t="inlineStr">
        <is>
          <t>A 47784-2024</t>
        </is>
      </c>
      <c r="B684" s="1" t="n">
        <v>45588.59290509259</v>
      </c>
      <c r="C684" s="1" t="n">
        <v>46001</v>
      </c>
      <c r="D684" t="inlineStr">
        <is>
          <t>DALARNAS LÄN</t>
        </is>
      </c>
      <c r="E684" t="inlineStr">
        <is>
          <t>MORA</t>
        </is>
      </c>
      <c r="G684" t="n">
        <v>15.3</v>
      </c>
      <c r="H684" t="n">
        <v>0</v>
      </c>
      <c r="I684" t="n">
        <v>0</v>
      </c>
      <c r="J684" t="n">
        <v>0</v>
      </c>
      <c r="K684" t="n">
        <v>0</v>
      </c>
      <c r="L684" t="n">
        <v>0</v>
      </c>
      <c r="M684" t="n">
        <v>0</v>
      </c>
      <c r="N684" t="n">
        <v>0</v>
      </c>
      <c r="O684" t="n">
        <v>0</v>
      </c>
      <c r="P684" t="n">
        <v>0</v>
      </c>
      <c r="Q684" t="n">
        <v>0</v>
      </c>
      <c r="R684" s="2" t="inlineStr"/>
    </row>
    <row r="685" ht="15" customHeight="1">
      <c r="A685" t="inlineStr">
        <is>
          <t>A 64099-2023</t>
        </is>
      </c>
      <c r="B685" s="1" t="n">
        <v>45279.46009259259</v>
      </c>
      <c r="C685" s="1" t="n">
        <v>46001</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21244-2024</t>
        </is>
      </c>
      <c r="B686" s="1" t="n">
        <v>45440.59936342593</v>
      </c>
      <c r="C686" s="1" t="n">
        <v>46001</v>
      </c>
      <c r="D686" t="inlineStr">
        <is>
          <t>DALARNAS LÄN</t>
        </is>
      </c>
      <c r="E686" t="inlineStr">
        <is>
          <t>MORA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46001</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33531-2024</t>
        </is>
      </c>
      <c r="B688" s="1" t="n">
        <v>45519.67503472222</v>
      </c>
      <c r="C688" s="1" t="n">
        <v>46001</v>
      </c>
      <c r="D688" t="inlineStr">
        <is>
          <t>DALARNAS LÄN</t>
        </is>
      </c>
      <c r="E688" t="inlineStr">
        <is>
          <t>MORA</t>
        </is>
      </c>
      <c r="G688" t="n">
        <v>14.8</v>
      </c>
      <c r="H688" t="n">
        <v>0</v>
      </c>
      <c r="I688" t="n">
        <v>0</v>
      </c>
      <c r="J688" t="n">
        <v>0</v>
      </c>
      <c r="K688" t="n">
        <v>0</v>
      </c>
      <c r="L688" t="n">
        <v>0</v>
      </c>
      <c r="M688" t="n">
        <v>0</v>
      </c>
      <c r="N688" t="n">
        <v>0</v>
      </c>
      <c r="O688" t="n">
        <v>0</v>
      </c>
      <c r="P688" t="n">
        <v>0</v>
      </c>
      <c r="Q688" t="n">
        <v>0</v>
      </c>
      <c r="R688" s="2" t="inlineStr"/>
    </row>
    <row r="689" ht="15" customHeight="1">
      <c r="A689" t="inlineStr">
        <is>
          <t>A 22785-2023</t>
        </is>
      </c>
      <c r="B689" s="1" t="n">
        <v>45072.34796296297</v>
      </c>
      <c r="C689" s="1" t="n">
        <v>46001</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53754-2024</t>
        </is>
      </c>
      <c r="B690" s="1" t="n">
        <v>45615.49371527778</v>
      </c>
      <c r="C690" s="1" t="n">
        <v>46001</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20989-2024</t>
        </is>
      </c>
      <c r="B691" s="1" t="n">
        <v>45439</v>
      </c>
      <c r="C691" s="1" t="n">
        <v>46001</v>
      </c>
      <c r="D691" t="inlineStr">
        <is>
          <t>DALARNAS LÄN</t>
        </is>
      </c>
      <c r="E691" t="inlineStr">
        <is>
          <t>MORA</t>
        </is>
      </c>
      <c r="F691" t="inlineStr">
        <is>
          <t>Bergvik skog öst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20930-2024</t>
        </is>
      </c>
      <c r="B692" s="1" t="n">
        <v>45439.51907407407</v>
      </c>
      <c r="C692" s="1" t="n">
        <v>46001</v>
      </c>
      <c r="D692" t="inlineStr">
        <is>
          <t>DALARNAS LÄN</t>
        </is>
      </c>
      <c r="E692" t="inlineStr">
        <is>
          <t>MORA</t>
        </is>
      </c>
      <c r="F692" t="inlineStr">
        <is>
          <t>Bergvik skog väst AB</t>
        </is>
      </c>
      <c r="G692" t="n">
        <v>5.3</v>
      </c>
      <c r="H692" t="n">
        <v>0</v>
      </c>
      <c r="I692" t="n">
        <v>0</v>
      </c>
      <c r="J692" t="n">
        <v>0</v>
      </c>
      <c r="K692" t="n">
        <v>0</v>
      </c>
      <c r="L692" t="n">
        <v>0</v>
      </c>
      <c r="M692" t="n">
        <v>0</v>
      </c>
      <c r="N692" t="n">
        <v>0</v>
      </c>
      <c r="O692" t="n">
        <v>0</v>
      </c>
      <c r="P692" t="n">
        <v>0</v>
      </c>
      <c r="Q692" t="n">
        <v>0</v>
      </c>
      <c r="R692" s="2" t="inlineStr"/>
    </row>
    <row r="693" ht="15" customHeight="1">
      <c r="A693" t="inlineStr">
        <is>
          <t>A 7972-2024</t>
        </is>
      </c>
      <c r="B693" s="1" t="n">
        <v>45350</v>
      </c>
      <c r="C693" s="1" t="n">
        <v>46001</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43432-2024</t>
        </is>
      </c>
      <c r="B694" s="1" t="n">
        <v>45568.64337962963</v>
      </c>
      <c r="C694" s="1" t="n">
        <v>46001</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60428-2023</t>
        </is>
      </c>
      <c r="B695" s="1" t="n">
        <v>45259.50996527778</v>
      </c>
      <c r="C695" s="1" t="n">
        <v>46001</v>
      </c>
      <c r="D695" t="inlineStr">
        <is>
          <t>DALARNAS LÄN</t>
        </is>
      </c>
      <c r="E695" t="inlineStr">
        <is>
          <t>MORA</t>
        </is>
      </c>
      <c r="G695" t="n">
        <v>4.9</v>
      </c>
      <c r="H695" t="n">
        <v>0</v>
      </c>
      <c r="I695" t="n">
        <v>0</v>
      </c>
      <c r="J695" t="n">
        <v>0</v>
      </c>
      <c r="K695" t="n">
        <v>0</v>
      </c>
      <c r="L695" t="n">
        <v>0</v>
      </c>
      <c r="M695" t="n">
        <v>0</v>
      </c>
      <c r="N695" t="n">
        <v>0</v>
      </c>
      <c r="O695" t="n">
        <v>0</v>
      </c>
      <c r="P695" t="n">
        <v>0</v>
      </c>
      <c r="Q695" t="n">
        <v>0</v>
      </c>
      <c r="R695" s="2" t="inlineStr"/>
    </row>
    <row r="696" ht="15" customHeight="1">
      <c r="A696" t="inlineStr">
        <is>
          <t>A 437-2024</t>
        </is>
      </c>
      <c r="B696" s="1" t="n">
        <v>45296</v>
      </c>
      <c r="C696" s="1" t="n">
        <v>46001</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60715-2023</t>
        </is>
      </c>
      <c r="B697" s="1" t="n">
        <v>45260.52684027778</v>
      </c>
      <c r="C697" s="1" t="n">
        <v>46001</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27125-2024</t>
        </is>
      </c>
      <c r="B698" s="1" t="n">
        <v>45471</v>
      </c>
      <c r="C698" s="1" t="n">
        <v>46001</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30822-2024</t>
        </is>
      </c>
      <c r="B699" s="1" t="n">
        <v>45497</v>
      </c>
      <c r="C699" s="1" t="n">
        <v>46001</v>
      </c>
      <c r="D699" t="inlineStr">
        <is>
          <t>DALARNAS LÄN</t>
        </is>
      </c>
      <c r="E699" t="inlineStr">
        <is>
          <t>MORA</t>
        </is>
      </c>
      <c r="G699" t="n">
        <v>1.8</v>
      </c>
      <c r="H699" t="n">
        <v>0</v>
      </c>
      <c r="I699" t="n">
        <v>0</v>
      </c>
      <c r="J699" t="n">
        <v>0</v>
      </c>
      <c r="K699" t="n">
        <v>0</v>
      </c>
      <c r="L699" t="n">
        <v>0</v>
      </c>
      <c r="M699" t="n">
        <v>0</v>
      </c>
      <c r="N699" t="n">
        <v>0</v>
      </c>
      <c r="O699" t="n">
        <v>0</v>
      </c>
      <c r="P699" t="n">
        <v>0</v>
      </c>
      <c r="Q699" t="n">
        <v>0</v>
      </c>
      <c r="R699" s="2" t="inlineStr"/>
    </row>
    <row r="700" ht="15" customHeight="1">
      <c r="A700" t="inlineStr">
        <is>
          <t>A 58177-2024</t>
        </is>
      </c>
      <c r="B700" s="1" t="n">
        <v>45632.46821759259</v>
      </c>
      <c r="C700" s="1" t="n">
        <v>46001</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17172-2025</t>
        </is>
      </c>
      <c r="B701" s="1" t="n">
        <v>45756.37201388889</v>
      </c>
      <c r="C701" s="1" t="n">
        <v>46001</v>
      </c>
      <c r="D701" t="inlineStr">
        <is>
          <t>DALARNAS LÄN</t>
        </is>
      </c>
      <c r="E701" t="inlineStr">
        <is>
          <t>MORA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15993-2025</t>
        </is>
      </c>
      <c r="B702" s="1" t="n">
        <v>45749.58428240741</v>
      </c>
      <c r="C702" s="1" t="n">
        <v>46001</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14832-2025</t>
        </is>
      </c>
      <c r="B703" s="1" t="n">
        <v>45743</v>
      </c>
      <c r="C703" s="1" t="n">
        <v>46001</v>
      </c>
      <c r="D703" t="inlineStr">
        <is>
          <t>DALARNAS LÄN</t>
        </is>
      </c>
      <c r="E703" t="inlineStr">
        <is>
          <t>MORA</t>
        </is>
      </c>
      <c r="G703" t="n">
        <v>9.1</v>
      </c>
      <c r="H703" t="n">
        <v>0</v>
      </c>
      <c r="I703" t="n">
        <v>0</v>
      </c>
      <c r="J703" t="n">
        <v>0</v>
      </c>
      <c r="K703" t="n">
        <v>0</v>
      </c>
      <c r="L703" t="n">
        <v>0</v>
      </c>
      <c r="M703" t="n">
        <v>0</v>
      </c>
      <c r="N703" t="n">
        <v>0</v>
      </c>
      <c r="O703" t="n">
        <v>0</v>
      </c>
      <c r="P703" t="n">
        <v>0</v>
      </c>
      <c r="Q703" t="n">
        <v>0</v>
      </c>
      <c r="R703" s="2" t="inlineStr"/>
    </row>
    <row r="704" ht="15" customHeight="1">
      <c r="A704" t="inlineStr">
        <is>
          <t>A 15443-2025</t>
        </is>
      </c>
      <c r="B704" s="1" t="n">
        <v>45747.48371527778</v>
      </c>
      <c r="C704" s="1" t="n">
        <v>46001</v>
      </c>
      <c r="D704" t="inlineStr">
        <is>
          <t>DALARNAS LÄN</t>
        </is>
      </c>
      <c r="E704" t="inlineStr">
        <is>
          <t>MORA</t>
        </is>
      </c>
      <c r="G704" t="n">
        <v>1.8</v>
      </c>
      <c r="H704" t="n">
        <v>0</v>
      </c>
      <c r="I704" t="n">
        <v>0</v>
      </c>
      <c r="J704" t="n">
        <v>0</v>
      </c>
      <c r="K704" t="n">
        <v>0</v>
      </c>
      <c r="L704" t="n">
        <v>0</v>
      </c>
      <c r="M704" t="n">
        <v>0</v>
      </c>
      <c r="N704" t="n">
        <v>0</v>
      </c>
      <c r="O704" t="n">
        <v>0</v>
      </c>
      <c r="P704" t="n">
        <v>0</v>
      </c>
      <c r="Q704" t="n">
        <v>0</v>
      </c>
      <c r="R704" s="2" t="inlineStr"/>
    </row>
    <row r="705" ht="15" customHeight="1">
      <c r="A705" t="inlineStr">
        <is>
          <t>A 45574-2023</t>
        </is>
      </c>
      <c r="B705" s="1" t="n">
        <v>45194</v>
      </c>
      <c r="C705" s="1" t="n">
        <v>46001</v>
      </c>
      <c r="D705" t="inlineStr">
        <is>
          <t>DALARNAS LÄN</t>
        </is>
      </c>
      <c r="E705" t="inlineStr">
        <is>
          <t>MORA</t>
        </is>
      </c>
      <c r="G705" t="n">
        <v>6.3</v>
      </c>
      <c r="H705" t="n">
        <v>0</v>
      </c>
      <c r="I705" t="n">
        <v>0</v>
      </c>
      <c r="J705" t="n">
        <v>0</v>
      </c>
      <c r="K705" t="n">
        <v>0</v>
      </c>
      <c r="L705" t="n">
        <v>0</v>
      </c>
      <c r="M705" t="n">
        <v>0</v>
      </c>
      <c r="N705" t="n">
        <v>0</v>
      </c>
      <c r="O705" t="n">
        <v>0</v>
      </c>
      <c r="P705" t="n">
        <v>0</v>
      </c>
      <c r="Q705" t="n">
        <v>0</v>
      </c>
      <c r="R705" s="2" t="inlineStr"/>
    </row>
    <row r="706" ht="15" customHeight="1">
      <c r="A706" t="inlineStr">
        <is>
          <t>A 5922-2025</t>
        </is>
      </c>
      <c r="B706" s="1" t="n">
        <v>45695.42762731481</v>
      </c>
      <c r="C706" s="1" t="n">
        <v>46001</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19910-2024</t>
        </is>
      </c>
      <c r="B707" s="1" t="n">
        <v>45433.5741087963</v>
      </c>
      <c r="C707" s="1" t="n">
        <v>46001</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20126-2025</t>
        </is>
      </c>
      <c r="B708" s="1" t="n">
        <v>45772.49640046297</v>
      </c>
      <c r="C708" s="1" t="n">
        <v>46001</v>
      </c>
      <c r="D708" t="inlineStr">
        <is>
          <t>DALARNAS LÄN</t>
        </is>
      </c>
      <c r="E708" t="inlineStr">
        <is>
          <t>MORA</t>
        </is>
      </c>
      <c r="G708" t="n">
        <v>12.1</v>
      </c>
      <c r="H708" t="n">
        <v>0</v>
      </c>
      <c r="I708" t="n">
        <v>0</v>
      </c>
      <c r="J708" t="n">
        <v>0</v>
      </c>
      <c r="K708" t="n">
        <v>0</v>
      </c>
      <c r="L708" t="n">
        <v>0</v>
      </c>
      <c r="M708" t="n">
        <v>0</v>
      </c>
      <c r="N708" t="n">
        <v>0</v>
      </c>
      <c r="O708" t="n">
        <v>0</v>
      </c>
      <c r="P708" t="n">
        <v>0</v>
      </c>
      <c r="Q708" t="n">
        <v>0</v>
      </c>
      <c r="R708" s="2" t="inlineStr"/>
    </row>
    <row r="709" ht="15" customHeight="1">
      <c r="A709" t="inlineStr">
        <is>
          <t>A 15643-2025</t>
        </is>
      </c>
      <c r="B709" s="1" t="n">
        <v>45748.39222222222</v>
      </c>
      <c r="C709" s="1" t="n">
        <v>46001</v>
      </c>
      <c r="D709" t="inlineStr">
        <is>
          <t>DALARNAS LÄN</t>
        </is>
      </c>
      <c r="E709" t="inlineStr">
        <is>
          <t>MORA</t>
        </is>
      </c>
      <c r="G709" t="n">
        <v>7.6</v>
      </c>
      <c r="H709" t="n">
        <v>0</v>
      </c>
      <c r="I709" t="n">
        <v>0</v>
      </c>
      <c r="J709" t="n">
        <v>0</v>
      </c>
      <c r="K709" t="n">
        <v>0</v>
      </c>
      <c r="L709" t="n">
        <v>0</v>
      </c>
      <c r="M709" t="n">
        <v>0</v>
      </c>
      <c r="N709" t="n">
        <v>0</v>
      </c>
      <c r="O709" t="n">
        <v>0</v>
      </c>
      <c r="P709" t="n">
        <v>0</v>
      </c>
      <c r="Q709" t="n">
        <v>0</v>
      </c>
      <c r="R709" s="2" t="inlineStr"/>
    </row>
    <row r="710" ht="15" customHeight="1">
      <c r="A710" t="inlineStr">
        <is>
          <t>A 36058-2024</t>
        </is>
      </c>
      <c r="B710" s="1" t="n">
        <v>45533</v>
      </c>
      <c r="C710" s="1" t="n">
        <v>46001</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21890-2025</t>
        </is>
      </c>
      <c r="B711" s="1" t="n">
        <v>45784.44481481481</v>
      </c>
      <c r="C711" s="1" t="n">
        <v>46001</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ht="15" customHeight="1">
      <c r="A712" t="inlineStr">
        <is>
          <t>A 21895-2025</t>
        </is>
      </c>
      <c r="B712" s="1" t="n">
        <v>45784.45273148148</v>
      </c>
      <c r="C712" s="1" t="n">
        <v>46001</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ht="15" customHeight="1">
      <c r="A713" t="inlineStr">
        <is>
          <t>A 21894-2025</t>
        </is>
      </c>
      <c r="B713" s="1" t="n">
        <v>45784.45060185185</v>
      </c>
      <c r="C713" s="1" t="n">
        <v>46001</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row r="714" ht="15" customHeight="1">
      <c r="A714" t="inlineStr">
        <is>
          <t>A 16573-2024</t>
        </is>
      </c>
      <c r="B714" s="1" t="n">
        <v>45408.46980324074</v>
      </c>
      <c r="C714" s="1" t="n">
        <v>46001</v>
      </c>
      <c r="D714" t="inlineStr">
        <is>
          <t>DALARNAS LÄN</t>
        </is>
      </c>
      <c r="E714" t="inlineStr">
        <is>
          <t>MORA</t>
        </is>
      </c>
      <c r="G714" t="n">
        <v>4.5</v>
      </c>
      <c r="H714" t="n">
        <v>0</v>
      </c>
      <c r="I714" t="n">
        <v>0</v>
      </c>
      <c r="J714" t="n">
        <v>0</v>
      </c>
      <c r="K714" t="n">
        <v>0</v>
      </c>
      <c r="L714" t="n">
        <v>0</v>
      </c>
      <c r="M714" t="n">
        <v>0</v>
      </c>
      <c r="N714" t="n">
        <v>0</v>
      </c>
      <c r="O714" t="n">
        <v>0</v>
      </c>
      <c r="P714" t="n">
        <v>0</v>
      </c>
      <c r="Q714" t="n">
        <v>0</v>
      </c>
      <c r="R714" s="2" t="inlineStr"/>
    </row>
    <row r="715">
      <c r="A715" t="inlineStr">
        <is>
          <t>A 22409-2025</t>
        </is>
      </c>
      <c r="B715" s="1" t="n">
        <v>45786.54940972223</v>
      </c>
      <c r="C715" s="1" t="n">
        <v>46001</v>
      </c>
      <c r="D715" t="inlineStr">
        <is>
          <t>DALARNAS LÄN</t>
        </is>
      </c>
      <c r="E715" t="inlineStr">
        <is>
          <t>MORA</t>
        </is>
      </c>
      <c r="F715" t="inlineStr">
        <is>
          <t>Bergvik skog öst AB</t>
        </is>
      </c>
      <c r="G715" t="n">
        <v>5</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2025-12-10T10:29:42Z</dcterms:created>
  <dcterms:modified xmlns:dcterms="http://purl.org/dc/terms/" xmlns:xsi="http://www.w3.org/2001/XMLSchema-instance" xsi:type="dcterms:W3CDTF">2025-12-10T10:29:43Z</dcterms:modified>
</cp:coreProperties>
</file>