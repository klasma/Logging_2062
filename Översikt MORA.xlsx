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45695</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45695</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45695</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45695</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45695</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45695</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45695</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45695</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45695</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45695</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45695</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45695</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45695</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45695</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45695</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45695</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45695</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45695</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45695</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45695</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45695</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45695</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45695</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45695</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45695</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45695</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45695</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45695</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894-2025</t>
        </is>
      </c>
      <c r="B31" s="1" t="n">
        <v>45665</v>
      </c>
      <c r="C31" s="1" t="n">
        <v>45695</v>
      </c>
      <c r="D31" t="inlineStr">
        <is>
          <t>DALARNAS LÄN</t>
        </is>
      </c>
      <c r="E31" t="inlineStr">
        <is>
          <t>MORA</t>
        </is>
      </c>
      <c r="G31" t="n">
        <v>8.1</v>
      </c>
      <c r="H31" t="n">
        <v>2</v>
      </c>
      <c r="I31" t="n">
        <v>0</v>
      </c>
      <c r="J31" t="n">
        <v>3</v>
      </c>
      <c r="K31" t="n">
        <v>0</v>
      </c>
      <c r="L31" t="n">
        <v>0</v>
      </c>
      <c r="M31" t="n">
        <v>0</v>
      </c>
      <c r="N31" t="n">
        <v>0</v>
      </c>
      <c r="O31" t="n">
        <v>3</v>
      </c>
      <c r="P31" t="n">
        <v>0</v>
      </c>
      <c r="Q31" t="n">
        <v>4</v>
      </c>
      <c r="R31" s="2" t="inlineStr">
        <is>
          <t>Garnlav
Lunglav
Tretåig hackspett
Tjäder</t>
        </is>
      </c>
      <c r="S31">
        <f>HYPERLINK("https://klasma.github.io/Logging_2062/artfynd/A 894-2025 artfynd.xlsx", "A 894-2025")</f>
        <v/>
      </c>
      <c r="T31">
        <f>HYPERLINK("https://klasma.github.io/Logging_2062/kartor/A 894-2025 karta.png", "A 894-2025")</f>
        <v/>
      </c>
      <c r="V31">
        <f>HYPERLINK("https://klasma.github.io/Logging_2062/klagomål/A 894-2025 FSC-klagomål.docx", "A 894-2025")</f>
        <v/>
      </c>
      <c r="W31">
        <f>HYPERLINK("https://klasma.github.io/Logging_2062/klagomålsmail/A 894-2025 FSC-klagomål mail.docx", "A 894-2025")</f>
        <v/>
      </c>
      <c r="X31">
        <f>HYPERLINK("https://klasma.github.io/Logging_2062/tillsyn/A 894-2025 tillsynsbegäran.docx", "A 894-2025")</f>
        <v/>
      </c>
      <c r="Y31">
        <f>HYPERLINK("https://klasma.github.io/Logging_2062/tillsynsmail/A 894-2025 tillsynsbegäran mail.docx", "A 894-2025")</f>
        <v/>
      </c>
      <c r="Z31">
        <f>HYPERLINK("https://klasma.github.io/Logging_2062/fåglar/A 894-2025 prioriterade fågelarter.docx", "A 894-2025")</f>
        <v/>
      </c>
    </row>
    <row r="32" ht="15" customHeight="1">
      <c r="A32" t="inlineStr">
        <is>
          <t>A 5484-2023</t>
        </is>
      </c>
      <c r="B32" s="1" t="n">
        <v>44957</v>
      </c>
      <c r="C32" s="1" t="n">
        <v>45695</v>
      </c>
      <c r="D32" t="inlineStr">
        <is>
          <t>DALARNAS LÄN</t>
        </is>
      </c>
      <c r="E32" t="inlineStr">
        <is>
          <t>MORA</t>
        </is>
      </c>
      <c r="F32" t="inlineStr">
        <is>
          <t>Allmännings- och besparingsskogar</t>
        </is>
      </c>
      <c r="G32" t="n">
        <v>14.9</v>
      </c>
      <c r="H32" t="n">
        <v>0</v>
      </c>
      <c r="I32" t="n">
        <v>1</v>
      </c>
      <c r="J32" t="n">
        <v>0</v>
      </c>
      <c r="K32" t="n">
        <v>2</v>
      </c>
      <c r="L32" t="n">
        <v>0</v>
      </c>
      <c r="M32" t="n">
        <v>0</v>
      </c>
      <c r="N32" t="n">
        <v>0</v>
      </c>
      <c r="O32" t="n">
        <v>2</v>
      </c>
      <c r="P32" t="n">
        <v>2</v>
      </c>
      <c r="Q32" t="n">
        <v>3</v>
      </c>
      <c r="R32" s="2" t="inlineStr">
        <is>
          <t>Raggbock
Tallbarksvartbagge
Mindre märgborre</t>
        </is>
      </c>
      <c r="S32">
        <f>HYPERLINK("https://klasma.github.io/Logging_2062/artfynd/A 5484-2023 artfynd.xlsx", "A 5484-2023")</f>
        <v/>
      </c>
      <c r="T32">
        <f>HYPERLINK("https://klasma.github.io/Logging_2062/kartor/A 5484-2023 karta.png", "A 5484-2023")</f>
        <v/>
      </c>
      <c r="V32">
        <f>HYPERLINK("https://klasma.github.io/Logging_2062/klagomål/A 5484-2023 FSC-klagomål.docx", "A 5484-2023")</f>
        <v/>
      </c>
      <c r="W32">
        <f>HYPERLINK("https://klasma.github.io/Logging_2062/klagomålsmail/A 5484-2023 FSC-klagomål mail.docx", "A 5484-2023")</f>
        <v/>
      </c>
      <c r="X32">
        <f>HYPERLINK("https://klasma.github.io/Logging_2062/tillsyn/A 5484-2023 tillsynsbegäran.docx", "A 5484-2023")</f>
        <v/>
      </c>
      <c r="Y32">
        <f>HYPERLINK("https://klasma.github.io/Logging_2062/tillsynsmail/A 5484-2023 tillsynsbegäran mail.docx", "A 5484-2023")</f>
        <v/>
      </c>
    </row>
    <row r="33" ht="15" customHeight="1">
      <c r="A33" t="inlineStr">
        <is>
          <t>A 5064-2023</t>
        </is>
      </c>
      <c r="B33" s="1" t="n">
        <v>44958</v>
      </c>
      <c r="C33" s="1" t="n">
        <v>45695</v>
      </c>
      <c r="D33" t="inlineStr">
        <is>
          <t>DALARNAS LÄN</t>
        </is>
      </c>
      <c r="E33" t="inlineStr">
        <is>
          <t>MORA</t>
        </is>
      </c>
      <c r="G33" t="n">
        <v>3.9</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5064-2023 artfynd.xlsx", "A 5064-2023")</f>
        <v/>
      </c>
      <c r="T33">
        <f>HYPERLINK("https://klasma.github.io/Logging_2062/kartor/A 5064-2023 karta.png", "A 5064-2023")</f>
        <v/>
      </c>
      <c r="V33">
        <f>HYPERLINK("https://klasma.github.io/Logging_2062/klagomål/A 5064-2023 FSC-klagomål.docx", "A 5064-2023")</f>
        <v/>
      </c>
      <c r="W33">
        <f>HYPERLINK("https://klasma.github.io/Logging_2062/klagomålsmail/A 5064-2023 FSC-klagomål mail.docx", "A 5064-2023")</f>
        <v/>
      </c>
      <c r="X33">
        <f>HYPERLINK("https://klasma.github.io/Logging_2062/tillsyn/A 5064-2023 tillsynsbegäran.docx", "A 5064-2023")</f>
        <v/>
      </c>
      <c r="Y33">
        <f>HYPERLINK("https://klasma.github.io/Logging_2062/tillsynsmail/A 5064-2023 tillsynsbegäran mail.docx", "A 5064-2023")</f>
        <v/>
      </c>
      <c r="Z33">
        <f>HYPERLINK("https://klasma.github.io/Logging_2062/fåglar/A 5064-2023 prioriterade fågelarter.docx", "A 5064-2023")</f>
        <v/>
      </c>
    </row>
    <row r="34" ht="15" customHeight="1">
      <c r="A34" t="inlineStr">
        <is>
          <t>A 56438-2024</t>
        </is>
      </c>
      <c r="B34" s="1" t="n">
        <v>45625</v>
      </c>
      <c r="C34" s="1" t="n">
        <v>45695</v>
      </c>
      <c r="D34" t="inlineStr">
        <is>
          <t>DALARNAS LÄN</t>
        </is>
      </c>
      <c r="E34" t="inlineStr">
        <is>
          <t>MORA</t>
        </is>
      </c>
      <c r="G34" t="n">
        <v>8.800000000000001</v>
      </c>
      <c r="H34" t="n">
        <v>1</v>
      </c>
      <c r="I34" t="n">
        <v>0</v>
      </c>
      <c r="J34" t="n">
        <v>3</v>
      </c>
      <c r="K34" t="n">
        <v>0</v>
      </c>
      <c r="L34" t="n">
        <v>0</v>
      </c>
      <c r="M34" t="n">
        <v>0</v>
      </c>
      <c r="N34" t="n">
        <v>0</v>
      </c>
      <c r="O34" t="n">
        <v>3</v>
      </c>
      <c r="P34" t="n">
        <v>0</v>
      </c>
      <c r="Q34" t="n">
        <v>3</v>
      </c>
      <c r="R34" s="2" t="inlineStr">
        <is>
          <t>Garnlav
Spillkråka
Tallticka</t>
        </is>
      </c>
      <c r="S34">
        <f>HYPERLINK("https://klasma.github.io/Logging_2062/artfynd/A 56438-2024 artfynd.xlsx", "A 56438-2024")</f>
        <v/>
      </c>
      <c r="T34">
        <f>HYPERLINK("https://klasma.github.io/Logging_2062/kartor/A 56438-2024 karta.png", "A 56438-2024")</f>
        <v/>
      </c>
      <c r="V34">
        <f>HYPERLINK("https://klasma.github.io/Logging_2062/klagomål/A 56438-2024 FSC-klagomål.docx", "A 56438-2024")</f>
        <v/>
      </c>
      <c r="W34">
        <f>HYPERLINK("https://klasma.github.io/Logging_2062/klagomålsmail/A 56438-2024 FSC-klagomål mail.docx", "A 56438-2024")</f>
        <v/>
      </c>
      <c r="X34">
        <f>HYPERLINK("https://klasma.github.io/Logging_2062/tillsyn/A 56438-2024 tillsynsbegäran.docx", "A 56438-2024")</f>
        <v/>
      </c>
      <c r="Y34">
        <f>HYPERLINK("https://klasma.github.io/Logging_2062/tillsynsmail/A 56438-2024 tillsynsbegäran mail.docx", "A 56438-2024")</f>
        <v/>
      </c>
      <c r="Z34">
        <f>HYPERLINK("https://klasma.github.io/Logging_2062/fåglar/A 56438-2024 prioriterade fågelarter.docx", "A 56438-2024")</f>
        <v/>
      </c>
    </row>
    <row r="35" ht="15" customHeight="1">
      <c r="A35" t="inlineStr">
        <is>
          <t>A 33185-2019</t>
        </is>
      </c>
      <c r="B35" s="1" t="n">
        <v>43649</v>
      </c>
      <c r="C35" s="1" t="n">
        <v>45695</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45695</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45695</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45695</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45695</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45695</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45695</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45695</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45695</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45695</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45695</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45695</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45695</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45695</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45695</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45695</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45695</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45695</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45695</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45695</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27113-2024</t>
        </is>
      </c>
      <c r="B55" s="1" t="n">
        <v>45471</v>
      </c>
      <c r="C55" s="1" t="n">
        <v>45695</v>
      </c>
      <c r="D55" t="inlineStr">
        <is>
          <t>DALARNAS LÄN</t>
        </is>
      </c>
      <c r="E55" t="inlineStr">
        <is>
          <t>MORA</t>
        </is>
      </c>
      <c r="G55" t="n">
        <v>10.3</v>
      </c>
      <c r="H55" t="n">
        <v>0</v>
      </c>
      <c r="I55" t="n">
        <v>1</v>
      </c>
      <c r="J55" t="n">
        <v>0</v>
      </c>
      <c r="K55" t="n">
        <v>0</v>
      </c>
      <c r="L55" t="n">
        <v>0</v>
      </c>
      <c r="M55" t="n">
        <v>0</v>
      </c>
      <c r="N55" t="n">
        <v>0</v>
      </c>
      <c r="O55" t="n">
        <v>0</v>
      </c>
      <c r="P55" t="n">
        <v>0</v>
      </c>
      <c r="Q55" t="n">
        <v>1</v>
      </c>
      <c r="R55" s="2" t="inlineStr">
        <is>
          <t>Stor aspticka</t>
        </is>
      </c>
      <c r="S55">
        <f>HYPERLINK("https://klasma.github.io/Logging_2062/artfynd/A 27113-2024 artfynd.xlsx", "A 27113-2024")</f>
        <v/>
      </c>
      <c r="T55">
        <f>HYPERLINK("https://klasma.github.io/Logging_2062/kartor/A 27113-2024 karta.png", "A 27113-2024")</f>
        <v/>
      </c>
      <c r="V55">
        <f>HYPERLINK("https://klasma.github.io/Logging_2062/klagomål/A 27113-2024 FSC-klagomål.docx", "A 27113-2024")</f>
        <v/>
      </c>
      <c r="W55">
        <f>HYPERLINK("https://klasma.github.io/Logging_2062/klagomålsmail/A 27113-2024 FSC-klagomål mail.docx", "A 27113-2024")</f>
        <v/>
      </c>
      <c r="X55">
        <f>HYPERLINK("https://klasma.github.io/Logging_2062/tillsyn/A 27113-2024 tillsynsbegäran.docx", "A 27113-2024")</f>
        <v/>
      </c>
      <c r="Y55">
        <f>HYPERLINK("https://klasma.github.io/Logging_2062/tillsynsmail/A 27113-2024 tillsynsbegäran mail.docx", "A 27113-2024")</f>
        <v/>
      </c>
    </row>
    <row r="56" ht="15" customHeight="1">
      <c r="A56" t="inlineStr">
        <is>
          <t>A 45410-2024</t>
        </is>
      </c>
      <c r="B56" s="1" t="n">
        <v>45576</v>
      </c>
      <c r="C56" s="1" t="n">
        <v>45695</v>
      </c>
      <c r="D56" t="inlineStr">
        <is>
          <t>DALARNAS LÄN</t>
        </is>
      </c>
      <c r="E56" t="inlineStr">
        <is>
          <t>MORA</t>
        </is>
      </c>
      <c r="G56" t="n">
        <v>1.1</v>
      </c>
      <c r="H56" t="n">
        <v>0</v>
      </c>
      <c r="I56" t="n">
        <v>0</v>
      </c>
      <c r="J56" t="n">
        <v>1</v>
      </c>
      <c r="K56" t="n">
        <v>0</v>
      </c>
      <c r="L56" t="n">
        <v>0</v>
      </c>
      <c r="M56" t="n">
        <v>0</v>
      </c>
      <c r="N56" t="n">
        <v>0</v>
      </c>
      <c r="O56" t="n">
        <v>1</v>
      </c>
      <c r="P56" t="n">
        <v>0</v>
      </c>
      <c r="Q56" t="n">
        <v>1</v>
      </c>
      <c r="R56" s="2" t="inlineStr">
        <is>
          <t>Tallticka</t>
        </is>
      </c>
      <c r="S56">
        <f>HYPERLINK("https://klasma.github.io/Logging_2062/artfynd/A 45410-2024 artfynd.xlsx", "A 45410-2024")</f>
        <v/>
      </c>
      <c r="T56">
        <f>HYPERLINK("https://klasma.github.io/Logging_2062/kartor/A 45410-2024 karta.png", "A 45410-2024")</f>
        <v/>
      </c>
      <c r="V56">
        <f>HYPERLINK("https://klasma.github.io/Logging_2062/klagomål/A 45410-2024 FSC-klagomål.docx", "A 45410-2024")</f>
        <v/>
      </c>
      <c r="W56">
        <f>HYPERLINK("https://klasma.github.io/Logging_2062/klagomålsmail/A 45410-2024 FSC-klagomål mail.docx", "A 45410-2024")</f>
        <v/>
      </c>
      <c r="X56">
        <f>HYPERLINK("https://klasma.github.io/Logging_2062/tillsyn/A 45410-2024 tillsynsbegäran.docx", "A 45410-2024")</f>
        <v/>
      </c>
      <c r="Y56">
        <f>HYPERLINK("https://klasma.github.io/Logging_2062/tillsynsmail/A 45410-2024 tillsynsbegäran mail.docx", "A 45410-2024")</f>
        <v/>
      </c>
    </row>
    <row r="57" ht="15" customHeight="1">
      <c r="A57" t="inlineStr">
        <is>
          <t>A 45344-2024</t>
        </is>
      </c>
      <c r="B57" s="1" t="n">
        <v>45576</v>
      </c>
      <c r="C57" s="1" t="n">
        <v>45695</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45344-2024 artfynd.xlsx", "A 45344-2024")</f>
        <v/>
      </c>
      <c r="T57">
        <f>HYPERLINK("https://klasma.github.io/Logging_2062/kartor/A 45344-2024 karta.png", "A 45344-2024")</f>
        <v/>
      </c>
      <c r="V57">
        <f>HYPERLINK("https://klasma.github.io/Logging_2062/klagomål/A 45344-2024 FSC-klagomål.docx", "A 45344-2024")</f>
        <v/>
      </c>
      <c r="W57">
        <f>HYPERLINK("https://klasma.github.io/Logging_2062/klagomålsmail/A 45344-2024 FSC-klagomål mail.docx", "A 45344-2024")</f>
        <v/>
      </c>
      <c r="X57">
        <f>HYPERLINK("https://klasma.github.io/Logging_2062/tillsyn/A 45344-2024 tillsynsbegäran.docx", "A 45344-2024")</f>
        <v/>
      </c>
      <c r="Y57">
        <f>HYPERLINK("https://klasma.github.io/Logging_2062/tillsynsmail/A 45344-2024 tillsynsbegäran mail.docx", "A 45344-2024")</f>
        <v/>
      </c>
    </row>
    <row r="58" ht="15" customHeight="1">
      <c r="A58" t="inlineStr">
        <is>
          <t>A 51213-2024</t>
        </is>
      </c>
      <c r="B58" s="1" t="n">
        <v>45603</v>
      </c>
      <c r="C58" s="1" t="n">
        <v>45695</v>
      </c>
      <c r="D58" t="inlineStr">
        <is>
          <t>DALARNAS LÄN</t>
        </is>
      </c>
      <c r="E58" t="inlineStr">
        <is>
          <t>MORA</t>
        </is>
      </c>
      <c r="G58" t="n">
        <v>0.5</v>
      </c>
      <c r="H58" t="n">
        <v>1</v>
      </c>
      <c r="I58" t="n">
        <v>0</v>
      </c>
      <c r="J58" t="n">
        <v>0</v>
      </c>
      <c r="K58" t="n">
        <v>1</v>
      </c>
      <c r="L58" t="n">
        <v>0</v>
      </c>
      <c r="M58" t="n">
        <v>0</v>
      </c>
      <c r="N58" t="n">
        <v>0</v>
      </c>
      <c r="O58" t="n">
        <v>1</v>
      </c>
      <c r="P58" t="n">
        <v>1</v>
      </c>
      <c r="Q58" t="n">
        <v>1</v>
      </c>
      <c r="R58" s="2" t="inlineStr">
        <is>
          <t>Knärot</t>
        </is>
      </c>
      <c r="S58">
        <f>HYPERLINK("https://klasma.github.io/Logging_2062/artfynd/A 51213-2024 artfynd.xlsx", "A 51213-2024")</f>
        <v/>
      </c>
      <c r="T58">
        <f>HYPERLINK("https://klasma.github.io/Logging_2062/kartor/A 51213-2024 karta.png", "A 51213-2024")</f>
        <v/>
      </c>
      <c r="U58">
        <f>HYPERLINK("https://klasma.github.io/Logging_2062/knärot/A 51213-2024 karta knärot.png", "A 51213-2024")</f>
        <v/>
      </c>
      <c r="V58">
        <f>HYPERLINK("https://klasma.github.io/Logging_2062/klagomål/A 51213-2024 FSC-klagomål.docx", "A 51213-2024")</f>
        <v/>
      </c>
      <c r="W58">
        <f>HYPERLINK("https://klasma.github.io/Logging_2062/klagomålsmail/A 51213-2024 FSC-klagomål mail.docx", "A 51213-2024")</f>
        <v/>
      </c>
      <c r="X58">
        <f>HYPERLINK("https://klasma.github.io/Logging_2062/tillsyn/A 51213-2024 tillsynsbegäran.docx", "A 51213-2024")</f>
        <v/>
      </c>
      <c r="Y58">
        <f>HYPERLINK("https://klasma.github.io/Logging_2062/tillsynsmail/A 51213-2024 tillsynsbegäran mail.docx", "A 51213-2024")</f>
        <v/>
      </c>
    </row>
    <row r="59" ht="15" customHeight="1">
      <c r="A59" t="inlineStr">
        <is>
          <t>A 831-2025</t>
        </is>
      </c>
      <c r="B59" s="1" t="n">
        <v>45665</v>
      </c>
      <c r="C59" s="1" t="n">
        <v>45695</v>
      </c>
      <c r="D59" t="inlineStr">
        <is>
          <t>DALARNAS LÄN</t>
        </is>
      </c>
      <c r="E59" t="inlineStr">
        <is>
          <t>MORA</t>
        </is>
      </c>
      <c r="G59" t="n">
        <v>2.5</v>
      </c>
      <c r="H59" t="n">
        <v>0</v>
      </c>
      <c r="I59" t="n">
        <v>1</v>
      </c>
      <c r="J59" t="n">
        <v>0</v>
      </c>
      <c r="K59" t="n">
        <v>0</v>
      </c>
      <c r="L59" t="n">
        <v>0</v>
      </c>
      <c r="M59" t="n">
        <v>0</v>
      </c>
      <c r="N59" t="n">
        <v>0</v>
      </c>
      <c r="O59" t="n">
        <v>0</v>
      </c>
      <c r="P59" t="n">
        <v>0</v>
      </c>
      <c r="Q59" t="n">
        <v>1</v>
      </c>
      <c r="R59" s="2" t="inlineStr">
        <is>
          <t>Stekelbock</t>
        </is>
      </c>
      <c r="S59">
        <f>HYPERLINK("https://klasma.github.io/Logging_2062/artfynd/A 831-2025 artfynd.xlsx", "A 831-2025")</f>
        <v/>
      </c>
      <c r="T59">
        <f>HYPERLINK("https://klasma.github.io/Logging_2062/kartor/A 831-2025 karta.png", "A 831-2025")</f>
        <v/>
      </c>
      <c r="V59">
        <f>HYPERLINK("https://klasma.github.io/Logging_2062/klagomål/A 831-2025 FSC-klagomål.docx", "A 831-2025")</f>
        <v/>
      </c>
      <c r="W59">
        <f>HYPERLINK("https://klasma.github.io/Logging_2062/klagomålsmail/A 831-2025 FSC-klagomål mail.docx", "A 831-2025")</f>
        <v/>
      </c>
      <c r="X59">
        <f>HYPERLINK("https://klasma.github.io/Logging_2062/tillsyn/A 831-2025 tillsynsbegäran.docx", "A 831-2025")</f>
        <v/>
      </c>
      <c r="Y59">
        <f>HYPERLINK("https://klasma.github.io/Logging_2062/tillsynsmail/A 831-2025 tillsynsbegäran mail.docx", "A 831-2025")</f>
        <v/>
      </c>
    </row>
    <row r="60" ht="15" customHeight="1">
      <c r="A60" t="inlineStr">
        <is>
          <t>A 20226-2019</t>
        </is>
      </c>
      <c r="B60" s="1" t="n">
        <v>43570</v>
      </c>
      <c r="C60" s="1" t="n">
        <v>45695</v>
      </c>
      <c r="D60" t="inlineStr">
        <is>
          <t>DALARNAS LÄN</t>
        </is>
      </c>
      <c r="E60" t="inlineStr">
        <is>
          <t>MORA</t>
        </is>
      </c>
      <c r="G60" t="n">
        <v>4.2</v>
      </c>
      <c r="H60" t="n">
        <v>0</v>
      </c>
      <c r="I60" t="n">
        <v>0</v>
      </c>
      <c r="J60" t="n">
        <v>0</v>
      </c>
      <c r="K60" t="n">
        <v>0</v>
      </c>
      <c r="L60" t="n">
        <v>0</v>
      </c>
      <c r="M60" t="n">
        <v>0</v>
      </c>
      <c r="N60" t="n">
        <v>0</v>
      </c>
      <c r="O60" t="n">
        <v>0</v>
      </c>
      <c r="P60" t="n">
        <v>0</v>
      </c>
      <c r="Q60" t="n">
        <v>0</v>
      </c>
      <c r="R60" s="2" t="inlineStr"/>
    </row>
    <row r="61" ht="15" customHeight="1">
      <c r="A61" t="inlineStr">
        <is>
          <t>A 20464-2019</t>
        </is>
      </c>
      <c r="B61" s="1" t="n">
        <v>43572</v>
      </c>
      <c r="C61" s="1" t="n">
        <v>45695</v>
      </c>
      <c r="D61" t="inlineStr">
        <is>
          <t>DALARNAS LÄN</t>
        </is>
      </c>
      <c r="E61" t="inlineStr">
        <is>
          <t>MORA</t>
        </is>
      </c>
      <c r="G61" t="n">
        <v>12.1</v>
      </c>
      <c r="H61" t="n">
        <v>0</v>
      </c>
      <c r="I61" t="n">
        <v>0</v>
      </c>
      <c r="J61" t="n">
        <v>0</v>
      </c>
      <c r="K61" t="n">
        <v>0</v>
      </c>
      <c r="L61" t="n">
        <v>0</v>
      </c>
      <c r="M61" t="n">
        <v>0</v>
      </c>
      <c r="N61" t="n">
        <v>0</v>
      </c>
      <c r="O61" t="n">
        <v>0</v>
      </c>
      <c r="P61" t="n">
        <v>0</v>
      </c>
      <c r="Q61" t="n">
        <v>0</v>
      </c>
      <c r="R61" s="2" t="inlineStr"/>
    </row>
    <row r="62" ht="15" customHeight="1">
      <c r="A62" t="inlineStr">
        <is>
          <t>A 22970-2019</t>
        </is>
      </c>
      <c r="B62" s="1" t="n">
        <v>43591</v>
      </c>
      <c r="C62" s="1" t="n">
        <v>45695</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23665-2019</t>
        </is>
      </c>
      <c r="B63" s="1" t="n">
        <v>43594</v>
      </c>
      <c r="C63" s="1" t="n">
        <v>45695</v>
      </c>
      <c r="D63" t="inlineStr">
        <is>
          <t>DALARNAS LÄN</t>
        </is>
      </c>
      <c r="E63" t="inlineStr">
        <is>
          <t>MORA</t>
        </is>
      </c>
      <c r="G63" t="n">
        <v>1.1</v>
      </c>
      <c r="H63" t="n">
        <v>0</v>
      </c>
      <c r="I63" t="n">
        <v>0</v>
      </c>
      <c r="J63" t="n">
        <v>0</v>
      </c>
      <c r="K63" t="n">
        <v>0</v>
      </c>
      <c r="L63" t="n">
        <v>0</v>
      </c>
      <c r="M63" t="n">
        <v>0</v>
      </c>
      <c r="N63" t="n">
        <v>0</v>
      </c>
      <c r="O63" t="n">
        <v>0</v>
      </c>
      <c r="P63" t="n">
        <v>0</v>
      </c>
      <c r="Q63" t="n">
        <v>0</v>
      </c>
      <c r="R63" s="2" t="inlineStr"/>
    </row>
    <row r="64" ht="15" customHeight="1">
      <c r="A64" t="inlineStr">
        <is>
          <t>A 23636-2019</t>
        </is>
      </c>
      <c r="B64" s="1" t="n">
        <v>43594</v>
      </c>
      <c r="C64" s="1" t="n">
        <v>45695</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24630-2019</t>
        </is>
      </c>
      <c r="B65" s="1" t="n">
        <v>43601</v>
      </c>
      <c r="C65" s="1" t="n">
        <v>45695</v>
      </c>
      <c r="D65" t="inlineStr">
        <is>
          <t>DALARNAS LÄN</t>
        </is>
      </c>
      <c r="E65" t="inlineStr">
        <is>
          <t>MORA</t>
        </is>
      </c>
      <c r="G65" t="n">
        <v>5.8</v>
      </c>
      <c r="H65" t="n">
        <v>0</v>
      </c>
      <c r="I65" t="n">
        <v>0</v>
      </c>
      <c r="J65" t="n">
        <v>0</v>
      </c>
      <c r="K65" t="n">
        <v>0</v>
      </c>
      <c r="L65" t="n">
        <v>0</v>
      </c>
      <c r="M65" t="n">
        <v>0</v>
      </c>
      <c r="N65" t="n">
        <v>0</v>
      </c>
      <c r="O65" t="n">
        <v>0</v>
      </c>
      <c r="P65" t="n">
        <v>0</v>
      </c>
      <c r="Q65" t="n">
        <v>0</v>
      </c>
      <c r="R65" s="2" t="inlineStr"/>
    </row>
    <row r="66" ht="15" customHeight="1">
      <c r="A66" t="inlineStr">
        <is>
          <t>A 25235-2019</t>
        </is>
      </c>
      <c r="B66" s="1" t="n">
        <v>43601</v>
      </c>
      <c r="C66" s="1" t="n">
        <v>45695</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24960-2019</t>
        </is>
      </c>
      <c r="B67" s="1" t="n">
        <v>43602</v>
      </c>
      <c r="C67" s="1" t="n">
        <v>45695</v>
      </c>
      <c r="D67" t="inlineStr">
        <is>
          <t>DALARNAS LÄN</t>
        </is>
      </c>
      <c r="E67" t="inlineStr">
        <is>
          <t>MORA</t>
        </is>
      </c>
      <c r="G67" t="n">
        <v>2.7</v>
      </c>
      <c r="H67" t="n">
        <v>0</v>
      </c>
      <c r="I67" t="n">
        <v>0</v>
      </c>
      <c r="J67" t="n">
        <v>0</v>
      </c>
      <c r="K67" t="n">
        <v>0</v>
      </c>
      <c r="L67" t="n">
        <v>0</v>
      </c>
      <c r="M67" t="n">
        <v>0</v>
      </c>
      <c r="N67" t="n">
        <v>0</v>
      </c>
      <c r="O67" t="n">
        <v>0</v>
      </c>
      <c r="P67" t="n">
        <v>0</v>
      </c>
      <c r="Q67" t="n">
        <v>0</v>
      </c>
      <c r="R67" s="2" t="inlineStr"/>
    </row>
    <row r="68" ht="15" customHeight="1">
      <c r="A68" t="inlineStr">
        <is>
          <t>A 28917-2019</t>
        </is>
      </c>
      <c r="B68" s="1" t="n">
        <v>43612</v>
      </c>
      <c r="C68" s="1" t="n">
        <v>45695</v>
      </c>
      <c r="D68" t="inlineStr">
        <is>
          <t>DALARNAS LÄN</t>
        </is>
      </c>
      <c r="E68" t="inlineStr">
        <is>
          <t>MORA</t>
        </is>
      </c>
      <c r="G68" t="n">
        <v>0.6</v>
      </c>
      <c r="H68" t="n">
        <v>0</v>
      </c>
      <c r="I68" t="n">
        <v>0</v>
      </c>
      <c r="J68" t="n">
        <v>0</v>
      </c>
      <c r="K68" t="n">
        <v>0</v>
      </c>
      <c r="L68" t="n">
        <v>0</v>
      </c>
      <c r="M68" t="n">
        <v>0</v>
      </c>
      <c r="N68" t="n">
        <v>0</v>
      </c>
      <c r="O68" t="n">
        <v>0</v>
      </c>
      <c r="P68" t="n">
        <v>0</v>
      </c>
      <c r="Q68" t="n">
        <v>0</v>
      </c>
      <c r="R68" s="2" t="inlineStr"/>
    </row>
    <row r="69" ht="15" customHeight="1">
      <c r="A69" t="inlineStr">
        <is>
          <t>A 26405-2019</t>
        </is>
      </c>
      <c r="B69" s="1" t="n">
        <v>43612</v>
      </c>
      <c r="C69" s="1" t="n">
        <v>45695</v>
      </c>
      <c r="D69" t="inlineStr">
        <is>
          <t>DALARNAS LÄN</t>
        </is>
      </c>
      <c r="E69" t="inlineStr">
        <is>
          <t>MORA</t>
        </is>
      </c>
      <c r="G69" t="n">
        <v>3.2</v>
      </c>
      <c r="H69" t="n">
        <v>0</v>
      </c>
      <c r="I69" t="n">
        <v>0</v>
      </c>
      <c r="J69" t="n">
        <v>0</v>
      </c>
      <c r="K69" t="n">
        <v>0</v>
      </c>
      <c r="L69" t="n">
        <v>0</v>
      </c>
      <c r="M69" t="n">
        <v>0</v>
      </c>
      <c r="N69" t="n">
        <v>0</v>
      </c>
      <c r="O69" t="n">
        <v>0</v>
      </c>
      <c r="P69" t="n">
        <v>0</v>
      </c>
      <c r="Q69" t="n">
        <v>0</v>
      </c>
      <c r="R69" s="2" t="inlineStr"/>
    </row>
    <row r="70" ht="15" customHeight="1">
      <c r="A70" t="inlineStr">
        <is>
          <t>A 29231-2019</t>
        </is>
      </c>
      <c r="B70" s="1" t="n">
        <v>43623</v>
      </c>
      <c r="C70" s="1" t="n">
        <v>45695</v>
      </c>
      <c r="D70" t="inlineStr">
        <is>
          <t>DALARNAS LÄN</t>
        </is>
      </c>
      <c r="E70" t="inlineStr">
        <is>
          <t>MORA</t>
        </is>
      </c>
      <c r="G70" t="n">
        <v>24.2</v>
      </c>
      <c r="H70" t="n">
        <v>0</v>
      </c>
      <c r="I70" t="n">
        <v>0</v>
      </c>
      <c r="J70" t="n">
        <v>0</v>
      </c>
      <c r="K70" t="n">
        <v>0</v>
      </c>
      <c r="L70" t="n">
        <v>0</v>
      </c>
      <c r="M70" t="n">
        <v>0</v>
      </c>
      <c r="N70" t="n">
        <v>0</v>
      </c>
      <c r="O70" t="n">
        <v>0</v>
      </c>
      <c r="P70" t="n">
        <v>0</v>
      </c>
      <c r="Q70" t="n">
        <v>0</v>
      </c>
      <c r="R70" s="2" t="inlineStr"/>
    </row>
    <row r="71" ht="15" customHeight="1">
      <c r="A71" t="inlineStr">
        <is>
          <t>A 29370-2019</t>
        </is>
      </c>
      <c r="B71" s="1" t="n">
        <v>43629</v>
      </c>
      <c r="C71" s="1" t="n">
        <v>45695</v>
      </c>
      <c r="D71" t="inlineStr">
        <is>
          <t>DALARNAS LÄN</t>
        </is>
      </c>
      <c r="E71" t="inlineStr">
        <is>
          <t>MORA</t>
        </is>
      </c>
      <c r="G71" t="n">
        <v>2.4</v>
      </c>
      <c r="H71" t="n">
        <v>0</v>
      </c>
      <c r="I71" t="n">
        <v>0</v>
      </c>
      <c r="J71" t="n">
        <v>0</v>
      </c>
      <c r="K71" t="n">
        <v>0</v>
      </c>
      <c r="L71" t="n">
        <v>0</v>
      </c>
      <c r="M71" t="n">
        <v>0</v>
      </c>
      <c r="N71" t="n">
        <v>0</v>
      </c>
      <c r="O71" t="n">
        <v>0</v>
      </c>
      <c r="P71" t="n">
        <v>0</v>
      </c>
      <c r="Q71" t="n">
        <v>0</v>
      </c>
      <c r="R71" s="2" t="inlineStr"/>
    </row>
    <row r="72" ht="15" customHeight="1">
      <c r="A72" t="inlineStr">
        <is>
          <t>A 29395-2019</t>
        </is>
      </c>
      <c r="B72" s="1" t="n">
        <v>43629</v>
      </c>
      <c r="C72" s="1" t="n">
        <v>45695</v>
      </c>
      <c r="D72" t="inlineStr">
        <is>
          <t>DALARNAS LÄN</t>
        </is>
      </c>
      <c r="E72" t="inlineStr">
        <is>
          <t>MORA</t>
        </is>
      </c>
      <c r="G72" t="n">
        <v>1.2</v>
      </c>
      <c r="H72" t="n">
        <v>0</v>
      </c>
      <c r="I72" t="n">
        <v>0</v>
      </c>
      <c r="J72" t="n">
        <v>0</v>
      </c>
      <c r="K72" t="n">
        <v>0</v>
      </c>
      <c r="L72" t="n">
        <v>0</v>
      </c>
      <c r="M72" t="n">
        <v>0</v>
      </c>
      <c r="N72" t="n">
        <v>0</v>
      </c>
      <c r="O72" t="n">
        <v>0</v>
      </c>
      <c r="P72" t="n">
        <v>0</v>
      </c>
      <c r="Q72" t="n">
        <v>0</v>
      </c>
      <c r="R72" s="2" t="inlineStr"/>
    </row>
    <row r="73" ht="15" customHeight="1">
      <c r="A73" t="inlineStr">
        <is>
          <t>A 30487-2019</t>
        </is>
      </c>
      <c r="B73" s="1" t="n">
        <v>43635</v>
      </c>
      <c r="C73" s="1" t="n">
        <v>45695</v>
      </c>
      <c r="D73" t="inlineStr">
        <is>
          <t>DALARNAS LÄN</t>
        </is>
      </c>
      <c r="E73" t="inlineStr">
        <is>
          <t>MORA</t>
        </is>
      </c>
      <c r="G73" t="n">
        <v>11.5</v>
      </c>
      <c r="H73" t="n">
        <v>0</v>
      </c>
      <c r="I73" t="n">
        <v>0</v>
      </c>
      <c r="J73" t="n">
        <v>0</v>
      </c>
      <c r="K73" t="n">
        <v>0</v>
      </c>
      <c r="L73" t="n">
        <v>0</v>
      </c>
      <c r="M73" t="n">
        <v>0</v>
      </c>
      <c r="N73" t="n">
        <v>0</v>
      </c>
      <c r="O73" t="n">
        <v>0</v>
      </c>
      <c r="P73" t="n">
        <v>0</v>
      </c>
      <c r="Q73" t="n">
        <v>0</v>
      </c>
      <c r="R73" s="2" t="inlineStr"/>
    </row>
    <row r="74" ht="15" customHeight="1">
      <c r="A74" t="inlineStr">
        <is>
          <t>A 30558-2019</t>
        </is>
      </c>
      <c r="B74" s="1" t="n">
        <v>43635</v>
      </c>
      <c r="C74" s="1" t="n">
        <v>45695</v>
      </c>
      <c r="D74" t="inlineStr">
        <is>
          <t>DALARNAS LÄN</t>
        </is>
      </c>
      <c r="E74" t="inlineStr">
        <is>
          <t>MORA</t>
        </is>
      </c>
      <c r="G74" t="n">
        <v>0.8</v>
      </c>
      <c r="H74" t="n">
        <v>0</v>
      </c>
      <c r="I74" t="n">
        <v>0</v>
      </c>
      <c r="J74" t="n">
        <v>0</v>
      </c>
      <c r="K74" t="n">
        <v>0</v>
      </c>
      <c r="L74" t="n">
        <v>0</v>
      </c>
      <c r="M74" t="n">
        <v>0</v>
      </c>
      <c r="N74" t="n">
        <v>0</v>
      </c>
      <c r="O74" t="n">
        <v>0</v>
      </c>
      <c r="P74" t="n">
        <v>0</v>
      </c>
      <c r="Q74" t="n">
        <v>0</v>
      </c>
      <c r="R74" s="2" t="inlineStr"/>
    </row>
    <row r="75" ht="15" customHeight="1">
      <c r="A75" t="inlineStr">
        <is>
          <t>A 30585-2019</t>
        </is>
      </c>
      <c r="B75" s="1" t="n">
        <v>43635</v>
      </c>
      <c r="C75" s="1" t="n">
        <v>45695</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30665-2019</t>
        </is>
      </c>
      <c r="B76" s="1" t="n">
        <v>43636</v>
      </c>
      <c r="C76" s="1" t="n">
        <v>45695</v>
      </c>
      <c r="D76" t="inlineStr">
        <is>
          <t>DALARNAS LÄN</t>
        </is>
      </c>
      <c r="E76" t="inlineStr">
        <is>
          <t>MORA</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30674-2019</t>
        </is>
      </c>
      <c r="B77" s="1" t="n">
        <v>43636</v>
      </c>
      <c r="C77" s="1" t="n">
        <v>45695</v>
      </c>
      <c r="D77" t="inlineStr">
        <is>
          <t>DALARNAS LÄN</t>
        </is>
      </c>
      <c r="E77" t="inlineStr">
        <is>
          <t>MORA</t>
        </is>
      </c>
      <c r="F77" t="inlineStr">
        <is>
          <t>Kyrkan</t>
        </is>
      </c>
      <c r="G77" t="n">
        <v>1.4</v>
      </c>
      <c r="H77" t="n">
        <v>0</v>
      </c>
      <c r="I77" t="n">
        <v>0</v>
      </c>
      <c r="J77" t="n">
        <v>0</v>
      </c>
      <c r="K77" t="n">
        <v>0</v>
      </c>
      <c r="L77" t="n">
        <v>0</v>
      </c>
      <c r="M77" t="n">
        <v>0</v>
      </c>
      <c r="N77" t="n">
        <v>0</v>
      </c>
      <c r="O77" t="n">
        <v>0</v>
      </c>
      <c r="P77" t="n">
        <v>0</v>
      </c>
      <c r="Q77" t="n">
        <v>0</v>
      </c>
      <c r="R77" s="2" t="inlineStr"/>
    </row>
    <row r="78" ht="15" customHeight="1">
      <c r="A78" t="inlineStr">
        <is>
          <t>A 31007-2019</t>
        </is>
      </c>
      <c r="B78" s="1" t="n">
        <v>43640</v>
      </c>
      <c r="C78" s="1" t="n">
        <v>45695</v>
      </c>
      <c r="D78" t="inlineStr">
        <is>
          <t>DALARNAS LÄN</t>
        </is>
      </c>
      <c r="E78" t="inlineStr">
        <is>
          <t>MORA</t>
        </is>
      </c>
      <c r="G78" t="n">
        <v>15.2</v>
      </c>
      <c r="H78" t="n">
        <v>0</v>
      </c>
      <c r="I78" t="n">
        <v>0</v>
      </c>
      <c r="J78" t="n">
        <v>0</v>
      </c>
      <c r="K78" t="n">
        <v>0</v>
      </c>
      <c r="L78" t="n">
        <v>0</v>
      </c>
      <c r="M78" t="n">
        <v>0</v>
      </c>
      <c r="N78" t="n">
        <v>0</v>
      </c>
      <c r="O78" t="n">
        <v>0</v>
      </c>
      <c r="P78" t="n">
        <v>0</v>
      </c>
      <c r="Q78" t="n">
        <v>0</v>
      </c>
      <c r="R78" s="2" t="inlineStr"/>
    </row>
    <row r="79" ht="15" customHeight="1">
      <c r="A79" t="inlineStr">
        <is>
          <t>A 31786-2019</t>
        </is>
      </c>
      <c r="B79" s="1" t="n">
        <v>43642</v>
      </c>
      <c r="C79" s="1" t="n">
        <v>45695</v>
      </c>
      <c r="D79" t="inlineStr">
        <is>
          <t>DALARNAS LÄN</t>
        </is>
      </c>
      <c r="E79" t="inlineStr">
        <is>
          <t>MORA</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32085-2019</t>
        </is>
      </c>
      <c r="B80" s="1" t="n">
        <v>43643</v>
      </c>
      <c r="C80" s="1" t="n">
        <v>45695</v>
      </c>
      <c r="D80" t="inlineStr">
        <is>
          <t>DALARNAS LÄN</t>
        </is>
      </c>
      <c r="E80" t="inlineStr">
        <is>
          <t>MORA</t>
        </is>
      </c>
      <c r="G80" t="n">
        <v>4.6</v>
      </c>
      <c r="H80" t="n">
        <v>0</v>
      </c>
      <c r="I80" t="n">
        <v>0</v>
      </c>
      <c r="J80" t="n">
        <v>0</v>
      </c>
      <c r="K80" t="n">
        <v>0</v>
      </c>
      <c r="L80" t="n">
        <v>0</v>
      </c>
      <c r="M80" t="n">
        <v>0</v>
      </c>
      <c r="N80" t="n">
        <v>0</v>
      </c>
      <c r="O80" t="n">
        <v>0</v>
      </c>
      <c r="P80" t="n">
        <v>0</v>
      </c>
      <c r="Q80" t="n">
        <v>0</v>
      </c>
      <c r="R80" s="2" t="inlineStr"/>
    </row>
    <row r="81" ht="15" customHeight="1">
      <c r="A81" t="inlineStr">
        <is>
          <t>A 33184-2019</t>
        </is>
      </c>
      <c r="B81" s="1" t="n">
        <v>43649</v>
      </c>
      <c r="C81" s="1" t="n">
        <v>45695</v>
      </c>
      <c r="D81" t="inlineStr">
        <is>
          <t>DALARNAS LÄN</t>
        </is>
      </c>
      <c r="E81" t="inlineStr">
        <is>
          <t>MORA</t>
        </is>
      </c>
      <c r="G81" t="n">
        <v>8.1</v>
      </c>
      <c r="H81" t="n">
        <v>0</v>
      </c>
      <c r="I81" t="n">
        <v>0</v>
      </c>
      <c r="J81" t="n">
        <v>0</v>
      </c>
      <c r="K81" t="n">
        <v>0</v>
      </c>
      <c r="L81" t="n">
        <v>0</v>
      </c>
      <c r="M81" t="n">
        <v>0</v>
      </c>
      <c r="N81" t="n">
        <v>0</v>
      </c>
      <c r="O81" t="n">
        <v>0</v>
      </c>
      <c r="P81" t="n">
        <v>0</v>
      </c>
      <c r="Q81" t="n">
        <v>0</v>
      </c>
      <c r="R81" s="2" t="inlineStr"/>
    </row>
    <row r="82" ht="15" customHeight="1">
      <c r="A82" t="inlineStr">
        <is>
          <t>A 33187-2019</t>
        </is>
      </c>
      <c r="B82" s="1" t="n">
        <v>43649</v>
      </c>
      <c r="C82" s="1" t="n">
        <v>45695</v>
      </c>
      <c r="D82" t="inlineStr">
        <is>
          <t>DALARNAS LÄN</t>
        </is>
      </c>
      <c r="E82" t="inlineStr">
        <is>
          <t>MORA</t>
        </is>
      </c>
      <c r="G82" t="n">
        <v>7.1</v>
      </c>
      <c r="H82" t="n">
        <v>0</v>
      </c>
      <c r="I82" t="n">
        <v>0</v>
      </c>
      <c r="J82" t="n">
        <v>0</v>
      </c>
      <c r="K82" t="n">
        <v>0</v>
      </c>
      <c r="L82" t="n">
        <v>0</v>
      </c>
      <c r="M82" t="n">
        <v>0</v>
      </c>
      <c r="N82" t="n">
        <v>0</v>
      </c>
      <c r="O82" t="n">
        <v>0</v>
      </c>
      <c r="P82" t="n">
        <v>0</v>
      </c>
      <c r="Q82" t="n">
        <v>0</v>
      </c>
      <c r="R82" s="2" t="inlineStr"/>
    </row>
    <row r="83" ht="15" customHeight="1">
      <c r="A83" t="inlineStr">
        <is>
          <t>A 33188-2019</t>
        </is>
      </c>
      <c r="B83" s="1" t="n">
        <v>43649</v>
      </c>
      <c r="C83" s="1" t="n">
        <v>45695</v>
      </c>
      <c r="D83" t="inlineStr">
        <is>
          <t>DALARNAS LÄN</t>
        </is>
      </c>
      <c r="E83" t="inlineStr">
        <is>
          <t>MORA</t>
        </is>
      </c>
      <c r="G83" t="n">
        <v>3.9</v>
      </c>
      <c r="H83" t="n">
        <v>0</v>
      </c>
      <c r="I83" t="n">
        <v>0</v>
      </c>
      <c r="J83" t="n">
        <v>0</v>
      </c>
      <c r="K83" t="n">
        <v>0</v>
      </c>
      <c r="L83" t="n">
        <v>0</v>
      </c>
      <c r="M83" t="n">
        <v>0</v>
      </c>
      <c r="N83" t="n">
        <v>0</v>
      </c>
      <c r="O83" t="n">
        <v>0</v>
      </c>
      <c r="P83" t="n">
        <v>0</v>
      </c>
      <c r="Q83" t="n">
        <v>0</v>
      </c>
      <c r="R83" s="2" t="inlineStr"/>
    </row>
    <row r="84" ht="15" customHeight="1">
      <c r="A84" t="inlineStr">
        <is>
          <t>A 33183-2019</t>
        </is>
      </c>
      <c r="B84" s="1" t="n">
        <v>43649</v>
      </c>
      <c r="C84" s="1" t="n">
        <v>45695</v>
      </c>
      <c r="D84" t="inlineStr">
        <is>
          <t>DALARNAS LÄN</t>
        </is>
      </c>
      <c r="E84" t="inlineStr">
        <is>
          <t>MORA</t>
        </is>
      </c>
      <c r="G84" t="n">
        <v>20.1</v>
      </c>
      <c r="H84" t="n">
        <v>0</v>
      </c>
      <c r="I84" t="n">
        <v>0</v>
      </c>
      <c r="J84" t="n">
        <v>0</v>
      </c>
      <c r="K84" t="n">
        <v>0</v>
      </c>
      <c r="L84" t="n">
        <v>0</v>
      </c>
      <c r="M84" t="n">
        <v>0</v>
      </c>
      <c r="N84" t="n">
        <v>0</v>
      </c>
      <c r="O84" t="n">
        <v>0</v>
      </c>
      <c r="P84" t="n">
        <v>0</v>
      </c>
      <c r="Q84" t="n">
        <v>0</v>
      </c>
      <c r="R84" s="2" t="inlineStr"/>
    </row>
    <row r="85" ht="15" customHeight="1">
      <c r="A85" t="inlineStr">
        <is>
          <t>A 33318-2019</t>
        </is>
      </c>
      <c r="B85" s="1" t="n">
        <v>43650</v>
      </c>
      <c r="C85" s="1" t="n">
        <v>45695</v>
      </c>
      <c r="D85" t="inlineStr">
        <is>
          <t>DALARNAS LÄN</t>
        </is>
      </c>
      <c r="E85" t="inlineStr">
        <is>
          <t>MORA</t>
        </is>
      </c>
      <c r="G85" t="n">
        <v>11.8</v>
      </c>
      <c r="H85" t="n">
        <v>0</v>
      </c>
      <c r="I85" t="n">
        <v>0</v>
      </c>
      <c r="J85" t="n">
        <v>0</v>
      </c>
      <c r="K85" t="n">
        <v>0</v>
      </c>
      <c r="L85" t="n">
        <v>0</v>
      </c>
      <c r="M85" t="n">
        <v>0</v>
      </c>
      <c r="N85" t="n">
        <v>0</v>
      </c>
      <c r="O85" t="n">
        <v>0</v>
      </c>
      <c r="P85" t="n">
        <v>0</v>
      </c>
      <c r="Q85" t="n">
        <v>0</v>
      </c>
      <c r="R85" s="2" t="inlineStr"/>
    </row>
    <row r="86" ht="15" customHeight="1">
      <c r="A86" t="inlineStr">
        <is>
          <t>A 35360-2019</t>
        </is>
      </c>
      <c r="B86" s="1" t="n">
        <v>43651</v>
      </c>
      <c r="C86" s="1" t="n">
        <v>45695</v>
      </c>
      <c r="D86" t="inlineStr">
        <is>
          <t>DALARNAS LÄN</t>
        </is>
      </c>
      <c r="E86" t="inlineStr">
        <is>
          <t>MORA</t>
        </is>
      </c>
      <c r="G86" t="n">
        <v>1.2</v>
      </c>
      <c r="H86" t="n">
        <v>0</v>
      </c>
      <c r="I86" t="n">
        <v>0</v>
      </c>
      <c r="J86" t="n">
        <v>0</v>
      </c>
      <c r="K86" t="n">
        <v>0</v>
      </c>
      <c r="L86" t="n">
        <v>0</v>
      </c>
      <c r="M86" t="n">
        <v>0</v>
      </c>
      <c r="N86" t="n">
        <v>0</v>
      </c>
      <c r="O86" t="n">
        <v>0</v>
      </c>
      <c r="P86" t="n">
        <v>0</v>
      </c>
      <c r="Q86" t="n">
        <v>0</v>
      </c>
      <c r="R86" s="2" t="inlineStr"/>
    </row>
    <row r="87" ht="15" customHeight="1">
      <c r="A87" t="inlineStr">
        <is>
          <t>A 34330-2019</t>
        </is>
      </c>
      <c r="B87" s="1" t="n">
        <v>43656</v>
      </c>
      <c r="C87" s="1" t="n">
        <v>45695</v>
      </c>
      <c r="D87" t="inlineStr">
        <is>
          <t>DALARNAS LÄN</t>
        </is>
      </c>
      <c r="E87" t="inlineStr">
        <is>
          <t>MORA</t>
        </is>
      </c>
      <c r="G87" t="n">
        <v>2.6</v>
      </c>
      <c r="H87" t="n">
        <v>0</v>
      </c>
      <c r="I87" t="n">
        <v>0</v>
      </c>
      <c r="J87" t="n">
        <v>0</v>
      </c>
      <c r="K87" t="n">
        <v>0</v>
      </c>
      <c r="L87" t="n">
        <v>0</v>
      </c>
      <c r="M87" t="n">
        <v>0</v>
      </c>
      <c r="N87" t="n">
        <v>0</v>
      </c>
      <c r="O87" t="n">
        <v>0</v>
      </c>
      <c r="P87" t="n">
        <v>0</v>
      </c>
      <c r="Q87" t="n">
        <v>0</v>
      </c>
      <c r="R87" s="2" t="inlineStr"/>
    </row>
    <row r="88" ht="15" customHeight="1">
      <c r="A88" t="inlineStr">
        <is>
          <t>A 36275-2019</t>
        </is>
      </c>
      <c r="B88" s="1" t="n">
        <v>43661</v>
      </c>
      <c r="C88" s="1" t="n">
        <v>45695</v>
      </c>
      <c r="D88" t="inlineStr">
        <is>
          <t>DALARNAS LÄN</t>
        </is>
      </c>
      <c r="E88" t="inlineStr">
        <is>
          <t>MORA</t>
        </is>
      </c>
      <c r="G88" t="n">
        <v>7.3</v>
      </c>
      <c r="H88" t="n">
        <v>0</v>
      </c>
      <c r="I88" t="n">
        <v>0</v>
      </c>
      <c r="J88" t="n">
        <v>0</v>
      </c>
      <c r="K88" t="n">
        <v>0</v>
      </c>
      <c r="L88" t="n">
        <v>0</v>
      </c>
      <c r="M88" t="n">
        <v>0</v>
      </c>
      <c r="N88" t="n">
        <v>0</v>
      </c>
      <c r="O88" t="n">
        <v>0</v>
      </c>
      <c r="P88" t="n">
        <v>0</v>
      </c>
      <c r="Q88" t="n">
        <v>0</v>
      </c>
      <c r="R88" s="2" t="inlineStr"/>
    </row>
    <row r="89" ht="15" customHeight="1">
      <c r="A89" t="inlineStr">
        <is>
          <t>A 36440-2019</t>
        </is>
      </c>
      <c r="B89" s="1" t="n">
        <v>43664</v>
      </c>
      <c r="C89" s="1" t="n">
        <v>45695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37801-2019</t>
        </is>
      </c>
      <c r="B90" s="1" t="n">
        <v>43675</v>
      </c>
      <c r="C90" s="1" t="n">
        <v>45695</v>
      </c>
      <c r="D90" t="inlineStr">
        <is>
          <t>DALARNAS LÄN</t>
        </is>
      </c>
      <c r="E90" t="inlineStr">
        <is>
          <t>MORA</t>
        </is>
      </c>
      <c r="F90" t="inlineStr">
        <is>
          <t>Allmännings- och besparingsskogar</t>
        </is>
      </c>
      <c r="G90" t="n">
        <v>6.2</v>
      </c>
      <c r="H90" t="n">
        <v>0</v>
      </c>
      <c r="I90" t="n">
        <v>0</v>
      </c>
      <c r="J90" t="n">
        <v>0</v>
      </c>
      <c r="K90" t="n">
        <v>0</v>
      </c>
      <c r="L90" t="n">
        <v>0</v>
      </c>
      <c r="M90" t="n">
        <v>0</v>
      </c>
      <c r="N90" t="n">
        <v>0</v>
      </c>
      <c r="O90" t="n">
        <v>0</v>
      </c>
      <c r="P90" t="n">
        <v>0</v>
      </c>
      <c r="Q90" t="n">
        <v>0</v>
      </c>
      <c r="R90" s="2" t="inlineStr"/>
    </row>
    <row r="91" ht="15" customHeight="1">
      <c r="A91" t="inlineStr">
        <is>
          <t>A 37816-2019</t>
        </is>
      </c>
      <c r="B91" s="1" t="n">
        <v>43675</v>
      </c>
      <c r="C91" s="1" t="n">
        <v>45695</v>
      </c>
      <c r="D91" t="inlineStr">
        <is>
          <t>DALARNAS LÄN</t>
        </is>
      </c>
      <c r="E91" t="inlineStr">
        <is>
          <t>MORA</t>
        </is>
      </c>
      <c r="F91" t="inlineStr">
        <is>
          <t>Allmännings- och besparingsskogar</t>
        </is>
      </c>
      <c r="G91" t="n">
        <v>29.9</v>
      </c>
      <c r="H91" t="n">
        <v>0</v>
      </c>
      <c r="I91" t="n">
        <v>0</v>
      </c>
      <c r="J91" t="n">
        <v>0</v>
      </c>
      <c r="K91" t="n">
        <v>0</v>
      </c>
      <c r="L91" t="n">
        <v>0</v>
      </c>
      <c r="M91" t="n">
        <v>0</v>
      </c>
      <c r="N91" t="n">
        <v>0</v>
      </c>
      <c r="O91" t="n">
        <v>0</v>
      </c>
      <c r="P91" t="n">
        <v>0</v>
      </c>
      <c r="Q91" t="n">
        <v>0</v>
      </c>
      <c r="R91" s="2" t="inlineStr"/>
    </row>
    <row r="92" ht="15" customHeight="1">
      <c r="A92" t="inlineStr">
        <is>
          <t>A 36991-2019</t>
        </is>
      </c>
      <c r="B92" s="1" t="n">
        <v>43676</v>
      </c>
      <c r="C92" s="1" t="n">
        <v>45695</v>
      </c>
      <c r="D92" t="inlineStr">
        <is>
          <t>DALARNAS LÄN</t>
        </is>
      </c>
      <c r="E92" t="inlineStr">
        <is>
          <t>MORA</t>
        </is>
      </c>
      <c r="G92" t="n">
        <v>2.7</v>
      </c>
      <c r="H92" t="n">
        <v>0</v>
      </c>
      <c r="I92" t="n">
        <v>0</v>
      </c>
      <c r="J92" t="n">
        <v>0</v>
      </c>
      <c r="K92" t="n">
        <v>0</v>
      </c>
      <c r="L92" t="n">
        <v>0</v>
      </c>
      <c r="M92" t="n">
        <v>0</v>
      </c>
      <c r="N92" t="n">
        <v>0</v>
      </c>
      <c r="O92" t="n">
        <v>0</v>
      </c>
      <c r="P92" t="n">
        <v>0</v>
      </c>
      <c r="Q92" t="n">
        <v>0</v>
      </c>
      <c r="R92" s="2" t="inlineStr"/>
    </row>
    <row r="93" ht="15" customHeight="1">
      <c r="A93" t="inlineStr">
        <is>
          <t>A 38821-2019</t>
        </is>
      </c>
      <c r="B93" s="1" t="n">
        <v>43682</v>
      </c>
      <c r="C93" s="1" t="n">
        <v>45695</v>
      </c>
      <c r="D93" t="inlineStr">
        <is>
          <t>DALARNAS LÄN</t>
        </is>
      </c>
      <c r="E93" t="inlineStr">
        <is>
          <t>MORA</t>
        </is>
      </c>
      <c r="F93" t="inlineStr">
        <is>
          <t>Allmännings- och besparingsskogar</t>
        </is>
      </c>
      <c r="G93" t="n">
        <v>7.1</v>
      </c>
      <c r="H93" t="n">
        <v>0</v>
      </c>
      <c r="I93" t="n">
        <v>0</v>
      </c>
      <c r="J93" t="n">
        <v>0</v>
      </c>
      <c r="K93" t="n">
        <v>0</v>
      </c>
      <c r="L93" t="n">
        <v>0</v>
      </c>
      <c r="M93" t="n">
        <v>0</v>
      </c>
      <c r="N93" t="n">
        <v>0</v>
      </c>
      <c r="O93" t="n">
        <v>0</v>
      </c>
      <c r="P93" t="n">
        <v>0</v>
      </c>
      <c r="Q93" t="n">
        <v>0</v>
      </c>
      <c r="R93" s="2" t="inlineStr"/>
    </row>
    <row r="94" ht="15" customHeight="1">
      <c r="A94" t="inlineStr">
        <is>
          <t>A 38514-2019</t>
        </is>
      </c>
      <c r="B94" s="1" t="n">
        <v>43685</v>
      </c>
      <c r="C94" s="1" t="n">
        <v>45695</v>
      </c>
      <c r="D94" t="inlineStr">
        <is>
          <t>DALARNAS LÄN</t>
        </is>
      </c>
      <c r="E94" t="inlineStr">
        <is>
          <t>MORA</t>
        </is>
      </c>
      <c r="F94" t="inlineStr">
        <is>
          <t>Bergvik skog öst AB</t>
        </is>
      </c>
      <c r="G94" t="n">
        <v>7.4</v>
      </c>
      <c r="H94" t="n">
        <v>0</v>
      </c>
      <c r="I94" t="n">
        <v>0</v>
      </c>
      <c r="J94" t="n">
        <v>0</v>
      </c>
      <c r="K94" t="n">
        <v>0</v>
      </c>
      <c r="L94" t="n">
        <v>0</v>
      </c>
      <c r="M94" t="n">
        <v>0</v>
      </c>
      <c r="N94" t="n">
        <v>0</v>
      </c>
      <c r="O94" t="n">
        <v>0</v>
      </c>
      <c r="P94" t="n">
        <v>0</v>
      </c>
      <c r="Q94" t="n">
        <v>0</v>
      </c>
      <c r="R94" s="2" t="inlineStr"/>
    </row>
    <row r="95" ht="15" customHeight="1">
      <c r="A95" t="inlineStr">
        <is>
          <t>A 39809-2019</t>
        </is>
      </c>
      <c r="B95" s="1" t="n">
        <v>43692</v>
      </c>
      <c r="C95" s="1" t="n">
        <v>45695</v>
      </c>
      <c r="D95" t="inlineStr">
        <is>
          <t>DALARNAS LÄN</t>
        </is>
      </c>
      <c r="E95" t="inlineStr">
        <is>
          <t>MORA</t>
        </is>
      </c>
      <c r="F95" t="inlineStr">
        <is>
          <t>Bergvik skog öst AB</t>
        </is>
      </c>
      <c r="G95" t="n">
        <v>1.4</v>
      </c>
      <c r="H95" t="n">
        <v>0</v>
      </c>
      <c r="I95" t="n">
        <v>0</v>
      </c>
      <c r="J95" t="n">
        <v>0</v>
      </c>
      <c r="K95" t="n">
        <v>0</v>
      </c>
      <c r="L95" t="n">
        <v>0</v>
      </c>
      <c r="M95" t="n">
        <v>0</v>
      </c>
      <c r="N95" t="n">
        <v>0</v>
      </c>
      <c r="O95" t="n">
        <v>0</v>
      </c>
      <c r="P95" t="n">
        <v>0</v>
      </c>
      <c r="Q95" t="n">
        <v>0</v>
      </c>
      <c r="R95" s="2" t="inlineStr"/>
    </row>
    <row r="96" ht="15" customHeight="1">
      <c r="A96" t="inlineStr">
        <is>
          <t>A 39811-2019</t>
        </is>
      </c>
      <c r="B96" s="1" t="n">
        <v>43692</v>
      </c>
      <c r="C96" s="1" t="n">
        <v>45695</v>
      </c>
      <c r="D96" t="inlineStr">
        <is>
          <t>DALARNAS LÄN</t>
        </is>
      </c>
      <c r="E96" t="inlineStr">
        <is>
          <t>MORA</t>
        </is>
      </c>
      <c r="F96" t="inlineStr">
        <is>
          <t>Bergvik skog öst AB</t>
        </is>
      </c>
      <c r="G96" t="n">
        <v>0.4</v>
      </c>
      <c r="H96" t="n">
        <v>0</v>
      </c>
      <c r="I96" t="n">
        <v>0</v>
      </c>
      <c r="J96" t="n">
        <v>0</v>
      </c>
      <c r="K96" t="n">
        <v>0</v>
      </c>
      <c r="L96" t="n">
        <v>0</v>
      </c>
      <c r="M96" t="n">
        <v>0</v>
      </c>
      <c r="N96" t="n">
        <v>0</v>
      </c>
      <c r="O96" t="n">
        <v>0</v>
      </c>
      <c r="P96" t="n">
        <v>0</v>
      </c>
      <c r="Q96" t="n">
        <v>0</v>
      </c>
      <c r="R96" s="2" t="inlineStr"/>
    </row>
    <row r="97" ht="15" customHeight="1">
      <c r="A97" t="inlineStr">
        <is>
          <t>A 40910-2019</t>
        </is>
      </c>
      <c r="B97" s="1" t="n">
        <v>43693</v>
      </c>
      <c r="C97" s="1" t="n">
        <v>45695</v>
      </c>
      <c r="D97" t="inlineStr">
        <is>
          <t>DALARNAS LÄN</t>
        </is>
      </c>
      <c r="E97" t="inlineStr">
        <is>
          <t>MORA</t>
        </is>
      </c>
      <c r="G97" t="n">
        <v>4.2</v>
      </c>
      <c r="H97" t="n">
        <v>0</v>
      </c>
      <c r="I97" t="n">
        <v>0</v>
      </c>
      <c r="J97" t="n">
        <v>0</v>
      </c>
      <c r="K97" t="n">
        <v>0</v>
      </c>
      <c r="L97" t="n">
        <v>0</v>
      </c>
      <c r="M97" t="n">
        <v>0</v>
      </c>
      <c r="N97" t="n">
        <v>0</v>
      </c>
      <c r="O97" t="n">
        <v>0</v>
      </c>
      <c r="P97" t="n">
        <v>0</v>
      </c>
      <c r="Q97" t="n">
        <v>0</v>
      </c>
      <c r="R97" s="2" t="inlineStr"/>
    </row>
    <row r="98" ht="15" customHeight="1">
      <c r="A98" t="inlineStr">
        <is>
          <t>A 42530-2019</t>
        </is>
      </c>
      <c r="B98" s="1" t="n">
        <v>43698</v>
      </c>
      <c r="C98" s="1" t="n">
        <v>45695</v>
      </c>
      <c r="D98" t="inlineStr">
        <is>
          <t>DALARNAS LÄN</t>
        </is>
      </c>
      <c r="E98" t="inlineStr">
        <is>
          <t>MORA</t>
        </is>
      </c>
      <c r="G98" t="n">
        <v>4.7</v>
      </c>
      <c r="H98" t="n">
        <v>0</v>
      </c>
      <c r="I98" t="n">
        <v>0</v>
      </c>
      <c r="J98" t="n">
        <v>0</v>
      </c>
      <c r="K98" t="n">
        <v>0</v>
      </c>
      <c r="L98" t="n">
        <v>0</v>
      </c>
      <c r="M98" t="n">
        <v>0</v>
      </c>
      <c r="N98" t="n">
        <v>0</v>
      </c>
      <c r="O98" t="n">
        <v>0</v>
      </c>
      <c r="P98" t="n">
        <v>0</v>
      </c>
      <c r="Q98" t="n">
        <v>0</v>
      </c>
      <c r="R98" s="2" t="inlineStr"/>
    </row>
    <row r="99" ht="15" customHeight="1">
      <c r="A99" t="inlineStr">
        <is>
          <t>A 43396-2019</t>
        </is>
      </c>
      <c r="B99" s="1" t="n">
        <v>43703</v>
      </c>
      <c r="C99" s="1" t="n">
        <v>45695</v>
      </c>
      <c r="D99" t="inlineStr">
        <is>
          <t>DALARNAS LÄN</t>
        </is>
      </c>
      <c r="E99" t="inlineStr">
        <is>
          <t>MORA</t>
        </is>
      </c>
      <c r="G99" t="n">
        <v>1.1</v>
      </c>
      <c r="H99" t="n">
        <v>0</v>
      </c>
      <c r="I99" t="n">
        <v>0</v>
      </c>
      <c r="J99" t="n">
        <v>0</v>
      </c>
      <c r="K99" t="n">
        <v>0</v>
      </c>
      <c r="L99" t="n">
        <v>0</v>
      </c>
      <c r="M99" t="n">
        <v>0</v>
      </c>
      <c r="N99" t="n">
        <v>0</v>
      </c>
      <c r="O99" t="n">
        <v>0</v>
      </c>
      <c r="P99" t="n">
        <v>0</v>
      </c>
      <c r="Q99" t="n">
        <v>0</v>
      </c>
      <c r="R99" s="2" t="inlineStr"/>
    </row>
    <row r="100" ht="15" customHeight="1">
      <c r="A100" t="inlineStr">
        <is>
          <t>A 43744-2019</t>
        </is>
      </c>
      <c r="B100" s="1" t="n">
        <v>43707</v>
      </c>
      <c r="C100" s="1" t="n">
        <v>45695</v>
      </c>
      <c r="D100" t="inlineStr">
        <is>
          <t>DALARNAS LÄN</t>
        </is>
      </c>
      <c r="E100" t="inlineStr">
        <is>
          <t>MORA</t>
        </is>
      </c>
      <c r="G100" t="n">
        <v>1.3</v>
      </c>
      <c r="H100" t="n">
        <v>0</v>
      </c>
      <c r="I100" t="n">
        <v>0</v>
      </c>
      <c r="J100" t="n">
        <v>0</v>
      </c>
      <c r="K100" t="n">
        <v>0</v>
      </c>
      <c r="L100" t="n">
        <v>0</v>
      </c>
      <c r="M100" t="n">
        <v>0</v>
      </c>
      <c r="N100" t="n">
        <v>0</v>
      </c>
      <c r="O100" t="n">
        <v>0</v>
      </c>
      <c r="P100" t="n">
        <v>0</v>
      </c>
      <c r="Q100" t="n">
        <v>0</v>
      </c>
      <c r="R100" s="2" t="inlineStr"/>
    </row>
    <row r="101" ht="15" customHeight="1">
      <c r="A101" t="inlineStr">
        <is>
          <t>A 43718-2019</t>
        </is>
      </c>
      <c r="B101" s="1" t="n">
        <v>43707</v>
      </c>
      <c r="C101" s="1" t="n">
        <v>45695</v>
      </c>
      <c r="D101" t="inlineStr">
        <is>
          <t>DALARNAS LÄN</t>
        </is>
      </c>
      <c r="E101" t="inlineStr">
        <is>
          <t>MORA</t>
        </is>
      </c>
      <c r="G101" t="n">
        <v>10.7</v>
      </c>
      <c r="H101" t="n">
        <v>0</v>
      </c>
      <c r="I101" t="n">
        <v>0</v>
      </c>
      <c r="J101" t="n">
        <v>0</v>
      </c>
      <c r="K101" t="n">
        <v>0</v>
      </c>
      <c r="L101" t="n">
        <v>0</v>
      </c>
      <c r="M101" t="n">
        <v>0</v>
      </c>
      <c r="N101" t="n">
        <v>0</v>
      </c>
      <c r="O101" t="n">
        <v>0</v>
      </c>
      <c r="P101" t="n">
        <v>0</v>
      </c>
      <c r="Q101" t="n">
        <v>0</v>
      </c>
      <c r="R101" s="2" t="inlineStr"/>
    </row>
    <row r="102" ht="15" customHeight="1">
      <c r="A102" t="inlineStr">
        <is>
          <t>A 44759-2019</t>
        </is>
      </c>
      <c r="B102" s="1" t="n">
        <v>43707</v>
      </c>
      <c r="C102" s="1" t="n">
        <v>45695</v>
      </c>
      <c r="D102" t="inlineStr">
        <is>
          <t>DALARNAS LÄN</t>
        </is>
      </c>
      <c r="E102" t="inlineStr">
        <is>
          <t>MORA</t>
        </is>
      </c>
      <c r="F102" t="inlineStr">
        <is>
          <t>Allmännings- och besparingsskogar</t>
        </is>
      </c>
      <c r="G102" t="n">
        <v>6.8</v>
      </c>
      <c r="H102" t="n">
        <v>0</v>
      </c>
      <c r="I102" t="n">
        <v>0</v>
      </c>
      <c r="J102" t="n">
        <v>0</v>
      </c>
      <c r="K102" t="n">
        <v>0</v>
      </c>
      <c r="L102" t="n">
        <v>0</v>
      </c>
      <c r="M102" t="n">
        <v>0</v>
      </c>
      <c r="N102" t="n">
        <v>0</v>
      </c>
      <c r="O102" t="n">
        <v>0</v>
      </c>
      <c r="P102" t="n">
        <v>0</v>
      </c>
      <c r="Q102" t="n">
        <v>0</v>
      </c>
      <c r="R102" s="2" t="inlineStr"/>
    </row>
    <row r="103" ht="15" customHeight="1">
      <c r="A103" t="inlineStr">
        <is>
          <t>A 44766-2019</t>
        </is>
      </c>
      <c r="B103" s="1" t="n">
        <v>43707</v>
      </c>
      <c r="C103" s="1" t="n">
        <v>45695</v>
      </c>
      <c r="D103" t="inlineStr">
        <is>
          <t>DALARNAS LÄN</t>
        </is>
      </c>
      <c r="E103" t="inlineStr">
        <is>
          <t>MORA</t>
        </is>
      </c>
      <c r="F103" t="inlineStr">
        <is>
          <t>Allmännings- och besparingsskogar</t>
        </is>
      </c>
      <c r="G103" t="n">
        <v>32.2</v>
      </c>
      <c r="H103" t="n">
        <v>0</v>
      </c>
      <c r="I103" t="n">
        <v>0</v>
      </c>
      <c r="J103" t="n">
        <v>0</v>
      </c>
      <c r="K103" t="n">
        <v>0</v>
      </c>
      <c r="L103" t="n">
        <v>0</v>
      </c>
      <c r="M103" t="n">
        <v>0</v>
      </c>
      <c r="N103" t="n">
        <v>0</v>
      </c>
      <c r="O103" t="n">
        <v>0</v>
      </c>
      <c r="P103" t="n">
        <v>0</v>
      </c>
      <c r="Q103" t="n">
        <v>0</v>
      </c>
      <c r="R103" s="2" t="inlineStr"/>
    </row>
    <row r="104" ht="15" customHeight="1">
      <c r="A104" t="inlineStr">
        <is>
          <t>A 45989-2019</t>
        </is>
      </c>
      <c r="B104" s="1" t="n">
        <v>43718</v>
      </c>
      <c r="C104" s="1" t="n">
        <v>45695</v>
      </c>
      <c r="D104" t="inlineStr">
        <is>
          <t>DALARNAS LÄN</t>
        </is>
      </c>
      <c r="E104" t="inlineStr">
        <is>
          <t>MORA</t>
        </is>
      </c>
      <c r="G104" t="n">
        <v>12.9</v>
      </c>
      <c r="H104" t="n">
        <v>0</v>
      </c>
      <c r="I104" t="n">
        <v>0</v>
      </c>
      <c r="J104" t="n">
        <v>0</v>
      </c>
      <c r="K104" t="n">
        <v>0</v>
      </c>
      <c r="L104" t="n">
        <v>0</v>
      </c>
      <c r="M104" t="n">
        <v>0</v>
      </c>
      <c r="N104" t="n">
        <v>0</v>
      </c>
      <c r="O104" t="n">
        <v>0</v>
      </c>
      <c r="P104" t="n">
        <v>0</v>
      </c>
      <c r="Q104" t="n">
        <v>0</v>
      </c>
      <c r="R104" s="2" t="inlineStr"/>
    </row>
    <row r="105" ht="15" customHeight="1">
      <c r="A105" t="inlineStr">
        <is>
          <t>A 46119-2019</t>
        </is>
      </c>
      <c r="B105" s="1" t="n">
        <v>43718</v>
      </c>
      <c r="C105" s="1" t="n">
        <v>45695</v>
      </c>
      <c r="D105" t="inlineStr">
        <is>
          <t>DALARNAS LÄN</t>
        </is>
      </c>
      <c r="E105" t="inlineStr">
        <is>
          <t>MORA</t>
        </is>
      </c>
      <c r="G105" t="n">
        <v>3.2</v>
      </c>
      <c r="H105" t="n">
        <v>0</v>
      </c>
      <c r="I105" t="n">
        <v>0</v>
      </c>
      <c r="J105" t="n">
        <v>0</v>
      </c>
      <c r="K105" t="n">
        <v>0</v>
      </c>
      <c r="L105" t="n">
        <v>0</v>
      </c>
      <c r="M105" t="n">
        <v>0</v>
      </c>
      <c r="N105" t="n">
        <v>0</v>
      </c>
      <c r="O105" t="n">
        <v>0</v>
      </c>
      <c r="P105" t="n">
        <v>0</v>
      </c>
      <c r="Q105" t="n">
        <v>0</v>
      </c>
      <c r="R105" s="2" t="inlineStr"/>
    </row>
    <row r="106" ht="15" customHeight="1">
      <c r="A106" t="inlineStr">
        <is>
          <t>A 46171-2019</t>
        </is>
      </c>
      <c r="B106" s="1" t="n">
        <v>43718</v>
      </c>
      <c r="C106" s="1" t="n">
        <v>45695</v>
      </c>
      <c r="D106" t="inlineStr">
        <is>
          <t>DALARNAS LÄN</t>
        </is>
      </c>
      <c r="E106" t="inlineStr">
        <is>
          <t>MORA</t>
        </is>
      </c>
      <c r="G106" t="n">
        <v>6.1</v>
      </c>
      <c r="H106" t="n">
        <v>0</v>
      </c>
      <c r="I106" t="n">
        <v>0</v>
      </c>
      <c r="J106" t="n">
        <v>0</v>
      </c>
      <c r="K106" t="n">
        <v>0</v>
      </c>
      <c r="L106" t="n">
        <v>0</v>
      </c>
      <c r="M106" t="n">
        <v>0</v>
      </c>
      <c r="N106" t="n">
        <v>0</v>
      </c>
      <c r="O106" t="n">
        <v>0</v>
      </c>
      <c r="P106" t="n">
        <v>0</v>
      </c>
      <c r="Q106" t="n">
        <v>0</v>
      </c>
      <c r="R106" s="2" t="inlineStr"/>
    </row>
    <row r="107" ht="15" customHeight="1">
      <c r="A107" t="inlineStr">
        <is>
          <t>A 47713-2019</t>
        </is>
      </c>
      <c r="B107" s="1" t="n">
        <v>43724</v>
      </c>
      <c r="C107" s="1" t="n">
        <v>45695</v>
      </c>
      <c r="D107" t="inlineStr">
        <is>
          <t>DALARNAS LÄN</t>
        </is>
      </c>
      <c r="E107" t="inlineStr">
        <is>
          <t>MORA</t>
        </is>
      </c>
      <c r="G107" t="n">
        <v>11.4</v>
      </c>
      <c r="H107" t="n">
        <v>0</v>
      </c>
      <c r="I107" t="n">
        <v>0</v>
      </c>
      <c r="J107" t="n">
        <v>0</v>
      </c>
      <c r="K107" t="n">
        <v>0</v>
      </c>
      <c r="L107" t="n">
        <v>0</v>
      </c>
      <c r="M107" t="n">
        <v>0</v>
      </c>
      <c r="N107" t="n">
        <v>0</v>
      </c>
      <c r="O107" t="n">
        <v>0</v>
      </c>
      <c r="P107" t="n">
        <v>0</v>
      </c>
      <c r="Q107" t="n">
        <v>0</v>
      </c>
      <c r="R107" s="2" t="inlineStr"/>
    </row>
    <row r="108" ht="15" customHeight="1">
      <c r="A108" t="inlineStr">
        <is>
          <t>A 49193-2019</t>
        </is>
      </c>
      <c r="B108" s="1" t="n">
        <v>43724</v>
      </c>
      <c r="C108" s="1" t="n">
        <v>45695</v>
      </c>
      <c r="D108" t="inlineStr">
        <is>
          <t>DALARNAS LÄN</t>
        </is>
      </c>
      <c r="E108" t="inlineStr">
        <is>
          <t>MORA</t>
        </is>
      </c>
      <c r="G108" t="n">
        <v>4.3</v>
      </c>
      <c r="H108" t="n">
        <v>0</v>
      </c>
      <c r="I108" t="n">
        <v>0</v>
      </c>
      <c r="J108" t="n">
        <v>0</v>
      </c>
      <c r="K108" t="n">
        <v>0</v>
      </c>
      <c r="L108" t="n">
        <v>0</v>
      </c>
      <c r="M108" t="n">
        <v>0</v>
      </c>
      <c r="N108" t="n">
        <v>0</v>
      </c>
      <c r="O108" t="n">
        <v>0</v>
      </c>
      <c r="P108" t="n">
        <v>0</v>
      </c>
      <c r="Q108" t="n">
        <v>0</v>
      </c>
      <c r="R108" s="2" t="inlineStr"/>
    </row>
    <row r="109" ht="15" customHeight="1">
      <c r="A109" t="inlineStr">
        <is>
          <t>A 48445-2019</t>
        </is>
      </c>
      <c r="B109" s="1" t="n">
        <v>43727</v>
      </c>
      <c r="C109" s="1" t="n">
        <v>45695</v>
      </c>
      <c r="D109" t="inlineStr">
        <is>
          <t>DALARNAS LÄN</t>
        </is>
      </c>
      <c r="E109" t="inlineStr">
        <is>
          <t>MORA</t>
        </is>
      </c>
      <c r="G109" t="n">
        <v>2.8</v>
      </c>
      <c r="H109" t="n">
        <v>0</v>
      </c>
      <c r="I109" t="n">
        <v>0</v>
      </c>
      <c r="J109" t="n">
        <v>0</v>
      </c>
      <c r="K109" t="n">
        <v>0</v>
      </c>
      <c r="L109" t="n">
        <v>0</v>
      </c>
      <c r="M109" t="n">
        <v>0</v>
      </c>
      <c r="N109" t="n">
        <v>0</v>
      </c>
      <c r="O109" t="n">
        <v>0</v>
      </c>
      <c r="P109" t="n">
        <v>0</v>
      </c>
      <c r="Q109" t="n">
        <v>0</v>
      </c>
      <c r="R109" s="2" t="inlineStr"/>
    </row>
    <row r="110" ht="15" customHeight="1">
      <c r="A110" t="inlineStr">
        <is>
          <t>A 48460-2019</t>
        </is>
      </c>
      <c r="B110" s="1" t="n">
        <v>43727</v>
      </c>
      <c r="C110" s="1" t="n">
        <v>45695</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49051-2019</t>
        </is>
      </c>
      <c r="B111" s="1" t="n">
        <v>43731</v>
      </c>
      <c r="C111" s="1" t="n">
        <v>45695</v>
      </c>
      <c r="D111" t="inlineStr">
        <is>
          <t>DALARNAS LÄN</t>
        </is>
      </c>
      <c r="E111" t="inlineStr">
        <is>
          <t>MORA</t>
        </is>
      </c>
      <c r="G111" t="n">
        <v>16</v>
      </c>
      <c r="H111" t="n">
        <v>0</v>
      </c>
      <c r="I111" t="n">
        <v>0</v>
      </c>
      <c r="J111" t="n">
        <v>0</v>
      </c>
      <c r="K111" t="n">
        <v>0</v>
      </c>
      <c r="L111" t="n">
        <v>0</v>
      </c>
      <c r="M111" t="n">
        <v>0</v>
      </c>
      <c r="N111" t="n">
        <v>0</v>
      </c>
      <c r="O111" t="n">
        <v>0</v>
      </c>
      <c r="P111" t="n">
        <v>0</v>
      </c>
      <c r="Q111" t="n">
        <v>0</v>
      </c>
      <c r="R111" s="2" t="inlineStr"/>
    </row>
    <row r="112" ht="15" customHeight="1">
      <c r="A112" t="inlineStr">
        <is>
          <t>A 49290-2019</t>
        </is>
      </c>
      <c r="B112" s="1" t="n">
        <v>43731</v>
      </c>
      <c r="C112" s="1" t="n">
        <v>45695</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49765-2019</t>
        </is>
      </c>
      <c r="B113" s="1" t="n">
        <v>43733</v>
      </c>
      <c r="C113" s="1" t="n">
        <v>45695</v>
      </c>
      <c r="D113" t="inlineStr">
        <is>
          <t>DALARNAS LÄN</t>
        </is>
      </c>
      <c r="E113" t="inlineStr">
        <is>
          <t>MORA</t>
        </is>
      </c>
      <c r="F113" t="inlineStr">
        <is>
          <t>Bergvik skog väst AB</t>
        </is>
      </c>
      <c r="G113" t="n">
        <v>9.6</v>
      </c>
      <c r="H113" t="n">
        <v>0</v>
      </c>
      <c r="I113" t="n">
        <v>0</v>
      </c>
      <c r="J113" t="n">
        <v>0</v>
      </c>
      <c r="K113" t="n">
        <v>0</v>
      </c>
      <c r="L113" t="n">
        <v>0</v>
      </c>
      <c r="M113" t="n">
        <v>0</v>
      </c>
      <c r="N113" t="n">
        <v>0</v>
      </c>
      <c r="O113" t="n">
        <v>0</v>
      </c>
      <c r="P113" t="n">
        <v>0</v>
      </c>
      <c r="Q113" t="n">
        <v>0</v>
      </c>
      <c r="R113" s="2" t="inlineStr"/>
    </row>
    <row r="114" ht="15" customHeight="1">
      <c r="A114" t="inlineStr">
        <is>
          <t>A 52958-2019</t>
        </is>
      </c>
      <c r="B114" s="1" t="n">
        <v>43747</v>
      </c>
      <c r="C114" s="1" t="n">
        <v>45695</v>
      </c>
      <c r="D114" t="inlineStr">
        <is>
          <t>DALARNAS LÄN</t>
        </is>
      </c>
      <c r="E114" t="inlineStr">
        <is>
          <t>MORA</t>
        </is>
      </c>
      <c r="G114" t="n">
        <v>6.8</v>
      </c>
      <c r="H114" t="n">
        <v>0</v>
      </c>
      <c r="I114" t="n">
        <v>0</v>
      </c>
      <c r="J114" t="n">
        <v>0</v>
      </c>
      <c r="K114" t="n">
        <v>0</v>
      </c>
      <c r="L114" t="n">
        <v>0</v>
      </c>
      <c r="M114" t="n">
        <v>0</v>
      </c>
      <c r="N114" t="n">
        <v>0</v>
      </c>
      <c r="O114" t="n">
        <v>0</v>
      </c>
      <c r="P114" t="n">
        <v>0</v>
      </c>
      <c r="Q114" t="n">
        <v>0</v>
      </c>
      <c r="R114" s="2" t="inlineStr"/>
    </row>
    <row r="115" ht="15" customHeight="1">
      <c r="A115" t="inlineStr">
        <is>
          <t>A 53336-2019</t>
        </is>
      </c>
      <c r="B115" s="1" t="n">
        <v>43748</v>
      </c>
      <c r="C115" s="1" t="n">
        <v>45695</v>
      </c>
      <c r="D115" t="inlineStr">
        <is>
          <t>DALARNAS LÄN</t>
        </is>
      </c>
      <c r="E115" t="inlineStr">
        <is>
          <t>MORA</t>
        </is>
      </c>
      <c r="G115" t="n">
        <v>4.4</v>
      </c>
      <c r="H115" t="n">
        <v>0</v>
      </c>
      <c r="I115" t="n">
        <v>0</v>
      </c>
      <c r="J115" t="n">
        <v>0</v>
      </c>
      <c r="K115" t="n">
        <v>0</v>
      </c>
      <c r="L115" t="n">
        <v>0</v>
      </c>
      <c r="M115" t="n">
        <v>0</v>
      </c>
      <c r="N115" t="n">
        <v>0</v>
      </c>
      <c r="O115" t="n">
        <v>0</v>
      </c>
      <c r="P115" t="n">
        <v>0</v>
      </c>
      <c r="Q115" t="n">
        <v>0</v>
      </c>
      <c r="R115" s="2" t="inlineStr"/>
    </row>
    <row r="116" ht="15" customHeight="1">
      <c r="A116" t="inlineStr">
        <is>
          <t>A 54605-2019</t>
        </is>
      </c>
      <c r="B116" s="1" t="n">
        <v>43754</v>
      </c>
      <c r="C116" s="1" t="n">
        <v>45695</v>
      </c>
      <c r="D116" t="inlineStr">
        <is>
          <t>DALARNAS LÄN</t>
        </is>
      </c>
      <c r="E116" t="inlineStr">
        <is>
          <t>MORA</t>
        </is>
      </c>
      <c r="F116" t="inlineStr">
        <is>
          <t>Övriga Aktiebolag</t>
        </is>
      </c>
      <c r="G116" t="n">
        <v>12.7</v>
      </c>
      <c r="H116" t="n">
        <v>0</v>
      </c>
      <c r="I116" t="n">
        <v>0</v>
      </c>
      <c r="J116" t="n">
        <v>0</v>
      </c>
      <c r="K116" t="n">
        <v>0</v>
      </c>
      <c r="L116" t="n">
        <v>0</v>
      </c>
      <c r="M116" t="n">
        <v>0</v>
      </c>
      <c r="N116" t="n">
        <v>0</v>
      </c>
      <c r="O116" t="n">
        <v>0</v>
      </c>
      <c r="P116" t="n">
        <v>0</v>
      </c>
      <c r="Q116" t="n">
        <v>0</v>
      </c>
      <c r="R116" s="2" t="inlineStr"/>
    </row>
    <row r="117" ht="15" customHeight="1">
      <c r="A117" t="inlineStr">
        <is>
          <t>A 56145-2019</t>
        </is>
      </c>
      <c r="B117" s="1" t="n">
        <v>43761</v>
      </c>
      <c r="C117" s="1" t="n">
        <v>45695</v>
      </c>
      <c r="D117" t="inlineStr">
        <is>
          <t>DALARNAS LÄN</t>
        </is>
      </c>
      <c r="E117" t="inlineStr">
        <is>
          <t>MORA</t>
        </is>
      </c>
      <c r="G117" t="n">
        <v>0.6</v>
      </c>
      <c r="H117" t="n">
        <v>0</v>
      </c>
      <c r="I117" t="n">
        <v>0</v>
      </c>
      <c r="J117" t="n">
        <v>0</v>
      </c>
      <c r="K117" t="n">
        <v>0</v>
      </c>
      <c r="L117" t="n">
        <v>0</v>
      </c>
      <c r="M117" t="n">
        <v>0</v>
      </c>
      <c r="N117" t="n">
        <v>0</v>
      </c>
      <c r="O117" t="n">
        <v>0</v>
      </c>
      <c r="P117" t="n">
        <v>0</v>
      </c>
      <c r="Q117" t="n">
        <v>0</v>
      </c>
      <c r="R117" s="2" t="inlineStr"/>
    </row>
    <row r="118" ht="15" customHeight="1">
      <c r="A118" t="inlineStr">
        <is>
          <t>A 57254-2019</t>
        </is>
      </c>
      <c r="B118" s="1" t="n">
        <v>43767</v>
      </c>
      <c r="C118" s="1" t="n">
        <v>45695</v>
      </c>
      <c r="D118" t="inlineStr">
        <is>
          <t>DALARNAS LÄN</t>
        </is>
      </c>
      <c r="E118" t="inlineStr">
        <is>
          <t>MORA</t>
        </is>
      </c>
      <c r="G118" t="n">
        <v>1.4</v>
      </c>
      <c r="H118" t="n">
        <v>0</v>
      </c>
      <c r="I118" t="n">
        <v>0</v>
      </c>
      <c r="J118" t="n">
        <v>0</v>
      </c>
      <c r="K118" t="n">
        <v>0</v>
      </c>
      <c r="L118" t="n">
        <v>0</v>
      </c>
      <c r="M118" t="n">
        <v>0</v>
      </c>
      <c r="N118" t="n">
        <v>0</v>
      </c>
      <c r="O118" t="n">
        <v>0</v>
      </c>
      <c r="P118" t="n">
        <v>0</v>
      </c>
      <c r="Q118" t="n">
        <v>0</v>
      </c>
      <c r="R118" s="2" t="inlineStr"/>
    </row>
    <row r="119" ht="15" customHeight="1">
      <c r="A119" t="inlineStr">
        <is>
          <t>A 57640-2019</t>
        </is>
      </c>
      <c r="B119" s="1" t="n">
        <v>43768</v>
      </c>
      <c r="C119" s="1" t="n">
        <v>45695</v>
      </c>
      <c r="D119" t="inlineStr">
        <is>
          <t>DALARNAS LÄN</t>
        </is>
      </c>
      <c r="E119" t="inlineStr">
        <is>
          <t>MORA</t>
        </is>
      </c>
      <c r="G119" t="n">
        <v>2.8</v>
      </c>
      <c r="H119" t="n">
        <v>0</v>
      </c>
      <c r="I119" t="n">
        <v>0</v>
      </c>
      <c r="J119" t="n">
        <v>0</v>
      </c>
      <c r="K119" t="n">
        <v>0</v>
      </c>
      <c r="L119" t="n">
        <v>0</v>
      </c>
      <c r="M119" t="n">
        <v>0</v>
      </c>
      <c r="N119" t="n">
        <v>0</v>
      </c>
      <c r="O119" t="n">
        <v>0</v>
      </c>
      <c r="P119" t="n">
        <v>0</v>
      </c>
      <c r="Q119" t="n">
        <v>0</v>
      </c>
      <c r="R119" s="2" t="inlineStr"/>
    </row>
    <row r="120" ht="15" customHeight="1">
      <c r="A120" t="inlineStr">
        <is>
          <t>A 57989-2019</t>
        </is>
      </c>
      <c r="B120" s="1" t="n">
        <v>43769</v>
      </c>
      <c r="C120" s="1" t="n">
        <v>45695</v>
      </c>
      <c r="D120" t="inlineStr">
        <is>
          <t>DALARNAS LÄN</t>
        </is>
      </c>
      <c r="E120" t="inlineStr">
        <is>
          <t>MORA</t>
        </is>
      </c>
      <c r="G120" t="n">
        <v>0.8</v>
      </c>
      <c r="H120" t="n">
        <v>0</v>
      </c>
      <c r="I120" t="n">
        <v>0</v>
      </c>
      <c r="J120" t="n">
        <v>0</v>
      </c>
      <c r="K120" t="n">
        <v>0</v>
      </c>
      <c r="L120" t="n">
        <v>0</v>
      </c>
      <c r="M120" t="n">
        <v>0</v>
      </c>
      <c r="N120" t="n">
        <v>0</v>
      </c>
      <c r="O120" t="n">
        <v>0</v>
      </c>
      <c r="P120" t="n">
        <v>0</v>
      </c>
      <c r="Q120" t="n">
        <v>0</v>
      </c>
      <c r="R120" s="2" t="inlineStr"/>
    </row>
    <row r="121" ht="15" customHeight="1">
      <c r="A121" t="inlineStr">
        <is>
          <t>A 57984-2019</t>
        </is>
      </c>
      <c r="B121" s="1" t="n">
        <v>43769</v>
      </c>
      <c r="C121" s="1" t="n">
        <v>45695</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58335-2019</t>
        </is>
      </c>
      <c r="B122" s="1" t="n">
        <v>43770</v>
      </c>
      <c r="C122" s="1" t="n">
        <v>45695</v>
      </c>
      <c r="D122" t="inlineStr">
        <is>
          <t>DALARNAS LÄN</t>
        </is>
      </c>
      <c r="E122" t="inlineStr">
        <is>
          <t>MORA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61077-2019</t>
        </is>
      </c>
      <c r="B123" s="1" t="n">
        <v>43782</v>
      </c>
      <c r="C123" s="1" t="n">
        <v>45695</v>
      </c>
      <c r="D123" t="inlineStr">
        <is>
          <t>DALARNAS LÄN</t>
        </is>
      </c>
      <c r="E123" t="inlineStr">
        <is>
          <t>MORA</t>
        </is>
      </c>
      <c r="F123" t="inlineStr">
        <is>
          <t>Bergvik skog öst AB</t>
        </is>
      </c>
      <c r="G123" t="n">
        <v>2.9</v>
      </c>
      <c r="H123" t="n">
        <v>0</v>
      </c>
      <c r="I123" t="n">
        <v>0</v>
      </c>
      <c r="J123" t="n">
        <v>0</v>
      </c>
      <c r="K123" t="n">
        <v>0</v>
      </c>
      <c r="L123" t="n">
        <v>0</v>
      </c>
      <c r="M123" t="n">
        <v>0</v>
      </c>
      <c r="N123" t="n">
        <v>0</v>
      </c>
      <c r="O123" t="n">
        <v>0</v>
      </c>
      <c r="P123" t="n">
        <v>0</v>
      </c>
      <c r="Q123" t="n">
        <v>0</v>
      </c>
      <c r="R123" s="2" t="inlineStr"/>
    </row>
    <row r="124" ht="15" customHeight="1">
      <c r="A124" t="inlineStr">
        <is>
          <t>A 61063-2019</t>
        </is>
      </c>
      <c r="B124" s="1" t="n">
        <v>43782</v>
      </c>
      <c r="C124" s="1" t="n">
        <v>45695</v>
      </c>
      <c r="D124" t="inlineStr">
        <is>
          <t>DALARNAS LÄN</t>
        </is>
      </c>
      <c r="E124" t="inlineStr">
        <is>
          <t>MORA</t>
        </is>
      </c>
      <c r="F124" t="inlineStr">
        <is>
          <t>Bergvik skog öst AB</t>
        </is>
      </c>
      <c r="G124" t="n">
        <v>0.9</v>
      </c>
      <c r="H124" t="n">
        <v>0</v>
      </c>
      <c r="I124" t="n">
        <v>0</v>
      </c>
      <c r="J124" t="n">
        <v>0</v>
      </c>
      <c r="K124" t="n">
        <v>0</v>
      </c>
      <c r="L124" t="n">
        <v>0</v>
      </c>
      <c r="M124" t="n">
        <v>0</v>
      </c>
      <c r="N124" t="n">
        <v>0</v>
      </c>
      <c r="O124" t="n">
        <v>0</v>
      </c>
      <c r="P124" t="n">
        <v>0</v>
      </c>
      <c r="Q124" t="n">
        <v>0</v>
      </c>
      <c r="R124" s="2" t="inlineStr"/>
    </row>
    <row r="125" ht="15" customHeight="1">
      <c r="A125" t="inlineStr">
        <is>
          <t>A 61324-2019</t>
        </is>
      </c>
      <c r="B125" s="1" t="n">
        <v>43783</v>
      </c>
      <c r="C125" s="1" t="n">
        <v>45695</v>
      </c>
      <c r="D125" t="inlineStr">
        <is>
          <t>DALARNAS LÄN</t>
        </is>
      </c>
      <c r="E125" t="inlineStr">
        <is>
          <t>MORA</t>
        </is>
      </c>
      <c r="F125" t="inlineStr">
        <is>
          <t>Bergvik skog väst AB</t>
        </is>
      </c>
      <c r="G125" t="n">
        <v>5.9</v>
      </c>
      <c r="H125" t="n">
        <v>0</v>
      </c>
      <c r="I125" t="n">
        <v>0</v>
      </c>
      <c r="J125" t="n">
        <v>0</v>
      </c>
      <c r="K125" t="n">
        <v>0</v>
      </c>
      <c r="L125" t="n">
        <v>0</v>
      </c>
      <c r="M125" t="n">
        <v>0</v>
      </c>
      <c r="N125" t="n">
        <v>0</v>
      </c>
      <c r="O125" t="n">
        <v>0</v>
      </c>
      <c r="P125" t="n">
        <v>0</v>
      </c>
      <c r="Q125" t="n">
        <v>0</v>
      </c>
      <c r="R125" s="2" t="inlineStr"/>
    </row>
    <row r="126" ht="15" customHeight="1">
      <c r="A126" t="inlineStr">
        <is>
          <t>A 61646-2019</t>
        </is>
      </c>
      <c r="B126" s="1" t="n">
        <v>43784</v>
      </c>
      <c r="C126" s="1" t="n">
        <v>45695</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62001-2019</t>
        </is>
      </c>
      <c r="B127" s="1" t="n">
        <v>43787</v>
      </c>
      <c r="C127" s="1" t="n">
        <v>45695</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63093-2019</t>
        </is>
      </c>
      <c r="B128" s="1" t="n">
        <v>43791</v>
      </c>
      <c r="C128" s="1" t="n">
        <v>45695</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63072-2019</t>
        </is>
      </c>
      <c r="B129" s="1" t="n">
        <v>43791</v>
      </c>
      <c r="C129" s="1" t="n">
        <v>45695</v>
      </c>
      <c r="D129" t="inlineStr">
        <is>
          <t>DALARNAS LÄN</t>
        </is>
      </c>
      <c r="E129" t="inlineStr">
        <is>
          <t>MORA</t>
        </is>
      </c>
      <c r="G129" t="n">
        <v>1</v>
      </c>
      <c r="H129" t="n">
        <v>0</v>
      </c>
      <c r="I129" t="n">
        <v>0</v>
      </c>
      <c r="J129" t="n">
        <v>0</v>
      </c>
      <c r="K129" t="n">
        <v>0</v>
      </c>
      <c r="L129" t="n">
        <v>0</v>
      </c>
      <c r="M129" t="n">
        <v>0</v>
      </c>
      <c r="N129" t="n">
        <v>0</v>
      </c>
      <c r="O129" t="n">
        <v>0</v>
      </c>
      <c r="P129" t="n">
        <v>0</v>
      </c>
      <c r="Q129" t="n">
        <v>0</v>
      </c>
      <c r="R129" s="2" t="inlineStr"/>
    </row>
    <row r="130" ht="15" customHeight="1">
      <c r="A130" t="inlineStr">
        <is>
          <t>A 63655-2019</t>
        </is>
      </c>
      <c r="B130" s="1" t="n">
        <v>43795</v>
      </c>
      <c r="C130" s="1" t="n">
        <v>45695</v>
      </c>
      <c r="D130" t="inlineStr">
        <is>
          <t>DALARNAS LÄN</t>
        </is>
      </c>
      <c r="E130" t="inlineStr">
        <is>
          <t>MORA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65090-2019</t>
        </is>
      </c>
      <c r="B131" s="1" t="n">
        <v>43802</v>
      </c>
      <c r="C131" s="1" t="n">
        <v>45695</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65460-2019</t>
        </is>
      </c>
      <c r="B132" s="1" t="n">
        <v>43803</v>
      </c>
      <c r="C132" s="1" t="n">
        <v>45695</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65633-2019</t>
        </is>
      </c>
      <c r="B133" s="1" t="n">
        <v>43804</v>
      </c>
      <c r="C133" s="1" t="n">
        <v>45695</v>
      </c>
      <c r="D133" t="inlineStr">
        <is>
          <t>DALARNAS LÄN</t>
        </is>
      </c>
      <c r="E133" t="inlineStr">
        <is>
          <t>MORA</t>
        </is>
      </c>
      <c r="G133" t="n">
        <v>2.7</v>
      </c>
      <c r="H133" t="n">
        <v>0</v>
      </c>
      <c r="I133" t="n">
        <v>0</v>
      </c>
      <c r="J133" t="n">
        <v>0</v>
      </c>
      <c r="K133" t="n">
        <v>0</v>
      </c>
      <c r="L133" t="n">
        <v>0</v>
      </c>
      <c r="M133" t="n">
        <v>0</v>
      </c>
      <c r="N133" t="n">
        <v>0</v>
      </c>
      <c r="O133" t="n">
        <v>0</v>
      </c>
      <c r="P133" t="n">
        <v>0</v>
      </c>
      <c r="Q133" t="n">
        <v>0</v>
      </c>
      <c r="R133" s="2" t="inlineStr"/>
    </row>
    <row r="134" ht="15" customHeight="1">
      <c r="A134" t="inlineStr">
        <is>
          <t>A 66214-2019</t>
        </is>
      </c>
      <c r="B134" s="1" t="n">
        <v>43808</v>
      </c>
      <c r="C134" s="1" t="n">
        <v>45695</v>
      </c>
      <c r="D134" t="inlineStr">
        <is>
          <t>DALARNAS LÄN</t>
        </is>
      </c>
      <c r="E134" t="inlineStr">
        <is>
          <t>MORA</t>
        </is>
      </c>
      <c r="G134" t="n">
        <v>5.8</v>
      </c>
      <c r="H134" t="n">
        <v>0</v>
      </c>
      <c r="I134" t="n">
        <v>0</v>
      </c>
      <c r="J134" t="n">
        <v>0</v>
      </c>
      <c r="K134" t="n">
        <v>0</v>
      </c>
      <c r="L134" t="n">
        <v>0</v>
      </c>
      <c r="M134" t="n">
        <v>0</v>
      </c>
      <c r="N134" t="n">
        <v>0</v>
      </c>
      <c r="O134" t="n">
        <v>0</v>
      </c>
      <c r="P134" t="n">
        <v>0</v>
      </c>
      <c r="Q134" t="n">
        <v>0</v>
      </c>
      <c r="R134" s="2" t="inlineStr"/>
    </row>
    <row r="135" ht="15" customHeight="1">
      <c r="A135" t="inlineStr">
        <is>
          <t>A 66873-2019</t>
        </is>
      </c>
      <c r="B135" s="1" t="n">
        <v>43810</v>
      </c>
      <c r="C135" s="1" t="n">
        <v>45695</v>
      </c>
      <c r="D135" t="inlineStr">
        <is>
          <t>DALARNAS LÄN</t>
        </is>
      </c>
      <c r="E135" t="inlineStr">
        <is>
          <t>MORA</t>
        </is>
      </c>
      <c r="F135" t="inlineStr">
        <is>
          <t>Bergvik skog väst AB</t>
        </is>
      </c>
      <c r="G135" t="n">
        <v>4.4</v>
      </c>
      <c r="H135" t="n">
        <v>0</v>
      </c>
      <c r="I135" t="n">
        <v>0</v>
      </c>
      <c r="J135" t="n">
        <v>0</v>
      </c>
      <c r="K135" t="n">
        <v>0</v>
      </c>
      <c r="L135" t="n">
        <v>0</v>
      </c>
      <c r="M135" t="n">
        <v>0</v>
      </c>
      <c r="N135" t="n">
        <v>0</v>
      </c>
      <c r="O135" t="n">
        <v>0</v>
      </c>
      <c r="P135" t="n">
        <v>0</v>
      </c>
      <c r="Q135" t="n">
        <v>0</v>
      </c>
      <c r="R135" s="2" t="inlineStr"/>
    </row>
    <row r="136" ht="15" customHeight="1">
      <c r="A136" t="inlineStr">
        <is>
          <t>A 66868-2019</t>
        </is>
      </c>
      <c r="B136" s="1" t="n">
        <v>43810</v>
      </c>
      <c r="C136" s="1" t="n">
        <v>45695</v>
      </c>
      <c r="D136" t="inlineStr">
        <is>
          <t>DALARNAS LÄN</t>
        </is>
      </c>
      <c r="E136" t="inlineStr">
        <is>
          <t>MORA</t>
        </is>
      </c>
      <c r="G136" t="n">
        <v>3.3</v>
      </c>
      <c r="H136" t="n">
        <v>0</v>
      </c>
      <c r="I136" t="n">
        <v>0</v>
      </c>
      <c r="J136" t="n">
        <v>0</v>
      </c>
      <c r="K136" t="n">
        <v>0</v>
      </c>
      <c r="L136" t="n">
        <v>0</v>
      </c>
      <c r="M136" t="n">
        <v>0</v>
      </c>
      <c r="N136" t="n">
        <v>0</v>
      </c>
      <c r="O136" t="n">
        <v>0</v>
      </c>
      <c r="P136" t="n">
        <v>0</v>
      </c>
      <c r="Q136" t="n">
        <v>0</v>
      </c>
      <c r="R136" s="2" t="inlineStr"/>
    </row>
    <row r="137" ht="15" customHeight="1">
      <c r="A137" t="inlineStr">
        <is>
          <t>A 66878-2019</t>
        </is>
      </c>
      <c r="B137" s="1" t="n">
        <v>43810</v>
      </c>
      <c r="C137" s="1" t="n">
        <v>45695</v>
      </c>
      <c r="D137" t="inlineStr">
        <is>
          <t>DALARNAS LÄN</t>
        </is>
      </c>
      <c r="E137" t="inlineStr">
        <is>
          <t>MORA</t>
        </is>
      </c>
      <c r="F137" t="inlineStr">
        <is>
          <t>Bergvik skog väst AB</t>
        </is>
      </c>
      <c r="G137" t="n">
        <v>2.1</v>
      </c>
      <c r="H137" t="n">
        <v>0</v>
      </c>
      <c r="I137" t="n">
        <v>0</v>
      </c>
      <c r="J137" t="n">
        <v>0</v>
      </c>
      <c r="K137" t="n">
        <v>0</v>
      </c>
      <c r="L137" t="n">
        <v>0</v>
      </c>
      <c r="M137" t="n">
        <v>0</v>
      </c>
      <c r="N137" t="n">
        <v>0</v>
      </c>
      <c r="O137" t="n">
        <v>0</v>
      </c>
      <c r="P137" t="n">
        <v>0</v>
      </c>
      <c r="Q137" t="n">
        <v>0</v>
      </c>
      <c r="R137" s="2" t="inlineStr"/>
    </row>
    <row r="138" ht="15" customHeight="1">
      <c r="A138" t="inlineStr">
        <is>
          <t>A 67986-2019</t>
        </is>
      </c>
      <c r="B138" s="1" t="n">
        <v>43811</v>
      </c>
      <c r="C138" s="1" t="n">
        <v>45695</v>
      </c>
      <c r="D138" t="inlineStr">
        <is>
          <t>DALARNAS LÄN</t>
        </is>
      </c>
      <c r="E138" t="inlineStr">
        <is>
          <t>MORA</t>
        </is>
      </c>
      <c r="G138" t="n">
        <v>3.8</v>
      </c>
      <c r="H138" t="n">
        <v>0</v>
      </c>
      <c r="I138" t="n">
        <v>0</v>
      </c>
      <c r="J138" t="n">
        <v>0</v>
      </c>
      <c r="K138" t="n">
        <v>0</v>
      </c>
      <c r="L138" t="n">
        <v>0</v>
      </c>
      <c r="M138" t="n">
        <v>0</v>
      </c>
      <c r="N138" t="n">
        <v>0</v>
      </c>
      <c r="O138" t="n">
        <v>0</v>
      </c>
      <c r="P138" t="n">
        <v>0</v>
      </c>
      <c r="Q138" t="n">
        <v>0</v>
      </c>
      <c r="R138" s="2" t="inlineStr"/>
    </row>
    <row r="139" ht="15" customHeight="1">
      <c r="A139" t="inlineStr">
        <is>
          <t>A 67633-2019</t>
        </is>
      </c>
      <c r="B139" s="1" t="n">
        <v>43815</v>
      </c>
      <c r="C139" s="1" t="n">
        <v>45695</v>
      </c>
      <c r="D139" t="inlineStr">
        <is>
          <t>DALARNAS LÄN</t>
        </is>
      </c>
      <c r="E139" t="inlineStr">
        <is>
          <t>MORA</t>
        </is>
      </c>
      <c r="G139" t="n">
        <v>4.7</v>
      </c>
      <c r="H139" t="n">
        <v>0</v>
      </c>
      <c r="I139" t="n">
        <v>0</v>
      </c>
      <c r="J139" t="n">
        <v>0</v>
      </c>
      <c r="K139" t="n">
        <v>0</v>
      </c>
      <c r="L139" t="n">
        <v>0</v>
      </c>
      <c r="M139" t="n">
        <v>0</v>
      </c>
      <c r="N139" t="n">
        <v>0</v>
      </c>
      <c r="O139" t="n">
        <v>0</v>
      </c>
      <c r="P139" t="n">
        <v>0</v>
      </c>
      <c r="Q139" t="n">
        <v>0</v>
      </c>
      <c r="R139" s="2" t="inlineStr"/>
    </row>
    <row r="140" ht="15" customHeight="1">
      <c r="A140" t="inlineStr">
        <is>
          <t>A 564-2020</t>
        </is>
      </c>
      <c r="B140" s="1" t="n">
        <v>43817</v>
      </c>
      <c r="C140" s="1" t="n">
        <v>45695</v>
      </c>
      <c r="D140" t="inlineStr">
        <is>
          <t>DALARNAS LÄN</t>
        </is>
      </c>
      <c r="E140" t="inlineStr">
        <is>
          <t>MORA</t>
        </is>
      </c>
      <c r="F140" t="inlineStr">
        <is>
          <t>Kommuner</t>
        </is>
      </c>
      <c r="G140" t="n">
        <v>56.1</v>
      </c>
      <c r="H140" t="n">
        <v>0</v>
      </c>
      <c r="I140" t="n">
        <v>0</v>
      </c>
      <c r="J140" t="n">
        <v>0</v>
      </c>
      <c r="K140" t="n">
        <v>0</v>
      </c>
      <c r="L140" t="n">
        <v>0</v>
      </c>
      <c r="M140" t="n">
        <v>0</v>
      </c>
      <c r="N140" t="n">
        <v>0</v>
      </c>
      <c r="O140" t="n">
        <v>0</v>
      </c>
      <c r="P140" t="n">
        <v>0</v>
      </c>
      <c r="Q140" t="n">
        <v>0</v>
      </c>
      <c r="R140" s="2" t="inlineStr"/>
    </row>
    <row r="141" ht="15" customHeight="1">
      <c r="A141" t="inlineStr">
        <is>
          <t>A 68092-2019</t>
        </is>
      </c>
      <c r="B141" s="1" t="n">
        <v>43817</v>
      </c>
      <c r="C141" s="1" t="n">
        <v>45695</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1506-2020</t>
        </is>
      </c>
      <c r="B142" s="1" t="n">
        <v>43826</v>
      </c>
      <c r="C142" s="1" t="n">
        <v>45695</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472-2020</t>
        </is>
      </c>
      <c r="B143" s="1" t="n">
        <v>43837</v>
      </c>
      <c r="C143" s="1" t="n">
        <v>45695</v>
      </c>
      <c r="D143" t="inlineStr">
        <is>
          <t>DALARNAS LÄN</t>
        </is>
      </c>
      <c r="E143" t="inlineStr">
        <is>
          <t>MORA</t>
        </is>
      </c>
      <c r="G143" t="n">
        <v>1.3</v>
      </c>
      <c r="H143" t="n">
        <v>0</v>
      </c>
      <c r="I143" t="n">
        <v>0</v>
      </c>
      <c r="J143" t="n">
        <v>0</v>
      </c>
      <c r="K143" t="n">
        <v>0</v>
      </c>
      <c r="L143" t="n">
        <v>0</v>
      </c>
      <c r="M143" t="n">
        <v>0</v>
      </c>
      <c r="N143" t="n">
        <v>0</v>
      </c>
      <c r="O143" t="n">
        <v>0</v>
      </c>
      <c r="P143" t="n">
        <v>0</v>
      </c>
      <c r="Q143" t="n">
        <v>0</v>
      </c>
      <c r="R143" s="2" t="inlineStr"/>
    </row>
    <row r="144" ht="15" customHeight="1">
      <c r="A144" t="inlineStr">
        <is>
          <t>A 1841-2020</t>
        </is>
      </c>
      <c r="B144" s="1" t="n">
        <v>43844</v>
      </c>
      <c r="C144" s="1" t="n">
        <v>45695</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3588-2020</t>
        </is>
      </c>
      <c r="B145" s="1" t="n">
        <v>43845</v>
      </c>
      <c r="C145" s="1" t="n">
        <v>45695</v>
      </c>
      <c r="D145" t="inlineStr">
        <is>
          <t>DALARNAS LÄN</t>
        </is>
      </c>
      <c r="E145" t="inlineStr">
        <is>
          <t>MORA</t>
        </is>
      </c>
      <c r="G145" t="n">
        <v>3</v>
      </c>
      <c r="H145" t="n">
        <v>0</v>
      </c>
      <c r="I145" t="n">
        <v>0</v>
      </c>
      <c r="J145" t="n">
        <v>0</v>
      </c>
      <c r="K145" t="n">
        <v>0</v>
      </c>
      <c r="L145" t="n">
        <v>0</v>
      </c>
      <c r="M145" t="n">
        <v>0</v>
      </c>
      <c r="N145" t="n">
        <v>0</v>
      </c>
      <c r="O145" t="n">
        <v>0</v>
      </c>
      <c r="P145" t="n">
        <v>0</v>
      </c>
      <c r="Q145" t="n">
        <v>0</v>
      </c>
      <c r="R145" s="2" t="inlineStr"/>
    </row>
    <row r="146" ht="15" customHeight="1">
      <c r="A146" t="inlineStr">
        <is>
          <t>A 4106-2020</t>
        </is>
      </c>
      <c r="B146" s="1" t="n">
        <v>43857</v>
      </c>
      <c r="C146" s="1" t="n">
        <v>45695</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4818-2020</t>
        </is>
      </c>
      <c r="B147" s="1" t="n">
        <v>43859</v>
      </c>
      <c r="C147" s="1" t="n">
        <v>45695</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6012-2020</t>
        </is>
      </c>
      <c r="B148" s="1" t="n">
        <v>43865</v>
      </c>
      <c r="C148" s="1" t="n">
        <v>45695</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7093-2020</t>
        </is>
      </c>
      <c r="B149" s="1" t="n">
        <v>43868</v>
      </c>
      <c r="C149" s="1" t="n">
        <v>45695</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7382-2020</t>
        </is>
      </c>
      <c r="B150" s="1" t="n">
        <v>43871</v>
      </c>
      <c r="C150" s="1" t="n">
        <v>45695</v>
      </c>
      <c r="D150" t="inlineStr">
        <is>
          <t>DALARNAS LÄN</t>
        </is>
      </c>
      <c r="E150" t="inlineStr">
        <is>
          <t>MORA</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10704-2020</t>
        </is>
      </c>
      <c r="B151" s="1" t="n">
        <v>43888</v>
      </c>
      <c r="C151" s="1" t="n">
        <v>45695</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12360-2020</t>
        </is>
      </c>
      <c r="B152" s="1" t="n">
        <v>43896</v>
      </c>
      <c r="C152" s="1" t="n">
        <v>45695</v>
      </c>
      <c r="D152" t="inlineStr">
        <is>
          <t>DALARNAS LÄN</t>
        </is>
      </c>
      <c r="E152" t="inlineStr">
        <is>
          <t>MORA</t>
        </is>
      </c>
      <c r="G152" t="n">
        <v>2.7</v>
      </c>
      <c r="H152" t="n">
        <v>0</v>
      </c>
      <c r="I152" t="n">
        <v>0</v>
      </c>
      <c r="J152" t="n">
        <v>0</v>
      </c>
      <c r="K152" t="n">
        <v>0</v>
      </c>
      <c r="L152" t="n">
        <v>0</v>
      </c>
      <c r="M152" t="n">
        <v>0</v>
      </c>
      <c r="N152" t="n">
        <v>0</v>
      </c>
      <c r="O152" t="n">
        <v>0</v>
      </c>
      <c r="P152" t="n">
        <v>0</v>
      </c>
      <c r="Q152" t="n">
        <v>0</v>
      </c>
      <c r="R152" s="2" t="inlineStr"/>
    </row>
    <row r="153" ht="15" customHeight="1">
      <c r="A153" t="inlineStr">
        <is>
          <t>A 12723-2020</t>
        </is>
      </c>
      <c r="B153" s="1" t="n">
        <v>43899</v>
      </c>
      <c r="C153" s="1" t="n">
        <v>45695</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13943-2020</t>
        </is>
      </c>
      <c r="B154" s="1" t="n">
        <v>43906</v>
      </c>
      <c r="C154" s="1" t="n">
        <v>45695</v>
      </c>
      <c r="D154" t="inlineStr">
        <is>
          <t>DALARNAS LÄN</t>
        </is>
      </c>
      <c r="E154" t="inlineStr">
        <is>
          <t>MORA</t>
        </is>
      </c>
      <c r="G154" t="n">
        <v>1.3</v>
      </c>
      <c r="H154" t="n">
        <v>0</v>
      </c>
      <c r="I154" t="n">
        <v>0</v>
      </c>
      <c r="J154" t="n">
        <v>0</v>
      </c>
      <c r="K154" t="n">
        <v>0</v>
      </c>
      <c r="L154" t="n">
        <v>0</v>
      </c>
      <c r="M154" t="n">
        <v>0</v>
      </c>
      <c r="N154" t="n">
        <v>0</v>
      </c>
      <c r="O154" t="n">
        <v>0</v>
      </c>
      <c r="P154" t="n">
        <v>0</v>
      </c>
      <c r="Q154" t="n">
        <v>0</v>
      </c>
      <c r="R154" s="2" t="inlineStr"/>
    </row>
    <row r="155" ht="15" customHeight="1">
      <c r="A155" t="inlineStr">
        <is>
          <t>A 16636-2020</t>
        </is>
      </c>
      <c r="B155" s="1" t="n">
        <v>43910</v>
      </c>
      <c r="C155" s="1" t="n">
        <v>45695</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16194-2020</t>
        </is>
      </c>
      <c r="B156" s="1" t="n">
        <v>43917</v>
      </c>
      <c r="C156" s="1" t="n">
        <v>45695</v>
      </c>
      <c r="D156" t="inlineStr">
        <is>
          <t>DALARNAS LÄN</t>
        </is>
      </c>
      <c r="E156" t="inlineStr">
        <is>
          <t>MORA</t>
        </is>
      </c>
      <c r="F156" t="inlineStr">
        <is>
          <t>Bergvik skog väst AB</t>
        </is>
      </c>
      <c r="G156" t="n">
        <v>5.5</v>
      </c>
      <c r="H156" t="n">
        <v>0</v>
      </c>
      <c r="I156" t="n">
        <v>0</v>
      </c>
      <c r="J156" t="n">
        <v>0</v>
      </c>
      <c r="K156" t="n">
        <v>0</v>
      </c>
      <c r="L156" t="n">
        <v>0</v>
      </c>
      <c r="M156" t="n">
        <v>0</v>
      </c>
      <c r="N156" t="n">
        <v>0</v>
      </c>
      <c r="O156" t="n">
        <v>0</v>
      </c>
      <c r="P156" t="n">
        <v>0</v>
      </c>
      <c r="Q156" t="n">
        <v>0</v>
      </c>
      <c r="R156" s="2" t="inlineStr"/>
    </row>
    <row r="157" ht="15" customHeight="1">
      <c r="A157" t="inlineStr">
        <is>
          <t>A 16195-2020</t>
        </is>
      </c>
      <c r="B157" s="1" t="n">
        <v>43917</v>
      </c>
      <c r="C157" s="1" t="n">
        <v>45695</v>
      </c>
      <c r="D157" t="inlineStr">
        <is>
          <t>DALARNAS LÄN</t>
        </is>
      </c>
      <c r="E157" t="inlineStr">
        <is>
          <t>MORA</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18989-2020</t>
        </is>
      </c>
      <c r="B158" s="1" t="n">
        <v>43935</v>
      </c>
      <c r="C158" s="1" t="n">
        <v>45695</v>
      </c>
      <c r="D158" t="inlineStr">
        <is>
          <t>DALARNAS LÄN</t>
        </is>
      </c>
      <c r="E158" t="inlineStr">
        <is>
          <t>MORA</t>
        </is>
      </c>
      <c r="F158" t="inlineStr">
        <is>
          <t>Bergvik skog öst AB</t>
        </is>
      </c>
      <c r="G158" t="n">
        <v>0.9</v>
      </c>
      <c r="H158" t="n">
        <v>0</v>
      </c>
      <c r="I158" t="n">
        <v>0</v>
      </c>
      <c r="J158" t="n">
        <v>0</v>
      </c>
      <c r="K158" t="n">
        <v>0</v>
      </c>
      <c r="L158" t="n">
        <v>0</v>
      </c>
      <c r="M158" t="n">
        <v>0</v>
      </c>
      <c r="N158" t="n">
        <v>0</v>
      </c>
      <c r="O158" t="n">
        <v>0</v>
      </c>
      <c r="P158" t="n">
        <v>0</v>
      </c>
      <c r="Q158" t="n">
        <v>0</v>
      </c>
      <c r="R158" s="2" t="inlineStr"/>
    </row>
    <row r="159" ht="15" customHeight="1">
      <c r="A159" t="inlineStr">
        <is>
          <t>A 18978-2020</t>
        </is>
      </c>
      <c r="B159" s="1" t="n">
        <v>43935</v>
      </c>
      <c r="C159" s="1" t="n">
        <v>45695</v>
      </c>
      <c r="D159" t="inlineStr">
        <is>
          <t>DALARNAS LÄN</t>
        </is>
      </c>
      <c r="E159" t="inlineStr">
        <is>
          <t>MORA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19507-2020</t>
        </is>
      </c>
      <c r="B160" s="1" t="n">
        <v>43938</v>
      </c>
      <c r="C160" s="1" t="n">
        <v>45695</v>
      </c>
      <c r="D160" t="inlineStr">
        <is>
          <t>DALARNAS LÄN</t>
        </is>
      </c>
      <c r="E160" t="inlineStr">
        <is>
          <t>MORA</t>
        </is>
      </c>
      <c r="F160" t="inlineStr">
        <is>
          <t>Bergvik skog öst AB</t>
        </is>
      </c>
      <c r="G160" t="n">
        <v>1</v>
      </c>
      <c r="H160" t="n">
        <v>0</v>
      </c>
      <c r="I160" t="n">
        <v>0</v>
      </c>
      <c r="J160" t="n">
        <v>0</v>
      </c>
      <c r="K160" t="n">
        <v>0</v>
      </c>
      <c r="L160" t="n">
        <v>0</v>
      </c>
      <c r="M160" t="n">
        <v>0</v>
      </c>
      <c r="N160" t="n">
        <v>0</v>
      </c>
      <c r="O160" t="n">
        <v>0</v>
      </c>
      <c r="P160" t="n">
        <v>0</v>
      </c>
      <c r="Q160" t="n">
        <v>0</v>
      </c>
      <c r="R160" s="2" t="inlineStr"/>
    </row>
    <row r="161" ht="15" customHeight="1">
      <c r="A161" t="inlineStr">
        <is>
          <t>A 21122-2020</t>
        </is>
      </c>
      <c r="B161" s="1" t="n">
        <v>43951</v>
      </c>
      <c r="C161" s="1" t="n">
        <v>45695</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21951-2020</t>
        </is>
      </c>
      <c r="B162" s="1" t="n">
        <v>43958</v>
      </c>
      <c r="C162" s="1" t="n">
        <v>45695</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24719-2020</t>
        </is>
      </c>
      <c r="B163" s="1" t="n">
        <v>43978</v>
      </c>
      <c r="C163" s="1" t="n">
        <v>45695</v>
      </c>
      <c r="D163" t="inlineStr">
        <is>
          <t>DALARNAS LÄN</t>
        </is>
      </c>
      <c r="E163" t="inlineStr">
        <is>
          <t>MORA</t>
        </is>
      </c>
      <c r="F163" t="inlineStr">
        <is>
          <t>Allmännings- och besparingsskogar</t>
        </is>
      </c>
      <c r="G163" t="n">
        <v>0.8</v>
      </c>
      <c r="H163" t="n">
        <v>0</v>
      </c>
      <c r="I163" t="n">
        <v>0</v>
      </c>
      <c r="J163" t="n">
        <v>0</v>
      </c>
      <c r="K163" t="n">
        <v>0</v>
      </c>
      <c r="L163" t="n">
        <v>0</v>
      </c>
      <c r="M163" t="n">
        <v>0</v>
      </c>
      <c r="N163" t="n">
        <v>0</v>
      </c>
      <c r="O163" t="n">
        <v>0</v>
      </c>
      <c r="P163" t="n">
        <v>0</v>
      </c>
      <c r="Q163" t="n">
        <v>0</v>
      </c>
      <c r="R163" s="2" t="inlineStr"/>
    </row>
    <row r="164" ht="15" customHeight="1">
      <c r="A164" t="inlineStr">
        <is>
          <t>A 25852-2020</t>
        </is>
      </c>
      <c r="B164" s="1" t="n">
        <v>43984</v>
      </c>
      <c r="C164" s="1" t="n">
        <v>45695</v>
      </c>
      <c r="D164" t="inlineStr">
        <is>
          <t>DALARNAS LÄN</t>
        </is>
      </c>
      <c r="E164" t="inlineStr">
        <is>
          <t>MORA</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26454-2020</t>
        </is>
      </c>
      <c r="B165" s="1" t="n">
        <v>43987</v>
      </c>
      <c r="C165" s="1" t="n">
        <v>45695</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26460-2020</t>
        </is>
      </c>
      <c r="B166" s="1" t="n">
        <v>43987</v>
      </c>
      <c r="C166" s="1" t="n">
        <v>45695</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29751-2020</t>
        </is>
      </c>
      <c r="B167" s="1" t="n">
        <v>44005</v>
      </c>
      <c r="C167" s="1" t="n">
        <v>45695</v>
      </c>
      <c r="D167" t="inlineStr">
        <is>
          <t>DALARNAS LÄN</t>
        </is>
      </c>
      <c r="E167" t="inlineStr">
        <is>
          <t>MORA</t>
        </is>
      </c>
      <c r="F167" t="inlineStr">
        <is>
          <t>Bergvik skog väst AB</t>
        </is>
      </c>
      <c r="G167" t="n">
        <v>3.5</v>
      </c>
      <c r="H167" t="n">
        <v>0</v>
      </c>
      <c r="I167" t="n">
        <v>0</v>
      </c>
      <c r="J167" t="n">
        <v>0</v>
      </c>
      <c r="K167" t="n">
        <v>0</v>
      </c>
      <c r="L167" t="n">
        <v>0</v>
      </c>
      <c r="M167" t="n">
        <v>0</v>
      </c>
      <c r="N167" t="n">
        <v>0</v>
      </c>
      <c r="O167" t="n">
        <v>0</v>
      </c>
      <c r="P167" t="n">
        <v>0</v>
      </c>
      <c r="Q167" t="n">
        <v>0</v>
      </c>
      <c r="R167" s="2" t="inlineStr"/>
    </row>
    <row r="168" ht="15" customHeight="1">
      <c r="A168" t="inlineStr">
        <is>
          <t>A 29881-2020</t>
        </is>
      </c>
      <c r="B168" s="1" t="n">
        <v>44006</v>
      </c>
      <c r="C168" s="1" t="n">
        <v>45695</v>
      </c>
      <c r="D168" t="inlineStr">
        <is>
          <t>DALARNAS LÄN</t>
        </is>
      </c>
      <c r="E168" t="inlineStr">
        <is>
          <t>MORA</t>
        </is>
      </c>
      <c r="G168" t="n">
        <v>3.7</v>
      </c>
      <c r="H168" t="n">
        <v>0</v>
      </c>
      <c r="I168" t="n">
        <v>0</v>
      </c>
      <c r="J168" t="n">
        <v>0</v>
      </c>
      <c r="K168" t="n">
        <v>0</v>
      </c>
      <c r="L168" t="n">
        <v>0</v>
      </c>
      <c r="M168" t="n">
        <v>0</v>
      </c>
      <c r="N168" t="n">
        <v>0</v>
      </c>
      <c r="O168" t="n">
        <v>0</v>
      </c>
      <c r="P168" t="n">
        <v>0</v>
      </c>
      <c r="Q168" t="n">
        <v>0</v>
      </c>
      <c r="R168" s="2" t="inlineStr"/>
    </row>
    <row r="169" ht="15" customHeight="1">
      <c r="A169" t="inlineStr">
        <is>
          <t>A 29960-2020</t>
        </is>
      </c>
      <c r="B169" s="1" t="n">
        <v>44006</v>
      </c>
      <c r="C169" s="1" t="n">
        <v>45695</v>
      </c>
      <c r="D169" t="inlineStr">
        <is>
          <t>DALARNAS LÄN</t>
        </is>
      </c>
      <c r="E169" t="inlineStr">
        <is>
          <t>MORA</t>
        </is>
      </c>
      <c r="G169" t="n">
        <v>1.1</v>
      </c>
      <c r="H169" t="n">
        <v>0</v>
      </c>
      <c r="I169" t="n">
        <v>0</v>
      </c>
      <c r="J169" t="n">
        <v>0</v>
      </c>
      <c r="K169" t="n">
        <v>0</v>
      </c>
      <c r="L169" t="n">
        <v>0</v>
      </c>
      <c r="M169" t="n">
        <v>0</v>
      </c>
      <c r="N169" t="n">
        <v>0</v>
      </c>
      <c r="O169" t="n">
        <v>0</v>
      </c>
      <c r="P169" t="n">
        <v>0</v>
      </c>
      <c r="Q169" t="n">
        <v>0</v>
      </c>
      <c r="R169" s="2" t="inlineStr"/>
    </row>
    <row r="170" ht="15" customHeight="1">
      <c r="A170" t="inlineStr">
        <is>
          <t>A 33581-2020</t>
        </is>
      </c>
      <c r="B170" s="1" t="n">
        <v>44022</v>
      </c>
      <c r="C170" s="1" t="n">
        <v>45695</v>
      </c>
      <c r="D170" t="inlineStr">
        <is>
          <t>DALARNAS LÄN</t>
        </is>
      </c>
      <c r="E170" t="inlineStr">
        <is>
          <t>MORA</t>
        </is>
      </c>
      <c r="G170" t="n">
        <v>1.8</v>
      </c>
      <c r="H170" t="n">
        <v>0</v>
      </c>
      <c r="I170" t="n">
        <v>0</v>
      </c>
      <c r="J170" t="n">
        <v>0</v>
      </c>
      <c r="K170" t="n">
        <v>0</v>
      </c>
      <c r="L170" t="n">
        <v>0</v>
      </c>
      <c r="M170" t="n">
        <v>0</v>
      </c>
      <c r="N170" t="n">
        <v>0</v>
      </c>
      <c r="O170" t="n">
        <v>0</v>
      </c>
      <c r="P170" t="n">
        <v>0</v>
      </c>
      <c r="Q170" t="n">
        <v>0</v>
      </c>
      <c r="R170" s="2" t="inlineStr"/>
    </row>
    <row r="171" ht="15" customHeight="1">
      <c r="A171" t="inlineStr">
        <is>
          <t>A 34455-2020</t>
        </is>
      </c>
      <c r="B171" s="1" t="n">
        <v>44032</v>
      </c>
      <c r="C171" s="1" t="n">
        <v>45695</v>
      </c>
      <c r="D171" t="inlineStr">
        <is>
          <t>DALARNAS LÄN</t>
        </is>
      </c>
      <c r="E171" t="inlineStr">
        <is>
          <t>MORA</t>
        </is>
      </c>
      <c r="G171" t="n">
        <v>1.7</v>
      </c>
      <c r="H171" t="n">
        <v>0</v>
      </c>
      <c r="I171" t="n">
        <v>0</v>
      </c>
      <c r="J171" t="n">
        <v>0</v>
      </c>
      <c r="K171" t="n">
        <v>0</v>
      </c>
      <c r="L171" t="n">
        <v>0</v>
      </c>
      <c r="M171" t="n">
        <v>0</v>
      </c>
      <c r="N171" t="n">
        <v>0</v>
      </c>
      <c r="O171" t="n">
        <v>0</v>
      </c>
      <c r="P171" t="n">
        <v>0</v>
      </c>
      <c r="Q171" t="n">
        <v>0</v>
      </c>
      <c r="R171" s="2" t="inlineStr"/>
    </row>
    <row r="172" ht="15" customHeight="1">
      <c r="A172" t="inlineStr">
        <is>
          <t>A 34454-2020</t>
        </is>
      </c>
      <c r="B172" s="1" t="n">
        <v>44032</v>
      </c>
      <c r="C172" s="1" t="n">
        <v>45695</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34446-2020</t>
        </is>
      </c>
      <c r="B173" s="1" t="n">
        <v>44032</v>
      </c>
      <c r="C173" s="1" t="n">
        <v>45695</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35976-2020</t>
        </is>
      </c>
      <c r="B174" s="1" t="n">
        <v>44047</v>
      </c>
      <c r="C174" s="1" t="n">
        <v>45695</v>
      </c>
      <c r="D174" t="inlineStr">
        <is>
          <t>DALARNAS LÄN</t>
        </is>
      </c>
      <c r="E174" t="inlineStr">
        <is>
          <t>MORA</t>
        </is>
      </c>
      <c r="G174" t="n">
        <v>6.7</v>
      </c>
      <c r="H174" t="n">
        <v>0</v>
      </c>
      <c r="I174" t="n">
        <v>0</v>
      </c>
      <c r="J174" t="n">
        <v>0</v>
      </c>
      <c r="K174" t="n">
        <v>0</v>
      </c>
      <c r="L174" t="n">
        <v>0</v>
      </c>
      <c r="M174" t="n">
        <v>0</v>
      </c>
      <c r="N174" t="n">
        <v>0</v>
      </c>
      <c r="O174" t="n">
        <v>0</v>
      </c>
      <c r="P174" t="n">
        <v>0</v>
      </c>
      <c r="Q174" t="n">
        <v>0</v>
      </c>
      <c r="R174" s="2" t="inlineStr"/>
    </row>
    <row r="175" ht="15" customHeight="1">
      <c r="A175" t="inlineStr">
        <is>
          <t>A 37403-2020</t>
        </is>
      </c>
      <c r="B175" s="1" t="n">
        <v>44055</v>
      </c>
      <c r="C175" s="1" t="n">
        <v>45695</v>
      </c>
      <c r="D175" t="inlineStr">
        <is>
          <t>DALARNAS LÄN</t>
        </is>
      </c>
      <c r="E175" t="inlineStr">
        <is>
          <t>MORA</t>
        </is>
      </c>
      <c r="G175" t="n">
        <v>0.8</v>
      </c>
      <c r="H175" t="n">
        <v>0</v>
      </c>
      <c r="I175" t="n">
        <v>0</v>
      </c>
      <c r="J175" t="n">
        <v>0</v>
      </c>
      <c r="K175" t="n">
        <v>0</v>
      </c>
      <c r="L175" t="n">
        <v>0</v>
      </c>
      <c r="M175" t="n">
        <v>0</v>
      </c>
      <c r="N175" t="n">
        <v>0</v>
      </c>
      <c r="O175" t="n">
        <v>0</v>
      </c>
      <c r="P175" t="n">
        <v>0</v>
      </c>
      <c r="Q175" t="n">
        <v>0</v>
      </c>
      <c r="R175" s="2" t="inlineStr"/>
    </row>
    <row r="176" ht="15" customHeight="1">
      <c r="A176" t="inlineStr">
        <is>
          <t>A 37840-2020</t>
        </is>
      </c>
      <c r="B176" s="1" t="n">
        <v>44057</v>
      </c>
      <c r="C176" s="1" t="n">
        <v>45695</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38910-2020</t>
        </is>
      </c>
      <c r="B177" s="1" t="n">
        <v>44062</v>
      </c>
      <c r="C177" s="1" t="n">
        <v>45695</v>
      </c>
      <c r="D177" t="inlineStr">
        <is>
          <t>DALARNAS LÄN</t>
        </is>
      </c>
      <c r="E177" t="inlineStr">
        <is>
          <t>MORA</t>
        </is>
      </c>
      <c r="G177" t="n">
        <v>7.8</v>
      </c>
      <c r="H177" t="n">
        <v>0</v>
      </c>
      <c r="I177" t="n">
        <v>0</v>
      </c>
      <c r="J177" t="n">
        <v>0</v>
      </c>
      <c r="K177" t="n">
        <v>0</v>
      </c>
      <c r="L177" t="n">
        <v>0</v>
      </c>
      <c r="M177" t="n">
        <v>0</v>
      </c>
      <c r="N177" t="n">
        <v>0</v>
      </c>
      <c r="O177" t="n">
        <v>0</v>
      </c>
      <c r="P177" t="n">
        <v>0</v>
      </c>
      <c r="Q177" t="n">
        <v>0</v>
      </c>
      <c r="R177" s="2" t="inlineStr"/>
    </row>
    <row r="178" ht="15" customHeight="1">
      <c r="A178" t="inlineStr">
        <is>
          <t>A 39585-2020</t>
        </is>
      </c>
      <c r="B178" s="1" t="n">
        <v>44064</v>
      </c>
      <c r="C178" s="1" t="n">
        <v>45695</v>
      </c>
      <c r="D178" t="inlineStr">
        <is>
          <t>DALARNAS LÄN</t>
        </is>
      </c>
      <c r="E178" t="inlineStr">
        <is>
          <t>MORA</t>
        </is>
      </c>
      <c r="G178" t="n">
        <v>6.5</v>
      </c>
      <c r="H178" t="n">
        <v>0</v>
      </c>
      <c r="I178" t="n">
        <v>0</v>
      </c>
      <c r="J178" t="n">
        <v>0</v>
      </c>
      <c r="K178" t="n">
        <v>0</v>
      </c>
      <c r="L178" t="n">
        <v>0</v>
      </c>
      <c r="M178" t="n">
        <v>0</v>
      </c>
      <c r="N178" t="n">
        <v>0</v>
      </c>
      <c r="O178" t="n">
        <v>0</v>
      </c>
      <c r="P178" t="n">
        <v>0</v>
      </c>
      <c r="Q178" t="n">
        <v>0</v>
      </c>
      <c r="R178" s="2" t="inlineStr"/>
    </row>
    <row r="179" ht="15" customHeight="1">
      <c r="A179" t="inlineStr">
        <is>
          <t>A 39959-2020</t>
        </is>
      </c>
      <c r="B179" s="1" t="n">
        <v>44067</v>
      </c>
      <c r="C179" s="1" t="n">
        <v>45695</v>
      </c>
      <c r="D179" t="inlineStr">
        <is>
          <t>DALARNAS LÄN</t>
        </is>
      </c>
      <c r="E179" t="inlineStr">
        <is>
          <t>MORA</t>
        </is>
      </c>
      <c r="G179" t="n">
        <v>25.7</v>
      </c>
      <c r="H179" t="n">
        <v>0</v>
      </c>
      <c r="I179" t="n">
        <v>0</v>
      </c>
      <c r="J179" t="n">
        <v>0</v>
      </c>
      <c r="K179" t="n">
        <v>0</v>
      </c>
      <c r="L179" t="n">
        <v>0</v>
      </c>
      <c r="M179" t="n">
        <v>0</v>
      </c>
      <c r="N179" t="n">
        <v>0</v>
      </c>
      <c r="O179" t="n">
        <v>0</v>
      </c>
      <c r="P179" t="n">
        <v>0</v>
      </c>
      <c r="Q179" t="n">
        <v>0</v>
      </c>
      <c r="R179" s="2" t="inlineStr"/>
    </row>
    <row r="180" ht="15" customHeight="1">
      <c r="A180" t="inlineStr">
        <is>
          <t>A 41768-2020</t>
        </is>
      </c>
      <c r="B180" s="1" t="n">
        <v>44074</v>
      </c>
      <c r="C180" s="1" t="n">
        <v>45695</v>
      </c>
      <c r="D180" t="inlineStr">
        <is>
          <t>DALARNAS LÄN</t>
        </is>
      </c>
      <c r="E180" t="inlineStr">
        <is>
          <t>MORA</t>
        </is>
      </c>
      <c r="G180" t="n">
        <v>0.6</v>
      </c>
      <c r="H180" t="n">
        <v>0</v>
      </c>
      <c r="I180" t="n">
        <v>0</v>
      </c>
      <c r="J180" t="n">
        <v>0</v>
      </c>
      <c r="K180" t="n">
        <v>0</v>
      </c>
      <c r="L180" t="n">
        <v>0</v>
      </c>
      <c r="M180" t="n">
        <v>0</v>
      </c>
      <c r="N180" t="n">
        <v>0</v>
      </c>
      <c r="O180" t="n">
        <v>0</v>
      </c>
      <c r="P180" t="n">
        <v>0</v>
      </c>
      <c r="Q180" t="n">
        <v>0</v>
      </c>
      <c r="R180" s="2" t="inlineStr"/>
    </row>
    <row r="181" ht="15" customHeight="1">
      <c r="A181" t="inlineStr">
        <is>
          <t>A 42362-2020</t>
        </is>
      </c>
      <c r="B181" s="1" t="n">
        <v>44074</v>
      </c>
      <c r="C181" s="1" t="n">
        <v>45695</v>
      </c>
      <c r="D181" t="inlineStr">
        <is>
          <t>DALARNAS LÄN</t>
        </is>
      </c>
      <c r="E181" t="inlineStr">
        <is>
          <t>MORA</t>
        </is>
      </c>
      <c r="G181" t="n">
        <v>4.5</v>
      </c>
      <c r="H181" t="n">
        <v>0</v>
      </c>
      <c r="I181" t="n">
        <v>0</v>
      </c>
      <c r="J181" t="n">
        <v>0</v>
      </c>
      <c r="K181" t="n">
        <v>0</v>
      </c>
      <c r="L181" t="n">
        <v>0</v>
      </c>
      <c r="M181" t="n">
        <v>0</v>
      </c>
      <c r="N181" t="n">
        <v>0</v>
      </c>
      <c r="O181" t="n">
        <v>0</v>
      </c>
      <c r="P181" t="n">
        <v>0</v>
      </c>
      <c r="Q181" t="n">
        <v>0</v>
      </c>
      <c r="R181" s="2" t="inlineStr"/>
    </row>
    <row r="182" ht="15" customHeight="1">
      <c r="A182" t="inlineStr">
        <is>
          <t>A 42377-2020</t>
        </is>
      </c>
      <c r="B182" s="1" t="n">
        <v>44076</v>
      </c>
      <c r="C182" s="1" t="n">
        <v>45695</v>
      </c>
      <c r="D182" t="inlineStr">
        <is>
          <t>DALARNAS LÄN</t>
        </is>
      </c>
      <c r="E182" t="inlineStr">
        <is>
          <t>MORA</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43284-2020</t>
        </is>
      </c>
      <c r="B183" s="1" t="n">
        <v>44081</v>
      </c>
      <c r="C183" s="1" t="n">
        <v>45695</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48065-2020</t>
        </is>
      </c>
      <c r="B184" s="1" t="n">
        <v>44100</v>
      </c>
      <c r="C184" s="1" t="n">
        <v>45695</v>
      </c>
      <c r="D184" t="inlineStr">
        <is>
          <t>DALARNAS LÄN</t>
        </is>
      </c>
      <c r="E184" t="inlineStr">
        <is>
          <t>MORA</t>
        </is>
      </c>
      <c r="G184" t="n">
        <v>8.6</v>
      </c>
      <c r="H184" t="n">
        <v>0</v>
      </c>
      <c r="I184" t="n">
        <v>0</v>
      </c>
      <c r="J184" t="n">
        <v>0</v>
      </c>
      <c r="K184" t="n">
        <v>0</v>
      </c>
      <c r="L184" t="n">
        <v>0</v>
      </c>
      <c r="M184" t="n">
        <v>0</v>
      </c>
      <c r="N184" t="n">
        <v>0</v>
      </c>
      <c r="O184" t="n">
        <v>0</v>
      </c>
      <c r="P184" t="n">
        <v>0</v>
      </c>
      <c r="Q184" t="n">
        <v>0</v>
      </c>
      <c r="R184" s="2" t="inlineStr"/>
    </row>
    <row r="185" ht="15" customHeight="1">
      <c r="A185" t="inlineStr">
        <is>
          <t>A 51621-2020</t>
        </is>
      </c>
      <c r="B185" s="1" t="n">
        <v>44109</v>
      </c>
      <c r="C185" s="1" t="n">
        <v>45695</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51608-2020</t>
        </is>
      </c>
      <c r="B186" s="1" t="n">
        <v>44109</v>
      </c>
      <c r="C186" s="1" t="n">
        <v>45695</v>
      </c>
      <c r="D186" t="inlineStr">
        <is>
          <t>DALARNAS LÄN</t>
        </is>
      </c>
      <c r="E186" t="inlineStr">
        <is>
          <t>MORA</t>
        </is>
      </c>
      <c r="G186" t="n">
        <v>4.6</v>
      </c>
      <c r="H186" t="n">
        <v>0</v>
      </c>
      <c r="I186" t="n">
        <v>0</v>
      </c>
      <c r="J186" t="n">
        <v>0</v>
      </c>
      <c r="K186" t="n">
        <v>0</v>
      </c>
      <c r="L186" t="n">
        <v>0</v>
      </c>
      <c r="M186" t="n">
        <v>0</v>
      </c>
      <c r="N186" t="n">
        <v>0</v>
      </c>
      <c r="O186" t="n">
        <v>0</v>
      </c>
      <c r="P186" t="n">
        <v>0</v>
      </c>
      <c r="Q186" t="n">
        <v>0</v>
      </c>
      <c r="R186" s="2" t="inlineStr"/>
    </row>
    <row r="187" ht="15" customHeight="1">
      <c r="A187" t="inlineStr">
        <is>
          <t>A 52732-2020</t>
        </is>
      </c>
      <c r="B187" s="1" t="n">
        <v>44118</v>
      </c>
      <c r="C187" s="1" t="n">
        <v>45695</v>
      </c>
      <c r="D187" t="inlineStr">
        <is>
          <t>DALARNAS LÄN</t>
        </is>
      </c>
      <c r="E187" t="inlineStr">
        <is>
          <t>MORA</t>
        </is>
      </c>
      <c r="G187" t="n">
        <v>3.9</v>
      </c>
      <c r="H187" t="n">
        <v>0</v>
      </c>
      <c r="I187" t="n">
        <v>0</v>
      </c>
      <c r="J187" t="n">
        <v>0</v>
      </c>
      <c r="K187" t="n">
        <v>0</v>
      </c>
      <c r="L187" t="n">
        <v>0</v>
      </c>
      <c r="M187" t="n">
        <v>0</v>
      </c>
      <c r="N187" t="n">
        <v>0</v>
      </c>
      <c r="O187" t="n">
        <v>0</v>
      </c>
      <c r="P187" t="n">
        <v>0</v>
      </c>
      <c r="Q187" t="n">
        <v>0</v>
      </c>
      <c r="R187" s="2" t="inlineStr"/>
    </row>
    <row r="188" ht="15" customHeight="1">
      <c r="A188" t="inlineStr">
        <is>
          <t>A 55249-2020</t>
        </is>
      </c>
      <c r="B188" s="1" t="n">
        <v>44130</v>
      </c>
      <c r="C188" s="1" t="n">
        <v>45695</v>
      </c>
      <c r="D188" t="inlineStr">
        <is>
          <t>DALARNAS LÄN</t>
        </is>
      </c>
      <c r="E188" t="inlineStr">
        <is>
          <t>MORA</t>
        </is>
      </c>
      <c r="G188" t="n">
        <v>2.7</v>
      </c>
      <c r="H188" t="n">
        <v>0</v>
      </c>
      <c r="I188" t="n">
        <v>0</v>
      </c>
      <c r="J188" t="n">
        <v>0</v>
      </c>
      <c r="K188" t="n">
        <v>0</v>
      </c>
      <c r="L188" t="n">
        <v>0</v>
      </c>
      <c r="M188" t="n">
        <v>0</v>
      </c>
      <c r="N188" t="n">
        <v>0</v>
      </c>
      <c r="O188" t="n">
        <v>0</v>
      </c>
      <c r="P188" t="n">
        <v>0</v>
      </c>
      <c r="Q188" t="n">
        <v>0</v>
      </c>
      <c r="R188" s="2" t="inlineStr"/>
    </row>
    <row r="189" ht="15" customHeight="1">
      <c r="A189" t="inlineStr">
        <is>
          <t>A 56071-2020</t>
        </is>
      </c>
      <c r="B189" s="1" t="n">
        <v>44133</v>
      </c>
      <c r="C189" s="1" t="n">
        <v>45695</v>
      </c>
      <c r="D189" t="inlineStr">
        <is>
          <t>DALARNAS LÄN</t>
        </is>
      </c>
      <c r="E189" t="inlineStr">
        <is>
          <t>MORA</t>
        </is>
      </c>
      <c r="G189" t="n">
        <v>6.6</v>
      </c>
      <c r="H189" t="n">
        <v>0</v>
      </c>
      <c r="I189" t="n">
        <v>0</v>
      </c>
      <c r="J189" t="n">
        <v>0</v>
      </c>
      <c r="K189" t="n">
        <v>0</v>
      </c>
      <c r="L189" t="n">
        <v>0</v>
      </c>
      <c r="M189" t="n">
        <v>0</v>
      </c>
      <c r="N189" t="n">
        <v>0</v>
      </c>
      <c r="O189" t="n">
        <v>0</v>
      </c>
      <c r="P189" t="n">
        <v>0</v>
      </c>
      <c r="Q189" t="n">
        <v>0</v>
      </c>
      <c r="R189" s="2" t="inlineStr"/>
    </row>
    <row r="190" ht="15" customHeight="1">
      <c r="A190" t="inlineStr">
        <is>
          <t>A 56501-2020</t>
        </is>
      </c>
      <c r="B190" s="1" t="n">
        <v>44137</v>
      </c>
      <c r="C190" s="1" t="n">
        <v>45695</v>
      </c>
      <c r="D190" t="inlineStr">
        <is>
          <t>DALARNAS LÄN</t>
        </is>
      </c>
      <c r="E190" t="inlineStr">
        <is>
          <t>MORA</t>
        </is>
      </c>
      <c r="F190" t="inlineStr">
        <is>
          <t>Allmännings- och besparingsskogar</t>
        </is>
      </c>
      <c r="G190" t="n">
        <v>11</v>
      </c>
      <c r="H190" t="n">
        <v>0</v>
      </c>
      <c r="I190" t="n">
        <v>0</v>
      </c>
      <c r="J190" t="n">
        <v>0</v>
      </c>
      <c r="K190" t="n">
        <v>0</v>
      </c>
      <c r="L190" t="n">
        <v>0</v>
      </c>
      <c r="M190" t="n">
        <v>0</v>
      </c>
      <c r="N190" t="n">
        <v>0</v>
      </c>
      <c r="O190" t="n">
        <v>0</v>
      </c>
      <c r="P190" t="n">
        <v>0</v>
      </c>
      <c r="Q190" t="n">
        <v>0</v>
      </c>
      <c r="R190" s="2" t="inlineStr"/>
    </row>
    <row r="191" ht="15" customHeight="1">
      <c r="A191" t="inlineStr">
        <is>
          <t>A 56976-2020</t>
        </is>
      </c>
      <c r="B191" s="1" t="n">
        <v>44138</v>
      </c>
      <c r="C191" s="1" t="n">
        <v>45695</v>
      </c>
      <c r="D191" t="inlineStr">
        <is>
          <t>DALARNAS LÄN</t>
        </is>
      </c>
      <c r="E191" t="inlineStr">
        <is>
          <t>MORA</t>
        </is>
      </c>
      <c r="F191" t="inlineStr">
        <is>
          <t>Allmännings- och besparingsskogar</t>
        </is>
      </c>
      <c r="G191" t="n">
        <v>0.8</v>
      </c>
      <c r="H191" t="n">
        <v>0</v>
      </c>
      <c r="I191" t="n">
        <v>0</v>
      </c>
      <c r="J191" t="n">
        <v>0</v>
      </c>
      <c r="K191" t="n">
        <v>0</v>
      </c>
      <c r="L191" t="n">
        <v>0</v>
      </c>
      <c r="M191" t="n">
        <v>0</v>
      </c>
      <c r="N191" t="n">
        <v>0</v>
      </c>
      <c r="O191" t="n">
        <v>0</v>
      </c>
      <c r="P191" t="n">
        <v>0</v>
      </c>
      <c r="Q191" t="n">
        <v>0</v>
      </c>
      <c r="R191" s="2" t="inlineStr"/>
    </row>
    <row r="192" ht="15" customHeight="1">
      <c r="A192" t="inlineStr">
        <is>
          <t>A 56974-2020</t>
        </is>
      </c>
      <c r="B192" s="1" t="n">
        <v>44138</v>
      </c>
      <c r="C192" s="1" t="n">
        <v>45695</v>
      </c>
      <c r="D192" t="inlineStr">
        <is>
          <t>DALARNAS LÄN</t>
        </is>
      </c>
      <c r="E192" t="inlineStr">
        <is>
          <t>MORA</t>
        </is>
      </c>
      <c r="F192" t="inlineStr">
        <is>
          <t>Allmännings- och besparingsskogar</t>
        </is>
      </c>
      <c r="G192" t="n">
        <v>5.1</v>
      </c>
      <c r="H192" t="n">
        <v>0</v>
      </c>
      <c r="I192" t="n">
        <v>0</v>
      </c>
      <c r="J192" t="n">
        <v>0</v>
      </c>
      <c r="K192" t="n">
        <v>0</v>
      </c>
      <c r="L192" t="n">
        <v>0</v>
      </c>
      <c r="M192" t="n">
        <v>0</v>
      </c>
      <c r="N192" t="n">
        <v>0</v>
      </c>
      <c r="O192" t="n">
        <v>0</v>
      </c>
      <c r="P192" t="n">
        <v>0</v>
      </c>
      <c r="Q192" t="n">
        <v>0</v>
      </c>
      <c r="R192" s="2" t="inlineStr"/>
    </row>
    <row r="193" ht="15" customHeight="1">
      <c r="A193" t="inlineStr">
        <is>
          <t>A 57268-2020</t>
        </is>
      </c>
      <c r="B193" s="1" t="n">
        <v>44139</v>
      </c>
      <c r="C193" s="1" t="n">
        <v>45695</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57848-2020</t>
        </is>
      </c>
      <c r="B194" s="1" t="n">
        <v>44141</v>
      </c>
      <c r="C194" s="1" t="n">
        <v>45695</v>
      </c>
      <c r="D194" t="inlineStr">
        <is>
          <t>DALARNAS LÄN</t>
        </is>
      </c>
      <c r="E194" t="inlineStr">
        <is>
          <t>MORA</t>
        </is>
      </c>
      <c r="F194" t="inlineStr">
        <is>
          <t>Bergvik skog öst AB</t>
        </is>
      </c>
      <c r="G194" t="n">
        <v>0.6</v>
      </c>
      <c r="H194" t="n">
        <v>0</v>
      </c>
      <c r="I194" t="n">
        <v>0</v>
      </c>
      <c r="J194" t="n">
        <v>0</v>
      </c>
      <c r="K194" t="n">
        <v>0</v>
      </c>
      <c r="L194" t="n">
        <v>0</v>
      </c>
      <c r="M194" t="n">
        <v>0</v>
      </c>
      <c r="N194" t="n">
        <v>0</v>
      </c>
      <c r="O194" t="n">
        <v>0</v>
      </c>
      <c r="P194" t="n">
        <v>0</v>
      </c>
      <c r="Q194" t="n">
        <v>0</v>
      </c>
      <c r="R194" s="2" t="inlineStr"/>
    </row>
    <row r="195" ht="15" customHeight="1">
      <c r="A195" t="inlineStr">
        <is>
          <t>A 57926-2020</t>
        </is>
      </c>
      <c r="B195" s="1" t="n">
        <v>44141</v>
      </c>
      <c r="C195" s="1" t="n">
        <v>45695</v>
      </c>
      <c r="D195" t="inlineStr">
        <is>
          <t>DALARNAS LÄN</t>
        </is>
      </c>
      <c r="E195" t="inlineStr">
        <is>
          <t>MORA</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60250-2020</t>
        </is>
      </c>
      <c r="B196" s="1" t="n">
        <v>44152</v>
      </c>
      <c r="C196" s="1" t="n">
        <v>45695</v>
      </c>
      <c r="D196" t="inlineStr">
        <is>
          <t>DALARNAS LÄN</t>
        </is>
      </c>
      <c r="E196" t="inlineStr">
        <is>
          <t>MORA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61338-2020</t>
        </is>
      </c>
      <c r="B197" s="1" t="n">
        <v>44155</v>
      </c>
      <c r="C197" s="1" t="n">
        <v>45695</v>
      </c>
      <c r="D197" t="inlineStr">
        <is>
          <t>DALARNAS LÄN</t>
        </is>
      </c>
      <c r="E197" t="inlineStr">
        <is>
          <t>MORA</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62301-2020</t>
        </is>
      </c>
      <c r="B198" s="1" t="n">
        <v>44160</v>
      </c>
      <c r="C198" s="1" t="n">
        <v>45695</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62266-2020</t>
        </is>
      </c>
      <c r="B199" s="1" t="n">
        <v>44160</v>
      </c>
      <c r="C199" s="1" t="n">
        <v>45695</v>
      </c>
      <c r="D199" t="inlineStr">
        <is>
          <t>DALARNAS LÄN</t>
        </is>
      </c>
      <c r="E199" t="inlineStr">
        <is>
          <t>MORA</t>
        </is>
      </c>
      <c r="F199" t="inlineStr">
        <is>
          <t>Bergvik skog väst AB</t>
        </is>
      </c>
      <c r="G199" t="n">
        <v>5.9</v>
      </c>
      <c r="H199" t="n">
        <v>0</v>
      </c>
      <c r="I199" t="n">
        <v>0</v>
      </c>
      <c r="J199" t="n">
        <v>0</v>
      </c>
      <c r="K199" t="n">
        <v>0</v>
      </c>
      <c r="L199" t="n">
        <v>0</v>
      </c>
      <c r="M199" t="n">
        <v>0</v>
      </c>
      <c r="N199" t="n">
        <v>0</v>
      </c>
      <c r="O199" t="n">
        <v>0</v>
      </c>
      <c r="P199" t="n">
        <v>0</v>
      </c>
      <c r="Q199" t="n">
        <v>0</v>
      </c>
      <c r="R199" s="2" t="inlineStr"/>
    </row>
    <row r="200" ht="15" customHeight="1">
      <c r="A200" t="inlineStr">
        <is>
          <t>A 62268-2020</t>
        </is>
      </c>
      <c r="B200" s="1" t="n">
        <v>44160</v>
      </c>
      <c r="C200" s="1" t="n">
        <v>45695</v>
      </c>
      <c r="D200" t="inlineStr">
        <is>
          <t>DALARNAS LÄN</t>
        </is>
      </c>
      <c r="E200" t="inlineStr">
        <is>
          <t>MORA</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65301-2020</t>
        </is>
      </c>
      <c r="B201" s="1" t="n">
        <v>44169</v>
      </c>
      <c r="C201" s="1" t="n">
        <v>45695</v>
      </c>
      <c r="D201" t="inlineStr">
        <is>
          <t>DALARNAS LÄN</t>
        </is>
      </c>
      <c r="E201" t="inlineStr">
        <is>
          <t>MORA</t>
        </is>
      </c>
      <c r="G201" t="n">
        <v>2.9</v>
      </c>
      <c r="H201" t="n">
        <v>0</v>
      </c>
      <c r="I201" t="n">
        <v>0</v>
      </c>
      <c r="J201" t="n">
        <v>0</v>
      </c>
      <c r="K201" t="n">
        <v>0</v>
      </c>
      <c r="L201" t="n">
        <v>0</v>
      </c>
      <c r="M201" t="n">
        <v>0</v>
      </c>
      <c r="N201" t="n">
        <v>0</v>
      </c>
      <c r="O201" t="n">
        <v>0</v>
      </c>
      <c r="P201" t="n">
        <v>0</v>
      </c>
      <c r="Q201" t="n">
        <v>0</v>
      </c>
      <c r="R201" s="2" t="inlineStr"/>
    </row>
    <row r="202" ht="15" customHeight="1">
      <c r="A202" t="inlineStr">
        <is>
          <t>A 67028-2020</t>
        </is>
      </c>
      <c r="B202" s="1" t="n">
        <v>44180</v>
      </c>
      <c r="C202" s="1" t="n">
        <v>45695</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66990-2020</t>
        </is>
      </c>
      <c r="B203" s="1" t="n">
        <v>44180</v>
      </c>
      <c r="C203" s="1" t="n">
        <v>45695</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68468-2020</t>
        </is>
      </c>
      <c r="B204" s="1" t="n">
        <v>44186</v>
      </c>
      <c r="C204" s="1" t="n">
        <v>45695</v>
      </c>
      <c r="D204" t="inlineStr">
        <is>
          <t>DALARNAS LÄN</t>
        </is>
      </c>
      <c r="E204" t="inlineStr">
        <is>
          <t>MORA</t>
        </is>
      </c>
      <c r="F204" t="inlineStr">
        <is>
          <t>Bergvik skog öst AB</t>
        </is>
      </c>
      <c r="G204" t="n">
        <v>6.5</v>
      </c>
      <c r="H204" t="n">
        <v>0</v>
      </c>
      <c r="I204" t="n">
        <v>0</v>
      </c>
      <c r="J204" t="n">
        <v>0</v>
      </c>
      <c r="K204" t="n">
        <v>0</v>
      </c>
      <c r="L204" t="n">
        <v>0</v>
      </c>
      <c r="M204" t="n">
        <v>0</v>
      </c>
      <c r="N204" t="n">
        <v>0</v>
      </c>
      <c r="O204" t="n">
        <v>0</v>
      </c>
      <c r="P204" t="n">
        <v>0</v>
      </c>
      <c r="Q204" t="n">
        <v>0</v>
      </c>
      <c r="R204" s="2" t="inlineStr"/>
    </row>
    <row r="205" ht="15" customHeight="1">
      <c r="A205" t="inlineStr">
        <is>
          <t>A 68832-2020</t>
        </is>
      </c>
      <c r="B205" s="1" t="n">
        <v>44187</v>
      </c>
      <c r="C205" s="1" t="n">
        <v>45695</v>
      </c>
      <c r="D205" t="inlineStr">
        <is>
          <t>DALARNAS LÄN</t>
        </is>
      </c>
      <c r="E205" t="inlineStr">
        <is>
          <t>MORA</t>
        </is>
      </c>
      <c r="G205" t="n">
        <v>7.7</v>
      </c>
      <c r="H205" t="n">
        <v>0</v>
      </c>
      <c r="I205" t="n">
        <v>0</v>
      </c>
      <c r="J205" t="n">
        <v>0</v>
      </c>
      <c r="K205" t="n">
        <v>0</v>
      </c>
      <c r="L205" t="n">
        <v>0</v>
      </c>
      <c r="M205" t="n">
        <v>0</v>
      </c>
      <c r="N205" t="n">
        <v>0</v>
      </c>
      <c r="O205" t="n">
        <v>0</v>
      </c>
      <c r="P205" t="n">
        <v>0</v>
      </c>
      <c r="Q205" t="n">
        <v>0</v>
      </c>
      <c r="R205" s="2" t="inlineStr"/>
    </row>
    <row r="206" ht="15" customHeight="1">
      <c r="A206" t="inlineStr">
        <is>
          <t>A 69517-2020</t>
        </is>
      </c>
      <c r="B206" s="1" t="n">
        <v>44194</v>
      </c>
      <c r="C206" s="1" t="n">
        <v>45695</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69519-2020</t>
        </is>
      </c>
      <c r="B207" s="1" t="n">
        <v>44194</v>
      </c>
      <c r="C207" s="1" t="n">
        <v>45695</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655-2021</t>
        </is>
      </c>
      <c r="B208" s="1" t="n">
        <v>44203</v>
      </c>
      <c r="C208" s="1" t="n">
        <v>45695</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768-2021</t>
        </is>
      </c>
      <c r="B209" s="1" t="n">
        <v>44203</v>
      </c>
      <c r="C209" s="1" t="n">
        <v>45695</v>
      </c>
      <c r="D209" t="inlineStr">
        <is>
          <t>DALARNAS LÄN</t>
        </is>
      </c>
      <c r="E209" t="inlineStr">
        <is>
          <t>MORA</t>
        </is>
      </c>
      <c r="G209" t="n">
        <v>1.2</v>
      </c>
      <c r="H209" t="n">
        <v>0</v>
      </c>
      <c r="I209" t="n">
        <v>0</v>
      </c>
      <c r="J209" t="n">
        <v>0</v>
      </c>
      <c r="K209" t="n">
        <v>0</v>
      </c>
      <c r="L209" t="n">
        <v>0</v>
      </c>
      <c r="M209" t="n">
        <v>0</v>
      </c>
      <c r="N209" t="n">
        <v>0</v>
      </c>
      <c r="O209" t="n">
        <v>0</v>
      </c>
      <c r="P209" t="n">
        <v>0</v>
      </c>
      <c r="Q209" t="n">
        <v>0</v>
      </c>
      <c r="R209" s="2" t="inlineStr"/>
    </row>
    <row r="210" ht="15" customHeight="1">
      <c r="A210" t="inlineStr">
        <is>
          <t>A 770-2021</t>
        </is>
      </c>
      <c r="B210" s="1" t="n">
        <v>44203</v>
      </c>
      <c r="C210" s="1" t="n">
        <v>45695</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782-2021</t>
        </is>
      </c>
      <c r="B211" s="1" t="n">
        <v>44203</v>
      </c>
      <c r="C211" s="1" t="n">
        <v>45695</v>
      </c>
      <c r="D211" t="inlineStr">
        <is>
          <t>DALARNAS LÄN</t>
        </is>
      </c>
      <c r="E211" t="inlineStr">
        <is>
          <t>MORA</t>
        </is>
      </c>
      <c r="G211" t="n">
        <v>1.7</v>
      </c>
      <c r="H211" t="n">
        <v>0</v>
      </c>
      <c r="I211" t="n">
        <v>0</v>
      </c>
      <c r="J211" t="n">
        <v>0</v>
      </c>
      <c r="K211" t="n">
        <v>0</v>
      </c>
      <c r="L211" t="n">
        <v>0</v>
      </c>
      <c r="M211" t="n">
        <v>0</v>
      </c>
      <c r="N211" t="n">
        <v>0</v>
      </c>
      <c r="O211" t="n">
        <v>0</v>
      </c>
      <c r="P211" t="n">
        <v>0</v>
      </c>
      <c r="Q211" t="n">
        <v>0</v>
      </c>
      <c r="R211" s="2" t="inlineStr"/>
    </row>
    <row r="212" ht="15" customHeight="1">
      <c r="A212" t="inlineStr">
        <is>
          <t>A 787-2021</t>
        </is>
      </c>
      <c r="B212" s="1" t="n">
        <v>44203</v>
      </c>
      <c r="C212" s="1" t="n">
        <v>45695</v>
      </c>
      <c r="D212" t="inlineStr">
        <is>
          <t>DALARNAS LÄN</t>
        </is>
      </c>
      <c r="E212" t="inlineStr">
        <is>
          <t>MORA</t>
        </is>
      </c>
      <c r="G212" t="n">
        <v>3.9</v>
      </c>
      <c r="H212" t="n">
        <v>0</v>
      </c>
      <c r="I212" t="n">
        <v>0</v>
      </c>
      <c r="J212" t="n">
        <v>0</v>
      </c>
      <c r="K212" t="n">
        <v>0</v>
      </c>
      <c r="L212" t="n">
        <v>0</v>
      </c>
      <c r="M212" t="n">
        <v>0</v>
      </c>
      <c r="N212" t="n">
        <v>0</v>
      </c>
      <c r="O212" t="n">
        <v>0</v>
      </c>
      <c r="P212" t="n">
        <v>0</v>
      </c>
      <c r="Q212" t="n">
        <v>0</v>
      </c>
      <c r="R212" s="2" t="inlineStr"/>
    </row>
    <row r="213" ht="15" customHeight="1">
      <c r="A213" t="inlineStr">
        <is>
          <t>A 657-2021</t>
        </is>
      </c>
      <c r="B213" s="1" t="n">
        <v>44203</v>
      </c>
      <c r="C213" s="1" t="n">
        <v>45695</v>
      </c>
      <c r="D213" t="inlineStr">
        <is>
          <t>DALARNAS LÄN</t>
        </is>
      </c>
      <c r="E213" t="inlineStr">
        <is>
          <t>MORA</t>
        </is>
      </c>
      <c r="G213" t="n">
        <v>1.8</v>
      </c>
      <c r="H213" t="n">
        <v>0</v>
      </c>
      <c r="I213" t="n">
        <v>0</v>
      </c>
      <c r="J213" t="n">
        <v>0</v>
      </c>
      <c r="K213" t="n">
        <v>0</v>
      </c>
      <c r="L213" t="n">
        <v>0</v>
      </c>
      <c r="M213" t="n">
        <v>0</v>
      </c>
      <c r="N213" t="n">
        <v>0</v>
      </c>
      <c r="O213" t="n">
        <v>0</v>
      </c>
      <c r="P213" t="n">
        <v>0</v>
      </c>
      <c r="Q213" t="n">
        <v>0</v>
      </c>
      <c r="R213" s="2" t="inlineStr"/>
    </row>
    <row r="214" ht="15" customHeight="1">
      <c r="A214" t="inlineStr">
        <is>
          <t>A 769-2021</t>
        </is>
      </c>
      <c r="B214" s="1" t="n">
        <v>44203</v>
      </c>
      <c r="C214" s="1" t="n">
        <v>45695</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790-2021</t>
        </is>
      </c>
      <c r="B215" s="1" t="n">
        <v>44203</v>
      </c>
      <c r="C215" s="1" t="n">
        <v>45695</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837-2021</t>
        </is>
      </c>
      <c r="B216" s="1" t="n">
        <v>44204</v>
      </c>
      <c r="C216" s="1" t="n">
        <v>45695</v>
      </c>
      <c r="D216" t="inlineStr">
        <is>
          <t>DALARNAS LÄN</t>
        </is>
      </c>
      <c r="E216" t="inlineStr">
        <is>
          <t>MORA</t>
        </is>
      </c>
      <c r="G216" t="n">
        <v>10.4</v>
      </c>
      <c r="H216" t="n">
        <v>0</v>
      </c>
      <c r="I216" t="n">
        <v>0</v>
      </c>
      <c r="J216" t="n">
        <v>0</v>
      </c>
      <c r="K216" t="n">
        <v>0</v>
      </c>
      <c r="L216" t="n">
        <v>0</v>
      </c>
      <c r="M216" t="n">
        <v>0</v>
      </c>
      <c r="N216" t="n">
        <v>0</v>
      </c>
      <c r="O216" t="n">
        <v>0</v>
      </c>
      <c r="P216" t="n">
        <v>0</v>
      </c>
      <c r="Q216" t="n">
        <v>0</v>
      </c>
      <c r="R216" s="2" t="inlineStr"/>
    </row>
    <row r="217" ht="15" customHeight="1">
      <c r="A217" t="inlineStr">
        <is>
          <t>A 1951-2021</t>
        </is>
      </c>
      <c r="B217" s="1" t="n">
        <v>44210</v>
      </c>
      <c r="C217" s="1" t="n">
        <v>45695</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8064-2021</t>
        </is>
      </c>
      <c r="B218" s="1" t="n">
        <v>44243</v>
      </c>
      <c r="C218" s="1" t="n">
        <v>45695</v>
      </c>
      <c r="D218" t="inlineStr">
        <is>
          <t>DALARNAS LÄN</t>
        </is>
      </c>
      <c r="E218" t="inlineStr">
        <is>
          <t>MORA</t>
        </is>
      </c>
      <c r="G218" t="n">
        <v>4</v>
      </c>
      <c r="H218" t="n">
        <v>0</v>
      </c>
      <c r="I218" t="n">
        <v>0</v>
      </c>
      <c r="J218" t="n">
        <v>0</v>
      </c>
      <c r="K218" t="n">
        <v>0</v>
      </c>
      <c r="L218" t="n">
        <v>0</v>
      </c>
      <c r="M218" t="n">
        <v>0</v>
      </c>
      <c r="N218" t="n">
        <v>0</v>
      </c>
      <c r="O218" t="n">
        <v>0</v>
      </c>
      <c r="P218" t="n">
        <v>0</v>
      </c>
      <c r="Q218" t="n">
        <v>0</v>
      </c>
      <c r="R218" s="2" t="inlineStr"/>
    </row>
    <row r="219" ht="15" customHeight="1">
      <c r="A219" t="inlineStr">
        <is>
          <t>A 8146-2021</t>
        </is>
      </c>
      <c r="B219" s="1" t="n">
        <v>44244</v>
      </c>
      <c r="C219" s="1" t="n">
        <v>45695</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8153-2021</t>
        </is>
      </c>
      <c r="B220" s="1" t="n">
        <v>44244</v>
      </c>
      <c r="C220" s="1" t="n">
        <v>45695</v>
      </c>
      <c r="D220" t="inlineStr">
        <is>
          <t>DALARNAS LÄN</t>
        </is>
      </c>
      <c r="E220" t="inlineStr">
        <is>
          <t>MORA</t>
        </is>
      </c>
      <c r="G220" t="n">
        <v>2.5</v>
      </c>
      <c r="H220" t="n">
        <v>0</v>
      </c>
      <c r="I220" t="n">
        <v>0</v>
      </c>
      <c r="J220" t="n">
        <v>0</v>
      </c>
      <c r="K220" t="n">
        <v>0</v>
      </c>
      <c r="L220" t="n">
        <v>0</v>
      </c>
      <c r="M220" t="n">
        <v>0</v>
      </c>
      <c r="N220" t="n">
        <v>0</v>
      </c>
      <c r="O220" t="n">
        <v>0</v>
      </c>
      <c r="P220" t="n">
        <v>0</v>
      </c>
      <c r="Q220" t="n">
        <v>0</v>
      </c>
      <c r="R220" s="2" t="inlineStr"/>
    </row>
    <row r="221" ht="15" customHeight="1">
      <c r="A221" t="inlineStr">
        <is>
          <t>A 12151-2021</t>
        </is>
      </c>
      <c r="B221" s="1" t="n">
        <v>44266</v>
      </c>
      <c r="C221" s="1" t="n">
        <v>45695</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16840-2021</t>
        </is>
      </c>
      <c r="B222" s="1" t="n">
        <v>44295</v>
      </c>
      <c r="C222" s="1" t="n">
        <v>45695</v>
      </c>
      <c r="D222" t="inlineStr">
        <is>
          <t>DALARNAS LÄN</t>
        </is>
      </c>
      <c r="E222" t="inlineStr">
        <is>
          <t>MORA</t>
        </is>
      </c>
      <c r="G222" t="n">
        <v>11.5</v>
      </c>
      <c r="H222" t="n">
        <v>0</v>
      </c>
      <c r="I222" t="n">
        <v>0</v>
      </c>
      <c r="J222" t="n">
        <v>0</v>
      </c>
      <c r="K222" t="n">
        <v>0</v>
      </c>
      <c r="L222" t="n">
        <v>0</v>
      </c>
      <c r="M222" t="n">
        <v>0</v>
      </c>
      <c r="N222" t="n">
        <v>0</v>
      </c>
      <c r="O222" t="n">
        <v>0</v>
      </c>
      <c r="P222" t="n">
        <v>0</v>
      </c>
      <c r="Q222" t="n">
        <v>0</v>
      </c>
      <c r="R222" s="2" t="inlineStr"/>
    </row>
    <row r="223" ht="15" customHeight="1">
      <c r="A223" t="inlineStr">
        <is>
          <t>A 17915-2021</t>
        </is>
      </c>
      <c r="B223" s="1" t="n">
        <v>44301</v>
      </c>
      <c r="C223" s="1" t="n">
        <v>45695</v>
      </c>
      <c r="D223" t="inlineStr">
        <is>
          <t>DALARNAS LÄN</t>
        </is>
      </c>
      <c r="E223" t="inlineStr">
        <is>
          <t>MORA</t>
        </is>
      </c>
      <c r="G223" t="n">
        <v>4.4</v>
      </c>
      <c r="H223" t="n">
        <v>0</v>
      </c>
      <c r="I223" t="n">
        <v>0</v>
      </c>
      <c r="J223" t="n">
        <v>0</v>
      </c>
      <c r="K223" t="n">
        <v>0</v>
      </c>
      <c r="L223" t="n">
        <v>0</v>
      </c>
      <c r="M223" t="n">
        <v>0</v>
      </c>
      <c r="N223" t="n">
        <v>0</v>
      </c>
      <c r="O223" t="n">
        <v>0</v>
      </c>
      <c r="P223" t="n">
        <v>0</v>
      </c>
      <c r="Q223" t="n">
        <v>0</v>
      </c>
      <c r="R223" s="2" t="inlineStr"/>
    </row>
    <row r="224" ht="15" customHeight="1">
      <c r="A224" t="inlineStr">
        <is>
          <t>A 17904-2021</t>
        </is>
      </c>
      <c r="B224" s="1" t="n">
        <v>44301</v>
      </c>
      <c r="C224" s="1" t="n">
        <v>45695</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19383-2021</t>
        </is>
      </c>
      <c r="B225" s="1" t="n">
        <v>44309</v>
      </c>
      <c r="C225" s="1" t="n">
        <v>45695</v>
      </c>
      <c r="D225" t="inlineStr">
        <is>
          <t>DALARNAS LÄN</t>
        </is>
      </c>
      <c r="E225" t="inlineStr">
        <is>
          <t>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19896-2021</t>
        </is>
      </c>
      <c r="B226" s="1" t="n">
        <v>44313</v>
      </c>
      <c r="C226" s="1" t="n">
        <v>45695</v>
      </c>
      <c r="D226" t="inlineStr">
        <is>
          <t>DALARNAS LÄN</t>
        </is>
      </c>
      <c r="E226" t="inlineStr">
        <is>
          <t>MORA</t>
        </is>
      </c>
      <c r="G226" t="n">
        <v>1.8</v>
      </c>
      <c r="H226" t="n">
        <v>0</v>
      </c>
      <c r="I226" t="n">
        <v>0</v>
      </c>
      <c r="J226" t="n">
        <v>0</v>
      </c>
      <c r="K226" t="n">
        <v>0</v>
      </c>
      <c r="L226" t="n">
        <v>0</v>
      </c>
      <c r="M226" t="n">
        <v>0</v>
      </c>
      <c r="N226" t="n">
        <v>0</v>
      </c>
      <c r="O226" t="n">
        <v>0</v>
      </c>
      <c r="P226" t="n">
        <v>0</v>
      </c>
      <c r="Q226" t="n">
        <v>0</v>
      </c>
      <c r="R226" s="2" t="inlineStr"/>
    </row>
    <row r="227" ht="15" customHeight="1">
      <c r="A227" t="inlineStr">
        <is>
          <t>A 20125-2021</t>
        </is>
      </c>
      <c r="B227" s="1" t="n">
        <v>44314</v>
      </c>
      <c r="C227" s="1" t="n">
        <v>45695</v>
      </c>
      <c r="D227" t="inlineStr">
        <is>
          <t>DALARNAS LÄN</t>
        </is>
      </c>
      <c r="E227" t="inlineStr">
        <is>
          <t>MORA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22931-2021</t>
        </is>
      </c>
      <c r="B228" s="1" t="n">
        <v>44326</v>
      </c>
      <c r="C228" s="1" t="n">
        <v>45695</v>
      </c>
      <c r="D228" t="inlineStr">
        <is>
          <t>DALARNAS LÄN</t>
        </is>
      </c>
      <c r="E228" t="inlineStr">
        <is>
          <t>MORA</t>
        </is>
      </c>
      <c r="G228" t="n">
        <v>4.4</v>
      </c>
      <c r="H228" t="n">
        <v>0</v>
      </c>
      <c r="I228" t="n">
        <v>0</v>
      </c>
      <c r="J228" t="n">
        <v>0</v>
      </c>
      <c r="K228" t="n">
        <v>0</v>
      </c>
      <c r="L228" t="n">
        <v>0</v>
      </c>
      <c r="M228" t="n">
        <v>0</v>
      </c>
      <c r="N228" t="n">
        <v>0</v>
      </c>
      <c r="O228" t="n">
        <v>0</v>
      </c>
      <c r="P228" t="n">
        <v>0</v>
      </c>
      <c r="Q228" t="n">
        <v>0</v>
      </c>
      <c r="R228" s="2" t="inlineStr"/>
    </row>
    <row r="229" ht="15" customHeight="1">
      <c r="A229" t="inlineStr">
        <is>
          <t>A 24465-2021</t>
        </is>
      </c>
      <c r="B229" s="1" t="n">
        <v>44337</v>
      </c>
      <c r="C229" s="1" t="n">
        <v>45695</v>
      </c>
      <c r="D229" t="inlineStr">
        <is>
          <t>DALARNAS LÄN</t>
        </is>
      </c>
      <c r="E229" t="inlineStr">
        <is>
          <t>MORA</t>
        </is>
      </c>
      <c r="G229" t="n">
        <v>2.6</v>
      </c>
      <c r="H229" t="n">
        <v>0</v>
      </c>
      <c r="I229" t="n">
        <v>0</v>
      </c>
      <c r="J229" t="n">
        <v>0</v>
      </c>
      <c r="K229" t="n">
        <v>0</v>
      </c>
      <c r="L229" t="n">
        <v>0</v>
      </c>
      <c r="M229" t="n">
        <v>0</v>
      </c>
      <c r="N229" t="n">
        <v>0</v>
      </c>
      <c r="O229" t="n">
        <v>0</v>
      </c>
      <c r="P229" t="n">
        <v>0</v>
      </c>
      <c r="Q229" t="n">
        <v>0</v>
      </c>
      <c r="R229" s="2" t="inlineStr"/>
    </row>
    <row r="230" ht="15" customHeight="1">
      <c r="A230" t="inlineStr">
        <is>
          <t>A 25750-2021</t>
        </is>
      </c>
      <c r="B230" s="1" t="n">
        <v>44343</v>
      </c>
      <c r="C230" s="1" t="n">
        <v>45695</v>
      </c>
      <c r="D230" t="inlineStr">
        <is>
          <t>DALARNAS LÄN</t>
        </is>
      </c>
      <c r="E230" t="inlineStr">
        <is>
          <t>MORA</t>
        </is>
      </c>
      <c r="G230" t="n">
        <v>3.4</v>
      </c>
      <c r="H230" t="n">
        <v>0</v>
      </c>
      <c r="I230" t="n">
        <v>0</v>
      </c>
      <c r="J230" t="n">
        <v>0</v>
      </c>
      <c r="K230" t="n">
        <v>0</v>
      </c>
      <c r="L230" t="n">
        <v>0</v>
      </c>
      <c r="M230" t="n">
        <v>0</v>
      </c>
      <c r="N230" t="n">
        <v>0</v>
      </c>
      <c r="O230" t="n">
        <v>0</v>
      </c>
      <c r="P230" t="n">
        <v>0</v>
      </c>
      <c r="Q230" t="n">
        <v>0</v>
      </c>
      <c r="R230" s="2" t="inlineStr"/>
    </row>
    <row r="231" ht="15" customHeight="1">
      <c r="A231" t="inlineStr">
        <is>
          <t>A 26314-2021</t>
        </is>
      </c>
      <c r="B231" s="1" t="n">
        <v>44347</v>
      </c>
      <c r="C231" s="1" t="n">
        <v>45695</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29697-2021</t>
        </is>
      </c>
      <c r="B232" s="1" t="n">
        <v>44362</v>
      </c>
      <c r="C232" s="1" t="n">
        <v>45695</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30030-2021</t>
        </is>
      </c>
      <c r="B233" s="1" t="n">
        <v>44363</v>
      </c>
      <c r="C233" s="1" t="n">
        <v>45695</v>
      </c>
      <c r="D233" t="inlineStr">
        <is>
          <t>DALARNAS LÄN</t>
        </is>
      </c>
      <c r="E233" t="inlineStr">
        <is>
          <t>MORA</t>
        </is>
      </c>
      <c r="G233" t="n">
        <v>7.1</v>
      </c>
      <c r="H233" t="n">
        <v>0</v>
      </c>
      <c r="I233" t="n">
        <v>0</v>
      </c>
      <c r="J233" t="n">
        <v>0</v>
      </c>
      <c r="K233" t="n">
        <v>0</v>
      </c>
      <c r="L233" t="n">
        <v>0</v>
      </c>
      <c r="M233" t="n">
        <v>0</v>
      </c>
      <c r="N233" t="n">
        <v>0</v>
      </c>
      <c r="O233" t="n">
        <v>0</v>
      </c>
      <c r="P233" t="n">
        <v>0</v>
      </c>
      <c r="Q233" t="n">
        <v>0</v>
      </c>
      <c r="R233" s="2" t="inlineStr"/>
    </row>
    <row r="234" ht="15" customHeight="1">
      <c r="A234" t="inlineStr">
        <is>
          <t>A 30895-2021</t>
        </is>
      </c>
      <c r="B234" s="1" t="n">
        <v>44365</v>
      </c>
      <c r="C234" s="1" t="n">
        <v>45695</v>
      </c>
      <c r="D234" t="inlineStr">
        <is>
          <t>DALARNAS LÄN</t>
        </is>
      </c>
      <c r="E234" t="inlineStr">
        <is>
          <t>MORA</t>
        </is>
      </c>
      <c r="G234" t="n">
        <v>2.8</v>
      </c>
      <c r="H234" t="n">
        <v>0</v>
      </c>
      <c r="I234" t="n">
        <v>0</v>
      </c>
      <c r="J234" t="n">
        <v>0</v>
      </c>
      <c r="K234" t="n">
        <v>0</v>
      </c>
      <c r="L234" t="n">
        <v>0</v>
      </c>
      <c r="M234" t="n">
        <v>0</v>
      </c>
      <c r="N234" t="n">
        <v>0</v>
      </c>
      <c r="O234" t="n">
        <v>0</v>
      </c>
      <c r="P234" t="n">
        <v>0</v>
      </c>
      <c r="Q234" t="n">
        <v>0</v>
      </c>
      <c r="R234" s="2" t="inlineStr"/>
    </row>
    <row r="235" ht="15" customHeight="1">
      <c r="A235" t="inlineStr">
        <is>
          <t>A 30888-2021</t>
        </is>
      </c>
      <c r="B235" s="1" t="n">
        <v>44365</v>
      </c>
      <c r="C235" s="1" t="n">
        <v>45695</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30905-2021</t>
        </is>
      </c>
      <c r="B236" s="1" t="n">
        <v>44365</v>
      </c>
      <c r="C236" s="1" t="n">
        <v>45695</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31169-2021</t>
        </is>
      </c>
      <c r="B237" s="1" t="n">
        <v>44368</v>
      </c>
      <c r="C237" s="1" t="n">
        <v>45695</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31177-2021</t>
        </is>
      </c>
      <c r="B238" s="1" t="n">
        <v>44368</v>
      </c>
      <c r="C238" s="1" t="n">
        <v>45695</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31689-2021</t>
        </is>
      </c>
      <c r="B239" s="1" t="n">
        <v>44369</v>
      </c>
      <c r="C239" s="1" t="n">
        <v>45695</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31705-2021</t>
        </is>
      </c>
      <c r="B240" s="1" t="n">
        <v>44369</v>
      </c>
      <c r="C240" s="1" t="n">
        <v>45695</v>
      </c>
      <c r="D240" t="inlineStr">
        <is>
          <t>DALARNAS LÄN</t>
        </is>
      </c>
      <c r="E240" t="inlineStr">
        <is>
          <t>MORA</t>
        </is>
      </c>
      <c r="G240" t="n">
        <v>0.2</v>
      </c>
      <c r="H240" t="n">
        <v>0</v>
      </c>
      <c r="I240" t="n">
        <v>0</v>
      </c>
      <c r="J240" t="n">
        <v>0</v>
      </c>
      <c r="K240" t="n">
        <v>0</v>
      </c>
      <c r="L240" t="n">
        <v>0</v>
      </c>
      <c r="M240" t="n">
        <v>0</v>
      </c>
      <c r="N240" t="n">
        <v>0</v>
      </c>
      <c r="O240" t="n">
        <v>0</v>
      </c>
      <c r="P240" t="n">
        <v>0</v>
      </c>
      <c r="Q240" t="n">
        <v>0</v>
      </c>
      <c r="R240" s="2" t="inlineStr"/>
    </row>
    <row r="241" ht="15" customHeight="1">
      <c r="A241" t="inlineStr">
        <is>
          <t>A 34018-2021</t>
        </is>
      </c>
      <c r="B241" s="1" t="n">
        <v>44379</v>
      </c>
      <c r="C241" s="1" t="n">
        <v>45695</v>
      </c>
      <c r="D241" t="inlineStr">
        <is>
          <t>DALARNAS LÄN</t>
        </is>
      </c>
      <c r="E241" t="inlineStr">
        <is>
          <t>MORA</t>
        </is>
      </c>
      <c r="G241" t="n">
        <v>5.7</v>
      </c>
      <c r="H241" t="n">
        <v>0</v>
      </c>
      <c r="I241" t="n">
        <v>0</v>
      </c>
      <c r="J241" t="n">
        <v>0</v>
      </c>
      <c r="K241" t="n">
        <v>0</v>
      </c>
      <c r="L241" t="n">
        <v>0</v>
      </c>
      <c r="M241" t="n">
        <v>0</v>
      </c>
      <c r="N241" t="n">
        <v>0</v>
      </c>
      <c r="O241" t="n">
        <v>0</v>
      </c>
      <c r="P241" t="n">
        <v>0</v>
      </c>
      <c r="Q241" t="n">
        <v>0</v>
      </c>
      <c r="R241" s="2" t="inlineStr"/>
    </row>
    <row r="242" ht="15" customHeight="1">
      <c r="A242" t="inlineStr">
        <is>
          <t>A 34660-2021</t>
        </is>
      </c>
      <c r="B242" s="1" t="n">
        <v>44382</v>
      </c>
      <c r="C242" s="1" t="n">
        <v>45695</v>
      </c>
      <c r="D242" t="inlineStr">
        <is>
          <t>DALARNAS LÄN</t>
        </is>
      </c>
      <c r="E242" t="inlineStr">
        <is>
          <t>MORA</t>
        </is>
      </c>
      <c r="G242" t="n">
        <v>7.5</v>
      </c>
      <c r="H242" t="n">
        <v>0</v>
      </c>
      <c r="I242" t="n">
        <v>0</v>
      </c>
      <c r="J242" t="n">
        <v>0</v>
      </c>
      <c r="K242" t="n">
        <v>0</v>
      </c>
      <c r="L242" t="n">
        <v>0</v>
      </c>
      <c r="M242" t="n">
        <v>0</v>
      </c>
      <c r="N242" t="n">
        <v>0</v>
      </c>
      <c r="O242" t="n">
        <v>0</v>
      </c>
      <c r="P242" t="n">
        <v>0</v>
      </c>
      <c r="Q242" t="n">
        <v>0</v>
      </c>
      <c r="R242" s="2" t="inlineStr"/>
    </row>
    <row r="243" ht="15" customHeight="1">
      <c r="A243" t="inlineStr">
        <is>
          <t>A 34715-2021</t>
        </is>
      </c>
      <c r="B243" s="1" t="n">
        <v>44382</v>
      </c>
      <c r="C243" s="1" t="n">
        <v>45695</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34875-2021</t>
        </is>
      </c>
      <c r="B244" s="1" t="n">
        <v>44383</v>
      </c>
      <c r="C244" s="1" t="n">
        <v>45695</v>
      </c>
      <c r="D244" t="inlineStr">
        <is>
          <t>DALARNAS LÄN</t>
        </is>
      </c>
      <c r="E244" t="inlineStr">
        <is>
          <t>MORA</t>
        </is>
      </c>
      <c r="G244" t="n">
        <v>5.2</v>
      </c>
      <c r="H244" t="n">
        <v>0</v>
      </c>
      <c r="I244" t="n">
        <v>0</v>
      </c>
      <c r="J244" t="n">
        <v>0</v>
      </c>
      <c r="K244" t="n">
        <v>0</v>
      </c>
      <c r="L244" t="n">
        <v>0</v>
      </c>
      <c r="M244" t="n">
        <v>0</v>
      </c>
      <c r="N244" t="n">
        <v>0</v>
      </c>
      <c r="O244" t="n">
        <v>0</v>
      </c>
      <c r="P244" t="n">
        <v>0</v>
      </c>
      <c r="Q244" t="n">
        <v>0</v>
      </c>
      <c r="R244" s="2" t="inlineStr"/>
    </row>
    <row r="245" ht="15" customHeight="1">
      <c r="A245" t="inlineStr">
        <is>
          <t>A 35005-2021</t>
        </is>
      </c>
      <c r="B245" s="1" t="n">
        <v>44383</v>
      </c>
      <c r="C245" s="1" t="n">
        <v>45695</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36168-2021</t>
        </is>
      </c>
      <c r="B246" s="1" t="n">
        <v>44389</v>
      </c>
      <c r="C246" s="1" t="n">
        <v>45695</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36184-2021</t>
        </is>
      </c>
      <c r="B247" s="1" t="n">
        <v>44389</v>
      </c>
      <c r="C247" s="1" t="n">
        <v>45695</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36173-2021</t>
        </is>
      </c>
      <c r="B248" s="1" t="n">
        <v>44389</v>
      </c>
      <c r="C248" s="1" t="n">
        <v>45695</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38769-2021</t>
        </is>
      </c>
      <c r="B249" s="1" t="n">
        <v>44410</v>
      </c>
      <c r="C249" s="1" t="n">
        <v>45695</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39227-2021</t>
        </is>
      </c>
      <c r="B250" s="1" t="n">
        <v>44413</v>
      </c>
      <c r="C250" s="1" t="n">
        <v>45695</v>
      </c>
      <c r="D250" t="inlineStr">
        <is>
          <t>DALARNAS LÄN</t>
        </is>
      </c>
      <c r="E250" t="inlineStr">
        <is>
          <t>MORA</t>
        </is>
      </c>
      <c r="G250" t="n">
        <v>3.3</v>
      </c>
      <c r="H250" t="n">
        <v>0</v>
      </c>
      <c r="I250" t="n">
        <v>0</v>
      </c>
      <c r="J250" t="n">
        <v>0</v>
      </c>
      <c r="K250" t="n">
        <v>0</v>
      </c>
      <c r="L250" t="n">
        <v>0</v>
      </c>
      <c r="M250" t="n">
        <v>0</v>
      </c>
      <c r="N250" t="n">
        <v>0</v>
      </c>
      <c r="O250" t="n">
        <v>0</v>
      </c>
      <c r="P250" t="n">
        <v>0</v>
      </c>
      <c r="Q250" t="n">
        <v>0</v>
      </c>
      <c r="R250" s="2" t="inlineStr"/>
    </row>
    <row r="251" ht="15" customHeight="1">
      <c r="A251" t="inlineStr">
        <is>
          <t>A 39198-2021</t>
        </is>
      </c>
      <c r="B251" s="1" t="n">
        <v>44413</v>
      </c>
      <c r="C251" s="1" t="n">
        <v>45695</v>
      </c>
      <c r="D251" t="inlineStr">
        <is>
          <t>DALARNAS LÄN</t>
        </is>
      </c>
      <c r="E251" t="inlineStr">
        <is>
          <t>MORA</t>
        </is>
      </c>
      <c r="G251" t="n">
        <v>4.6</v>
      </c>
      <c r="H251" t="n">
        <v>0</v>
      </c>
      <c r="I251" t="n">
        <v>0</v>
      </c>
      <c r="J251" t="n">
        <v>0</v>
      </c>
      <c r="K251" t="n">
        <v>0</v>
      </c>
      <c r="L251" t="n">
        <v>0</v>
      </c>
      <c r="M251" t="n">
        <v>0</v>
      </c>
      <c r="N251" t="n">
        <v>0</v>
      </c>
      <c r="O251" t="n">
        <v>0</v>
      </c>
      <c r="P251" t="n">
        <v>0</v>
      </c>
      <c r="Q251" t="n">
        <v>0</v>
      </c>
      <c r="R251" s="2" t="inlineStr"/>
    </row>
    <row r="252" ht="15" customHeight="1">
      <c r="A252" t="inlineStr">
        <is>
          <t>A 39672-2021</t>
        </is>
      </c>
      <c r="B252" s="1" t="n">
        <v>44417</v>
      </c>
      <c r="C252" s="1" t="n">
        <v>45695</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41022-2021</t>
        </is>
      </c>
      <c r="B253" s="1" t="n">
        <v>44421</v>
      </c>
      <c r="C253" s="1" t="n">
        <v>45695</v>
      </c>
      <c r="D253" t="inlineStr">
        <is>
          <t>DALARNAS LÄN</t>
        </is>
      </c>
      <c r="E253" t="inlineStr">
        <is>
          <t>MORA</t>
        </is>
      </c>
      <c r="G253" t="n">
        <v>11.9</v>
      </c>
      <c r="H253" t="n">
        <v>0</v>
      </c>
      <c r="I253" t="n">
        <v>0</v>
      </c>
      <c r="J253" t="n">
        <v>0</v>
      </c>
      <c r="K253" t="n">
        <v>0</v>
      </c>
      <c r="L253" t="n">
        <v>0</v>
      </c>
      <c r="M253" t="n">
        <v>0</v>
      </c>
      <c r="N253" t="n">
        <v>0</v>
      </c>
      <c r="O253" t="n">
        <v>0</v>
      </c>
      <c r="P253" t="n">
        <v>0</v>
      </c>
      <c r="Q253" t="n">
        <v>0</v>
      </c>
      <c r="R253" s="2" t="inlineStr"/>
    </row>
    <row r="254" ht="15" customHeight="1">
      <c r="A254" t="inlineStr">
        <is>
          <t>A 41028-2021</t>
        </is>
      </c>
      <c r="B254" s="1" t="n">
        <v>44421</v>
      </c>
      <c r="C254" s="1" t="n">
        <v>45695</v>
      </c>
      <c r="D254" t="inlineStr">
        <is>
          <t>DALARNAS LÄN</t>
        </is>
      </c>
      <c r="E254" t="inlineStr">
        <is>
          <t>MORA</t>
        </is>
      </c>
      <c r="G254" t="n">
        <v>7.2</v>
      </c>
      <c r="H254" t="n">
        <v>0</v>
      </c>
      <c r="I254" t="n">
        <v>0</v>
      </c>
      <c r="J254" t="n">
        <v>0</v>
      </c>
      <c r="K254" t="n">
        <v>0</v>
      </c>
      <c r="L254" t="n">
        <v>0</v>
      </c>
      <c r="M254" t="n">
        <v>0</v>
      </c>
      <c r="N254" t="n">
        <v>0</v>
      </c>
      <c r="O254" t="n">
        <v>0</v>
      </c>
      <c r="P254" t="n">
        <v>0</v>
      </c>
      <c r="Q254" t="n">
        <v>0</v>
      </c>
      <c r="R254" s="2" t="inlineStr"/>
    </row>
    <row r="255" ht="15" customHeight="1">
      <c r="A255" t="inlineStr">
        <is>
          <t>A 41032-2021</t>
        </is>
      </c>
      <c r="B255" s="1" t="n">
        <v>44421</v>
      </c>
      <c r="C255" s="1" t="n">
        <v>45695</v>
      </c>
      <c r="D255" t="inlineStr">
        <is>
          <t>DALARNAS LÄN</t>
        </is>
      </c>
      <c r="E255" t="inlineStr">
        <is>
          <t>MORA</t>
        </is>
      </c>
      <c r="G255" t="n">
        <v>4.1</v>
      </c>
      <c r="H255" t="n">
        <v>0</v>
      </c>
      <c r="I255" t="n">
        <v>0</v>
      </c>
      <c r="J255" t="n">
        <v>0</v>
      </c>
      <c r="K255" t="n">
        <v>0</v>
      </c>
      <c r="L255" t="n">
        <v>0</v>
      </c>
      <c r="M255" t="n">
        <v>0</v>
      </c>
      <c r="N255" t="n">
        <v>0</v>
      </c>
      <c r="O255" t="n">
        <v>0</v>
      </c>
      <c r="P255" t="n">
        <v>0</v>
      </c>
      <c r="Q255" t="n">
        <v>0</v>
      </c>
      <c r="R255" s="2" t="inlineStr"/>
    </row>
    <row r="256" ht="15" customHeight="1">
      <c r="A256" t="inlineStr">
        <is>
          <t>A 41121-2021</t>
        </is>
      </c>
      <c r="B256" s="1" t="n">
        <v>44423</v>
      </c>
      <c r="C256" s="1" t="n">
        <v>45695</v>
      </c>
      <c r="D256" t="inlineStr">
        <is>
          <t>DALARNAS LÄN</t>
        </is>
      </c>
      <c r="E256" t="inlineStr">
        <is>
          <t>MORA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42508-2021</t>
        </is>
      </c>
      <c r="B257" s="1" t="n">
        <v>44427</v>
      </c>
      <c r="C257" s="1" t="n">
        <v>45695</v>
      </c>
      <c r="D257" t="inlineStr">
        <is>
          <t>DALARNAS LÄN</t>
        </is>
      </c>
      <c r="E257" t="inlineStr">
        <is>
          <t>MORA</t>
        </is>
      </c>
      <c r="G257" t="n">
        <v>1.3</v>
      </c>
      <c r="H257" t="n">
        <v>0</v>
      </c>
      <c r="I257" t="n">
        <v>0</v>
      </c>
      <c r="J257" t="n">
        <v>0</v>
      </c>
      <c r="K257" t="n">
        <v>0</v>
      </c>
      <c r="L257" t="n">
        <v>0</v>
      </c>
      <c r="M257" t="n">
        <v>0</v>
      </c>
      <c r="N257" t="n">
        <v>0</v>
      </c>
      <c r="O257" t="n">
        <v>0</v>
      </c>
      <c r="P257" t="n">
        <v>0</v>
      </c>
      <c r="Q257" t="n">
        <v>0</v>
      </c>
      <c r="R257" s="2" t="inlineStr"/>
    </row>
    <row r="258" ht="15" customHeight="1">
      <c r="A258" t="inlineStr">
        <is>
          <t>A 42505-2021</t>
        </is>
      </c>
      <c r="B258" s="1" t="n">
        <v>44427</v>
      </c>
      <c r="C258" s="1" t="n">
        <v>45695</v>
      </c>
      <c r="D258" t="inlineStr">
        <is>
          <t>DALARNAS LÄN</t>
        </is>
      </c>
      <c r="E258" t="inlineStr">
        <is>
          <t>MORA</t>
        </is>
      </c>
      <c r="G258" t="n">
        <v>0.9</v>
      </c>
      <c r="H258" t="n">
        <v>0</v>
      </c>
      <c r="I258" t="n">
        <v>0</v>
      </c>
      <c r="J258" t="n">
        <v>0</v>
      </c>
      <c r="K258" t="n">
        <v>0</v>
      </c>
      <c r="L258" t="n">
        <v>0</v>
      </c>
      <c r="M258" t="n">
        <v>0</v>
      </c>
      <c r="N258" t="n">
        <v>0</v>
      </c>
      <c r="O258" t="n">
        <v>0</v>
      </c>
      <c r="P258" t="n">
        <v>0</v>
      </c>
      <c r="Q258" t="n">
        <v>0</v>
      </c>
      <c r="R258" s="2" t="inlineStr"/>
    </row>
    <row r="259" ht="15" customHeight="1">
      <c r="A259" t="inlineStr">
        <is>
          <t>A 43458-2021</t>
        </is>
      </c>
      <c r="B259" s="1" t="n">
        <v>44432</v>
      </c>
      <c r="C259" s="1" t="n">
        <v>45695</v>
      </c>
      <c r="D259" t="inlineStr">
        <is>
          <t>DALARNAS LÄN</t>
        </is>
      </c>
      <c r="E259" t="inlineStr">
        <is>
          <t>MORA</t>
        </is>
      </c>
      <c r="G259" t="n">
        <v>2.4</v>
      </c>
      <c r="H259" t="n">
        <v>0</v>
      </c>
      <c r="I259" t="n">
        <v>0</v>
      </c>
      <c r="J259" t="n">
        <v>0</v>
      </c>
      <c r="K259" t="n">
        <v>0</v>
      </c>
      <c r="L259" t="n">
        <v>0</v>
      </c>
      <c r="M259" t="n">
        <v>0</v>
      </c>
      <c r="N259" t="n">
        <v>0</v>
      </c>
      <c r="O259" t="n">
        <v>0</v>
      </c>
      <c r="P259" t="n">
        <v>0</v>
      </c>
      <c r="Q259" t="n">
        <v>0</v>
      </c>
      <c r="R259" s="2" t="inlineStr"/>
    </row>
    <row r="260" ht="15" customHeight="1">
      <c r="A260" t="inlineStr">
        <is>
          <t>A 44307-2021</t>
        </is>
      </c>
      <c r="B260" s="1" t="n">
        <v>44435</v>
      </c>
      <c r="C260" s="1" t="n">
        <v>45695</v>
      </c>
      <c r="D260" t="inlineStr">
        <is>
          <t>DALARNAS LÄN</t>
        </is>
      </c>
      <c r="E260" t="inlineStr">
        <is>
          <t>MORA</t>
        </is>
      </c>
      <c r="G260" t="n">
        <v>1.2</v>
      </c>
      <c r="H260" t="n">
        <v>0</v>
      </c>
      <c r="I260" t="n">
        <v>0</v>
      </c>
      <c r="J260" t="n">
        <v>0</v>
      </c>
      <c r="K260" t="n">
        <v>0</v>
      </c>
      <c r="L260" t="n">
        <v>0</v>
      </c>
      <c r="M260" t="n">
        <v>0</v>
      </c>
      <c r="N260" t="n">
        <v>0</v>
      </c>
      <c r="O260" t="n">
        <v>0</v>
      </c>
      <c r="P260" t="n">
        <v>0</v>
      </c>
      <c r="Q260" t="n">
        <v>0</v>
      </c>
      <c r="R260" s="2" t="inlineStr"/>
    </row>
    <row r="261" ht="15" customHeight="1">
      <c r="A261" t="inlineStr">
        <is>
          <t>A 44426-2021</t>
        </is>
      </c>
      <c r="B261" s="1" t="n">
        <v>44435</v>
      </c>
      <c r="C261" s="1" t="n">
        <v>45695</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44756-2021</t>
        </is>
      </c>
      <c r="B262" s="1" t="n">
        <v>44438</v>
      </c>
      <c r="C262" s="1" t="n">
        <v>45695</v>
      </c>
      <c r="D262" t="inlineStr">
        <is>
          <t>DALARNAS LÄN</t>
        </is>
      </c>
      <c r="E262" t="inlineStr">
        <is>
          <t>MORA</t>
        </is>
      </c>
      <c r="G262" t="n">
        <v>2.8</v>
      </c>
      <c r="H262" t="n">
        <v>0</v>
      </c>
      <c r="I262" t="n">
        <v>0</v>
      </c>
      <c r="J262" t="n">
        <v>0</v>
      </c>
      <c r="K262" t="n">
        <v>0</v>
      </c>
      <c r="L262" t="n">
        <v>0</v>
      </c>
      <c r="M262" t="n">
        <v>0</v>
      </c>
      <c r="N262" t="n">
        <v>0</v>
      </c>
      <c r="O262" t="n">
        <v>0</v>
      </c>
      <c r="P262" t="n">
        <v>0</v>
      </c>
      <c r="Q262" t="n">
        <v>0</v>
      </c>
      <c r="R262" s="2" t="inlineStr"/>
    </row>
    <row r="263" ht="15" customHeight="1">
      <c r="A263" t="inlineStr">
        <is>
          <t>A 44769-2021</t>
        </is>
      </c>
      <c r="B263" s="1" t="n">
        <v>44438</v>
      </c>
      <c r="C263" s="1" t="n">
        <v>45695</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44765-2021</t>
        </is>
      </c>
      <c r="B264" s="1" t="n">
        <v>44438</v>
      </c>
      <c r="C264" s="1" t="n">
        <v>45695</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45453-2021</t>
        </is>
      </c>
      <c r="B265" s="1" t="n">
        <v>44440</v>
      </c>
      <c r="C265" s="1" t="n">
        <v>45695</v>
      </c>
      <c r="D265" t="inlineStr">
        <is>
          <t>DALARNAS LÄN</t>
        </is>
      </c>
      <c r="E265" t="inlineStr">
        <is>
          <t>MORA</t>
        </is>
      </c>
      <c r="G265" t="n">
        <v>2.7</v>
      </c>
      <c r="H265" t="n">
        <v>0</v>
      </c>
      <c r="I265" t="n">
        <v>0</v>
      </c>
      <c r="J265" t="n">
        <v>0</v>
      </c>
      <c r="K265" t="n">
        <v>0</v>
      </c>
      <c r="L265" t="n">
        <v>0</v>
      </c>
      <c r="M265" t="n">
        <v>0</v>
      </c>
      <c r="N265" t="n">
        <v>0</v>
      </c>
      <c r="O265" t="n">
        <v>0</v>
      </c>
      <c r="P265" t="n">
        <v>0</v>
      </c>
      <c r="Q265" t="n">
        <v>0</v>
      </c>
      <c r="R265" s="2" t="inlineStr"/>
    </row>
    <row r="266" ht="15" customHeight="1">
      <c r="A266" t="inlineStr">
        <is>
          <t>A 45765-2021</t>
        </is>
      </c>
      <c r="B266" s="1" t="n">
        <v>44441</v>
      </c>
      <c r="C266" s="1" t="n">
        <v>45695</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45770-2021</t>
        </is>
      </c>
      <c r="B267" s="1" t="n">
        <v>44441</v>
      </c>
      <c r="C267" s="1" t="n">
        <v>45695</v>
      </c>
      <c r="D267" t="inlineStr">
        <is>
          <t>DALARNAS LÄN</t>
        </is>
      </c>
      <c r="E267" t="inlineStr">
        <is>
          <t>MORA</t>
        </is>
      </c>
      <c r="G267" t="n">
        <v>23.1</v>
      </c>
      <c r="H267" t="n">
        <v>0</v>
      </c>
      <c r="I267" t="n">
        <v>0</v>
      </c>
      <c r="J267" t="n">
        <v>0</v>
      </c>
      <c r="K267" t="n">
        <v>0</v>
      </c>
      <c r="L267" t="n">
        <v>0</v>
      </c>
      <c r="M267" t="n">
        <v>0</v>
      </c>
      <c r="N267" t="n">
        <v>0</v>
      </c>
      <c r="O267" t="n">
        <v>0</v>
      </c>
      <c r="P267" t="n">
        <v>0</v>
      </c>
      <c r="Q267" t="n">
        <v>0</v>
      </c>
      <c r="R267" s="2" t="inlineStr"/>
    </row>
    <row r="268" ht="15" customHeight="1">
      <c r="A268" t="inlineStr">
        <is>
          <t>A 47477-2021</t>
        </is>
      </c>
      <c r="B268" s="1" t="n">
        <v>44447</v>
      </c>
      <c r="C268" s="1" t="n">
        <v>45695</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48000-2021</t>
        </is>
      </c>
      <c r="B269" s="1" t="n">
        <v>44449</v>
      </c>
      <c r="C269" s="1" t="n">
        <v>45695</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48354-2021</t>
        </is>
      </c>
      <c r="B270" s="1" t="n">
        <v>44451</v>
      </c>
      <c r="C270" s="1" t="n">
        <v>45695</v>
      </c>
      <c r="D270" t="inlineStr">
        <is>
          <t>DALARNAS LÄN</t>
        </is>
      </c>
      <c r="E270" t="inlineStr">
        <is>
          <t>MORA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49572-2021</t>
        </is>
      </c>
      <c r="B271" s="1" t="n">
        <v>44455</v>
      </c>
      <c r="C271" s="1" t="n">
        <v>45695</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49583-2021</t>
        </is>
      </c>
      <c r="B272" s="1" t="n">
        <v>44455</v>
      </c>
      <c r="C272" s="1" t="n">
        <v>45695</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49578-2021</t>
        </is>
      </c>
      <c r="B273" s="1" t="n">
        <v>44455</v>
      </c>
      <c r="C273" s="1" t="n">
        <v>45695</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50255-2021</t>
        </is>
      </c>
      <c r="B274" s="1" t="n">
        <v>44458</v>
      </c>
      <c r="C274" s="1" t="n">
        <v>45695</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50620-2021</t>
        </is>
      </c>
      <c r="B275" s="1" t="n">
        <v>44459</v>
      </c>
      <c r="C275" s="1" t="n">
        <v>45695</v>
      </c>
      <c r="D275" t="inlineStr">
        <is>
          <t>DALARNAS LÄN</t>
        </is>
      </c>
      <c r="E275" t="inlineStr">
        <is>
          <t>MORA</t>
        </is>
      </c>
      <c r="G275" t="n">
        <v>4.4</v>
      </c>
      <c r="H275" t="n">
        <v>0</v>
      </c>
      <c r="I275" t="n">
        <v>0</v>
      </c>
      <c r="J275" t="n">
        <v>0</v>
      </c>
      <c r="K275" t="n">
        <v>0</v>
      </c>
      <c r="L275" t="n">
        <v>0</v>
      </c>
      <c r="M275" t="n">
        <v>0</v>
      </c>
      <c r="N275" t="n">
        <v>0</v>
      </c>
      <c r="O275" t="n">
        <v>0</v>
      </c>
      <c r="P275" t="n">
        <v>0</v>
      </c>
      <c r="Q275" t="n">
        <v>0</v>
      </c>
      <c r="R275" s="2" t="inlineStr"/>
    </row>
    <row r="276" ht="15" customHeight="1">
      <c r="A276" t="inlineStr">
        <is>
          <t>A 51850-2021</t>
        </is>
      </c>
      <c r="B276" s="1" t="n">
        <v>44462</v>
      </c>
      <c r="C276" s="1" t="n">
        <v>45695</v>
      </c>
      <c r="D276" t="inlineStr">
        <is>
          <t>DALARNAS LÄN</t>
        </is>
      </c>
      <c r="E276" t="inlineStr">
        <is>
          <t>MORA</t>
        </is>
      </c>
      <c r="F276" t="inlineStr">
        <is>
          <t>Bergvik skog väst AB</t>
        </is>
      </c>
      <c r="G276" t="n">
        <v>6.1</v>
      </c>
      <c r="H276" t="n">
        <v>0</v>
      </c>
      <c r="I276" t="n">
        <v>0</v>
      </c>
      <c r="J276" t="n">
        <v>0</v>
      </c>
      <c r="K276" t="n">
        <v>0</v>
      </c>
      <c r="L276" t="n">
        <v>0</v>
      </c>
      <c r="M276" t="n">
        <v>0</v>
      </c>
      <c r="N276" t="n">
        <v>0</v>
      </c>
      <c r="O276" t="n">
        <v>0</v>
      </c>
      <c r="P276" t="n">
        <v>0</v>
      </c>
      <c r="Q276" t="n">
        <v>0</v>
      </c>
      <c r="R276" s="2" t="inlineStr"/>
    </row>
    <row r="277" ht="15" customHeight="1">
      <c r="A277" t="inlineStr">
        <is>
          <t>A 52573-2021</t>
        </is>
      </c>
      <c r="B277" s="1" t="n">
        <v>44466</v>
      </c>
      <c r="C277" s="1" t="n">
        <v>45695</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54239-2021</t>
        </is>
      </c>
      <c r="B278" s="1" t="n">
        <v>44470</v>
      </c>
      <c r="C278" s="1" t="n">
        <v>45695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v>
      </c>
      <c r="C279" s="1" t="n">
        <v>45695</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54409-2021</t>
        </is>
      </c>
      <c r="B280" s="1" t="n">
        <v>44473</v>
      </c>
      <c r="C280" s="1" t="n">
        <v>45695</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56501-2021</t>
        </is>
      </c>
      <c r="B281" s="1" t="n">
        <v>44480</v>
      </c>
      <c r="C281" s="1" t="n">
        <v>45695</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57091-2021</t>
        </is>
      </c>
      <c r="B282" s="1" t="n">
        <v>44482</v>
      </c>
      <c r="C282" s="1" t="n">
        <v>45695</v>
      </c>
      <c r="D282" t="inlineStr">
        <is>
          <t>DALARNAS LÄN</t>
        </is>
      </c>
      <c r="E282" t="inlineStr">
        <is>
          <t>MORA</t>
        </is>
      </c>
      <c r="G282" t="n">
        <v>1</v>
      </c>
      <c r="H282" t="n">
        <v>0</v>
      </c>
      <c r="I282" t="n">
        <v>0</v>
      </c>
      <c r="J282" t="n">
        <v>0</v>
      </c>
      <c r="K282" t="n">
        <v>0</v>
      </c>
      <c r="L282" t="n">
        <v>0</v>
      </c>
      <c r="M282" t="n">
        <v>0</v>
      </c>
      <c r="N282" t="n">
        <v>0</v>
      </c>
      <c r="O282" t="n">
        <v>0</v>
      </c>
      <c r="P282" t="n">
        <v>0</v>
      </c>
      <c r="Q282" t="n">
        <v>0</v>
      </c>
      <c r="R282" s="2" t="inlineStr"/>
    </row>
    <row r="283" ht="15" customHeight="1">
      <c r="A283" t="inlineStr">
        <is>
          <t>A 57088-2021</t>
        </is>
      </c>
      <c r="B283" s="1" t="n">
        <v>44482</v>
      </c>
      <c r="C283" s="1" t="n">
        <v>45695</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45695</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57608-2021</t>
        </is>
      </c>
      <c r="B285" s="1" t="n">
        <v>44484</v>
      </c>
      <c r="C285" s="1" t="n">
        <v>45695</v>
      </c>
      <c r="D285" t="inlineStr">
        <is>
          <t>DALARNAS LÄN</t>
        </is>
      </c>
      <c r="E285" t="inlineStr">
        <is>
          <t>MORA</t>
        </is>
      </c>
      <c r="G285" t="n">
        <v>6.3</v>
      </c>
      <c r="H285" t="n">
        <v>0</v>
      </c>
      <c r="I285" t="n">
        <v>0</v>
      </c>
      <c r="J285" t="n">
        <v>0</v>
      </c>
      <c r="K285" t="n">
        <v>0</v>
      </c>
      <c r="L285" t="n">
        <v>0</v>
      </c>
      <c r="M285" t="n">
        <v>0</v>
      </c>
      <c r="N285" t="n">
        <v>0</v>
      </c>
      <c r="O285" t="n">
        <v>0</v>
      </c>
      <c r="P285" t="n">
        <v>0</v>
      </c>
      <c r="Q285" t="n">
        <v>0</v>
      </c>
      <c r="R285" s="2" t="inlineStr"/>
    </row>
    <row r="286" ht="15" customHeight="1">
      <c r="A286" t="inlineStr">
        <is>
          <t>A 58057-2021</t>
        </is>
      </c>
      <c r="B286" s="1" t="n">
        <v>44487</v>
      </c>
      <c r="C286" s="1" t="n">
        <v>45695</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58413-2021</t>
        </is>
      </c>
      <c r="B287" s="1" t="n">
        <v>44488</v>
      </c>
      <c r="C287" s="1" t="n">
        <v>45695</v>
      </c>
      <c r="D287" t="inlineStr">
        <is>
          <t>DALARNAS LÄN</t>
        </is>
      </c>
      <c r="E287" t="inlineStr">
        <is>
          <t>MORA</t>
        </is>
      </c>
      <c r="F287" t="inlineStr">
        <is>
          <t>Bergvik skog öst AB</t>
        </is>
      </c>
      <c r="G287" t="n">
        <v>5.3</v>
      </c>
      <c r="H287" t="n">
        <v>0</v>
      </c>
      <c r="I287" t="n">
        <v>0</v>
      </c>
      <c r="J287" t="n">
        <v>0</v>
      </c>
      <c r="K287" t="n">
        <v>0</v>
      </c>
      <c r="L287" t="n">
        <v>0</v>
      </c>
      <c r="M287" t="n">
        <v>0</v>
      </c>
      <c r="N287" t="n">
        <v>0</v>
      </c>
      <c r="O287" t="n">
        <v>0</v>
      </c>
      <c r="P287" t="n">
        <v>0</v>
      </c>
      <c r="Q287" t="n">
        <v>0</v>
      </c>
      <c r="R287" s="2" t="inlineStr"/>
    </row>
    <row r="288" ht="15" customHeight="1">
      <c r="A288" t="inlineStr">
        <is>
          <t>A 60150-2021</t>
        </is>
      </c>
      <c r="B288" s="1" t="n">
        <v>44488</v>
      </c>
      <c r="C288" s="1" t="n">
        <v>45695</v>
      </c>
      <c r="D288" t="inlineStr">
        <is>
          <t>DALARNAS LÄN</t>
        </is>
      </c>
      <c r="E288" t="inlineStr">
        <is>
          <t>MORA</t>
        </is>
      </c>
      <c r="G288" t="n">
        <v>2.4</v>
      </c>
      <c r="H288" t="n">
        <v>0</v>
      </c>
      <c r="I288" t="n">
        <v>0</v>
      </c>
      <c r="J288" t="n">
        <v>0</v>
      </c>
      <c r="K288" t="n">
        <v>0</v>
      </c>
      <c r="L288" t="n">
        <v>0</v>
      </c>
      <c r="M288" t="n">
        <v>0</v>
      </c>
      <c r="N288" t="n">
        <v>0</v>
      </c>
      <c r="O288" t="n">
        <v>0</v>
      </c>
      <c r="P288" t="n">
        <v>0</v>
      </c>
      <c r="Q288" t="n">
        <v>0</v>
      </c>
      <c r="R288" s="2" t="inlineStr"/>
    </row>
    <row r="289" ht="15" customHeight="1">
      <c r="A289" t="inlineStr">
        <is>
          <t>A 58690-2021</t>
        </is>
      </c>
      <c r="B289" s="1" t="n">
        <v>44489</v>
      </c>
      <c r="C289" s="1" t="n">
        <v>45695</v>
      </c>
      <c r="D289" t="inlineStr">
        <is>
          <t>DALARNAS LÄN</t>
        </is>
      </c>
      <c r="E289" t="inlineStr">
        <is>
          <t>MORA</t>
        </is>
      </c>
      <c r="F289" t="inlineStr">
        <is>
          <t>Bergvik skog öst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58961-2021</t>
        </is>
      </c>
      <c r="B290" s="1" t="n">
        <v>44490</v>
      </c>
      <c r="C290" s="1" t="n">
        <v>45695</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59899-2021</t>
        </is>
      </c>
      <c r="B291" s="1" t="n">
        <v>44494</v>
      </c>
      <c r="C291" s="1" t="n">
        <v>45695</v>
      </c>
      <c r="D291" t="inlineStr">
        <is>
          <t>DALARNAS LÄN</t>
        </is>
      </c>
      <c r="E291" t="inlineStr">
        <is>
          <t>MORA</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60847-2021</t>
        </is>
      </c>
      <c r="B292" s="1" t="n">
        <v>44497</v>
      </c>
      <c r="C292" s="1" t="n">
        <v>45695</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63089-2021</t>
        </is>
      </c>
      <c r="B293" s="1" t="n">
        <v>44505</v>
      </c>
      <c r="C293" s="1" t="n">
        <v>45695</v>
      </c>
      <c r="D293" t="inlineStr">
        <is>
          <t>DALARNAS LÄN</t>
        </is>
      </c>
      <c r="E293" t="inlineStr">
        <is>
          <t>MORA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63088-2021</t>
        </is>
      </c>
      <c r="B294" s="1" t="n">
        <v>44505</v>
      </c>
      <c r="C294" s="1" t="n">
        <v>45695</v>
      </c>
      <c r="D294" t="inlineStr">
        <is>
          <t>DALARNAS LÄN</t>
        </is>
      </c>
      <c r="E294" t="inlineStr">
        <is>
          <t>MORA</t>
        </is>
      </c>
      <c r="F294" t="inlineStr">
        <is>
          <t>Bergvik skog väst AB</t>
        </is>
      </c>
      <c r="G294" t="n">
        <v>6.8</v>
      </c>
      <c r="H294" t="n">
        <v>0</v>
      </c>
      <c r="I294" t="n">
        <v>0</v>
      </c>
      <c r="J294" t="n">
        <v>0</v>
      </c>
      <c r="K294" t="n">
        <v>0</v>
      </c>
      <c r="L294" t="n">
        <v>0</v>
      </c>
      <c r="M294" t="n">
        <v>0</v>
      </c>
      <c r="N294" t="n">
        <v>0</v>
      </c>
      <c r="O294" t="n">
        <v>0</v>
      </c>
      <c r="P294" t="n">
        <v>0</v>
      </c>
      <c r="Q294" t="n">
        <v>0</v>
      </c>
      <c r="R294" s="2" t="inlineStr"/>
    </row>
    <row r="295" ht="15" customHeight="1">
      <c r="A295" t="inlineStr">
        <is>
          <t>A 63000-2021</t>
        </is>
      </c>
      <c r="B295" s="1" t="n">
        <v>44505</v>
      </c>
      <c r="C295" s="1" t="n">
        <v>45695</v>
      </c>
      <c r="D295" t="inlineStr">
        <is>
          <t>DALARNAS LÄN</t>
        </is>
      </c>
      <c r="E295" t="inlineStr">
        <is>
          <t>MORA</t>
        </is>
      </c>
      <c r="F295" t="inlineStr">
        <is>
          <t>Bergvik skog väst AB</t>
        </is>
      </c>
      <c r="G295" t="n">
        <v>7.3</v>
      </c>
      <c r="H295" t="n">
        <v>0</v>
      </c>
      <c r="I295" t="n">
        <v>0</v>
      </c>
      <c r="J295" t="n">
        <v>0</v>
      </c>
      <c r="K295" t="n">
        <v>0</v>
      </c>
      <c r="L295" t="n">
        <v>0</v>
      </c>
      <c r="M295" t="n">
        <v>0</v>
      </c>
      <c r="N295" t="n">
        <v>0</v>
      </c>
      <c r="O295" t="n">
        <v>0</v>
      </c>
      <c r="P295" t="n">
        <v>0</v>
      </c>
      <c r="Q295" t="n">
        <v>0</v>
      </c>
      <c r="R295" s="2" t="inlineStr"/>
    </row>
    <row r="296" ht="15" customHeight="1">
      <c r="A296" t="inlineStr">
        <is>
          <t>A 63552-2021</t>
        </is>
      </c>
      <c r="B296" s="1" t="n">
        <v>44508</v>
      </c>
      <c r="C296" s="1" t="n">
        <v>45695</v>
      </c>
      <c r="D296" t="inlineStr">
        <is>
          <t>DALARNAS LÄN</t>
        </is>
      </c>
      <c r="E296" t="inlineStr">
        <is>
          <t>MORA</t>
        </is>
      </c>
      <c r="F296" t="inlineStr">
        <is>
          <t>Bergvik skog väst AB</t>
        </is>
      </c>
      <c r="G296" t="n">
        <v>17.1</v>
      </c>
      <c r="H296" t="n">
        <v>0</v>
      </c>
      <c r="I296" t="n">
        <v>0</v>
      </c>
      <c r="J296" t="n">
        <v>0</v>
      </c>
      <c r="K296" t="n">
        <v>0</v>
      </c>
      <c r="L296" t="n">
        <v>0</v>
      </c>
      <c r="M296" t="n">
        <v>0</v>
      </c>
      <c r="N296" t="n">
        <v>0</v>
      </c>
      <c r="O296" t="n">
        <v>0</v>
      </c>
      <c r="P296" t="n">
        <v>0</v>
      </c>
      <c r="Q296" t="n">
        <v>0</v>
      </c>
      <c r="R296" s="2" t="inlineStr"/>
    </row>
    <row r="297" ht="15" customHeight="1">
      <c r="A297" t="inlineStr">
        <is>
          <t>A 63690-2021</t>
        </is>
      </c>
      <c r="B297" s="1" t="n">
        <v>44509</v>
      </c>
      <c r="C297" s="1" t="n">
        <v>45695</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65262-2021</t>
        </is>
      </c>
      <c r="B298" s="1" t="n">
        <v>44515</v>
      </c>
      <c r="C298" s="1" t="n">
        <v>45695</v>
      </c>
      <c r="D298" t="inlineStr">
        <is>
          <t>DALARNAS LÄN</t>
        </is>
      </c>
      <c r="E298" t="inlineStr">
        <is>
          <t>MORA</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65186-2021</t>
        </is>
      </c>
      <c r="B299" s="1" t="n">
        <v>44515</v>
      </c>
      <c r="C299" s="1" t="n">
        <v>45695</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65258-2021</t>
        </is>
      </c>
      <c r="B300" s="1" t="n">
        <v>44515</v>
      </c>
      <c r="C300" s="1" t="n">
        <v>45695</v>
      </c>
      <c r="D300" t="inlineStr">
        <is>
          <t>DALARNAS LÄN</t>
        </is>
      </c>
      <c r="E300" t="inlineStr">
        <is>
          <t>MORA</t>
        </is>
      </c>
      <c r="F300" t="inlineStr">
        <is>
          <t>Bergvik skog väst AB</t>
        </is>
      </c>
      <c r="G300" t="n">
        <v>8.4</v>
      </c>
      <c r="H300" t="n">
        <v>0</v>
      </c>
      <c r="I300" t="n">
        <v>0</v>
      </c>
      <c r="J300" t="n">
        <v>0</v>
      </c>
      <c r="K300" t="n">
        <v>0</v>
      </c>
      <c r="L300" t="n">
        <v>0</v>
      </c>
      <c r="M300" t="n">
        <v>0</v>
      </c>
      <c r="N300" t="n">
        <v>0</v>
      </c>
      <c r="O300" t="n">
        <v>0</v>
      </c>
      <c r="P300" t="n">
        <v>0</v>
      </c>
      <c r="Q300" t="n">
        <v>0</v>
      </c>
      <c r="R300" s="2" t="inlineStr"/>
    </row>
    <row r="301" ht="15" customHeight="1">
      <c r="A301" t="inlineStr">
        <is>
          <t>A 65253-2021</t>
        </is>
      </c>
      <c r="B301" s="1" t="n">
        <v>44515</v>
      </c>
      <c r="C301" s="1" t="n">
        <v>45695</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65527-2021</t>
        </is>
      </c>
      <c r="B302" s="1" t="n">
        <v>44516</v>
      </c>
      <c r="C302" s="1" t="n">
        <v>45695</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65727-2021</t>
        </is>
      </c>
      <c r="B303" s="1" t="n">
        <v>44516</v>
      </c>
      <c r="C303" s="1" t="n">
        <v>45695</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66157-2021</t>
        </is>
      </c>
      <c r="B304" s="1" t="n">
        <v>44517</v>
      </c>
      <c r="C304" s="1" t="n">
        <v>45695</v>
      </c>
      <c r="D304" t="inlineStr">
        <is>
          <t>DALARNAS LÄN</t>
        </is>
      </c>
      <c r="E304" t="inlineStr">
        <is>
          <t>MORA</t>
        </is>
      </c>
      <c r="G304" t="n">
        <v>2.9</v>
      </c>
      <c r="H304" t="n">
        <v>0</v>
      </c>
      <c r="I304" t="n">
        <v>0</v>
      </c>
      <c r="J304" t="n">
        <v>0</v>
      </c>
      <c r="K304" t="n">
        <v>0</v>
      </c>
      <c r="L304" t="n">
        <v>0</v>
      </c>
      <c r="M304" t="n">
        <v>0</v>
      </c>
      <c r="N304" t="n">
        <v>0</v>
      </c>
      <c r="O304" t="n">
        <v>0</v>
      </c>
      <c r="P304" t="n">
        <v>0</v>
      </c>
      <c r="Q304" t="n">
        <v>0</v>
      </c>
      <c r="R304" s="2" t="inlineStr"/>
    </row>
    <row r="305" ht="15" customHeight="1">
      <c r="A305" t="inlineStr">
        <is>
          <t>A 66158-2021</t>
        </is>
      </c>
      <c r="B305" s="1" t="n">
        <v>44517</v>
      </c>
      <c r="C305" s="1" t="n">
        <v>45695</v>
      </c>
      <c r="D305" t="inlineStr">
        <is>
          <t>DALARNAS LÄN</t>
        </is>
      </c>
      <c r="E305" t="inlineStr">
        <is>
          <t>MORA</t>
        </is>
      </c>
      <c r="G305" t="n">
        <v>3.3</v>
      </c>
      <c r="H305" t="n">
        <v>0</v>
      </c>
      <c r="I305" t="n">
        <v>0</v>
      </c>
      <c r="J305" t="n">
        <v>0</v>
      </c>
      <c r="K305" t="n">
        <v>0</v>
      </c>
      <c r="L305" t="n">
        <v>0</v>
      </c>
      <c r="M305" t="n">
        <v>0</v>
      </c>
      <c r="N305" t="n">
        <v>0</v>
      </c>
      <c r="O305" t="n">
        <v>0</v>
      </c>
      <c r="P305" t="n">
        <v>0</v>
      </c>
      <c r="Q305" t="n">
        <v>0</v>
      </c>
      <c r="R305" s="2" t="inlineStr"/>
    </row>
    <row r="306" ht="15" customHeight="1">
      <c r="A306" t="inlineStr">
        <is>
          <t>A 66232-2021</t>
        </is>
      </c>
      <c r="B306" s="1" t="n">
        <v>44518</v>
      </c>
      <c r="C306" s="1" t="n">
        <v>45695</v>
      </c>
      <c r="D306" t="inlineStr">
        <is>
          <t>DALARNAS LÄN</t>
        </is>
      </c>
      <c r="E306" t="inlineStr">
        <is>
          <t>MORA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66639-2021</t>
        </is>
      </c>
      <c r="B307" s="1" t="n">
        <v>44519</v>
      </c>
      <c r="C307" s="1" t="n">
        <v>45695</v>
      </c>
      <c r="D307" t="inlineStr">
        <is>
          <t>DALARNAS LÄN</t>
        </is>
      </c>
      <c r="E307" t="inlineStr">
        <is>
          <t>MORA</t>
        </is>
      </c>
      <c r="G307" t="n">
        <v>10</v>
      </c>
      <c r="H307" t="n">
        <v>0</v>
      </c>
      <c r="I307" t="n">
        <v>0</v>
      </c>
      <c r="J307" t="n">
        <v>0</v>
      </c>
      <c r="K307" t="n">
        <v>0</v>
      </c>
      <c r="L307" t="n">
        <v>0</v>
      </c>
      <c r="M307" t="n">
        <v>0</v>
      </c>
      <c r="N307" t="n">
        <v>0</v>
      </c>
      <c r="O307" t="n">
        <v>0</v>
      </c>
      <c r="P307" t="n">
        <v>0</v>
      </c>
      <c r="Q307" t="n">
        <v>0</v>
      </c>
      <c r="R307" s="2" t="inlineStr"/>
    </row>
    <row r="308" ht="15" customHeight="1">
      <c r="A308" t="inlineStr">
        <is>
          <t>A 67045-2021</t>
        </is>
      </c>
      <c r="B308" s="1" t="n">
        <v>44522</v>
      </c>
      <c r="C308" s="1" t="n">
        <v>45695</v>
      </c>
      <c r="D308" t="inlineStr">
        <is>
          <t>DALARNAS LÄN</t>
        </is>
      </c>
      <c r="E308" t="inlineStr">
        <is>
          <t>MORA</t>
        </is>
      </c>
      <c r="G308" t="n">
        <v>0.2</v>
      </c>
      <c r="H308" t="n">
        <v>0</v>
      </c>
      <c r="I308" t="n">
        <v>0</v>
      </c>
      <c r="J308" t="n">
        <v>0</v>
      </c>
      <c r="K308" t="n">
        <v>0</v>
      </c>
      <c r="L308" t="n">
        <v>0</v>
      </c>
      <c r="M308" t="n">
        <v>0</v>
      </c>
      <c r="N308" t="n">
        <v>0</v>
      </c>
      <c r="O308" t="n">
        <v>0</v>
      </c>
      <c r="P308" t="n">
        <v>0</v>
      </c>
      <c r="Q308" t="n">
        <v>0</v>
      </c>
      <c r="R308" s="2" t="inlineStr"/>
    </row>
    <row r="309" ht="15" customHeight="1">
      <c r="A309" t="inlineStr">
        <is>
          <t>A 67125-2021</t>
        </is>
      </c>
      <c r="B309" s="1" t="n">
        <v>44523</v>
      </c>
      <c r="C309" s="1" t="n">
        <v>45695</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67316-2021</t>
        </is>
      </c>
      <c r="B310" s="1" t="n">
        <v>44523</v>
      </c>
      <c r="C310" s="1" t="n">
        <v>45695</v>
      </c>
      <c r="D310" t="inlineStr">
        <is>
          <t>DALARNAS LÄN</t>
        </is>
      </c>
      <c r="E310" t="inlineStr">
        <is>
          <t>MORA</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67318-2021</t>
        </is>
      </c>
      <c r="B311" s="1" t="n">
        <v>44523</v>
      </c>
      <c r="C311" s="1" t="n">
        <v>45695</v>
      </c>
      <c r="D311" t="inlineStr">
        <is>
          <t>DALARNAS LÄN</t>
        </is>
      </c>
      <c r="E311" t="inlineStr">
        <is>
          <t>MORA</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67932-2021</t>
        </is>
      </c>
      <c r="B312" s="1" t="n">
        <v>44525</v>
      </c>
      <c r="C312" s="1" t="n">
        <v>45695</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68415-2021</t>
        </is>
      </c>
      <c r="B313" s="1" t="n">
        <v>44529</v>
      </c>
      <c r="C313" s="1" t="n">
        <v>45695</v>
      </c>
      <c r="D313" t="inlineStr">
        <is>
          <t>DALARNAS LÄN</t>
        </is>
      </c>
      <c r="E313" t="inlineStr">
        <is>
          <t>MORA</t>
        </is>
      </c>
      <c r="G313" t="n">
        <v>1.2</v>
      </c>
      <c r="H313" t="n">
        <v>0</v>
      </c>
      <c r="I313" t="n">
        <v>0</v>
      </c>
      <c r="J313" t="n">
        <v>0</v>
      </c>
      <c r="K313" t="n">
        <v>0</v>
      </c>
      <c r="L313" t="n">
        <v>0</v>
      </c>
      <c r="M313" t="n">
        <v>0</v>
      </c>
      <c r="N313" t="n">
        <v>0</v>
      </c>
      <c r="O313" t="n">
        <v>0</v>
      </c>
      <c r="P313" t="n">
        <v>0</v>
      </c>
      <c r="Q313" t="n">
        <v>0</v>
      </c>
      <c r="R313" s="2" t="inlineStr"/>
    </row>
    <row r="314" ht="15" customHeight="1">
      <c r="A314" t="inlineStr">
        <is>
          <t>A 68966-2021</t>
        </is>
      </c>
      <c r="B314" s="1" t="n">
        <v>44530</v>
      </c>
      <c r="C314" s="1" t="n">
        <v>45695</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69483-2021</t>
        </is>
      </c>
      <c r="B315" s="1" t="n">
        <v>44531</v>
      </c>
      <c r="C315" s="1" t="n">
        <v>45695</v>
      </c>
      <c r="D315" t="inlineStr">
        <is>
          <t>DALARNAS LÄN</t>
        </is>
      </c>
      <c r="E315" t="inlineStr">
        <is>
          <t>MORA</t>
        </is>
      </c>
      <c r="G315" t="n">
        <v>1.5</v>
      </c>
      <c r="H315" t="n">
        <v>0</v>
      </c>
      <c r="I315" t="n">
        <v>0</v>
      </c>
      <c r="J315" t="n">
        <v>0</v>
      </c>
      <c r="K315" t="n">
        <v>0</v>
      </c>
      <c r="L315" t="n">
        <v>0</v>
      </c>
      <c r="M315" t="n">
        <v>0</v>
      </c>
      <c r="N315" t="n">
        <v>0</v>
      </c>
      <c r="O315" t="n">
        <v>0</v>
      </c>
      <c r="P315" t="n">
        <v>0</v>
      </c>
      <c r="Q315" t="n">
        <v>0</v>
      </c>
      <c r="R315" s="2" t="inlineStr"/>
    </row>
    <row r="316" ht="15" customHeight="1">
      <c r="A316" t="inlineStr">
        <is>
          <t>A 70065-2021</t>
        </is>
      </c>
      <c r="B316" s="1" t="n">
        <v>44533</v>
      </c>
      <c r="C316" s="1" t="n">
        <v>45695</v>
      </c>
      <c r="D316" t="inlineStr">
        <is>
          <t>DALARNAS LÄN</t>
        </is>
      </c>
      <c r="E316" t="inlineStr">
        <is>
          <t>MORA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70141-2021</t>
        </is>
      </c>
      <c r="B317" s="1" t="n">
        <v>44533</v>
      </c>
      <c r="C317" s="1" t="n">
        <v>45695</v>
      </c>
      <c r="D317" t="inlineStr">
        <is>
          <t>DALARNAS LÄN</t>
        </is>
      </c>
      <c r="E317" t="inlineStr">
        <is>
          <t>MORA</t>
        </is>
      </c>
      <c r="G317" t="n">
        <v>4.1</v>
      </c>
      <c r="H317" t="n">
        <v>0</v>
      </c>
      <c r="I317" t="n">
        <v>0</v>
      </c>
      <c r="J317" t="n">
        <v>0</v>
      </c>
      <c r="K317" t="n">
        <v>0</v>
      </c>
      <c r="L317" t="n">
        <v>0</v>
      </c>
      <c r="M317" t="n">
        <v>0</v>
      </c>
      <c r="N317" t="n">
        <v>0</v>
      </c>
      <c r="O317" t="n">
        <v>0</v>
      </c>
      <c r="P317" t="n">
        <v>0</v>
      </c>
      <c r="Q317" t="n">
        <v>0</v>
      </c>
      <c r="R317" s="2" t="inlineStr"/>
    </row>
    <row r="318" ht="15" customHeight="1">
      <c r="A318" t="inlineStr">
        <is>
          <t>A 71702-2021</t>
        </is>
      </c>
      <c r="B318" s="1" t="n">
        <v>44543</v>
      </c>
      <c r="C318" s="1" t="n">
        <v>45695</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72333-2021</t>
        </is>
      </c>
      <c r="B319" s="1" t="n">
        <v>44545</v>
      </c>
      <c r="C319" s="1" t="n">
        <v>45695</v>
      </c>
      <c r="D319" t="inlineStr">
        <is>
          <t>DALARNAS LÄN</t>
        </is>
      </c>
      <c r="E319" t="inlineStr">
        <is>
          <t>MORA</t>
        </is>
      </c>
      <c r="F319" t="inlineStr">
        <is>
          <t>Allmännings- och besparingsskogar</t>
        </is>
      </c>
      <c r="G319" t="n">
        <v>0.6</v>
      </c>
      <c r="H319" t="n">
        <v>0</v>
      </c>
      <c r="I319" t="n">
        <v>0</v>
      </c>
      <c r="J319" t="n">
        <v>0</v>
      </c>
      <c r="K319" t="n">
        <v>0</v>
      </c>
      <c r="L319" t="n">
        <v>0</v>
      </c>
      <c r="M319" t="n">
        <v>0</v>
      </c>
      <c r="N319" t="n">
        <v>0</v>
      </c>
      <c r="O319" t="n">
        <v>0</v>
      </c>
      <c r="P319" t="n">
        <v>0</v>
      </c>
      <c r="Q319" t="n">
        <v>0</v>
      </c>
      <c r="R319" s="2" t="inlineStr"/>
    </row>
    <row r="320" ht="15" customHeight="1">
      <c r="A320" t="inlineStr">
        <is>
          <t>A 72439-2021</t>
        </is>
      </c>
      <c r="B320" s="1" t="n">
        <v>44545</v>
      </c>
      <c r="C320" s="1" t="n">
        <v>45695</v>
      </c>
      <c r="D320" t="inlineStr">
        <is>
          <t>DALARNAS LÄN</t>
        </is>
      </c>
      <c r="E320" t="inlineStr">
        <is>
          <t>MORA</t>
        </is>
      </c>
      <c r="F320" t="inlineStr">
        <is>
          <t>Allmännings- och besparingsskogar</t>
        </is>
      </c>
      <c r="G320" t="n">
        <v>8.5</v>
      </c>
      <c r="H320" t="n">
        <v>0</v>
      </c>
      <c r="I320" t="n">
        <v>0</v>
      </c>
      <c r="J320" t="n">
        <v>0</v>
      </c>
      <c r="K320" t="n">
        <v>0</v>
      </c>
      <c r="L320" t="n">
        <v>0</v>
      </c>
      <c r="M320" t="n">
        <v>0</v>
      </c>
      <c r="N320" t="n">
        <v>0</v>
      </c>
      <c r="O320" t="n">
        <v>0</v>
      </c>
      <c r="P320" t="n">
        <v>0</v>
      </c>
      <c r="Q320" t="n">
        <v>0</v>
      </c>
      <c r="R320" s="2" t="inlineStr"/>
    </row>
    <row r="321" ht="15" customHeight="1">
      <c r="A321" t="inlineStr">
        <is>
          <t>A 72780-2021</t>
        </is>
      </c>
      <c r="B321" s="1" t="n">
        <v>44545</v>
      </c>
      <c r="C321" s="1" t="n">
        <v>45695</v>
      </c>
      <c r="D321" t="inlineStr">
        <is>
          <t>DALARNAS LÄN</t>
        </is>
      </c>
      <c r="E321" t="inlineStr">
        <is>
          <t>MORA</t>
        </is>
      </c>
      <c r="F321" t="inlineStr">
        <is>
          <t>Allmännings- och besparingsskogar</t>
        </is>
      </c>
      <c r="G321" t="n">
        <v>1</v>
      </c>
      <c r="H321" t="n">
        <v>0</v>
      </c>
      <c r="I321" t="n">
        <v>0</v>
      </c>
      <c r="J321" t="n">
        <v>0</v>
      </c>
      <c r="K321" t="n">
        <v>0</v>
      </c>
      <c r="L321" t="n">
        <v>0</v>
      </c>
      <c r="M321" t="n">
        <v>0</v>
      </c>
      <c r="N321" t="n">
        <v>0</v>
      </c>
      <c r="O321" t="n">
        <v>0</v>
      </c>
      <c r="P321" t="n">
        <v>0</v>
      </c>
      <c r="Q321" t="n">
        <v>0</v>
      </c>
      <c r="R321" s="2" t="inlineStr"/>
    </row>
    <row r="322" ht="15" customHeight="1">
      <c r="A322" t="inlineStr">
        <is>
          <t>A 72659-2021</t>
        </is>
      </c>
      <c r="B322" s="1" t="n">
        <v>44546</v>
      </c>
      <c r="C322" s="1" t="n">
        <v>45695</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72648-2021</t>
        </is>
      </c>
      <c r="B323" s="1" t="n">
        <v>44546</v>
      </c>
      <c r="C323" s="1" t="n">
        <v>45695</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72915-2021</t>
        </is>
      </c>
      <c r="B324" s="1" t="n">
        <v>44547</v>
      </c>
      <c r="C324" s="1" t="n">
        <v>45695</v>
      </c>
      <c r="D324" t="inlineStr">
        <is>
          <t>DALARNAS LÄN</t>
        </is>
      </c>
      <c r="E324" t="inlineStr">
        <is>
          <t>MORA</t>
        </is>
      </c>
      <c r="F324" t="inlineStr">
        <is>
          <t>Allmännings- och besparingsskogar</t>
        </is>
      </c>
      <c r="G324" t="n">
        <v>38.5</v>
      </c>
      <c r="H324" t="n">
        <v>0</v>
      </c>
      <c r="I324" t="n">
        <v>0</v>
      </c>
      <c r="J324" t="n">
        <v>0</v>
      </c>
      <c r="K324" t="n">
        <v>0</v>
      </c>
      <c r="L324" t="n">
        <v>0</v>
      </c>
      <c r="M324" t="n">
        <v>0</v>
      </c>
      <c r="N324" t="n">
        <v>0</v>
      </c>
      <c r="O324" t="n">
        <v>0</v>
      </c>
      <c r="P324" t="n">
        <v>0</v>
      </c>
      <c r="Q324" t="n">
        <v>0</v>
      </c>
      <c r="R324" s="2" t="inlineStr"/>
    </row>
    <row r="325" ht="15" customHeight="1">
      <c r="A325" t="inlineStr">
        <is>
          <t>A 73930-2021</t>
        </is>
      </c>
      <c r="B325" s="1" t="n">
        <v>44553</v>
      </c>
      <c r="C325" s="1" t="n">
        <v>45695</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111-2022</t>
        </is>
      </c>
      <c r="B326" s="1" t="n">
        <v>44564</v>
      </c>
      <c r="C326" s="1" t="n">
        <v>45695</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2277-2022</t>
        </is>
      </c>
      <c r="B327" s="1" t="n">
        <v>44578</v>
      </c>
      <c r="C327" s="1" t="n">
        <v>45695</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2247-2022</t>
        </is>
      </c>
      <c r="B328" s="1" t="n">
        <v>44578</v>
      </c>
      <c r="C328" s="1" t="n">
        <v>45695</v>
      </c>
      <c r="D328" t="inlineStr">
        <is>
          <t>DALARNAS LÄN</t>
        </is>
      </c>
      <c r="E328" t="inlineStr">
        <is>
          <t>MORA</t>
        </is>
      </c>
      <c r="G328" t="n">
        <v>1.8</v>
      </c>
      <c r="H328" t="n">
        <v>0</v>
      </c>
      <c r="I328" t="n">
        <v>0</v>
      </c>
      <c r="J328" t="n">
        <v>0</v>
      </c>
      <c r="K328" t="n">
        <v>0</v>
      </c>
      <c r="L328" t="n">
        <v>0</v>
      </c>
      <c r="M328" t="n">
        <v>0</v>
      </c>
      <c r="N328" t="n">
        <v>0</v>
      </c>
      <c r="O328" t="n">
        <v>0</v>
      </c>
      <c r="P328" t="n">
        <v>0</v>
      </c>
      <c r="Q328" t="n">
        <v>0</v>
      </c>
      <c r="R328" s="2" t="inlineStr"/>
    </row>
    <row r="329" ht="15" customHeight="1">
      <c r="A329" t="inlineStr">
        <is>
          <t>A 2865-2022</t>
        </is>
      </c>
      <c r="B329" s="1" t="n">
        <v>44581</v>
      </c>
      <c r="C329" s="1" t="n">
        <v>45695</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2879-2022</t>
        </is>
      </c>
      <c r="B330" s="1" t="n">
        <v>44581</v>
      </c>
      <c r="C330" s="1" t="n">
        <v>45695</v>
      </c>
      <c r="D330" t="inlineStr">
        <is>
          <t>DALARNAS LÄN</t>
        </is>
      </c>
      <c r="E330" t="inlineStr">
        <is>
          <t>MORA</t>
        </is>
      </c>
      <c r="G330" t="n">
        <v>2.3</v>
      </c>
      <c r="H330" t="n">
        <v>0</v>
      </c>
      <c r="I330" t="n">
        <v>0</v>
      </c>
      <c r="J330" t="n">
        <v>0</v>
      </c>
      <c r="K330" t="n">
        <v>0</v>
      </c>
      <c r="L330" t="n">
        <v>0</v>
      </c>
      <c r="M330" t="n">
        <v>0</v>
      </c>
      <c r="N330" t="n">
        <v>0</v>
      </c>
      <c r="O330" t="n">
        <v>0</v>
      </c>
      <c r="P330" t="n">
        <v>0</v>
      </c>
      <c r="Q330" t="n">
        <v>0</v>
      </c>
      <c r="R330" s="2" t="inlineStr"/>
    </row>
    <row r="331" ht="15" customHeight="1">
      <c r="A331" t="inlineStr">
        <is>
          <t>A 4489-2022</t>
        </is>
      </c>
      <c r="B331" s="1" t="n">
        <v>44589</v>
      </c>
      <c r="C331" s="1" t="n">
        <v>45695</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4488-2022</t>
        </is>
      </c>
      <c r="B332" s="1" t="n">
        <v>44589</v>
      </c>
      <c r="C332" s="1" t="n">
        <v>45695</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6371-2022</t>
        </is>
      </c>
      <c r="B333" s="1" t="n">
        <v>44600</v>
      </c>
      <c r="C333" s="1" t="n">
        <v>45695</v>
      </c>
      <c r="D333" t="inlineStr">
        <is>
          <t>DALARNAS LÄN</t>
        </is>
      </c>
      <c r="E333" t="inlineStr">
        <is>
          <t>MORA</t>
        </is>
      </c>
      <c r="G333" t="n">
        <v>4.6</v>
      </c>
      <c r="H333" t="n">
        <v>0</v>
      </c>
      <c r="I333" t="n">
        <v>0</v>
      </c>
      <c r="J333" t="n">
        <v>0</v>
      </c>
      <c r="K333" t="n">
        <v>0</v>
      </c>
      <c r="L333" t="n">
        <v>0</v>
      </c>
      <c r="M333" t="n">
        <v>0</v>
      </c>
      <c r="N333" t="n">
        <v>0</v>
      </c>
      <c r="O333" t="n">
        <v>0</v>
      </c>
      <c r="P333" t="n">
        <v>0</v>
      </c>
      <c r="Q333" t="n">
        <v>0</v>
      </c>
      <c r="R333" s="2" t="inlineStr"/>
    </row>
    <row r="334" ht="15" customHeight="1">
      <c r="A334" t="inlineStr">
        <is>
          <t>A 6574-2022</t>
        </is>
      </c>
      <c r="B334" s="1" t="n">
        <v>44601</v>
      </c>
      <c r="C334" s="1" t="n">
        <v>45695</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6572-2022</t>
        </is>
      </c>
      <c r="B335" s="1" t="n">
        <v>44601</v>
      </c>
      <c r="C335" s="1" t="n">
        <v>45695</v>
      </c>
      <c r="D335" t="inlineStr">
        <is>
          <t>DALARNAS LÄN</t>
        </is>
      </c>
      <c r="E335" t="inlineStr">
        <is>
          <t>MORA</t>
        </is>
      </c>
      <c r="G335" t="n">
        <v>1.3</v>
      </c>
      <c r="H335" t="n">
        <v>0</v>
      </c>
      <c r="I335" t="n">
        <v>0</v>
      </c>
      <c r="J335" t="n">
        <v>0</v>
      </c>
      <c r="K335" t="n">
        <v>0</v>
      </c>
      <c r="L335" t="n">
        <v>0</v>
      </c>
      <c r="M335" t="n">
        <v>0</v>
      </c>
      <c r="N335" t="n">
        <v>0</v>
      </c>
      <c r="O335" t="n">
        <v>0</v>
      </c>
      <c r="P335" t="n">
        <v>0</v>
      </c>
      <c r="Q335" t="n">
        <v>0</v>
      </c>
      <c r="R335" s="2" t="inlineStr"/>
    </row>
    <row r="336" ht="15" customHeight="1">
      <c r="A336" t="inlineStr">
        <is>
          <t>A 8051-2022</t>
        </is>
      </c>
      <c r="B336" s="1" t="n">
        <v>44608</v>
      </c>
      <c r="C336" s="1" t="n">
        <v>45695</v>
      </c>
      <c r="D336" t="inlineStr">
        <is>
          <t>DALARNAS LÄN</t>
        </is>
      </c>
      <c r="E336" t="inlineStr">
        <is>
          <t>MORA</t>
        </is>
      </c>
      <c r="G336" t="n">
        <v>2.7</v>
      </c>
      <c r="H336" t="n">
        <v>0</v>
      </c>
      <c r="I336" t="n">
        <v>0</v>
      </c>
      <c r="J336" t="n">
        <v>0</v>
      </c>
      <c r="K336" t="n">
        <v>0</v>
      </c>
      <c r="L336" t="n">
        <v>0</v>
      </c>
      <c r="M336" t="n">
        <v>0</v>
      </c>
      <c r="N336" t="n">
        <v>0</v>
      </c>
      <c r="O336" t="n">
        <v>0</v>
      </c>
      <c r="P336" t="n">
        <v>0</v>
      </c>
      <c r="Q336" t="n">
        <v>0</v>
      </c>
      <c r="R336" s="2" t="inlineStr"/>
    </row>
    <row r="337" ht="15" customHeight="1">
      <c r="A337" t="inlineStr">
        <is>
          <t>A 8138-2022</t>
        </is>
      </c>
      <c r="B337" s="1" t="n">
        <v>44609</v>
      </c>
      <c r="C337" s="1" t="n">
        <v>45695</v>
      </c>
      <c r="D337" t="inlineStr">
        <is>
          <t>DALARNAS LÄN</t>
        </is>
      </c>
      <c r="E337" t="inlineStr">
        <is>
          <t>MORA</t>
        </is>
      </c>
      <c r="G337" t="n">
        <v>5</v>
      </c>
      <c r="H337" t="n">
        <v>0</v>
      </c>
      <c r="I337" t="n">
        <v>0</v>
      </c>
      <c r="J337" t="n">
        <v>0</v>
      </c>
      <c r="K337" t="n">
        <v>0</v>
      </c>
      <c r="L337" t="n">
        <v>0</v>
      </c>
      <c r="M337" t="n">
        <v>0</v>
      </c>
      <c r="N337" t="n">
        <v>0</v>
      </c>
      <c r="O337" t="n">
        <v>0</v>
      </c>
      <c r="P337" t="n">
        <v>0</v>
      </c>
      <c r="Q337" t="n">
        <v>0</v>
      </c>
      <c r="R337" s="2" t="inlineStr"/>
    </row>
    <row r="338" ht="15" customHeight="1">
      <c r="A338" t="inlineStr">
        <is>
          <t>A 8145-2022</t>
        </is>
      </c>
      <c r="B338" s="1" t="n">
        <v>44609</v>
      </c>
      <c r="C338" s="1" t="n">
        <v>45695</v>
      </c>
      <c r="D338" t="inlineStr">
        <is>
          <t>DALARNAS LÄN</t>
        </is>
      </c>
      <c r="E338" t="inlineStr">
        <is>
          <t>MORA</t>
        </is>
      </c>
      <c r="G338" t="n">
        <v>7.3</v>
      </c>
      <c r="H338" t="n">
        <v>0</v>
      </c>
      <c r="I338" t="n">
        <v>0</v>
      </c>
      <c r="J338" t="n">
        <v>0</v>
      </c>
      <c r="K338" t="n">
        <v>0</v>
      </c>
      <c r="L338" t="n">
        <v>0</v>
      </c>
      <c r="M338" t="n">
        <v>0</v>
      </c>
      <c r="N338" t="n">
        <v>0</v>
      </c>
      <c r="O338" t="n">
        <v>0</v>
      </c>
      <c r="P338" t="n">
        <v>0</v>
      </c>
      <c r="Q338" t="n">
        <v>0</v>
      </c>
      <c r="R338" s="2" t="inlineStr"/>
    </row>
    <row r="339" ht="15" customHeight="1">
      <c r="A339" t="inlineStr">
        <is>
          <t>A 8546-2022</t>
        </is>
      </c>
      <c r="B339" s="1" t="n">
        <v>44613</v>
      </c>
      <c r="C339" s="1" t="n">
        <v>45695</v>
      </c>
      <c r="D339" t="inlineStr">
        <is>
          <t>DALARNAS LÄN</t>
        </is>
      </c>
      <c r="E339" t="inlineStr">
        <is>
          <t>MORA</t>
        </is>
      </c>
      <c r="G339" t="n">
        <v>2.6</v>
      </c>
      <c r="H339" t="n">
        <v>0</v>
      </c>
      <c r="I339" t="n">
        <v>0</v>
      </c>
      <c r="J339" t="n">
        <v>0</v>
      </c>
      <c r="K339" t="n">
        <v>0</v>
      </c>
      <c r="L339" t="n">
        <v>0</v>
      </c>
      <c r="M339" t="n">
        <v>0</v>
      </c>
      <c r="N339" t="n">
        <v>0</v>
      </c>
      <c r="O339" t="n">
        <v>0</v>
      </c>
      <c r="P339" t="n">
        <v>0</v>
      </c>
      <c r="Q339" t="n">
        <v>0</v>
      </c>
      <c r="R339" s="2" t="inlineStr"/>
    </row>
    <row r="340" ht="15" customHeight="1">
      <c r="A340" t="inlineStr">
        <is>
          <t>A 9034-2022</t>
        </is>
      </c>
      <c r="B340" s="1" t="n">
        <v>44615</v>
      </c>
      <c r="C340" s="1" t="n">
        <v>45695</v>
      </c>
      <c r="D340" t="inlineStr">
        <is>
          <t>DALARNAS LÄN</t>
        </is>
      </c>
      <c r="E340" t="inlineStr">
        <is>
          <t>MORA</t>
        </is>
      </c>
      <c r="G340" t="n">
        <v>3.5</v>
      </c>
      <c r="H340" t="n">
        <v>0</v>
      </c>
      <c r="I340" t="n">
        <v>0</v>
      </c>
      <c r="J340" t="n">
        <v>0</v>
      </c>
      <c r="K340" t="n">
        <v>0</v>
      </c>
      <c r="L340" t="n">
        <v>0</v>
      </c>
      <c r="M340" t="n">
        <v>0</v>
      </c>
      <c r="N340" t="n">
        <v>0</v>
      </c>
      <c r="O340" t="n">
        <v>0</v>
      </c>
      <c r="P340" t="n">
        <v>0</v>
      </c>
      <c r="Q340" t="n">
        <v>0</v>
      </c>
      <c r="R340" s="2" t="inlineStr"/>
    </row>
    <row r="341" ht="15" customHeight="1">
      <c r="A341" t="inlineStr">
        <is>
          <t>A 9599-2022</t>
        </is>
      </c>
      <c r="B341" s="1" t="n">
        <v>44617</v>
      </c>
      <c r="C341" s="1" t="n">
        <v>45695</v>
      </c>
      <c r="D341" t="inlineStr">
        <is>
          <t>DALARNAS LÄN</t>
        </is>
      </c>
      <c r="E341" t="inlineStr">
        <is>
          <t>MORA</t>
        </is>
      </c>
      <c r="G341" t="n">
        <v>2.1</v>
      </c>
      <c r="H341" t="n">
        <v>0</v>
      </c>
      <c r="I341" t="n">
        <v>0</v>
      </c>
      <c r="J341" t="n">
        <v>0</v>
      </c>
      <c r="K341" t="n">
        <v>0</v>
      </c>
      <c r="L341" t="n">
        <v>0</v>
      </c>
      <c r="M341" t="n">
        <v>0</v>
      </c>
      <c r="N341" t="n">
        <v>0</v>
      </c>
      <c r="O341" t="n">
        <v>0</v>
      </c>
      <c r="P341" t="n">
        <v>0</v>
      </c>
      <c r="Q341" t="n">
        <v>0</v>
      </c>
      <c r="R341" s="2" t="inlineStr"/>
    </row>
    <row r="342" ht="15" customHeight="1">
      <c r="A342" t="inlineStr">
        <is>
          <t>A 9843-2022</t>
        </is>
      </c>
      <c r="B342" s="1" t="n">
        <v>44620</v>
      </c>
      <c r="C342" s="1" t="n">
        <v>45695</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11337-2022</t>
        </is>
      </c>
      <c r="B343" s="1" t="n">
        <v>44630</v>
      </c>
      <c r="C343" s="1" t="n">
        <v>45695</v>
      </c>
      <c r="D343" t="inlineStr">
        <is>
          <t>DALARNAS LÄN</t>
        </is>
      </c>
      <c r="E343" t="inlineStr">
        <is>
          <t>MORA</t>
        </is>
      </c>
      <c r="G343" t="n">
        <v>6.6</v>
      </c>
      <c r="H343" t="n">
        <v>0</v>
      </c>
      <c r="I343" t="n">
        <v>0</v>
      </c>
      <c r="J343" t="n">
        <v>0</v>
      </c>
      <c r="K343" t="n">
        <v>0</v>
      </c>
      <c r="L343" t="n">
        <v>0</v>
      </c>
      <c r="M343" t="n">
        <v>0</v>
      </c>
      <c r="N343" t="n">
        <v>0</v>
      </c>
      <c r="O343" t="n">
        <v>0</v>
      </c>
      <c r="P343" t="n">
        <v>0</v>
      </c>
      <c r="Q343" t="n">
        <v>0</v>
      </c>
      <c r="R343" s="2" t="inlineStr"/>
    </row>
    <row r="344" ht="15" customHeight="1">
      <c r="A344" t="inlineStr">
        <is>
          <t>A 11442-2022</t>
        </is>
      </c>
      <c r="B344" s="1" t="n">
        <v>44630</v>
      </c>
      <c r="C344" s="1" t="n">
        <v>45695</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12096-2022</t>
        </is>
      </c>
      <c r="B345" s="1" t="n">
        <v>44636</v>
      </c>
      <c r="C345" s="1" t="n">
        <v>45695</v>
      </c>
      <c r="D345" t="inlineStr">
        <is>
          <t>DALARNAS LÄN</t>
        </is>
      </c>
      <c r="E345" t="inlineStr">
        <is>
          <t>MORA</t>
        </is>
      </c>
      <c r="G345" t="n">
        <v>9</v>
      </c>
      <c r="H345" t="n">
        <v>0</v>
      </c>
      <c r="I345" t="n">
        <v>0</v>
      </c>
      <c r="J345" t="n">
        <v>0</v>
      </c>
      <c r="K345" t="n">
        <v>0</v>
      </c>
      <c r="L345" t="n">
        <v>0</v>
      </c>
      <c r="M345" t="n">
        <v>0</v>
      </c>
      <c r="N345" t="n">
        <v>0</v>
      </c>
      <c r="O345" t="n">
        <v>0</v>
      </c>
      <c r="P345" t="n">
        <v>0</v>
      </c>
      <c r="Q345" t="n">
        <v>0</v>
      </c>
      <c r="R345" s="2" t="inlineStr"/>
    </row>
    <row r="346" ht="15" customHeight="1">
      <c r="A346" t="inlineStr">
        <is>
          <t>A 12920-2022</t>
        </is>
      </c>
      <c r="B346" s="1" t="n">
        <v>44642</v>
      </c>
      <c r="C346" s="1" t="n">
        <v>45695</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13262-2022</t>
        </is>
      </c>
      <c r="B347" s="1" t="n">
        <v>44644</v>
      </c>
      <c r="C347" s="1" t="n">
        <v>45695</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13350-2022</t>
        </is>
      </c>
      <c r="B348" s="1" t="n">
        <v>44645</v>
      </c>
      <c r="C348" s="1" t="n">
        <v>45695</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14738-2022</t>
        </is>
      </c>
      <c r="B349" s="1" t="n">
        <v>44656</v>
      </c>
      <c r="C349" s="1" t="n">
        <v>45695</v>
      </c>
      <c r="D349" t="inlineStr">
        <is>
          <t>DALARNAS LÄN</t>
        </is>
      </c>
      <c r="E349" t="inlineStr">
        <is>
          <t>MORA</t>
        </is>
      </c>
      <c r="G349" t="n">
        <v>5.6</v>
      </c>
      <c r="H349" t="n">
        <v>0</v>
      </c>
      <c r="I349" t="n">
        <v>0</v>
      </c>
      <c r="J349" t="n">
        <v>0</v>
      </c>
      <c r="K349" t="n">
        <v>0</v>
      </c>
      <c r="L349" t="n">
        <v>0</v>
      </c>
      <c r="M349" t="n">
        <v>0</v>
      </c>
      <c r="N349" t="n">
        <v>0</v>
      </c>
      <c r="O349" t="n">
        <v>0</v>
      </c>
      <c r="P349" t="n">
        <v>0</v>
      </c>
      <c r="Q349" t="n">
        <v>0</v>
      </c>
      <c r="R349" s="2" t="inlineStr"/>
    </row>
    <row r="350" ht="15" customHeight="1">
      <c r="A350" t="inlineStr">
        <is>
          <t>A 14744-2022</t>
        </is>
      </c>
      <c r="B350" s="1" t="n">
        <v>44656</v>
      </c>
      <c r="C350" s="1" t="n">
        <v>45695</v>
      </c>
      <c r="D350" t="inlineStr">
        <is>
          <t>DALARNAS LÄN</t>
        </is>
      </c>
      <c r="E350" t="inlineStr">
        <is>
          <t>MORA</t>
        </is>
      </c>
      <c r="G350" t="n">
        <v>1.9</v>
      </c>
      <c r="H350" t="n">
        <v>0</v>
      </c>
      <c r="I350" t="n">
        <v>0</v>
      </c>
      <c r="J350" t="n">
        <v>0</v>
      </c>
      <c r="K350" t="n">
        <v>0</v>
      </c>
      <c r="L350" t="n">
        <v>0</v>
      </c>
      <c r="M350" t="n">
        <v>0</v>
      </c>
      <c r="N350" t="n">
        <v>0</v>
      </c>
      <c r="O350" t="n">
        <v>0</v>
      </c>
      <c r="P350" t="n">
        <v>0</v>
      </c>
      <c r="Q350" t="n">
        <v>0</v>
      </c>
      <c r="R350" s="2" t="inlineStr"/>
    </row>
    <row r="351" ht="15" customHeight="1">
      <c r="A351" t="inlineStr">
        <is>
          <t>A 15128-2022</t>
        </is>
      </c>
      <c r="B351" s="1" t="n">
        <v>44658</v>
      </c>
      <c r="C351" s="1" t="n">
        <v>45695</v>
      </c>
      <c r="D351" t="inlineStr">
        <is>
          <t>DALARNAS LÄN</t>
        </is>
      </c>
      <c r="E351" t="inlineStr">
        <is>
          <t>MORA</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15127-2022</t>
        </is>
      </c>
      <c r="B352" s="1" t="n">
        <v>44658</v>
      </c>
      <c r="C352" s="1" t="n">
        <v>45695</v>
      </c>
      <c r="D352" t="inlineStr">
        <is>
          <t>DALARNAS LÄN</t>
        </is>
      </c>
      <c r="E352" t="inlineStr">
        <is>
          <t>MORA</t>
        </is>
      </c>
      <c r="G352" t="n">
        <v>4.9</v>
      </c>
      <c r="H352" t="n">
        <v>0</v>
      </c>
      <c r="I352" t="n">
        <v>0</v>
      </c>
      <c r="J352" t="n">
        <v>0</v>
      </c>
      <c r="K352" t="n">
        <v>0</v>
      </c>
      <c r="L352" t="n">
        <v>0</v>
      </c>
      <c r="M352" t="n">
        <v>0</v>
      </c>
      <c r="N352" t="n">
        <v>0</v>
      </c>
      <c r="O352" t="n">
        <v>0</v>
      </c>
      <c r="P352" t="n">
        <v>0</v>
      </c>
      <c r="Q352" t="n">
        <v>0</v>
      </c>
      <c r="R352" s="2" t="inlineStr"/>
    </row>
    <row r="353" ht="15" customHeight="1">
      <c r="A353" t="inlineStr">
        <is>
          <t>A 15393-2022</t>
        </is>
      </c>
      <c r="B353" s="1" t="n">
        <v>44659</v>
      </c>
      <c r="C353" s="1" t="n">
        <v>45695</v>
      </c>
      <c r="D353" t="inlineStr">
        <is>
          <t>DALARNAS LÄN</t>
        </is>
      </c>
      <c r="E353" t="inlineStr">
        <is>
          <t>MORA</t>
        </is>
      </c>
      <c r="G353" t="n">
        <v>2.5</v>
      </c>
      <c r="H353" t="n">
        <v>0</v>
      </c>
      <c r="I353" t="n">
        <v>0</v>
      </c>
      <c r="J353" t="n">
        <v>0</v>
      </c>
      <c r="K353" t="n">
        <v>0</v>
      </c>
      <c r="L353" t="n">
        <v>0</v>
      </c>
      <c r="M353" t="n">
        <v>0</v>
      </c>
      <c r="N353" t="n">
        <v>0</v>
      </c>
      <c r="O353" t="n">
        <v>0</v>
      </c>
      <c r="P353" t="n">
        <v>0</v>
      </c>
      <c r="Q353" t="n">
        <v>0</v>
      </c>
      <c r="R353" s="2" t="inlineStr"/>
    </row>
    <row r="354" ht="15" customHeight="1">
      <c r="A354" t="inlineStr">
        <is>
          <t>A 15594-2022</t>
        </is>
      </c>
      <c r="B354" s="1" t="n">
        <v>44662</v>
      </c>
      <c r="C354" s="1" t="n">
        <v>45695</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16706-2022</t>
        </is>
      </c>
      <c r="B355" s="1" t="n">
        <v>44673</v>
      </c>
      <c r="C355" s="1" t="n">
        <v>45695</v>
      </c>
      <c r="D355" t="inlineStr">
        <is>
          <t>DALARNAS LÄN</t>
        </is>
      </c>
      <c r="E355" t="inlineStr">
        <is>
          <t>MORA</t>
        </is>
      </c>
      <c r="G355" t="n">
        <v>9.1</v>
      </c>
      <c r="H355" t="n">
        <v>0</v>
      </c>
      <c r="I355" t="n">
        <v>0</v>
      </c>
      <c r="J355" t="n">
        <v>0</v>
      </c>
      <c r="K355" t="n">
        <v>0</v>
      </c>
      <c r="L355" t="n">
        <v>0</v>
      </c>
      <c r="M355" t="n">
        <v>0</v>
      </c>
      <c r="N355" t="n">
        <v>0</v>
      </c>
      <c r="O355" t="n">
        <v>0</v>
      </c>
      <c r="P355" t="n">
        <v>0</v>
      </c>
      <c r="Q355" t="n">
        <v>0</v>
      </c>
      <c r="R355" s="2" t="inlineStr"/>
    </row>
    <row r="356" ht="15" customHeight="1">
      <c r="A356" t="inlineStr">
        <is>
          <t>A 16700-2022</t>
        </is>
      </c>
      <c r="B356" s="1" t="n">
        <v>44673</v>
      </c>
      <c r="C356" s="1" t="n">
        <v>45695</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17272-2022</t>
        </is>
      </c>
      <c r="B357" s="1" t="n">
        <v>44678</v>
      </c>
      <c r="C357" s="1" t="n">
        <v>45695</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17622-2022</t>
        </is>
      </c>
      <c r="B358" s="1" t="n">
        <v>44680</v>
      </c>
      <c r="C358" s="1" t="n">
        <v>45695</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19372-2022</t>
        </is>
      </c>
      <c r="B359" s="1" t="n">
        <v>44692</v>
      </c>
      <c r="C359" s="1" t="n">
        <v>45695</v>
      </c>
      <c r="D359" t="inlineStr">
        <is>
          <t>DALARNAS LÄN</t>
        </is>
      </c>
      <c r="E359" t="inlineStr">
        <is>
          <t>MORA</t>
        </is>
      </c>
      <c r="G359" t="n">
        <v>0.6</v>
      </c>
      <c r="H359" t="n">
        <v>0</v>
      </c>
      <c r="I359" t="n">
        <v>0</v>
      </c>
      <c r="J359" t="n">
        <v>0</v>
      </c>
      <c r="K359" t="n">
        <v>0</v>
      </c>
      <c r="L359" t="n">
        <v>0</v>
      </c>
      <c r="M359" t="n">
        <v>0</v>
      </c>
      <c r="N359" t="n">
        <v>0</v>
      </c>
      <c r="O359" t="n">
        <v>0</v>
      </c>
      <c r="P359" t="n">
        <v>0</v>
      </c>
      <c r="Q359" t="n">
        <v>0</v>
      </c>
      <c r="R359" s="2" t="inlineStr"/>
    </row>
    <row r="360" ht="15" customHeight="1">
      <c r="A360" t="inlineStr">
        <is>
          <t>A 19756-2022</t>
        </is>
      </c>
      <c r="B360" s="1" t="n">
        <v>44694</v>
      </c>
      <c r="C360" s="1" t="n">
        <v>45695</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20401-2022</t>
        </is>
      </c>
      <c r="B361" s="1" t="n">
        <v>44699</v>
      </c>
      <c r="C361" s="1" t="n">
        <v>45695</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21273-2022</t>
        </is>
      </c>
      <c r="B362" s="1" t="n">
        <v>44705</v>
      </c>
      <c r="C362" s="1" t="n">
        <v>45695</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23354-2022</t>
        </is>
      </c>
      <c r="B363" s="1" t="n">
        <v>44720</v>
      </c>
      <c r="C363" s="1" t="n">
        <v>45695</v>
      </c>
      <c r="D363" t="inlineStr">
        <is>
          <t>DALARNAS LÄN</t>
        </is>
      </c>
      <c r="E363" t="inlineStr">
        <is>
          <t>MORA</t>
        </is>
      </c>
      <c r="G363" t="n">
        <v>5.2</v>
      </c>
      <c r="H363" t="n">
        <v>0</v>
      </c>
      <c r="I363" t="n">
        <v>0</v>
      </c>
      <c r="J363" t="n">
        <v>0</v>
      </c>
      <c r="K363" t="n">
        <v>0</v>
      </c>
      <c r="L363" t="n">
        <v>0</v>
      </c>
      <c r="M363" t="n">
        <v>0</v>
      </c>
      <c r="N363" t="n">
        <v>0</v>
      </c>
      <c r="O363" t="n">
        <v>0</v>
      </c>
      <c r="P363" t="n">
        <v>0</v>
      </c>
      <c r="Q363" t="n">
        <v>0</v>
      </c>
      <c r="R363" s="2" t="inlineStr"/>
    </row>
    <row r="364" ht="15" customHeight="1">
      <c r="A364" t="inlineStr">
        <is>
          <t>A 23655-2022</t>
        </is>
      </c>
      <c r="B364" s="1" t="n">
        <v>44721</v>
      </c>
      <c r="C364" s="1" t="n">
        <v>45695</v>
      </c>
      <c r="D364" t="inlineStr">
        <is>
          <t>DALARNAS LÄN</t>
        </is>
      </c>
      <c r="E364" t="inlineStr">
        <is>
          <t>MORA</t>
        </is>
      </c>
      <c r="G364" t="n">
        <v>3.3</v>
      </c>
      <c r="H364" t="n">
        <v>0</v>
      </c>
      <c r="I364" t="n">
        <v>0</v>
      </c>
      <c r="J364" t="n">
        <v>0</v>
      </c>
      <c r="K364" t="n">
        <v>0</v>
      </c>
      <c r="L364" t="n">
        <v>0</v>
      </c>
      <c r="M364" t="n">
        <v>0</v>
      </c>
      <c r="N364" t="n">
        <v>0</v>
      </c>
      <c r="O364" t="n">
        <v>0</v>
      </c>
      <c r="P364" t="n">
        <v>0</v>
      </c>
      <c r="Q364" t="n">
        <v>0</v>
      </c>
      <c r="R364" s="2" t="inlineStr"/>
    </row>
    <row r="365" ht="15" customHeight="1">
      <c r="A365" t="inlineStr">
        <is>
          <t>A 23795-2022</t>
        </is>
      </c>
      <c r="B365" s="1" t="n">
        <v>44722</v>
      </c>
      <c r="C365" s="1" t="n">
        <v>45695</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23798-2022</t>
        </is>
      </c>
      <c r="B366" s="1" t="n">
        <v>44722</v>
      </c>
      <c r="C366" s="1" t="n">
        <v>45695</v>
      </c>
      <c r="D366" t="inlineStr">
        <is>
          <t>DALARNAS LÄN</t>
        </is>
      </c>
      <c r="E366" t="inlineStr">
        <is>
          <t>MORA</t>
        </is>
      </c>
      <c r="G366" t="n">
        <v>2.6</v>
      </c>
      <c r="H366" t="n">
        <v>0</v>
      </c>
      <c r="I366" t="n">
        <v>0</v>
      </c>
      <c r="J366" t="n">
        <v>0</v>
      </c>
      <c r="K366" t="n">
        <v>0</v>
      </c>
      <c r="L366" t="n">
        <v>0</v>
      </c>
      <c r="M366" t="n">
        <v>0</v>
      </c>
      <c r="N366" t="n">
        <v>0</v>
      </c>
      <c r="O366" t="n">
        <v>0</v>
      </c>
      <c r="P366" t="n">
        <v>0</v>
      </c>
      <c r="Q366" t="n">
        <v>0</v>
      </c>
      <c r="R366" s="2" t="inlineStr"/>
    </row>
    <row r="367" ht="15" customHeight="1">
      <c r="A367" t="inlineStr">
        <is>
          <t>A 24171-2022</t>
        </is>
      </c>
      <c r="B367" s="1" t="n">
        <v>44725</v>
      </c>
      <c r="C367" s="1" t="n">
        <v>45695</v>
      </c>
      <c r="D367" t="inlineStr">
        <is>
          <t>DALARNAS LÄN</t>
        </is>
      </c>
      <c r="E367" t="inlineStr">
        <is>
          <t>MORA</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24170-2022</t>
        </is>
      </c>
      <c r="B368" s="1" t="n">
        <v>44725</v>
      </c>
      <c r="C368" s="1" t="n">
        <v>45695</v>
      </c>
      <c r="D368" t="inlineStr">
        <is>
          <t>DALARNAS LÄN</t>
        </is>
      </c>
      <c r="E368" t="inlineStr">
        <is>
          <t>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24169-2022</t>
        </is>
      </c>
      <c r="B369" s="1" t="n">
        <v>44725</v>
      </c>
      <c r="C369" s="1" t="n">
        <v>45695</v>
      </c>
      <c r="D369" t="inlineStr">
        <is>
          <t>DALARNAS LÄN</t>
        </is>
      </c>
      <c r="E369" t="inlineStr">
        <is>
          <t>MORA</t>
        </is>
      </c>
      <c r="F369" t="inlineStr">
        <is>
          <t>Bergvik skog väst AB</t>
        </is>
      </c>
      <c r="G369" t="n">
        <v>1.4</v>
      </c>
      <c r="H369" t="n">
        <v>0</v>
      </c>
      <c r="I369" t="n">
        <v>0</v>
      </c>
      <c r="J369" t="n">
        <v>0</v>
      </c>
      <c r="K369" t="n">
        <v>0</v>
      </c>
      <c r="L369" t="n">
        <v>0</v>
      </c>
      <c r="M369" t="n">
        <v>0</v>
      </c>
      <c r="N369" t="n">
        <v>0</v>
      </c>
      <c r="O369" t="n">
        <v>0</v>
      </c>
      <c r="P369" t="n">
        <v>0</v>
      </c>
      <c r="Q369" t="n">
        <v>0</v>
      </c>
      <c r="R369" s="2" t="inlineStr"/>
    </row>
    <row r="370" ht="15" customHeight="1">
      <c r="A370" t="inlineStr">
        <is>
          <t>A 24335-2022</t>
        </is>
      </c>
      <c r="B370" s="1" t="n">
        <v>44725</v>
      </c>
      <c r="C370" s="1" t="n">
        <v>45695</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24366-2022</t>
        </is>
      </c>
      <c r="B371" s="1" t="n">
        <v>44726</v>
      </c>
      <c r="C371" s="1" t="n">
        <v>45695</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24393-2022</t>
        </is>
      </c>
      <c r="B372" s="1" t="n">
        <v>44726</v>
      </c>
      <c r="C372" s="1" t="n">
        <v>45695</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25451-2022</t>
        </is>
      </c>
      <c r="B373" s="1" t="n">
        <v>44732</v>
      </c>
      <c r="C373" s="1" t="n">
        <v>45695</v>
      </c>
      <c r="D373" t="inlineStr">
        <is>
          <t>DALARNAS LÄN</t>
        </is>
      </c>
      <c r="E373" t="inlineStr">
        <is>
          <t>MORA</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27438-2022</t>
        </is>
      </c>
      <c r="B374" s="1" t="n">
        <v>44742</v>
      </c>
      <c r="C374" s="1" t="n">
        <v>45695</v>
      </c>
      <c r="D374" t="inlineStr">
        <is>
          <t>DALARNAS LÄN</t>
        </is>
      </c>
      <c r="E374" t="inlineStr">
        <is>
          <t>MORA</t>
        </is>
      </c>
      <c r="G374" t="n">
        <v>7</v>
      </c>
      <c r="H374" t="n">
        <v>0</v>
      </c>
      <c r="I374" t="n">
        <v>0</v>
      </c>
      <c r="J374" t="n">
        <v>0</v>
      </c>
      <c r="K374" t="n">
        <v>0</v>
      </c>
      <c r="L374" t="n">
        <v>0</v>
      </c>
      <c r="M374" t="n">
        <v>0</v>
      </c>
      <c r="N374" t="n">
        <v>0</v>
      </c>
      <c r="O374" t="n">
        <v>0</v>
      </c>
      <c r="P374" t="n">
        <v>0</v>
      </c>
      <c r="Q374" t="n">
        <v>0</v>
      </c>
      <c r="R374" s="2" t="inlineStr"/>
    </row>
    <row r="375" ht="15" customHeight="1">
      <c r="A375" t="inlineStr">
        <is>
          <t>A 27461-2022</t>
        </is>
      </c>
      <c r="B375" s="1" t="n">
        <v>44742</v>
      </c>
      <c r="C375" s="1" t="n">
        <v>45695</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28344-2022</t>
        </is>
      </c>
      <c r="B376" s="1" t="n">
        <v>44747</v>
      </c>
      <c r="C376" s="1" t="n">
        <v>45695</v>
      </c>
      <c r="D376" t="inlineStr">
        <is>
          <t>DALARNAS LÄN</t>
        </is>
      </c>
      <c r="E376" t="inlineStr">
        <is>
          <t>MORA</t>
        </is>
      </c>
      <c r="F376" t="inlineStr">
        <is>
          <t>Kyrkan</t>
        </is>
      </c>
      <c r="G376" t="n">
        <v>6.4</v>
      </c>
      <c r="H376" t="n">
        <v>0</v>
      </c>
      <c r="I376" t="n">
        <v>0</v>
      </c>
      <c r="J376" t="n">
        <v>0</v>
      </c>
      <c r="K376" t="n">
        <v>0</v>
      </c>
      <c r="L376" t="n">
        <v>0</v>
      </c>
      <c r="M376" t="n">
        <v>0</v>
      </c>
      <c r="N376" t="n">
        <v>0</v>
      </c>
      <c r="O376" t="n">
        <v>0</v>
      </c>
      <c r="P376" t="n">
        <v>0</v>
      </c>
      <c r="Q376" t="n">
        <v>0</v>
      </c>
      <c r="R376" s="2" t="inlineStr"/>
    </row>
    <row r="377" ht="15" customHeight="1">
      <c r="A377" t="inlineStr">
        <is>
          <t>A 28914-2022</t>
        </is>
      </c>
      <c r="B377" s="1" t="n">
        <v>44749</v>
      </c>
      <c r="C377" s="1" t="n">
        <v>45695</v>
      </c>
      <c r="D377" t="inlineStr">
        <is>
          <t>DALARNAS LÄN</t>
        </is>
      </c>
      <c r="E377" t="inlineStr">
        <is>
          <t>MORA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29754-2022</t>
        </is>
      </c>
      <c r="B378" s="1" t="n">
        <v>44755</v>
      </c>
      <c r="C378" s="1" t="n">
        <v>45695</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30998-2022</t>
        </is>
      </c>
      <c r="B379" s="1" t="n">
        <v>44768</v>
      </c>
      <c r="C379" s="1" t="n">
        <v>45695</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31304-2022</t>
        </is>
      </c>
      <c r="B380" s="1" t="n">
        <v>44773</v>
      </c>
      <c r="C380" s="1" t="n">
        <v>45695</v>
      </c>
      <c r="D380" t="inlineStr">
        <is>
          <t>DALARNAS LÄN</t>
        </is>
      </c>
      <c r="E380" t="inlineStr">
        <is>
          <t>MORA</t>
        </is>
      </c>
      <c r="G380" t="n">
        <v>20.6</v>
      </c>
      <c r="H380" t="n">
        <v>0</v>
      </c>
      <c r="I380" t="n">
        <v>0</v>
      </c>
      <c r="J380" t="n">
        <v>0</v>
      </c>
      <c r="K380" t="n">
        <v>0</v>
      </c>
      <c r="L380" t="n">
        <v>0</v>
      </c>
      <c r="M380" t="n">
        <v>0</v>
      </c>
      <c r="N380" t="n">
        <v>0</v>
      </c>
      <c r="O380" t="n">
        <v>0</v>
      </c>
      <c r="P380" t="n">
        <v>0</v>
      </c>
      <c r="Q380" t="n">
        <v>0</v>
      </c>
      <c r="R380" s="2" t="inlineStr"/>
    </row>
    <row r="381" ht="15" customHeight="1">
      <c r="A381" t="inlineStr">
        <is>
          <t>A 31582-2022</t>
        </is>
      </c>
      <c r="B381" s="1" t="n">
        <v>44775</v>
      </c>
      <c r="C381" s="1" t="n">
        <v>45695</v>
      </c>
      <c r="D381" t="inlineStr">
        <is>
          <t>DALARNAS LÄN</t>
        </is>
      </c>
      <c r="E381" t="inlineStr">
        <is>
          <t>MORA</t>
        </is>
      </c>
      <c r="G381" t="n">
        <v>3.5</v>
      </c>
      <c r="H381" t="n">
        <v>0</v>
      </c>
      <c r="I381" t="n">
        <v>0</v>
      </c>
      <c r="J381" t="n">
        <v>0</v>
      </c>
      <c r="K381" t="n">
        <v>0</v>
      </c>
      <c r="L381" t="n">
        <v>0</v>
      </c>
      <c r="M381" t="n">
        <v>0</v>
      </c>
      <c r="N381" t="n">
        <v>0</v>
      </c>
      <c r="O381" t="n">
        <v>0</v>
      </c>
      <c r="P381" t="n">
        <v>0</v>
      </c>
      <c r="Q381" t="n">
        <v>0</v>
      </c>
      <c r="R381" s="2" t="inlineStr"/>
    </row>
    <row r="382" ht="15" customHeight="1">
      <c r="A382" t="inlineStr">
        <is>
          <t>A 32265-2022</t>
        </is>
      </c>
      <c r="B382" s="1" t="n">
        <v>44781</v>
      </c>
      <c r="C382" s="1" t="n">
        <v>45695</v>
      </c>
      <c r="D382" t="inlineStr">
        <is>
          <t>DALARNAS LÄN</t>
        </is>
      </c>
      <c r="E382" t="inlineStr">
        <is>
          <t>MORA</t>
        </is>
      </c>
      <c r="G382" t="n">
        <v>4</v>
      </c>
      <c r="H382" t="n">
        <v>0</v>
      </c>
      <c r="I382" t="n">
        <v>0</v>
      </c>
      <c r="J382" t="n">
        <v>0</v>
      </c>
      <c r="K382" t="n">
        <v>0</v>
      </c>
      <c r="L382" t="n">
        <v>0</v>
      </c>
      <c r="M382" t="n">
        <v>0</v>
      </c>
      <c r="N382" t="n">
        <v>0</v>
      </c>
      <c r="O382" t="n">
        <v>0</v>
      </c>
      <c r="P382" t="n">
        <v>0</v>
      </c>
      <c r="Q382" t="n">
        <v>0</v>
      </c>
      <c r="R382" s="2" t="inlineStr"/>
    </row>
    <row r="383" ht="15" customHeight="1">
      <c r="A383" t="inlineStr">
        <is>
          <t>A 32261-2022</t>
        </is>
      </c>
      <c r="B383" s="1" t="n">
        <v>44781</v>
      </c>
      <c r="C383" s="1" t="n">
        <v>45695</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32474-2022</t>
        </is>
      </c>
      <c r="B384" s="1" t="n">
        <v>44782</v>
      </c>
      <c r="C384" s="1" t="n">
        <v>45695</v>
      </c>
      <c r="D384" t="inlineStr">
        <is>
          <t>DALARNAS LÄN</t>
        </is>
      </c>
      <c r="E384" t="inlineStr">
        <is>
          <t>MORA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32643-2022</t>
        </is>
      </c>
      <c r="B385" s="1" t="n">
        <v>44783</v>
      </c>
      <c r="C385" s="1" t="n">
        <v>45695</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33272-2022</t>
        </is>
      </c>
      <c r="B386" s="1" t="n">
        <v>44788</v>
      </c>
      <c r="C386" s="1" t="n">
        <v>45695</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33262-2022</t>
        </is>
      </c>
      <c r="B387" s="1" t="n">
        <v>44788</v>
      </c>
      <c r="C387" s="1" t="n">
        <v>45695</v>
      </c>
      <c r="D387" t="inlineStr">
        <is>
          <t>DALARNAS LÄN</t>
        </is>
      </c>
      <c r="E387" t="inlineStr">
        <is>
          <t>MORA</t>
        </is>
      </c>
      <c r="G387" t="n">
        <v>6.5</v>
      </c>
      <c r="H387" t="n">
        <v>0</v>
      </c>
      <c r="I387" t="n">
        <v>0</v>
      </c>
      <c r="J387" t="n">
        <v>0</v>
      </c>
      <c r="K387" t="n">
        <v>0</v>
      </c>
      <c r="L387" t="n">
        <v>0</v>
      </c>
      <c r="M387" t="n">
        <v>0</v>
      </c>
      <c r="N387" t="n">
        <v>0</v>
      </c>
      <c r="O387" t="n">
        <v>0</v>
      </c>
      <c r="P387" t="n">
        <v>0</v>
      </c>
      <c r="Q387" t="n">
        <v>0</v>
      </c>
      <c r="R387" s="2" t="inlineStr"/>
    </row>
    <row r="388" ht="15" customHeight="1">
      <c r="A388" t="inlineStr">
        <is>
          <t>A 33269-2022</t>
        </is>
      </c>
      <c r="B388" s="1" t="n">
        <v>44788</v>
      </c>
      <c r="C388" s="1" t="n">
        <v>45695</v>
      </c>
      <c r="D388" t="inlineStr">
        <is>
          <t>DALARNAS LÄN</t>
        </is>
      </c>
      <c r="E388" t="inlineStr">
        <is>
          <t>MORA</t>
        </is>
      </c>
      <c r="G388" t="n">
        <v>3.1</v>
      </c>
      <c r="H388" t="n">
        <v>0</v>
      </c>
      <c r="I388" t="n">
        <v>0</v>
      </c>
      <c r="J388" t="n">
        <v>0</v>
      </c>
      <c r="K388" t="n">
        <v>0</v>
      </c>
      <c r="L388" t="n">
        <v>0</v>
      </c>
      <c r="M388" t="n">
        <v>0</v>
      </c>
      <c r="N388" t="n">
        <v>0</v>
      </c>
      <c r="O388" t="n">
        <v>0</v>
      </c>
      <c r="P388" t="n">
        <v>0</v>
      </c>
      <c r="Q388" t="n">
        <v>0</v>
      </c>
      <c r="R388" s="2" t="inlineStr"/>
    </row>
    <row r="389" ht="15" customHeight="1">
      <c r="A389" t="inlineStr">
        <is>
          <t>A 33265-2022</t>
        </is>
      </c>
      <c r="B389" s="1" t="n">
        <v>44788</v>
      </c>
      <c r="C389" s="1" t="n">
        <v>45695</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33550-2022</t>
        </is>
      </c>
      <c r="B390" s="1" t="n">
        <v>44789</v>
      </c>
      <c r="C390" s="1" t="n">
        <v>45695</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33678-2022</t>
        </is>
      </c>
      <c r="B391" s="1" t="n">
        <v>44789</v>
      </c>
      <c r="C391" s="1" t="n">
        <v>45695</v>
      </c>
      <c r="D391" t="inlineStr">
        <is>
          <t>DALARNAS LÄN</t>
        </is>
      </c>
      <c r="E391" t="inlineStr">
        <is>
          <t>MORA</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34927-2022</t>
        </is>
      </c>
      <c r="B392" s="1" t="n">
        <v>44796</v>
      </c>
      <c r="C392" s="1" t="n">
        <v>45695</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34897-2022</t>
        </is>
      </c>
      <c r="B393" s="1" t="n">
        <v>44796</v>
      </c>
      <c r="C393" s="1" t="n">
        <v>45695</v>
      </c>
      <c r="D393" t="inlineStr">
        <is>
          <t>DALARNAS LÄN</t>
        </is>
      </c>
      <c r="E393" t="inlineStr">
        <is>
          <t>MORA</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34824-2022</t>
        </is>
      </c>
      <c r="B394" s="1" t="n">
        <v>44796</v>
      </c>
      <c r="C394" s="1" t="n">
        <v>45695</v>
      </c>
      <c r="D394" t="inlineStr">
        <is>
          <t>DALARNAS LÄN</t>
        </is>
      </c>
      <c r="E394" t="inlineStr">
        <is>
          <t>MORA</t>
        </is>
      </c>
      <c r="F394" t="inlineStr">
        <is>
          <t>Bergvik skog väst AB</t>
        </is>
      </c>
      <c r="G394" t="n">
        <v>3.4</v>
      </c>
      <c r="H394" t="n">
        <v>0</v>
      </c>
      <c r="I394" t="n">
        <v>0</v>
      </c>
      <c r="J394" t="n">
        <v>0</v>
      </c>
      <c r="K394" t="n">
        <v>0</v>
      </c>
      <c r="L394" t="n">
        <v>0</v>
      </c>
      <c r="M394" t="n">
        <v>0</v>
      </c>
      <c r="N394" t="n">
        <v>0</v>
      </c>
      <c r="O394" t="n">
        <v>0</v>
      </c>
      <c r="P394" t="n">
        <v>0</v>
      </c>
      <c r="Q394" t="n">
        <v>0</v>
      </c>
      <c r="R394" s="2" t="inlineStr"/>
    </row>
    <row r="395" ht="15" customHeight="1">
      <c r="A395" t="inlineStr">
        <is>
          <t>A 34923-2022</t>
        </is>
      </c>
      <c r="B395" s="1" t="n">
        <v>44796</v>
      </c>
      <c r="C395" s="1" t="n">
        <v>45695</v>
      </c>
      <c r="D395" t="inlineStr">
        <is>
          <t>DALARNAS LÄN</t>
        </is>
      </c>
      <c r="E395" t="inlineStr">
        <is>
          <t>MORA</t>
        </is>
      </c>
      <c r="G395" t="n">
        <v>5</v>
      </c>
      <c r="H395" t="n">
        <v>0</v>
      </c>
      <c r="I395" t="n">
        <v>0</v>
      </c>
      <c r="J395" t="n">
        <v>0</v>
      </c>
      <c r="K395" t="n">
        <v>0</v>
      </c>
      <c r="L395" t="n">
        <v>0</v>
      </c>
      <c r="M395" t="n">
        <v>0</v>
      </c>
      <c r="N395" t="n">
        <v>0</v>
      </c>
      <c r="O395" t="n">
        <v>0</v>
      </c>
      <c r="P395" t="n">
        <v>0</v>
      </c>
      <c r="Q395" t="n">
        <v>0</v>
      </c>
      <c r="R395" s="2" t="inlineStr"/>
    </row>
    <row r="396" ht="15" customHeight="1">
      <c r="A396" t="inlineStr">
        <is>
          <t>A 34928-2022</t>
        </is>
      </c>
      <c r="B396" s="1" t="n">
        <v>44796</v>
      </c>
      <c r="C396" s="1" t="n">
        <v>45695</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36579-2022</t>
        </is>
      </c>
      <c r="B397" s="1" t="n">
        <v>44804</v>
      </c>
      <c r="C397" s="1" t="n">
        <v>45695</v>
      </c>
      <c r="D397" t="inlineStr">
        <is>
          <t>DALARNAS LÄN</t>
        </is>
      </c>
      <c r="E397" t="inlineStr">
        <is>
          <t>MORA</t>
        </is>
      </c>
      <c r="G397" t="n">
        <v>2.3</v>
      </c>
      <c r="H397" t="n">
        <v>0</v>
      </c>
      <c r="I397" t="n">
        <v>0</v>
      </c>
      <c r="J397" t="n">
        <v>0</v>
      </c>
      <c r="K397" t="n">
        <v>0</v>
      </c>
      <c r="L397" t="n">
        <v>0</v>
      </c>
      <c r="M397" t="n">
        <v>0</v>
      </c>
      <c r="N397" t="n">
        <v>0</v>
      </c>
      <c r="O397" t="n">
        <v>0</v>
      </c>
      <c r="P397" t="n">
        <v>0</v>
      </c>
      <c r="Q397" t="n">
        <v>0</v>
      </c>
      <c r="R397" s="2" t="inlineStr"/>
    </row>
    <row r="398" ht="15" customHeight="1">
      <c r="A398" t="inlineStr">
        <is>
          <t>A 37483-2022</t>
        </is>
      </c>
      <c r="B398" s="1" t="n">
        <v>44809</v>
      </c>
      <c r="C398" s="1" t="n">
        <v>45695</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37774-2022</t>
        </is>
      </c>
      <c r="B399" s="1" t="n">
        <v>44810</v>
      </c>
      <c r="C399" s="1" t="n">
        <v>45695</v>
      </c>
      <c r="D399" t="inlineStr">
        <is>
          <t>DALARNAS LÄN</t>
        </is>
      </c>
      <c r="E399" t="inlineStr">
        <is>
          <t>MORA</t>
        </is>
      </c>
      <c r="F399" t="inlineStr">
        <is>
          <t>Bergvik skog väst AB</t>
        </is>
      </c>
      <c r="G399" t="n">
        <v>8.5</v>
      </c>
      <c r="H399" t="n">
        <v>0</v>
      </c>
      <c r="I399" t="n">
        <v>0</v>
      </c>
      <c r="J399" t="n">
        <v>0</v>
      </c>
      <c r="K399" t="n">
        <v>0</v>
      </c>
      <c r="L399" t="n">
        <v>0</v>
      </c>
      <c r="M399" t="n">
        <v>0</v>
      </c>
      <c r="N399" t="n">
        <v>0</v>
      </c>
      <c r="O399" t="n">
        <v>0</v>
      </c>
      <c r="P399" t="n">
        <v>0</v>
      </c>
      <c r="Q399" t="n">
        <v>0</v>
      </c>
      <c r="R399" s="2" t="inlineStr"/>
    </row>
    <row r="400" ht="15" customHeight="1">
      <c r="A400" t="inlineStr">
        <is>
          <t>A 37771-2022</t>
        </is>
      </c>
      <c r="B400" s="1" t="n">
        <v>44810</v>
      </c>
      <c r="C400" s="1" t="n">
        <v>45695</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37983-2022</t>
        </is>
      </c>
      <c r="B401" s="1" t="n">
        <v>44811</v>
      </c>
      <c r="C401" s="1" t="n">
        <v>45695</v>
      </c>
      <c r="D401" t="inlineStr">
        <is>
          <t>DALARNAS LÄN</t>
        </is>
      </c>
      <c r="E401" t="inlineStr">
        <is>
          <t>MORA</t>
        </is>
      </c>
      <c r="F401" t="inlineStr">
        <is>
          <t>Bergvik skog väst AB</t>
        </is>
      </c>
      <c r="G401" t="n">
        <v>13.1</v>
      </c>
      <c r="H401" t="n">
        <v>0</v>
      </c>
      <c r="I401" t="n">
        <v>0</v>
      </c>
      <c r="J401" t="n">
        <v>0</v>
      </c>
      <c r="K401" t="n">
        <v>0</v>
      </c>
      <c r="L401" t="n">
        <v>0</v>
      </c>
      <c r="M401" t="n">
        <v>0</v>
      </c>
      <c r="N401" t="n">
        <v>0</v>
      </c>
      <c r="O401" t="n">
        <v>0</v>
      </c>
      <c r="P401" t="n">
        <v>0</v>
      </c>
      <c r="Q401" t="n">
        <v>0</v>
      </c>
      <c r="R401" s="2" t="inlineStr"/>
    </row>
    <row r="402" ht="15" customHeight="1">
      <c r="A402" t="inlineStr">
        <is>
          <t>A 38305-2022</t>
        </is>
      </c>
      <c r="B402" s="1" t="n">
        <v>44812</v>
      </c>
      <c r="C402" s="1" t="n">
        <v>45695</v>
      </c>
      <c r="D402" t="inlineStr">
        <is>
          <t>DALARNAS LÄN</t>
        </is>
      </c>
      <c r="E402" t="inlineStr">
        <is>
          <t>MORA</t>
        </is>
      </c>
      <c r="G402" t="n">
        <v>15.8</v>
      </c>
      <c r="H402" t="n">
        <v>0</v>
      </c>
      <c r="I402" t="n">
        <v>0</v>
      </c>
      <c r="J402" t="n">
        <v>0</v>
      </c>
      <c r="K402" t="n">
        <v>0</v>
      </c>
      <c r="L402" t="n">
        <v>0</v>
      </c>
      <c r="M402" t="n">
        <v>0</v>
      </c>
      <c r="N402" t="n">
        <v>0</v>
      </c>
      <c r="O402" t="n">
        <v>0</v>
      </c>
      <c r="P402" t="n">
        <v>0</v>
      </c>
      <c r="Q402" t="n">
        <v>0</v>
      </c>
      <c r="R402" s="2" t="inlineStr"/>
    </row>
    <row r="403" ht="15" customHeight="1">
      <c r="A403" t="inlineStr">
        <is>
          <t>A 38651-2022</t>
        </is>
      </c>
      <c r="B403" s="1" t="n">
        <v>44813</v>
      </c>
      <c r="C403" s="1" t="n">
        <v>45695</v>
      </c>
      <c r="D403" t="inlineStr">
        <is>
          <t>DALARNAS LÄN</t>
        </is>
      </c>
      <c r="E403" t="inlineStr">
        <is>
          <t>MORA</t>
        </is>
      </c>
      <c r="G403" t="n">
        <v>4.4</v>
      </c>
      <c r="H403" t="n">
        <v>0</v>
      </c>
      <c r="I403" t="n">
        <v>0</v>
      </c>
      <c r="J403" t="n">
        <v>0</v>
      </c>
      <c r="K403" t="n">
        <v>0</v>
      </c>
      <c r="L403" t="n">
        <v>0</v>
      </c>
      <c r="M403" t="n">
        <v>0</v>
      </c>
      <c r="N403" t="n">
        <v>0</v>
      </c>
      <c r="O403" t="n">
        <v>0</v>
      </c>
      <c r="P403" t="n">
        <v>0</v>
      </c>
      <c r="Q403" t="n">
        <v>0</v>
      </c>
      <c r="R403" s="2" t="inlineStr"/>
    </row>
    <row r="404" ht="15" customHeight="1">
      <c r="A404" t="inlineStr">
        <is>
          <t>A 39162-2022</t>
        </is>
      </c>
      <c r="B404" s="1" t="n">
        <v>44817</v>
      </c>
      <c r="C404" s="1" t="n">
        <v>45695</v>
      </c>
      <c r="D404" t="inlineStr">
        <is>
          <t>DALARNAS LÄN</t>
        </is>
      </c>
      <c r="E404" t="inlineStr">
        <is>
          <t>MORA</t>
        </is>
      </c>
      <c r="F404" t="inlineStr">
        <is>
          <t>Allmännings- och besparingsskogar</t>
        </is>
      </c>
      <c r="G404" t="n">
        <v>27.2</v>
      </c>
      <c r="H404" t="n">
        <v>0</v>
      </c>
      <c r="I404" t="n">
        <v>0</v>
      </c>
      <c r="J404" t="n">
        <v>0</v>
      </c>
      <c r="K404" t="n">
        <v>0</v>
      </c>
      <c r="L404" t="n">
        <v>0</v>
      </c>
      <c r="M404" t="n">
        <v>0</v>
      </c>
      <c r="N404" t="n">
        <v>0</v>
      </c>
      <c r="O404" t="n">
        <v>0</v>
      </c>
      <c r="P404" t="n">
        <v>0</v>
      </c>
      <c r="Q404" t="n">
        <v>0</v>
      </c>
      <c r="R404" s="2" t="inlineStr"/>
    </row>
    <row r="405" ht="15" customHeight="1">
      <c r="A405" t="inlineStr">
        <is>
          <t>A 39897-2022</t>
        </is>
      </c>
      <c r="B405" s="1" t="n">
        <v>44819</v>
      </c>
      <c r="C405" s="1" t="n">
        <v>45695</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39901-2022</t>
        </is>
      </c>
      <c r="B406" s="1" t="n">
        <v>44819</v>
      </c>
      <c r="C406" s="1" t="n">
        <v>45695</v>
      </c>
      <c r="D406" t="inlineStr">
        <is>
          <t>DALARNAS LÄN</t>
        </is>
      </c>
      <c r="E406" t="inlineStr">
        <is>
          <t>MORA</t>
        </is>
      </c>
      <c r="G406" t="n">
        <v>4.9</v>
      </c>
      <c r="H406" t="n">
        <v>0</v>
      </c>
      <c r="I406" t="n">
        <v>0</v>
      </c>
      <c r="J406" t="n">
        <v>0</v>
      </c>
      <c r="K406" t="n">
        <v>0</v>
      </c>
      <c r="L406" t="n">
        <v>0</v>
      </c>
      <c r="M406" t="n">
        <v>0</v>
      </c>
      <c r="N406" t="n">
        <v>0</v>
      </c>
      <c r="O406" t="n">
        <v>0</v>
      </c>
      <c r="P406" t="n">
        <v>0</v>
      </c>
      <c r="Q406" t="n">
        <v>0</v>
      </c>
      <c r="R406" s="2" t="inlineStr"/>
    </row>
    <row r="407" ht="15" customHeight="1">
      <c r="A407" t="inlineStr">
        <is>
          <t>A 42035-2022</t>
        </is>
      </c>
      <c r="B407" s="1" t="n">
        <v>44830</v>
      </c>
      <c r="C407" s="1" t="n">
        <v>45695</v>
      </c>
      <c r="D407" t="inlineStr">
        <is>
          <t>DALARNAS LÄN</t>
        </is>
      </c>
      <c r="E407" t="inlineStr">
        <is>
          <t>MORA</t>
        </is>
      </c>
      <c r="G407" t="n">
        <v>2.7</v>
      </c>
      <c r="H407" t="n">
        <v>0</v>
      </c>
      <c r="I407" t="n">
        <v>0</v>
      </c>
      <c r="J407" t="n">
        <v>0</v>
      </c>
      <c r="K407" t="n">
        <v>0</v>
      </c>
      <c r="L407" t="n">
        <v>0</v>
      </c>
      <c r="M407" t="n">
        <v>0</v>
      </c>
      <c r="N407" t="n">
        <v>0</v>
      </c>
      <c r="O407" t="n">
        <v>0</v>
      </c>
      <c r="P407" t="n">
        <v>0</v>
      </c>
      <c r="Q407" t="n">
        <v>0</v>
      </c>
      <c r="R407" s="2" t="inlineStr"/>
    </row>
    <row r="408" ht="15" customHeight="1">
      <c r="A408" t="inlineStr">
        <is>
          <t>A 42121-2022</t>
        </is>
      </c>
      <c r="B408" s="1" t="n">
        <v>44830</v>
      </c>
      <c r="C408" s="1" t="n">
        <v>45695</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42611-2022</t>
        </is>
      </c>
      <c r="B409" s="1" t="n">
        <v>44831</v>
      </c>
      <c r="C409" s="1" t="n">
        <v>45695</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42668-2022</t>
        </is>
      </c>
      <c r="B410" s="1" t="n">
        <v>44832</v>
      </c>
      <c r="C410" s="1" t="n">
        <v>45695</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42814-2022</t>
        </is>
      </c>
      <c r="B411" s="1" t="n">
        <v>44832</v>
      </c>
      <c r="C411" s="1" t="n">
        <v>45695</v>
      </c>
      <c r="D411" t="inlineStr">
        <is>
          <t>DALARNAS LÄN</t>
        </is>
      </c>
      <c r="E411" t="inlineStr">
        <is>
          <t>MORA</t>
        </is>
      </c>
      <c r="F411" t="inlineStr">
        <is>
          <t>Bergvik skog väst AB</t>
        </is>
      </c>
      <c r="G411" t="n">
        <v>5.3</v>
      </c>
      <c r="H411" t="n">
        <v>0</v>
      </c>
      <c r="I411" t="n">
        <v>0</v>
      </c>
      <c r="J411" t="n">
        <v>0</v>
      </c>
      <c r="K411" t="n">
        <v>0</v>
      </c>
      <c r="L411" t="n">
        <v>0</v>
      </c>
      <c r="M411" t="n">
        <v>0</v>
      </c>
      <c r="N411" t="n">
        <v>0</v>
      </c>
      <c r="O411" t="n">
        <v>0</v>
      </c>
      <c r="P411" t="n">
        <v>0</v>
      </c>
      <c r="Q411" t="n">
        <v>0</v>
      </c>
      <c r="R411" s="2" t="inlineStr"/>
    </row>
    <row r="412" ht="15" customHeight="1">
      <c r="A412" t="inlineStr">
        <is>
          <t>A 43540-2022</t>
        </is>
      </c>
      <c r="B412" s="1" t="n">
        <v>44837</v>
      </c>
      <c r="C412" s="1" t="n">
        <v>45695</v>
      </c>
      <c r="D412" t="inlineStr">
        <is>
          <t>DALARNAS LÄN</t>
        </is>
      </c>
      <c r="E412" t="inlineStr">
        <is>
          <t>MORA</t>
        </is>
      </c>
      <c r="G412" t="n">
        <v>10.5</v>
      </c>
      <c r="H412" t="n">
        <v>0</v>
      </c>
      <c r="I412" t="n">
        <v>0</v>
      </c>
      <c r="J412" t="n">
        <v>0</v>
      </c>
      <c r="K412" t="n">
        <v>0</v>
      </c>
      <c r="L412" t="n">
        <v>0</v>
      </c>
      <c r="M412" t="n">
        <v>0</v>
      </c>
      <c r="N412" t="n">
        <v>0</v>
      </c>
      <c r="O412" t="n">
        <v>0</v>
      </c>
      <c r="P412" t="n">
        <v>0</v>
      </c>
      <c r="Q412" t="n">
        <v>0</v>
      </c>
      <c r="R412" s="2" t="inlineStr"/>
    </row>
    <row r="413" ht="15" customHeight="1">
      <c r="A413" t="inlineStr">
        <is>
          <t>A 43641-2022</t>
        </is>
      </c>
      <c r="B413" s="1" t="n">
        <v>44837</v>
      </c>
      <c r="C413" s="1" t="n">
        <v>45695</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43826-2022</t>
        </is>
      </c>
      <c r="B414" s="1" t="n">
        <v>44838</v>
      </c>
      <c r="C414" s="1" t="n">
        <v>45695</v>
      </c>
      <c r="D414" t="inlineStr">
        <is>
          <t>DALARNAS LÄN</t>
        </is>
      </c>
      <c r="E414" t="inlineStr">
        <is>
          <t>MORA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43879-2022</t>
        </is>
      </c>
      <c r="B415" s="1" t="n">
        <v>44838</v>
      </c>
      <c r="C415" s="1" t="n">
        <v>45695</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43944-2022</t>
        </is>
      </c>
      <c r="B416" s="1" t="n">
        <v>44838</v>
      </c>
      <c r="C416" s="1" t="n">
        <v>45695</v>
      </c>
      <c r="D416" t="inlineStr">
        <is>
          <t>DALARNAS LÄN</t>
        </is>
      </c>
      <c r="E416" t="inlineStr">
        <is>
          <t>MORA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45238-2022</t>
        </is>
      </c>
      <c r="B417" s="1" t="n">
        <v>44844</v>
      </c>
      <c r="C417" s="1" t="n">
        <v>45695</v>
      </c>
      <c r="D417" t="inlineStr">
        <is>
          <t>DALARNAS LÄN</t>
        </is>
      </c>
      <c r="E417" t="inlineStr">
        <is>
          <t>MORA</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45463-2022</t>
        </is>
      </c>
      <c r="B418" s="1" t="n">
        <v>44845</v>
      </c>
      <c r="C418" s="1" t="n">
        <v>45695</v>
      </c>
      <c r="D418" t="inlineStr">
        <is>
          <t>DALARNAS LÄN</t>
        </is>
      </c>
      <c r="E418" t="inlineStr">
        <is>
          <t>MORA</t>
        </is>
      </c>
      <c r="G418" t="n">
        <v>8.4</v>
      </c>
      <c r="H418" t="n">
        <v>0</v>
      </c>
      <c r="I418" t="n">
        <v>0</v>
      </c>
      <c r="J418" t="n">
        <v>0</v>
      </c>
      <c r="K418" t="n">
        <v>0</v>
      </c>
      <c r="L418" t="n">
        <v>0</v>
      </c>
      <c r="M418" t="n">
        <v>0</v>
      </c>
      <c r="N418" t="n">
        <v>0</v>
      </c>
      <c r="O418" t="n">
        <v>0</v>
      </c>
      <c r="P418" t="n">
        <v>0</v>
      </c>
      <c r="Q418" t="n">
        <v>0</v>
      </c>
      <c r="R418" s="2" t="inlineStr"/>
    </row>
    <row r="419" ht="15" customHeight="1">
      <c r="A419" t="inlineStr">
        <is>
          <t>A 45462-2022</t>
        </is>
      </c>
      <c r="B419" s="1" t="n">
        <v>44845</v>
      </c>
      <c r="C419" s="1" t="n">
        <v>45695</v>
      </c>
      <c r="D419" t="inlineStr">
        <is>
          <t>DALARNAS LÄN</t>
        </is>
      </c>
      <c r="E419" t="inlineStr">
        <is>
          <t>MORA</t>
        </is>
      </c>
      <c r="G419" t="n">
        <v>6.9</v>
      </c>
      <c r="H419" t="n">
        <v>0</v>
      </c>
      <c r="I419" t="n">
        <v>0</v>
      </c>
      <c r="J419" t="n">
        <v>0</v>
      </c>
      <c r="K419" t="n">
        <v>0</v>
      </c>
      <c r="L419" t="n">
        <v>0</v>
      </c>
      <c r="M419" t="n">
        <v>0</v>
      </c>
      <c r="N419" t="n">
        <v>0</v>
      </c>
      <c r="O419" t="n">
        <v>0</v>
      </c>
      <c r="P419" t="n">
        <v>0</v>
      </c>
      <c r="Q419" t="n">
        <v>0</v>
      </c>
      <c r="R419" s="2" t="inlineStr"/>
    </row>
    <row r="420" ht="15" customHeight="1">
      <c r="A420" t="inlineStr">
        <is>
          <t>A 45465-2022</t>
        </is>
      </c>
      <c r="B420" s="1" t="n">
        <v>44845</v>
      </c>
      <c r="C420" s="1" t="n">
        <v>45695</v>
      </c>
      <c r="D420" t="inlineStr">
        <is>
          <t>DALARNAS LÄN</t>
        </is>
      </c>
      <c r="E420" t="inlineStr">
        <is>
          <t>MORA</t>
        </is>
      </c>
      <c r="G420" t="n">
        <v>10.6</v>
      </c>
      <c r="H420" t="n">
        <v>0</v>
      </c>
      <c r="I420" t="n">
        <v>0</v>
      </c>
      <c r="J420" t="n">
        <v>0</v>
      </c>
      <c r="K420" t="n">
        <v>0</v>
      </c>
      <c r="L420" t="n">
        <v>0</v>
      </c>
      <c r="M420" t="n">
        <v>0</v>
      </c>
      <c r="N420" t="n">
        <v>0</v>
      </c>
      <c r="O420" t="n">
        <v>0</v>
      </c>
      <c r="P420" t="n">
        <v>0</v>
      </c>
      <c r="Q420" t="n">
        <v>0</v>
      </c>
      <c r="R420" s="2" t="inlineStr"/>
    </row>
    <row r="421" ht="15" customHeight="1">
      <c r="A421" t="inlineStr">
        <is>
          <t>A 46188-2022</t>
        </is>
      </c>
      <c r="B421" s="1" t="n">
        <v>44847</v>
      </c>
      <c r="C421" s="1" t="n">
        <v>45695</v>
      </c>
      <c r="D421" t="inlineStr">
        <is>
          <t>DALARNAS LÄN</t>
        </is>
      </c>
      <c r="E421" t="inlineStr">
        <is>
          <t>MORA</t>
        </is>
      </c>
      <c r="G421" t="n">
        <v>1.8</v>
      </c>
      <c r="H421" t="n">
        <v>0</v>
      </c>
      <c r="I421" t="n">
        <v>0</v>
      </c>
      <c r="J421" t="n">
        <v>0</v>
      </c>
      <c r="K421" t="n">
        <v>0</v>
      </c>
      <c r="L421" t="n">
        <v>0</v>
      </c>
      <c r="M421" t="n">
        <v>0</v>
      </c>
      <c r="N421" t="n">
        <v>0</v>
      </c>
      <c r="O421" t="n">
        <v>0</v>
      </c>
      <c r="P421" t="n">
        <v>0</v>
      </c>
      <c r="Q421" t="n">
        <v>0</v>
      </c>
      <c r="R421" s="2" t="inlineStr"/>
    </row>
    <row r="422" ht="15" customHeight="1">
      <c r="A422" t="inlineStr">
        <is>
          <t>A 46402-2022</t>
        </is>
      </c>
      <c r="B422" s="1" t="n">
        <v>44848</v>
      </c>
      <c r="C422" s="1" t="n">
        <v>45695</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46801-2022</t>
        </is>
      </c>
      <c r="B423" s="1" t="n">
        <v>44851</v>
      </c>
      <c r="C423" s="1" t="n">
        <v>45695</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47143-2022</t>
        </is>
      </c>
      <c r="B424" s="1" t="n">
        <v>44852</v>
      </c>
      <c r="C424" s="1" t="n">
        <v>45695</v>
      </c>
      <c r="D424" t="inlineStr">
        <is>
          <t>DALARNAS LÄN</t>
        </is>
      </c>
      <c r="E424" t="inlineStr">
        <is>
          <t>MORA</t>
        </is>
      </c>
      <c r="G424" t="n">
        <v>3.9</v>
      </c>
      <c r="H424" t="n">
        <v>0</v>
      </c>
      <c r="I424" t="n">
        <v>0</v>
      </c>
      <c r="J424" t="n">
        <v>0</v>
      </c>
      <c r="K424" t="n">
        <v>0</v>
      </c>
      <c r="L424" t="n">
        <v>0</v>
      </c>
      <c r="M424" t="n">
        <v>0</v>
      </c>
      <c r="N424" t="n">
        <v>0</v>
      </c>
      <c r="O424" t="n">
        <v>0</v>
      </c>
      <c r="P424" t="n">
        <v>0</v>
      </c>
      <c r="Q424" t="n">
        <v>0</v>
      </c>
      <c r="R424" s="2" t="inlineStr"/>
    </row>
    <row r="425" ht="15" customHeight="1">
      <c r="A425" t="inlineStr">
        <is>
          <t>A 47429-2022</t>
        </is>
      </c>
      <c r="B425" s="1" t="n">
        <v>44853</v>
      </c>
      <c r="C425" s="1" t="n">
        <v>45695</v>
      </c>
      <c r="D425" t="inlineStr">
        <is>
          <t>DALARNAS LÄN</t>
        </is>
      </c>
      <c r="E425" t="inlineStr">
        <is>
          <t>MORA</t>
        </is>
      </c>
      <c r="G425" t="n">
        <v>3</v>
      </c>
      <c r="H425" t="n">
        <v>0</v>
      </c>
      <c r="I425" t="n">
        <v>0</v>
      </c>
      <c r="J425" t="n">
        <v>0</v>
      </c>
      <c r="K425" t="n">
        <v>0</v>
      </c>
      <c r="L425" t="n">
        <v>0</v>
      </c>
      <c r="M425" t="n">
        <v>0</v>
      </c>
      <c r="N425" t="n">
        <v>0</v>
      </c>
      <c r="O425" t="n">
        <v>0</v>
      </c>
      <c r="P425" t="n">
        <v>0</v>
      </c>
      <c r="Q425" t="n">
        <v>0</v>
      </c>
      <c r="R425" s="2" t="inlineStr"/>
    </row>
    <row r="426" ht="15" customHeight="1">
      <c r="A426" t="inlineStr">
        <is>
          <t>A 48383-2022</t>
        </is>
      </c>
      <c r="B426" s="1" t="n">
        <v>44858</v>
      </c>
      <c r="C426" s="1" t="n">
        <v>45695</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48376-2022</t>
        </is>
      </c>
      <c r="B427" s="1" t="n">
        <v>44858</v>
      </c>
      <c r="C427" s="1" t="n">
        <v>45695</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48456-2022</t>
        </is>
      </c>
      <c r="B428" s="1" t="n">
        <v>44858</v>
      </c>
      <c r="C428" s="1" t="n">
        <v>45695</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48570-2022</t>
        </is>
      </c>
      <c r="B429" s="1" t="n">
        <v>44859</v>
      </c>
      <c r="C429" s="1" t="n">
        <v>45695</v>
      </c>
      <c r="D429" t="inlineStr">
        <is>
          <t>DALARNAS LÄN</t>
        </is>
      </c>
      <c r="E429" t="inlineStr">
        <is>
          <t>MORA</t>
        </is>
      </c>
      <c r="G429" t="n">
        <v>6.2</v>
      </c>
      <c r="H429" t="n">
        <v>0</v>
      </c>
      <c r="I429" t="n">
        <v>0</v>
      </c>
      <c r="J429" t="n">
        <v>0</v>
      </c>
      <c r="K429" t="n">
        <v>0</v>
      </c>
      <c r="L429" t="n">
        <v>0</v>
      </c>
      <c r="M429" t="n">
        <v>0</v>
      </c>
      <c r="N429" t="n">
        <v>0</v>
      </c>
      <c r="O429" t="n">
        <v>0</v>
      </c>
      <c r="P429" t="n">
        <v>0</v>
      </c>
      <c r="Q429" t="n">
        <v>0</v>
      </c>
      <c r="R429" s="2" t="inlineStr"/>
    </row>
    <row r="430" ht="15" customHeight="1">
      <c r="A430" t="inlineStr">
        <is>
          <t>A 48728-2022</t>
        </is>
      </c>
      <c r="B430" s="1" t="n">
        <v>44859</v>
      </c>
      <c r="C430" s="1" t="n">
        <v>45695</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49257-2022</t>
        </is>
      </c>
      <c r="B431" s="1" t="n">
        <v>44861</v>
      </c>
      <c r="C431" s="1" t="n">
        <v>45695</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50056-2022</t>
        </is>
      </c>
      <c r="B432" s="1" t="n">
        <v>44865</v>
      </c>
      <c r="C432" s="1" t="n">
        <v>45695</v>
      </c>
      <c r="D432" t="inlineStr">
        <is>
          <t>DALARNAS LÄN</t>
        </is>
      </c>
      <c r="E432" t="inlineStr">
        <is>
          <t>MORA</t>
        </is>
      </c>
      <c r="G432" t="n">
        <v>1.2</v>
      </c>
      <c r="H432" t="n">
        <v>0</v>
      </c>
      <c r="I432" t="n">
        <v>0</v>
      </c>
      <c r="J432" t="n">
        <v>0</v>
      </c>
      <c r="K432" t="n">
        <v>0</v>
      </c>
      <c r="L432" t="n">
        <v>0</v>
      </c>
      <c r="M432" t="n">
        <v>0</v>
      </c>
      <c r="N432" t="n">
        <v>0</v>
      </c>
      <c r="O432" t="n">
        <v>0</v>
      </c>
      <c r="P432" t="n">
        <v>0</v>
      </c>
      <c r="Q432" t="n">
        <v>0</v>
      </c>
      <c r="R432" s="2" t="inlineStr"/>
    </row>
    <row r="433" ht="15" customHeight="1">
      <c r="A433" t="inlineStr">
        <is>
          <t>A 50719-2022</t>
        </is>
      </c>
      <c r="B433" s="1" t="n">
        <v>44867</v>
      </c>
      <c r="C433" s="1" t="n">
        <v>45695</v>
      </c>
      <c r="D433" t="inlineStr">
        <is>
          <t>DALARNAS LÄN</t>
        </is>
      </c>
      <c r="E433" t="inlineStr">
        <is>
          <t>MORA</t>
        </is>
      </c>
      <c r="G433" t="n">
        <v>2.4</v>
      </c>
      <c r="H433" t="n">
        <v>0</v>
      </c>
      <c r="I433" t="n">
        <v>0</v>
      </c>
      <c r="J433" t="n">
        <v>0</v>
      </c>
      <c r="K433" t="n">
        <v>0</v>
      </c>
      <c r="L433" t="n">
        <v>0</v>
      </c>
      <c r="M433" t="n">
        <v>0</v>
      </c>
      <c r="N433" t="n">
        <v>0</v>
      </c>
      <c r="O433" t="n">
        <v>0</v>
      </c>
      <c r="P433" t="n">
        <v>0</v>
      </c>
      <c r="Q433" t="n">
        <v>0</v>
      </c>
      <c r="R433" s="2" t="inlineStr"/>
    </row>
    <row r="434" ht="15" customHeight="1">
      <c r="A434" t="inlineStr">
        <is>
          <t>A 51444-2022</t>
        </is>
      </c>
      <c r="B434" s="1" t="n">
        <v>44869</v>
      </c>
      <c r="C434" s="1" t="n">
        <v>45695</v>
      </c>
      <c r="D434" t="inlineStr">
        <is>
          <t>DALARNAS LÄN</t>
        </is>
      </c>
      <c r="E434" t="inlineStr">
        <is>
          <t>MORA</t>
        </is>
      </c>
      <c r="G434" t="n">
        <v>24.3</v>
      </c>
      <c r="H434" t="n">
        <v>0</v>
      </c>
      <c r="I434" t="n">
        <v>0</v>
      </c>
      <c r="J434" t="n">
        <v>0</v>
      </c>
      <c r="K434" t="n">
        <v>0</v>
      </c>
      <c r="L434" t="n">
        <v>0</v>
      </c>
      <c r="M434" t="n">
        <v>0</v>
      </c>
      <c r="N434" t="n">
        <v>0</v>
      </c>
      <c r="O434" t="n">
        <v>0</v>
      </c>
      <c r="P434" t="n">
        <v>0</v>
      </c>
      <c r="Q434" t="n">
        <v>0</v>
      </c>
      <c r="R434" s="2" t="inlineStr"/>
    </row>
    <row r="435" ht="15" customHeight="1">
      <c r="A435" t="inlineStr">
        <is>
          <t>A 52525-2022</t>
        </is>
      </c>
      <c r="B435" s="1" t="n">
        <v>44874</v>
      </c>
      <c r="C435" s="1" t="n">
        <v>45695</v>
      </c>
      <c r="D435" t="inlineStr">
        <is>
          <t>DALARNAS LÄN</t>
        </is>
      </c>
      <c r="E435" t="inlineStr">
        <is>
          <t>MORA</t>
        </is>
      </c>
      <c r="F435" t="inlineStr">
        <is>
          <t>Bergvik skog öst AB</t>
        </is>
      </c>
      <c r="G435" t="n">
        <v>0.9</v>
      </c>
      <c r="H435" t="n">
        <v>0</v>
      </c>
      <c r="I435" t="n">
        <v>0</v>
      </c>
      <c r="J435" t="n">
        <v>0</v>
      </c>
      <c r="K435" t="n">
        <v>0</v>
      </c>
      <c r="L435" t="n">
        <v>0</v>
      </c>
      <c r="M435" t="n">
        <v>0</v>
      </c>
      <c r="N435" t="n">
        <v>0</v>
      </c>
      <c r="O435" t="n">
        <v>0</v>
      </c>
      <c r="P435" t="n">
        <v>0</v>
      </c>
      <c r="Q435" t="n">
        <v>0</v>
      </c>
      <c r="R435" s="2" t="inlineStr"/>
    </row>
    <row r="436" ht="15" customHeight="1">
      <c r="A436" t="inlineStr">
        <is>
          <t>A 52557-2022</t>
        </is>
      </c>
      <c r="B436" s="1" t="n">
        <v>44874</v>
      </c>
      <c r="C436" s="1" t="n">
        <v>45695</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52845-2022</t>
        </is>
      </c>
      <c r="B437" s="1" t="n">
        <v>44875</v>
      </c>
      <c r="C437" s="1" t="n">
        <v>45695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53214-2022</t>
        </is>
      </c>
      <c r="B438" s="1" t="n">
        <v>44876</v>
      </c>
      <c r="C438" s="1" t="n">
        <v>45695</v>
      </c>
      <c r="D438" t="inlineStr">
        <is>
          <t>DALARNAS LÄN</t>
        </is>
      </c>
      <c r="E438" t="inlineStr">
        <is>
          <t>MORA</t>
        </is>
      </c>
      <c r="G438" t="n">
        <v>10.6</v>
      </c>
      <c r="H438" t="n">
        <v>0</v>
      </c>
      <c r="I438" t="n">
        <v>0</v>
      </c>
      <c r="J438" t="n">
        <v>0</v>
      </c>
      <c r="K438" t="n">
        <v>0</v>
      </c>
      <c r="L438" t="n">
        <v>0</v>
      </c>
      <c r="M438" t="n">
        <v>0</v>
      </c>
      <c r="N438" t="n">
        <v>0</v>
      </c>
      <c r="O438" t="n">
        <v>0</v>
      </c>
      <c r="P438" t="n">
        <v>0</v>
      </c>
      <c r="Q438" t="n">
        <v>0</v>
      </c>
      <c r="R438" s="2" t="inlineStr"/>
    </row>
    <row r="439" ht="15" customHeight="1">
      <c r="A439" t="inlineStr">
        <is>
          <t>A 54409-2022</t>
        </is>
      </c>
      <c r="B439" s="1" t="n">
        <v>44882</v>
      </c>
      <c r="C439" s="1" t="n">
        <v>45695</v>
      </c>
      <c r="D439" t="inlineStr">
        <is>
          <t>DALARNAS LÄN</t>
        </is>
      </c>
      <c r="E439" t="inlineStr">
        <is>
          <t>MORA</t>
        </is>
      </c>
      <c r="F439" t="inlineStr">
        <is>
          <t>Bergvik skog väst AB</t>
        </is>
      </c>
      <c r="G439" t="n">
        <v>2</v>
      </c>
      <c r="H439" t="n">
        <v>0</v>
      </c>
      <c r="I439" t="n">
        <v>0</v>
      </c>
      <c r="J439" t="n">
        <v>0</v>
      </c>
      <c r="K439" t="n">
        <v>0</v>
      </c>
      <c r="L439" t="n">
        <v>0</v>
      </c>
      <c r="M439" t="n">
        <v>0</v>
      </c>
      <c r="N439" t="n">
        <v>0</v>
      </c>
      <c r="O439" t="n">
        <v>0</v>
      </c>
      <c r="P439" t="n">
        <v>0</v>
      </c>
      <c r="Q439" t="n">
        <v>0</v>
      </c>
      <c r="R439" s="2" t="inlineStr"/>
    </row>
    <row r="440" ht="15" customHeight="1">
      <c r="A440" t="inlineStr">
        <is>
          <t>A 54739-2022</t>
        </is>
      </c>
      <c r="B440" s="1" t="n">
        <v>44883</v>
      </c>
      <c r="C440" s="1" t="n">
        <v>45695</v>
      </c>
      <c r="D440" t="inlineStr">
        <is>
          <t>DALARNAS LÄN</t>
        </is>
      </c>
      <c r="E440" t="inlineStr">
        <is>
          <t>MORA</t>
        </is>
      </c>
      <c r="G440" t="n">
        <v>0.8</v>
      </c>
      <c r="H440" t="n">
        <v>0</v>
      </c>
      <c r="I440" t="n">
        <v>0</v>
      </c>
      <c r="J440" t="n">
        <v>0</v>
      </c>
      <c r="K440" t="n">
        <v>0</v>
      </c>
      <c r="L440" t="n">
        <v>0</v>
      </c>
      <c r="M440" t="n">
        <v>0</v>
      </c>
      <c r="N440" t="n">
        <v>0</v>
      </c>
      <c r="O440" t="n">
        <v>0</v>
      </c>
      <c r="P440" t="n">
        <v>0</v>
      </c>
      <c r="Q440" t="n">
        <v>0</v>
      </c>
      <c r="R440" s="2" t="inlineStr"/>
    </row>
    <row r="441" ht="15" customHeight="1">
      <c r="A441" t="inlineStr">
        <is>
          <t>A 55010-2022</t>
        </is>
      </c>
      <c r="B441" s="1" t="n">
        <v>44886</v>
      </c>
      <c r="C441" s="1" t="n">
        <v>45695</v>
      </c>
      <c r="D441" t="inlineStr">
        <is>
          <t>DALARNAS LÄN</t>
        </is>
      </c>
      <c r="E441" t="inlineStr">
        <is>
          <t>MORA</t>
        </is>
      </c>
      <c r="G441" t="n">
        <v>2.2</v>
      </c>
      <c r="H441" t="n">
        <v>0</v>
      </c>
      <c r="I441" t="n">
        <v>0</v>
      </c>
      <c r="J441" t="n">
        <v>0</v>
      </c>
      <c r="K441" t="n">
        <v>0</v>
      </c>
      <c r="L441" t="n">
        <v>0</v>
      </c>
      <c r="M441" t="n">
        <v>0</v>
      </c>
      <c r="N441" t="n">
        <v>0</v>
      </c>
      <c r="O441" t="n">
        <v>0</v>
      </c>
      <c r="P441" t="n">
        <v>0</v>
      </c>
      <c r="Q441" t="n">
        <v>0</v>
      </c>
      <c r="R441" s="2" t="inlineStr"/>
    </row>
    <row r="442" ht="15" customHeight="1">
      <c r="A442" t="inlineStr">
        <is>
          <t>A 55051-2022</t>
        </is>
      </c>
      <c r="B442" s="1" t="n">
        <v>44886</v>
      </c>
      <c r="C442" s="1" t="n">
        <v>45695</v>
      </c>
      <c r="D442" t="inlineStr">
        <is>
          <t>DALARNAS LÄN</t>
        </is>
      </c>
      <c r="E442" t="inlineStr">
        <is>
          <t>MORA</t>
        </is>
      </c>
      <c r="G442" t="n">
        <v>2.5</v>
      </c>
      <c r="H442" t="n">
        <v>0</v>
      </c>
      <c r="I442" t="n">
        <v>0</v>
      </c>
      <c r="J442" t="n">
        <v>0</v>
      </c>
      <c r="K442" t="n">
        <v>0</v>
      </c>
      <c r="L442" t="n">
        <v>0</v>
      </c>
      <c r="M442" t="n">
        <v>0</v>
      </c>
      <c r="N442" t="n">
        <v>0</v>
      </c>
      <c r="O442" t="n">
        <v>0</v>
      </c>
      <c r="P442" t="n">
        <v>0</v>
      </c>
      <c r="Q442" t="n">
        <v>0</v>
      </c>
      <c r="R442" s="2" t="inlineStr"/>
    </row>
    <row r="443" ht="15" customHeight="1">
      <c r="A443" t="inlineStr">
        <is>
          <t>A 55106-2022</t>
        </is>
      </c>
      <c r="B443" s="1" t="n">
        <v>44886</v>
      </c>
      <c r="C443" s="1" t="n">
        <v>45695</v>
      </c>
      <c r="D443" t="inlineStr">
        <is>
          <t>DALARNAS LÄN</t>
        </is>
      </c>
      <c r="E443" t="inlineStr">
        <is>
          <t>MORA</t>
        </is>
      </c>
      <c r="G443" t="n">
        <v>7.7</v>
      </c>
      <c r="H443" t="n">
        <v>0</v>
      </c>
      <c r="I443" t="n">
        <v>0</v>
      </c>
      <c r="J443" t="n">
        <v>0</v>
      </c>
      <c r="K443" t="n">
        <v>0</v>
      </c>
      <c r="L443" t="n">
        <v>0</v>
      </c>
      <c r="M443" t="n">
        <v>0</v>
      </c>
      <c r="N443" t="n">
        <v>0</v>
      </c>
      <c r="O443" t="n">
        <v>0</v>
      </c>
      <c r="P443" t="n">
        <v>0</v>
      </c>
      <c r="Q443" t="n">
        <v>0</v>
      </c>
      <c r="R443" s="2" t="inlineStr"/>
    </row>
    <row r="444" ht="15" customHeight="1">
      <c r="A444" t="inlineStr">
        <is>
          <t>A 55077-2022</t>
        </is>
      </c>
      <c r="B444" s="1" t="n">
        <v>44886</v>
      </c>
      <c r="C444" s="1" t="n">
        <v>45695</v>
      </c>
      <c r="D444" t="inlineStr">
        <is>
          <t>DALARNAS LÄN</t>
        </is>
      </c>
      <c r="E444" t="inlineStr">
        <is>
          <t>MORA</t>
        </is>
      </c>
      <c r="G444" t="n">
        <v>2.9</v>
      </c>
      <c r="H444" t="n">
        <v>0</v>
      </c>
      <c r="I444" t="n">
        <v>0</v>
      </c>
      <c r="J444" t="n">
        <v>0</v>
      </c>
      <c r="K444" t="n">
        <v>0</v>
      </c>
      <c r="L444" t="n">
        <v>0</v>
      </c>
      <c r="M444" t="n">
        <v>0</v>
      </c>
      <c r="N444" t="n">
        <v>0</v>
      </c>
      <c r="O444" t="n">
        <v>0</v>
      </c>
      <c r="P444" t="n">
        <v>0</v>
      </c>
      <c r="Q444" t="n">
        <v>0</v>
      </c>
      <c r="R444" s="2" t="inlineStr"/>
    </row>
    <row r="445" ht="15" customHeight="1">
      <c r="A445" t="inlineStr">
        <is>
          <t>A 55331-2022</t>
        </is>
      </c>
      <c r="B445" s="1" t="n">
        <v>44887</v>
      </c>
      <c r="C445" s="1" t="n">
        <v>45695</v>
      </c>
      <c r="D445" t="inlineStr">
        <is>
          <t>DALARNAS LÄN</t>
        </is>
      </c>
      <c r="E445" t="inlineStr">
        <is>
          <t>MORA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55356-2022</t>
        </is>
      </c>
      <c r="B446" s="1" t="n">
        <v>44887</v>
      </c>
      <c r="C446" s="1" t="n">
        <v>45695</v>
      </c>
      <c r="D446" t="inlineStr">
        <is>
          <t>DALARNAS LÄN</t>
        </is>
      </c>
      <c r="E446" t="inlineStr">
        <is>
          <t>MORA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56939-2022</t>
        </is>
      </c>
      <c r="B447" s="1" t="n">
        <v>44888</v>
      </c>
      <c r="C447" s="1" t="n">
        <v>45695</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55993-2022</t>
        </is>
      </c>
      <c r="B448" s="1" t="n">
        <v>44889</v>
      </c>
      <c r="C448" s="1" t="n">
        <v>45695</v>
      </c>
      <c r="D448" t="inlineStr">
        <is>
          <t>DALARNAS LÄN</t>
        </is>
      </c>
      <c r="E448" t="inlineStr">
        <is>
          <t>MORA</t>
        </is>
      </c>
      <c r="G448" t="n">
        <v>7.7</v>
      </c>
      <c r="H448" t="n">
        <v>0</v>
      </c>
      <c r="I448" t="n">
        <v>0</v>
      </c>
      <c r="J448" t="n">
        <v>0</v>
      </c>
      <c r="K448" t="n">
        <v>0</v>
      </c>
      <c r="L448" t="n">
        <v>0</v>
      </c>
      <c r="M448" t="n">
        <v>0</v>
      </c>
      <c r="N448" t="n">
        <v>0</v>
      </c>
      <c r="O448" t="n">
        <v>0</v>
      </c>
      <c r="P448" t="n">
        <v>0</v>
      </c>
      <c r="Q448" t="n">
        <v>0</v>
      </c>
      <c r="R448" s="2" t="inlineStr"/>
    </row>
    <row r="449" ht="15" customHeight="1">
      <c r="A449" t="inlineStr">
        <is>
          <t>A 55925-2022</t>
        </is>
      </c>
      <c r="B449" s="1" t="n">
        <v>44889</v>
      </c>
      <c r="C449" s="1" t="n">
        <v>45695</v>
      </c>
      <c r="D449" t="inlineStr">
        <is>
          <t>DALARNAS LÄN</t>
        </is>
      </c>
      <c r="E449" t="inlineStr">
        <is>
          <t>MORA</t>
        </is>
      </c>
      <c r="F449" t="inlineStr">
        <is>
          <t>Allmännings- och besparingsskogar</t>
        </is>
      </c>
      <c r="G449" t="n">
        <v>15.6</v>
      </c>
      <c r="H449" t="n">
        <v>0</v>
      </c>
      <c r="I449" t="n">
        <v>0</v>
      </c>
      <c r="J449" t="n">
        <v>0</v>
      </c>
      <c r="K449" t="n">
        <v>0</v>
      </c>
      <c r="L449" t="n">
        <v>0</v>
      </c>
      <c r="M449" t="n">
        <v>0</v>
      </c>
      <c r="N449" t="n">
        <v>0</v>
      </c>
      <c r="O449" t="n">
        <v>0</v>
      </c>
      <c r="P449" t="n">
        <v>0</v>
      </c>
      <c r="Q449" t="n">
        <v>0</v>
      </c>
      <c r="R449" s="2" t="inlineStr"/>
    </row>
    <row r="450" ht="15" customHeight="1">
      <c r="A450" t="inlineStr">
        <is>
          <t>A 56321-2022</t>
        </is>
      </c>
      <c r="B450" s="1" t="n">
        <v>44890</v>
      </c>
      <c r="C450" s="1" t="n">
        <v>45695</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56460-2022</t>
        </is>
      </c>
      <c r="B451" s="1" t="n">
        <v>44893</v>
      </c>
      <c r="C451" s="1" t="n">
        <v>45695</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56678-2022</t>
        </is>
      </c>
      <c r="B452" s="1" t="n">
        <v>44893</v>
      </c>
      <c r="C452" s="1" t="n">
        <v>45695</v>
      </c>
      <c r="D452" t="inlineStr">
        <is>
          <t>DALARNAS LÄN</t>
        </is>
      </c>
      <c r="E452" t="inlineStr">
        <is>
          <t>MORA</t>
        </is>
      </c>
      <c r="G452" t="n">
        <v>4.7</v>
      </c>
      <c r="H452" t="n">
        <v>0</v>
      </c>
      <c r="I452" t="n">
        <v>0</v>
      </c>
      <c r="J452" t="n">
        <v>0</v>
      </c>
      <c r="K452" t="n">
        <v>0</v>
      </c>
      <c r="L452" t="n">
        <v>0</v>
      </c>
      <c r="M452" t="n">
        <v>0</v>
      </c>
      <c r="N452" t="n">
        <v>0</v>
      </c>
      <c r="O452" t="n">
        <v>0</v>
      </c>
      <c r="P452" t="n">
        <v>0</v>
      </c>
      <c r="Q452" t="n">
        <v>0</v>
      </c>
      <c r="R452" s="2" t="inlineStr"/>
    </row>
    <row r="453" ht="15" customHeight="1">
      <c r="A453" t="inlineStr">
        <is>
          <t>A 56770-2022</t>
        </is>
      </c>
      <c r="B453" s="1" t="n">
        <v>44894</v>
      </c>
      <c r="C453" s="1" t="n">
        <v>45695</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56865-2022</t>
        </is>
      </c>
      <c r="B454" s="1" t="n">
        <v>44894</v>
      </c>
      <c r="C454" s="1" t="n">
        <v>45695</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57475-2022</t>
        </is>
      </c>
      <c r="B455" s="1" t="n">
        <v>44896</v>
      </c>
      <c r="C455" s="1" t="n">
        <v>45695</v>
      </c>
      <c r="D455" t="inlineStr">
        <is>
          <t>DALARNAS LÄN</t>
        </is>
      </c>
      <c r="E455" t="inlineStr">
        <is>
          <t>MORA</t>
        </is>
      </c>
      <c r="G455" t="n">
        <v>5.7</v>
      </c>
      <c r="H455" t="n">
        <v>0</v>
      </c>
      <c r="I455" t="n">
        <v>0</v>
      </c>
      <c r="J455" t="n">
        <v>0</v>
      </c>
      <c r="K455" t="n">
        <v>0</v>
      </c>
      <c r="L455" t="n">
        <v>0</v>
      </c>
      <c r="M455" t="n">
        <v>0</v>
      </c>
      <c r="N455" t="n">
        <v>0</v>
      </c>
      <c r="O455" t="n">
        <v>0</v>
      </c>
      <c r="P455" t="n">
        <v>0</v>
      </c>
      <c r="Q455" t="n">
        <v>0</v>
      </c>
      <c r="R455" s="2" t="inlineStr"/>
    </row>
    <row r="456" ht="15" customHeight="1">
      <c r="A456" t="inlineStr">
        <is>
          <t>A 57797-2022</t>
        </is>
      </c>
      <c r="B456" s="1" t="n">
        <v>44897</v>
      </c>
      <c r="C456" s="1" t="n">
        <v>45695</v>
      </c>
      <c r="D456" t="inlineStr">
        <is>
          <t>DALARNAS LÄN</t>
        </is>
      </c>
      <c r="E456" t="inlineStr">
        <is>
          <t>MORA</t>
        </is>
      </c>
      <c r="G456" t="n">
        <v>3.1</v>
      </c>
      <c r="H456" t="n">
        <v>0</v>
      </c>
      <c r="I456" t="n">
        <v>0</v>
      </c>
      <c r="J456" t="n">
        <v>0</v>
      </c>
      <c r="K456" t="n">
        <v>0</v>
      </c>
      <c r="L456" t="n">
        <v>0</v>
      </c>
      <c r="M456" t="n">
        <v>0</v>
      </c>
      <c r="N456" t="n">
        <v>0</v>
      </c>
      <c r="O456" t="n">
        <v>0</v>
      </c>
      <c r="P456" t="n">
        <v>0</v>
      </c>
      <c r="Q456" t="n">
        <v>0</v>
      </c>
      <c r="R456" s="2" t="inlineStr"/>
    </row>
    <row r="457" ht="15" customHeight="1">
      <c r="A457" t="inlineStr">
        <is>
          <t>A 57859-2022</t>
        </is>
      </c>
      <c r="B457" s="1" t="n">
        <v>44898</v>
      </c>
      <c r="C457" s="1" t="n">
        <v>45695</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57903-2022</t>
        </is>
      </c>
      <c r="B458" s="1" t="n">
        <v>44900</v>
      </c>
      <c r="C458" s="1" t="n">
        <v>45695</v>
      </c>
      <c r="D458" t="inlineStr">
        <is>
          <t>DALARNAS LÄN</t>
        </is>
      </c>
      <c r="E458" t="inlineStr">
        <is>
          <t>MORA</t>
        </is>
      </c>
      <c r="G458" t="n">
        <v>4.3</v>
      </c>
      <c r="H458" t="n">
        <v>0</v>
      </c>
      <c r="I458" t="n">
        <v>0</v>
      </c>
      <c r="J458" t="n">
        <v>0</v>
      </c>
      <c r="K458" t="n">
        <v>0</v>
      </c>
      <c r="L458" t="n">
        <v>0</v>
      </c>
      <c r="M458" t="n">
        <v>0</v>
      </c>
      <c r="N458" t="n">
        <v>0</v>
      </c>
      <c r="O458" t="n">
        <v>0</v>
      </c>
      <c r="P458" t="n">
        <v>0</v>
      </c>
      <c r="Q458" t="n">
        <v>0</v>
      </c>
      <c r="R458" s="2" t="inlineStr"/>
    </row>
    <row r="459" ht="15" customHeight="1">
      <c r="A459" t="inlineStr">
        <is>
          <t>A 58116-2022</t>
        </is>
      </c>
      <c r="B459" s="1" t="n">
        <v>44900</v>
      </c>
      <c r="C459" s="1" t="n">
        <v>45695</v>
      </c>
      <c r="D459" t="inlineStr">
        <is>
          <t>DALARNAS LÄN</t>
        </is>
      </c>
      <c r="E459" t="inlineStr">
        <is>
          <t>MORA</t>
        </is>
      </c>
      <c r="G459" t="n">
        <v>2.9</v>
      </c>
      <c r="H459" t="n">
        <v>0</v>
      </c>
      <c r="I459" t="n">
        <v>0</v>
      </c>
      <c r="J459" t="n">
        <v>0</v>
      </c>
      <c r="K459" t="n">
        <v>0</v>
      </c>
      <c r="L459" t="n">
        <v>0</v>
      </c>
      <c r="M459" t="n">
        <v>0</v>
      </c>
      <c r="N459" t="n">
        <v>0</v>
      </c>
      <c r="O459" t="n">
        <v>0</v>
      </c>
      <c r="P459" t="n">
        <v>0</v>
      </c>
      <c r="Q459" t="n">
        <v>0</v>
      </c>
      <c r="R459" s="2" t="inlineStr"/>
    </row>
    <row r="460" ht="15" customHeight="1">
      <c r="A460" t="inlineStr">
        <is>
          <t>A 58357-2022</t>
        </is>
      </c>
      <c r="B460" s="1" t="n">
        <v>44901</v>
      </c>
      <c r="C460" s="1" t="n">
        <v>45695</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58525-2022</t>
        </is>
      </c>
      <c r="B461" s="1" t="n">
        <v>44902</v>
      </c>
      <c r="C461" s="1" t="n">
        <v>45695</v>
      </c>
      <c r="D461" t="inlineStr">
        <is>
          <t>DALARNAS LÄN</t>
        </is>
      </c>
      <c r="E461" t="inlineStr">
        <is>
          <t>MORA</t>
        </is>
      </c>
      <c r="G461" t="n">
        <v>4.8</v>
      </c>
      <c r="H461" t="n">
        <v>0</v>
      </c>
      <c r="I461" t="n">
        <v>0</v>
      </c>
      <c r="J461" t="n">
        <v>0</v>
      </c>
      <c r="K461" t="n">
        <v>0</v>
      </c>
      <c r="L461" t="n">
        <v>0</v>
      </c>
      <c r="M461" t="n">
        <v>0</v>
      </c>
      <c r="N461" t="n">
        <v>0</v>
      </c>
      <c r="O461" t="n">
        <v>0</v>
      </c>
      <c r="P461" t="n">
        <v>0</v>
      </c>
      <c r="Q461" t="n">
        <v>0</v>
      </c>
      <c r="R461" s="2" t="inlineStr"/>
    </row>
    <row r="462" ht="15" customHeight="1">
      <c r="A462" t="inlineStr">
        <is>
          <t>A 58958-2022</t>
        </is>
      </c>
      <c r="B462" s="1" t="n">
        <v>44903</v>
      </c>
      <c r="C462" s="1" t="n">
        <v>45695</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59406-2022</t>
        </is>
      </c>
      <c r="B463" s="1" t="n">
        <v>44906</v>
      </c>
      <c r="C463" s="1" t="n">
        <v>45695</v>
      </c>
      <c r="D463" t="inlineStr">
        <is>
          <t>DALARNAS LÄN</t>
        </is>
      </c>
      <c r="E463" t="inlineStr">
        <is>
          <t>MORA</t>
        </is>
      </c>
      <c r="G463" t="n">
        <v>16.3</v>
      </c>
      <c r="H463" t="n">
        <v>0</v>
      </c>
      <c r="I463" t="n">
        <v>0</v>
      </c>
      <c r="J463" t="n">
        <v>0</v>
      </c>
      <c r="K463" t="n">
        <v>0</v>
      </c>
      <c r="L463" t="n">
        <v>0</v>
      </c>
      <c r="M463" t="n">
        <v>0</v>
      </c>
      <c r="N463" t="n">
        <v>0</v>
      </c>
      <c r="O463" t="n">
        <v>0</v>
      </c>
      <c r="P463" t="n">
        <v>0</v>
      </c>
      <c r="Q463" t="n">
        <v>0</v>
      </c>
      <c r="R463" s="2" t="inlineStr"/>
    </row>
    <row r="464" ht="15" customHeight="1">
      <c r="A464" t="inlineStr">
        <is>
          <t>A 59419-2022</t>
        </is>
      </c>
      <c r="B464" s="1" t="n">
        <v>44907</v>
      </c>
      <c r="C464" s="1" t="n">
        <v>45695</v>
      </c>
      <c r="D464" t="inlineStr">
        <is>
          <t>DALARNAS LÄN</t>
        </is>
      </c>
      <c r="E464" t="inlineStr">
        <is>
          <t>MORA</t>
        </is>
      </c>
      <c r="G464" t="n">
        <v>9.1</v>
      </c>
      <c r="H464" t="n">
        <v>0</v>
      </c>
      <c r="I464" t="n">
        <v>0</v>
      </c>
      <c r="J464" t="n">
        <v>0</v>
      </c>
      <c r="K464" t="n">
        <v>0</v>
      </c>
      <c r="L464" t="n">
        <v>0</v>
      </c>
      <c r="M464" t="n">
        <v>0</v>
      </c>
      <c r="N464" t="n">
        <v>0</v>
      </c>
      <c r="O464" t="n">
        <v>0</v>
      </c>
      <c r="P464" t="n">
        <v>0</v>
      </c>
      <c r="Q464" t="n">
        <v>0</v>
      </c>
      <c r="R464" s="2" t="inlineStr"/>
    </row>
    <row r="465" ht="15" customHeight="1">
      <c r="A465" t="inlineStr">
        <is>
          <t>A 59448-2022</t>
        </is>
      </c>
      <c r="B465" s="1" t="n">
        <v>44907</v>
      </c>
      <c r="C465" s="1" t="n">
        <v>45695</v>
      </c>
      <c r="D465" t="inlineStr">
        <is>
          <t>DALARNAS LÄN</t>
        </is>
      </c>
      <c r="E465" t="inlineStr">
        <is>
          <t>MORA</t>
        </is>
      </c>
      <c r="G465" t="n">
        <v>35.7</v>
      </c>
      <c r="H465" t="n">
        <v>0</v>
      </c>
      <c r="I465" t="n">
        <v>0</v>
      </c>
      <c r="J465" t="n">
        <v>0</v>
      </c>
      <c r="K465" t="n">
        <v>0</v>
      </c>
      <c r="L465" t="n">
        <v>0</v>
      </c>
      <c r="M465" t="n">
        <v>0</v>
      </c>
      <c r="N465" t="n">
        <v>0</v>
      </c>
      <c r="O465" t="n">
        <v>0</v>
      </c>
      <c r="P465" t="n">
        <v>0</v>
      </c>
      <c r="Q465" t="n">
        <v>0</v>
      </c>
      <c r="R465" s="2" t="inlineStr"/>
    </row>
    <row r="466" ht="15" customHeight="1">
      <c r="A466" t="inlineStr">
        <is>
          <t>A 60051-2022</t>
        </is>
      </c>
      <c r="B466" s="1" t="n">
        <v>44909</v>
      </c>
      <c r="C466" s="1" t="n">
        <v>45695</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60647-2022</t>
        </is>
      </c>
      <c r="B467" s="1" t="n">
        <v>44911</v>
      </c>
      <c r="C467" s="1" t="n">
        <v>45695</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61263-2022</t>
        </is>
      </c>
      <c r="B468" s="1" t="n">
        <v>44915</v>
      </c>
      <c r="C468" s="1" t="n">
        <v>45695</v>
      </c>
      <c r="D468" t="inlineStr">
        <is>
          <t>DALARNAS LÄN</t>
        </is>
      </c>
      <c r="E468" t="inlineStr">
        <is>
          <t>MORA</t>
        </is>
      </c>
      <c r="G468" t="n">
        <v>3.2</v>
      </c>
      <c r="H468" t="n">
        <v>0</v>
      </c>
      <c r="I468" t="n">
        <v>0</v>
      </c>
      <c r="J468" t="n">
        <v>0</v>
      </c>
      <c r="K468" t="n">
        <v>0</v>
      </c>
      <c r="L468" t="n">
        <v>0</v>
      </c>
      <c r="M468" t="n">
        <v>0</v>
      </c>
      <c r="N468" t="n">
        <v>0</v>
      </c>
      <c r="O468" t="n">
        <v>0</v>
      </c>
      <c r="P468" t="n">
        <v>0</v>
      </c>
      <c r="Q468" t="n">
        <v>0</v>
      </c>
      <c r="R468" s="2" t="inlineStr"/>
    </row>
    <row r="469" ht="15" customHeight="1">
      <c r="A469" t="inlineStr">
        <is>
          <t>A 61273-2022</t>
        </is>
      </c>
      <c r="B469" s="1" t="n">
        <v>44915</v>
      </c>
      <c r="C469" s="1" t="n">
        <v>45695</v>
      </c>
      <c r="D469" t="inlineStr">
        <is>
          <t>DALARNAS LÄN</t>
        </is>
      </c>
      <c r="E469" t="inlineStr">
        <is>
          <t>MORA</t>
        </is>
      </c>
      <c r="G469" t="n">
        <v>8.4</v>
      </c>
      <c r="H469" t="n">
        <v>0</v>
      </c>
      <c r="I469" t="n">
        <v>0</v>
      </c>
      <c r="J469" t="n">
        <v>0</v>
      </c>
      <c r="K469" t="n">
        <v>0</v>
      </c>
      <c r="L469" t="n">
        <v>0</v>
      </c>
      <c r="M469" t="n">
        <v>0</v>
      </c>
      <c r="N469" t="n">
        <v>0</v>
      </c>
      <c r="O469" t="n">
        <v>0</v>
      </c>
      <c r="P469" t="n">
        <v>0</v>
      </c>
      <c r="Q469" t="n">
        <v>0</v>
      </c>
      <c r="R469" s="2" t="inlineStr"/>
    </row>
    <row r="470" ht="15" customHeight="1">
      <c r="A470" t="inlineStr">
        <is>
          <t>A 61327-2022</t>
        </is>
      </c>
      <c r="B470" s="1" t="n">
        <v>44915</v>
      </c>
      <c r="C470" s="1" t="n">
        <v>45695</v>
      </c>
      <c r="D470" t="inlineStr">
        <is>
          <t>DALARNAS LÄN</t>
        </is>
      </c>
      <c r="E470" t="inlineStr">
        <is>
          <t>MORA</t>
        </is>
      </c>
      <c r="G470" t="n">
        <v>10.1</v>
      </c>
      <c r="H470" t="n">
        <v>0</v>
      </c>
      <c r="I470" t="n">
        <v>0</v>
      </c>
      <c r="J470" t="n">
        <v>0</v>
      </c>
      <c r="K470" t="n">
        <v>0</v>
      </c>
      <c r="L470" t="n">
        <v>0</v>
      </c>
      <c r="M470" t="n">
        <v>0</v>
      </c>
      <c r="N470" t="n">
        <v>0</v>
      </c>
      <c r="O470" t="n">
        <v>0</v>
      </c>
      <c r="P470" t="n">
        <v>0</v>
      </c>
      <c r="Q470" t="n">
        <v>0</v>
      </c>
      <c r="R470" s="2" t="inlineStr"/>
    </row>
    <row r="471" ht="15" customHeight="1">
      <c r="A471" t="inlineStr">
        <is>
          <t>A 61293-2022</t>
        </is>
      </c>
      <c r="B471" s="1" t="n">
        <v>44915</v>
      </c>
      <c r="C471" s="1" t="n">
        <v>45695</v>
      </c>
      <c r="D471" t="inlineStr">
        <is>
          <t>DALARNAS LÄN</t>
        </is>
      </c>
      <c r="E471" t="inlineStr">
        <is>
          <t>MORA</t>
        </is>
      </c>
      <c r="G471" t="n">
        <v>0.3</v>
      </c>
      <c r="H471" t="n">
        <v>0</v>
      </c>
      <c r="I471" t="n">
        <v>0</v>
      </c>
      <c r="J471" t="n">
        <v>0</v>
      </c>
      <c r="K471" t="n">
        <v>0</v>
      </c>
      <c r="L471" t="n">
        <v>0</v>
      </c>
      <c r="M471" t="n">
        <v>0</v>
      </c>
      <c r="N471" t="n">
        <v>0</v>
      </c>
      <c r="O471" t="n">
        <v>0</v>
      </c>
      <c r="P471" t="n">
        <v>0</v>
      </c>
      <c r="Q471" t="n">
        <v>0</v>
      </c>
      <c r="R471" s="2" t="inlineStr"/>
    </row>
    <row r="472" ht="15" customHeight="1">
      <c r="A472" t="inlineStr">
        <is>
          <t>A 61301-2022</t>
        </is>
      </c>
      <c r="B472" s="1" t="n">
        <v>44915</v>
      </c>
      <c r="C472" s="1" t="n">
        <v>45695</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61482-2022</t>
        </is>
      </c>
      <c r="B473" s="1" t="n">
        <v>44916</v>
      </c>
      <c r="C473" s="1" t="n">
        <v>45695</v>
      </c>
      <c r="D473" t="inlineStr">
        <is>
          <t>DALARNAS LÄN</t>
        </is>
      </c>
      <c r="E473" t="inlineStr">
        <is>
          <t>MORA</t>
        </is>
      </c>
      <c r="G473" t="n">
        <v>7.4</v>
      </c>
      <c r="H473" t="n">
        <v>0</v>
      </c>
      <c r="I473" t="n">
        <v>0</v>
      </c>
      <c r="J473" t="n">
        <v>0</v>
      </c>
      <c r="K473" t="n">
        <v>0</v>
      </c>
      <c r="L473" t="n">
        <v>0</v>
      </c>
      <c r="M473" t="n">
        <v>0</v>
      </c>
      <c r="N473" t="n">
        <v>0</v>
      </c>
      <c r="O473" t="n">
        <v>0</v>
      </c>
      <c r="P473" t="n">
        <v>0</v>
      </c>
      <c r="Q473" t="n">
        <v>0</v>
      </c>
      <c r="R473" s="2" t="inlineStr"/>
    </row>
    <row r="474" ht="15" customHeight="1">
      <c r="A474" t="inlineStr">
        <is>
          <t>A 61794-2022</t>
        </is>
      </c>
      <c r="B474" s="1" t="n">
        <v>44917</v>
      </c>
      <c r="C474" s="1" t="n">
        <v>45695</v>
      </c>
      <c r="D474" t="inlineStr">
        <is>
          <t>DALARNAS LÄN</t>
        </is>
      </c>
      <c r="E474" t="inlineStr">
        <is>
          <t>MORA</t>
        </is>
      </c>
      <c r="G474" t="n">
        <v>1.8</v>
      </c>
      <c r="H474" t="n">
        <v>0</v>
      </c>
      <c r="I474" t="n">
        <v>0</v>
      </c>
      <c r="J474" t="n">
        <v>0</v>
      </c>
      <c r="K474" t="n">
        <v>0</v>
      </c>
      <c r="L474" t="n">
        <v>0</v>
      </c>
      <c r="M474" t="n">
        <v>0</v>
      </c>
      <c r="N474" t="n">
        <v>0</v>
      </c>
      <c r="O474" t="n">
        <v>0</v>
      </c>
      <c r="P474" t="n">
        <v>0</v>
      </c>
      <c r="Q474" t="n">
        <v>0</v>
      </c>
      <c r="R474" s="2" t="inlineStr"/>
    </row>
    <row r="475" ht="15" customHeight="1">
      <c r="A475" t="inlineStr">
        <is>
          <t>A 62188-2022</t>
        </is>
      </c>
      <c r="B475" s="1" t="n">
        <v>44922</v>
      </c>
      <c r="C475" s="1" t="n">
        <v>45695</v>
      </c>
      <c r="D475" t="inlineStr">
        <is>
          <t>DALARNAS LÄN</t>
        </is>
      </c>
      <c r="E475" t="inlineStr">
        <is>
          <t>MORA</t>
        </is>
      </c>
      <c r="G475" t="n">
        <v>2.3</v>
      </c>
      <c r="H475" t="n">
        <v>0</v>
      </c>
      <c r="I475" t="n">
        <v>0</v>
      </c>
      <c r="J475" t="n">
        <v>0</v>
      </c>
      <c r="K475" t="n">
        <v>0</v>
      </c>
      <c r="L475" t="n">
        <v>0</v>
      </c>
      <c r="M475" t="n">
        <v>0</v>
      </c>
      <c r="N475" t="n">
        <v>0</v>
      </c>
      <c r="O475" t="n">
        <v>0</v>
      </c>
      <c r="P475" t="n">
        <v>0</v>
      </c>
      <c r="Q475" t="n">
        <v>0</v>
      </c>
      <c r="R475" s="2" t="inlineStr"/>
    </row>
    <row r="476" ht="15" customHeight="1">
      <c r="A476" t="inlineStr">
        <is>
          <t>A 518-2023</t>
        </is>
      </c>
      <c r="B476" s="1" t="n">
        <v>44930</v>
      </c>
      <c r="C476" s="1" t="n">
        <v>45695</v>
      </c>
      <c r="D476" t="inlineStr">
        <is>
          <t>DALARNAS LÄN</t>
        </is>
      </c>
      <c r="E476" t="inlineStr">
        <is>
          <t>MORA</t>
        </is>
      </c>
      <c r="G476" t="n">
        <v>3.1</v>
      </c>
      <c r="H476" t="n">
        <v>0</v>
      </c>
      <c r="I476" t="n">
        <v>0</v>
      </c>
      <c r="J476" t="n">
        <v>0</v>
      </c>
      <c r="K476" t="n">
        <v>0</v>
      </c>
      <c r="L476" t="n">
        <v>0</v>
      </c>
      <c r="M476" t="n">
        <v>0</v>
      </c>
      <c r="N476" t="n">
        <v>0</v>
      </c>
      <c r="O476" t="n">
        <v>0</v>
      </c>
      <c r="P476" t="n">
        <v>0</v>
      </c>
      <c r="Q476" t="n">
        <v>0</v>
      </c>
      <c r="R476" s="2" t="inlineStr"/>
    </row>
    <row r="477" ht="15" customHeight="1">
      <c r="A477" t="inlineStr">
        <is>
          <t>A 1888-2023</t>
        </is>
      </c>
      <c r="B477" s="1" t="n">
        <v>44937</v>
      </c>
      <c r="C477" s="1" t="n">
        <v>45695</v>
      </c>
      <c r="D477" t="inlineStr">
        <is>
          <t>DALARNAS LÄN</t>
        </is>
      </c>
      <c r="E477" t="inlineStr">
        <is>
          <t>MORA</t>
        </is>
      </c>
      <c r="G477" t="n">
        <v>3.7</v>
      </c>
      <c r="H477" t="n">
        <v>0</v>
      </c>
      <c r="I477" t="n">
        <v>0</v>
      </c>
      <c r="J477" t="n">
        <v>0</v>
      </c>
      <c r="K477" t="n">
        <v>0</v>
      </c>
      <c r="L477" t="n">
        <v>0</v>
      </c>
      <c r="M477" t="n">
        <v>0</v>
      </c>
      <c r="N477" t="n">
        <v>0</v>
      </c>
      <c r="O477" t="n">
        <v>0</v>
      </c>
      <c r="P477" t="n">
        <v>0</v>
      </c>
      <c r="Q477" t="n">
        <v>0</v>
      </c>
      <c r="R477" s="2" t="inlineStr"/>
    </row>
    <row r="478" ht="15" customHeight="1">
      <c r="A478" t="inlineStr">
        <is>
          <t>A 1906-2023</t>
        </is>
      </c>
      <c r="B478" s="1" t="n">
        <v>44937</v>
      </c>
      <c r="C478" s="1" t="n">
        <v>45695</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1894-2023</t>
        </is>
      </c>
      <c r="B479" s="1" t="n">
        <v>44937</v>
      </c>
      <c r="C479" s="1" t="n">
        <v>45695</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1897-2023</t>
        </is>
      </c>
      <c r="B480" s="1" t="n">
        <v>44937</v>
      </c>
      <c r="C480" s="1" t="n">
        <v>45695</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2308-2023</t>
        </is>
      </c>
      <c r="B481" s="1" t="n">
        <v>44942</v>
      </c>
      <c r="C481" s="1" t="n">
        <v>45695</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2304-2023</t>
        </is>
      </c>
      <c r="B482" s="1" t="n">
        <v>44942</v>
      </c>
      <c r="C482" s="1" t="n">
        <v>45695</v>
      </c>
      <c r="D482" t="inlineStr">
        <is>
          <t>DALARNAS LÄN</t>
        </is>
      </c>
      <c r="E482" t="inlineStr">
        <is>
          <t>MORA</t>
        </is>
      </c>
      <c r="G482" t="n">
        <v>1.3</v>
      </c>
      <c r="H482" t="n">
        <v>0</v>
      </c>
      <c r="I482" t="n">
        <v>0</v>
      </c>
      <c r="J482" t="n">
        <v>0</v>
      </c>
      <c r="K482" t="n">
        <v>0</v>
      </c>
      <c r="L482" t="n">
        <v>0</v>
      </c>
      <c r="M482" t="n">
        <v>0</v>
      </c>
      <c r="N482" t="n">
        <v>0</v>
      </c>
      <c r="O482" t="n">
        <v>0</v>
      </c>
      <c r="P482" t="n">
        <v>0</v>
      </c>
      <c r="Q482" t="n">
        <v>0</v>
      </c>
      <c r="R482" s="2" t="inlineStr"/>
    </row>
    <row r="483" ht="15" customHeight="1">
      <c r="A483" t="inlineStr">
        <is>
          <t>A 2372-2023</t>
        </is>
      </c>
      <c r="B483" s="1" t="n">
        <v>44942</v>
      </c>
      <c r="C483" s="1" t="n">
        <v>45695</v>
      </c>
      <c r="D483" t="inlineStr">
        <is>
          <t>DALARNAS LÄN</t>
        </is>
      </c>
      <c r="E483" t="inlineStr">
        <is>
          <t>MORA</t>
        </is>
      </c>
      <c r="G483" t="n">
        <v>7.7</v>
      </c>
      <c r="H483" t="n">
        <v>0</v>
      </c>
      <c r="I483" t="n">
        <v>0</v>
      </c>
      <c r="J483" t="n">
        <v>0</v>
      </c>
      <c r="K483" t="n">
        <v>0</v>
      </c>
      <c r="L483" t="n">
        <v>0</v>
      </c>
      <c r="M483" t="n">
        <v>0</v>
      </c>
      <c r="N483" t="n">
        <v>0</v>
      </c>
      <c r="O483" t="n">
        <v>0</v>
      </c>
      <c r="P483" t="n">
        <v>0</v>
      </c>
      <c r="Q483" t="n">
        <v>0</v>
      </c>
      <c r="R483" s="2" t="inlineStr"/>
    </row>
    <row r="484" ht="15" customHeight="1">
      <c r="A484" t="inlineStr">
        <is>
          <t>A 2830-2023</t>
        </is>
      </c>
      <c r="B484" s="1" t="n">
        <v>44945</v>
      </c>
      <c r="C484" s="1" t="n">
        <v>45695</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3049-2023</t>
        </is>
      </c>
      <c r="B485" s="1" t="n">
        <v>44946</v>
      </c>
      <c r="C485" s="1" t="n">
        <v>45695</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3430-2023</t>
        </is>
      </c>
      <c r="B486" s="1" t="n">
        <v>44949</v>
      </c>
      <c r="C486" s="1" t="n">
        <v>45695</v>
      </c>
      <c r="D486" t="inlineStr">
        <is>
          <t>DALARNAS LÄN</t>
        </is>
      </c>
      <c r="E486" t="inlineStr">
        <is>
          <t>MORA</t>
        </is>
      </c>
      <c r="G486" t="n">
        <v>2.6</v>
      </c>
      <c r="H486" t="n">
        <v>0</v>
      </c>
      <c r="I486" t="n">
        <v>0</v>
      </c>
      <c r="J486" t="n">
        <v>0</v>
      </c>
      <c r="K486" t="n">
        <v>0</v>
      </c>
      <c r="L486" t="n">
        <v>0</v>
      </c>
      <c r="M486" t="n">
        <v>0</v>
      </c>
      <c r="N486" t="n">
        <v>0</v>
      </c>
      <c r="O486" t="n">
        <v>0</v>
      </c>
      <c r="P486" t="n">
        <v>0</v>
      </c>
      <c r="Q486" t="n">
        <v>0</v>
      </c>
      <c r="R486" s="2" t="inlineStr"/>
    </row>
    <row r="487" ht="15" customHeight="1">
      <c r="A487" t="inlineStr">
        <is>
          <t>A 4205-2023</t>
        </is>
      </c>
      <c r="B487" s="1" t="n">
        <v>44953</v>
      </c>
      <c r="C487" s="1" t="n">
        <v>45695</v>
      </c>
      <c r="D487" t="inlineStr">
        <is>
          <t>DALARNAS LÄN</t>
        </is>
      </c>
      <c r="E487" t="inlineStr">
        <is>
          <t>MORA</t>
        </is>
      </c>
      <c r="G487" t="n">
        <v>26.2</v>
      </c>
      <c r="H487" t="n">
        <v>0</v>
      </c>
      <c r="I487" t="n">
        <v>0</v>
      </c>
      <c r="J487" t="n">
        <v>0</v>
      </c>
      <c r="K487" t="n">
        <v>0</v>
      </c>
      <c r="L487" t="n">
        <v>0</v>
      </c>
      <c r="M487" t="n">
        <v>0</v>
      </c>
      <c r="N487" t="n">
        <v>0</v>
      </c>
      <c r="O487" t="n">
        <v>0</v>
      </c>
      <c r="P487" t="n">
        <v>0</v>
      </c>
      <c r="Q487" t="n">
        <v>0</v>
      </c>
      <c r="R487" s="2" t="inlineStr"/>
    </row>
    <row r="488" ht="15" customHeight="1">
      <c r="A488" t="inlineStr">
        <is>
          <t>A 4210-2023</t>
        </is>
      </c>
      <c r="B488" s="1" t="n">
        <v>44953</v>
      </c>
      <c r="C488" s="1" t="n">
        <v>45695</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4209-2023</t>
        </is>
      </c>
      <c r="B489" s="1" t="n">
        <v>44953</v>
      </c>
      <c r="C489" s="1" t="n">
        <v>45695</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4206-2023</t>
        </is>
      </c>
      <c r="B490" s="1" t="n">
        <v>44953</v>
      </c>
      <c r="C490" s="1" t="n">
        <v>45695</v>
      </c>
      <c r="D490" t="inlineStr">
        <is>
          <t>DALARNAS LÄN</t>
        </is>
      </c>
      <c r="E490" t="inlineStr">
        <is>
          <t>MORA</t>
        </is>
      </c>
      <c r="G490" t="n">
        <v>3.1</v>
      </c>
      <c r="H490" t="n">
        <v>0</v>
      </c>
      <c r="I490" t="n">
        <v>0</v>
      </c>
      <c r="J490" t="n">
        <v>0</v>
      </c>
      <c r="K490" t="n">
        <v>0</v>
      </c>
      <c r="L490" t="n">
        <v>0</v>
      </c>
      <c r="M490" t="n">
        <v>0</v>
      </c>
      <c r="N490" t="n">
        <v>0</v>
      </c>
      <c r="O490" t="n">
        <v>0</v>
      </c>
      <c r="P490" t="n">
        <v>0</v>
      </c>
      <c r="Q490" t="n">
        <v>0</v>
      </c>
      <c r="R490" s="2" t="inlineStr"/>
    </row>
    <row r="491" ht="15" customHeight="1">
      <c r="A491" t="inlineStr">
        <is>
          <t>A 4208-2023</t>
        </is>
      </c>
      <c r="B491" s="1" t="n">
        <v>44953</v>
      </c>
      <c r="C491" s="1" t="n">
        <v>45695</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4497-2023</t>
        </is>
      </c>
      <c r="B492" s="1" t="n">
        <v>44956</v>
      </c>
      <c r="C492" s="1" t="n">
        <v>45695</v>
      </c>
      <c r="D492" t="inlineStr">
        <is>
          <t>DALARNAS LÄN</t>
        </is>
      </c>
      <c r="E492" t="inlineStr">
        <is>
          <t>MORA</t>
        </is>
      </c>
      <c r="G492" t="n">
        <v>6.4</v>
      </c>
      <c r="H492" t="n">
        <v>0</v>
      </c>
      <c r="I492" t="n">
        <v>0</v>
      </c>
      <c r="J492" t="n">
        <v>0</v>
      </c>
      <c r="K492" t="n">
        <v>0</v>
      </c>
      <c r="L492" t="n">
        <v>0</v>
      </c>
      <c r="M492" t="n">
        <v>0</v>
      </c>
      <c r="N492" t="n">
        <v>0</v>
      </c>
      <c r="O492" t="n">
        <v>0</v>
      </c>
      <c r="P492" t="n">
        <v>0</v>
      </c>
      <c r="Q492" t="n">
        <v>0</v>
      </c>
      <c r="R492" s="2" t="inlineStr"/>
    </row>
    <row r="493" ht="15" customHeight="1">
      <c r="A493" t="inlineStr">
        <is>
          <t>A 4506-2023</t>
        </is>
      </c>
      <c r="B493" s="1" t="n">
        <v>44956</v>
      </c>
      <c r="C493" s="1" t="n">
        <v>45695</v>
      </c>
      <c r="D493" t="inlineStr">
        <is>
          <t>DALARNAS LÄN</t>
        </is>
      </c>
      <c r="E493" t="inlineStr">
        <is>
          <t>MORA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5309-2023</t>
        </is>
      </c>
      <c r="B494" s="1" t="n">
        <v>44956</v>
      </c>
      <c r="C494" s="1" t="n">
        <v>45695</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5486-2023</t>
        </is>
      </c>
      <c r="B495" s="1" t="n">
        <v>44957</v>
      </c>
      <c r="C495" s="1" t="n">
        <v>45695</v>
      </c>
      <c r="D495" t="inlineStr">
        <is>
          <t>DALARNAS LÄN</t>
        </is>
      </c>
      <c r="E495" t="inlineStr">
        <is>
          <t>MORA</t>
        </is>
      </c>
      <c r="G495" t="n">
        <v>3.2</v>
      </c>
      <c r="H495" t="n">
        <v>0</v>
      </c>
      <c r="I495" t="n">
        <v>0</v>
      </c>
      <c r="J495" t="n">
        <v>0</v>
      </c>
      <c r="K495" t="n">
        <v>0</v>
      </c>
      <c r="L495" t="n">
        <v>0</v>
      </c>
      <c r="M495" t="n">
        <v>0</v>
      </c>
      <c r="N495" t="n">
        <v>0</v>
      </c>
      <c r="O495" t="n">
        <v>0</v>
      </c>
      <c r="P495" t="n">
        <v>0</v>
      </c>
      <c r="Q495" t="n">
        <v>0</v>
      </c>
      <c r="R495" s="2" t="inlineStr"/>
    </row>
    <row r="496" ht="15" customHeight="1">
      <c r="A496" t="inlineStr">
        <is>
          <t>A 5493-2023</t>
        </is>
      </c>
      <c r="B496" s="1" t="n">
        <v>44957</v>
      </c>
      <c r="C496" s="1" t="n">
        <v>45695</v>
      </c>
      <c r="D496" t="inlineStr">
        <is>
          <t>DALARNAS LÄN</t>
        </is>
      </c>
      <c r="E496" t="inlineStr">
        <is>
          <t>MORA</t>
        </is>
      </c>
      <c r="F496" t="inlineStr">
        <is>
          <t>Allmännings- och besparingsskogar</t>
        </is>
      </c>
      <c r="G496" t="n">
        <v>14.9</v>
      </c>
      <c r="H496" t="n">
        <v>0</v>
      </c>
      <c r="I496" t="n">
        <v>0</v>
      </c>
      <c r="J496" t="n">
        <v>0</v>
      </c>
      <c r="K496" t="n">
        <v>0</v>
      </c>
      <c r="L496" t="n">
        <v>0</v>
      </c>
      <c r="M496" t="n">
        <v>0</v>
      </c>
      <c r="N496" t="n">
        <v>0</v>
      </c>
      <c r="O496" t="n">
        <v>0</v>
      </c>
      <c r="P496" t="n">
        <v>0</v>
      </c>
      <c r="Q496" t="n">
        <v>0</v>
      </c>
      <c r="R496" s="2" t="inlineStr"/>
    </row>
    <row r="497" ht="15" customHeight="1">
      <c r="A497" t="inlineStr">
        <is>
          <t>A 5491-2023</t>
        </is>
      </c>
      <c r="B497" s="1" t="n">
        <v>44957</v>
      </c>
      <c r="C497" s="1" t="n">
        <v>45695</v>
      </c>
      <c r="D497" t="inlineStr">
        <is>
          <t>DALARNAS LÄN</t>
        </is>
      </c>
      <c r="E497" t="inlineStr">
        <is>
          <t>MORA</t>
        </is>
      </c>
      <c r="G497" t="n">
        <v>3.5</v>
      </c>
      <c r="H497" t="n">
        <v>0</v>
      </c>
      <c r="I497" t="n">
        <v>0</v>
      </c>
      <c r="J497" t="n">
        <v>0</v>
      </c>
      <c r="K497" t="n">
        <v>0</v>
      </c>
      <c r="L497" t="n">
        <v>0</v>
      </c>
      <c r="M497" t="n">
        <v>0</v>
      </c>
      <c r="N497" t="n">
        <v>0</v>
      </c>
      <c r="O497" t="n">
        <v>0</v>
      </c>
      <c r="P497" t="n">
        <v>0</v>
      </c>
      <c r="Q497" t="n">
        <v>0</v>
      </c>
      <c r="R497" s="2" t="inlineStr"/>
    </row>
    <row r="498" ht="15" customHeight="1">
      <c r="A498" t="inlineStr">
        <is>
          <t>A 5028-2023</t>
        </is>
      </c>
      <c r="B498" s="1" t="n">
        <v>44958</v>
      </c>
      <c r="C498" s="1" t="n">
        <v>45695</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5031-2023</t>
        </is>
      </c>
      <c r="B499" s="1" t="n">
        <v>44958</v>
      </c>
      <c r="C499" s="1" t="n">
        <v>45695</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5298-2023</t>
        </is>
      </c>
      <c r="B500" s="1" t="n">
        <v>44959</v>
      </c>
      <c r="C500" s="1" t="n">
        <v>45695</v>
      </c>
      <c r="D500" t="inlineStr">
        <is>
          <t>DALARNAS LÄN</t>
        </is>
      </c>
      <c r="E500" t="inlineStr">
        <is>
          <t>MORA</t>
        </is>
      </c>
      <c r="F500" t="inlineStr">
        <is>
          <t>Bergvik skog väst AB</t>
        </is>
      </c>
      <c r="G500" t="n">
        <v>6.2</v>
      </c>
      <c r="H500" t="n">
        <v>0</v>
      </c>
      <c r="I500" t="n">
        <v>0</v>
      </c>
      <c r="J500" t="n">
        <v>0</v>
      </c>
      <c r="K500" t="n">
        <v>0</v>
      </c>
      <c r="L500" t="n">
        <v>0</v>
      </c>
      <c r="M500" t="n">
        <v>0</v>
      </c>
      <c r="N500" t="n">
        <v>0</v>
      </c>
      <c r="O500" t="n">
        <v>0</v>
      </c>
      <c r="P500" t="n">
        <v>0</v>
      </c>
      <c r="Q500" t="n">
        <v>0</v>
      </c>
      <c r="R500" s="2" t="inlineStr"/>
    </row>
    <row r="501" ht="15" customHeight="1">
      <c r="A501" t="inlineStr">
        <is>
          <t>A 6168-2023</t>
        </is>
      </c>
      <c r="B501" s="1" t="n">
        <v>44964</v>
      </c>
      <c r="C501" s="1" t="n">
        <v>45695</v>
      </c>
      <c r="D501" t="inlineStr">
        <is>
          <t>DALARNAS LÄN</t>
        </is>
      </c>
      <c r="E501" t="inlineStr">
        <is>
          <t>MORA</t>
        </is>
      </c>
      <c r="G501" t="n">
        <v>12.7</v>
      </c>
      <c r="H501" t="n">
        <v>0</v>
      </c>
      <c r="I501" t="n">
        <v>0</v>
      </c>
      <c r="J501" t="n">
        <v>0</v>
      </c>
      <c r="K501" t="n">
        <v>0</v>
      </c>
      <c r="L501" t="n">
        <v>0</v>
      </c>
      <c r="M501" t="n">
        <v>0</v>
      </c>
      <c r="N501" t="n">
        <v>0</v>
      </c>
      <c r="O501" t="n">
        <v>0</v>
      </c>
      <c r="P501" t="n">
        <v>0</v>
      </c>
      <c r="Q501" t="n">
        <v>0</v>
      </c>
      <c r="R501" s="2" t="inlineStr"/>
    </row>
    <row r="502" ht="15" customHeight="1">
      <c r="A502" t="inlineStr">
        <is>
          <t>A 7613-2023</t>
        </is>
      </c>
      <c r="B502" s="1" t="n">
        <v>44967</v>
      </c>
      <c r="C502" s="1" t="n">
        <v>45695</v>
      </c>
      <c r="D502" t="inlineStr">
        <is>
          <t>DALARNAS LÄN</t>
        </is>
      </c>
      <c r="E502" t="inlineStr">
        <is>
          <t>MORA</t>
        </is>
      </c>
      <c r="G502" t="n">
        <v>3.8</v>
      </c>
      <c r="H502" t="n">
        <v>0</v>
      </c>
      <c r="I502" t="n">
        <v>0</v>
      </c>
      <c r="J502" t="n">
        <v>0</v>
      </c>
      <c r="K502" t="n">
        <v>0</v>
      </c>
      <c r="L502" t="n">
        <v>0</v>
      </c>
      <c r="M502" t="n">
        <v>0</v>
      </c>
      <c r="N502" t="n">
        <v>0</v>
      </c>
      <c r="O502" t="n">
        <v>0</v>
      </c>
      <c r="P502" t="n">
        <v>0</v>
      </c>
      <c r="Q502" t="n">
        <v>0</v>
      </c>
      <c r="R502" s="2" t="inlineStr"/>
    </row>
    <row r="503" ht="15" customHeight="1">
      <c r="A503" t="inlineStr">
        <is>
          <t>A 7464-2023</t>
        </is>
      </c>
      <c r="B503" s="1" t="n">
        <v>44971</v>
      </c>
      <c r="C503" s="1" t="n">
        <v>45695</v>
      </c>
      <c r="D503" t="inlineStr">
        <is>
          <t>DALARNAS LÄN</t>
        </is>
      </c>
      <c r="E503" t="inlineStr">
        <is>
          <t>MORA</t>
        </is>
      </c>
      <c r="G503" t="n">
        <v>1.4</v>
      </c>
      <c r="H503" t="n">
        <v>0</v>
      </c>
      <c r="I503" t="n">
        <v>0</v>
      </c>
      <c r="J503" t="n">
        <v>0</v>
      </c>
      <c r="K503" t="n">
        <v>0</v>
      </c>
      <c r="L503" t="n">
        <v>0</v>
      </c>
      <c r="M503" t="n">
        <v>0</v>
      </c>
      <c r="N503" t="n">
        <v>0</v>
      </c>
      <c r="O503" t="n">
        <v>0</v>
      </c>
      <c r="P503" t="n">
        <v>0</v>
      </c>
      <c r="Q503" t="n">
        <v>0</v>
      </c>
      <c r="R503" s="2" t="inlineStr"/>
    </row>
    <row r="504" ht="15" customHeight="1">
      <c r="A504" t="inlineStr">
        <is>
          <t>A 8785-2023</t>
        </is>
      </c>
      <c r="B504" s="1" t="n">
        <v>44978</v>
      </c>
      <c r="C504" s="1" t="n">
        <v>45695</v>
      </c>
      <c r="D504" t="inlineStr">
        <is>
          <t>DALARNAS LÄN</t>
        </is>
      </c>
      <c r="E504" t="inlineStr">
        <is>
          <t>MORA</t>
        </is>
      </c>
      <c r="G504" t="n">
        <v>1.5</v>
      </c>
      <c r="H504" t="n">
        <v>0</v>
      </c>
      <c r="I504" t="n">
        <v>0</v>
      </c>
      <c r="J504" t="n">
        <v>0</v>
      </c>
      <c r="K504" t="n">
        <v>0</v>
      </c>
      <c r="L504" t="n">
        <v>0</v>
      </c>
      <c r="M504" t="n">
        <v>0</v>
      </c>
      <c r="N504" t="n">
        <v>0</v>
      </c>
      <c r="O504" t="n">
        <v>0</v>
      </c>
      <c r="P504" t="n">
        <v>0</v>
      </c>
      <c r="Q504" t="n">
        <v>0</v>
      </c>
      <c r="R504" s="2" t="inlineStr"/>
    </row>
    <row r="505" ht="15" customHeight="1">
      <c r="A505" t="inlineStr">
        <is>
          <t>A 9023-2023</t>
        </is>
      </c>
      <c r="B505" s="1" t="n">
        <v>44979</v>
      </c>
      <c r="C505" s="1" t="n">
        <v>45695</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9828-2023</t>
        </is>
      </c>
      <c r="B506" s="1" t="n">
        <v>44984</v>
      </c>
      <c r="C506" s="1" t="n">
        <v>45695</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10210-2023</t>
        </is>
      </c>
      <c r="B507" s="1" t="n">
        <v>44986</v>
      </c>
      <c r="C507" s="1" t="n">
        <v>45695</v>
      </c>
      <c r="D507" t="inlineStr">
        <is>
          <t>DALARNAS LÄN</t>
        </is>
      </c>
      <c r="E507" t="inlineStr">
        <is>
          <t>MORA</t>
        </is>
      </c>
      <c r="G507" t="n">
        <v>19.7</v>
      </c>
      <c r="H507" t="n">
        <v>0</v>
      </c>
      <c r="I507" t="n">
        <v>0</v>
      </c>
      <c r="J507" t="n">
        <v>0</v>
      </c>
      <c r="K507" t="n">
        <v>0</v>
      </c>
      <c r="L507" t="n">
        <v>0</v>
      </c>
      <c r="M507" t="n">
        <v>0</v>
      </c>
      <c r="N507" t="n">
        <v>0</v>
      </c>
      <c r="O507" t="n">
        <v>0</v>
      </c>
      <c r="P507" t="n">
        <v>0</v>
      </c>
      <c r="Q507" t="n">
        <v>0</v>
      </c>
      <c r="R507" s="2" t="inlineStr"/>
    </row>
    <row r="508" ht="15" customHeight="1">
      <c r="A508" t="inlineStr">
        <is>
          <t>A 11857-2023</t>
        </is>
      </c>
      <c r="B508" s="1" t="n">
        <v>44995</v>
      </c>
      <c r="C508" s="1" t="n">
        <v>45695</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12675-2023</t>
        </is>
      </c>
      <c r="B509" s="1" t="n">
        <v>45000</v>
      </c>
      <c r="C509" s="1" t="n">
        <v>45695</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12790-2023</t>
        </is>
      </c>
      <c r="B510" s="1" t="n">
        <v>45001</v>
      </c>
      <c r="C510" s="1" t="n">
        <v>45695</v>
      </c>
      <c r="D510" t="inlineStr">
        <is>
          <t>DALARNAS LÄN</t>
        </is>
      </c>
      <c r="E510" t="inlineStr">
        <is>
          <t>MORA</t>
        </is>
      </c>
      <c r="G510" t="n">
        <v>12.3</v>
      </c>
      <c r="H510" t="n">
        <v>0</v>
      </c>
      <c r="I510" t="n">
        <v>0</v>
      </c>
      <c r="J510" t="n">
        <v>0</v>
      </c>
      <c r="K510" t="n">
        <v>0</v>
      </c>
      <c r="L510" t="n">
        <v>0</v>
      </c>
      <c r="M510" t="n">
        <v>0</v>
      </c>
      <c r="N510" t="n">
        <v>0</v>
      </c>
      <c r="O510" t="n">
        <v>0</v>
      </c>
      <c r="P510" t="n">
        <v>0</v>
      </c>
      <c r="Q510" t="n">
        <v>0</v>
      </c>
      <c r="R510" s="2" t="inlineStr"/>
    </row>
    <row r="511" ht="15" customHeight="1">
      <c r="A511" t="inlineStr">
        <is>
          <t>A 12828-2023</t>
        </is>
      </c>
      <c r="B511" s="1" t="n">
        <v>45001</v>
      </c>
      <c r="C511" s="1" t="n">
        <v>45695</v>
      </c>
      <c r="D511" t="inlineStr">
        <is>
          <t>DALARNAS LÄN</t>
        </is>
      </c>
      <c r="E511" t="inlineStr">
        <is>
          <t>MORA</t>
        </is>
      </c>
      <c r="F511" t="inlineStr">
        <is>
          <t>Bergvik skog väst AB</t>
        </is>
      </c>
      <c r="G511" t="n">
        <v>5.4</v>
      </c>
      <c r="H511" t="n">
        <v>0</v>
      </c>
      <c r="I511" t="n">
        <v>0</v>
      </c>
      <c r="J511" t="n">
        <v>0</v>
      </c>
      <c r="K511" t="n">
        <v>0</v>
      </c>
      <c r="L511" t="n">
        <v>0</v>
      </c>
      <c r="M511" t="n">
        <v>0</v>
      </c>
      <c r="N511" t="n">
        <v>0</v>
      </c>
      <c r="O511" t="n">
        <v>0</v>
      </c>
      <c r="P511" t="n">
        <v>0</v>
      </c>
      <c r="Q511" t="n">
        <v>0</v>
      </c>
      <c r="R511" s="2" t="inlineStr"/>
    </row>
    <row r="512" ht="15" customHeight="1">
      <c r="A512" t="inlineStr">
        <is>
          <t>A 13177-2023</t>
        </is>
      </c>
      <c r="B512" s="1" t="n">
        <v>45002</v>
      </c>
      <c r="C512" s="1" t="n">
        <v>45695</v>
      </c>
      <c r="D512" t="inlineStr">
        <is>
          <t>DALARNAS LÄN</t>
        </is>
      </c>
      <c r="E512" t="inlineStr">
        <is>
          <t>MORA</t>
        </is>
      </c>
      <c r="G512" t="n">
        <v>17.5</v>
      </c>
      <c r="H512" t="n">
        <v>0</v>
      </c>
      <c r="I512" t="n">
        <v>0</v>
      </c>
      <c r="J512" t="n">
        <v>0</v>
      </c>
      <c r="K512" t="n">
        <v>0</v>
      </c>
      <c r="L512" t="n">
        <v>0</v>
      </c>
      <c r="M512" t="n">
        <v>0</v>
      </c>
      <c r="N512" t="n">
        <v>0</v>
      </c>
      <c r="O512" t="n">
        <v>0</v>
      </c>
      <c r="P512" t="n">
        <v>0</v>
      </c>
      <c r="Q512" t="n">
        <v>0</v>
      </c>
      <c r="R512" s="2" t="inlineStr"/>
    </row>
    <row r="513" ht="15" customHeight="1">
      <c r="A513" t="inlineStr">
        <is>
          <t>A 13717-2023</t>
        </is>
      </c>
      <c r="B513" s="1" t="n">
        <v>45007</v>
      </c>
      <c r="C513" s="1" t="n">
        <v>45695</v>
      </c>
      <c r="D513" t="inlineStr">
        <is>
          <t>DALARNAS LÄN</t>
        </is>
      </c>
      <c r="E513" t="inlineStr">
        <is>
          <t>MORA</t>
        </is>
      </c>
      <c r="G513" t="n">
        <v>5.6</v>
      </c>
      <c r="H513" t="n">
        <v>0</v>
      </c>
      <c r="I513" t="n">
        <v>0</v>
      </c>
      <c r="J513" t="n">
        <v>0</v>
      </c>
      <c r="K513" t="n">
        <v>0</v>
      </c>
      <c r="L513" t="n">
        <v>0</v>
      </c>
      <c r="M513" t="n">
        <v>0</v>
      </c>
      <c r="N513" t="n">
        <v>0</v>
      </c>
      <c r="O513" t="n">
        <v>0</v>
      </c>
      <c r="P513" t="n">
        <v>0</v>
      </c>
      <c r="Q513" t="n">
        <v>0</v>
      </c>
      <c r="R513" s="2" t="inlineStr"/>
      <c r="U513">
        <f>HYPERLINK("https://klasma.github.io/Logging_2062/knärot/A 13717-2023 karta knärot.png", "A 13717-2023")</f>
        <v/>
      </c>
      <c r="V513">
        <f>HYPERLINK("https://klasma.github.io/Logging_2062/klagomål/A 13717-2023 FSC-klagomål.docx", "A 13717-2023")</f>
        <v/>
      </c>
      <c r="W513">
        <f>HYPERLINK("https://klasma.github.io/Logging_2062/klagomålsmail/A 13717-2023 FSC-klagomål mail.docx", "A 13717-2023")</f>
        <v/>
      </c>
      <c r="X513">
        <f>HYPERLINK("https://klasma.github.io/Logging_2062/tillsyn/A 13717-2023 tillsynsbegäran.docx", "A 13717-2023")</f>
        <v/>
      </c>
      <c r="Y513">
        <f>HYPERLINK("https://klasma.github.io/Logging_2062/tillsynsmail/A 13717-2023 tillsynsbegäran mail.docx", "A 13717-2023")</f>
        <v/>
      </c>
    </row>
    <row r="514" ht="15" customHeight="1">
      <c r="A514" t="inlineStr">
        <is>
          <t>A 14040-2023</t>
        </is>
      </c>
      <c r="B514" s="1" t="n">
        <v>45008</v>
      </c>
      <c r="C514" s="1" t="n">
        <v>45695</v>
      </c>
      <c r="D514" t="inlineStr">
        <is>
          <t>DALARNAS LÄN</t>
        </is>
      </c>
      <c r="E514" t="inlineStr">
        <is>
          <t>MORA</t>
        </is>
      </c>
      <c r="G514" t="n">
        <v>1.3</v>
      </c>
      <c r="H514" t="n">
        <v>0</v>
      </c>
      <c r="I514" t="n">
        <v>0</v>
      </c>
      <c r="J514" t="n">
        <v>0</v>
      </c>
      <c r="K514" t="n">
        <v>0</v>
      </c>
      <c r="L514" t="n">
        <v>0</v>
      </c>
      <c r="M514" t="n">
        <v>0</v>
      </c>
      <c r="N514" t="n">
        <v>0</v>
      </c>
      <c r="O514" t="n">
        <v>0</v>
      </c>
      <c r="P514" t="n">
        <v>0</v>
      </c>
      <c r="Q514" t="n">
        <v>0</v>
      </c>
      <c r="R514" s="2" t="inlineStr"/>
    </row>
    <row r="515" ht="15" customHeight="1">
      <c r="A515" t="inlineStr">
        <is>
          <t>A 14641-2023</t>
        </is>
      </c>
      <c r="B515" s="1" t="n">
        <v>45013</v>
      </c>
      <c r="C515" s="1" t="n">
        <v>45695</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14981-2023</t>
        </is>
      </c>
      <c r="B516" s="1" t="n">
        <v>45015</v>
      </c>
      <c r="C516" s="1" t="n">
        <v>45695</v>
      </c>
      <c r="D516" t="inlineStr">
        <is>
          <t>DALARNAS LÄN</t>
        </is>
      </c>
      <c r="E516" t="inlineStr">
        <is>
          <t>MORA</t>
        </is>
      </c>
      <c r="G516" t="n">
        <v>11.7</v>
      </c>
      <c r="H516" t="n">
        <v>0</v>
      </c>
      <c r="I516" t="n">
        <v>0</v>
      </c>
      <c r="J516" t="n">
        <v>0</v>
      </c>
      <c r="K516" t="n">
        <v>0</v>
      </c>
      <c r="L516" t="n">
        <v>0</v>
      </c>
      <c r="M516" t="n">
        <v>0</v>
      </c>
      <c r="N516" t="n">
        <v>0</v>
      </c>
      <c r="O516" t="n">
        <v>0</v>
      </c>
      <c r="P516" t="n">
        <v>0</v>
      </c>
      <c r="Q516" t="n">
        <v>0</v>
      </c>
      <c r="R516" s="2" t="inlineStr"/>
    </row>
    <row r="517" ht="15" customHeight="1">
      <c r="A517" t="inlineStr">
        <is>
          <t>A 15416-2023</t>
        </is>
      </c>
      <c r="B517" s="1" t="n">
        <v>45019</v>
      </c>
      <c r="C517" s="1" t="n">
        <v>45695</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15415-2023</t>
        </is>
      </c>
      <c r="B518" s="1" t="n">
        <v>45019</v>
      </c>
      <c r="C518" s="1" t="n">
        <v>45695</v>
      </c>
      <c r="D518" t="inlineStr">
        <is>
          <t>DALARNAS LÄN</t>
        </is>
      </c>
      <c r="E518" t="inlineStr">
        <is>
          <t>MORA</t>
        </is>
      </c>
      <c r="G518" t="n">
        <v>7.2</v>
      </c>
      <c r="H518" t="n">
        <v>0</v>
      </c>
      <c r="I518" t="n">
        <v>0</v>
      </c>
      <c r="J518" t="n">
        <v>0</v>
      </c>
      <c r="K518" t="n">
        <v>0</v>
      </c>
      <c r="L518" t="n">
        <v>0</v>
      </c>
      <c r="M518" t="n">
        <v>0</v>
      </c>
      <c r="N518" t="n">
        <v>0</v>
      </c>
      <c r="O518" t="n">
        <v>0</v>
      </c>
      <c r="P518" t="n">
        <v>0</v>
      </c>
      <c r="Q518" t="n">
        <v>0</v>
      </c>
      <c r="R518" s="2" t="inlineStr"/>
    </row>
    <row r="519" ht="15" customHeight="1">
      <c r="A519" t="inlineStr">
        <is>
          <t>A 15671-2023</t>
        </is>
      </c>
      <c r="B519" s="1" t="n">
        <v>45021</v>
      </c>
      <c r="C519" s="1" t="n">
        <v>45695</v>
      </c>
      <c r="D519" t="inlineStr">
        <is>
          <t>DALARNAS LÄN</t>
        </is>
      </c>
      <c r="E519" t="inlineStr">
        <is>
          <t>MORA</t>
        </is>
      </c>
      <c r="G519" t="n">
        <v>14.3</v>
      </c>
      <c r="H519" t="n">
        <v>0</v>
      </c>
      <c r="I519" t="n">
        <v>0</v>
      </c>
      <c r="J519" t="n">
        <v>0</v>
      </c>
      <c r="K519" t="n">
        <v>0</v>
      </c>
      <c r="L519" t="n">
        <v>0</v>
      </c>
      <c r="M519" t="n">
        <v>0</v>
      </c>
      <c r="N519" t="n">
        <v>0</v>
      </c>
      <c r="O519" t="n">
        <v>0</v>
      </c>
      <c r="P519" t="n">
        <v>0</v>
      </c>
      <c r="Q519" t="n">
        <v>0</v>
      </c>
      <c r="R519" s="2" t="inlineStr"/>
    </row>
    <row r="520" ht="15" customHeight="1">
      <c r="A520" t="inlineStr">
        <is>
          <t>A 16407-2023</t>
        </is>
      </c>
      <c r="B520" s="1" t="n">
        <v>45029</v>
      </c>
      <c r="C520" s="1" t="n">
        <v>45695</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16852-2023</t>
        </is>
      </c>
      <c r="B521" s="1" t="n">
        <v>45033</v>
      </c>
      <c r="C521" s="1" t="n">
        <v>45695</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17529-2023</t>
        </is>
      </c>
      <c r="B522" s="1" t="n">
        <v>45036</v>
      </c>
      <c r="C522" s="1" t="n">
        <v>45695</v>
      </c>
      <c r="D522" t="inlineStr">
        <is>
          <t>DALARNAS LÄN</t>
        </is>
      </c>
      <c r="E522" t="inlineStr">
        <is>
          <t>MORA</t>
        </is>
      </c>
      <c r="G522" t="n">
        <v>6</v>
      </c>
      <c r="H522" t="n">
        <v>0</v>
      </c>
      <c r="I522" t="n">
        <v>0</v>
      </c>
      <c r="J522" t="n">
        <v>0</v>
      </c>
      <c r="K522" t="n">
        <v>0</v>
      </c>
      <c r="L522" t="n">
        <v>0</v>
      </c>
      <c r="M522" t="n">
        <v>0</v>
      </c>
      <c r="N522" t="n">
        <v>0</v>
      </c>
      <c r="O522" t="n">
        <v>0</v>
      </c>
      <c r="P522" t="n">
        <v>0</v>
      </c>
      <c r="Q522" t="n">
        <v>0</v>
      </c>
      <c r="R522" s="2" t="inlineStr"/>
    </row>
    <row r="523" ht="15" customHeight="1">
      <c r="A523" t="inlineStr">
        <is>
          <t>A 18433-2023</t>
        </is>
      </c>
      <c r="B523" s="1" t="n">
        <v>45042</v>
      </c>
      <c r="C523" s="1" t="n">
        <v>45695</v>
      </c>
      <c r="D523" t="inlineStr">
        <is>
          <t>DALARNAS LÄN</t>
        </is>
      </c>
      <c r="E523" t="inlineStr">
        <is>
          <t>MORA</t>
        </is>
      </c>
      <c r="G523" t="n">
        <v>2.4</v>
      </c>
      <c r="H523" t="n">
        <v>0</v>
      </c>
      <c r="I523" t="n">
        <v>0</v>
      </c>
      <c r="J523" t="n">
        <v>0</v>
      </c>
      <c r="K523" t="n">
        <v>0</v>
      </c>
      <c r="L523" t="n">
        <v>0</v>
      </c>
      <c r="M523" t="n">
        <v>0</v>
      </c>
      <c r="N523" t="n">
        <v>0</v>
      </c>
      <c r="O523" t="n">
        <v>0</v>
      </c>
      <c r="P523" t="n">
        <v>0</v>
      </c>
      <c r="Q523" t="n">
        <v>0</v>
      </c>
      <c r="R523" s="2" t="inlineStr"/>
    </row>
    <row r="524" ht="15" customHeight="1">
      <c r="A524" t="inlineStr">
        <is>
          <t>A 18725-2023</t>
        </is>
      </c>
      <c r="B524" s="1" t="n">
        <v>45043</v>
      </c>
      <c r="C524" s="1" t="n">
        <v>45695</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19191-2023</t>
        </is>
      </c>
      <c r="B525" s="1" t="n">
        <v>45044</v>
      </c>
      <c r="C525" s="1" t="n">
        <v>45695</v>
      </c>
      <c r="D525" t="inlineStr">
        <is>
          <t>DALARNAS LÄN</t>
        </is>
      </c>
      <c r="E525" t="inlineStr">
        <is>
          <t>MORA</t>
        </is>
      </c>
      <c r="G525" t="n">
        <v>12.5</v>
      </c>
      <c r="H525" t="n">
        <v>0</v>
      </c>
      <c r="I525" t="n">
        <v>0</v>
      </c>
      <c r="J525" t="n">
        <v>0</v>
      </c>
      <c r="K525" t="n">
        <v>0</v>
      </c>
      <c r="L525" t="n">
        <v>0</v>
      </c>
      <c r="M525" t="n">
        <v>0</v>
      </c>
      <c r="N525" t="n">
        <v>0</v>
      </c>
      <c r="O525" t="n">
        <v>0</v>
      </c>
      <c r="P525" t="n">
        <v>0</v>
      </c>
      <c r="Q525" t="n">
        <v>0</v>
      </c>
      <c r="R525" s="2" t="inlineStr"/>
    </row>
    <row r="526" ht="15" customHeight="1">
      <c r="A526" t="inlineStr">
        <is>
          <t>A 19202-2023</t>
        </is>
      </c>
      <c r="B526" s="1" t="n">
        <v>45044</v>
      </c>
      <c r="C526" s="1" t="n">
        <v>45695</v>
      </c>
      <c r="D526" t="inlineStr">
        <is>
          <t>DALARNAS LÄN</t>
        </is>
      </c>
      <c r="E526" t="inlineStr">
        <is>
          <t>MORA</t>
        </is>
      </c>
      <c r="G526" t="n">
        <v>28.5</v>
      </c>
      <c r="H526" t="n">
        <v>0</v>
      </c>
      <c r="I526" t="n">
        <v>0</v>
      </c>
      <c r="J526" t="n">
        <v>0</v>
      </c>
      <c r="K526" t="n">
        <v>0</v>
      </c>
      <c r="L526" t="n">
        <v>0</v>
      </c>
      <c r="M526" t="n">
        <v>0</v>
      </c>
      <c r="N526" t="n">
        <v>0</v>
      </c>
      <c r="O526" t="n">
        <v>0</v>
      </c>
      <c r="P526" t="n">
        <v>0</v>
      </c>
      <c r="Q526" t="n">
        <v>0</v>
      </c>
      <c r="R526" s="2" t="inlineStr"/>
    </row>
    <row r="527" ht="15" customHeight="1">
      <c r="A527" t="inlineStr">
        <is>
          <t>A 19286-2023</t>
        </is>
      </c>
      <c r="B527" s="1" t="n">
        <v>45049</v>
      </c>
      <c r="C527" s="1" t="n">
        <v>45695</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20297-2023</t>
        </is>
      </c>
      <c r="B528" s="1" t="n">
        <v>45056</v>
      </c>
      <c r="C528" s="1" t="n">
        <v>45695</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20299-2023</t>
        </is>
      </c>
      <c r="B529" s="1" t="n">
        <v>45056</v>
      </c>
      <c r="C529" s="1" t="n">
        <v>45695</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20300-2023</t>
        </is>
      </c>
      <c r="B530" s="1" t="n">
        <v>45056</v>
      </c>
      <c r="C530" s="1" t="n">
        <v>45695</v>
      </c>
      <c r="D530" t="inlineStr">
        <is>
          <t>DALARNAS LÄN</t>
        </is>
      </c>
      <c r="E530" t="inlineStr">
        <is>
          <t>MORA</t>
        </is>
      </c>
      <c r="G530" t="n">
        <v>14</v>
      </c>
      <c r="H530" t="n">
        <v>0</v>
      </c>
      <c r="I530" t="n">
        <v>0</v>
      </c>
      <c r="J530" t="n">
        <v>0</v>
      </c>
      <c r="K530" t="n">
        <v>0</v>
      </c>
      <c r="L530" t="n">
        <v>0</v>
      </c>
      <c r="M530" t="n">
        <v>0</v>
      </c>
      <c r="N530" t="n">
        <v>0</v>
      </c>
      <c r="O530" t="n">
        <v>0</v>
      </c>
      <c r="P530" t="n">
        <v>0</v>
      </c>
      <c r="Q530" t="n">
        <v>0</v>
      </c>
      <c r="R530" s="2" t="inlineStr"/>
    </row>
    <row r="531" ht="15" customHeight="1">
      <c r="A531" t="inlineStr">
        <is>
          <t>A 20504-2023</t>
        </is>
      </c>
      <c r="B531" s="1" t="n">
        <v>45057</v>
      </c>
      <c r="C531" s="1" t="n">
        <v>45695</v>
      </c>
      <c r="D531" t="inlineStr">
        <is>
          <t>DALARNAS LÄN</t>
        </is>
      </c>
      <c r="E531" t="inlineStr">
        <is>
          <t>MORA</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20563-2023</t>
        </is>
      </c>
      <c r="B532" s="1" t="n">
        <v>45057</v>
      </c>
      <c r="C532" s="1" t="n">
        <v>45695</v>
      </c>
      <c r="D532" t="inlineStr">
        <is>
          <t>DALARNAS LÄN</t>
        </is>
      </c>
      <c r="E532" t="inlineStr">
        <is>
          <t>MORA</t>
        </is>
      </c>
      <c r="F532" t="inlineStr">
        <is>
          <t>Bergvik skog öst AB</t>
        </is>
      </c>
      <c r="G532" t="n">
        <v>23.2</v>
      </c>
      <c r="H532" t="n">
        <v>0</v>
      </c>
      <c r="I532" t="n">
        <v>0</v>
      </c>
      <c r="J532" t="n">
        <v>0</v>
      </c>
      <c r="K532" t="n">
        <v>0</v>
      </c>
      <c r="L532" t="n">
        <v>0</v>
      </c>
      <c r="M532" t="n">
        <v>0</v>
      </c>
      <c r="N532" t="n">
        <v>0</v>
      </c>
      <c r="O532" t="n">
        <v>0</v>
      </c>
      <c r="P532" t="n">
        <v>0</v>
      </c>
      <c r="Q532" t="n">
        <v>0</v>
      </c>
      <c r="R532" s="2" t="inlineStr"/>
    </row>
    <row r="533" ht="15" customHeight="1">
      <c r="A533" t="inlineStr">
        <is>
          <t>A 21034-2023</t>
        </is>
      </c>
      <c r="B533" s="1" t="n">
        <v>45061</v>
      </c>
      <c r="C533" s="1" t="n">
        <v>45695</v>
      </c>
      <c r="D533" t="inlineStr">
        <is>
          <t>DALARNAS LÄN</t>
        </is>
      </c>
      <c r="E533" t="inlineStr">
        <is>
          <t>MORA</t>
        </is>
      </c>
      <c r="F533" t="inlineStr">
        <is>
          <t>Bergvik skog öst AB</t>
        </is>
      </c>
      <c r="G533" t="n">
        <v>2.1</v>
      </c>
      <c r="H533" t="n">
        <v>0</v>
      </c>
      <c r="I533" t="n">
        <v>0</v>
      </c>
      <c r="J533" t="n">
        <v>0</v>
      </c>
      <c r="K533" t="n">
        <v>0</v>
      </c>
      <c r="L533" t="n">
        <v>0</v>
      </c>
      <c r="M533" t="n">
        <v>0</v>
      </c>
      <c r="N533" t="n">
        <v>0</v>
      </c>
      <c r="O533" t="n">
        <v>0</v>
      </c>
      <c r="P533" t="n">
        <v>0</v>
      </c>
      <c r="Q533" t="n">
        <v>0</v>
      </c>
      <c r="R533" s="2" t="inlineStr"/>
    </row>
    <row r="534" ht="15" customHeight="1">
      <c r="A534" t="inlineStr">
        <is>
          <t>A 21055-2023</t>
        </is>
      </c>
      <c r="B534" s="1" t="n">
        <v>45061</v>
      </c>
      <c r="C534" s="1" t="n">
        <v>45695</v>
      </c>
      <c r="D534" t="inlineStr">
        <is>
          <t>DALARNAS LÄN</t>
        </is>
      </c>
      <c r="E534" t="inlineStr">
        <is>
          <t>MORA</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21027-2023</t>
        </is>
      </c>
      <c r="B535" s="1" t="n">
        <v>45061</v>
      </c>
      <c r="C535" s="1" t="n">
        <v>45695</v>
      </c>
      <c r="D535" t="inlineStr">
        <is>
          <t>DALARNAS LÄN</t>
        </is>
      </c>
      <c r="E535" t="inlineStr">
        <is>
          <t>MORA</t>
        </is>
      </c>
      <c r="F535" t="inlineStr">
        <is>
          <t>Bergvik skog öst AB</t>
        </is>
      </c>
      <c r="G535" t="n">
        <v>5.1</v>
      </c>
      <c r="H535" t="n">
        <v>0</v>
      </c>
      <c r="I535" t="n">
        <v>0</v>
      </c>
      <c r="J535" t="n">
        <v>0</v>
      </c>
      <c r="K535" t="n">
        <v>0</v>
      </c>
      <c r="L535" t="n">
        <v>0</v>
      </c>
      <c r="M535" t="n">
        <v>0</v>
      </c>
      <c r="N535" t="n">
        <v>0</v>
      </c>
      <c r="O535" t="n">
        <v>0</v>
      </c>
      <c r="P535" t="n">
        <v>0</v>
      </c>
      <c r="Q535" t="n">
        <v>0</v>
      </c>
      <c r="R535" s="2" t="inlineStr"/>
    </row>
    <row r="536" ht="15" customHeight="1">
      <c r="A536" t="inlineStr">
        <is>
          <t>A 21410-2023</t>
        </is>
      </c>
      <c r="B536" s="1" t="n">
        <v>45063</v>
      </c>
      <c r="C536" s="1" t="n">
        <v>45695</v>
      </c>
      <c r="D536" t="inlineStr">
        <is>
          <t>DALARNAS LÄN</t>
        </is>
      </c>
      <c r="E536" t="inlineStr">
        <is>
          <t>MORA</t>
        </is>
      </c>
      <c r="G536" t="n">
        <v>7</v>
      </c>
      <c r="H536" t="n">
        <v>0</v>
      </c>
      <c r="I536" t="n">
        <v>0</v>
      </c>
      <c r="J536" t="n">
        <v>0</v>
      </c>
      <c r="K536" t="n">
        <v>0</v>
      </c>
      <c r="L536" t="n">
        <v>0</v>
      </c>
      <c r="M536" t="n">
        <v>0</v>
      </c>
      <c r="N536" t="n">
        <v>0</v>
      </c>
      <c r="O536" t="n">
        <v>0</v>
      </c>
      <c r="P536" t="n">
        <v>0</v>
      </c>
      <c r="Q536" t="n">
        <v>0</v>
      </c>
      <c r="R536" s="2" t="inlineStr"/>
    </row>
    <row r="537" ht="15" customHeight="1">
      <c r="A537" t="inlineStr">
        <is>
          <t>A 21898-2023</t>
        </is>
      </c>
      <c r="B537" s="1" t="n">
        <v>45068</v>
      </c>
      <c r="C537" s="1" t="n">
        <v>45695</v>
      </c>
      <c r="D537" t="inlineStr">
        <is>
          <t>DALARNAS LÄN</t>
        </is>
      </c>
      <c r="E537" t="inlineStr">
        <is>
          <t>MORA</t>
        </is>
      </c>
      <c r="G537" t="n">
        <v>2.7</v>
      </c>
      <c r="H537" t="n">
        <v>0</v>
      </c>
      <c r="I537" t="n">
        <v>0</v>
      </c>
      <c r="J537" t="n">
        <v>0</v>
      </c>
      <c r="K537" t="n">
        <v>0</v>
      </c>
      <c r="L537" t="n">
        <v>0</v>
      </c>
      <c r="M537" t="n">
        <v>0</v>
      </c>
      <c r="N537" t="n">
        <v>0</v>
      </c>
      <c r="O537" t="n">
        <v>0</v>
      </c>
      <c r="P537" t="n">
        <v>0</v>
      </c>
      <c r="Q537" t="n">
        <v>0</v>
      </c>
      <c r="R537" s="2" t="inlineStr"/>
    </row>
    <row r="538" ht="15" customHeight="1">
      <c r="A538" t="inlineStr">
        <is>
          <t>A 21834-2023</t>
        </is>
      </c>
      <c r="B538" s="1" t="n">
        <v>45068</v>
      </c>
      <c r="C538" s="1" t="n">
        <v>45695</v>
      </c>
      <c r="D538" t="inlineStr">
        <is>
          <t>DALARNAS LÄN</t>
        </is>
      </c>
      <c r="E538" t="inlineStr">
        <is>
          <t>MORA</t>
        </is>
      </c>
      <c r="G538" t="n">
        <v>3.2</v>
      </c>
      <c r="H538" t="n">
        <v>0</v>
      </c>
      <c r="I538" t="n">
        <v>0</v>
      </c>
      <c r="J538" t="n">
        <v>0</v>
      </c>
      <c r="K538" t="n">
        <v>0</v>
      </c>
      <c r="L538" t="n">
        <v>0</v>
      </c>
      <c r="M538" t="n">
        <v>0</v>
      </c>
      <c r="N538" t="n">
        <v>0</v>
      </c>
      <c r="O538" t="n">
        <v>0</v>
      </c>
      <c r="P538" t="n">
        <v>0</v>
      </c>
      <c r="Q538" t="n">
        <v>0</v>
      </c>
      <c r="R538" s="2" t="inlineStr"/>
    </row>
    <row r="539" ht="15" customHeight="1">
      <c r="A539" t="inlineStr">
        <is>
          <t>A 21896-2023</t>
        </is>
      </c>
      <c r="B539" s="1" t="n">
        <v>45068</v>
      </c>
      <c r="C539" s="1" t="n">
        <v>45695</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22449-2023</t>
        </is>
      </c>
      <c r="B540" s="1" t="n">
        <v>45070</v>
      </c>
      <c r="C540" s="1" t="n">
        <v>45695</v>
      </c>
      <c r="D540" t="inlineStr">
        <is>
          <t>DALARNAS LÄN</t>
        </is>
      </c>
      <c r="E540" t="inlineStr">
        <is>
          <t>MORA</t>
        </is>
      </c>
      <c r="F540" t="inlineStr">
        <is>
          <t>Kommuner</t>
        </is>
      </c>
      <c r="G540" t="n">
        <v>0.7</v>
      </c>
      <c r="H540" t="n">
        <v>0</v>
      </c>
      <c r="I540" t="n">
        <v>0</v>
      </c>
      <c r="J540" t="n">
        <v>0</v>
      </c>
      <c r="K540" t="n">
        <v>0</v>
      </c>
      <c r="L540" t="n">
        <v>0</v>
      </c>
      <c r="M540" t="n">
        <v>0</v>
      </c>
      <c r="N540" t="n">
        <v>0</v>
      </c>
      <c r="O540" t="n">
        <v>0</v>
      </c>
      <c r="P540" t="n">
        <v>0</v>
      </c>
      <c r="Q540" t="n">
        <v>0</v>
      </c>
      <c r="R540" s="2" t="inlineStr"/>
    </row>
    <row r="541" ht="15" customHeight="1">
      <c r="A541" t="inlineStr">
        <is>
          <t>A 22492-2023</t>
        </is>
      </c>
      <c r="B541" s="1" t="n">
        <v>45071</v>
      </c>
      <c r="C541" s="1" t="n">
        <v>45695</v>
      </c>
      <c r="D541" t="inlineStr">
        <is>
          <t>DALARNAS LÄN</t>
        </is>
      </c>
      <c r="E541" t="inlineStr">
        <is>
          <t>MORA</t>
        </is>
      </c>
      <c r="G541" t="n">
        <v>5.8</v>
      </c>
      <c r="H541" t="n">
        <v>0</v>
      </c>
      <c r="I541" t="n">
        <v>0</v>
      </c>
      <c r="J541" t="n">
        <v>0</v>
      </c>
      <c r="K541" t="n">
        <v>0</v>
      </c>
      <c r="L541" t="n">
        <v>0</v>
      </c>
      <c r="M541" t="n">
        <v>0</v>
      </c>
      <c r="N541" t="n">
        <v>0</v>
      </c>
      <c r="O541" t="n">
        <v>0</v>
      </c>
      <c r="P541" t="n">
        <v>0</v>
      </c>
      <c r="Q541" t="n">
        <v>0</v>
      </c>
      <c r="R541" s="2" t="inlineStr"/>
    </row>
    <row r="542" ht="15" customHeight="1">
      <c r="A542" t="inlineStr">
        <is>
          <t>A 22785-2023</t>
        </is>
      </c>
      <c r="B542" s="1" t="n">
        <v>45072</v>
      </c>
      <c r="C542" s="1" t="n">
        <v>45695</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22841-2023</t>
        </is>
      </c>
      <c r="B543" s="1" t="n">
        <v>45072</v>
      </c>
      <c r="C543" s="1" t="n">
        <v>45695</v>
      </c>
      <c r="D543" t="inlineStr">
        <is>
          <t>DALARNAS LÄN</t>
        </is>
      </c>
      <c r="E543" t="inlineStr">
        <is>
          <t>MORA</t>
        </is>
      </c>
      <c r="G543" t="n">
        <v>4</v>
      </c>
      <c r="H543" t="n">
        <v>0</v>
      </c>
      <c r="I543" t="n">
        <v>0</v>
      </c>
      <c r="J543" t="n">
        <v>0</v>
      </c>
      <c r="K543" t="n">
        <v>0</v>
      </c>
      <c r="L543" t="n">
        <v>0</v>
      </c>
      <c r="M543" t="n">
        <v>0</v>
      </c>
      <c r="N543" t="n">
        <v>0</v>
      </c>
      <c r="O543" t="n">
        <v>0</v>
      </c>
      <c r="P543" t="n">
        <v>0</v>
      </c>
      <c r="Q543" t="n">
        <v>0</v>
      </c>
      <c r="R543" s="2" t="inlineStr"/>
    </row>
    <row r="544" ht="15" customHeight="1">
      <c r="A544" t="inlineStr">
        <is>
          <t>A 22881-2023</t>
        </is>
      </c>
      <c r="B544" s="1" t="n">
        <v>45072</v>
      </c>
      <c r="C544" s="1" t="n">
        <v>45695</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22888-2023</t>
        </is>
      </c>
      <c r="B545" s="1" t="n">
        <v>45072</v>
      </c>
      <c r="C545" s="1" t="n">
        <v>45695</v>
      </c>
      <c r="D545" t="inlineStr">
        <is>
          <t>DALARNAS LÄN</t>
        </is>
      </c>
      <c r="E545" t="inlineStr">
        <is>
          <t>MORA</t>
        </is>
      </c>
      <c r="G545" t="n">
        <v>3.5</v>
      </c>
      <c r="H545" t="n">
        <v>0</v>
      </c>
      <c r="I545" t="n">
        <v>0</v>
      </c>
      <c r="J545" t="n">
        <v>0</v>
      </c>
      <c r="K545" t="n">
        <v>0</v>
      </c>
      <c r="L545" t="n">
        <v>0</v>
      </c>
      <c r="M545" t="n">
        <v>0</v>
      </c>
      <c r="N545" t="n">
        <v>0</v>
      </c>
      <c r="O545" t="n">
        <v>0</v>
      </c>
      <c r="P545" t="n">
        <v>0</v>
      </c>
      <c r="Q545" t="n">
        <v>0</v>
      </c>
      <c r="R545" s="2" t="inlineStr"/>
    </row>
    <row r="546" ht="15" customHeight="1">
      <c r="A546" t="inlineStr">
        <is>
          <t>A 22854-2023</t>
        </is>
      </c>
      <c r="B546" s="1" t="n">
        <v>45072</v>
      </c>
      <c r="C546" s="1" t="n">
        <v>45695</v>
      </c>
      <c r="D546" t="inlineStr">
        <is>
          <t>DALARNAS LÄN</t>
        </is>
      </c>
      <c r="E546" t="inlineStr">
        <is>
          <t>MORA</t>
        </is>
      </c>
      <c r="G546" t="n">
        <v>3.3</v>
      </c>
      <c r="H546" t="n">
        <v>0</v>
      </c>
      <c r="I546" t="n">
        <v>0</v>
      </c>
      <c r="J546" t="n">
        <v>0</v>
      </c>
      <c r="K546" t="n">
        <v>0</v>
      </c>
      <c r="L546" t="n">
        <v>0</v>
      </c>
      <c r="M546" t="n">
        <v>0</v>
      </c>
      <c r="N546" t="n">
        <v>0</v>
      </c>
      <c r="O546" t="n">
        <v>0</v>
      </c>
      <c r="P546" t="n">
        <v>0</v>
      </c>
      <c r="Q546" t="n">
        <v>0</v>
      </c>
      <c r="R546" s="2" t="inlineStr"/>
    </row>
    <row r="547" ht="15" customHeight="1">
      <c r="A547" t="inlineStr">
        <is>
          <t>A 22887-2023</t>
        </is>
      </c>
      <c r="B547" s="1" t="n">
        <v>45072</v>
      </c>
      <c r="C547" s="1" t="n">
        <v>45695</v>
      </c>
      <c r="D547" t="inlineStr">
        <is>
          <t>DALARNAS LÄN</t>
        </is>
      </c>
      <c r="E547" t="inlineStr">
        <is>
          <t>MORA</t>
        </is>
      </c>
      <c r="G547" t="n">
        <v>3.6</v>
      </c>
      <c r="H547" t="n">
        <v>0</v>
      </c>
      <c r="I547" t="n">
        <v>0</v>
      </c>
      <c r="J547" t="n">
        <v>0</v>
      </c>
      <c r="K547" t="n">
        <v>0</v>
      </c>
      <c r="L547" t="n">
        <v>0</v>
      </c>
      <c r="M547" t="n">
        <v>0</v>
      </c>
      <c r="N547" t="n">
        <v>0</v>
      </c>
      <c r="O547" t="n">
        <v>0</v>
      </c>
      <c r="P547" t="n">
        <v>0</v>
      </c>
      <c r="Q547" t="n">
        <v>0</v>
      </c>
      <c r="R547" s="2" t="inlineStr"/>
    </row>
    <row r="548" ht="15" customHeight="1">
      <c r="A548" t="inlineStr">
        <is>
          <t>A 23113-2023</t>
        </is>
      </c>
      <c r="B548" s="1" t="n">
        <v>45075</v>
      </c>
      <c r="C548" s="1" t="n">
        <v>45695</v>
      </c>
      <c r="D548" t="inlineStr">
        <is>
          <t>DALARNAS LÄN</t>
        </is>
      </c>
      <c r="E548" t="inlineStr">
        <is>
          <t>MORA</t>
        </is>
      </c>
      <c r="G548" t="n">
        <v>18.3</v>
      </c>
      <c r="H548" t="n">
        <v>0</v>
      </c>
      <c r="I548" t="n">
        <v>0</v>
      </c>
      <c r="J548" t="n">
        <v>0</v>
      </c>
      <c r="K548" t="n">
        <v>0</v>
      </c>
      <c r="L548" t="n">
        <v>0</v>
      </c>
      <c r="M548" t="n">
        <v>0</v>
      </c>
      <c r="N548" t="n">
        <v>0</v>
      </c>
      <c r="O548" t="n">
        <v>0</v>
      </c>
      <c r="P548" t="n">
        <v>0</v>
      </c>
      <c r="Q548" t="n">
        <v>0</v>
      </c>
      <c r="R548" s="2" t="inlineStr"/>
    </row>
    <row r="549" ht="15" customHeight="1">
      <c r="A549" t="inlineStr">
        <is>
          <t>A 23192-2023</t>
        </is>
      </c>
      <c r="B549" s="1" t="n">
        <v>45075</v>
      </c>
      <c r="C549" s="1" t="n">
        <v>45695</v>
      </c>
      <c r="D549" t="inlineStr">
        <is>
          <t>DALARNAS LÄN</t>
        </is>
      </c>
      <c r="E549" t="inlineStr">
        <is>
          <t>MORA</t>
        </is>
      </c>
      <c r="G549" t="n">
        <v>12.3</v>
      </c>
      <c r="H549" t="n">
        <v>0</v>
      </c>
      <c r="I549" t="n">
        <v>0</v>
      </c>
      <c r="J549" t="n">
        <v>0</v>
      </c>
      <c r="K549" t="n">
        <v>0</v>
      </c>
      <c r="L549" t="n">
        <v>0</v>
      </c>
      <c r="M549" t="n">
        <v>0</v>
      </c>
      <c r="N549" t="n">
        <v>0</v>
      </c>
      <c r="O549" t="n">
        <v>0</v>
      </c>
      <c r="P549" t="n">
        <v>0</v>
      </c>
      <c r="Q549" t="n">
        <v>0</v>
      </c>
      <c r="R549" s="2" t="inlineStr"/>
    </row>
    <row r="550" ht="15" customHeight="1">
      <c r="A550" t="inlineStr">
        <is>
          <t>A 23194-2023</t>
        </is>
      </c>
      <c r="B550" s="1" t="n">
        <v>45075</v>
      </c>
      <c r="C550" s="1" t="n">
        <v>45695</v>
      </c>
      <c r="D550" t="inlineStr">
        <is>
          <t>DALARNAS LÄN</t>
        </is>
      </c>
      <c r="E550" t="inlineStr">
        <is>
          <t>MORA</t>
        </is>
      </c>
      <c r="G550" t="n">
        <v>2.3</v>
      </c>
      <c r="H550" t="n">
        <v>0</v>
      </c>
      <c r="I550" t="n">
        <v>0</v>
      </c>
      <c r="J550" t="n">
        <v>0</v>
      </c>
      <c r="K550" t="n">
        <v>0</v>
      </c>
      <c r="L550" t="n">
        <v>0</v>
      </c>
      <c r="M550" t="n">
        <v>0</v>
      </c>
      <c r="N550" t="n">
        <v>0</v>
      </c>
      <c r="O550" t="n">
        <v>0</v>
      </c>
      <c r="P550" t="n">
        <v>0</v>
      </c>
      <c r="Q550" t="n">
        <v>0</v>
      </c>
      <c r="R550" s="2" t="inlineStr"/>
    </row>
    <row r="551" ht="15" customHeight="1">
      <c r="A551" t="inlineStr">
        <is>
          <t>A 23586-2023</t>
        </is>
      </c>
      <c r="B551" s="1" t="n">
        <v>45077</v>
      </c>
      <c r="C551" s="1" t="n">
        <v>45695</v>
      </c>
      <c r="D551" t="inlineStr">
        <is>
          <t>DALARNAS LÄN</t>
        </is>
      </c>
      <c r="E551" t="inlineStr">
        <is>
          <t>MORA</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23737-2023</t>
        </is>
      </c>
      <c r="B552" s="1" t="n">
        <v>45077</v>
      </c>
      <c r="C552" s="1" t="n">
        <v>45695</v>
      </c>
      <c r="D552" t="inlineStr">
        <is>
          <t>DALARNAS LÄN</t>
        </is>
      </c>
      <c r="E552" t="inlineStr">
        <is>
          <t>MORA</t>
        </is>
      </c>
      <c r="G552" t="n">
        <v>5.4</v>
      </c>
      <c r="H552" t="n">
        <v>0</v>
      </c>
      <c r="I552" t="n">
        <v>0</v>
      </c>
      <c r="J552" t="n">
        <v>0</v>
      </c>
      <c r="K552" t="n">
        <v>0</v>
      </c>
      <c r="L552" t="n">
        <v>0</v>
      </c>
      <c r="M552" t="n">
        <v>0</v>
      </c>
      <c r="N552" t="n">
        <v>0</v>
      </c>
      <c r="O552" t="n">
        <v>0</v>
      </c>
      <c r="P552" t="n">
        <v>0</v>
      </c>
      <c r="Q552" t="n">
        <v>0</v>
      </c>
      <c r="R552" s="2" t="inlineStr"/>
    </row>
    <row r="553" ht="15" customHeight="1">
      <c r="A553" t="inlineStr">
        <is>
          <t>A 23948-2023</t>
        </is>
      </c>
      <c r="B553" s="1" t="n">
        <v>45078</v>
      </c>
      <c r="C553" s="1" t="n">
        <v>45695</v>
      </c>
      <c r="D553" t="inlineStr">
        <is>
          <t>DALARNAS LÄN</t>
        </is>
      </c>
      <c r="E553" t="inlineStr">
        <is>
          <t>MORA</t>
        </is>
      </c>
      <c r="G553" t="n">
        <v>6.4</v>
      </c>
      <c r="H553" t="n">
        <v>0</v>
      </c>
      <c r="I553" t="n">
        <v>0</v>
      </c>
      <c r="J553" t="n">
        <v>0</v>
      </c>
      <c r="K553" t="n">
        <v>0</v>
      </c>
      <c r="L553" t="n">
        <v>0</v>
      </c>
      <c r="M553" t="n">
        <v>0</v>
      </c>
      <c r="N553" t="n">
        <v>0</v>
      </c>
      <c r="O553" t="n">
        <v>0</v>
      </c>
      <c r="P553" t="n">
        <v>0</v>
      </c>
      <c r="Q553" t="n">
        <v>0</v>
      </c>
      <c r="R553" s="2" t="inlineStr"/>
    </row>
    <row r="554" ht="15" customHeight="1">
      <c r="A554" t="inlineStr">
        <is>
          <t>A 24085-2023</t>
        </is>
      </c>
      <c r="B554" s="1" t="n">
        <v>45079</v>
      </c>
      <c r="C554" s="1" t="n">
        <v>45695</v>
      </c>
      <c r="D554" t="inlineStr">
        <is>
          <t>DALARNAS LÄN</t>
        </is>
      </c>
      <c r="E554" t="inlineStr">
        <is>
          <t>MORA</t>
        </is>
      </c>
      <c r="G554" t="n">
        <v>2.8</v>
      </c>
      <c r="H554" t="n">
        <v>0</v>
      </c>
      <c r="I554" t="n">
        <v>0</v>
      </c>
      <c r="J554" t="n">
        <v>0</v>
      </c>
      <c r="K554" t="n">
        <v>0</v>
      </c>
      <c r="L554" t="n">
        <v>0</v>
      </c>
      <c r="M554" t="n">
        <v>0</v>
      </c>
      <c r="N554" t="n">
        <v>0</v>
      </c>
      <c r="O554" t="n">
        <v>0</v>
      </c>
      <c r="P554" t="n">
        <v>0</v>
      </c>
      <c r="Q554" t="n">
        <v>0</v>
      </c>
      <c r="R554" s="2" t="inlineStr"/>
    </row>
    <row r="555" ht="15" customHeight="1">
      <c r="A555" t="inlineStr">
        <is>
          <t>A 25200-2023</t>
        </is>
      </c>
      <c r="B555" s="1" t="n">
        <v>45079</v>
      </c>
      <c r="C555" s="1" t="n">
        <v>45695</v>
      </c>
      <c r="D555" t="inlineStr">
        <is>
          <t>DALARNAS LÄN</t>
        </is>
      </c>
      <c r="E555" t="inlineStr">
        <is>
          <t>MORA</t>
        </is>
      </c>
      <c r="G555" t="n">
        <v>11.2</v>
      </c>
      <c r="H555" t="n">
        <v>0</v>
      </c>
      <c r="I555" t="n">
        <v>0</v>
      </c>
      <c r="J555" t="n">
        <v>0</v>
      </c>
      <c r="K555" t="n">
        <v>0</v>
      </c>
      <c r="L555" t="n">
        <v>0</v>
      </c>
      <c r="M555" t="n">
        <v>0</v>
      </c>
      <c r="N555" t="n">
        <v>0</v>
      </c>
      <c r="O555" t="n">
        <v>0</v>
      </c>
      <c r="P555" t="n">
        <v>0</v>
      </c>
      <c r="Q555" t="n">
        <v>0</v>
      </c>
      <c r="R555" s="2" t="inlineStr"/>
    </row>
    <row r="556" ht="15" customHeight="1">
      <c r="A556" t="inlineStr">
        <is>
          <t>A 24634-2023</t>
        </is>
      </c>
      <c r="B556" s="1" t="n">
        <v>45084</v>
      </c>
      <c r="C556" s="1" t="n">
        <v>45695</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24664-2023</t>
        </is>
      </c>
      <c r="B557" s="1" t="n">
        <v>45084</v>
      </c>
      <c r="C557" s="1" t="n">
        <v>45695</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24657-2023</t>
        </is>
      </c>
      <c r="B558" s="1" t="n">
        <v>45084</v>
      </c>
      <c r="C558" s="1" t="n">
        <v>45695</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26273-2023</t>
        </is>
      </c>
      <c r="B559" s="1" t="n">
        <v>45086</v>
      </c>
      <c r="C559" s="1" t="n">
        <v>45695</v>
      </c>
      <c r="D559" t="inlineStr">
        <is>
          <t>DALARNAS LÄN</t>
        </is>
      </c>
      <c r="E559" t="inlineStr">
        <is>
          <t>MORA</t>
        </is>
      </c>
      <c r="G559" t="n">
        <v>3.9</v>
      </c>
      <c r="H559" t="n">
        <v>0</v>
      </c>
      <c r="I559" t="n">
        <v>0</v>
      </c>
      <c r="J559" t="n">
        <v>0</v>
      </c>
      <c r="K559" t="n">
        <v>0</v>
      </c>
      <c r="L559" t="n">
        <v>0</v>
      </c>
      <c r="M559" t="n">
        <v>0</v>
      </c>
      <c r="N559" t="n">
        <v>0</v>
      </c>
      <c r="O559" t="n">
        <v>0</v>
      </c>
      <c r="P559" t="n">
        <v>0</v>
      </c>
      <c r="Q559" t="n">
        <v>0</v>
      </c>
      <c r="R559" s="2" t="inlineStr"/>
    </row>
    <row r="560" ht="15" customHeight="1">
      <c r="A560" t="inlineStr">
        <is>
          <t>A 25629-2023</t>
        </is>
      </c>
      <c r="B560" s="1" t="n">
        <v>45089</v>
      </c>
      <c r="C560" s="1" t="n">
        <v>45695</v>
      </c>
      <c r="D560" t="inlineStr">
        <is>
          <t>DALARNAS LÄN</t>
        </is>
      </c>
      <c r="E560" t="inlineStr">
        <is>
          <t>MORA</t>
        </is>
      </c>
      <c r="F560" t="inlineStr">
        <is>
          <t>Bergvik skog väst AB</t>
        </is>
      </c>
      <c r="G560" t="n">
        <v>4.1</v>
      </c>
      <c r="H560" t="n">
        <v>0</v>
      </c>
      <c r="I560" t="n">
        <v>0</v>
      </c>
      <c r="J560" t="n">
        <v>0</v>
      </c>
      <c r="K560" t="n">
        <v>0</v>
      </c>
      <c r="L560" t="n">
        <v>0</v>
      </c>
      <c r="M560" t="n">
        <v>0</v>
      </c>
      <c r="N560" t="n">
        <v>0</v>
      </c>
      <c r="O560" t="n">
        <v>0</v>
      </c>
      <c r="P560" t="n">
        <v>0</v>
      </c>
      <c r="Q560" t="n">
        <v>0</v>
      </c>
      <c r="R560" s="2" t="inlineStr"/>
    </row>
    <row r="561" ht="15" customHeight="1">
      <c r="A561" t="inlineStr">
        <is>
          <t>A 25749-2023</t>
        </is>
      </c>
      <c r="B561" s="1" t="n">
        <v>45090</v>
      </c>
      <c r="C561" s="1" t="n">
        <v>45695</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25865-2023</t>
        </is>
      </c>
      <c r="B562" s="1" t="n">
        <v>45090</v>
      </c>
      <c r="C562" s="1" t="n">
        <v>45695</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25906-2023</t>
        </is>
      </c>
      <c r="B563" s="1" t="n">
        <v>45090</v>
      </c>
      <c r="C563" s="1" t="n">
        <v>45695</v>
      </c>
      <c r="D563" t="inlineStr">
        <is>
          <t>DALARNAS LÄN</t>
        </is>
      </c>
      <c r="E563" t="inlineStr">
        <is>
          <t>MORA</t>
        </is>
      </c>
      <c r="G563" t="n">
        <v>13.3</v>
      </c>
      <c r="H563" t="n">
        <v>0</v>
      </c>
      <c r="I563" t="n">
        <v>0</v>
      </c>
      <c r="J563" t="n">
        <v>0</v>
      </c>
      <c r="K563" t="n">
        <v>0</v>
      </c>
      <c r="L563" t="n">
        <v>0</v>
      </c>
      <c r="M563" t="n">
        <v>0</v>
      </c>
      <c r="N563" t="n">
        <v>0</v>
      </c>
      <c r="O563" t="n">
        <v>0</v>
      </c>
      <c r="P563" t="n">
        <v>0</v>
      </c>
      <c r="Q563" t="n">
        <v>0</v>
      </c>
      <c r="R563" s="2" t="inlineStr"/>
    </row>
    <row r="564" ht="15" customHeight="1">
      <c r="A564" t="inlineStr">
        <is>
          <t>A 25935-2023</t>
        </is>
      </c>
      <c r="B564" s="1" t="n">
        <v>45090</v>
      </c>
      <c r="C564" s="1" t="n">
        <v>45695</v>
      </c>
      <c r="D564" t="inlineStr">
        <is>
          <t>DALARNAS LÄN</t>
        </is>
      </c>
      <c r="E564" t="inlineStr">
        <is>
          <t>MORA</t>
        </is>
      </c>
      <c r="G564" t="n">
        <v>1.4</v>
      </c>
      <c r="H564" t="n">
        <v>0</v>
      </c>
      <c r="I564" t="n">
        <v>0</v>
      </c>
      <c r="J564" t="n">
        <v>0</v>
      </c>
      <c r="K564" t="n">
        <v>0</v>
      </c>
      <c r="L564" t="n">
        <v>0</v>
      </c>
      <c r="M564" t="n">
        <v>0</v>
      </c>
      <c r="N564" t="n">
        <v>0</v>
      </c>
      <c r="O564" t="n">
        <v>0</v>
      </c>
      <c r="P564" t="n">
        <v>0</v>
      </c>
      <c r="Q564" t="n">
        <v>0</v>
      </c>
      <c r="R564" s="2" t="inlineStr"/>
    </row>
    <row r="565" ht="15" customHeight="1">
      <c r="A565" t="inlineStr">
        <is>
          <t>A 25869-2023</t>
        </is>
      </c>
      <c r="B565" s="1" t="n">
        <v>45090</v>
      </c>
      <c r="C565" s="1" t="n">
        <v>45695</v>
      </c>
      <c r="D565" t="inlineStr">
        <is>
          <t>DALARNAS LÄN</t>
        </is>
      </c>
      <c r="E565" t="inlineStr">
        <is>
          <t>MORA</t>
        </is>
      </c>
      <c r="G565" t="n">
        <v>2.1</v>
      </c>
      <c r="H565" t="n">
        <v>0</v>
      </c>
      <c r="I565" t="n">
        <v>0</v>
      </c>
      <c r="J565" t="n">
        <v>0</v>
      </c>
      <c r="K565" t="n">
        <v>0</v>
      </c>
      <c r="L565" t="n">
        <v>0</v>
      </c>
      <c r="M565" t="n">
        <v>0</v>
      </c>
      <c r="N565" t="n">
        <v>0</v>
      </c>
      <c r="O565" t="n">
        <v>0</v>
      </c>
      <c r="P565" t="n">
        <v>0</v>
      </c>
      <c r="Q565" t="n">
        <v>0</v>
      </c>
      <c r="R565" s="2" t="inlineStr"/>
    </row>
    <row r="566" ht="15" customHeight="1">
      <c r="A566" t="inlineStr">
        <is>
          <t>A 25874-2023</t>
        </is>
      </c>
      <c r="B566" s="1" t="n">
        <v>45090</v>
      </c>
      <c r="C566" s="1" t="n">
        <v>45695</v>
      </c>
      <c r="D566" t="inlineStr">
        <is>
          <t>DALARNAS LÄN</t>
        </is>
      </c>
      <c r="E566" t="inlineStr">
        <is>
          <t>MORA</t>
        </is>
      </c>
      <c r="G566" t="n">
        <v>4.6</v>
      </c>
      <c r="H566" t="n">
        <v>0</v>
      </c>
      <c r="I566" t="n">
        <v>0</v>
      </c>
      <c r="J566" t="n">
        <v>0</v>
      </c>
      <c r="K566" t="n">
        <v>0</v>
      </c>
      <c r="L566" t="n">
        <v>0</v>
      </c>
      <c r="M566" t="n">
        <v>0</v>
      </c>
      <c r="N566" t="n">
        <v>0</v>
      </c>
      <c r="O566" t="n">
        <v>0</v>
      </c>
      <c r="P566" t="n">
        <v>0</v>
      </c>
      <c r="Q566" t="n">
        <v>0</v>
      </c>
      <c r="R566" s="2" t="inlineStr"/>
    </row>
    <row r="567" ht="15" customHeight="1">
      <c r="A567" t="inlineStr">
        <is>
          <t>A 25881-2023</t>
        </is>
      </c>
      <c r="B567" s="1" t="n">
        <v>45090</v>
      </c>
      <c r="C567" s="1" t="n">
        <v>45695</v>
      </c>
      <c r="D567" t="inlineStr">
        <is>
          <t>DALARNAS LÄN</t>
        </is>
      </c>
      <c r="E567" t="inlineStr">
        <is>
          <t>MORA</t>
        </is>
      </c>
      <c r="G567" t="n">
        <v>8.5</v>
      </c>
      <c r="H567" t="n">
        <v>0</v>
      </c>
      <c r="I567" t="n">
        <v>0</v>
      </c>
      <c r="J567" t="n">
        <v>0</v>
      </c>
      <c r="K567" t="n">
        <v>0</v>
      </c>
      <c r="L567" t="n">
        <v>0</v>
      </c>
      <c r="M567" t="n">
        <v>0</v>
      </c>
      <c r="N567" t="n">
        <v>0</v>
      </c>
      <c r="O567" t="n">
        <v>0</v>
      </c>
      <c r="P567" t="n">
        <v>0</v>
      </c>
      <c r="Q567" t="n">
        <v>0</v>
      </c>
      <c r="R567" s="2" t="inlineStr"/>
    </row>
    <row r="568" ht="15" customHeight="1">
      <c r="A568" t="inlineStr">
        <is>
          <t>A 25887-2023</t>
        </is>
      </c>
      <c r="B568" s="1" t="n">
        <v>45090</v>
      </c>
      <c r="C568" s="1" t="n">
        <v>45695</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26786-2023</t>
        </is>
      </c>
      <c r="B569" s="1" t="n">
        <v>45093</v>
      </c>
      <c r="C569" s="1" t="n">
        <v>45695</v>
      </c>
      <c r="D569" t="inlineStr">
        <is>
          <t>DALARNAS LÄN</t>
        </is>
      </c>
      <c r="E569" t="inlineStr">
        <is>
          <t>MORA</t>
        </is>
      </c>
      <c r="G569" t="n">
        <v>1.5</v>
      </c>
      <c r="H569" t="n">
        <v>0</v>
      </c>
      <c r="I569" t="n">
        <v>0</v>
      </c>
      <c r="J569" t="n">
        <v>0</v>
      </c>
      <c r="K569" t="n">
        <v>0</v>
      </c>
      <c r="L569" t="n">
        <v>0</v>
      </c>
      <c r="M569" t="n">
        <v>0</v>
      </c>
      <c r="N569" t="n">
        <v>0</v>
      </c>
      <c r="O569" t="n">
        <v>0</v>
      </c>
      <c r="P569" t="n">
        <v>0</v>
      </c>
      <c r="Q569" t="n">
        <v>0</v>
      </c>
      <c r="R569" s="2" t="inlineStr"/>
    </row>
    <row r="570" ht="15" customHeight="1">
      <c r="A570" t="inlineStr">
        <is>
          <t>A 27188-2023</t>
        </is>
      </c>
      <c r="B570" s="1" t="n">
        <v>45096</v>
      </c>
      <c r="C570" s="1" t="n">
        <v>45695</v>
      </c>
      <c r="D570" t="inlineStr">
        <is>
          <t>DALARNAS LÄN</t>
        </is>
      </c>
      <c r="E570" t="inlineStr">
        <is>
          <t>MORA</t>
        </is>
      </c>
      <c r="G570" t="n">
        <v>4.8</v>
      </c>
      <c r="H570" t="n">
        <v>0</v>
      </c>
      <c r="I570" t="n">
        <v>0</v>
      </c>
      <c r="J570" t="n">
        <v>0</v>
      </c>
      <c r="K570" t="n">
        <v>0</v>
      </c>
      <c r="L570" t="n">
        <v>0</v>
      </c>
      <c r="M570" t="n">
        <v>0</v>
      </c>
      <c r="N570" t="n">
        <v>0</v>
      </c>
      <c r="O570" t="n">
        <v>0</v>
      </c>
      <c r="P570" t="n">
        <v>0</v>
      </c>
      <c r="Q570" t="n">
        <v>0</v>
      </c>
      <c r="R570" s="2" t="inlineStr"/>
    </row>
    <row r="571" ht="15" customHeight="1">
      <c r="A571" t="inlineStr">
        <is>
          <t>A 27880-2023</t>
        </is>
      </c>
      <c r="B571" s="1" t="n">
        <v>45098</v>
      </c>
      <c r="C571" s="1" t="n">
        <v>45695</v>
      </c>
      <c r="D571" t="inlineStr">
        <is>
          <t>DALARNAS LÄN</t>
        </is>
      </c>
      <c r="E571" t="inlineStr">
        <is>
          <t>MORA</t>
        </is>
      </c>
      <c r="F571" t="inlineStr">
        <is>
          <t>Bergvik skog öst AB</t>
        </is>
      </c>
      <c r="G571" t="n">
        <v>2.9</v>
      </c>
      <c r="H571" t="n">
        <v>0</v>
      </c>
      <c r="I571" t="n">
        <v>0</v>
      </c>
      <c r="J571" t="n">
        <v>0</v>
      </c>
      <c r="K571" t="n">
        <v>0</v>
      </c>
      <c r="L571" t="n">
        <v>0</v>
      </c>
      <c r="M571" t="n">
        <v>0</v>
      </c>
      <c r="N571" t="n">
        <v>0</v>
      </c>
      <c r="O571" t="n">
        <v>0</v>
      </c>
      <c r="P571" t="n">
        <v>0</v>
      </c>
      <c r="Q571" t="n">
        <v>0</v>
      </c>
      <c r="R571" s="2" t="inlineStr"/>
    </row>
    <row r="572" ht="15" customHeight="1">
      <c r="A572" t="inlineStr">
        <is>
          <t>A 27975-2023</t>
        </is>
      </c>
      <c r="B572" s="1" t="n">
        <v>45098</v>
      </c>
      <c r="C572" s="1" t="n">
        <v>45695</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28095-2023</t>
        </is>
      </c>
      <c r="B573" s="1" t="n">
        <v>45099</v>
      </c>
      <c r="C573" s="1" t="n">
        <v>45695</v>
      </c>
      <c r="D573" t="inlineStr">
        <is>
          <t>DALARNAS LÄN</t>
        </is>
      </c>
      <c r="E573" t="inlineStr">
        <is>
          <t>MORA</t>
        </is>
      </c>
      <c r="G573" t="n">
        <v>6.7</v>
      </c>
      <c r="H573" t="n">
        <v>0</v>
      </c>
      <c r="I573" t="n">
        <v>0</v>
      </c>
      <c r="J573" t="n">
        <v>0</v>
      </c>
      <c r="K573" t="n">
        <v>0</v>
      </c>
      <c r="L573" t="n">
        <v>0</v>
      </c>
      <c r="M573" t="n">
        <v>0</v>
      </c>
      <c r="N573" t="n">
        <v>0</v>
      </c>
      <c r="O573" t="n">
        <v>0</v>
      </c>
      <c r="P573" t="n">
        <v>0</v>
      </c>
      <c r="Q573" t="n">
        <v>0</v>
      </c>
      <c r="R573" s="2" t="inlineStr"/>
    </row>
    <row r="574" ht="15" customHeight="1">
      <c r="A574" t="inlineStr">
        <is>
          <t>A 28315-2023</t>
        </is>
      </c>
      <c r="B574" s="1" t="n">
        <v>45099</v>
      </c>
      <c r="C574" s="1" t="n">
        <v>45695</v>
      </c>
      <c r="D574" t="inlineStr">
        <is>
          <t>DALARNAS LÄN</t>
        </is>
      </c>
      <c r="E574" t="inlineStr">
        <is>
          <t>MORA</t>
        </is>
      </c>
      <c r="G574" t="n">
        <v>5.4</v>
      </c>
      <c r="H574" t="n">
        <v>0</v>
      </c>
      <c r="I574" t="n">
        <v>0</v>
      </c>
      <c r="J574" t="n">
        <v>0</v>
      </c>
      <c r="K574" t="n">
        <v>0</v>
      </c>
      <c r="L574" t="n">
        <v>0</v>
      </c>
      <c r="M574" t="n">
        <v>0</v>
      </c>
      <c r="N574" t="n">
        <v>0</v>
      </c>
      <c r="O574" t="n">
        <v>0</v>
      </c>
      <c r="P574" t="n">
        <v>0</v>
      </c>
      <c r="Q574" t="n">
        <v>0</v>
      </c>
      <c r="R574" s="2" t="inlineStr"/>
    </row>
    <row r="575" ht="15" customHeight="1">
      <c r="A575" t="inlineStr">
        <is>
          <t>A 28318-2023</t>
        </is>
      </c>
      <c r="B575" s="1" t="n">
        <v>45099</v>
      </c>
      <c r="C575" s="1" t="n">
        <v>45695</v>
      </c>
      <c r="D575" t="inlineStr">
        <is>
          <t>DALARNAS LÄN</t>
        </is>
      </c>
      <c r="E575" t="inlineStr">
        <is>
          <t>MORA</t>
        </is>
      </c>
      <c r="G575" t="n">
        <v>0.5</v>
      </c>
      <c r="H575" t="n">
        <v>0</v>
      </c>
      <c r="I575" t="n">
        <v>0</v>
      </c>
      <c r="J575" t="n">
        <v>0</v>
      </c>
      <c r="K575" t="n">
        <v>0</v>
      </c>
      <c r="L575" t="n">
        <v>0</v>
      </c>
      <c r="M575" t="n">
        <v>0</v>
      </c>
      <c r="N575" t="n">
        <v>0</v>
      </c>
      <c r="O575" t="n">
        <v>0</v>
      </c>
      <c r="P575" t="n">
        <v>0</v>
      </c>
      <c r="Q575" t="n">
        <v>0</v>
      </c>
      <c r="R575" s="2" t="inlineStr"/>
    </row>
    <row r="576" ht="15" customHeight="1">
      <c r="A576" t="inlineStr">
        <is>
          <t>A 28596-2023</t>
        </is>
      </c>
      <c r="B576" s="1" t="n">
        <v>45103</v>
      </c>
      <c r="C576" s="1" t="n">
        <v>45695</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28832-2023</t>
        </is>
      </c>
      <c r="B577" s="1" t="n">
        <v>45104</v>
      </c>
      <c r="C577" s="1" t="n">
        <v>45695</v>
      </c>
      <c r="D577" t="inlineStr">
        <is>
          <t>DALARNAS LÄN</t>
        </is>
      </c>
      <c r="E577" t="inlineStr">
        <is>
          <t>MORA</t>
        </is>
      </c>
      <c r="F577" t="inlineStr">
        <is>
          <t>Bergvik skog öst AB</t>
        </is>
      </c>
      <c r="G577" t="n">
        <v>2</v>
      </c>
      <c r="H577" t="n">
        <v>0</v>
      </c>
      <c r="I577" t="n">
        <v>0</v>
      </c>
      <c r="J577" t="n">
        <v>0</v>
      </c>
      <c r="K577" t="n">
        <v>0</v>
      </c>
      <c r="L577" t="n">
        <v>0</v>
      </c>
      <c r="M577" t="n">
        <v>0</v>
      </c>
      <c r="N577" t="n">
        <v>0</v>
      </c>
      <c r="O577" t="n">
        <v>0</v>
      </c>
      <c r="P577" t="n">
        <v>0</v>
      </c>
      <c r="Q577" t="n">
        <v>0</v>
      </c>
      <c r="R577" s="2" t="inlineStr"/>
    </row>
    <row r="578" ht="15" customHeight="1">
      <c r="A578" t="inlineStr">
        <is>
          <t>A 28934-2023</t>
        </is>
      </c>
      <c r="B578" s="1" t="n">
        <v>45104</v>
      </c>
      <c r="C578" s="1" t="n">
        <v>45695</v>
      </c>
      <c r="D578" t="inlineStr">
        <is>
          <t>DALARNAS LÄN</t>
        </is>
      </c>
      <c r="E578" t="inlineStr">
        <is>
          <t>MORA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29022-2023</t>
        </is>
      </c>
      <c r="B579" s="1" t="n">
        <v>45104</v>
      </c>
      <c r="C579" s="1" t="n">
        <v>45695</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29118-2023</t>
        </is>
      </c>
      <c r="B580" s="1" t="n">
        <v>45105</v>
      </c>
      <c r="C580" s="1" t="n">
        <v>45695</v>
      </c>
      <c r="D580" t="inlineStr">
        <is>
          <t>DALARNAS LÄN</t>
        </is>
      </c>
      <c r="E580" t="inlineStr">
        <is>
          <t>MORA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29191-2023</t>
        </is>
      </c>
      <c r="B581" s="1" t="n">
        <v>45105</v>
      </c>
      <c r="C581" s="1" t="n">
        <v>45695</v>
      </c>
      <c r="D581" t="inlineStr">
        <is>
          <t>DALARNAS LÄN</t>
        </is>
      </c>
      <c r="E581" t="inlineStr">
        <is>
          <t>MORA</t>
        </is>
      </c>
      <c r="G581" t="n">
        <v>0.9</v>
      </c>
      <c r="H581" t="n">
        <v>0</v>
      </c>
      <c r="I581" t="n">
        <v>0</v>
      </c>
      <c r="J581" t="n">
        <v>0</v>
      </c>
      <c r="K581" t="n">
        <v>0</v>
      </c>
      <c r="L581" t="n">
        <v>0</v>
      </c>
      <c r="M581" t="n">
        <v>0</v>
      </c>
      <c r="N581" t="n">
        <v>0</v>
      </c>
      <c r="O581" t="n">
        <v>0</v>
      </c>
      <c r="P581" t="n">
        <v>0</v>
      </c>
      <c r="Q581" t="n">
        <v>0</v>
      </c>
      <c r="R581" s="2" t="inlineStr"/>
    </row>
    <row r="582" ht="15" customHeight="1">
      <c r="A582" t="inlineStr">
        <is>
          <t>A 29193-2023</t>
        </is>
      </c>
      <c r="B582" s="1" t="n">
        <v>45105</v>
      </c>
      <c r="C582" s="1" t="n">
        <v>45695</v>
      </c>
      <c r="D582" t="inlineStr">
        <is>
          <t>DALARNAS LÄN</t>
        </is>
      </c>
      <c r="E582" t="inlineStr">
        <is>
          <t>MORA</t>
        </is>
      </c>
      <c r="G582" t="n">
        <v>0.4</v>
      </c>
      <c r="H582" t="n">
        <v>0</v>
      </c>
      <c r="I582" t="n">
        <v>0</v>
      </c>
      <c r="J582" t="n">
        <v>0</v>
      </c>
      <c r="K582" t="n">
        <v>0</v>
      </c>
      <c r="L582" t="n">
        <v>0</v>
      </c>
      <c r="M582" t="n">
        <v>0</v>
      </c>
      <c r="N582" t="n">
        <v>0</v>
      </c>
      <c r="O582" t="n">
        <v>0</v>
      </c>
      <c r="P582" t="n">
        <v>0</v>
      </c>
      <c r="Q582" t="n">
        <v>0</v>
      </c>
      <c r="R582" s="2" t="inlineStr"/>
    </row>
    <row r="583" ht="15" customHeight="1">
      <c r="A583" t="inlineStr">
        <is>
          <t>A 29116-2023</t>
        </is>
      </c>
      <c r="B583" s="1" t="n">
        <v>45105</v>
      </c>
      <c r="C583" s="1" t="n">
        <v>45695</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29188-2023</t>
        </is>
      </c>
      <c r="B584" s="1" t="n">
        <v>45105</v>
      </c>
      <c r="C584" s="1" t="n">
        <v>45695</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29192-2023</t>
        </is>
      </c>
      <c r="B585" s="1" t="n">
        <v>45105</v>
      </c>
      <c r="C585" s="1" t="n">
        <v>45695</v>
      </c>
      <c r="D585" t="inlineStr">
        <is>
          <t>DALARNAS LÄN</t>
        </is>
      </c>
      <c r="E585" t="inlineStr">
        <is>
          <t>MORA</t>
        </is>
      </c>
      <c r="G585" t="n">
        <v>10.5</v>
      </c>
      <c r="H585" t="n">
        <v>0</v>
      </c>
      <c r="I585" t="n">
        <v>0</v>
      </c>
      <c r="J585" t="n">
        <v>0</v>
      </c>
      <c r="K585" t="n">
        <v>0</v>
      </c>
      <c r="L585" t="n">
        <v>0</v>
      </c>
      <c r="M585" t="n">
        <v>0</v>
      </c>
      <c r="N585" t="n">
        <v>0</v>
      </c>
      <c r="O585" t="n">
        <v>0</v>
      </c>
      <c r="P585" t="n">
        <v>0</v>
      </c>
      <c r="Q585" t="n">
        <v>0</v>
      </c>
      <c r="R585" s="2" t="inlineStr"/>
    </row>
    <row r="586" ht="15" customHeight="1">
      <c r="A586" t="inlineStr">
        <is>
          <t>A 31040-2023</t>
        </is>
      </c>
      <c r="B586" s="1" t="n">
        <v>45113</v>
      </c>
      <c r="C586" s="1" t="n">
        <v>45695</v>
      </c>
      <c r="D586" t="inlineStr">
        <is>
          <t>DALARNAS LÄN</t>
        </is>
      </c>
      <c r="E586" t="inlineStr">
        <is>
          <t>MORA</t>
        </is>
      </c>
      <c r="F586" t="inlineStr">
        <is>
          <t>Bergvik skog väst AB</t>
        </is>
      </c>
      <c r="G586" t="n">
        <v>11.6</v>
      </c>
      <c r="H586" t="n">
        <v>0</v>
      </c>
      <c r="I586" t="n">
        <v>0</v>
      </c>
      <c r="J586" t="n">
        <v>0</v>
      </c>
      <c r="K586" t="n">
        <v>0</v>
      </c>
      <c r="L586" t="n">
        <v>0</v>
      </c>
      <c r="M586" t="n">
        <v>0</v>
      </c>
      <c r="N586" t="n">
        <v>0</v>
      </c>
      <c r="O586" t="n">
        <v>0</v>
      </c>
      <c r="P586" t="n">
        <v>0</v>
      </c>
      <c r="Q586" t="n">
        <v>0</v>
      </c>
      <c r="R586" s="2" t="inlineStr"/>
    </row>
    <row r="587" ht="15" customHeight="1">
      <c r="A587" t="inlineStr">
        <is>
          <t>A 31241-2023</t>
        </is>
      </c>
      <c r="B587" s="1" t="n">
        <v>45114</v>
      </c>
      <c r="C587" s="1" t="n">
        <v>45695</v>
      </c>
      <c r="D587" t="inlineStr">
        <is>
          <t>DALARNAS LÄN</t>
        </is>
      </c>
      <c r="E587" t="inlineStr">
        <is>
          <t>MORA</t>
        </is>
      </c>
      <c r="G587" t="n">
        <v>17.5</v>
      </c>
      <c r="H587" t="n">
        <v>0</v>
      </c>
      <c r="I587" t="n">
        <v>0</v>
      </c>
      <c r="J587" t="n">
        <v>0</v>
      </c>
      <c r="K587" t="n">
        <v>0</v>
      </c>
      <c r="L587" t="n">
        <v>0</v>
      </c>
      <c r="M587" t="n">
        <v>0</v>
      </c>
      <c r="N587" t="n">
        <v>0</v>
      </c>
      <c r="O587" t="n">
        <v>0</v>
      </c>
      <c r="P587" t="n">
        <v>0</v>
      </c>
      <c r="Q587" t="n">
        <v>0</v>
      </c>
      <c r="R587" s="2" t="inlineStr"/>
    </row>
    <row r="588" ht="15" customHeight="1">
      <c r="A588" t="inlineStr">
        <is>
          <t>A 31366-2023</t>
        </is>
      </c>
      <c r="B588" s="1" t="n">
        <v>45114</v>
      </c>
      <c r="C588" s="1" t="n">
        <v>45695</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33676-2023</t>
        </is>
      </c>
      <c r="B589" s="1" t="n">
        <v>45132</v>
      </c>
      <c r="C589" s="1" t="n">
        <v>45695</v>
      </c>
      <c r="D589" t="inlineStr">
        <is>
          <t>DALARNAS LÄN</t>
        </is>
      </c>
      <c r="E589" t="inlineStr">
        <is>
          <t>MORA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34193-2023</t>
        </is>
      </c>
      <c r="B590" s="1" t="n">
        <v>45138</v>
      </c>
      <c r="C590" s="1" t="n">
        <v>45695</v>
      </c>
      <c r="D590" t="inlineStr">
        <is>
          <t>DALARNAS LÄN</t>
        </is>
      </c>
      <c r="E590" t="inlineStr">
        <is>
          <t>MORA</t>
        </is>
      </c>
      <c r="G590" t="n">
        <v>10.4</v>
      </c>
      <c r="H590" t="n">
        <v>0</v>
      </c>
      <c r="I590" t="n">
        <v>0</v>
      </c>
      <c r="J590" t="n">
        <v>0</v>
      </c>
      <c r="K590" t="n">
        <v>0</v>
      </c>
      <c r="L590" t="n">
        <v>0</v>
      </c>
      <c r="M590" t="n">
        <v>0</v>
      </c>
      <c r="N590" t="n">
        <v>0</v>
      </c>
      <c r="O590" t="n">
        <v>0</v>
      </c>
      <c r="P590" t="n">
        <v>0</v>
      </c>
      <c r="Q590" t="n">
        <v>0</v>
      </c>
      <c r="R590" s="2" t="inlineStr"/>
    </row>
    <row r="591" ht="15" customHeight="1">
      <c r="A591" t="inlineStr">
        <is>
          <t>A 34278-2023</t>
        </is>
      </c>
      <c r="B591" s="1" t="n">
        <v>45138</v>
      </c>
      <c r="C591" s="1" t="n">
        <v>45695</v>
      </c>
      <c r="D591" t="inlineStr">
        <is>
          <t>DALARNAS LÄN</t>
        </is>
      </c>
      <c r="E591" t="inlineStr">
        <is>
          <t>MORA</t>
        </is>
      </c>
      <c r="G591" t="n">
        <v>3.1</v>
      </c>
      <c r="H591" t="n">
        <v>0</v>
      </c>
      <c r="I591" t="n">
        <v>0</v>
      </c>
      <c r="J591" t="n">
        <v>0</v>
      </c>
      <c r="K591" t="n">
        <v>0</v>
      </c>
      <c r="L591" t="n">
        <v>0</v>
      </c>
      <c r="M591" t="n">
        <v>0</v>
      </c>
      <c r="N591" t="n">
        <v>0</v>
      </c>
      <c r="O591" t="n">
        <v>0</v>
      </c>
      <c r="P591" t="n">
        <v>0</v>
      </c>
      <c r="Q591" t="n">
        <v>0</v>
      </c>
      <c r="R591" s="2" t="inlineStr"/>
    </row>
    <row r="592" ht="15" customHeight="1">
      <c r="A592" t="inlineStr">
        <is>
          <t>A 35040-2023</t>
        </is>
      </c>
      <c r="B592" s="1" t="n">
        <v>45145</v>
      </c>
      <c r="C592" s="1" t="n">
        <v>45695</v>
      </c>
      <c r="D592" t="inlineStr">
        <is>
          <t>DALARNAS LÄN</t>
        </is>
      </c>
      <c r="E592" t="inlineStr">
        <is>
          <t>MORA</t>
        </is>
      </c>
      <c r="G592" t="n">
        <v>2.1</v>
      </c>
      <c r="H592" t="n">
        <v>0</v>
      </c>
      <c r="I592" t="n">
        <v>0</v>
      </c>
      <c r="J592" t="n">
        <v>0</v>
      </c>
      <c r="K592" t="n">
        <v>0</v>
      </c>
      <c r="L592" t="n">
        <v>0</v>
      </c>
      <c r="M592" t="n">
        <v>0</v>
      </c>
      <c r="N592" t="n">
        <v>0</v>
      </c>
      <c r="O592" t="n">
        <v>0</v>
      </c>
      <c r="P592" t="n">
        <v>0</v>
      </c>
      <c r="Q592" t="n">
        <v>0</v>
      </c>
      <c r="R592" s="2" t="inlineStr"/>
    </row>
    <row r="593" ht="15" customHeight="1">
      <c r="A593" t="inlineStr">
        <is>
          <t>A 35041-2023</t>
        </is>
      </c>
      <c r="B593" s="1" t="n">
        <v>45145</v>
      </c>
      <c r="C593" s="1" t="n">
        <v>45695</v>
      </c>
      <c r="D593" t="inlineStr">
        <is>
          <t>DALARNAS LÄN</t>
        </is>
      </c>
      <c r="E593" t="inlineStr">
        <is>
          <t>MORA</t>
        </is>
      </c>
      <c r="G593" t="n">
        <v>15.4</v>
      </c>
      <c r="H593" t="n">
        <v>0</v>
      </c>
      <c r="I593" t="n">
        <v>0</v>
      </c>
      <c r="J593" t="n">
        <v>0</v>
      </c>
      <c r="K593" t="n">
        <v>0</v>
      </c>
      <c r="L593" t="n">
        <v>0</v>
      </c>
      <c r="M593" t="n">
        <v>0</v>
      </c>
      <c r="N593" t="n">
        <v>0</v>
      </c>
      <c r="O593" t="n">
        <v>0</v>
      </c>
      <c r="P593" t="n">
        <v>0</v>
      </c>
      <c r="Q593" t="n">
        <v>0</v>
      </c>
      <c r="R593" s="2" t="inlineStr"/>
    </row>
    <row r="594" ht="15" customHeight="1">
      <c r="A594" t="inlineStr">
        <is>
          <t>A 35236-2023</t>
        </is>
      </c>
      <c r="B594" s="1" t="n">
        <v>45145</v>
      </c>
      <c r="C594" s="1" t="n">
        <v>45695</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35033-2023</t>
        </is>
      </c>
      <c r="B595" s="1" t="n">
        <v>45145</v>
      </c>
      <c r="C595" s="1" t="n">
        <v>45695</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35551-2023</t>
        </is>
      </c>
      <c r="B596" s="1" t="n">
        <v>45147</v>
      </c>
      <c r="C596" s="1" t="n">
        <v>45695</v>
      </c>
      <c r="D596" t="inlineStr">
        <is>
          <t>DALARNAS LÄN</t>
        </is>
      </c>
      <c r="E596" t="inlineStr">
        <is>
          <t>MORA</t>
        </is>
      </c>
      <c r="G596" t="n">
        <v>1.1</v>
      </c>
      <c r="H596" t="n">
        <v>0</v>
      </c>
      <c r="I596" t="n">
        <v>0</v>
      </c>
      <c r="J596" t="n">
        <v>0</v>
      </c>
      <c r="K596" t="n">
        <v>0</v>
      </c>
      <c r="L596" t="n">
        <v>0</v>
      </c>
      <c r="M596" t="n">
        <v>0</v>
      </c>
      <c r="N596" t="n">
        <v>0</v>
      </c>
      <c r="O596" t="n">
        <v>0</v>
      </c>
      <c r="P596" t="n">
        <v>0</v>
      </c>
      <c r="Q596" t="n">
        <v>0</v>
      </c>
      <c r="R596" s="2" t="inlineStr"/>
    </row>
    <row r="597" ht="15" customHeight="1">
      <c r="A597" t="inlineStr">
        <is>
          <t>A 35521-2023</t>
        </is>
      </c>
      <c r="B597" s="1" t="n">
        <v>45147</v>
      </c>
      <c r="C597" s="1" t="n">
        <v>45695</v>
      </c>
      <c r="D597" t="inlineStr">
        <is>
          <t>DALARNAS LÄN</t>
        </is>
      </c>
      <c r="E597" t="inlineStr">
        <is>
          <t>MORA</t>
        </is>
      </c>
      <c r="G597" t="n">
        <v>3.7</v>
      </c>
      <c r="H597" t="n">
        <v>0</v>
      </c>
      <c r="I597" t="n">
        <v>0</v>
      </c>
      <c r="J597" t="n">
        <v>0</v>
      </c>
      <c r="K597" t="n">
        <v>0</v>
      </c>
      <c r="L597" t="n">
        <v>0</v>
      </c>
      <c r="M597" t="n">
        <v>0</v>
      </c>
      <c r="N597" t="n">
        <v>0</v>
      </c>
      <c r="O597" t="n">
        <v>0</v>
      </c>
      <c r="P597" t="n">
        <v>0</v>
      </c>
      <c r="Q597" t="n">
        <v>0</v>
      </c>
      <c r="R597" s="2" t="inlineStr"/>
    </row>
    <row r="598" ht="15" customHeight="1">
      <c r="A598" t="inlineStr">
        <is>
          <t>A 35923-2023</t>
        </is>
      </c>
      <c r="B598" s="1" t="n">
        <v>45148</v>
      </c>
      <c r="C598" s="1" t="n">
        <v>45695</v>
      </c>
      <c r="D598" t="inlineStr">
        <is>
          <t>DALARNAS LÄN</t>
        </is>
      </c>
      <c r="E598" t="inlineStr">
        <is>
          <t>MORA</t>
        </is>
      </c>
      <c r="G598" t="n">
        <v>10.7</v>
      </c>
      <c r="H598" t="n">
        <v>0</v>
      </c>
      <c r="I598" t="n">
        <v>0</v>
      </c>
      <c r="J598" t="n">
        <v>0</v>
      </c>
      <c r="K598" t="n">
        <v>0</v>
      </c>
      <c r="L598" t="n">
        <v>0</v>
      </c>
      <c r="M598" t="n">
        <v>0</v>
      </c>
      <c r="N598" t="n">
        <v>0</v>
      </c>
      <c r="O598" t="n">
        <v>0</v>
      </c>
      <c r="P598" t="n">
        <v>0</v>
      </c>
      <c r="Q598" t="n">
        <v>0</v>
      </c>
      <c r="R598" s="2" t="inlineStr"/>
    </row>
    <row r="599" ht="15" customHeight="1">
      <c r="A599" t="inlineStr">
        <is>
          <t>A 36740-2023</t>
        </is>
      </c>
      <c r="B599" s="1" t="n">
        <v>45153</v>
      </c>
      <c r="C599" s="1" t="n">
        <v>45695</v>
      </c>
      <c r="D599" t="inlineStr">
        <is>
          <t>DALARNAS LÄN</t>
        </is>
      </c>
      <c r="E599" t="inlineStr">
        <is>
          <t>MORA</t>
        </is>
      </c>
      <c r="G599" t="n">
        <v>0.2</v>
      </c>
      <c r="H599" t="n">
        <v>0</v>
      </c>
      <c r="I599" t="n">
        <v>0</v>
      </c>
      <c r="J599" t="n">
        <v>0</v>
      </c>
      <c r="K599" t="n">
        <v>0</v>
      </c>
      <c r="L599" t="n">
        <v>0</v>
      </c>
      <c r="M599" t="n">
        <v>0</v>
      </c>
      <c r="N599" t="n">
        <v>0</v>
      </c>
      <c r="O599" t="n">
        <v>0</v>
      </c>
      <c r="P599" t="n">
        <v>0</v>
      </c>
      <c r="Q599" t="n">
        <v>0</v>
      </c>
      <c r="R599" s="2" t="inlineStr"/>
    </row>
    <row r="600" ht="15" customHeight="1">
      <c r="A600" t="inlineStr">
        <is>
          <t>A 36600-2023</t>
        </is>
      </c>
      <c r="B600" s="1" t="n">
        <v>45153</v>
      </c>
      <c r="C600" s="1" t="n">
        <v>45695</v>
      </c>
      <c r="D600" t="inlineStr">
        <is>
          <t>DALARNAS LÄN</t>
        </is>
      </c>
      <c r="E600" t="inlineStr">
        <is>
          <t>MORA</t>
        </is>
      </c>
      <c r="G600" t="n">
        <v>7.3</v>
      </c>
      <c r="H600" t="n">
        <v>0</v>
      </c>
      <c r="I600" t="n">
        <v>0</v>
      </c>
      <c r="J600" t="n">
        <v>0</v>
      </c>
      <c r="K600" t="n">
        <v>0</v>
      </c>
      <c r="L600" t="n">
        <v>0</v>
      </c>
      <c r="M600" t="n">
        <v>0</v>
      </c>
      <c r="N600" t="n">
        <v>0</v>
      </c>
      <c r="O600" t="n">
        <v>0</v>
      </c>
      <c r="P600" t="n">
        <v>0</v>
      </c>
      <c r="Q600" t="n">
        <v>0</v>
      </c>
      <c r="R600" s="2" t="inlineStr"/>
    </row>
    <row r="601" ht="15" customHeight="1">
      <c r="A601" t="inlineStr">
        <is>
          <t>A 37552-2023</t>
        </is>
      </c>
      <c r="B601" s="1" t="n">
        <v>45159</v>
      </c>
      <c r="C601" s="1" t="n">
        <v>45695</v>
      </c>
      <c r="D601" t="inlineStr">
        <is>
          <t>DALARNAS LÄN</t>
        </is>
      </c>
      <c r="E601" t="inlineStr">
        <is>
          <t>MORA</t>
        </is>
      </c>
      <c r="G601" t="n">
        <v>4</v>
      </c>
      <c r="H601" t="n">
        <v>0</v>
      </c>
      <c r="I601" t="n">
        <v>0</v>
      </c>
      <c r="J601" t="n">
        <v>0</v>
      </c>
      <c r="K601" t="n">
        <v>0</v>
      </c>
      <c r="L601" t="n">
        <v>0</v>
      </c>
      <c r="M601" t="n">
        <v>0</v>
      </c>
      <c r="N601" t="n">
        <v>0</v>
      </c>
      <c r="O601" t="n">
        <v>0</v>
      </c>
      <c r="P601" t="n">
        <v>0</v>
      </c>
      <c r="Q601" t="n">
        <v>0</v>
      </c>
      <c r="R601" s="2" t="inlineStr"/>
    </row>
    <row r="602" ht="15" customHeight="1">
      <c r="A602" t="inlineStr">
        <is>
          <t>A 37553-2023</t>
        </is>
      </c>
      <c r="B602" s="1" t="n">
        <v>45159</v>
      </c>
      <c r="C602" s="1" t="n">
        <v>45695</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37710-2023</t>
        </is>
      </c>
      <c r="B603" s="1" t="n">
        <v>45159</v>
      </c>
      <c r="C603" s="1" t="n">
        <v>45695</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37554-2023</t>
        </is>
      </c>
      <c r="B604" s="1" t="n">
        <v>45159</v>
      </c>
      <c r="C604" s="1" t="n">
        <v>45695</v>
      </c>
      <c r="D604" t="inlineStr">
        <is>
          <t>DALARNAS LÄN</t>
        </is>
      </c>
      <c r="E604" t="inlineStr">
        <is>
          <t>MORA</t>
        </is>
      </c>
      <c r="G604" t="n">
        <v>4.3</v>
      </c>
      <c r="H604" t="n">
        <v>0</v>
      </c>
      <c r="I604" t="n">
        <v>0</v>
      </c>
      <c r="J604" t="n">
        <v>0</v>
      </c>
      <c r="K604" t="n">
        <v>0</v>
      </c>
      <c r="L604" t="n">
        <v>0</v>
      </c>
      <c r="M604" t="n">
        <v>0</v>
      </c>
      <c r="N604" t="n">
        <v>0</v>
      </c>
      <c r="O604" t="n">
        <v>0</v>
      </c>
      <c r="P604" t="n">
        <v>0</v>
      </c>
      <c r="Q604" t="n">
        <v>0</v>
      </c>
      <c r="R604" s="2" t="inlineStr"/>
    </row>
    <row r="605" ht="15" customHeight="1">
      <c r="A605" t="inlineStr">
        <is>
          <t>A 37932-2023</t>
        </is>
      </c>
      <c r="B605" s="1" t="n">
        <v>45160</v>
      </c>
      <c r="C605" s="1" t="n">
        <v>45695</v>
      </c>
      <c r="D605" t="inlineStr">
        <is>
          <t>DALARNAS LÄN</t>
        </is>
      </c>
      <c r="E605" t="inlineStr">
        <is>
          <t>MORA</t>
        </is>
      </c>
      <c r="G605" t="n">
        <v>4.9</v>
      </c>
      <c r="H605" t="n">
        <v>0</v>
      </c>
      <c r="I605" t="n">
        <v>0</v>
      </c>
      <c r="J605" t="n">
        <v>0</v>
      </c>
      <c r="K605" t="n">
        <v>0</v>
      </c>
      <c r="L605" t="n">
        <v>0</v>
      </c>
      <c r="M605" t="n">
        <v>0</v>
      </c>
      <c r="N605" t="n">
        <v>0</v>
      </c>
      <c r="O605" t="n">
        <v>0</v>
      </c>
      <c r="P605" t="n">
        <v>0</v>
      </c>
      <c r="Q605" t="n">
        <v>0</v>
      </c>
      <c r="R605" s="2" t="inlineStr"/>
    </row>
    <row r="606" ht="15" customHeight="1">
      <c r="A606" t="inlineStr">
        <is>
          <t>A 38159-2023</t>
        </is>
      </c>
      <c r="B606" s="1" t="n">
        <v>45161</v>
      </c>
      <c r="C606" s="1" t="n">
        <v>45695</v>
      </c>
      <c r="D606" t="inlineStr">
        <is>
          <t>DALARNAS LÄN</t>
        </is>
      </c>
      <c r="E606" t="inlineStr">
        <is>
          <t>MORA</t>
        </is>
      </c>
      <c r="G606" t="n">
        <v>4.2</v>
      </c>
      <c r="H606" t="n">
        <v>0</v>
      </c>
      <c r="I606" t="n">
        <v>0</v>
      </c>
      <c r="J606" t="n">
        <v>0</v>
      </c>
      <c r="K606" t="n">
        <v>0</v>
      </c>
      <c r="L606" t="n">
        <v>0</v>
      </c>
      <c r="M606" t="n">
        <v>0</v>
      </c>
      <c r="N606" t="n">
        <v>0</v>
      </c>
      <c r="O606" t="n">
        <v>0</v>
      </c>
      <c r="P606" t="n">
        <v>0</v>
      </c>
      <c r="Q606" t="n">
        <v>0</v>
      </c>
      <c r="R606" s="2" t="inlineStr"/>
    </row>
    <row r="607" ht="15" customHeight="1">
      <c r="A607" t="inlineStr">
        <is>
          <t>A 38468-2023</t>
        </is>
      </c>
      <c r="B607" s="1" t="n">
        <v>45162</v>
      </c>
      <c r="C607" s="1" t="n">
        <v>45695</v>
      </c>
      <c r="D607" t="inlineStr">
        <is>
          <t>DALARNAS LÄN</t>
        </is>
      </c>
      <c r="E607" t="inlineStr">
        <is>
          <t>MORA</t>
        </is>
      </c>
      <c r="G607" t="n">
        <v>1.5</v>
      </c>
      <c r="H607" t="n">
        <v>0</v>
      </c>
      <c r="I607" t="n">
        <v>0</v>
      </c>
      <c r="J607" t="n">
        <v>0</v>
      </c>
      <c r="K607" t="n">
        <v>0</v>
      </c>
      <c r="L607" t="n">
        <v>0</v>
      </c>
      <c r="M607" t="n">
        <v>0</v>
      </c>
      <c r="N607" t="n">
        <v>0</v>
      </c>
      <c r="O607" t="n">
        <v>0</v>
      </c>
      <c r="P607" t="n">
        <v>0</v>
      </c>
      <c r="Q607" t="n">
        <v>0</v>
      </c>
      <c r="R607" s="2" t="inlineStr"/>
    </row>
    <row r="608" ht="15" customHeight="1">
      <c r="A608" t="inlineStr">
        <is>
          <t>A 38479-2023</t>
        </is>
      </c>
      <c r="B608" s="1" t="n">
        <v>45162</v>
      </c>
      <c r="C608" s="1" t="n">
        <v>45695</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39009-2023</t>
        </is>
      </c>
      <c r="B609" s="1" t="n">
        <v>45162</v>
      </c>
      <c r="C609" s="1" t="n">
        <v>45695</v>
      </c>
      <c r="D609" t="inlineStr">
        <is>
          <t>DALARNAS LÄN</t>
        </is>
      </c>
      <c r="E609" t="inlineStr">
        <is>
          <t>MORA</t>
        </is>
      </c>
      <c r="G609" t="n">
        <v>1.9</v>
      </c>
      <c r="H609" t="n">
        <v>0</v>
      </c>
      <c r="I609" t="n">
        <v>0</v>
      </c>
      <c r="J609" t="n">
        <v>0</v>
      </c>
      <c r="K609" t="n">
        <v>0</v>
      </c>
      <c r="L609" t="n">
        <v>0</v>
      </c>
      <c r="M609" t="n">
        <v>0</v>
      </c>
      <c r="N609" t="n">
        <v>0</v>
      </c>
      <c r="O609" t="n">
        <v>0</v>
      </c>
      <c r="P609" t="n">
        <v>0</v>
      </c>
      <c r="Q609" t="n">
        <v>0</v>
      </c>
      <c r="R609" s="2" t="inlineStr"/>
    </row>
    <row r="610" ht="15" customHeight="1">
      <c r="A610" t="inlineStr">
        <is>
          <t>A 38627-2023</t>
        </is>
      </c>
      <c r="B610" s="1" t="n">
        <v>45162</v>
      </c>
      <c r="C610" s="1" t="n">
        <v>45695</v>
      </c>
      <c r="D610" t="inlineStr">
        <is>
          <t>DALARNAS LÄN</t>
        </is>
      </c>
      <c r="E610" t="inlineStr">
        <is>
          <t>MORA</t>
        </is>
      </c>
      <c r="G610" t="n">
        <v>6.5</v>
      </c>
      <c r="H610" t="n">
        <v>0</v>
      </c>
      <c r="I610" t="n">
        <v>0</v>
      </c>
      <c r="J610" t="n">
        <v>0</v>
      </c>
      <c r="K610" t="n">
        <v>0</v>
      </c>
      <c r="L610" t="n">
        <v>0</v>
      </c>
      <c r="M610" t="n">
        <v>0</v>
      </c>
      <c r="N610" t="n">
        <v>0</v>
      </c>
      <c r="O610" t="n">
        <v>0</v>
      </c>
      <c r="P610" t="n">
        <v>0</v>
      </c>
      <c r="Q610" t="n">
        <v>0</v>
      </c>
      <c r="R610" s="2" t="inlineStr"/>
    </row>
    <row r="611" ht="15" customHeight="1">
      <c r="A611" t="inlineStr">
        <is>
          <t>A 39233-2023</t>
        </is>
      </c>
      <c r="B611" s="1" t="n">
        <v>45166</v>
      </c>
      <c r="C611" s="1" t="n">
        <v>45695</v>
      </c>
      <c r="D611" t="inlineStr">
        <is>
          <t>DALARNAS LÄN</t>
        </is>
      </c>
      <c r="E611" t="inlineStr">
        <is>
          <t>MORA</t>
        </is>
      </c>
      <c r="G611" t="n">
        <v>4.5</v>
      </c>
      <c r="H611" t="n">
        <v>0</v>
      </c>
      <c r="I611" t="n">
        <v>0</v>
      </c>
      <c r="J611" t="n">
        <v>0</v>
      </c>
      <c r="K611" t="n">
        <v>0</v>
      </c>
      <c r="L611" t="n">
        <v>0</v>
      </c>
      <c r="M611" t="n">
        <v>0</v>
      </c>
      <c r="N611" t="n">
        <v>0</v>
      </c>
      <c r="O611" t="n">
        <v>0</v>
      </c>
      <c r="P611" t="n">
        <v>0</v>
      </c>
      <c r="Q611" t="n">
        <v>0</v>
      </c>
      <c r="R611" s="2" t="inlineStr"/>
    </row>
    <row r="612" ht="15" customHeight="1">
      <c r="A612" t="inlineStr">
        <is>
          <t>A 39312-2023</t>
        </is>
      </c>
      <c r="B612" s="1" t="n">
        <v>45166</v>
      </c>
      <c r="C612" s="1" t="n">
        <v>45695</v>
      </c>
      <c r="D612" t="inlineStr">
        <is>
          <t>DALARNAS LÄN</t>
        </is>
      </c>
      <c r="E612" t="inlineStr">
        <is>
          <t>MORA</t>
        </is>
      </c>
      <c r="G612" t="n">
        <v>2.8</v>
      </c>
      <c r="H612" t="n">
        <v>0</v>
      </c>
      <c r="I612" t="n">
        <v>0</v>
      </c>
      <c r="J612" t="n">
        <v>0</v>
      </c>
      <c r="K612" t="n">
        <v>0</v>
      </c>
      <c r="L612" t="n">
        <v>0</v>
      </c>
      <c r="M612" t="n">
        <v>0</v>
      </c>
      <c r="N612" t="n">
        <v>0</v>
      </c>
      <c r="O612" t="n">
        <v>0</v>
      </c>
      <c r="P612" t="n">
        <v>0</v>
      </c>
      <c r="Q612" t="n">
        <v>0</v>
      </c>
      <c r="R612" s="2" t="inlineStr"/>
    </row>
    <row r="613" ht="15" customHeight="1">
      <c r="A613" t="inlineStr">
        <is>
          <t>A 39694-2023</t>
        </is>
      </c>
      <c r="B613" s="1" t="n">
        <v>45167</v>
      </c>
      <c r="C613" s="1" t="n">
        <v>45695</v>
      </c>
      <c r="D613" t="inlineStr">
        <is>
          <t>DALARNAS LÄN</t>
        </is>
      </c>
      <c r="E613" t="inlineStr">
        <is>
          <t>MORA</t>
        </is>
      </c>
      <c r="G613" t="n">
        <v>3.6</v>
      </c>
      <c r="H613" t="n">
        <v>0</v>
      </c>
      <c r="I613" t="n">
        <v>0</v>
      </c>
      <c r="J613" t="n">
        <v>0</v>
      </c>
      <c r="K613" t="n">
        <v>0</v>
      </c>
      <c r="L613" t="n">
        <v>0</v>
      </c>
      <c r="M613" t="n">
        <v>0</v>
      </c>
      <c r="N613" t="n">
        <v>0</v>
      </c>
      <c r="O613" t="n">
        <v>0</v>
      </c>
      <c r="P613" t="n">
        <v>0</v>
      </c>
      <c r="Q613" t="n">
        <v>0</v>
      </c>
      <c r="R613" s="2" t="inlineStr"/>
    </row>
    <row r="614" ht="15" customHeight="1">
      <c r="A614" t="inlineStr">
        <is>
          <t>A 39674-2023</t>
        </is>
      </c>
      <c r="B614" s="1" t="n">
        <v>45167</v>
      </c>
      <c r="C614" s="1" t="n">
        <v>45695</v>
      </c>
      <c r="D614" t="inlineStr">
        <is>
          <t>DALARNAS LÄN</t>
        </is>
      </c>
      <c r="E614" t="inlineStr">
        <is>
          <t>MORA</t>
        </is>
      </c>
      <c r="G614" t="n">
        <v>2.4</v>
      </c>
      <c r="H614" t="n">
        <v>0</v>
      </c>
      <c r="I614" t="n">
        <v>0</v>
      </c>
      <c r="J614" t="n">
        <v>0</v>
      </c>
      <c r="K614" t="n">
        <v>0</v>
      </c>
      <c r="L614" t="n">
        <v>0</v>
      </c>
      <c r="M614" t="n">
        <v>0</v>
      </c>
      <c r="N614" t="n">
        <v>0</v>
      </c>
      <c r="O614" t="n">
        <v>0</v>
      </c>
      <c r="P614" t="n">
        <v>0</v>
      </c>
      <c r="Q614" t="n">
        <v>0</v>
      </c>
      <c r="R614" s="2" t="inlineStr"/>
    </row>
    <row r="615" ht="15" customHeight="1">
      <c r="A615" t="inlineStr">
        <is>
          <t>A 39847-2023</t>
        </is>
      </c>
      <c r="B615" s="1" t="n">
        <v>45168</v>
      </c>
      <c r="C615" s="1" t="n">
        <v>45695</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40034-2023</t>
        </is>
      </c>
      <c r="B616" s="1" t="n">
        <v>45168</v>
      </c>
      <c r="C616" s="1" t="n">
        <v>45695</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40247-2023</t>
        </is>
      </c>
      <c r="B617" s="1" t="n">
        <v>45169</v>
      </c>
      <c r="C617" s="1" t="n">
        <v>45695</v>
      </c>
      <c r="D617" t="inlineStr">
        <is>
          <t>DALARNAS LÄN</t>
        </is>
      </c>
      <c r="E617" t="inlineStr">
        <is>
          <t>MORA</t>
        </is>
      </c>
      <c r="G617" t="n">
        <v>5.7</v>
      </c>
      <c r="H617" t="n">
        <v>0</v>
      </c>
      <c r="I617" t="n">
        <v>0</v>
      </c>
      <c r="J617" t="n">
        <v>0</v>
      </c>
      <c r="K617" t="n">
        <v>0</v>
      </c>
      <c r="L617" t="n">
        <v>0</v>
      </c>
      <c r="M617" t="n">
        <v>0</v>
      </c>
      <c r="N617" t="n">
        <v>0</v>
      </c>
      <c r="O617" t="n">
        <v>0</v>
      </c>
      <c r="P617" t="n">
        <v>0</v>
      </c>
      <c r="Q617" t="n">
        <v>0</v>
      </c>
      <c r="R617" s="2" t="inlineStr"/>
    </row>
    <row r="618" ht="15" customHeight="1">
      <c r="A618" t="inlineStr">
        <is>
          <t>A 40651-2023</t>
        </is>
      </c>
      <c r="B618" s="1" t="n">
        <v>45170</v>
      </c>
      <c r="C618" s="1" t="n">
        <v>45695</v>
      </c>
      <c r="D618" t="inlineStr">
        <is>
          <t>DALARNAS LÄN</t>
        </is>
      </c>
      <c r="E618" t="inlineStr">
        <is>
          <t>MORA</t>
        </is>
      </c>
      <c r="F618" t="inlineStr">
        <is>
          <t>Bergvik skog öst AB</t>
        </is>
      </c>
      <c r="G618" t="n">
        <v>2.6</v>
      </c>
      <c r="H618" t="n">
        <v>0</v>
      </c>
      <c r="I618" t="n">
        <v>0</v>
      </c>
      <c r="J618" t="n">
        <v>0</v>
      </c>
      <c r="K618" t="n">
        <v>0</v>
      </c>
      <c r="L618" t="n">
        <v>0</v>
      </c>
      <c r="M618" t="n">
        <v>0</v>
      </c>
      <c r="N618" t="n">
        <v>0</v>
      </c>
      <c r="O618" t="n">
        <v>0</v>
      </c>
      <c r="P618" t="n">
        <v>0</v>
      </c>
      <c r="Q618" t="n">
        <v>0</v>
      </c>
      <c r="R618" s="2" t="inlineStr"/>
    </row>
    <row r="619" ht="15" customHeight="1">
      <c r="A619" t="inlineStr">
        <is>
          <t>A 40949-2023</t>
        </is>
      </c>
      <c r="B619" s="1" t="n">
        <v>45173</v>
      </c>
      <c r="C619" s="1" t="n">
        <v>45695</v>
      </c>
      <c r="D619" t="inlineStr">
        <is>
          <t>DALARNAS LÄN</t>
        </is>
      </c>
      <c r="E619" t="inlineStr">
        <is>
          <t>MORA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41169-2023</t>
        </is>
      </c>
      <c r="B620" s="1" t="n">
        <v>45174</v>
      </c>
      <c r="C620" s="1" t="n">
        <v>45695</v>
      </c>
      <c r="D620" t="inlineStr">
        <is>
          <t>DALARNAS LÄN</t>
        </is>
      </c>
      <c r="E620" t="inlineStr">
        <is>
          <t>MORA</t>
        </is>
      </c>
      <c r="G620" t="n">
        <v>3</v>
      </c>
      <c r="H620" t="n">
        <v>0</v>
      </c>
      <c r="I620" t="n">
        <v>0</v>
      </c>
      <c r="J620" t="n">
        <v>0</v>
      </c>
      <c r="K620" t="n">
        <v>0</v>
      </c>
      <c r="L620" t="n">
        <v>0</v>
      </c>
      <c r="M620" t="n">
        <v>0</v>
      </c>
      <c r="N620" t="n">
        <v>0</v>
      </c>
      <c r="O620" t="n">
        <v>0</v>
      </c>
      <c r="P620" t="n">
        <v>0</v>
      </c>
      <c r="Q620" t="n">
        <v>0</v>
      </c>
      <c r="R620" s="2" t="inlineStr"/>
    </row>
    <row r="621" ht="15" customHeight="1">
      <c r="A621" t="inlineStr">
        <is>
          <t>A 41170-2023</t>
        </is>
      </c>
      <c r="B621" s="1" t="n">
        <v>45174</v>
      </c>
      <c r="C621" s="1" t="n">
        <v>45695</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41638-2023</t>
        </is>
      </c>
      <c r="B622" s="1" t="n">
        <v>45175</v>
      </c>
      <c r="C622" s="1" t="n">
        <v>45695</v>
      </c>
      <c r="D622" t="inlineStr">
        <is>
          <t>DALARNAS LÄN</t>
        </is>
      </c>
      <c r="E622" t="inlineStr">
        <is>
          <t>MORA</t>
        </is>
      </c>
      <c r="G622" t="n">
        <v>15</v>
      </c>
      <c r="H622" t="n">
        <v>0</v>
      </c>
      <c r="I622" t="n">
        <v>0</v>
      </c>
      <c r="J622" t="n">
        <v>0</v>
      </c>
      <c r="K622" t="n">
        <v>0</v>
      </c>
      <c r="L622" t="n">
        <v>0</v>
      </c>
      <c r="M622" t="n">
        <v>0</v>
      </c>
      <c r="N622" t="n">
        <v>0</v>
      </c>
      <c r="O622" t="n">
        <v>0</v>
      </c>
      <c r="P622" t="n">
        <v>0</v>
      </c>
      <c r="Q622" t="n">
        <v>0</v>
      </c>
      <c r="R622" s="2" t="inlineStr"/>
    </row>
    <row r="623" ht="15" customHeight="1">
      <c r="A623" t="inlineStr">
        <is>
          <t>A 41637-2023</t>
        </is>
      </c>
      <c r="B623" s="1" t="n">
        <v>45175</v>
      </c>
      <c r="C623" s="1" t="n">
        <v>45695</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42391-2023</t>
        </is>
      </c>
      <c r="B624" s="1" t="n">
        <v>45180</v>
      </c>
      <c r="C624" s="1" t="n">
        <v>45695</v>
      </c>
      <c r="D624" t="inlineStr">
        <is>
          <t>DALARNAS LÄN</t>
        </is>
      </c>
      <c r="E624" t="inlineStr">
        <is>
          <t>MORA</t>
        </is>
      </c>
      <c r="F624" t="inlineStr">
        <is>
          <t>Kommuner</t>
        </is>
      </c>
      <c r="G624" t="n">
        <v>0.3</v>
      </c>
      <c r="H624" t="n">
        <v>0</v>
      </c>
      <c r="I624" t="n">
        <v>0</v>
      </c>
      <c r="J624" t="n">
        <v>0</v>
      </c>
      <c r="K624" t="n">
        <v>0</v>
      </c>
      <c r="L624" t="n">
        <v>0</v>
      </c>
      <c r="M624" t="n">
        <v>0</v>
      </c>
      <c r="N624" t="n">
        <v>0</v>
      </c>
      <c r="O624" t="n">
        <v>0</v>
      </c>
      <c r="P624" t="n">
        <v>0</v>
      </c>
      <c r="Q624" t="n">
        <v>0</v>
      </c>
      <c r="R624" s="2" t="inlineStr"/>
    </row>
    <row r="625" ht="15" customHeight="1">
      <c r="A625" t="inlineStr">
        <is>
          <t>A 42267-2023</t>
        </is>
      </c>
      <c r="B625" s="1" t="n">
        <v>45180</v>
      </c>
      <c r="C625" s="1" t="n">
        <v>45695</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43498-2023</t>
        </is>
      </c>
      <c r="B626" s="1" t="n">
        <v>45184</v>
      </c>
      <c r="C626" s="1" t="n">
        <v>45695</v>
      </c>
      <c r="D626" t="inlineStr">
        <is>
          <t>DALARNAS LÄN</t>
        </is>
      </c>
      <c r="E626" t="inlineStr">
        <is>
          <t>MORA</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43566-2023</t>
        </is>
      </c>
      <c r="B627" s="1" t="n">
        <v>45184</v>
      </c>
      <c r="C627" s="1" t="n">
        <v>45695</v>
      </c>
      <c r="D627" t="inlineStr">
        <is>
          <t>DALARNAS LÄN</t>
        </is>
      </c>
      <c r="E627" t="inlineStr">
        <is>
          <t>MORA</t>
        </is>
      </c>
      <c r="F627" t="inlineStr">
        <is>
          <t>Bergvik skog väst AB</t>
        </is>
      </c>
      <c r="G627" t="n">
        <v>4.3</v>
      </c>
      <c r="H627" t="n">
        <v>0</v>
      </c>
      <c r="I627" t="n">
        <v>0</v>
      </c>
      <c r="J627" t="n">
        <v>0</v>
      </c>
      <c r="K627" t="n">
        <v>0</v>
      </c>
      <c r="L627" t="n">
        <v>0</v>
      </c>
      <c r="M627" t="n">
        <v>0</v>
      </c>
      <c r="N627" t="n">
        <v>0</v>
      </c>
      <c r="O627" t="n">
        <v>0</v>
      </c>
      <c r="P627" t="n">
        <v>0</v>
      </c>
      <c r="Q627" t="n">
        <v>0</v>
      </c>
      <c r="R627" s="2" t="inlineStr"/>
    </row>
    <row r="628" ht="15" customHeight="1">
      <c r="A628" t="inlineStr">
        <is>
          <t>A 43533-2023</t>
        </is>
      </c>
      <c r="B628" s="1" t="n">
        <v>45184</v>
      </c>
      <c r="C628" s="1" t="n">
        <v>45695</v>
      </c>
      <c r="D628" t="inlineStr">
        <is>
          <t>DALARNAS LÄN</t>
        </is>
      </c>
      <c r="E628" t="inlineStr">
        <is>
          <t>MORA</t>
        </is>
      </c>
      <c r="F628" t="inlineStr">
        <is>
          <t>Bergvik skog väst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43863-2023</t>
        </is>
      </c>
      <c r="B629" s="1" t="n">
        <v>45187</v>
      </c>
      <c r="C629" s="1" t="n">
        <v>45695</v>
      </c>
      <c r="D629" t="inlineStr">
        <is>
          <t>DALARNAS LÄN</t>
        </is>
      </c>
      <c r="E629" t="inlineStr">
        <is>
          <t>MORA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44201-2023</t>
        </is>
      </c>
      <c r="B630" s="1" t="n">
        <v>45188</v>
      </c>
      <c r="C630" s="1" t="n">
        <v>45695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44205-2023</t>
        </is>
      </c>
      <c r="B631" s="1" t="n">
        <v>45188</v>
      </c>
      <c r="C631" s="1" t="n">
        <v>45695</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44106-2023</t>
        </is>
      </c>
      <c r="B632" s="1" t="n">
        <v>45188</v>
      </c>
      <c r="C632" s="1" t="n">
        <v>45695</v>
      </c>
      <c r="D632" t="inlineStr">
        <is>
          <t>DALARNAS LÄN</t>
        </is>
      </c>
      <c r="E632" t="inlineStr">
        <is>
          <t>MORA</t>
        </is>
      </c>
      <c r="G632" t="n">
        <v>10.1</v>
      </c>
      <c r="H632" t="n">
        <v>0</v>
      </c>
      <c r="I632" t="n">
        <v>0</v>
      </c>
      <c r="J632" t="n">
        <v>0</v>
      </c>
      <c r="K632" t="n">
        <v>0</v>
      </c>
      <c r="L632" t="n">
        <v>0</v>
      </c>
      <c r="M632" t="n">
        <v>0</v>
      </c>
      <c r="N632" t="n">
        <v>0</v>
      </c>
      <c r="O632" t="n">
        <v>0</v>
      </c>
      <c r="P632" t="n">
        <v>0</v>
      </c>
      <c r="Q632" t="n">
        <v>0</v>
      </c>
      <c r="R632" s="2" t="inlineStr"/>
    </row>
    <row r="633" ht="15" customHeight="1">
      <c r="A633" t="inlineStr">
        <is>
          <t>A 44117-2023</t>
        </is>
      </c>
      <c r="B633" s="1" t="n">
        <v>45188</v>
      </c>
      <c r="C633" s="1" t="n">
        <v>45695</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44177-2023</t>
        </is>
      </c>
      <c r="B634" s="1" t="n">
        <v>45188</v>
      </c>
      <c r="C634" s="1" t="n">
        <v>45695</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45475-2023</t>
        </is>
      </c>
      <c r="B635" s="1" t="n">
        <v>45188</v>
      </c>
      <c r="C635" s="1" t="n">
        <v>45695</v>
      </c>
      <c r="D635" t="inlineStr">
        <is>
          <t>DALARNAS LÄN</t>
        </is>
      </c>
      <c r="E635" t="inlineStr">
        <is>
          <t>MORA</t>
        </is>
      </c>
      <c r="G635" t="n">
        <v>1.1</v>
      </c>
      <c r="H635" t="n">
        <v>0</v>
      </c>
      <c r="I635" t="n">
        <v>0</v>
      </c>
      <c r="J635" t="n">
        <v>0</v>
      </c>
      <c r="K635" t="n">
        <v>0</v>
      </c>
      <c r="L635" t="n">
        <v>0</v>
      </c>
      <c r="M635" t="n">
        <v>0</v>
      </c>
      <c r="N635" t="n">
        <v>0</v>
      </c>
      <c r="O635" t="n">
        <v>0</v>
      </c>
      <c r="P635" t="n">
        <v>0</v>
      </c>
      <c r="Q635" t="n">
        <v>0</v>
      </c>
      <c r="R635" s="2" t="inlineStr"/>
    </row>
    <row r="636" ht="15" customHeight="1">
      <c r="A636" t="inlineStr">
        <is>
          <t>A 44718-2023</t>
        </is>
      </c>
      <c r="B636" s="1" t="n">
        <v>45190</v>
      </c>
      <c r="C636" s="1" t="n">
        <v>45695</v>
      </c>
      <c r="D636" t="inlineStr">
        <is>
          <t>DALARNAS LÄN</t>
        </is>
      </c>
      <c r="E636" t="inlineStr">
        <is>
          <t>MORA</t>
        </is>
      </c>
      <c r="G636" t="n">
        <v>7.4</v>
      </c>
      <c r="H636" t="n">
        <v>0</v>
      </c>
      <c r="I636" t="n">
        <v>0</v>
      </c>
      <c r="J636" t="n">
        <v>0</v>
      </c>
      <c r="K636" t="n">
        <v>0</v>
      </c>
      <c r="L636" t="n">
        <v>0</v>
      </c>
      <c r="M636" t="n">
        <v>0</v>
      </c>
      <c r="N636" t="n">
        <v>0</v>
      </c>
      <c r="O636" t="n">
        <v>0</v>
      </c>
      <c r="P636" t="n">
        <v>0</v>
      </c>
      <c r="Q636" t="n">
        <v>0</v>
      </c>
      <c r="R636" s="2" t="inlineStr"/>
    </row>
    <row r="637" ht="15" customHeight="1">
      <c r="A637" t="inlineStr">
        <is>
          <t>A 44820-2023</t>
        </is>
      </c>
      <c r="B637" s="1" t="n">
        <v>45190</v>
      </c>
      <c r="C637" s="1" t="n">
        <v>45695</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44817-2023</t>
        </is>
      </c>
      <c r="B638" s="1" t="n">
        <v>45190</v>
      </c>
      <c r="C638" s="1" t="n">
        <v>45695</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45295-2023</t>
        </is>
      </c>
      <c r="B639" s="1" t="n">
        <v>45191</v>
      </c>
      <c r="C639" s="1" t="n">
        <v>45695</v>
      </c>
      <c r="D639" t="inlineStr">
        <is>
          <t>DALARNAS LÄN</t>
        </is>
      </c>
      <c r="E639" t="inlineStr">
        <is>
          <t>MORA</t>
        </is>
      </c>
      <c r="G639" t="n">
        <v>10.9</v>
      </c>
      <c r="H639" t="n">
        <v>0</v>
      </c>
      <c r="I639" t="n">
        <v>0</v>
      </c>
      <c r="J639" t="n">
        <v>0</v>
      </c>
      <c r="K639" t="n">
        <v>0</v>
      </c>
      <c r="L639" t="n">
        <v>0</v>
      </c>
      <c r="M639" t="n">
        <v>0</v>
      </c>
      <c r="N639" t="n">
        <v>0</v>
      </c>
      <c r="O639" t="n">
        <v>0</v>
      </c>
      <c r="P639" t="n">
        <v>0</v>
      </c>
      <c r="Q639" t="n">
        <v>0</v>
      </c>
      <c r="R639" s="2" t="inlineStr"/>
    </row>
    <row r="640" ht="15" customHeight="1">
      <c r="A640" t="inlineStr">
        <is>
          <t>A 45562-2023</t>
        </is>
      </c>
      <c r="B640" s="1" t="n">
        <v>45194</v>
      </c>
      <c r="C640" s="1" t="n">
        <v>45695</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45574-2023</t>
        </is>
      </c>
      <c r="B641" s="1" t="n">
        <v>45194</v>
      </c>
      <c r="C641" s="1" t="n">
        <v>45695</v>
      </c>
      <c r="D641" t="inlineStr">
        <is>
          <t>DALARNAS LÄN</t>
        </is>
      </c>
      <c r="E641" t="inlineStr">
        <is>
          <t>MORA</t>
        </is>
      </c>
      <c r="G641" t="n">
        <v>6.3</v>
      </c>
      <c r="H641" t="n">
        <v>0</v>
      </c>
      <c r="I641" t="n">
        <v>0</v>
      </c>
      <c r="J641" t="n">
        <v>0</v>
      </c>
      <c r="K641" t="n">
        <v>0</v>
      </c>
      <c r="L641" t="n">
        <v>0</v>
      </c>
      <c r="M641" t="n">
        <v>0</v>
      </c>
      <c r="N641" t="n">
        <v>0</v>
      </c>
      <c r="O641" t="n">
        <v>0</v>
      </c>
      <c r="P641" t="n">
        <v>0</v>
      </c>
      <c r="Q641" t="n">
        <v>0</v>
      </c>
      <c r="R641" s="2" t="inlineStr"/>
    </row>
    <row r="642" ht="15" customHeight="1">
      <c r="A642" t="inlineStr">
        <is>
          <t>A 46087-2023</t>
        </is>
      </c>
      <c r="B642" s="1" t="n">
        <v>45196</v>
      </c>
      <c r="C642" s="1" t="n">
        <v>45695</v>
      </c>
      <c r="D642" t="inlineStr">
        <is>
          <t>DALARNAS LÄN</t>
        </is>
      </c>
      <c r="E642" t="inlineStr">
        <is>
          <t>MORA</t>
        </is>
      </c>
      <c r="F642" t="inlineStr">
        <is>
          <t>Bergvik skog öst AB</t>
        </is>
      </c>
      <c r="G642" t="n">
        <v>24.2</v>
      </c>
      <c r="H642" t="n">
        <v>0</v>
      </c>
      <c r="I642" t="n">
        <v>0</v>
      </c>
      <c r="J642" t="n">
        <v>0</v>
      </c>
      <c r="K642" t="n">
        <v>0</v>
      </c>
      <c r="L642" t="n">
        <v>0</v>
      </c>
      <c r="M642" t="n">
        <v>0</v>
      </c>
      <c r="N642" t="n">
        <v>0</v>
      </c>
      <c r="O642" t="n">
        <v>0</v>
      </c>
      <c r="P642" t="n">
        <v>0</v>
      </c>
      <c r="Q642" t="n">
        <v>0</v>
      </c>
      <c r="R642" s="2" t="inlineStr"/>
    </row>
    <row r="643" ht="15" customHeight="1">
      <c r="A643" t="inlineStr">
        <is>
          <t>A 46152-2023</t>
        </is>
      </c>
      <c r="B643" s="1" t="n">
        <v>45196</v>
      </c>
      <c r="C643" s="1" t="n">
        <v>45695</v>
      </c>
      <c r="D643" t="inlineStr">
        <is>
          <t>DALARNAS LÄN</t>
        </is>
      </c>
      <c r="E643" t="inlineStr">
        <is>
          <t>MORA</t>
        </is>
      </c>
      <c r="G643" t="n">
        <v>2</v>
      </c>
      <c r="H643" t="n">
        <v>0</v>
      </c>
      <c r="I643" t="n">
        <v>0</v>
      </c>
      <c r="J643" t="n">
        <v>0</v>
      </c>
      <c r="K643" t="n">
        <v>0</v>
      </c>
      <c r="L643" t="n">
        <v>0</v>
      </c>
      <c r="M643" t="n">
        <v>0</v>
      </c>
      <c r="N643" t="n">
        <v>0</v>
      </c>
      <c r="O643" t="n">
        <v>0</v>
      </c>
      <c r="P643" t="n">
        <v>0</v>
      </c>
      <c r="Q643" t="n">
        <v>0</v>
      </c>
      <c r="R643" s="2" t="inlineStr"/>
    </row>
    <row r="644" ht="15" customHeight="1">
      <c r="A644" t="inlineStr">
        <is>
          <t>A 47036-2023</t>
        </is>
      </c>
      <c r="B644" s="1" t="n">
        <v>45196</v>
      </c>
      <c r="C644" s="1" t="n">
        <v>45695</v>
      </c>
      <c r="D644" t="inlineStr">
        <is>
          <t>DALARNAS LÄN</t>
        </is>
      </c>
      <c r="E644" t="inlineStr">
        <is>
          <t>MORA</t>
        </is>
      </c>
      <c r="G644" t="n">
        <v>2.7</v>
      </c>
      <c r="H644" t="n">
        <v>0</v>
      </c>
      <c r="I644" t="n">
        <v>0</v>
      </c>
      <c r="J644" t="n">
        <v>0</v>
      </c>
      <c r="K644" t="n">
        <v>0</v>
      </c>
      <c r="L644" t="n">
        <v>0</v>
      </c>
      <c r="M644" t="n">
        <v>0</v>
      </c>
      <c r="N644" t="n">
        <v>0</v>
      </c>
      <c r="O644" t="n">
        <v>0</v>
      </c>
      <c r="P644" t="n">
        <v>0</v>
      </c>
      <c r="Q644" t="n">
        <v>0</v>
      </c>
      <c r="R644" s="2" t="inlineStr"/>
    </row>
    <row r="645" ht="15" customHeight="1">
      <c r="A645" t="inlineStr">
        <is>
          <t>A 46486-2023</t>
        </is>
      </c>
      <c r="B645" s="1" t="n">
        <v>45197</v>
      </c>
      <c r="C645" s="1" t="n">
        <v>45695</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46612-2023</t>
        </is>
      </c>
      <c r="B646" s="1" t="n">
        <v>45198</v>
      </c>
      <c r="C646" s="1" t="n">
        <v>45695</v>
      </c>
      <c r="D646" t="inlineStr">
        <is>
          <t>DALARNAS LÄN</t>
        </is>
      </c>
      <c r="E646" t="inlineStr">
        <is>
          <t>MORA</t>
        </is>
      </c>
      <c r="G646" t="n">
        <v>3.2</v>
      </c>
      <c r="H646" t="n">
        <v>0</v>
      </c>
      <c r="I646" t="n">
        <v>0</v>
      </c>
      <c r="J646" t="n">
        <v>0</v>
      </c>
      <c r="K646" t="n">
        <v>0</v>
      </c>
      <c r="L646" t="n">
        <v>0</v>
      </c>
      <c r="M646" t="n">
        <v>0</v>
      </c>
      <c r="N646" t="n">
        <v>0</v>
      </c>
      <c r="O646" t="n">
        <v>0</v>
      </c>
      <c r="P646" t="n">
        <v>0</v>
      </c>
      <c r="Q646" t="n">
        <v>0</v>
      </c>
      <c r="R646" s="2" t="inlineStr"/>
    </row>
    <row r="647" ht="15" customHeight="1">
      <c r="A647" t="inlineStr">
        <is>
          <t>A 46791-2023</t>
        </is>
      </c>
      <c r="B647" s="1" t="n">
        <v>45198</v>
      </c>
      <c r="C647" s="1" t="n">
        <v>45695</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46755-2023</t>
        </is>
      </c>
      <c r="B648" s="1" t="n">
        <v>45198</v>
      </c>
      <c r="C648" s="1" t="n">
        <v>45695</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47347-2023</t>
        </is>
      </c>
      <c r="B649" s="1" t="n">
        <v>45202</v>
      </c>
      <c r="C649" s="1" t="n">
        <v>45695</v>
      </c>
      <c r="D649" t="inlineStr">
        <is>
          <t>DALARNAS LÄN</t>
        </is>
      </c>
      <c r="E649" t="inlineStr">
        <is>
          <t>MORA</t>
        </is>
      </c>
      <c r="F649" t="inlineStr">
        <is>
          <t>Bergvik skog öst AB</t>
        </is>
      </c>
      <c r="G649" t="n">
        <v>5.1</v>
      </c>
      <c r="H649" t="n">
        <v>0</v>
      </c>
      <c r="I649" t="n">
        <v>0</v>
      </c>
      <c r="J649" t="n">
        <v>0</v>
      </c>
      <c r="K649" t="n">
        <v>0</v>
      </c>
      <c r="L649" t="n">
        <v>0</v>
      </c>
      <c r="M649" t="n">
        <v>0</v>
      </c>
      <c r="N649" t="n">
        <v>0</v>
      </c>
      <c r="O649" t="n">
        <v>0</v>
      </c>
      <c r="P649" t="n">
        <v>0</v>
      </c>
      <c r="Q649" t="n">
        <v>0</v>
      </c>
      <c r="R649" s="2" t="inlineStr"/>
    </row>
    <row r="650" ht="15" customHeight="1">
      <c r="A650" t="inlineStr">
        <is>
          <t>A 47410-2023</t>
        </is>
      </c>
      <c r="B650" s="1" t="n">
        <v>45202</v>
      </c>
      <c r="C650" s="1" t="n">
        <v>45695</v>
      </c>
      <c r="D650" t="inlineStr">
        <is>
          <t>DALARNAS LÄN</t>
        </is>
      </c>
      <c r="E650" t="inlineStr">
        <is>
          <t>MORA</t>
        </is>
      </c>
      <c r="G650" t="n">
        <v>7.3</v>
      </c>
      <c r="H650" t="n">
        <v>0</v>
      </c>
      <c r="I650" t="n">
        <v>0</v>
      </c>
      <c r="J650" t="n">
        <v>0</v>
      </c>
      <c r="K650" t="n">
        <v>0</v>
      </c>
      <c r="L650" t="n">
        <v>0</v>
      </c>
      <c r="M650" t="n">
        <v>0</v>
      </c>
      <c r="N650" t="n">
        <v>0</v>
      </c>
      <c r="O650" t="n">
        <v>0</v>
      </c>
      <c r="P650" t="n">
        <v>0</v>
      </c>
      <c r="Q650" t="n">
        <v>0</v>
      </c>
      <c r="R650" s="2" t="inlineStr"/>
    </row>
    <row r="651" ht="15" customHeight="1">
      <c r="A651" t="inlineStr">
        <is>
          <t>A 47440-2023</t>
        </is>
      </c>
      <c r="B651" s="1" t="n">
        <v>45202</v>
      </c>
      <c r="C651" s="1" t="n">
        <v>45695</v>
      </c>
      <c r="D651" t="inlineStr">
        <is>
          <t>DALARNAS LÄN</t>
        </is>
      </c>
      <c r="E651" t="inlineStr">
        <is>
          <t>MORA</t>
        </is>
      </c>
      <c r="F651" t="inlineStr">
        <is>
          <t>Bergvik skog väst AB</t>
        </is>
      </c>
      <c r="G651" t="n">
        <v>3</v>
      </c>
      <c r="H651" t="n">
        <v>0</v>
      </c>
      <c r="I651" t="n">
        <v>0</v>
      </c>
      <c r="J651" t="n">
        <v>0</v>
      </c>
      <c r="K651" t="n">
        <v>0</v>
      </c>
      <c r="L651" t="n">
        <v>0</v>
      </c>
      <c r="M651" t="n">
        <v>0</v>
      </c>
      <c r="N651" t="n">
        <v>0</v>
      </c>
      <c r="O651" t="n">
        <v>0</v>
      </c>
      <c r="P651" t="n">
        <v>0</v>
      </c>
      <c r="Q651" t="n">
        <v>0</v>
      </c>
      <c r="R651" s="2" t="inlineStr"/>
    </row>
    <row r="652" ht="15" customHeight="1">
      <c r="A652" t="inlineStr">
        <is>
          <t>A 47574-2023</t>
        </is>
      </c>
      <c r="B652" s="1" t="n">
        <v>45203</v>
      </c>
      <c r="C652" s="1" t="n">
        <v>45695</v>
      </c>
      <c r="D652" t="inlineStr">
        <is>
          <t>DALARNAS LÄN</t>
        </is>
      </c>
      <c r="E652" t="inlineStr">
        <is>
          <t>MORA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47683-2023</t>
        </is>
      </c>
      <c r="B653" s="1" t="n">
        <v>45203</v>
      </c>
      <c r="C653" s="1" t="n">
        <v>45695</v>
      </c>
      <c r="D653" t="inlineStr">
        <is>
          <t>DALARNAS LÄN</t>
        </is>
      </c>
      <c r="E653" t="inlineStr">
        <is>
          <t>MORA</t>
        </is>
      </c>
      <c r="F653" t="inlineStr">
        <is>
          <t>Kyrkan</t>
        </is>
      </c>
      <c r="G653" t="n">
        <v>33.8</v>
      </c>
      <c r="H653" t="n">
        <v>0</v>
      </c>
      <c r="I653" t="n">
        <v>0</v>
      </c>
      <c r="J653" t="n">
        <v>0</v>
      </c>
      <c r="K653" t="n">
        <v>0</v>
      </c>
      <c r="L653" t="n">
        <v>0</v>
      </c>
      <c r="M653" t="n">
        <v>0</v>
      </c>
      <c r="N653" t="n">
        <v>0</v>
      </c>
      <c r="O653" t="n">
        <v>0</v>
      </c>
      <c r="P653" t="n">
        <v>0</v>
      </c>
      <c r="Q653" t="n">
        <v>0</v>
      </c>
      <c r="R653" s="2" t="inlineStr"/>
    </row>
    <row r="654" ht="15" customHeight="1">
      <c r="A654" t="inlineStr">
        <is>
          <t>A 48825-2023</t>
        </is>
      </c>
      <c r="B654" s="1" t="n">
        <v>45203</v>
      </c>
      <c r="C654" s="1" t="n">
        <v>45695</v>
      </c>
      <c r="D654" t="inlineStr">
        <is>
          <t>DALARNAS LÄN</t>
        </is>
      </c>
      <c r="E654" t="inlineStr">
        <is>
          <t>MORA</t>
        </is>
      </c>
      <c r="G654" t="n">
        <v>7.9</v>
      </c>
      <c r="H654" t="n">
        <v>0</v>
      </c>
      <c r="I654" t="n">
        <v>0</v>
      </c>
      <c r="J654" t="n">
        <v>0</v>
      </c>
      <c r="K654" t="n">
        <v>0</v>
      </c>
      <c r="L654" t="n">
        <v>0</v>
      </c>
      <c r="M654" t="n">
        <v>0</v>
      </c>
      <c r="N654" t="n">
        <v>0</v>
      </c>
      <c r="O654" t="n">
        <v>0</v>
      </c>
      <c r="P654" t="n">
        <v>0</v>
      </c>
      <c r="Q654" t="n">
        <v>0</v>
      </c>
      <c r="R654" s="2" t="inlineStr"/>
    </row>
    <row r="655" ht="15" customHeight="1">
      <c r="A655" t="inlineStr">
        <is>
          <t>A 48824-2023</t>
        </is>
      </c>
      <c r="B655" s="1" t="n">
        <v>45203</v>
      </c>
      <c r="C655" s="1" t="n">
        <v>45695</v>
      </c>
      <c r="D655" t="inlineStr">
        <is>
          <t>DALARNAS LÄN</t>
        </is>
      </c>
      <c r="E655" t="inlineStr">
        <is>
          <t>MORA</t>
        </is>
      </c>
      <c r="G655" t="n">
        <v>3.3</v>
      </c>
      <c r="H655" t="n">
        <v>0</v>
      </c>
      <c r="I655" t="n">
        <v>0</v>
      </c>
      <c r="J655" t="n">
        <v>0</v>
      </c>
      <c r="K655" t="n">
        <v>0</v>
      </c>
      <c r="L655" t="n">
        <v>0</v>
      </c>
      <c r="M655" t="n">
        <v>0</v>
      </c>
      <c r="N655" t="n">
        <v>0</v>
      </c>
      <c r="O655" t="n">
        <v>0</v>
      </c>
      <c r="P655" t="n">
        <v>0</v>
      </c>
      <c r="Q655" t="n">
        <v>0</v>
      </c>
      <c r="R655" s="2" t="inlineStr"/>
    </row>
    <row r="656" ht="15" customHeight="1">
      <c r="A656" t="inlineStr">
        <is>
          <t>A 47855-2023</t>
        </is>
      </c>
      <c r="B656" s="1" t="n">
        <v>45204</v>
      </c>
      <c r="C656" s="1" t="n">
        <v>45695</v>
      </c>
      <c r="D656" t="inlineStr">
        <is>
          <t>DALARNAS LÄN</t>
        </is>
      </c>
      <c r="E656" t="inlineStr">
        <is>
          <t>MORA</t>
        </is>
      </c>
      <c r="F656" t="inlineStr">
        <is>
          <t>Bergvik skog väst AB</t>
        </is>
      </c>
      <c r="G656" t="n">
        <v>2.5</v>
      </c>
      <c r="H656" t="n">
        <v>0</v>
      </c>
      <c r="I656" t="n">
        <v>0</v>
      </c>
      <c r="J656" t="n">
        <v>0</v>
      </c>
      <c r="K656" t="n">
        <v>0</v>
      </c>
      <c r="L656" t="n">
        <v>0</v>
      </c>
      <c r="M656" t="n">
        <v>0</v>
      </c>
      <c r="N656" t="n">
        <v>0</v>
      </c>
      <c r="O656" t="n">
        <v>0</v>
      </c>
      <c r="P656" t="n">
        <v>0</v>
      </c>
      <c r="Q656" t="n">
        <v>0</v>
      </c>
      <c r="R656" s="2" t="inlineStr"/>
    </row>
    <row r="657" ht="15" customHeight="1">
      <c r="A657" t="inlineStr">
        <is>
          <t>A 48027-2023</t>
        </is>
      </c>
      <c r="B657" s="1" t="n">
        <v>45204</v>
      </c>
      <c r="C657" s="1" t="n">
        <v>45695</v>
      </c>
      <c r="D657" t="inlineStr">
        <is>
          <t>DALARNAS LÄN</t>
        </is>
      </c>
      <c r="E657" t="inlineStr">
        <is>
          <t>MORA</t>
        </is>
      </c>
      <c r="G657" t="n">
        <v>5</v>
      </c>
      <c r="H657" t="n">
        <v>0</v>
      </c>
      <c r="I657" t="n">
        <v>0</v>
      </c>
      <c r="J657" t="n">
        <v>0</v>
      </c>
      <c r="K657" t="n">
        <v>0</v>
      </c>
      <c r="L657" t="n">
        <v>0</v>
      </c>
      <c r="M657" t="n">
        <v>0</v>
      </c>
      <c r="N657" t="n">
        <v>0</v>
      </c>
      <c r="O657" t="n">
        <v>0</v>
      </c>
      <c r="P657" t="n">
        <v>0</v>
      </c>
      <c r="Q657" t="n">
        <v>0</v>
      </c>
      <c r="R657" s="2" t="inlineStr"/>
    </row>
    <row r="658" ht="15" customHeight="1">
      <c r="A658" t="inlineStr">
        <is>
          <t>A 48113-2023</t>
        </is>
      </c>
      <c r="B658" s="1" t="n">
        <v>45205</v>
      </c>
      <c r="C658" s="1" t="n">
        <v>45695</v>
      </c>
      <c r="D658" t="inlineStr">
        <is>
          <t>DALARNAS LÄN</t>
        </is>
      </c>
      <c r="E658" t="inlineStr">
        <is>
          <t>MORA</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48313-2023</t>
        </is>
      </c>
      <c r="B659" s="1" t="n">
        <v>45205</v>
      </c>
      <c r="C659" s="1" t="n">
        <v>45695</v>
      </c>
      <c r="D659" t="inlineStr">
        <is>
          <t>DALARNAS LÄN</t>
        </is>
      </c>
      <c r="E659" t="inlineStr">
        <is>
          <t>MORA</t>
        </is>
      </c>
      <c r="G659" t="n">
        <v>3.7</v>
      </c>
      <c r="H659" t="n">
        <v>0</v>
      </c>
      <c r="I659" t="n">
        <v>0</v>
      </c>
      <c r="J659" t="n">
        <v>0</v>
      </c>
      <c r="K659" t="n">
        <v>0</v>
      </c>
      <c r="L659" t="n">
        <v>0</v>
      </c>
      <c r="M659" t="n">
        <v>0</v>
      </c>
      <c r="N659" t="n">
        <v>0</v>
      </c>
      <c r="O659" t="n">
        <v>0</v>
      </c>
      <c r="P659" t="n">
        <v>0</v>
      </c>
      <c r="Q659" t="n">
        <v>0</v>
      </c>
      <c r="R659" s="2" t="inlineStr"/>
    </row>
    <row r="660" ht="15" customHeight="1">
      <c r="A660" t="inlineStr">
        <is>
          <t>A 48339-2023</t>
        </is>
      </c>
      <c r="B660" s="1" t="n">
        <v>45205</v>
      </c>
      <c r="C660" s="1" t="n">
        <v>45695</v>
      </c>
      <c r="D660" t="inlineStr">
        <is>
          <t>DALARNAS LÄN</t>
        </is>
      </c>
      <c r="E660" t="inlineStr">
        <is>
          <t>MORA</t>
        </is>
      </c>
      <c r="G660" t="n">
        <v>2.3</v>
      </c>
      <c r="H660" t="n">
        <v>0</v>
      </c>
      <c r="I660" t="n">
        <v>0</v>
      </c>
      <c r="J660" t="n">
        <v>0</v>
      </c>
      <c r="K660" t="n">
        <v>0</v>
      </c>
      <c r="L660" t="n">
        <v>0</v>
      </c>
      <c r="M660" t="n">
        <v>0</v>
      </c>
      <c r="N660" t="n">
        <v>0</v>
      </c>
      <c r="O660" t="n">
        <v>0</v>
      </c>
      <c r="P660" t="n">
        <v>0</v>
      </c>
      <c r="Q660" t="n">
        <v>0</v>
      </c>
      <c r="R660" s="2" t="inlineStr"/>
    </row>
    <row r="661" ht="15" customHeight="1">
      <c r="A661" t="inlineStr">
        <is>
          <t>A 48342-2023</t>
        </is>
      </c>
      <c r="B661" s="1" t="n">
        <v>45205</v>
      </c>
      <c r="C661" s="1" t="n">
        <v>45695</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48924-2023</t>
        </is>
      </c>
      <c r="B662" s="1" t="n">
        <v>45209</v>
      </c>
      <c r="C662" s="1" t="n">
        <v>45695</v>
      </c>
      <c r="D662" t="inlineStr">
        <is>
          <t>DALARNAS LÄN</t>
        </is>
      </c>
      <c r="E662" t="inlineStr">
        <is>
          <t>MORA</t>
        </is>
      </c>
      <c r="G662" t="n">
        <v>10.8</v>
      </c>
      <c r="H662" t="n">
        <v>0</v>
      </c>
      <c r="I662" t="n">
        <v>0</v>
      </c>
      <c r="J662" t="n">
        <v>0</v>
      </c>
      <c r="K662" t="n">
        <v>0</v>
      </c>
      <c r="L662" t="n">
        <v>0</v>
      </c>
      <c r="M662" t="n">
        <v>0</v>
      </c>
      <c r="N662" t="n">
        <v>0</v>
      </c>
      <c r="O662" t="n">
        <v>0</v>
      </c>
      <c r="P662" t="n">
        <v>0</v>
      </c>
      <c r="Q662" t="n">
        <v>0</v>
      </c>
      <c r="R662" s="2" t="inlineStr"/>
    </row>
    <row r="663" ht="15" customHeight="1">
      <c r="A663" t="inlineStr">
        <is>
          <t>A 49158-2023</t>
        </is>
      </c>
      <c r="B663" s="1" t="n">
        <v>45210</v>
      </c>
      <c r="C663" s="1" t="n">
        <v>45695</v>
      </c>
      <c r="D663" t="inlineStr">
        <is>
          <t>DALARNAS LÄN</t>
        </is>
      </c>
      <c r="E663" t="inlineStr">
        <is>
          <t>MORA</t>
        </is>
      </c>
      <c r="G663" t="n">
        <v>3.4</v>
      </c>
      <c r="H663" t="n">
        <v>0</v>
      </c>
      <c r="I663" t="n">
        <v>0</v>
      </c>
      <c r="J663" t="n">
        <v>0</v>
      </c>
      <c r="K663" t="n">
        <v>0</v>
      </c>
      <c r="L663" t="n">
        <v>0</v>
      </c>
      <c r="M663" t="n">
        <v>0</v>
      </c>
      <c r="N663" t="n">
        <v>0</v>
      </c>
      <c r="O663" t="n">
        <v>0</v>
      </c>
      <c r="P663" t="n">
        <v>0</v>
      </c>
      <c r="Q663" t="n">
        <v>0</v>
      </c>
      <c r="R663" s="2" t="inlineStr"/>
    </row>
    <row r="664" ht="15" customHeight="1">
      <c r="A664" t="inlineStr">
        <is>
          <t>A 49159-2023</t>
        </is>
      </c>
      <c r="B664" s="1" t="n">
        <v>45210</v>
      </c>
      <c r="C664" s="1" t="n">
        <v>45695</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50685-2023</t>
        </is>
      </c>
      <c r="B665" s="1" t="n">
        <v>45210</v>
      </c>
      <c r="C665" s="1" t="n">
        <v>45695</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49778-2023</t>
        </is>
      </c>
      <c r="B666" s="1" t="n">
        <v>45212</v>
      </c>
      <c r="C666" s="1" t="n">
        <v>45695</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49991-2023</t>
        </is>
      </c>
      <c r="B667" s="1" t="n">
        <v>45215</v>
      </c>
      <c r="C667" s="1" t="n">
        <v>45695</v>
      </c>
      <c r="D667" t="inlineStr">
        <is>
          <t>DALARNAS LÄN</t>
        </is>
      </c>
      <c r="E667" t="inlineStr">
        <is>
          <t>MORA</t>
        </is>
      </c>
      <c r="G667" t="n">
        <v>1.8</v>
      </c>
      <c r="H667" t="n">
        <v>0</v>
      </c>
      <c r="I667" t="n">
        <v>0</v>
      </c>
      <c r="J667" t="n">
        <v>0</v>
      </c>
      <c r="K667" t="n">
        <v>0</v>
      </c>
      <c r="L667" t="n">
        <v>0</v>
      </c>
      <c r="M667" t="n">
        <v>0</v>
      </c>
      <c r="N667" t="n">
        <v>0</v>
      </c>
      <c r="O667" t="n">
        <v>0</v>
      </c>
      <c r="P667" t="n">
        <v>0</v>
      </c>
      <c r="Q667" t="n">
        <v>0</v>
      </c>
      <c r="R667" s="2" t="inlineStr"/>
    </row>
    <row r="668" ht="15" customHeight="1">
      <c r="A668" t="inlineStr">
        <is>
          <t>A 49995-2023</t>
        </is>
      </c>
      <c r="B668" s="1" t="n">
        <v>45215</v>
      </c>
      <c r="C668" s="1" t="n">
        <v>45695</v>
      </c>
      <c r="D668" t="inlineStr">
        <is>
          <t>DALARNAS LÄN</t>
        </is>
      </c>
      <c r="E668" t="inlineStr">
        <is>
          <t>MORA</t>
        </is>
      </c>
      <c r="G668" t="n">
        <v>4</v>
      </c>
      <c r="H668" t="n">
        <v>0</v>
      </c>
      <c r="I668" t="n">
        <v>0</v>
      </c>
      <c r="J668" t="n">
        <v>0</v>
      </c>
      <c r="K668" t="n">
        <v>0</v>
      </c>
      <c r="L668" t="n">
        <v>0</v>
      </c>
      <c r="M668" t="n">
        <v>0</v>
      </c>
      <c r="N668" t="n">
        <v>0</v>
      </c>
      <c r="O668" t="n">
        <v>0</v>
      </c>
      <c r="P668" t="n">
        <v>0</v>
      </c>
      <c r="Q668" t="n">
        <v>0</v>
      </c>
      <c r="R668" s="2" t="inlineStr"/>
    </row>
    <row r="669" ht="15" customHeight="1">
      <c r="A669" t="inlineStr">
        <is>
          <t>A 51729-2023</t>
        </is>
      </c>
      <c r="B669" s="1" t="n">
        <v>45215</v>
      </c>
      <c r="C669" s="1" t="n">
        <v>45695</v>
      </c>
      <c r="D669" t="inlineStr">
        <is>
          <t>DALARNAS LÄN</t>
        </is>
      </c>
      <c r="E669" t="inlineStr">
        <is>
          <t>MORA</t>
        </is>
      </c>
      <c r="G669" t="n">
        <v>3.2</v>
      </c>
      <c r="H669" t="n">
        <v>0</v>
      </c>
      <c r="I669" t="n">
        <v>0</v>
      </c>
      <c r="J669" t="n">
        <v>0</v>
      </c>
      <c r="K669" t="n">
        <v>0</v>
      </c>
      <c r="L669" t="n">
        <v>0</v>
      </c>
      <c r="M669" t="n">
        <v>0</v>
      </c>
      <c r="N669" t="n">
        <v>0</v>
      </c>
      <c r="O669" t="n">
        <v>0</v>
      </c>
      <c r="P669" t="n">
        <v>0</v>
      </c>
      <c r="Q669" t="n">
        <v>0</v>
      </c>
      <c r="R669" s="2" t="inlineStr"/>
    </row>
    <row r="670" ht="15" customHeight="1">
      <c r="A670" t="inlineStr">
        <is>
          <t>A 50721-2023</t>
        </is>
      </c>
      <c r="B670" s="1" t="n">
        <v>45217</v>
      </c>
      <c r="C670" s="1" t="n">
        <v>45695</v>
      </c>
      <c r="D670" t="inlineStr">
        <is>
          <t>DALARNAS LÄN</t>
        </is>
      </c>
      <c r="E670" t="inlineStr">
        <is>
          <t>MORA</t>
        </is>
      </c>
      <c r="G670" t="n">
        <v>3.9</v>
      </c>
      <c r="H670" t="n">
        <v>0</v>
      </c>
      <c r="I670" t="n">
        <v>0</v>
      </c>
      <c r="J670" t="n">
        <v>0</v>
      </c>
      <c r="K670" t="n">
        <v>0</v>
      </c>
      <c r="L670" t="n">
        <v>0</v>
      </c>
      <c r="M670" t="n">
        <v>0</v>
      </c>
      <c r="N670" t="n">
        <v>0</v>
      </c>
      <c r="O670" t="n">
        <v>0</v>
      </c>
      <c r="P670" t="n">
        <v>0</v>
      </c>
      <c r="Q670" t="n">
        <v>0</v>
      </c>
      <c r="R670" s="2" t="inlineStr"/>
    </row>
    <row r="671" ht="15" customHeight="1">
      <c r="A671" t="inlineStr">
        <is>
          <t>A 50759-2023</t>
        </is>
      </c>
      <c r="B671" s="1" t="n">
        <v>45217</v>
      </c>
      <c r="C671" s="1" t="n">
        <v>45695</v>
      </c>
      <c r="D671" t="inlineStr">
        <is>
          <t>DALARNAS LÄN</t>
        </is>
      </c>
      <c r="E671" t="inlineStr">
        <is>
          <t>MORA</t>
        </is>
      </c>
      <c r="G671" t="n">
        <v>5.3</v>
      </c>
      <c r="H671" t="n">
        <v>0</v>
      </c>
      <c r="I671" t="n">
        <v>0</v>
      </c>
      <c r="J671" t="n">
        <v>0</v>
      </c>
      <c r="K671" t="n">
        <v>0</v>
      </c>
      <c r="L671" t="n">
        <v>0</v>
      </c>
      <c r="M671" t="n">
        <v>0</v>
      </c>
      <c r="N671" t="n">
        <v>0</v>
      </c>
      <c r="O671" t="n">
        <v>0</v>
      </c>
      <c r="P671" t="n">
        <v>0</v>
      </c>
      <c r="Q671" t="n">
        <v>0</v>
      </c>
      <c r="R671" s="2" t="inlineStr"/>
    </row>
    <row r="672" ht="15" customHeight="1">
      <c r="A672" t="inlineStr">
        <is>
          <t>A 51150-2023</t>
        </is>
      </c>
      <c r="B672" s="1" t="n">
        <v>45219</v>
      </c>
      <c r="C672" s="1" t="n">
        <v>45695</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51348-2023</t>
        </is>
      </c>
      <c r="B673" s="1" t="n">
        <v>45219</v>
      </c>
      <c r="C673" s="1" t="n">
        <v>45695</v>
      </c>
      <c r="D673" t="inlineStr">
        <is>
          <t>DALARNAS LÄN</t>
        </is>
      </c>
      <c r="E673" t="inlineStr">
        <is>
          <t>MORA</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51253-2023</t>
        </is>
      </c>
      <c r="B674" s="1" t="n">
        <v>45219</v>
      </c>
      <c r="C674" s="1" t="n">
        <v>45695</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51146-2023</t>
        </is>
      </c>
      <c r="B675" s="1" t="n">
        <v>45219</v>
      </c>
      <c r="C675" s="1" t="n">
        <v>45695</v>
      </c>
      <c r="D675" t="inlineStr">
        <is>
          <t>DALARNAS LÄN</t>
        </is>
      </c>
      <c r="E675" t="inlineStr">
        <is>
          <t>MORA</t>
        </is>
      </c>
      <c r="G675" t="n">
        <v>6.9</v>
      </c>
      <c r="H675" t="n">
        <v>0</v>
      </c>
      <c r="I675" t="n">
        <v>0</v>
      </c>
      <c r="J675" t="n">
        <v>0</v>
      </c>
      <c r="K675" t="n">
        <v>0</v>
      </c>
      <c r="L675" t="n">
        <v>0</v>
      </c>
      <c r="M675" t="n">
        <v>0</v>
      </c>
      <c r="N675" t="n">
        <v>0</v>
      </c>
      <c r="O675" t="n">
        <v>0</v>
      </c>
      <c r="P675" t="n">
        <v>0</v>
      </c>
      <c r="Q675" t="n">
        <v>0</v>
      </c>
      <c r="R675" s="2" t="inlineStr"/>
    </row>
    <row r="676" ht="15" customHeight="1">
      <c r="A676" t="inlineStr">
        <is>
          <t>A 51650-2023</t>
        </is>
      </c>
      <c r="B676" s="1" t="n">
        <v>45222</v>
      </c>
      <c r="C676" s="1" t="n">
        <v>45695</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51739-2023</t>
        </is>
      </c>
      <c r="B677" s="1" t="n">
        <v>45222</v>
      </c>
      <c r="C677" s="1" t="n">
        <v>45695</v>
      </c>
      <c r="D677" t="inlineStr">
        <is>
          <t>DALARNAS LÄN</t>
        </is>
      </c>
      <c r="E677" t="inlineStr">
        <is>
          <t>MORA</t>
        </is>
      </c>
      <c r="F677" t="inlineStr">
        <is>
          <t>Allmännings- och besparingsskogar</t>
        </is>
      </c>
      <c r="G677" t="n">
        <v>0.6</v>
      </c>
      <c r="H677" t="n">
        <v>0</v>
      </c>
      <c r="I677" t="n">
        <v>0</v>
      </c>
      <c r="J677" t="n">
        <v>0</v>
      </c>
      <c r="K677" t="n">
        <v>0</v>
      </c>
      <c r="L677" t="n">
        <v>0</v>
      </c>
      <c r="M677" t="n">
        <v>0</v>
      </c>
      <c r="N677" t="n">
        <v>0</v>
      </c>
      <c r="O677" t="n">
        <v>0</v>
      </c>
      <c r="P677" t="n">
        <v>0</v>
      </c>
      <c r="Q677" t="n">
        <v>0</v>
      </c>
      <c r="R677" s="2" t="inlineStr"/>
    </row>
    <row r="678" ht="15" customHeight="1">
      <c r="A678" t="inlineStr">
        <is>
          <t>A 51570-2023</t>
        </is>
      </c>
      <c r="B678" s="1" t="n">
        <v>45222</v>
      </c>
      <c r="C678" s="1" t="n">
        <v>45695</v>
      </c>
      <c r="D678" t="inlineStr">
        <is>
          <t>DALARNAS LÄN</t>
        </is>
      </c>
      <c r="E678" t="inlineStr">
        <is>
          <t>MORA</t>
        </is>
      </c>
      <c r="G678" t="n">
        <v>10.1</v>
      </c>
      <c r="H678" t="n">
        <v>0</v>
      </c>
      <c r="I678" t="n">
        <v>0</v>
      </c>
      <c r="J678" t="n">
        <v>0</v>
      </c>
      <c r="K678" t="n">
        <v>0</v>
      </c>
      <c r="L678" t="n">
        <v>0</v>
      </c>
      <c r="M678" t="n">
        <v>0</v>
      </c>
      <c r="N678" t="n">
        <v>0</v>
      </c>
      <c r="O678" t="n">
        <v>0</v>
      </c>
      <c r="P678" t="n">
        <v>0</v>
      </c>
      <c r="Q678" t="n">
        <v>0</v>
      </c>
      <c r="R678" s="2" t="inlineStr"/>
    </row>
    <row r="679" ht="15" customHeight="1">
      <c r="A679" t="inlineStr">
        <is>
          <t>A 51628-2023</t>
        </is>
      </c>
      <c r="B679" s="1" t="n">
        <v>45222</v>
      </c>
      <c r="C679" s="1" t="n">
        <v>45695</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51780-2023</t>
        </is>
      </c>
      <c r="B680" s="1" t="n">
        <v>45222</v>
      </c>
      <c r="C680" s="1" t="n">
        <v>45695</v>
      </c>
      <c r="D680" t="inlineStr">
        <is>
          <t>DALARNAS LÄN</t>
        </is>
      </c>
      <c r="E680" t="inlineStr">
        <is>
          <t>MORA</t>
        </is>
      </c>
      <c r="G680" t="n">
        <v>9.9</v>
      </c>
      <c r="H680" t="n">
        <v>0</v>
      </c>
      <c r="I680" t="n">
        <v>0</v>
      </c>
      <c r="J680" t="n">
        <v>0</v>
      </c>
      <c r="K680" t="n">
        <v>0</v>
      </c>
      <c r="L680" t="n">
        <v>0</v>
      </c>
      <c r="M680" t="n">
        <v>0</v>
      </c>
      <c r="N680" t="n">
        <v>0</v>
      </c>
      <c r="O680" t="n">
        <v>0</v>
      </c>
      <c r="P680" t="n">
        <v>0</v>
      </c>
      <c r="Q680" t="n">
        <v>0</v>
      </c>
      <c r="R680" s="2" t="inlineStr"/>
    </row>
    <row r="681" ht="15" customHeight="1">
      <c r="A681" t="inlineStr">
        <is>
          <t>A 52006-2023</t>
        </is>
      </c>
      <c r="B681" s="1" t="n">
        <v>45223</v>
      </c>
      <c r="C681" s="1" t="n">
        <v>45695</v>
      </c>
      <c r="D681" t="inlineStr">
        <is>
          <t>DALARNAS LÄN</t>
        </is>
      </c>
      <c r="E681" t="inlineStr">
        <is>
          <t>MORA</t>
        </is>
      </c>
      <c r="F681" t="inlineStr">
        <is>
          <t>Bergvik skog väst AB</t>
        </is>
      </c>
      <c r="G681" t="n">
        <v>2.8</v>
      </c>
      <c r="H681" t="n">
        <v>0</v>
      </c>
      <c r="I681" t="n">
        <v>0</v>
      </c>
      <c r="J681" t="n">
        <v>0</v>
      </c>
      <c r="K681" t="n">
        <v>0</v>
      </c>
      <c r="L681" t="n">
        <v>0</v>
      </c>
      <c r="M681" t="n">
        <v>0</v>
      </c>
      <c r="N681" t="n">
        <v>0</v>
      </c>
      <c r="O681" t="n">
        <v>0</v>
      </c>
      <c r="P681" t="n">
        <v>0</v>
      </c>
      <c r="Q681" t="n">
        <v>0</v>
      </c>
      <c r="R681" s="2" t="inlineStr"/>
    </row>
    <row r="682" ht="15" customHeight="1">
      <c r="A682" t="inlineStr">
        <is>
          <t>A 52584-2023</t>
        </is>
      </c>
      <c r="B682" s="1" t="n">
        <v>45225</v>
      </c>
      <c r="C682" s="1" t="n">
        <v>45695</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52766-2023</t>
        </is>
      </c>
      <c r="B683" s="1" t="n">
        <v>45226</v>
      </c>
      <c r="C683" s="1" t="n">
        <v>45695</v>
      </c>
      <c r="D683" t="inlineStr">
        <is>
          <t>DALARNAS LÄN</t>
        </is>
      </c>
      <c r="E683" t="inlineStr">
        <is>
          <t>MORA</t>
        </is>
      </c>
      <c r="G683" t="n">
        <v>4.3</v>
      </c>
      <c r="H683" t="n">
        <v>0</v>
      </c>
      <c r="I683" t="n">
        <v>0</v>
      </c>
      <c r="J683" t="n">
        <v>0</v>
      </c>
      <c r="K683" t="n">
        <v>0</v>
      </c>
      <c r="L683" t="n">
        <v>0</v>
      </c>
      <c r="M683" t="n">
        <v>0</v>
      </c>
      <c r="N683" t="n">
        <v>0</v>
      </c>
      <c r="O683" t="n">
        <v>0</v>
      </c>
      <c r="P683" t="n">
        <v>0</v>
      </c>
      <c r="Q683" t="n">
        <v>0</v>
      </c>
      <c r="R683" s="2" t="inlineStr"/>
    </row>
    <row r="684" ht="15" customHeight="1">
      <c r="A684" t="inlineStr">
        <is>
          <t>A 52919-2023</t>
        </is>
      </c>
      <c r="B684" s="1" t="n">
        <v>45226</v>
      </c>
      <c r="C684" s="1" t="n">
        <v>45695</v>
      </c>
      <c r="D684" t="inlineStr">
        <is>
          <t>DALARNAS LÄN</t>
        </is>
      </c>
      <c r="E684" t="inlineStr">
        <is>
          <t>MORA</t>
        </is>
      </c>
      <c r="G684" t="n">
        <v>1.7</v>
      </c>
      <c r="H684" t="n">
        <v>0</v>
      </c>
      <c r="I684" t="n">
        <v>0</v>
      </c>
      <c r="J684" t="n">
        <v>0</v>
      </c>
      <c r="K684" t="n">
        <v>0</v>
      </c>
      <c r="L684" t="n">
        <v>0</v>
      </c>
      <c r="M684" t="n">
        <v>0</v>
      </c>
      <c r="N684" t="n">
        <v>0</v>
      </c>
      <c r="O684" t="n">
        <v>0</v>
      </c>
      <c r="P684" t="n">
        <v>0</v>
      </c>
      <c r="Q684" t="n">
        <v>0</v>
      </c>
      <c r="R684" s="2" t="inlineStr"/>
    </row>
    <row r="685" ht="15" customHeight="1">
      <c r="A685" t="inlineStr">
        <is>
          <t>A 52908-2023</t>
        </is>
      </c>
      <c r="B685" s="1" t="n">
        <v>45226</v>
      </c>
      <c r="C685" s="1" t="n">
        <v>45695</v>
      </c>
      <c r="D685" t="inlineStr">
        <is>
          <t>DALARNAS LÄN</t>
        </is>
      </c>
      <c r="E685" t="inlineStr">
        <is>
          <t>MORA</t>
        </is>
      </c>
      <c r="G685" t="n">
        <v>3.3</v>
      </c>
      <c r="H685" t="n">
        <v>0</v>
      </c>
      <c r="I685" t="n">
        <v>0</v>
      </c>
      <c r="J685" t="n">
        <v>0</v>
      </c>
      <c r="K685" t="n">
        <v>0</v>
      </c>
      <c r="L685" t="n">
        <v>0</v>
      </c>
      <c r="M685" t="n">
        <v>0</v>
      </c>
      <c r="N685" t="n">
        <v>0</v>
      </c>
      <c r="O685" t="n">
        <v>0</v>
      </c>
      <c r="P685" t="n">
        <v>0</v>
      </c>
      <c r="Q685" t="n">
        <v>0</v>
      </c>
      <c r="R685" s="2" t="inlineStr"/>
    </row>
    <row r="686" ht="15" customHeight="1">
      <c r="A686" t="inlineStr">
        <is>
          <t>A 53026-2023</t>
        </is>
      </c>
      <c r="B686" s="1" t="n">
        <v>45226</v>
      </c>
      <c r="C686" s="1" t="n">
        <v>45695</v>
      </c>
      <c r="D686" t="inlineStr">
        <is>
          <t>DALARNAS LÄN</t>
        </is>
      </c>
      <c r="E686" t="inlineStr">
        <is>
          <t>MORA</t>
        </is>
      </c>
      <c r="F686" t="inlineStr">
        <is>
          <t>Bergvik skog väst AB</t>
        </is>
      </c>
      <c r="G686" t="n">
        <v>5.3</v>
      </c>
      <c r="H686" t="n">
        <v>0</v>
      </c>
      <c r="I686" t="n">
        <v>0</v>
      </c>
      <c r="J686" t="n">
        <v>0</v>
      </c>
      <c r="K686" t="n">
        <v>0</v>
      </c>
      <c r="L686" t="n">
        <v>0</v>
      </c>
      <c r="M686" t="n">
        <v>0</v>
      </c>
      <c r="N686" t="n">
        <v>0</v>
      </c>
      <c r="O686" t="n">
        <v>0</v>
      </c>
      <c r="P686" t="n">
        <v>0</v>
      </c>
      <c r="Q686" t="n">
        <v>0</v>
      </c>
      <c r="R686" s="2" t="inlineStr"/>
    </row>
    <row r="687" ht="15" customHeight="1">
      <c r="A687" t="inlineStr">
        <is>
          <t>A 52804-2023</t>
        </is>
      </c>
      <c r="B687" s="1" t="n">
        <v>45226</v>
      </c>
      <c r="C687" s="1" t="n">
        <v>45695</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54626-2023</t>
        </is>
      </c>
      <c r="B688" s="1" t="n">
        <v>45228</v>
      </c>
      <c r="C688" s="1" t="n">
        <v>45695</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54593-2023</t>
        </is>
      </c>
      <c r="B689" s="1" t="n">
        <v>45228</v>
      </c>
      <c r="C689" s="1" t="n">
        <v>45695</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54627-2023</t>
        </is>
      </c>
      <c r="B690" s="1" t="n">
        <v>45228</v>
      </c>
      <c r="C690" s="1" t="n">
        <v>45695</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54594-2023</t>
        </is>
      </c>
      <c r="B691" s="1" t="n">
        <v>45228</v>
      </c>
      <c r="C691" s="1" t="n">
        <v>45695</v>
      </c>
      <c r="D691" t="inlineStr">
        <is>
          <t>DALARNAS LÄN</t>
        </is>
      </c>
      <c r="E691" t="inlineStr">
        <is>
          <t>MORA</t>
        </is>
      </c>
      <c r="G691" t="n">
        <v>2.3</v>
      </c>
      <c r="H691" t="n">
        <v>0</v>
      </c>
      <c r="I691" t="n">
        <v>0</v>
      </c>
      <c r="J691" t="n">
        <v>0</v>
      </c>
      <c r="K691" t="n">
        <v>0</v>
      </c>
      <c r="L691" t="n">
        <v>0</v>
      </c>
      <c r="M691" t="n">
        <v>0</v>
      </c>
      <c r="N691" t="n">
        <v>0</v>
      </c>
      <c r="O691" t="n">
        <v>0</v>
      </c>
      <c r="P691" t="n">
        <v>0</v>
      </c>
      <c r="Q691" t="n">
        <v>0</v>
      </c>
      <c r="R691" s="2" t="inlineStr"/>
    </row>
    <row r="692" ht="15" customHeight="1">
      <c r="A692" t="inlineStr">
        <is>
          <t>A 53344-2023</t>
        </is>
      </c>
      <c r="B692" s="1" t="n">
        <v>45229</v>
      </c>
      <c r="C692" s="1" t="n">
        <v>45695</v>
      </c>
      <c r="D692" t="inlineStr">
        <is>
          <t>DALARNAS LÄN</t>
        </is>
      </c>
      <c r="E692" t="inlineStr">
        <is>
          <t>MORA</t>
        </is>
      </c>
      <c r="G692" t="n">
        <v>2.4</v>
      </c>
      <c r="H692" t="n">
        <v>0</v>
      </c>
      <c r="I692" t="n">
        <v>0</v>
      </c>
      <c r="J692" t="n">
        <v>0</v>
      </c>
      <c r="K692" t="n">
        <v>0</v>
      </c>
      <c r="L692" t="n">
        <v>0</v>
      </c>
      <c r="M692" t="n">
        <v>0</v>
      </c>
      <c r="N692" t="n">
        <v>0</v>
      </c>
      <c r="O692" t="n">
        <v>0</v>
      </c>
      <c r="P692" t="n">
        <v>0</v>
      </c>
      <c r="Q692" t="n">
        <v>0</v>
      </c>
      <c r="R692" s="2" t="inlineStr"/>
    </row>
    <row r="693" ht="15" customHeight="1">
      <c r="A693" t="inlineStr">
        <is>
          <t>A 53349-2023</t>
        </is>
      </c>
      <c r="B693" s="1" t="n">
        <v>45229</v>
      </c>
      <c r="C693" s="1" t="n">
        <v>45695</v>
      </c>
      <c r="D693" t="inlineStr">
        <is>
          <t>DALARNAS LÄN</t>
        </is>
      </c>
      <c r="E693" t="inlineStr">
        <is>
          <t>MORA</t>
        </is>
      </c>
      <c r="G693" t="n">
        <v>3</v>
      </c>
      <c r="H693" t="n">
        <v>0</v>
      </c>
      <c r="I693" t="n">
        <v>0</v>
      </c>
      <c r="J693" t="n">
        <v>0</v>
      </c>
      <c r="K693" t="n">
        <v>0</v>
      </c>
      <c r="L693" t="n">
        <v>0</v>
      </c>
      <c r="M693" t="n">
        <v>0</v>
      </c>
      <c r="N693" t="n">
        <v>0</v>
      </c>
      <c r="O693" t="n">
        <v>0</v>
      </c>
      <c r="P693" t="n">
        <v>0</v>
      </c>
      <c r="Q693" t="n">
        <v>0</v>
      </c>
      <c r="R693" s="2" t="inlineStr"/>
    </row>
    <row r="694" ht="15" customHeight="1">
      <c r="A694" t="inlineStr">
        <is>
          <t>A 53297-2023</t>
        </is>
      </c>
      <c r="B694" s="1" t="n">
        <v>45229</v>
      </c>
      <c r="C694" s="1" t="n">
        <v>45695</v>
      </c>
      <c r="D694" t="inlineStr">
        <is>
          <t>DALARNAS LÄN</t>
        </is>
      </c>
      <c r="E694" t="inlineStr">
        <is>
          <t>MORA</t>
        </is>
      </c>
      <c r="G694" t="n">
        <v>0.6</v>
      </c>
      <c r="H694" t="n">
        <v>0</v>
      </c>
      <c r="I694" t="n">
        <v>0</v>
      </c>
      <c r="J694" t="n">
        <v>0</v>
      </c>
      <c r="K694" t="n">
        <v>0</v>
      </c>
      <c r="L694" t="n">
        <v>0</v>
      </c>
      <c r="M694" t="n">
        <v>0</v>
      </c>
      <c r="N694" t="n">
        <v>0</v>
      </c>
      <c r="O694" t="n">
        <v>0</v>
      </c>
      <c r="P694" t="n">
        <v>0</v>
      </c>
      <c r="Q694" t="n">
        <v>0</v>
      </c>
      <c r="R694" s="2" t="inlineStr"/>
    </row>
    <row r="695" ht="15" customHeight="1">
      <c r="A695" t="inlineStr">
        <is>
          <t>A 53341-2023</t>
        </is>
      </c>
      <c r="B695" s="1" t="n">
        <v>45229</v>
      </c>
      <c r="C695" s="1" t="n">
        <v>45695</v>
      </c>
      <c r="D695" t="inlineStr">
        <is>
          <t>DALARNAS LÄN</t>
        </is>
      </c>
      <c r="E695" t="inlineStr">
        <is>
          <t>MORA</t>
        </is>
      </c>
      <c r="G695" t="n">
        <v>2.1</v>
      </c>
      <c r="H695" t="n">
        <v>0</v>
      </c>
      <c r="I695" t="n">
        <v>0</v>
      </c>
      <c r="J695" t="n">
        <v>0</v>
      </c>
      <c r="K695" t="n">
        <v>0</v>
      </c>
      <c r="L695" t="n">
        <v>0</v>
      </c>
      <c r="M695" t="n">
        <v>0</v>
      </c>
      <c r="N695" t="n">
        <v>0</v>
      </c>
      <c r="O695" t="n">
        <v>0</v>
      </c>
      <c r="P695" t="n">
        <v>0</v>
      </c>
      <c r="Q695" t="n">
        <v>0</v>
      </c>
      <c r="R695" s="2" t="inlineStr"/>
    </row>
    <row r="696" ht="15" customHeight="1">
      <c r="A696" t="inlineStr">
        <is>
          <t>A 54003-2023</t>
        </is>
      </c>
      <c r="B696" s="1" t="n">
        <v>45231</v>
      </c>
      <c r="C696" s="1" t="n">
        <v>45695</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55225-2023</t>
        </is>
      </c>
      <c r="B697" s="1" t="n">
        <v>45231</v>
      </c>
      <c r="C697" s="1" t="n">
        <v>45695</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53994-2023</t>
        </is>
      </c>
      <c r="B698" s="1" t="n">
        <v>45231</v>
      </c>
      <c r="C698" s="1" t="n">
        <v>45695</v>
      </c>
      <c r="D698" t="inlineStr">
        <is>
          <t>DALARNAS LÄN</t>
        </is>
      </c>
      <c r="E698" t="inlineStr">
        <is>
          <t>MORA</t>
        </is>
      </c>
      <c r="F698" t="inlineStr">
        <is>
          <t>Bergvik skog öst AB</t>
        </is>
      </c>
      <c r="G698" t="n">
        <v>3.5</v>
      </c>
      <c r="H698" t="n">
        <v>0</v>
      </c>
      <c r="I698" t="n">
        <v>0</v>
      </c>
      <c r="J698" t="n">
        <v>0</v>
      </c>
      <c r="K698" t="n">
        <v>0</v>
      </c>
      <c r="L698" t="n">
        <v>0</v>
      </c>
      <c r="M698" t="n">
        <v>0</v>
      </c>
      <c r="N698" t="n">
        <v>0</v>
      </c>
      <c r="O698" t="n">
        <v>0</v>
      </c>
      <c r="P698" t="n">
        <v>0</v>
      </c>
      <c r="Q698" t="n">
        <v>0</v>
      </c>
      <c r="R698" s="2" t="inlineStr"/>
    </row>
    <row r="699" ht="15" customHeight="1">
      <c r="A699" t="inlineStr">
        <is>
          <t>A 54097-2023</t>
        </is>
      </c>
      <c r="B699" s="1" t="n">
        <v>45232</v>
      </c>
      <c r="C699" s="1" t="n">
        <v>45695</v>
      </c>
      <c r="D699" t="inlineStr">
        <is>
          <t>DALARNAS LÄN</t>
        </is>
      </c>
      <c r="E699" t="inlineStr">
        <is>
          <t>MORA</t>
        </is>
      </c>
      <c r="G699" t="n">
        <v>5.6</v>
      </c>
      <c r="H699" t="n">
        <v>0</v>
      </c>
      <c r="I699" t="n">
        <v>0</v>
      </c>
      <c r="J699" t="n">
        <v>0</v>
      </c>
      <c r="K699" t="n">
        <v>0</v>
      </c>
      <c r="L699" t="n">
        <v>0</v>
      </c>
      <c r="M699" t="n">
        <v>0</v>
      </c>
      <c r="N699" t="n">
        <v>0</v>
      </c>
      <c r="O699" t="n">
        <v>0</v>
      </c>
      <c r="P699" t="n">
        <v>0</v>
      </c>
      <c r="Q699" t="n">
        <v>0</v>
      </c>
      <c r="R699" s="2" t="inlineStr"/>
    </row>
    <row r="700" ht="15" customHeight="1">
      <c r="A700" t="inlineStr">
        <is>
          <t>A 54121-2023</t>
        </is>
      </c>
      <c r="B700" s="1" t="n">
        <v>45232</v>
      </c>
      <c r="C700" s="1" t="n">
        <v>45695</v>
      </c>
      <c r="D700" t="inlineStr">
        <is>
          <t>DALARNAS LÄN</t>
        </is>
      </c>
      <c r="E700" t="inlineStr">
        <is>
          <t>MORA</t>
        </is>
      </c>
      <c r="G700" t="n">
        <v>7</v>
      </c>
      <c r="H700" t="n">
        <v>0</v>
      </c>
      <c r="I700" t="n">
        <v>0</v>
      </c>
      <c r="J700" t="n">
        <v>0</v>
      </c>
      <c r="K700" t="n">
        <v>0</v>
      </c>
      <c r="L700" t="n">
        <v>0</v>
      </c>
      <c r="M700" t="n">
        <v>0</v>
      </c>
      <c r="N700" t="n">
        <v>0</v>
      </c>
      <c r="O700" t="n">
        <v>0</v>
      </c>
      <c r="P700" t="n">
        <v>0</v>
      </c>
      <c r="Q700" t="n">
        <v>0</v>
      </c>
      <c r="R700" s="2" t="inlineStr"/>
    </row>
    <row r="701" ht="15" customHeight="1">
      <c r="A701" t="inlineStr">
        <is>
          <t>A 54129-2023</t>
        </is>
      </c>
      <c r="B701" s="1" t="n">
        <v>45232</v>
      </c>
      <c r="C701" s="1" t="n">
        <v>45695</v>
      </c>
      <c r="D701" t="inlineStr">
        <is>
          <t>DALARNAS LÄN</t>
        </is>
      </c>
      <c r="E701" t="inlineStr">
        <is>
          <t>MORA</t>
        </is>
      </c>
      <c r="G701" t="n">
        <v>3.4</v>
      </c>
      <c r="H701" t="n">
        <v>0</v>
      </c>
      <c r="I701" t="n">
        <v>0</v>
      </c>
      <c r="J701" t="n">
        <v>0</v>
      </c>
      <c r="K701" t="n">
        <v>0</v>
      </c>
      <c r="L701" t="n">
        <v>0</v>
      </c>
      <c r="M701" t="n">
        <v>0</v>
      </c>
      <c r="N701" t="n">
        <v>0</v>
      </c>
      <c r="O701" t="n">
        <v>0</v>
      </c>
      <c r="P701" t="n">
        <v>0</v>
      </c>
      <c r="Q701" t="n">
        <v>0</v>
      </c>
      <c r="R701" s="2" t="inlineStr"/>
    </row>
    <row r="702" ht="15" customHeight="1">
      <c r="A702" t="inlineStr">
        <is>
          <t>A 54193-2023</t>
        </is>
      </c>
      <c r="B702" s="1" t="n">
        <v>45232</v>
      </c>
      <c r="C702" s="1" t="n">
        <v>45695</v>
      </c>
      <c r="D702" t="inlineStr">
        <is>
          <t>DALARNAS LÄN</t>
        </is>
      </c>
      <c r="E702" t="inlineStr">
        <is>
          <t>MORA</t>
        </is>
      </c>
      <c r="G702" t="n">
        <v>5.7</v>
      </c>
      <c r="H702" t="n">
        <v>0</v>
      </c>
      <c r="I702" t="n">
        <v>0</v>
      </c>
      <c r="J702" t="n">
        <v>0</v>
      </c>
      <c r="K702" t="n">
        <v>0</v>
      </c>
      <c r="L702" t="n">
        <v>0</v>
      </c>
      <c r="M702" t="n">
        <v>0</v>
      </c>
      <c r="N702" t="n">
        <v>0</v>
      </c>
      <c r="O702" t="n">
        <v>0</v>
      </c>
      <c r="P702" t="n">
        <v>0</v>
      </c>
      <c r="Q702" t="n">
        <v>0</v>
      </c>
      <c r="R702" s="2" t="inlineStr"/>
    </row>
    <row r="703" ht="15" customHeight="1">
      <c r="A703" t="inlineStr">
        <is>
          <t>A 54194-2023</t>
        </is>
      </c>
      <c r="B703" s="1" t="n">
        <v>45232</v>
      </c>
      <c r="C703" s="1" t="n">
        <v>45695</v>
      </c>
      <c r="D703" t="inlineStr">
        <is>
          <t>DALARNAS LÄN</t>
        </is>
      </c>
      <c r="E703" t="inlineStr">
        <is>
          <t>MORA</t>
        </is>
      </c>
      <c r="G703" t="n">
        <v>1.3</v>
      </c>
      <c r="H703" t="n">
        <v>0</v>
      </c>
      <c r="I703" t="n">
        <v>0</v>
      </c>
      <c r="J703" t="n">
        <v>0</v>
      </c>
      <c r="K703" t="n">
        <v>0</v>
      </c>
      <c r="L703" t="n">
        <v>0</v>
      </c>
      <c r="M703" t="n">
        <v>0</v>
      </c>
      <c r="N703" t="n">
        <v>0</v>
      </c>
      <c r="O703" t="n">
        <v>0</v>
      </c>
      <c r="P703" t="n">
        <v>0</v>
      </c>
      <c r="Q703" t="n">
        <v>0</v>
      </c>
      <c r="R703" s="2" t="inlineStr"/>
    </row>
    <row r="704" ht="15" customHeight="1">
      <c r="A704" t="inlineStr">
        <is>
          <t>A 54192-2023</t>
        </is>
      </c>
      <c r="B704" s="1" t="n">
        <v>45232</v>
      </c>
      <c r="C704" s="1" t="n">
        <v>45695</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54253-2023</t>
        </is>
      </c>
      <c r="B705" s="1" t="n">
        <v>45232</v>
      </c>
      <c r="C705" s="1" t="n">
        <v>45695</v>
      </c>
      <c r="D705" t="inlineStr">
        <is>
          <t>DALARNAS LÄN</t>
        </is>
      </c>
      <c r="E705" t="inlineStr">
        <is>
          <t>MORA</t>
        </is>
      </c>
      <c r="G705" t="n">
        <v>4.5</v>
      </c>
      <c r="H705" t="n">
        <v>0</v>
      </c>
      <c r="I705" t="n">
        <v>0</v>
      </c>
      <c r="J705" t="n">
        <v>0</v>
      </c>
      <c r="K705" t="n">
        <v>0</v>
      </c>
      <c r="L705" t="n">
        <v>0</v>
      </c>
      <c r="M705" t="n">
        <v>0</v>
      </c>
      <c r="N705" t="n">
        <v>0</v>
      </c>
      <c r="O705" t="n">
        <v>0</v>
      </c>
      <c r="P705" t="n">
        <v>0</v>
      </c>
      <c r="Q705" t="n">
        <v>0</v>
      </c>
      <c r="R705" s="2" t="inlineStr"/>
    </row>
    <row r="706" ht="15" customHeight="1">
      <c r="A706" t="inlineStr">
        <is>
          <t>A 54257-2023</t>
        </is>
      </c>
      <c r="B706" s="1" t="n">
        <v>45232</v>
      </c>
      <c r="C706" s="1" t="n">
        <v>45695</v>
      </c>
      <c r="D706" t="inlineStr">
        <is>
          <t>DALARNAS LÄN</t>
        </is>
      </c>
      <c r="E706" t="inlineStr">
        <is>
          <t>MORA</t>
        </is>
      </c>
      <c r="G706" t="n">
        <v>4</v>
      </c>
      <c r="H706" t="n">
        <v>0</v>
      </c>
      <c r="I706" t="n">
        <v>0</v>
      </c>
      <c r="J706" t="n">
        <v>0</v>
      </c>
      <c r="K706" t="n">
        <v>0</v>
      </c>
      <c r="L706" t="n">
        <v>0</v>
      </c>
      <c r="M706" t="n">
        <v>0</v>
      </c>
      <c r="N706" t="n">
        <v>0</v>
      </c>
      <c r="O706" t="n">
        <v>0</v>
      </c>
      <c r="P706" t="n">
        <v>0</v>
      </c>
      <c r="Q706" t="n">
        <v>0</v>
      </c>
      <c r="R706" s="2" t="inlineStr"/>
    </row>
    <row r="707" ht="15" customHeight="1">
      <c r="A707" t="inlineStr">
        <is>
          <t>A 54827-2023</t>
        </is>
      </c>
      <c r="B707" s="1" t="n">
        <v>45236</v>
      </c>
      <c r="C707" s="1" t="n">
        <v>45695</v>
      </c>
      <c r="D707" t="inlineStr">
        <is>
          <t>DALARNAS LÄN</t>
        </is>
      </c>
      <c r="E707" t="inlineStr">
        <is>
          <t>MORA</t>
        </is>
      </c>
      <c r="G707" t="n">
        <v>18.7</v>
      </c>
      <c r="H707" t="n">
        <v>0</v>
      </c>
      <c r="I707" t="n">
        <v>0</v>
      </c>
      <c r="J707" t="n">
        <v>0</v>
      </c>
      <c r="K707" t="n">
        <v>0</v>
      </c>
      <c r="L707" t="n">
        <v>0</v>
      </c>
      <c r="M707" t="n">
        <v>0</v>
      </c>
      <c r="N707" t="n">
        <v>0</v>
      </c>
      <c r="O707" t="n">
        <v>0</v>
      </c>
      <c r="P707" t="n">
        <v>0</v>
      </c>
      <c r="Q707" t="n">
        <v>0</v>
      </c>
      <c r="R707" s="2" t="inlineStr"/>
    </row>
    <row r="708" ht="15" customHeight="1">
      <c r="A708" t="inlineStr">
        <is>
          <t>A 54923-2023</t>
        </is>
      </c>
      <c r="B708" s="1" t="n">
        <v>45236</v>
      </c>
      <c r="C708" s="1" t="n">
        <v>45695</v>
      </c>
      <c r="D708" t="inlineStr">
        <is>
          <t>DALARNAS LÄN</t>
        </is>
      </c>
      <c r="E708" t="inlineStr">
        <is>
          <t>MORA</t>
        </is>
      </c>
      <c r="G708" t="n">
        <v>7.3</v>
      </c>
      <c r="H708" t="n">
        <v>0</v>
      </c>
      <c r="I708" t="n">
        <v>0</v>
      </c>
      <c r="J708" t="n">
        <v>0</v>
      </c>
      <c r="K708" t="n">
        <v>0</v>
      </c>
      <c r="L708" t="n">
        <v>0</v>
      </c>
      <c r="M708" t="n">
        <v>0</v>
      </c>
      <c r="N708" t="n">
        <v>0</v>
      </c>
      <c r="O708" t="n">
        <v>0</v>
      </c>
      <c r="P708" t="n">
        <v>0</v>
      </c>
      <c r="Q708" t="n">
        <v>0</v>
      </c>
      <c r="R708" s="2" t="inlineStr"/>
    </row>
    <row r="709" ht="15" customHeight="1">
      <c r="A709" t="inlineStr">
        <is>
          <t>A 55222-2023</t>
        </is>
      </c>
      <c r="B709" s="1" t="n">
        <v>45237</v>
      </c>
      <c r="C709" s="1" t="n">
        <v>45695</v>
      </c>
      <c r="D709" t="inlineStr">
        <is>
          <t>DALARNAS LÄN</t>
        </is>
      </c>
      <c r="E709" t="inlineStr">
        <is>
          <t>MORA</t>
        </is>
      </c>
      <c r="F709" t="inlineStr">
        <is>
          <t>Allmännings- och besparingsskogar</t>
        </is>
      </c>
      <c r="G709" t="n">
        <v>19.8</v>
      </c>
      <c r="H709" t="n">
        <v>0</v>
      </c>
      <c r="I709" t="n">
        <v>0</v>
      </c>
      <c r="J709" t="n">
        <v>0</v>
      </c>
      <c r="K709" t="n">
        <v>0</v>
      </c>
      <c r="L709" t="n">
        <v>0</v>
      </c>
      <c r="M709" t="n">
        <v>0</v>
      </c>
      <c r="N709" t="n">
        <v>0</v>
      </c>
      <c r="O709" t="n">
        <v>0</v>
      </c>
      <c r="P709" t="n">
        <v>0</v>
      </c>
      <c r="Q709" t="n">
        <v>0</v>
      </c>
      <c r="R709" s="2" t="inlineStr"/>
    </row>
    <row r="710" ht="15" customHeight="1">
      <c r="A710" t="inlineStr">
        <is>
          <t>A 55398-2023</t>
        </is>
      </c>
      <c r="B710" s="1" t="n">
        <v>45238</v>
      </c>
      <c r="C710" s="1" t="n">
        <v>45695</v>
      </c>
      <c r="D710" t="inlineStr">
        <is>
          <t>DALARNAS LÄN</t>
        </is>
      </c>
      <c r="E710" t="inlineStr">
        <is>
          <t>MORA</t>
        </is>
      </c>
      <c r="G710" t="n">
        <v>7.2</v>
      </c>
      <c r="H710" t="n">
        <v>0</v>
      </c>
      <c r="I710" t="n">
        <v>0</v>
      </c>
      <c r="J710" t="n">
        <v>0</v>
      </c>
      <c r="K710" t="n">
        <v>0</v>
      </c>
      <c r="L710" t="n">
        <v>0</v>
      </c>
      <c r="M710" t="n">
        <v>0</v>
      </c>
      <c r="N710" t="n">
        <v>0</v>
      </c>
      <c r="O710" t="n">
        <v>0</v>
      </c>
      <c r="P710" t="n">
        <v>0</v>
      </c>
      <c r="Q710" t="n">
        <v>0</v>
      </c>
      <c r="R710" s="2" t="inlineStr"/>
    </row>
    <row r="711" ht="15" customHeight="1">
      <c r="A711" t="inlineStr">
        <is>
          <t>A 55691-2023</t>
        </is>
      </c>
      <c r="B711" s="1" t="n">
        <v>45239</v>
      </c>
      <c r="C711" s="1" t="n">
        <v>45695</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55848-2023</t>
        </is>
      </c>
      <c r="B712" s="1" t="n">
        <v>45239</v>
      </c>
      <c r="C712" s="1" t="n">
        <v>45695</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56010-2023</t>
        </is>
      </c>
      <c r="B713" s="1" t="n">
        <v>45240</v>
      </c>
      <c r="C713" s="1" t="n">
        <v>45695</v>
      </c>
      <c r="D713" t="inlineStr">
        <is>
          <t>DALARNAS LÄN</t>
        </is>
      </c>
      <c r="E713" t="inlineStr">
        <is>
          <t>MORA</t>
        </is>
      </c>
      <c r="G713" t="n">
        <v>1.2</v>
      </c>
      <c r="H713" t="n">
        <v>0</v>
      </c>
      <c r="I713" t="n">
        <v>0</v>
      </c>
      <c r="J713" t="n">
        <v>0</v>
      </c>
      <c r="K713" t="n">
        <v>0</v>
      </c>
      <c r="L713" t="n">
        <v>0</v>
      </c>
      <c r="M713" t="n">
        <v>0</v>
      </c>
      <c r="N713" t="n">
        <v>0</v>
      </c>
      <c r="O713" t="n">
        <v>0</v>
      </c>
      <c r="P713" t="n">
        <v>0</v>
      </c>
      <c r="Q713" t="n">
        <v>0</v>
      </c>
      <c r="R713" s="2" t="inlineStr"/>
    </row>
    <row r="714" ht="15" customHeight="1">
      <c r="A714" t="inlineStr">
        <is>
          <t>A 56037-2023</t>
        </is>
      </c>
      <c r="B714" s="1" t="n">
        <v>45240</v>
      </c>
      <c r="C714" s="1" t="n">
        <v>45695</v>
      </c>
      <c r="D714" t="inlineStr">
        <is>
          <t>DALARNAS LÄN</t>
        </is>
      </c>
      <c r="E714" t="inlineStr">
        <is>
          <t>MORA</t>
        </is>
      </c>
      <c r="G714" t="n">
        <v>1.4</v>
      </c>
      <c r="H714" t="n">
        <v>0</v>
      </c>
      <c r="I714" t="n">
        <v>0</v>
      </c>
      <c r="J714" t="n">
        <v>0</v>
      </c>
      <c r="K714" t="n">
        <v>0</v>
      </c>
      <c r="L714" t="n">
        <v>0</v>
      </c>
      <c r="M714" t="n">
        <v>0</v>
      </c>
      <c r="N714" t="n">
        <v>0</v>
      </c>
      <c r="O714" t="n">
        <v>0</v>
      </c>
      <c r="P714" t="n">
        <v>0</v>
      </c>
      <c r="Q714" t="n">
        <v>0</v>
      </c>
      <c r="R714" s="2" t="inlineStr"/>
    </row>
    <row r="715" ht="15" customHeight="1">
      <c r="A715" t="inlineStr">
        <is>
          <t>A 56020-2023</t>
        </is>
      </c>
      <c r="B715" s="1" t="n">
        <v>45240</v>
      </c>
      <c r="C715" s="1" t="n">
        <v>45695</v>
      </c>
      <c r="D715" t="inlineStr">
        <is>
          <t>DALARNAS LÄN</t>
        </is>
      </c>
      <c r="E715" t="inlineStr">
        <is>
          <t>MORA</t>
        </is>
      </c>
      <c r="G715" t="n">
        <v>0.9</v>
      </c>
      <c r="H715" t="n">
        <v>0</v>
      </c>
      <c r="I715" t="n">
        <v>0</v>
      </c>
      <c r="J715" t="n">
        <v>0</v>
      </c>
      <c r="K715" t="n">
        <v>0</v>
      </c>
      <c r="L715" t="n">
        <v>0</v>
      </c>
      <c r="M715" t="n">
        <v>0</v>
      </c>
      <c r="N715" t="n">
        <v>0</v>
      </c>
      <c r="O715" t="n">
        <v>0</v>
      </c>
      <c r="P715" t="n">
        <v>0</v>
      </c>
      <c r="Q715" t="n">
        <v>0</v>
      </c>
      <c r="R715" s="2" t="inlineStr"/>
    </row>
    <row r="716" ht="15" customHeight="1">
      <c r="A716" t="inlineStr">
        <is>
          <t>A 56012-2023</t>
        </is>
      </c>
      <c r="B716" s="1" t="n">
        <v>45240</v>
      </c>
      <c r="C716" s="1" t="n">
        <v>45695</v>
      </c>
      <c r="D716" t="inlineStr">
        <is>
          <t>DALARNAS LÄN</t>
        </is>
      </c>
      <c r="E716" t="inlineStr">
        <is>
          <t>MORA</t>
        </is>
      </c>
      <c r="G716" t="n">
        <v>0.3</v>
      </c>
      <c r="H716" t="n">
        <v>0</v>
      </c>
      <c r="I716" t="n">
        <v>0</v>
      </c>
      <c r="J716" t="n">
        <v>0</v>
      </c>
      <c r="K716" t="n">
        <v>0</v>
      </c>
      <c r="L716" t="n">
        <v>0</v>
      </c>
      <c r="M716" t="n">
        <v>0</v>
      </c>
      <c r="N716" t="n">
        <v>0</v>
      </c>
      <c r="O716" t="n">
        <v>0</v>
      </c>
      <c r="P716" t="n">
        <v>0</v>
      </c>
      <c r="Q716" t="n">
        <v>0</v>
      </c>
      <c r="R716" s="2" t="inlineStr"/>
    </row>
    <row r="717" ht="15" customHeight="1">
      <c r="A717" t="inlineStr">
        <is>
          <t>A 56239-2023</t>
        </is>
      </c>
      <c r="B717" s="1" t="n">
        <v>45240</v>
      </c>
      <c r="C717" s="1" t="n">
        <v>45695</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56032-2023</t>
        </is>
      </c>
      <c r="B718" s="1" t="n">
        <v>45240</v>
      </c>
      <c r="C718" s="1" t="n">
        <v>45695</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55977-2023</t>
        </is>
      </c>
      <c r="B719" s="1" t="n">
        <v>45240</v>
      </c>
      <c r="C719" s="1" t="n">
        <v>45695</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56009-2023</t>
        </is>
      </c>
      <c r="B720" s="1" t="n">
        <v>45240</v>
      </c>
      <c r="C720" s="1" t="n">
        <v>45695</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55984-2023</t>
        </is>
      </c>
      <c r="B721" s="1" t="n">
        <v>45240</v>
      </c>
      <c r="C721" s="1" t="n">
        <v>45695</v>
      </c>
      <c r="D721" t="inlineStr">
        <is>
          <t>DALARNAS LÄN</t>
        </is>
      </c>
      <c r="E721" t="inlineStr">
        <is>
          <t>MORA</t>
        </is>
      </c>
      <c r="G721" t="n">
        <v>5.3</v>
      </c>
      <c r="H721" t="n">
        <v>0</v>
      </c>
      <c r="I721" t="n">
        <v>0</v>
      </c>
      <c r="J721" t="n">
        <v>0</v>
      </c>
      <c r="K721" t="n">
        <v>0</v>
      </c>
      <c r="L721" t="n">
        <v>0</v>
      </c>
      <c r="M721" t="n">
        <v>0</v>
      </c>
      <c r="N721" t="n">
        <v>0</v>
      </c>
      <c r="O721" t="n">
        <v>0</v>
      </c>
      <c r="P721" t="n">
        <v>0</v>
      </c>
      <c r="Q721" t="n">
        <v>0</v>
      </c>
      <c r="R721" s="2" t="inlineStr"/>
    </row>
    <row r="722" ht="15" customHeight="1">
      <c r="A722" t="inlineStr">
        <is>
          <t>A 56711-2023</t>
        </is>
      </c>
      <c r="B722" s="1" t="n">
        <v>45244</v>
      </c>
      <c r="C722" s="1" t="n">
        <v>45695</v>
      </c>
      <c r="D722" t="inlineStr">
        <is>
          <t>DALARNAS LÄN</t>
        </is>
      </c>
      <c r="E722" t="inlineStr">
        <is>
          <t>MORA</t>
        </is>
      </c>
      <c r="G722" t="n">
        <v>4.4</v>
      </c>
      <c r="H722" t="n">
        <v>0</v>
      </c>
      <c r="I722" t="n">
        <v>0</v>
      </c>
      <c r="J722" t="n">
        <v>0</v>
      </c>
      <c r="K722" t="n">
        <v>0</v>
      </c>
      <c r="L722" t="n">
        <v>0</v>
      </c>
      <c r="M722" t="n">
        <v>0</v>
      </c>
      <c r="N722" t="n">
        <v>0</v>
      </c>
      <c r="O722" t="n">
        <v>0</v>
      </c>
      <c r="P722" t="n">
        <v>0</v>
      </c>
      <c r="Q722" t="n">
        <v>0</v>
      </c>
      <c r="R722" s="2" t="inlineStr"/>
    </row>
    <row r="723" ht="15" customHeight="1">
      <c r="A723" t="inlineStr">
        <is>
          <t>A 56767-2023</t>
        </is>
      </c>
      <c r="B723" s="1" t="n">
        <v>45244</v>
      </c>
      <c r="C723" s="1" t="n">
        <v>45695</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56934-2023</t>
        </is>
      </c>
      <c r="B724" s="1" t="n">
        <v>45244</v>
      </c>
      <c r="C724" s="1" t="n">
        <v>45695</v>
      </c>
      <c r="D724" t="inlineStr">
        <is>
          <t>DALARNAS LÄN</t>
        </is>
      </c>
      <c r="E724" t="inlineStr">
        <is>
          <t>MORA</t>
        </is>
      </c>
      <c r="G724" t="n">
        <v>3.5</v>
      </c>
      <c r="H724" t="n">
        <v>0</v>
      </c>
      <c r="I724" t="n">
        <v>0</v>
      </c>
      <c r="J724" t="n">
        <v>0</v>
      </c>
      <c r="K724" t="n">
        <v>0</v>
      </c>
      <c r="L724" t="n">
        <v>0</v>
      </c>
      <c r="M724" t="n">
        <v>0</v>
      </c>
      <c r="N724" t="n">
        <v>0</v>
      </c>
      <c r="O724" t="n">
        <v>0</v>
      </c>
      <c r="P724" t="n">
        <v>0</v>
      </c>
      <c r="Q724" t="n">
        <v>0</v>
      </c>
      <c r="R724" s="2" t="inlineStr"/>
    </row>
    <row r="725" ht="15" customHeight="1">
      <c r="A725" t="inlineStr">
        <is>
          <t>A 57319-2023</t>
        </is>
      </c>
      <c r="B725" s="1" t="n">
        <v>45245</v>
      </c>
      <c r="C725" s="1" t="n">
        <v>45695</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57314-2023</t>
        </is>
      </c>
      <c r="B726" s="1" t="n">
        <v>45245</v>
      </c>
      <c r="C726" s="1" t="n">
        <v>45695</v>
      </c>
      <c r="D726" t="inlineStr">
        <is>
          <t>DALARNAS LÄN</t>
        </is>
      </c>
      <c r="E726" t="inlineStr">
        <is>
          <t>MORA</t>
        </is>
      </c>
      <c r="G726" t="n">
        <v>2.7</v>
      </c>
      <c r="H726" t="n">
        <v>0</v>
      </c>
      <c r="I726" t="n">
        <v>0</v>
      </c>
      <c r="J726" t="n">
        <v>0</v>
      </c>
      <c r="K726" t="n">
        <v>0</v>
      </c>
      <c r="L726" t="n">
        <v>0</v>
      </c>
      <c r="M726" t="n">
        <v>0</v>
      </c>
      <c r="N726" t="n">
        <v>0</v>
      </c>
      <c r="O726" t="n">
        <v>0</v>
      </c>
      <c r="P726" t="n">
        <v>0</v>
      </c>
      <c r="Q726" t="n">
        <v>0</v>
      </c>
      <c r="R726" s="2" t="inlineStr"/>
    </row>
    <row r="727" ht="15" customHeight="1">
      <c r="A727" t="inlineStr">
        <is>
          <t>A 57625-2023</t>
        </is>
      </c>
      <c r="B727" s="1" t="n">
        <v>45246</v>
      </c>
      <c r="C727" s="1" t="n">
        <v>45695</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57989-2023</t>
        </is>
      </c>
      <c r="B728" s="1" t="n">
        <v>45247</v>
      </c>
      <c r="C728" s="1" t="n">
        <v>45695</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57999-2023</t>
        </is>
      </c>
      <c r="B729" s="1" t="n">
        <v>45247</v>
      </c>
      <c r="C729" s="1" t="n">
        <v>45695</v>
      </c>
      <c r="D729" t="inlineStr">
        <is>
          <t>DALARNAS LÄN</t>
        </is>
      </c>
      <c r="E729" t="inlineStr">
        <is>
          <t>MORA</t>
        </is>
      </c>
      <c r="G729" t="n">
        <v>0.4</v>
      </c>
      <c r="H729" t="n">
        <v>0</v>
      </c>
      <c r="I729" t="n">
        <v>0</v>
      </c>
      <c r="J729" t="n">
        <v>0</v>
      </c>
      <c r="K729" t="n">
        <v>0</v>
      </c>
      <c r="L729" t="n">
        <v>0</v>
      </c>
      <c r="M729" t="n">
        <v>0</v>
      </c>
      <c r="N729" t="n">
        <v>0</v>
      </c>
      <c r="O729" t="n">
        <v>0</v>
      </c>
      <c r="P729" t="n">
        <v>0</v>
      </c>
      <c r="Q729" t="n">
        <v>0</v>
      </c>
      <c r="R729" s="2" t="inlineStr"/>
    </row>
    <row r="730" ht="15" customHeight="1">
      <c r="A730" t="inlineStr">
        <is>
          <t>A 58075-2023</t>
        </is>
      </c>
      <c r="B730" s="1" t="n">
        <v>45247</v>
      </c>
      <c r="C730" s="1" t="n">
        <v>45695</v>
      </c>
      <c r="D730" t="inlineStr">
        <is>
          <t>DALARNAS LÄN</t>
        </is>
      </c>
      <c r="E730" t="inlineStr">
        <is>
          <t>MORA</t>
        </is>
      </c>
      <c r="G730" t="n">
        <v>2.6</v>
      </c>
      <c r="H730" t="n">
        <v>0</v>
      </c>
      <c r="I730" t="n">
        <v>0</v>
      </c>
      <c r="J730" t="n">
        <v>0</v>
      </c>
      <c r="K730" t="n">
        <v>0</v>
      </c>
      <c r="L730" t="n">
        <v>0</v>
      </c>
      <c r="M730" t="n">
        <v>0</v>
      </c>
      <c r="N730" t="n">
        <v>0</v>
      </c>
      <c r="O730" t="n">
        <v>0</v>
      </c>
      <c r="P730" t="n">
        <v>0</v>
      </c>
      <c r="Q730" t="n">
        <v>0</v>
      </c>
      <c r="R730" s="2" t="inlineStr"/>
    </row>
    <row r="731" ht="15" customHeight="1">
      <c r="A731" t="inlineStr">
        <is>
          <t>A 57889-2023</t>
        </is>
      </c>
      <c r="B731" s="1" t="n">
        <v>45247</v>
      </c>
      <c r="C731" s="1" t="n">
        <v>45695</v>
      </c>
      <c r="D731" t="inlineStr">
        <is>
          <t>DALARNAS LÄN</t>
        </is>
      </c>
      <c r="E731" t="inlineStr">
        <is>
          <t>MORA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58972-2023</t>
        </is>
      </c>
      <c r="B732" s="1" t="n">
        <v>45252</v>
      </c>
      <c r="C732" s="1" t="n">
        <v>45695</v>
      </c>
      <c r="D732" t="inlineStr">
        <is>
          <t>DALARNAS LÄN</t>
        </is>
      </c>
      <c r="E732" t="inlineStr">
        <is>
          <t>MORA</t>
        </is>
      </c>
      <c r="G732" t="n">
        <v>0.5</v>
      </c>
      <c r="H732" t="n">
        <v>0</v>
      </c>
      <c r="I732" t="n">
        <v>0</v>
      </c>
      <c r="J732" t="n">
        <v>0</v>
      </c>
      <c r="K732" t="n">
        <v>0</v>
      </c>
      <c r="L732" t="n">
        <v>0</v>
      </c>
      <c r="M732" t="n">
        <v>0</v>
      </c>
      <c r="N732" t="n">
        <v>0</v>
      </c>
      <c r="O732" t="n">
        <v>0</v>
      </c>
      <c r="P732" t="n">
        <v>0</v>
      </c>
      <c r="Q732" t="n">
        <v>0</v>
      </c>
      <c r="R732" s="2" t="inlineStr"/>
    </row>
    <row r="733" ht="15" customHeight="1">
      <c r="A733" t="inlineStr">
        <is>
          <t>A 58977-2023</t>
        </is>
      </c>
      <c r="B733" s="1" t="n">
        <v>45252</v>
      </c>
      <c r="C733" s="1" t="n">
        <v>45695</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58892-2023</t>
        </is>
      </c>
      <c r="B734" s="1" t="n">
        <v>45252</v>
      </c>
      <c r="C734" s="1" t="n">
        <v>45695</v>
      </c>
      <c r="D734" t="inlineStr">
        <is>
          <t>DALARNAS LÄN</t>
        </is>
      </c>
      <c r="E734" t="inlineStr">
        <is>
          <t>MORA</t>
        </is>
      </c>
      <c r="G734" t="n">
        <v>2.2</v>
      </c>
      <c r="H734" t="n">
        <v>0</v>
      </c>
      <c r="I734" t="n">
        <v>0</v>
      </c>
      <c r="J734" t="n">
        <v>0</v>
      </c>
      <c r="K734" t="n">
        <v>0</v>
      </c>
      <c r="L734" t="n">
        <v>0</v>
      </c>
      <c r="M734" t="n">
        <v>0</v>
      </c>
      <c r="N734" t="n">
        <v>0</v>
      </c>
      <c r="O734" t="n">
        <v>0</v>
      </c>
      <c r="P734" t="n">
        <v>0</v>
      </c>
      <c r="Q734" t="n">
        <v>0</v>
      </c>
      <c r="R734" s="2" t="inlineStr"/>
    </row>
    <row r="735" ht="15" customHeight="1">
      <c r="A735" t="inlineStr">
        <is>
          <t>A 59168-2023</t>
        </is>
      </c>
      <c r="B735" s="1" t="n">
        <v>45253</v>
      </c>
      <c r="C735" s="1" t="n">
        <v>45695</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59174-2023</t>
        </is>
      </c>
      <c r="B736" s="1" t="n">
        <v>45253</v>
      </c>
      <c r="C736" s="1" t="n">
        <v>45695</v>
      </c>
      <c r="D736" t="inlineStr">
        <is>
          <t>DALARNAS LÄN</t>
        </is>
      </c>
      <c r="E736" t="inlineStr">
        <is>
          <t>MORA</t>
        </is>
      </c>
      <c r="G736" t="n">
        <v>2.5</v>
      </c>
      <c r="H736" t="n">
        <v>0</v>
      </c>
      <c r="I736" t="n">
        <v>0</v>
      </c>
      <c r="J736" t="n">
        <v>0</v>
      </c>
      <c r="K736" t="n">
        <v>0</v>
      </c>
      <c r="L736" t="n">
        <v>0</v>
      </c>
      <c r="M736" t="n">
        <v>0</v>
      </c>
      <c r="N736" t="n">
        <v>0</v>
      </c>
      <c r="O736" t="n">
        <v>0</v>
      </c>
      <c r="P736" t="n">
        <v>0</v>
      </c>
      <c r="Q736" t="n">
        <v>0</v>
      </c>
      <c r="R736" s="2" t="inlineStr"/>
    </row>
    <row r="737" ht="15" customHeight="1">
      <c r="A737" t="inlineStr">
        <is>
          <t>A 59170-2023</t>
        </is>
      </c>
      <c r="B737" s="1" t="n">
        <v>45253</v>
      </c>
      <c r="C737" s="1" t="n">
        <v>45695</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59180-2023</t>
        </is>
      </c>
      <c r="B738" s="1" t="n">
        <v>45253</v>
      </c>
      <c r="C738" s="1" t="n">
        <v>45695</v>
      </c>
      <c r="D738" t="inlineStr">
        <is>
          <t>DALARNAS LÄN</t>
        </is>
      </c>
      <c r="E738" t="inlineStr">
        <is>
          <t>MORA</t>
        </is>
      </c>
      <c r="G738" t="n">
        <v>6</v>
      </c>
      <c r="H738" t="n">
        <v>0</v>
      </c>
      <c r="I738" t="n">
        <v>0</v>
      </c>
      <c r="J738" t="n">
        <v>0</v>
      </c>
      <c r="K738" t="n">
        <v>0</v>
      </c>
      <c r="L738" t="n">
        <v>0</v>
      </c>
      <c r="M738" t="n">
        <v>0</v>
      </c>
      <c r="N738" t="n">
        <v>0</v>
      </c>
      <c r="O738" t="n">
        <v>0</v>
      </c>
      <c r="P738" t="n">
        <v>0</v>
      </c>
      <c r="Q738" t="n">
        <v>0</v>
      </c>
      <c r="R738" s="2" t="inlineStr"/>
    </row>
    <row r="739" ht="15" customHeight="1">
      <c r="A739" t="inlineStr">
        <is>
          <t>A 59182-2023</t>
        </is>
      </c>
      <c r="B739" s="1" t="n">
        <v>45253</v>
      </c>
      <c r="C739" s="1" t="n">
        <v>45695</v>
      </c>
      <c r="D739" t="inlineStr">
        <is>
          <t>DALARNAS LÄN</t>
        </is>
      </c>
      <c r="E739" t="inlineStr">
        <is>
          <t>MORA</t>
        </is>
      </c>
      <c r="G739" t="n">
        <v>3.3</v>
      </c>
      <c r="H739" t="n">
        <v>0</v>
      </c>
      <c r="I739" t="n">
        <v>0</v>
      </c>
      <c r="J739" t="n">
        <v>0</v>
      </c>
      <c r="K739" t="n">
        <v>0</v>
      </c>
      <c r="L739" t="n">
        <v>0</v>
      </c>
      <c r="M739" t="n">
        <v>0</v>
      </c>
      <c r="N739" t="n">
        <v>0</v>
      </c>
      <c r="O739" t="n">
        <v>0</v>
      </c>
      <c r="P739" t="n">
        <v>0</v>
      </c>
      <c r="Q739" t="n">
        <v>0</v>
      </c>
      <c r="R739" s="2" t="inlineStr"/>
    </row>
    <row r="740" ht="15" customHeight="1">
      <c r="A740" t="inlineStr">
        <is>
          <t>A 59995-2023</t>
        </is>
      </c>
      <c r="B740" s="1" t="n">
        <v>45254</v>
      </c>
      <c r="C740" s="1" t="n">
        <v>45695</v>
      </c>
      <c r="D740" t="inlineStr">
        <is>
          <t>DALARNAS LÄN</t>
        </is>
      </c>
      <c r="E740" t="inlineStr">
        <is>
          <t>MORA</t>
        </is>
      </c>
      <c r="G740" t="n">
        <v>1.2</v>
      </c>
      <c r="H740" t="n">
        <v>0</v>
      </c>
      <c r="I740" t="n">
        <v>0</v>
      </c>
      <c r="J740" t="n">
        <v>0</v>
      </c>
      <c r="K740" t="n">
        <v>0</v>
      </c>
      <c r="L740" t="n">
        <v>0</v>
      </c>
      <c r="M740" t="n">
        <v>0</v>
      </c>
      <c r="N740" t="n">
        <v>0</v>
      </c>
      <c r="O740" t="n">
        <v>0</v>
      </c>
      <c r="P740" t="n">
        <v>0</v>
      </c>
      <c r="Q740" t="n">
        <v>0</v>
      </c>
      <c r="R740" s="2" t="inlineStr"/>
    </row>
    <row r="741" ht="15" customHeight="1">
      <c r="A741" t="inlineStr">
        <is>
          <t>A 59891-2023</t>
        </is>
      </c>
      <c r="B741" s="1" t="n">
        <v>45254</v>
      </c>
      <c r="C741" s="1" t="n">
        <v>45695</v>
      </c>
      <c r="D741" t="inlineStr">
        <is>
          <t>DALARNAS LÄN</t>
        </is>
      </c>
      <c r="E741" t="inlineStr">
        <is>
          <t>MORA</t>
        </is>
      </c>
      <c r="G741" t="n">
        <v>9</v>
      </c>
      <c r="H741" t="n">
        <v>0</v>
      </c>
      <c r="I741" t="n">
        <v>0</v>
      </c>
      <c r="J741" t="n">
        <v>0</v>
      </c>
      <c r="K741" t="n">
        <v>0</v>
      </c>
      <c r="L741" t="n">
        <v>0</v>
      </c>
      <c r="M741" t="n">
        <v>0</v>
      </c>
      <c r="N741" t="n">
        <v>0</v>
      </c>
      <c r="O741" t="n">
        <v>0</v>
      </c>
      <c r="P741" t="n">
        <v>0</v>
      </c>
      <c r="Q741" t="n">
        <v>0</v>
      </c>
      <c r="R741" s="2" t="inlineStr"/>
    </row>
    <row r="742" ht="15" customHeight="1">
      <c r="A742" t="inlineStr">
        <is>
          <t>A 59850-2023</t>
        </is>
      </c>
      <c r="B742" s="1" t="n">
        <v>45257</v>
      </c>
      <c r="C742" s="1" t="n">
        <v>45695</v>
      </c>
      <c r="D742" t="inlineStr">
        <is>
          <t>DALARNAS LÄN</t>
        </is>
      </c>
      <c r="E742" t="inlineStr">
        <is>
          <t>MORA</t>
        </is>
      </c>
      <c r="G742" t="n">
        <v>2.5</v>
      </c>
      <c r="H742" t="n">
        <v>0</v>
      </c>
      <c r="I742" t="n">
        <v>0</v>
      </c>
      <c r="J742" t="n">
        <v>0</v>
      </c>
      <c r="K742" t="n">
        <v>0</v>
      </c>
      <c r="L742" t="n">
        <v>0</v>
      </c>
      <c r="M742" t="n">
        <v>0</v>
      </c>
      <c r="N742" t="n">
        <v>0</v>
      </c>
      <c r="O742" t="n">
        <v>0</v>
      </c>
      <c r="P742" t="n">
        <v>0</v>
      </c>
      <c r="Q742" t="n">
        <v>0</v>
      </c>
      <c r="R742" s="2" t="inlineStr"/>
    </row>
    <row r="743" ht="15" customHeight="1">
      <c r="A743" t="inlineStr">
        <is>
          <t>A 59868-2023</t>
        </is>
      </c>
      <c r="B743" s="1" t="n">
        <v>45257</v>
      </c>
      <c r="C743" s="1" t="n">
        <v>45695</v>
      </c>
      <c r="D743" t="inlineStr">
        <is>
          <t>DALARNAS LÄN</t>
        </is>
      </c>
      <c r="E743" t="inlineStr">
        <is>
          <t>MORA</t>
        </is>
      </c>
      <c r="G743" t="n">
        <v>2</v>
      </c>
      <c r="H743" t="n">
        <v>0</v>
      </c>
      <c r="I743" t="n">
        <v>0</v>
      </c>
      <c r="J743" t="n">
        <v>0</v>
      </c>
      <c r="K743" t="n">
        <v>0</v>
      </c>
      <c r="L743" t="n">
        <v>0</v>
      </c>
      <c r="M743" t="n">
        <v>0</v>
      </c>
      <c r="N743" t="n">
        <v>0</v>
      </c>
      <c r="O743" t="n">
        <v>0</v>
      </c>
      <c r="P743" t="n">
        <v>0</v>
      </c>
      <c r="Q743" t="n">
        <v>0</v>
      </c>
      <c r="R743" s="2" t="inlineStr"/>
    </row>
    <row r="744" ht="15" customHeight="1">
      <c r="A744" t="inlineStr">
        <is>
          <t>A 60258-2023</t>
        </is>
      </c>
      <c r="B744" s="1" t="n">
        <v>45258</v>
      </c>
      <c r="C744" s="1" t="n">
        <v>45695</v>
      </c>
      <c r="D744" t="inlineStr">
        <is>
          <t>DALARNAS LÄN</t>
        </is>
      </c>
      <c r="E744" t="inlineStr">
        <is>
          <t>MORA</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60360-2023</t>
        </is>
      </c>
      <c r="B745" s="1" t="n">
        <v>45259</v>
      </c>
      <c r="C745" s="1" t="n">
        <v>45695</v>
      </c>
      <c r="D745" t="inlineStr">
        <is>
          <t>DALARNAS LÄN</t>
        </is>
      </c>
      <c r="E745" t="inlineStr">
        <is>
          <t>MORA</t>
        </is>
      </c>
      <c r="G745" t="n">
        <v>2.9</v>
      </c>
      <c r="H745" t="n">
        <v>0</v>
      </c>
      <c r="I745" t="n">
        <v>0</v>
      </c>
      <c r="J745" t="n">
        <v>0</v>
      </c>
      <c r="K745" t="n">
        <v>0</v>
      </c>
      <c r="L745" t="n">
        <v>0</v>
      </c>
      <c r="M745" t="n">
        <v>0</v>
      </c>
      <c r="N745" t="n">
        <v>0</v>
      </c>
      <c r="O745" t="n">
        <v>0</v>
      </c>
      <c r="P745" t="n">
        <v>0</v>
      </c>
      <c r="Q745" t="n">
        <v>0</v>
      </c>
      <c r="R745" s="2" t="inlineStr"/>
    </row>
    <row r="746" ht="15" customHeight="1">
      <c r="A746" t="inlineStr">
        <is>
          <t>A 60526-2023</t>
        </is>
      </c>
      <c r="B746" s="1" t="n">
        <v>45259</v>
      </c>
      <c r="C746" s="1" t="n">
        <v>45695</v>
      </c>
      <c r="D746" t="inlineStr">
        <is>
          <t>DALARNAS LÄN</t>
        </is>
      </c>
      <c r="E746" t="inlineStr">
        <is>
          <t>MORA</t>
        </is>
      </c>
      <c r="G746" t="n">
        <v>6.7</v>
      </c>
      <c r="H746" t="n">
        <v>0</v>
      </c>
      <c r="I746" t="n">
        <v>0</v>
      </c>
      <c r="J746" t="n">
        <v>0</v>
      </c>
      <c r="K746" t="n">
        <v>0</v>
      </c>
      <c r="L746" t="n">
        <v>0</v>
      </c>
      <c r="M746" t="n">
        <v>0</v>
      </c>
      <c r="N746" t="n">
        <v>0</v>
      </c>
      <c r="O746" t="n">
        <v>0</v>
      </c>
      <c r="P746" t="n">
        <v>0</v>
      </c>
      <c r="Q746" t="n">
        <v>0</v>
      </c>
      <c r="R746" s="2" t="inlineStr"/>
    </row>
    <row r="747" ht="15" customHeight="1">
      <c r="A747" t="inlineStr">
        <is>
          <t>A 60428-2023</t>
        </is>
      </c>
      <c r="B747" s="1" t="n">
        <v>45259</v>
      </c>
      <c r="C747" s="1" t="n">
        <v>45695</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60465-2023</t>
        </is>
      </c>
      <c r="B748" s="1" t="n">
        <v>45259</v>
      </c>
      <c r="C748" s="1" t="n">
        <v>45695</v>
      </c>
      <c r="D748" t="inlineStr">
        <is>
          <t>DALARNAS LÄN</t>
        </is>
      </c>
      <c r="E748" t="inlineStr">
        <is>
          <t>MORA</t>
        </is>
      </c>
      <c r="G748" t="n">
        <v>1.3</v>
      </c>
      <c r="H748" t="n">
        <v>0</v>
      </c>
      <c r="I748" t="n">
        <v>0</v>
      </c>
      <c r="J748" t="n">
        <v>0</v>
      </c>
      <c r="K748" t="n">
        <v>0</v>
      </c>
      <c r="L748" t="n">
        <v>0</v>
      </c>
      <c r="M748" t="n">
        <v>0</v>
      </c>
      <c r="N748" t="n">
        <v>0</v>
      </c>
      <c r="O748" t="n">
        <v>0</v>
      </c>
      <c r="P748" t="n">
        <v>0</v>
      </c>
      <c r="Q748" t="n">
        <v>0</v>
      </c>
      <c r="R748" s="2" t="inlineStr"/>
    </row>
    <row r="749" ht="15" customHeight="1">
      <c r="A749" t="inlineStr">
        <is>
          <t>A 60666-2023</t>
        </is>
      </c>
      <c r="B749" s="1" t="n">
        <v>45260</v>
      </c>
      <c r="C749" s="1" t="n">
        <v>45695</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60674-2023</t>
        </is>
      </c>
      <c r="B750" s="1" t="n">
        <v>45260</v>
      </c>
      <c r="C750" s="1" t="n">
        <v>45695</v>
      </c>
      <c r="D750" t="inlineStr">
        <is>
          <t>DALARNAS LÄN</t>
        </is>
      </c>
      <c r="E750" t="inlineStr">
        <is>
          <t>MORA</t>
        </is>
      </c>
      <c r="G750" t="n">
        <v>2.9</v>
      </c>
      <c r="H750" t="n">
        <v>0</v>
      </c>
      <c r="I750" t="n">
        <v>0</v>
      </c>
      <c r="J750" t="n">
        <v>0</v>
      </c>
      <c r="K750" t="n">
        <v>0</v>
      </c>
      <c r="L750" t="n">
        <v>0</v>
      </c>
      <c r="M750" t="n">
        <v>0</v>
      </c>
      <c r="N750" t="n">
        <v>0</v>
      </c>
      <c r="O750" t="n">
        <v>0</v>
      </c>
      <c r="P750" t="n">
        <v>0</v>
      </c>
      <c r="Q750" t="n">
        <v>0</v>
      </c>
      <c r="R750" s="2" t="inlineStr"/>
    </row>
    <row r="751" ht="15" customHeight="1">
      <c r="A751" t="inlineStr">
        <is>
          <t>A 60673-2023</t>
        </is>
      </c>
      <c r="B751" s="1" t="n">
        <v>45260</v>
      </c>
      <c r="C751" s="1" t="n">
        <v>45695</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60715-2023</t>
        </is>
      </c>
      <c r="B752" s="1" t="n">
        <v>45260</v>
      </c>
      <c r="C752" s="1" t="n">
        <v>45695</v>
      </c>
      <c r="D752" t="inlineStr">
        <is>
          <t>DALARNAS LÄN</t>
        </is>
      </c>
      <c r="E752" t="inlineStr">
        <is>
          <t>MORA</t>
        </is>
      </c>
      <c r="G752" t="n">
        <v>1.7</v>
      </c>
      <c r="H752" t="n">
        <v>0</v>
      </c>
      <c r="I752" t="n">
        <v>0</v>
      </c>
      <c r="J752" t="n">
        <v>0</v>
      </c>
      <c r="K752" t="n">
        <v>0</v>
      </c>
      <c r="L752" t="n">
        <v>0</v>
      </c>
      <c r="M752" t="n">
        <v>0</v>
      </c>
      <c r="N752" t="n">
        <v>0</v>
      </c>
      <c r="O752" t="n">
        <v>0</v>
      </c>
      <c r="P752" t="n">
        <v>0</v>
      </c>
      <c r="Q752" t="n">
        <v>0</v>
      </c>
      <c r="R752" s="2" t="inlineStr"/>
    </row>
    <row r="753" ht="15" customHeight="1">
      <c r="A753" t="inlineStr">
        <is>
          <t>A 60718-2023</t>
        </is>
      </c>
      <c r="B753" s="1" t="n">
        <v>45260</v>
      </c>
      <c r="C753" s="1" t="n">
        <v>45695</v>
      </c>
      <c r="D753" t="inlineStr">
        <is>
          <t>DALARNAS LÄN</t>
        </is>
      </c>
      <c r="E753" t="inlineStr">
        <is>
          <t>MORA</t>
        </is>
      </c>
      <c r="G753" t="n">
        <v>2.6</v>
      </c>
      <c r="H753" t="n">
        <v>0</v>
      </c>
      <c r="I753" t="n">
        <v>0</v>
      </c>
      <c r="J753" t="n">
        <v>0</v>
      </c>
      <c r="K753" t="n">
        <v>0</v>
      </c>
      <c r="L753" t="n">
        <v>0</v>
      </c>
      <c r="M753" t="n">
        <v>0</v>
      </c>
      <c r="N753" t="n">
        <v>0</v>
      </c>
      <c r="O753" t="n">
        <v>0</v>
      </c>
      <c r="P753" t="n">
        <v>0</v>
      </c>
      <c r="Q753" t="n">
        <v>0</v>
      </c>
      <c r="R753" s="2" t="inlineStr"/>
    </row>
    <row r="754" ht="15" customHeight="1">
      <c r="A754" t="inlineStr">
        <is>
          <t>A 61249-2023</t>
        </is>
      </c>
      <c r="B754" s="1" t="n">
        <v>45264</v>
      </c>
      <c r="C754" s="1" t="n">
        <v>45695</v>
      </c>
      <c r="D754" t="inlineStr">
        <is>
          <t>DALARNAS LÄN</t>
        </is>
      </c>
      <c r="E754" t="inlineStr">
        <is>
          <t>MORA</t>
        </is>
      </c>
      <c r="F754" t="inlineStr">
        <is>
          <t>Allmännings- och besparingsskogar</t>
        </is>
      </c>
      <c r="G754" t="n">
        <v>1.7</v>
      </c>
      <c r="H754" t="n">
        <v>0</v>
      </c>
      <c r="I754" t="n">
        <v>0</v>
      </c>
      <c r="J754" t="n">
        <v>0</v>
      </c>
      <c r="K754" t="n">
        <v>0</v>
      </c>
      <c r="L754" t="n">
        <v>0</v>
      </c>
      <c r="M754" t="n">
        <v>0</v>
      </c>
      <c r="N754" t="n">
        <v>0</v>
      </c>
      <c r="O754" t="n">
        <v>0</v>
      </c>
      <c r="P754" t="n">
        <v>0</v>
      </c>
      <c r="Q754" t="n">
        <v>0</v>
      </c>
      <c r="R754" s="2" t="inlineStr"/>
    </row>
    <row r="755" ht="15" customHeight="1">
      <c r="A755" t="inlineStr">
        <is>
          <t>A 61405-2023</t>
        </is>
      </c>
      <c r="B755" s="1" t="n">
        <v>45264</v>
      </c>
      <c r="C755" s="1" t="n">
        <v>45695</v>
      </c>
      <c r="D755" t="inlineStr">
        <is>
          <t>DALARNAS LÄN</t>
        </is>
      </c>
      <c r="E755" t="inlineStr">
        <is>
          <t>MORA</t>
        </is>
      </c>
      <c r="G755" t="n">
        <v>0.4</v>
      </c>
      <c r="H755" t="n">
        <v>0</v>
      </c>
      <c r="I755" t="n">
        <v>0</v>
      </c>
      <c r="J755" t="n">
        <v>0</v>
      </c>
      <c r="K755" t="n">
        <v>0</v>
      </c>
      <c r="L755" t="n">
        <v>0</v>
      </c>
      <c r="M755" t="n">
        <v>0</v>
      </c>
      <c r="N755" t="n">
        <v>0</v>
      </c>
      <c r="O755" t="n">
        <v>0</v>
      </c>
      <c r="P755" t="n">
        <v>0</v>
      </c>
      <c r="Q755" t="n">
        <v>0</v>
      </c>
      <c r="R755" s="2" t="inlineStr"/>
    </row>
    <row r="756" ht="15" customHeight="1">
      <c r="A756" t="inlineStr">
        <is>
          <t>A 61273-2023</t>
        </is>
      </c>
      <c r="B756" s="1" t="n">
        <v>45264</v>
      </c>
      <c r="C756" s="1" t="n">
        <v>45695</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61217-2023</t>
        </is>
      </c>
      <c r="B757" s="1" t="n">
        <v>45264</v>
      </c>
      <c r="C757" s="1" t="n">
        <v>45695</v>
      </c>
      <c r="D757" t="inlineStr">
        <is>
          <t>DALARNAS LÄN</t>
        </is>
      </c>
      <c r="E757" t="inlineStr">
        <is>
          <t>MORA</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61261-2023</t>
        </is>
      </c>
      <c r="B758" s="1" t="n">
        <v>45264</v>
      </c>
      <c r="C758" s="1" t="n">
        <v>45695</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61270-2023</t>
        </is>
      </c>
      <c r="B759" s="1" t="n">
        <v>45264</v>
      </c>
      <c r="C759" s="1" t="n">
        <v>45695</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61392-2023</t>
        </is>
      </c>
      <c r="B760" s="1" t="n">
        <v>45264</v>
      </c>
      <c r="C760" s="1" t="n">
        <v>45695</v>
      </c>
      <c r="D760" t="inlineStr">
        <is>
          <t>DALARNAS LÄN</t>
        </is>
      </c>
      <c r="E760" t="inlineStr">
        <is>
          <t>MORA</t>
        </is>
      </c>
      <c r="G760" t="n">
        <v>1.4</v>
      </c>
      <c r="H760" t="n">
        <v>0</v>
      </c>
      <c r="I760" t="n">
        <v>0</v>
      </c>
      <c r="J760" t="n">
        <v>0</v>
      </c>
      <c r="K760" t="n">
        <v>0</v>
      </c>
      <c r="L760" t="n">
        <v>0</v>
      </c>
      <c r="M760" t="n">
        <v>0</v>
      </c>
      <c r="N760" t="n">
        <v>0</v>
      </c>
      <c r="O760" t="n">
        <v>0</v>
      </c>
      <c r="P760" t="n">
        <v>0</v>
      </c>
      <c r="Q760" t="n">
        <v>0</v>
      </c>
      <c r="R760" s="2" t="inlineStr"/>
    </row>
    <row r="761" ht="15" customHeight="1">
      <c r="A761" t="inlineStr">
        <is>
          <t>A 61209-2023</t>
        </is>
      </c>
      <c r="B761" s="1" t="n">
        <v>45264</v>
      </c>
      <c r="C761" s="1" t="n">
        <v>45695</v>
      </c>
      <c r="D761" t="inlineStr">
        <is>
          <t>DALARNAS LÄN</t>
        </is>
      </c>
      <c r="E761" t="inlineStr">
        <is>
          <t>MORA</t>
        </is>
      </c>
      <c r="F761" t="inlineStr">
        <is>
          <t>Bergvik skog öst AB</t>
        </is>
      </c>
      <c r="G761" t="n">
        <v>4.8</v>
      </c>
      <c r="H761" t="n">
        <v>0</v>
      </c>
      <c r="I761" t="n">
        <v>0</v>
      </c>
      <c r="J761" t="n">
        <v>0</v>
      </c>
      <c r="K761" t="n">
        <v>0</v>
      </c>
      <c r="L761" t="n">
        <v>0</v>
      </c>
      <c r="M761" t="n">
        <v>0</v>
      </c>
      <c r="N761" t="n">
        <v>0</v>
      </c>
      <c r="O761" t="n">
        <v>0</v>
      </c>
      <c r="P761" t="n">
        <v>0</v>
      </c>
      <c r="Q761" t="n">
        <v>0</v>
      </c>
      <c r="R761" s="2" t="inlineStr"/>
    </row>
    <row r="762" ht="15" customHeight="1">
      <c r="A762" t="inlineStr">
        <is>
          <t>A 61218-2023</t>
        </is>
      </c>
      <c r="B762" s="1" t="n">
        <v>45264</v>
      </c>
      <c r="C762" s="1" t="n">
        <v>45695</v>
      </c>
      <c r="D762" t="inlineStr">
        <is>
          <t>DALARNAS LÄN</t>
        </is>
      </c>
      <c r="E762" t="inlineStr">
        <is>
          <t>MORA</t>
        </is>
      </c>
      <c r="F762" t="inlineStr">
        <is>
          <t>Allmännings- och besparingsskogar</t>
        </is>
      </c>
      <c r="G762" t="n">
        <v>2.6</v>
      </c>
      <c r="H762" t="n">
        <v>0</v>
      </c>
      <c r="I762" t="n">
        <v>0</v>
      </c>
      <c r="J762" t="n">
        <v>0</v>
      </c>
      <c r="K762" t="n">
        <v>0</v>
      </c>
      <c r="L762" t="n">
        <v>0</v>
      </c>
      <c r="M762" t="n">
        <v>0</v>
      </c>
      <c r="N762" t="n">
        <v>0</v>
      </c>
      <c r="O762" t="n">
        <v>0</v>
      </c>
      <c r="P762" t="n">
        <v>0</v>
      </c>
      <c r="Q762" t="n">
        <v>0</v>
      </c>
      <c r="R762" s="2" t="inlineStr"/>
    </row>
    <row r="763" ht="15" customHeight="1">
      <c r="A763" t="inlineStr">
        <is>
          <t>A 61222-2023</t>
        </is>
      </c>
      <c r="B763" s="1" t="n">
        <v>45264</v>
      </c>
      <c r="C763" s="1" t="n">
        <v>45695</v>
      </c>
      <c r="D763" t="inlineStr">
        <is>
          <t>DALARNAS LÄN</t>
        </is>
      </c>
      <c r="E763" t="inlineStr">
        <is>
          <t>MORA</t>
        </is>
      </c>
      <c r="F763" t="inlineStr">
        <is>
          <t>Allmännings- och besparingsskogar</t>
        </is>
      </c>
      <c r="G763" t="n">
        <v>1.1</v>
      </c>
      <c r="H763" t="n">
        <v>0</v>
      </c>
      <c r="I763" t="n">
        <v>0</v>
      </c>
      <c r="J763" t="n">
        <v>0</v>
      </c>
      <c r="K763" t="n">
        <v>0</v>
      </c>
      <c r="L763" t="n">
        <v>0</v>
      </c>
      <c r="M763" t="n">
        <v>0</v>
      </c>
      <c r="N763" t="n">
        <v>0</v>
      </c>
      <c r="O763" t="n">
        <v>0</v>
      </c>
      <c r="P763" t="n">
        <v>0</v>
      </c>
      <c r="Q763" t="n">
        <v>0</v>
      </c>
      <c r="R763" s="2" t="inlineStr"/>
    </row>
    <row r="764" ht="15" customHeight="1">
      <c r="A764" t="inlineStr">
        <is>
          <t>A 61425-2023</t>
        </is>
      </c>
      <c r="B764" s="1" t="n">
        <v>45264</v>
      </c>
      <c r="C764" s="1" t="n">
        <v>45695</v>
      </c>
      <c r="D764" t="inlineStr">
        <is>
          <t>DALARNAS LÄN</t>
        </is>
      </c>
      <c r="E764" t="inlineStr">
        <is>
          <t>MORA</t>
        </is>
      </c>
      <c r="G764" t="n">
        <v>1.6</v>
      </c>
      <c r="H764" t="n">
        <v>0</v>
      </c>
      <c r="I764" t="n">
        <v>0</v>
      </c>
      <c r="J764" t="n">
        <v>0</v>
      </c>
      <c r="K764" t="n">
        <v>0</v>
      </c>
      <c r="L764" t="n">
        <v>0</v>
      </c>
      <c r="M764" t="n">
        <v>0</v>
      </c>
      <c r="N764" t="n">
        <v>0</v>
      </c>
      <c r="O764" t="n">
        <v>0</v>
      </c>
      <c r="P764" t="n">
        <v>0</v>
      </c>
      <c r="Q764" t="n">
        <v>0</v>
      </c>
      <c r="R764" s="2" t="inlineStr"/>
    </row>
    <row r="765" ht="15" customHeight="1">
      <c r="A765" t="inlineStr">
        <is>
          <t>A 61529-2023</t>
        </is>
      </c>
      <c r="B765" s="1" t="n">
        <v>45265</v>
      </c>
      <c r="C765" s="1" t="n">
        <v>45695</v>
      </c>
      <c r="D765" t="inlineStr">
        <is>
          <t>DALARNAS LÄN</t>
        </is>
      </c>
      <c r="E765" t="inlineStr">
        <is>
          <t>MORA</t>
        </is>
      </c>
      <c r="G765" t="n">
        <v>29.6</v>
      </c>
      <c r="H765" t="n">
        <v>0</v>
      </c>
      <c r="I765" t="n">
        <v>0</v>
      </c>
      <c r="J765" t="n">
        <v>0</v>
      </c>
      <c r="K765" t="n">
        <v>0</v>
      </c>
      <c r="L765" t="n">
        <v>0</v>
      </c>
      <c r="M765" t="n">
        <v>0</v>
      </c>
      <c r="N765" t="n">
        <v>0</v>
      </c>
      <c r="O765" t="n">
        <v>0</v>
      </c>
      <c r="P765" t="n">
        <v>0</v>
      </c>
      <c r="Q765" t="n">
        <v>0</v>
      </c>
      <c r="R765" s="2" t="inlineStr"/>
    </row>
    <row r="766" ht="15" customHeight="1">
      <c r="A766" t="inlineStr">
        <is>
          <t>A 61990-2023</t>
        </is>
      </c>
      <c r="B766" s="1" t="n">
        <v>45265</v>
      </c>
      <c r="C766" s="1" t="n">
        <v>45695</v>
      </c>
      <c r="D766" t="inlineStr">
        <is>
          <t>DALARNAS LÄN</t>
        </is>
      </c>
      <c r="E766" t="inlineStr">
        <is>
          <t>MORA</t>
        </is>
      </c>
      <c r="G766" t="n">
        <v>3.3</v>
      </c>
      <c r="H766" t="n">
        <v>0</v>
      </c>
      <c r="I766" t="n">
        <v>0</v>
      </c>
      <c r="J766" t="n">
        <v>0</v>
      </c>
      <c r="K766" t="n">
        <v>0</v>
      </c>
      <c r="L766" t="n">
        <v>0</v>
      </c>
      <c r="M766" t="n">
        <v>0</v>
      </c>
      <c r="N766" t="n">
        <v>0</v>
      </c>
      <c r="O766" t="n">
        <v>0</v>
      </c>
      <c r="P766" t="n">
        <v>0</v>
      </c>
      <c r="Q766" t="n">
        <v>0</v>
      </c>
      <c r="R766" s="2" t="inlineStr"/>
    </row>
    <row r="767" ht="15" customHeight="1">
      <c r="A767" t="inlineStr">
        <is>
          <t>A 61998-2023</t>
        </is>
      </c>
      <c r="B767" s="1" t="n">
        <v>45265</v>
      </c>
      <c r="C767" s="1" t="n">
        <v>45695</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61922-2023</t>
        </is>
      </c>
      <c r="B768" s="1" t="n">
        <v>45266</v>
      </c>
      <c r="C768" s="1" t="n">
        <v>45695</v>
      </c>
      <c r="D768" t="inlineStr">
        <is>
          <t>DALARNAS LÄN</t>
        </is>
      </c>
      <c r="E768" t="inlineStr">
        <is>
          <t>MORA</t>
        </is>
      </c>
      <c r="G768" t="n">
        <v>4.9</v>
      </c>
      <c r="H768" t="n">
        <v>0</v>
      </c>
      <c r="I768" t="n">
        <v>0</v>
      </c>
      <c r="J768" t="n">
        <v>0</v>
      </c>
      <c r="K768" t="n">
        <v>0</v>
      </c>
      <c r="L768" t="n">
        <v>0</v>
      </c>
      <c r="M768" t="n">
        <v>0</v>
      </c>
      <c r="N768" t="n">
        <v>0</v>
      </c>
      <c r="O768" t="n">
        <v>0</v>
      </c>
      <c r="P768" t="n">
        <v>0</v>
      </c>
      <c r="Q768" t="n">
        <v>0</v>
      </c>
      <c r="R768" s="2" t="inlineStr"/>
    </row>
    <row r="769" ht="15" customHeight="1">
      <c r="A769" t="inlineStr">
        <is>
          <t>A 62246-2023</t>
        </is>
      </c>
      <c r="B769" s="1" t="n">
        <v>45266</v>
      </c>
      <c r="C769" s="1" t="n">
        <v>45695</v>
      </c>
      <c r="D769" t="inlineStr">
        <is>
          <t>DALARNAS LÄN</t>
        </is>
      </c>
      <c r="E769" t="inlineStr">
        <is>
          <t>MORA</t>
        </is>
      </c>
      <c r="G769" t="n">
        <v>10.7</v>
      </c>
      <c r="H769" t="n">
        <v>0</v>
      </c>
      <c r="I769" t="n">
        <v>0</v>
      </c>
      <c r="J769" t="n">
        <v>0</v>
      </c>
      <c r="K769" t="n">
        <v>0</v>
      </c>
      <c r="L769" t="n">
        <v>0</v>
      </c>
      <c r="M769" t="n">
        <v>0</v>
      </c>
      <c r="N769" t="n">
        <v>0</v>
      </c>
      <c r="O769" t="n">
        <v>0</v>
      </c>
      <c r="P769" t="n">
        <v>0</v>
      </c>
      <c r="Q769" t="n">
        <v>0</v>
      </c>
      <c r="R769" s="2" t="inlineStr"/>
    </row>
    <row r="770" ht="15" customHeight="1">
      <c r="A770" t="inlineStr">
        <is>
          <t>A 62660-2023</t>
        </is>
      </c>
      <c r="B770" s="1" t="n">
        <v>45271</v>
      </c>
      <c r="C770" s="1" t="n">
        <v>45695</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62853-2023</t>
        </is>
      </c>
      <c r="B771" s="1" t="n">
        <v>45272</v>
      </c>
      <c r="C771" s="1" t="n">
        <v>45695</v>
      </c>
      <c r="D771" t="inlineStr">
        <is>
          <t>DALARNAS LÄN</t>
        </is>
      </c>
      <c r="E771" t="inlineStr">
        <is>
          <t>MORA</t>
        </is>
      </c>
      <c r="G771" t="n">
        <v>13.6</v>
      </c>
      <c r="H771" t="n">
        <v>0</v>
      </c>
      <c r="I771" t="n">
        <v>0</v>
      </c>
      <c r="J771" t="n">
        <v>0</v>
      </c>
      <c r="K771" t="n">
        <v>0</v>
      </c>
      <c r="L771" t="n">
        <v>0</v>
      </c>
      <c r="M771" t="n">
        <v>0</v>
      </c>
      <c r="N771" t="n">
        <v>0</v>
      </c>
      <c r="O771" t="n">
        <v>0</v>
      </c>
      <c r="P771" t="n">
        <v>0</v>
      </c>
      <c r="Q771" t="n">
        <v>0</v>
      </c>
      <c r="R771" s="2" t="inlineStr"/>
    </row>
    <row r="772" ht="15" customHeight="1">
      <c r="A772" t="inlineStr">
        <is>
          <t>A 62854-2023</t>
        </is>
      </c>
      <c r="B772" s="1" t="n">
        <v>45272</v>
      </c>
      <c r="C772" s="1" t="n">
        <v>45695</v>
      </c>
      <c r="D772" t="inlineStr">
        <is>
          <t>DALARNAS LÄN</t>
        </is>
      </c>
      <c r="E772" t="inlineStr">
        <is>
          <t>MORA</t>
        </is>
      </c>
      <c r="G772" t="n">
        <v>11.3</v>
      </c>
      <c r="H772" t="n">
        <v>0</v>
      </c>
      <c r="I772" t="n">
        <v>0</v>
      </c>
      <c r="J772" t="n">
        <v>0</v>
      </c>
      <c r="K772" t="n">
        <v>0</v>
      </c>
      <c r="L772" t="n">
        <v>0</v>
      </c>
      <c r="M772" t="n">
        <v>0</v>
      </c>
      <c r="N772" t="n">
        <v>0</v>
      </c>
      <c r="O772" t="n">
        <v>0</v>
      </c>
      <c r="P772" t="n">
        <v>0</v>
      </c>
      <c r="Q772" t="n">
        <v>0</v>
      </c>
      <c r="R772" s="2" t="inlineStr"/>
    </row>
    <row r="773" ht="15" customHeight="1">
      <c r="A773" t="inlineStr">
        <is>
          <t>A 63168-2023</t>
        </is>
      </c>
      <c r="B773" s="1" t="n">
        <v>45273</v>
      </c>
      <c r="C773" s="1" t="n">
        <v>45695</v>
      </c>
      <c r="D773" t="inlineStr">
        <is>
          <t>DALARNAS LÄN</t>
        </is>
      </c>
      <c r="E773" t="inlineStr">
        <is>
          <t>MORA</t>
        </is>
      </c>
      <c r="G773" t="n">
        <v>4</v>
      </c>
      <c r="H773" t="n">
        <v>0</v>
      </c>
      <c r="I773" t="n">
        <v>0</v>
      </c>
      <c r="J773" t="n">
        <v>0</v>
      </c>
      <c r="K773" t="n">
        <v>0</v>
      </c>
      <c r="L773" t="n">
        <v>0</v>
      </c>
      <c r="M773" t="n">
        <v>0</v>
      </c>
      <c r="N773" t="n">
        <v>0</v>
      </c>
      <c r="O773" t="n">
        <v>0</v>
      </c>
      <c r="P773" t="n">
        <v>0</v>
      </c>
      <c r="Q773" t="n">
        <v>0</v>
      </c>
      <c r="R773" s="2" t="inlineStr"/>
    </row>
    <row r="774" ht="15" customHeight="1">
      <c r="A774" t="inlineStr">
        <is>
          <t>A 63958-2023</t>
        </is>
      </c>
      <c r="B774" s="1" t="n">
        <v>45278</v>
      </c>
      <c r="C774" s="1" t="n">
        <v>45695</v>
      </c>
      <c r="D774" t="inlineStr">
        <is>
          <t>DALARNAS LÄN</t>
        </is>
      </c>
      <c r="E774" t="inlineStr">
        <is>
          <t>MORA</t>
        </is>
      </c>
      <c r="G774" t="n">
        <v>1.9</v>
      </c>
      <c r="H774" t="n">
        <v>0</v>
      </c>
      <c r="I774" t="n">
        <v>0</v>
      </c>
      <c r="J774" t="n">
        <v>0</v>
      </c>
      <c r="K774" t="n">
        <v>0</v>
      </c>
      <c r="L774" t="n">
        <v>0</v>
      </c>
      <c r="M774" t="n">
        <v>0</v>
      </c>
      <c r="N774" t="n">
        <v>0</v>
      </c>
      <c r="O774" t="n">
        <v>0</v>
      </c>
      <c r="P774" t="n">
        <v>0</v>
      </c>
      <c r="Q774" t="n">
        <v>0</v>
      </c>
      <c r="R774" s="2" t="inlineStr"/>
    </row>
    <row r="775" ht="15" customHeight="1">
      <c r="A775" t="inlineStr">
        <is>
          <t>A 64099-2023</t>
        </is>
      </c>
      <c r="B775" s="1" t="n">
        <v>45279</v>
      </c>
      <c r="C775" s="1" t="n">
        <v>45695</v>
      </c>
      <c r="D775" t="inlineStr">
        <is>
          <t>DALARNAS LÄN</t>
        </is>
      </c>
      <c r="E775" t="inlineStr">
        <is>
          <t>MORA</t>
        </is>
      </c>
      <c r="G775" t="n">
        <v>0.6</v>
      </c>
      <c r="H775" t="n">
        <v>0</v>
      </c>
      <c r="I775" t="n">
        <v>0</v>
      </c>
      <c r="J775" t="n">
        <v>0</v>
      </c>
      <c r="K775" t="n">
        <v>0</v>
      </c>
      <c r="L775" t="n">
        <v>0</v>
      </c>
      <c r="M775" t="n">
        <v>0</v>
      </c>
      <c r="N775" t="n">
        <v>0</v>
      </c>
      <c r="O775" t="n">
        <v>0</v>
      </c>
      <c r="P775" t="n">
        <v>0</v>
      </c>
      <c r="Q775" t="n">
        <v>0</v>
      </c>
      <c r="R775" s="2" t="inlineStr"/>
    </row>
    <row r="776" ht="15" customHeight="1">
      <c r="A776" t="inlineStr">
        <is>
          <t>A 64088-2023</t>
        </is>
      </c>
      <c r="B776" s="1" t="n">
        <v>45279</v>
      </c>
      <c r="C776" s="1" t="n">
        <v>45695</v>
      </c>
      <c r="D776" t="inlineStr">
        <is>
          <t>DALARNAS LÄN</t>
        </is>
      </c>
      <c r="E776" t="inlineStr">
        <is>
          <t>MORA</t>
        </is>
      </c>
      <c r="G776" t="n">
        <v>1</v>
      </c>
      <c r="H776" t="n">
        <v>0</v>
      </c>
      <c r="I776" t="n">
        <v>0</v>
      </c>
      <c r="J776" t="n">
        <v>0</v>
      </c>
      <c r="K776" t="n">
        <v>0</v>
      </c>
      <c r="L776" t="n">
        <v>0</v>
      </c>
      <c r="M776" t="n">
        <v>0</v>
      </c>
      <c r="N776" t="n">
        <v>0</v>
      </c>
      <c r="O776" t="n">
        <v>0</v>
      </c>
      <c r="P776" t="n">
        <v>0</v>
      </c>
      <c r="Q776" t="n">
        <v>0</v>
      </c>
      <c r="R776" s="2" t="inlineStr"/>
    </row>
    <row r="777" ht="15" customHeight="1">
      <c r="A777" t="inlineStr">
        <is>
          <t>A 64093-2023</t>
        </is>
      </c>
      <c r="B777" s="1" t="n">
        <v>45279</v>
      </c>
      <c r="C777" s="1" t="n">
        <v>45695</v>
      </c>
      <c r="D777" t="inlineStr">
        <is>
          <t>DALARNAS LÄN</t>
        </is>
      </c>
      <c r="E777" t="inlineStr">
        <is>
          <t>MORA</t>
        </is>
      </c>
      <c r="G777" t="n">
        <v>0.9</v>
      </c>
      <c r="H777" t="n">
        <v>0</v>
      </c>
      <c r="I777" t="n">
        <v>0</v>
      </c>
      <c r="J777" t="n">
        <v>0</v>
      </c>
      <c r="K777" t="n">
        <v>0</v>
      </c>
      <c r="L777" t="n">
        <v>0</v>
      </c>
      <c r="M777" t="n">
        <v>0</v>
      </c>
      <c r="N777" t="n">
        <v>0</v>
      </c>
      <c r="O777" t="n">
        <v>0</v>
      </c>
      <c r="P777" t="n">
        <v>0</v>
      </c>
      <c r="Q777" t="n">
        <v>0</v>
      </c>
      <c r="R777" s="2" t="inlineStr"/>
    </row>
    <row r="778" ht="15" customHeight="1">
      <c r="A778" t="inlineStr">
        <is>
          <t>A 64327-2023</t>
        </is>
      </c>
      <c r="B778" s="1" t="n">
        <v>45280</v>
      </c>
      <c r="C778" s="1" t="n">
        <v>45695</v>
      </c>
      <c r="D778" t="inlineStr">
        <is>
          <t>DALARNAS LÄN</t>
        </is>
      </c>
      <c r="E778" t="inlineStr">
        <is>
          <t>MORA</t>
        </is>
      </c>
      <c r="G778" t="n">
        <v>0.8</v>
      </c>
      <c r="H778" t="n">
        <v>0</v>
      </c>
      <c r="I778" t="n">
        <v>0</v>
      </c>
      <c r="J778" t="n">
        <v>0</v>
      </c>
      <c r="K778" t="n">
        <v>0</v>
      </c>
      <c r="L778" t="n">
        <v>0</v>
      </c>
      <c r="M778" t="n">
        <v>0</v>
      </c>
      <c r="N778" t="n">
        <v>0</v>
      </c>
      <c r="O778" t="n">
        <v>0</v>
      </c>
      <c r="P778" t="n">
        <v>0</v>
      </c>
      <c r="Q778" t="n">
        <v>0</v>
      </c>
      <c r="R778" s="2" t="inlineStr"/>
    </row>
    <row r="779" ht="15" customHeight="1">
      <c r="A779" t="inlineStr">
        <is>
          <t>A 439-2024</t>
        </is>
      </c>
      <c r="B779" s="1" t="n">
        <v>45296</v>
      </c>
      <c r="C779" s="1" t="n">
        <v>45695</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442-2024</t>
        </is>
      </c>
      <c r="B780" s="1" t="n">
        <v>45296</v>
      </c>
      <c r="C780" s="1" t="n">
        <v>45695</v>
      </c>
      <c r="D780" t="inlineStr">
        <is>
          <t>DALARNAS LÄN</t>
        </is>
      </c>
      <c r="E780" t="inlineStr">
        <is>
          <t>MORA</t>
        </is>
      </c>
      <c r="G780" t="n">
        <v>0.5</v>
      </c>
      <c r="H780" t="n">
        <v>0</v>
      </c>
      <c r="I780" t="n">
        <v>0</v>
      </c>
      <c r="J780" t="n">
        <v>0</v>
      </c>
      <c r="K780" t="n">
        <v>0</v>
      </c>
      <c r="L780" t="n">
        <v>0</v>
      </c>
      <c r="M780" t="n">
        <v>0</v>
      </c>
      <c r="N780" t="n">
        <v>0</v>
      </c>
      <c r="O780" t="n">
        <v>0</v>
      </c>
      <c r="P780" t="n">
        <v>0</v>
      </c>
      <c r="Q780" t="n">
        <v>0</v>
      </c>
      <c r="R780" s="2" t="inlineStr"/>
    </row>
    <row r="781" ht="15" customHeight="1">
      <c r="A781" t="inlineStr">
        <is>
          <t>A 437-2024</t>
        </is>
      </c>
      <c r="B781" s="1" t="n">
        <v>45296</v>
      </c>
      <c r="C781" s="1" t="n">
        <v>45695</v>
      </c>
      <c r="D781" t="inlineStr">
        <is>
          <t>DALARNAS LÄN</t>
        </is>
      </c>
      <c r="E781" t="inlineStr">
        <is>
          <t>MORA</t>
        </is>
      </c>
      <c r="G781" t="n">
        <v>1.6</v>
      </c>
      <c r="H781" t="n">
        <v>0</v>
      </c>
      <c r="I781" t="n">
        <v>0</v>
      </c>
      <c r="J781" t="n">
        <v>0</v>
      </c>
      <c r="K781" t="n">
        <v>0</v>
      </c>
      <c r="L781" t="n">
        <v>0</v>
      </c>
      <c r="M781" t="n">
        <v>0</v>
      </c>
      <c r="N781" t="n">
        <v>0</v>
      </c>
      <c r="O781" t="n">
        <v>0</v>
      </c>
      <c r="P781" t="n">
        <v>0</v>
      </c>
      <c r="Q781" t="n">
        <v>0</v>
      </c>
      <c r="R781" s="2" t="inlineStr"/>
    </row>
    <row r="782" ht="15" customHeight="1">
      <c r="A782" t="inlineStr">
        <is>
          <t>A 501-2024</t>
        </is>
      </c>
      <c r="B782" s="1" t="n">
        <v>45299</v>
      </c>
      <c r="C782" s="1" t="n">
        <v>45695</v>
      </c>
      <c r="D782" t="inlineStr">
        <is>
          <t>DALARNAS LÄN</t>
        </is>
      </c>
      <c r="E782" t="inlineStr">
        <is>
          <t>MORA</t>
        </is>
      </c>
      <c r="G782" t="n">
        <v>2.5</v>
      </c>
      <c r="H782" t="n">
        <v>0</v>
      </c>
      <c r="I782" t="n">
        <v>0</v>
      </c>
      <c r="J782" t="n">
        <v>0</v>
      </c>
      <c r="K782" t="n">
        <v>0</v>
      </c>
      <c r="L782" t="n">
        <v>0</v>
      </c>
      <c r="M782" t="n">
        <v>0</v>
      </c>
      <c r="N782" t="n">
        <v>0</v>
      </c>
      <c r="O782" t="n">
        <v>0</v>
      </c>
      <c r="P782" t="n">
        <v>0</v>
      </c>
      <c r="Q782" t="n">
        <v>0</v>
      </c>
      <c r="R782" s="2" t="inlineStr"/>
    </row>
    <row r="783" ht="15" customHeight="1">
      <c r="A783" t="inlineStr">
        <is>
          <t>A 571-2024</t>
        </is>
      </c>
      <c r="B783" s="1" t="n">
        <v>45299</v>
      </c>
      <c r="C783" s="1" t="n">
        <v>45695</v>
      </c>
      <c r="D783" t="inlineStr">
        <is>
          <t>DALARNAS LÄN</t>
        </is>
      </c>
      <c r="E783" t="inlineStr">
        <is>
          <t>MORA</t>
        </is>
      </c>
      <c r="G783" t="n">
        <v>3.3</v>
      </c>
      <c r="H783" t="n">
        <v>0</v>
      </c>
      <c r="I783" t="n">
        <v>0</v>
      </c>
      <c r="J783" t="n">
        <v>0</v>
      </c>
      <c r="K783" t="n">
        <v>0</v>
      </c>
      <c r="L783" t="n">
        <v>0</v>
      </c>
      <c r="M783" t="n">
        <v>0</v>
      </c>
      <c r="N783" t="n">
        <v>0</v>
      </c>
      <c r="O783" t="n">
        <v>0</v>
      </c>
      <c r="P783" t="n">
        <v>0</v>
      </c>
      <c r="Q783" t="n">
        <v>0</v>
      </c>
      <c r="R783" s="2" t="inlineStr"/>
    </row>
    <row r="784" ht="15" customHeight="1">
      <c r="A784" t="inlineStr">
        <is>
          <t>A 573-2024</t>
        </is>
      </c>
      <c r="B784" s="1" t="n">
        <v>45299</v>
      </c>
      <c r="C784" s="1" t="n">
        <v>45695</v>
      </c>
      <c r="D784" t="inlineStr">
        <is>
          <t>DALARNAS LÄN</t>
        </is>
      </c>
      <c r="E784" t="inlineStr">
        <is>
          <t>MORA</t>
        </is>
      </c>
      <c r="G784" t="n">
        <v>2.3</v>
      </c>
      <c r="H784" t="n">
        <v>0</v>
      </c>
      <c r="I784" t="n">
        <v>0</v>
      </c>
      <c r="J784" t="n">
        <v>0</v>
      </c>
      <c r="K784" t="n">
        <v>0</v>
      </c>
      <c r="L784" t="n">
        <v>0</v>
      </c>
      <c r="M784" t="n">
        <v>0</v>
      </c>
      <c r="N784" t="n">
        <v>0</v>
      </c>
      <c r="O784" t="n">
        <v>0</v>
      </c>
      <c r="P784" t="n">
        <v>0</v>
      </c>
      <c r="Q784" t="n">
        <v>0</v>
      </c>
      <c r="R784" s="2" t="inlineStr"/>
    </row>
    <row r="785" ht="15" customHeight="1">
      <c r="A785" t="inlineStr">
        <is>
          <t>A 2084-2024</t>
        </is>
      </c>
      <c r="B785" s="1" t="n">
        <v>45309</v>
      </c>
      <c r="C785" s="1" t="n">
        <v>45695</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2276-2024</t>
        </is>
      </c>
      <c r="B786" s="1" t="n">
        <v>45310</v>
      </c>
      <c r="C786" s="1" t="n">
        <v>45695</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2292-2024</t>
        </is>
      </c>
      <c r="B787" s="1" t="n">
        <v>45310</v>
      </c>
      <c r="C787" s="1" t="n">
        <v>45695</v>
      </c>
      <c r="D787" t="inlineStr">
        <is>
          <t>DALARNAS LÄN</t>
        </is>
      </c>
      <c r="E787" t="inlineStr">
        <is>
          <t>MORA</t>
        </is>
      </c>
      <c r="G787" t="n">
        <v>2.9</v>
      </c>
      <c r="H787" t="n">
        <v>0</v>
      </c>
      <c r="I787" t="n">
        <v>0</v>
      </c>
      <c r="J787" t="n">
        <v>0</v>
      </c>
      <c r="K787" t="n">
        <v>0</v>
      </c>
      <c r="L787" t="n">
        <v>0</v>
      </c>
      <c r="M787" t="n">
        <v>0</v>
      </c>
      <c r="N787" t="n">
        <v>0</v>
      </c>
      <c r="O787" t="n">
        <v>0</v>
      </c>
      <c r="P787" t="n">
        <v>0</v>
      </c>
      <c r="Q787" t="n">
        <v>0</v>
      </c>
      <c r="R787" s="2" t="inlineStr"/>
    </row>
    <row r="788" ht="15" customHeight="1">
      <c r="A788" t="inlineStr">
        <is>
          <t>A 3107-2024</t>
        </is>
      </c>
      <c r="B788" s="1" t="n">
        <v>45316</v>
      </c>
      <c r="C788" s="1" t="n">
        <v>45695</v>
      </c>
      <c r="D788" t="inlineStr">
        <is>
          <t>DALARNAS LÄN</t>
        </is>
      </c>
      <c r="E788" t="inlineStr">
        <is>
          <t>MORA</t>
        </is>
      </c>
      <c r="G788" t="n">
        <v>4.1</v>
      </c>
      <c r="H788" t="n">
        <v>0</v>
      </c>
      <c r="I788" t="n">
        <v>0</v>
      </c>
      <c r="J788" t="n">
        <v>0</v>
      </c>
      <c r="K788" t="n">
        <v>0</v>
      </c>
      <c r="L788" t="n">
        <v>0</v>
      </c>
      <c r="M788" t="n">
        <v>0</v>
      </c>
      <c r="N788" t="n">
        <v>0</v>
      </c>
      <c r="O788" t="n">
        <v>0</v>
      </c>
      <c r="P788" t="n">
        <v>0</v>
      </c>
      <c r="Q788" t="n">
        <v>0</v>
      </c>
      <c r="R788" s="2" t="inlineStr"/>
    </row>
    <row r="789" ht="15" customHeight="1">
      <c r="A789" t="inlineStr">
        <is>
          <t>A 3219-2024</t>
        </is>
      </c>
      <c r="B789" s="1" t="n">
        <v>45316</v>
      </c>
      <c r="C789" s="1" t="n">
        <v>45695</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3322-2024</t>
        </is>
      </c>
      <c r="B790" s="1" t="n">
        <v>45317</v>
      </c>
      <c r="C790" s="1" t="n">
        <v>45695</v>
      </c>
      <c r="D790" t="inlineStr">
        <is>
          <t>DALARNAS LÄN</t>
        </is>
      </c>
      <c r="E790" t="inlineStr">
        <is>
          <t>MORA</t>
        </is>
      </c>
      <c r="G790" t="n">
        <v>3.8</v>
      </c>
      <c r="H790" t="n">
        <v>0</v>
      </c>
      <c r="I790" t="n">
        <v>0</v>
      </c>
      <c r="J790" t="n">
        <v>0</v>
      </c>
      <c r="K790" t="n">
        <v>0</v>
      </c>
      <c r="L790" t="n">
        <v>0</v>
      </c>
      <c r="M790" t="n">
        <v>0</v>
      </c>
      <c r="N790" t="n">
        <v>0</v>
      </c>
      <c r="O790" t="n">
        <v>0</v>
      </c>
      <c r="P790" t="n">
        <v>0</v>
      </c>
      <c r="Q790" t="n">
        <v>0</v>
      </c>
      <c r="R790" s="2" t="inlineStr"/>
    </row>
    <row r="791" ht="15" customHeight="1">
      <c r="A791" t="inlineStr">
        <is>
          <t>A 3531-2024</t>
        </is>
      </c>
      <c r="B791" s="1" t="n">
        <v>45320</v>
      </c>
      <c r="C791" s="1" t="n">
        <v>45695</v>
      </c>
      <c r="D791" t="inlineStr">
        <is>
          <t>DALARNAS LÄN</t>
        </is>
      </c>
      <c r="E791" t="inlineStr">
        <is>
          <t>MORA</t>
        </is>
      </c>
      <c r="G791" t="n">
        <v>1.4</v>
      </c>
      <c r="H791" t="n">
        <v>0</v>
      </c>
      <c r="I791" t="n">
        <v>0</v>
      </c>
      <c r="J791" t="n">
        <v>0</v>
      </c>
      <c r="K791" t="n">
        <v>0</v>
      </c>
      <c r="L791" t="n">
        <v>0</v>
      </c>
      <c r="M791" t="n">
        <v>0</v>
      </c>
      <c r="N791" t="n">
        <v>0</v>
      </c>
      <c r="O791" t="n">
        <v>0</v>
      </c>
      <c r="P791" t="n">
        <v>0</v>
      </c>
      <c r="Q791" t="n">
        <v>0</v>
      </c>
      <c r="R791" s="2" t="inlineStr"/>
      <c r="U791">
        <f>HYPERLINK("https://klasma.github.io/Logging_2062/knärot/A 3531-2024 karta knärot.png", "A 3531-2024")</f>
        <v/>
      </c>
      <c r="V791">
        <f>HYPERLINK("https://klasma.github.io/Logging_2062/klagomål/A 3531-2024 FSC-klagomål.docx", "A 3531-2024")</f>
        <v/>
      </c>
      <c r="W791">
        <f>HYPERLINK("https://klasma.github.io/Logging_2062/klagomålsmail/A 3531-2024 FSC-klagomål mail.docx", "A 3531-2024")</f>
        <v/>
      </c>
      <c r="X791">
        <f>HYPERLINK("https://klasma.github.io/Logging_2062/tillsyn/A 3531-2024 tillsynsbegäran.docx", "A 3531-2024")</f>
        <v/>
      </c>
      <c r="Y791">
        <f>HYPERLINK("https://klasma.github.io/Logging_2062/tillsynsmail/A 3531-2024 tillsynsbegäran mail.docx", "A 3531-2024")</f>
        <v/>
      </c>
    </row>
    <row r="792" ht="15" customHeight="1">
      <c r="A792" t="inlineStr">
        <is>
          <t>A 4479-2024</t>
        </is>
      </c>
      <c r="B792" s="1" t="n">
        <v>45327</v>
      </c>
      <c r="C792" s="1" t="n">
        <v>45695</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4773-2024</t>
        </is>
      </c>
      <c r="B793" s="1" t="n">
        <v>45328</v>
      </c>
      <c r="C793" s="1" t="n">
        <v>45695</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5217-2024</t>
        </is>
      </c>
      <c r="B794" s="1" t="n">
        <v>45330</v>
      </c>
      <c r="C794" s="1" t="n">
        <v>45695</v>
      </c>
      <c r="D794" t="inlineStr">
        <is>
          <t>DALARNAS LÄN</t>
        </is>
      </c>
      <c r="E794" t="inlineStr">
        <is>
          <t>MORA</t>
        </is>
      </c>
      <c r="G794" t="n">
        <v>4.2</v>
      </c>
      <c r="H794" t="n">
        <v>0</v>
      </c>
      <c r="I794" t="n">
        <v>0</v>
      </c>
      <c r="J794" t="n">
        <v>0</v>
      </c>
      <c r="K794" t="n">
        <v>0</v>
      </c>
      <c r="L794" t="n">
        <v>0</v>
      </c>
      <c r="M794" t="n">
        <v>0</v>
      </c>
      <c r="N794" t="n">
        <v>0</v>
      </c>
      <c r="O794" t="n">
        <v>0</v>
      </c>
      <c r="P794" t="n">
        <v>0</v>
      </c>
      <c r="Q794" t="n">
        <v>0</v>
      </c>
      <c r="R794" s="2" t="inlineStr"/>
    </row>
    <row r="795" ht="15" customHeight="1">
      <c r="A795" t="inlineStr">
        <is>
          <t>A 5461-2024</t>
        </is>
      </c>
      <c r="B795" s="1" t="n">
        <v>45332</v>
      </c>
      <c r="C795" s="1" t="n">
        <v>45695</v>
      </c>
      <c r="D795" t="inlineStr">
        <is>
          <t>DALARNAS LÄN</t>
        </is>
      </c>
      <c r="E795" t="inlineStr">
        <is>
          <t>MORA</t>
        </is>
      </c>
      <c r="G795" t="n">
        <v>6.7</v>
      </c>
      <c r="H795" t="n">
        <v>0</v>
      </c>
      <c r="I795" t="n">
        <v>0</v>
      </c>
      <c r="J795" t="n">
        <v>0</v>
      </c>
      <c r="K795" t="n">
        <v>0</v>
      </c>
      <c r="L795" t="n">
        <v>0</v>
      </c>
      <c r="M795" t="n">
        <v>0</v>
      </c>
      <c r="N795" t="n">
        <v>0</v>
      </c>
      <c r="O795" t="n">
        <v>0</v>
      </c>
      <c r="P795" t="n">
        <v>0</v>
      </c>
      <c r="Q795" t="n">
        <v>0</v>
      </c>
      <c r="R795" s="2" t="inlineStr"/>
    </row>
    <row r="796" ht="15" customHeight="1">
      <c r="A796" t="inlineStr">
        <is>
          <t>A 5542-2024</t>
        </is>
      </c>
      <c r="B796" s="1" t="n">
        <v>45334</v>
      </c>
      <c r="C796" s="1" t="n">
        <v>45695</v>
      </c>
      <c r="D796" t="inlineStr">
        <is>
          <t>DALARNAS LÄN</t>
        </is>
      </c>
      <c r="E796" t="inlineStr">
        <is>
          <t>MORA</t>
        </is>
      </c>
      <c r="F796" t="inlineStr">
        <is>
          <t>Kommuner</t>
        </is>
      </c>
      <c r="G796" t="n">
        <v>0.1</v>
      </c>
      <c r="H796" t="n">
        <v>0</v>
      </c>
      <c r="I796" t="n">
        <v>0</v>
      </c>
      <c r="J796" t="n">
        <v>0</v>
      </c>
      <c r="K796" t="n">
        <v>0</v>
      </c>
      <c r="L796" t="n">
        <v>0</v>
      </c>
      <c r="M796" t="n">
        <v>0</v>
      </c>
      <c r="N796" t="n">
        <v>0</v>
      </c>
      <c r="O796" t="n">
        <v>0</v>
      </c>
      <c r="P796" t="n">
        <v>0</v>
      </c>
      <c r="Q796" t="n">
        <v>0</v>
      </c>
      <c r="R796" s="2" t="inlineStr"/>
    </row>
    <row r="797" ht="15" customHeight="1">
      <c r="A797" t="inlineStr">
        <is>
          <t>A 5527-2024</t>
        </is>
      </c>
      <c r="B797" s="1" t="n">
        <v>45334</v>
      </c>
      <c r="C797" s="1" t="n">
        <v>45695</v>
      </c>
      <c r="D797" t="inlineStr">
        <is>
          <t>DALARNAS LÄN</t>
        </is>
      </c>
      <c r="E797" t="inlineStr">
        <is>
          <t>MORA</t>
        </is>
      </c>
      <c r="G797" t="n">
        <v>1</v>
      </c>
      <c r="H797" t="n">
        <v>0</v>
      </c>
      <c r="I797" t="n">
        <v>0</v>
      </c>
      <c r="J797" t="n">
        <v>0</v>
      </c>
      <c r="K797" t="n">
        <v>0</v>
      </c>
      <c r="L797" t="n">
        <v>0</v>
      </c>
      <c r="M797" t="n">
        <v>0</v>
      </c>
      <c r="N797" t="n">
        <v>0</v>
      </c>
      <c r="O797" t="n">
        <v>0</v>
      </c>
      <c r="P797" t="n">
        <v>0</v>
      </c>
      <c r="Q797" t="n">
        <v>0</v>
      </c>
      <c r="R797" s="2" t="inlineStr"/>
    </row>
    <row r="798" ht="15" customHeight="1">
      <c r="A798" t="inlineStr">
        <is>
          <t>A 5532-2024</t>
        </is>
      </c>
      <c r="B798" s="1" t="n">
        <v>45334</v>
      </c>
      <c r="C798" s="1" t="n">
        <v>45695</v>
      </c>
      <c r="D798" t="inlineStr">
        <is>
          <t>DALARNAS LÄN</t>
        </is>
      </c>
      <c r="E798" t="inlineStr">
        <is>
          <t>MORA</t>
        </is>
      </c>
      <c r="G798" t="n">
        <v>8.4</v>
      </c>
      <c r="H798" t="n">
        <v>0</v>
      </c>
      <c r="I798" t="n">
        <v>0</v>
      </c>
      <c r="J798" t="n">
        <v>0</v>
      </c>
      <c r="K798" t="n">
        <v>0</v>
      </c>
      <c r="L798" t="n">
        <v>0</v>
      </c>
      <c r="M798" t="n">
        <v>0</v>
      </c>
      <c r="N798" t="n">
        <v>0</v>
      </c>
      <c r="O798" t="n">
        <v>0</v>
      </c>
      <c r="P798" t="n">
        <v>0</v>
      </c>
      <c r="Q798" t="n">
        <v>0</v>
      </c>
      <c r="R798" s="2" t="inlineStr"/>
    </row>
    <row r="799" ht="15" customHeight="1">
      <c r="A799" t="inlineStr">
        <is>
          <t>A 5540-2024</t>
        </is>
      </c>
      <c r="B799" s="1" t="n">
        <v>45334</v>
      </c>
      <c r="C799" s="1" t="n">
        <v>45695</v>
      </c>
      <c r="D799" t="inlineStr">
        <is>
          <t>DALARNAS LÄN</t>
        </is>
      </c>
      <c r="E799" t="inlineStr">
        <is>
          <t>MORA</t>
        </is>
      </c>
      <c r="G799" t="n">
        <v>1.1</v>
      </c>
      <c r="H799" t="n">
        <v>0</v>
      </c>
      <c r="I799" t="n">
        <v>0</v>
      </c>
      <c r="J799" t="n">
        <v>0</v>
      </c>
      <c r="K799" t="n">
        <v>0</v>
      </c>
      <c r="L799" t="n">
        <v>0</v>
      </c>
      <c r="M799" t="n">
        <v>0</v>
      </c>
      <c r="N799" t="n">
        <v>0</v>
      </c>
      <c r="O799" t="n">
        <v>0</v>
      </c>
      <c r="P799" t="n">
        <v>0</v>
      </c>
      <c r="Q799" t="n">
        <v>0</v>
      </c>
      <c r="R799" s="2" t="inlineStr"/>
    </row>
    <row r="800" ht="15" customHeight="1">
      <c r="A800" t="inlineStr">
        <is>
          <t>A 5541-2024</t>
        </is>
      </c>
      <c r="B800" s="1" t="n">
        <v>45334</v>
      </c>
      <c r="C800" s="1" t="n">
        <v>45695</v>
      </c>
      <c r="D800" t="inlineStr">
        <is>
          <t>DALARNAS LÄN</t>
        </is>
      </c>
      <c r="E800" t="inlineStr">
        <is>
          <t>MORA</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5644-2024</t>
        </is>
      </c>
      <c r="B801" s="1" t="n">
        <v>45334</v>
      </c>
      <c r="C801" s="1" t="n">
        <v>45695</v>
      </c>
      <c r="D801" t="inlineStr">
        <is>
          <t>DALARNAS LÄN</t>
        </is>
      </c>
      <c r="E801" t="inlineStr">
        <is>
          <t>MORA</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6007-2024</t>
        </is>
      </c>
      <c r="B802" s="1" t="n">
        <v>45336</v>
      </c>
      <c r="C802" s="1" t="n">
        <v>45695</v>
      </c>
      <c r="D802" t="inlineStr">
        <is>
          <t>DALARNAS LÄN</t>
        </is>
      </c>
      <c r="E802" t="inlineStr">
        <is>
          <t>MORA</t>
        </is>
      </c>
      <c r="G802" t="n">
        <v>2.3</v>
      </c>
      <c r="H802" t="n">
        <v>0</v>
      </c>
      <c r="I802" t="n">
        <v>0</v>
      </c>
      <c r="J802" t="n">
        <v>0</v>
      </c>
      <c r="K802" t="n">
        <v>0</v>
      </c>
      <c r="L802" t="n">
        <v>0</v>
      </c>
      <c r="M802" t="n">
        <v>0</v>
      </c>
      <c r="N802" t="n">
        <v>0</v>
      </c>
      <c r="O802" t="n">
        <v>0</v>
      </c>
      <c r="P802" t="n">
        <v>0</v>
      </c>
      <c r="Q802" t="n">
        <v>0</v>
      </c>
      <c r="R802" s="2" t="inlineStr"/>
    </row>
    <row r="803" ht="15" customHeight="1">
      <c r="A803" t="inlineStr">
        <is>
          <t>A 6183-2024</t>
        </is>
      </c>
      <c r="B803" s="1" t="n">
        <v>45337</v>
      </c>
      <c r="C803" s="1" t="n">
        <v>45695</v>
      </c>
      <c r="D803" t="inlineStr">
        <is>
          <t>DALARNAS LÄN</t>
        </is>
      </c>
      <c r="E803" t="inlineStr">
        <is>
          <t>MORA</t>
        </is>
      </c>
      <c r="G803" t="n">
        <v>7.9</v>
      </c>
      <c r="H803" t="n">
        <v>0</v>
      </c>
      <c r="I803" t="n">
        <v>0</v>
      </c>
      <c r="J803" t="n">
        <v>0</v>
      </c>
      <c r="K803" t="n">
        <v>0</v>
      </c>
      <c r="L803" t="n">
        <v>0</v>
      </c>
      <c r="M803" t="n">
        <v>0</v>
      </c>
      <c r="N803" t="n">
        <v>0</v>
      </c>
      <c r="O803" t="n">
        <v>0</v>
      </c>
      <c r="P803" t="n">
        <v>0</v>
      </c>
      <c r="Q803" t="n">
        <v>0</v>
      </c>
      <c r="R803" s="2" t="inlineStr"/>
    </row>
    <row r="804" ht="15" customHeight="1">
      <c r="A804" t="inlineStr">
        <is>
          <t>A 6175-2024</t>
        </is>
      </c>
      <c r="B804" s="1" t="n">
        <v>45337</v>
      </c>
      <c r="C804" s="1" t="n">
        <v>45695</v>
      </c>
      <c r="D804" t="inlineStr">
        <is>
          <t>DALARNAS LÄN</t>
        </is>
      </c>
      <c r="E804" t="inlineStr">
        <is>
          <t>MORA</t>
        </is>
      </c>
      <c r="G804" t="n">
        <v>16.1</v>
      </c>
      <c r="H804" t="n">
        <v>0</v>
      </c>
      <c r="I804" t="n">
        <v>0</v>
      </c>
      <c r="J804" t="n">
        <v>0</v>
      </c>
      <c r="K804" t="n">
        <v>0</v>
      </c>
      <c r="L804" t="n">
        <v>0</v>
      </c>
      <c r="M804" t="n">
        <v>0</v>
      </c>
      <c r="N804" t="n">
        <v>0</v>
      </c>
      <c r="O804" t="n">
        <v>0</v>
      </c>
      <c r="P804" t="n">
        <v>0</v>
      </c>
      <c r="Q804" t="n">
        <v>0</v>
      </c>
      <c r="R804" s="2" t="inlineStr"/>
    </row>
    <row r="805" ht="15" customHeight="1">
      <c r="A805" t="inlineStr">
        <is>
          <t>A 7116-2024</t>
        </is>
      </c>
      <c r="B805" s="1" t="n">
        <v>45343</v>
      </c>
      <c r="C805" s="1" t="n">
        <v>45695</v>
      </c>
      <c r="D805" t="inlineStr">
        <is>
          <t>DALARNAS LÄN</t>
        </is>
      </c>
      <c r="E805" t="inlineStr">
        <is>
          <t>MORA</t>
        </is>
      </c>
      <c r="G805" t="n">
        <v>0.3</v>
      </c>
      <c r="H805" t="n">
        <v>0</v>
      </c>
      <c r="I805" t="n">
        <v>0</v>
      </c>
      <c r="J805" t="n">
        <v>0</v>
      </c>
      <c r="K805" t="n">
        <v>0</v>
      </c>
      <c r="L805" t="n">
        <v>0</v>
      </c>
      <c r="M805" t="n">
        <v>0</v>
      </c>
      <c r="N805" t="n">
        <v>0</v>
      </c>
      <c r="O805" t="n">
        <v>0</v>
      </c>
      <c r="P805" t="n">
        <v>0</v>
      </c>
      <c r="Q805" t="n">
        <v>0</v>
      </c>
      <c r="R805" s="2" t="inlineStr"/>
    </row>
    <row r="806" ht="15" customHeight="1">
      <c r="A806" t="inlineStr">
        <is>
          <t>A 7414-2024</t>
        </is>
      </c>
      <c r="B806" s="1" t="n">
        <v>45345</v>
      </c>
      <c r="C806" s="1" t="n">
        <v>45695</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7945-2024</t>
        </is>
      </c>
      <c r="B807" s="1" t="n">
        <v>45350</v>
      </c>
      <c r="C807" s="1" t="n">
        <v>45695</v>
      </c>
      <c r="D807" t="inlineStr">
        <is>
          <t>DALARNAS LÄN</t>
        </is>
      </c>
      <c r="E807" t="inlineStr">
        <is>
          <t>MORA</t>
        </is>
      </c>
      <c r="G807" t="n">
        <v>4.4</v>
      </c>
      <c r="H807" t="n">
        <v>0</v>
      </c>
      <c r="I807" t="n">
        <v>0</v>
      </c>
      <c r="J807" t="n">
        <v>0</v>
      </c>
      <c r="K807" t="n">
        <v>0</v>
      </c>
      <c r="L807" t="n">
        <v>0</v>
      </c>
      <c r="M807" t="n">
        <v>0</v>
      </c>
      <c r="N807" t="n">
        <v>0</v>
      </c>
      <c r="O807" t="n">
        <v>0</v>
      </c>
      <c r="P807" t="n">
        <v>0</v>
      </c>
      <c r="Q807" t="n">
        <v>0</v>
      </c>
      <c r="R807" s="2" t="inlineStr"/>
    </row>
    <row r="808" ht="15" customHeight="1">
      <c r="A808" t="inlineStr">
        <is>
          <t>A 7972-2024</t>
        </is>
      </c>
      <c r="B808" s="1" t="n">
        <v>45350</v>
      </c>
      <c r="C808" s="1" t="n">
        <v>45695</v>
      </c>
      <c r="D808" t="inlineStr">
        <is>
          <t>DALARNAS LÄN</t>
        </is>
      </c>
      <c r="E808" t="inlineStr">
        <is>
          <t>MORA</t>
        </is>
      </c>
      <c r="G808" t="n">
        <v>2.4</v>
      </c>
      <c r="H808" t="n">
        <v>0</v>
      </c>
      <c r="I808" t="n">
        <v>0</v>
      </c>
      <c r="J808" t="n">
        <v>0</v>
      </c>
      <c r="K808" t="n">
        <v>0</v>
      </c>
      <c r="L808" t="n">
        <v>0</v>
      </c>
      <c r="M808" t="n">
        <v>0</v>
      </c>
      <c r="N808" t="n">
        <v>0</v>
      </c>
      <c r="O808" t="n">
        <v>0</v>
      </c>
      <c r="P808" t="n">
        <v>0</v>
      </c>
      <c r="Q808" t="n">
        <v>0</v>
      </c>
      <c r="R808" s="2" t="inlineStr"/>
    </row>
    <row r="809" ht="15" customHeight="1">
      <c r="A809" t="inlineStr">
        <is>
          <t>A 8068-2024</t>
        </is>
      </c>
      <c r="B809" s="1" t="n">
        <v>45351</v>
      </c>
      <c r="C809" s="1" t="n">
        <v>45695</v>
      </c>
      <c r="D809" t="inlineStr">
        <is>
          <t>DALARNAS LÄN</t>
        </is>
      </c>
      <c r="E809" t="inlineStr">
        <is>
          <t>MORA</t>
        </is>
      </c>
      <c r="G809" t="n">
        <v>6.4</v>
      </c>
      <c r="H809" t="n">
        <v>0</v>
      </c>
      <c r="I809" t="n">
        <v>0</v>
      </c>
      <c r="J809" t="n">
        <v>0</v>
      </c>
      <c r="K809" t="n">
        <v>0</v>
      </c>
      <c r="L809" t="n">
        <v>0</v>
      </c>
      <c r="M809" t="n">
        <v>0</v>
      </c>
      <c r="N809" t="n">
        <v>0</v>
      </c>
      <c r="O809" t="n">
        <v>0</v>
      </c>
      <c r="P809" t="n">
        <v>0</v>
      </c>
      <c r="Q809" t="n">
        <v>0</v>
      </c>
      <c r="R809" s="2" t="inlineStr"/>
    </row>
    <row r="810" ht="15" customHeight="1">
      <c r="A810" t="inlineStr">
        <is>
          <t>A 8100-2024</t>
        </is>
      </c>
      <c r="B810" s="1" t="n">
        <v>45351</v>
      </c>
      <c r="C810" s="1" t="n">
        <v>45695</v>
      </c>
      <c r="D810" t="inlineStr">
        <is>
          <t>DALARNAS LÄN</t>
        </is>
      </c>
      <c r="E810" t="inlineStr">
        <is>
          <t>MORA</t>
        </is>
      </c>
      <c r="G810" t="n">
        <v>3.2</v>
      </c>
      <c r="H810" t="n">
        <v>0</v>
      </c>
      <c r="I810" t="n">
        <v>0</v>
      </c>
      <c r="J810" t="n">
        <v>0</v>
      </c>
      <c r="K810" t="n">
        <v>0</v>
      </c>
      <c r="L810" t="n">
        <v>0</v>
      </c>
      <c r="M810" t="n">
        <v>0</v>
      </c>
      <c r="N810" t="n">
        <v>0</v>
      </c>
      <c r="O810" t="n">
        <v>0</v>
      </c>
      <c r="P810" t="n">
        <v>0</v>
      </c>
      <c r="Q810" t="n">
        <v>0</v>
      </c>
      <c r="R810" s="2" t="inlineStr"/>
    </row>
    <row r="811" ht="15" customHeight="1">
      <c r="A811" t="inlineStr">
        <is>
          <t>A 9276-2024</t>
        </is>
      </c>
      <c r="B811" s="1" t="n">
        <v>45358</v>
      </c>
      <c r="C811" s="1" t="n">
        <v>45695</v>
      </c>
      <c r="D811" t="inlineStr">
        <is>
          <t>DALARNAS LÄN</t>
        </is>
      </c>
      <c r="E811" t="inlineStr">
        <is>
          <t>MORA</t>
        </is>
      </c>
      <c r="G811" t="n">
        <v>0.7</v>
      </c>
      <c r="H811" t="n">
        <v>0</v>
      </c>
      <c r="I811" t="n">
        <v>0</v>
      </c>
      <c r="J811" t="n">
        <v>0</v>
      </c>
      <c r="K811" t="n">
        <v>0</v>
      </c>
      <c r="L811" t="n">
        <v>0</v>
      </c>
      <c r="M811" t="n">
        <v>0</v>
      </c>
      <c r="N811" t="n">
        <v>0</v>
      </c>
      <c r="O811" t="n">
        <v>0</v>
      </c>
      <c r="P811" t="n">
        <v>0</v>
      </c>
      <c r="Q811" t="n">
        <v>0</v>
      </c>
      <c r="R811" s="2" t="inlineStr"/>
    </row>
    <row r="812" ht="15" customHeight="1">
      <c r="A812" t="inlineStr">
        <is>
          <t>A 9277-2024</t>
        </is>
      </c>
      <c r="B812" s="1" t="n">
        <v>45358</v>
      </c>
      <c r="C812" s="1" t="n">
        <v>45695</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9855-2024</t>
        </is>
      </c>
      <c r="B813" s="1" t="n">
        <v>45363</v>
      </c>
      <c r="C813" s="1" t="n">
        <v>45695</v>
      </c>
      <c r="D813" t="inlineStr">
        <is>
          <t>DALARNAS LÄN</t>
        </is>
      </c>
      <c r="E813" t="inlineStr">
        <is>
          <t>MORA</t>
        </is>
      </c>
      <c r="G813" t="n">
        <v>8.6</v>
      </c>
      <c r="H813" t="n">
        <v>0</v>
      </c>
      <c r="I813" t="n">
        <v>0</v>
      </c>
      <c r="J813" t="n">
        <v>0</v>
      </c>
      <c r="K813" t="n">
        <v>0</v>
      </c>
      <c r="L813" t="n">
        <v>0</v>
      </c>
      <c r="M813" t="n">
        <v>0</v>
      </c>
      <c r="N813" t="n">
        <v>0</v>
      </c>
      <c r="O813" t="n">
        <v>0</v>
      </c>
      <c r="P813" t="n">
        <v>0</v>
      </c>
      <c r="Q813" t="n">
        <v>0</v>
      </c>
      <c r="R813" s="2" t="inlineStr"/>
    </row>
    <row r="814" ht="15" customHeight="1">
      <c r="A814" t="inlineStr">
        <is>
          <t>A 11218-2024</t>
        </is>
      </c>
      <c r="B814" s="1" t="n">
        <v>45371</v>
      </c>
      <c r="C814" s="1" t="n">
        <v>45695</v>
      </c>
      <c r="D814" t="inlineStr">
        <is>
          <t>DALARNAS LÄN</t>
        </is>
      </c>
      <c r="E814" t="inlineStr">
        <is>
          <t>MORA</t>
        </is>
      </c>
      <c r="G814" t="n">
        <v>11.9</v>
      </c>
      <c r="H814" t="n">
        <v>0</v>
      </c>
      <c r="I814" t="n">
        <v>0</v>
      </c>
      <c r="J814" t="n">
        <v>0</v>
      </c>
      <c r="K814" t="n">
        <v>0</v>
      </c>
      <c r="L814" t="n">
        <v>0</v>
      </c>
      <c r="M814" t="n">
        <v>0</v>
      </c>
      <c r="N814" t="n">
        <v>0</v>
      </c>
      <c r="O814" t="n">
        <v>0</v>
      </c>
      <c r="P814" t="n">
        <v>0</v>
      </c>
      <c r="Q814" t="n">
        <v>0</v>
      </c>
      <c r="R814" s="2" t="inlineStr"/>
    </row>
    <row r="815" ht="15" customHeight="1">
      <c r="A815" t="inlineStr">
        <is>
          <t>A 11354-2024</t>
        </is>
      </c>
      <c r="B815" s="1" t="n">
        <v>45372</v>
      </c>
      <c r="C815" s="1" t="n">
        <v>45695</v>
      </c>
      <c r="D815" t="inlineStr">
        <is>
          <t>DALARNAS LÄN</t>
        </is>
      </c>
      <c r="E815" t="inlineStr">
        <is>
          <t>MORA</t>
        </is>
      </c>
      <c r="G815" t="n">
        <v>2.5</v>
      </c>
      <c r="H815" t="n">
        <v>0</v>
      </c>
      <c r="I815" t="n">
        <v>0</v>
      </c>
      <c r="J815" t="n">
        <v>0</v>
      </c>
      <c r="K815" t="n">
        <v>0</v>
      </c>
      <c r="L815" t="n">
        <v>0</v>
      </c>
      <c r="M815" t="n">
        <v>0</v>
      </c>
      <c r="N815" t="n">
        <v>0</v>
      </c>
      <c r="O815" t="n">
        <v>0</v>
      </c>
      <c r="P815" t="n">
        <v>0</v>
      </c>
      <c r="Q815" t="n">
        <v>0</v>
      </c>
      <c r="R815" s="2" t="inlineStr"/>
    </row>
    <row r="816" ht="15" customHeight="1">
      <c r="A816" t="inlineStr">
        <is>
          <t>A 11463-2024</t>
        </is>
      </c>
      <c r="B816" s="1" t="n">
        <v>45372</v>
      </c>
      <c r="C816" s="1" t="n">
        <v>45695</v>
      </c>
      <c r="D816" t="inlineStr">
        <is>
          <t>DALARNAS LÄN</t>
        </is>
      </c>
      <c r="E816" t="inlineStr">
        <is>
          <t>MORA</t>
        </is>
      </c>
      <c r="F816" t="inlineStr">
        <is>
          <t>Bergvik skog väst AB</t>
        </is>
      </c>
      <c r="G816" t="n">
        <v>1.8</v>
      </c>
      <c r="H816" t="n">
        <v>0</v>
      </c>
      <c r="I816" t="n">
        <v>0</v>
      </c>
      <c r="J816" t="n">
        <v>0</v>
      </c>
      <c r="K816" t="n">
        <v>0</v>
      </c>
      <c r="L816" t="n">
        <v>0</v>
      </c>
      <c r="M816" t="n">
        <v>0</v>
      </c>
      <c r="N816" t="n">
        <v>0</v>
      </c>
      <c r="O816" t="n">
        <v>0</v>
      </c>
      <c r="P816" t="n">
        <v>0</v>
      </c>
      <c r="Q816" t="n">
        <v>0</v>
      </c>
      <c r="R816" s="2" t="inlineStr"/>
    </row>
    <row r="817" ht="15" customHeight="1">
      <c r="A817" t="inlineStr">
        <is>
          <t>A 11919-2024</t>
        </is>
      </c>
      <c r="B817" s="1" t="n">
        <v>45376</v>
      </c>
      <c r="C817" s="1" t="n">
        <v>45695</v>
      </c>
      <c r="D817" t="inlineStr">
        <is>
          <t>DALARNAS LÄN</t>
        </is>
      </c>
      <c r="E817" t="inlineStr">
        <is>
          <t>MORA</t>
        </is>
      </c>
      <c r="G817" t="n">
        <v>3.5</v>
      </c>
      <c r="H817" t="n">
        <v>0</v>
      </c>
      <c r="I817" t="n">
        <v>0</v>
      </c>
      <c r="J817" t="n">
        <v>0</v>
      </c>
      <c r="K817" t="n">
        <v>0</v>
      </c>
      <c r="L817" t="n">
        <v>0</v>
      </c>
      <c r="M817" t="n">
        <v>0</v>
      </c>
      <c r="N817" t="n">
        <v>0</v>
      </c>
      <c r="O817" t="n">
        <v>0</v>
      </c>
      <c r="P817" t="n">
        <v>0</v>
      </c>
      <c r="Q817" t="n">
        <v>0</v>
      </c>
      <c r="R817" s="2" t="inlineStr"/>
    </row>
    <row r="818" ht="15" customHeight="1">
      <c r="A818" t="inlineStr">
        <is>
          <t>A 12987-2024</t>
        </is>
      </c>
      <c r="B818" s="1" t="n">
        <v>45385</v>
      </c>
      <c r="C818" s="1" t="n">
        <v>45695</v>
      </c>
      <c r="D818" t="inlineStr">
        <is>
          <t>DALARNAS LÄN</t>
        </is>
      </c>
      <c r="E818" t="inlineStr">
        <is>
          <t>MORA</t>
        </is>
      </c>
      <c r="G818" t="n">
        <v>1.3</v>
      </c>
      <c r="H818" t="n">
        <v>0</v>
      </c>
      <c r="I818" t="n">
        <v>0</v>
      </c>
      <c r="J818" t="n">
        <v>0</v>
      </c>
      <c r="K818" t="n">
        <v>0</v>
      </c>
      <c r="L818" t="n">
        <v>0</v>
      </c>
      <c r="M818" t="n">
        <v>0</v>
      </c>
      <c r="N818" t="n">
        <v>0</v>
      </c>
      <c r="O818" t="n">
        <v>0</v>
      </c>
      <c r="P818" t="n">
        <v>0</v>
      </c>
      <c r="Q818" t="n">
        <v>0</v>
      </c>
      <c r="R818" s="2" t="inlineStr"/>
    </row>
    <row r="819" ht="15" customHeight="1">
      <c r="A819" t="inlineStr">
        <is>
          <t>A 13492-2024</t>
        </is>
      </c>
      <c r="B819" s="1" t="n">
        <v>45387</v>
      </c>
      <c r="C819" s="1" t="n">
        <v>45695</v>
      </c>
      <c r="D819" t="inlineStr">
        <is>
          <t>DALARNAS LÄN</t>
        </is>
      </c>
      <c r="E819" t="inlineStr">
        <is>
          <t>MORA</t>
        </is>
      </c>
      <c r="G819" t="n">
        <v>0.5</v>
      </c>
      <c r="H819" t="n">
        <v>0</v>
      </c>
      <c r="I819" t="n">
        <v>0</v>
      </c>
      <c r="J819" t="n">
        <v>0</v>
      </c>
      <c r="K819" t="n">
        <v>0</v>
      </c>
      <c r="L819" t="n">
        <v>0</v>
      </c>
      <c r="M819" t="n">
        <v>0</v>
      </c>
      <c r="N819" t="n">
        <v>0</v>
      </c>
      <c r="O819" t="n">
        <v>0</v>
      </c>
      <c r="P819" t="n">
        <v>0</v>
      </c>
      <c r="Q819" t="n">
        <v>0</v>
      </c>
      <c r="R819" s="2" t="inlineStr"/>
    </row>
    <row r="820" ht="15" customHeight="1">
      <c r="A820" t="inlineStr">
        <is>
          <t>A 13479-2024</t>
        </is>
      </c>
      <c r="B820" s="1" t="n">
        <v>45387</v>
      </c>
      <c r="C820" s="1" t="n">
        <v>45695</v>
      </c>
      <c r="D820" t="inlineStr">
        <is>
          <t>DALARNAS LÄN</t>
        </is>
      </c>
      <c r="E820" t="inlineStr">
        <is>
          <t>MORA</t>
        </is>
      </c>
      <c r="G820" t="n">
        <v>1.4</v>
      </c>
      <c r="H820" t="n">
        <v>0</v>
      </c>
      <c r="I820" t="n">
        <v>0</v>
      </c>
      <c r="J820" t="n">
        <v>0</v>
      </c>
      <c r="K820" t="n">
        <v>0</v>
      </c>
      <c r="L820" t="n">
        <v>0</v>
      </c>
      <c r="M820" t="n">
        <v>0</v>
      </c>
      <c r="N820" t="n">
        <v>0</v>
      </c>
      <c r="O820" t="n">
        <v>0</v>
      </c>
      <c r="P820" t="n">
        <v>0</v>
      </c>
      <c r="Q820" t="n">
        <v>0</v>
      </c>
      <c r="R820" s="2" t="inlineStr"/>
    </row>
    <row r="821" ht="15" customHeight="1">
      <c r="A821" t="inlineStr">
        <is>
          <t>A 13410-2024</t>
        </is>
      </c>
      <c r="B821" s="1" t="n">
        <v>45387</v>
      </c>
      <c r="C821" s="1" t="n">
        <v>45695</v>
      </c>
      <c r="D821" t="inlineStr">
        <is>
          <t>DALARNAS LÄN</t>
        </is>
      </c>
      <c r="E821" t="inlineStr">
        <is>
          <t>MORA</t>
        </is>
      </c>
      <c r="G821" t="n">
        <v>2.8</v>
      </c>
      <c r="H821" t="n">
        <v>0</v>
      </c>
      <c r="I821" t="n">
        <v>0</v>
      </c>
      <c r="J821" t="n">
        <v>0</v>
      </c>
      <c r="K821" t="n">
        <v>0</v>
      </c>
      <c r="L821" t="n">
        <v>0</v>
      </c>
      <c r="M821" t="n">
        <v>0</v>
      </c>
      <c r="N821" t="n">
        <v>0</v>
      </c>
      <c r="O821" t="n">
        <v>0</v>
      </c>
      <c r="P821" t="n">
        <v>0</v>
      </c>
      <c r="Q821" t="n">
        <v>0</v>
      </c>
      <c r="R821" s="2" t="inlineStr"/>
    </row>
    <row r="822" ht="15" customHeight="1">
      <c r="A822" t="inlineStr">
        <is>
          <t>A 13386-2024</t>
        </is>
      </c>
      <c r="B822" s="1" t="n">
        <v>45387</v>
      </c>
      <c r="C822" s="1" t="n">
        <v>45695</v>
      </c>
      <c r="D822" t="inlineStr">
        <is>
          <t>DALARNAS LÄN</t>
        </is>
      </c>
      <c r="E822" t="inlineStr">
        <is>
          <t>MORA</t>
        </is>
      </c>
      <c r="G822" t="n">
        <v>2.4</v>
      </c>
      <c r="H822" t="n">
        <v>0</v>
      </c>
      <c r="I822" t="n">
        <v>0</v>
      </c>
      <c r="J822" t="n">
        <v>0</v>
      </c>
      <c r="K822" t="n">
        <v>0</v>
      </c>
      <c r="L822" t="n">
        <v>0</v>
      </c>
      <c r="M822" t="n">
        <v>0</v>
      </c>
      <c r="N822" t="n">
        <v>0</v>
      </c>
      <c r="O822" t="n">
        <v>0</v>
      </c>
      <c r="P822" t="n">
        <v>0</v>
      </c>
      <c r="Q822" t="n">
        <v>0</v>
      </c>
      <c r="R822" s="2" t="inlineStr"/>
    </row>
    <row r="823" ht="15" customHeight="1">
      <c r="A823" t="inlineStr">
        <is>
          <t>A 13403-2024</t>
        </is>
      </c>
      <c r="B823" s="1" t="n">
        <v>45387</v>
      </c>
      <c r="C823" s="1" t="n">
        <v>45695</v>
      </c>
      <c r="D823" t="inlineStr">
        <is>
          <t>DALARNAS LÄN</t>
        </is>
      </c>
      <c r="E823" t="inlineStr">
        <is>
          <t>MORA</t>
        </is>
      </c>
      <c r="G823" t="n">
        <v>1.9</v>
      </c>
      <c r="H823" t="n">
        <v>0</v>
      </c>
      <c r="I823" t="n">
        <v>0</v>
      </c>
      <c r="J823" t="n">
        <v>0</v>
      </c>
      <c r="K823" t="n">
        <v>0</v>
      </c>
      <c r="L823" t="n">
        <v>0</v>
      </c>
      <c r="M823" t="n">
        <v>0</v>
      </c>
      <c r="N823" t="n">
        <v>0</v>
      </c>
      <c r="O823" t="n">
        <v>0</v>
      </c>
      <c r="P823" t="n">
        <v>0</v>
      </c>
      <c r="Q823" t="n">
        <v>0</v>
      </c>
      <c r="R823" s="2" t="inlineStr"/>
    </row>
    <row r="824" ht="15" customHeight="1">
      <c r="A824" t="inlineStr">
        <is>
          <t>A 13433-2024</t>
        </is>
      </c>
      <c r="B824" s="1" t="n">
        <v>45387</v>
      </c>
      <c r="C824" s="1" t="n">
        <v>45695</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13589-2024</t>
        </is>
      </c>
      <c r="B825" s="1" t="n">
        <v>45389</v>
      </c>
      <c r="C825" s="1" t="n">
        <v>45695</v>
      </c>
      <c r="D825" t="inlineStr">
        <is>
          <t>DALARNAS LÄN</t>
        </is>
      </c>
      <c r="E825" t="inlineStr">
        <is>
          <t>MORA</t>
        </is>
      </c>
      <c r="G825" t="n">
        <v>1.6</v>
      </c>
      <c r="H825" t="n">
        <v>0</v>
      </c>
      <c r="I825" t="n">
        <v>0</v>
      </c>
      <c r="J825" t="n">
        <v>0</v>
      </c>
      <c r="K825" t="n">
        <v>0</v>
      </c>
      <c r="L825" t="n">
        <v>0</v>
      </c>
      <c r="M825" t="n">
        <v>0</v>
      </c>
      <c r="N825" t="n">
        <v>0</v>
      </c>
      <c r="O825" t="n">
        <v>0</v>
      </c>
      <c r="P825" t="n">
        <v>0</v>
      </c>
      <c r="Q825" t="n">
        <v>0</v>
      </c>
      <c r="R825" s="2" t="inlineStr"/>
    </row>
    <row r="826" ht="15" customHeight="1">
      <c r="A826" t="inlineStr">
        <is>
          <t>A 13985-2024</t>
        </is>
      </c>
      <c r="B826" s="1" t="n">
        <v>45392</v>
      </c>
      <c r="C826" s="1" t="n">
        <v>45695</v>
      </c>
      <c r="D826" t="inlineStr">
        <is>
          <t>DALARNAS LÄN</t>
        </is>
      </c>
      <c r="E826" t="inlineStr">
        <is>
          <t>MORA</t>
        </is>
      </c>
      <c r="G826" t="n">
        <v>6.5</v>
      </c>
      <c r="H826" t="n">
        <v>0</v>
      </c>
      <c r="I826" t="n">
        <v>0</v>
      </c>
      <c r="J826" t="n">
        <v>0</v>
      </c>
      <c r="K826" t="n">
        <v>0</v>
      </c>
      <c r="L826" t="n">
        <v>0</v>
      </c>
      <c r="M826" t="n">
        <v>0</v>
      </c>
      <c r="N826" t="n">
        <v>0</v>
      </c>
      <c r="O826" t="n">
        <v>0</v>
      </c>
      <c r="P826" t="n">
        <v>0</v>
      </c>
      <c r="Q826" t="n">
        <v>0</v>
      </c>
      <c r="R826" s="2" t="inlineStr"/>
    </row>
    <row r="827" ht="15" customHeight="1">
      <c r="A827" t="inlineStr">
        <is>
          <t>A 14842-2024</t>
        </is>
      </c>
      <c r="B827" s="1" t="n">
        <v>45397</v>
      </c>
      <c r="C827" s="1" t="n">
        <v>45695</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14833-2024</t>
        </is>
      </c>
      <c r="B828" s="1" t="n">
        <v>45397</v>
      </c>
      <c r="C828" s="1" t="n">
        <v>45695</v>
      </c>
      <c r="D828" t="inlineStr">
        <is>
          <t>DALARNAS LÄN</t>
        </is>
      </c>
      <c r="E828" t="inlineStr">
        <is>
          <t>MORA</t>
        </is>
      </c>
      <c r="G828" t="n">
        <v>1</v>
      </c>
      <c r="H828" t="n">
        <v>0</v>
      </c>
      <c r="I828" t="n">
        <v>0</v>
      </c>
      <c r="J828" t="n">
        <v>0</v>
      </c>
      <c r="K828" t="n">
        <v>0</v>
      </c>
      <c r="L828" t="n">
        <v>0</v>
      </c>
      <c r="M828" t="n">
        <v>0</v>
      </c>
      <c r="N828" t="n">
        <v>0</v>
      </c>
      <c r="O828" t="n">
        <v>0</v>
      </c>
      <c r="P828" t="n">
        <v>0</v>
      </c>
      <c r="Q828" t="n">
        <v>0</v>
      </c>
      <c r="R828" s="2" t="inlineStr"/>
    </row>
    <row r="829" ht="15" customHeight="1">
      <c r="A829" t="inlineStr">
        <is>
          <t>A 15592-2024</t>
        </is>
      </c>
      <c r="B829" s="1" t="n">
        <v>45401</v>
      </c>
      <c r="C829" s="1" t="n">
        <v>45695</v>
      </c>
      <c r="D829" t="inlineStr">
        <is>
          <t>DALARNAS LÄN</t>
        </is>
      </c>
      <c r="E829" t="inlineStr">
        <is>
          <t>MORA</t>
        </is>
      </c>
      <c r="G829" t="n">
        <v>1.7</v>
      </c>
      <c r="H829" t="n">
        <v>0</v>
      </c>
      <c r="I829" t="n">
        <v>0</v>
      </c>
      <c r="J829" t="n">
        <v>0</v>
      </c>
      <c r="K829" t="n">
        <v>0</v>
      </c>
      <c r="L829" t="n">
        <v>0</v>
      </c>
      <c r="M829" t="n">
        <v>0</v>
      </c>
      <c r="N829" t="n">
        <v>0</v>
      </c>
      <c r="O829" t="n">
        <v>0</v>
      </c>
      <c r="P829" t="n">
        <v>0</v>
      </c>
      <c r="Q829" t="n">
        <v>0</v>
      </c>
      <c r="R829" s="2" t="inlineStr"/>
    </row>
    <row r="830" ht="15" customHeight="1">
      <c r="A830" t="inlineStr">
        <is>
          <t>A 15435-2024</t>
        </is>
      </c>
      <c r="B830" s="1" t="n">
        <v>45401</v>
      </c>
      <c r="C830" s="1" t="n">
        <v>45695</v>
      </c>
      <c r="D830" t="inlineStr">
        <is>
          <t>DALARNAS LÄN</t>
        </is>
      </c>
      <c r="E830" t="inlineStr">
        <is>
          <t>MORA</t>
        </is>
      </c>
      <c r="G830" t="n">
        <v>2.1</v>
      </c>
      <c r="H830" t="n">
        <v>0</v>
      </c>
      <c r="I830" t="n">
        <v>0</v>
      </c>
      <c r="J830" t="n">
        <v>0</v>
      </c>
      <c r="K830" t="n">
        <v>0</v>
      </c>
      <c r="L830" t="n">
        <v>0</v>
      </c>
      <c r="M830" t="n">
        <v>0</v>
      </c>
      <c r="N830" t="n">
        <v>0</v>
      </c>
      <c r="O830" t="n">
        <v>0</v>
      </c>
      <c r="P830" t="n">
        <v>0</v>
      </c>
      <c r="Q830" t="n">
        <v>0</v>
      </c>
      <c r="R830" s="2" t="inlineStr"/>
    </row>
    <row r="831" ht="15" customHeight="1">
      <c r="A831" t="inlineStr">
        <is>
          <t>A 15508-2024</t>
        </is>
      </c>
      <c r="B831" s="1" t="n">
        <v>45401</v>
      </c>
      <c r="C831" s="1" t="n">
        <v>45695</v>
      </c>
      <c r="D831" t="inlineStr">
        <is>
          <t>DALARNAS LÄN</t>
        </is>
      </c>
      <c r="E831" t="inlineStr">
        <is>
          <t>MORA</t>
        </is>
      </c>
      <c r="G831" t="n">
        <v>3.1</v>
      </c>
      <c r="H831" t="n">
        <v>0</v>
      </c>
      <c r="I831" t="n">
        <v>0</v>
      </c>
      <c r="J831" t="n">
        <v>0</v>
      </c>
      <c r="K831" t="n">
        <v>0</v>
      </c>
      <c r="L831" t="n">
        <v>0</v>
      </c>
      <c r="M831" t="n">
        <v>0</v>
      </c>
      <c r="N831" t="n">
        <v>0</v>
      </c>
      <c r="O831" t="n">
        <v>0</v>
      </c>
      <c r="P831" t="n">
        <v>0</v>
      </c>
      <c r="Q831" t="n">
        <v>0</v>
      </c>
      <c r="R831" s="2" t="inlineStr"/>
    </row>
    <row r="832" ht="15" customHeight="1">
      <c r="A832" t="inlineStr">
        <is>
          <t>A 15499-2024</t>
        </is>
      </c>
      <c r="B832" s="1" t="n">
        <v>45401</v>
      </c>
      <c r="C832" s="1" t="n">
        <v>45695</v>
      </c>
      <c r="D832" t="inlineStr">
        <is>
          <t>DALARNAS LÄN</t>
        </is>
      </c>
      <c r="E832" t="inlineStr">
        <is>
          <t>MORA</t>
        </is>
      </c>
      <c r="G832" t="n">
        <v>1.2</v>
      </c>
      <c r="H832" t="n">
        <v>0</v>
      </c>
      <c r="I832" t="n">
        <v>0</v>
      </c>
      <c r="J832" t="n">
        <v>0</v>
      </c>
      <c r="K832" t="n">
        <v>0</v>
      </c>
      <c r="L832" t="n">
        <v>0</v>
      </c>
      <c r="M832" t="n">
        <v>0</v>
      </c>
      <c r="N832" t="n">
        <v>0</v>
      </c>
      <c r="O832" t="n">
        <v>0</v>
      </c>
      <c r="P832" t="n">
        <v>0</v>
      </c>
      <c r="Q832" t="n">
        <v>0</v>
      </c>
      <c r="R832" s="2" t="inlineStr"/>
    </row>
    <row r="833" ht="15" customHeight="1">
      <c r="A833" t="inlineStr">
        <is>
          <t>A 15440-2024</t>
        </is>
      </c>
      <c r="B833" s="1" t="n">
        <v>45401</v>
      </c>
      <c r="C833" s="1" t="n">
        <v>45695</v>
      </c>
      <c r="D833" t="inlineStr">
        <is>
          <t>DALARNAS LÄN</t>
        </is>
      </c>
      <c r="E833" t="inlineStr">
        <is>
          <t>MORA</t>
        </is>
      </c>
      <c r="G833" t="n">
        <v>1.1</v>
      </c>
      <c r="H833" t="n">
        <v>0</v>
      </c>
      <c r="I833" t="n">
        <v>0</v>
      </c>
      <c r="J833" t="n">
        <v>0</v>
      </c>
      <c r="K833" t="n">
        <v>0</v>
      </c>
      <c r="L833" t="n">
        <v>0</v>
      </c>
      <c r="M833" t="n">
        <v>0</v>
      </c>
      <c r="N833" t="n">
        <v>0</v>
      </c>
      <c r="O833" t="n">
        <v>0</v>
      </c>
      <c r="P833" t="n">
        <v>0</v>
      </c>
      <c r="Q833" t="n">
        <v>0</v>
      </c>
      <c r="R833" s="2" t="inlineStr"/>
    </row>
    <row r="834" ht="15" customHeight="1">
      <c r="A834" t="inlineStr">
        <is>
          <t>A 15784-2024</t>
        </is>
      </c>
      <c r="B834" s="1" t="n">
        <v>45404</v>
      </c>
      <c r="C834" s="1" t="n">
        <v>45695</v>
      </c>
      <c r="D834" t="inlineStr">
        <is>
          <t>DALARNAS LÄN</t>
        </is>
      </c>
      <c r="E834" t="inlineStr">
        <is>
          <t>MORA</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15786-2024</t>
        </is>
      </c>
      <c r="B835" s="1" t="n">
        <v>45404</v>
      </c>
      <c r="C835" s="1" t="n">
        <v>45695</v>
      </c>
      <c r="D835" t="inlineStr">
        <is>
          <t>DALARNAS LÄN</t>
        </is>
      </c>
      <c r="E835" t="inlineStr">
        <is>
          <t>MORA</t>
        </is>
      </c>
      <c r="F835" t="inlineStr">
        <is>
          <t>Bergvik skog öst AB</t>
        </is>
      </c>
      <c r="G835" t="n">
        <v>2.7</v>
      </c>
      <c r="H835" t="n">
        <v>0</v>
      </c>
      <c r="I835" t="n">
        <v>0</v>
      </c>
      <c r="J835" t="n">
        <v>0</v>
      </c>
      <c r="K835" t="n">
        <v>0</v>
      </c>
      <c r="L835" t="n">
        <v>0</v>
      </c>
      <c r="M835" t="n">
        <v>0</v>
      </c>
      <c r="N835" t="n">
        <v>0</v>
      </c>
      <c r="O835" t="n">
        <v>0</v>
      </c>
      <c r="P835" t="n">
        <v>0</v>
      </c>
      <c r="Q835" t="n">
        <v>0</v>
      </c>
      <c r="R835" s="2" t="inlineStr"/>
    </row>
    <row r="836" ht="15" customHeight="1">
      <c r="A836" t="inlineStr">
        <is>
          <t>A 15818-2024</t>
        </is>
      </c>
      <c r="B836" s="1" t="n">
        <v>45404</v>
      </c>
      <c r="C836" s="1" t="n">
        <v>45695</v>
      </c>
      <c r="D836" t="inlineStr">
        <is>
          <t>DALARNAS LÄN</t>
        </is>
      </c>
      <c r="E836" t="inlineStr">
        <is>
          <t>MORA</t>
        </is>
      </c>
      <c r="G836" t="n">
        <v>7</v>
      </c>
      <c r="H836" t="n">
        <v>0</v>
      </c>
      <c r="I836" t="n">
        <v>0</v>
      </c>
      <c r="J836" t="n">
        <v>0</v>
      </c>
      <c r="K836" t="n">
        <v>0</v>
      </c>
      <c r="L836" t="n">
        <v>0</v>
      </c>
      <c r="M836" t="n">
        <v>0</v>
      </c>
      <c r="N836" t="n">
        <v>0</v>
      </c>
      <c r="O836" t="n">
        <v>0</v>
      </c>
      <c r="P836" t="n">
        <v>0</v>
      </c>
      <c r="Q836" t="n">
        <v>0</v>
      </c>
      <c r="R836" s="2" t="inlineStr"/>
    </row>
    <row r="837" ht="15" customHeight="1">
      <c r="A837" t="inlineStr">
        <is>
          <t>A 15817-2024</t>
        </is>
      </c>
      <c r="B837" s="1" t="n">
        <v>45404</v>
      </c>
      <c r="C837" s="1" t="n">
        <v>45695</v>
      </c>
      <c r="D837" t="inlineStr">
        <is>
          <t>DALARNAS LÄN</t>
        </is>
      </c>
      <c r="E837" t="inlineStr">
        <is>
          <t>MORA</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16129-2024</t>
        </is>
      </c>
      <c r="B838" s="1" t="n">
        <v>45406</v>
      </c>
      <c r="C838" s="1" t="n">
        <v>45695</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16573-2024</t>
        </is>
      </c>
      <c r="B839" s="1" t="n">
        <v>45408</v>
      </c>
      <c r="C839" s="1" t="n">
        <v>45695</v>
      </c>
      <c r="D839" t="inlineStr">
        <is>
          <t>DALARNAS LÄN</t>
        </is>
      </c>
      <c r="E839" t="inlineStr">
        <is>
          <t>MORA</t>
        </is>
      </c>
      <c r="G839" t="n">
        <v>4.5</v>
      </c>
      <c r="H839" t="n">
        <v>0</v>
      </c>
      <c r="I839" t="n">
        <v>0</v>
      </c>
      <c r="J839" t="n">
        <v>0</v>
      </c>
      <c r="K839" t="n">
        <v>0</v>
      </c>
      <c r="L839" t="n">
        <v>0</v>
      </c>
      <c r="M839" t="n">
        <v>0</v>
      </c>
      <c r="N839" t="n">
        <v>0</v>
      </c>
      <c r="O839" t="n">
        <v>0</v>
      </c>
      <c r="P839" t="n">
        <v>0</v>
      </c>
      <c r="Q839" t="n">
        <v>0</v>
      </c>
      <c r="R839" s="2" t="inlineStr"/>
    </row>
    <row r="840" ht="15" customHeight="1">
      <c r="A840" t="inlineStr">
        <is>
          <t>A 16522-2024</t>
        </is>
      </c>
      <c r="B840" s="1" t="n">
        <v>45408</v>
      </c>
      <c r="C840" s="1" t="n">
        <v>45695</v>
      </c>
      <c r="D840" t="inlineStr">
        <is>
          <t>DALARNAS LÄN</t>
        </is>
      </c>
      <c r="E840" t="inlineStr">
        <is>
          <t>MORA</t>
        </is>
      </c>
      <c r="G840" t="n">
        <v>11.2</v>
      </c>
      <c r="H840" t="n">
        <v>0</v>
      </c>
      <c r="I840" t="n">
        <v>0</v>
      </c>
      <c r="J840" t="n">
        <v>0</v>
      </c>
      <c r="K840" t="n">
        <v>0</v>
      </c>
      <c r="L840" t="n">
        <v>0</v>
      </c>
      <c r="M840" t="n">
        <v>0</v>
      </c>
      <c r="N840" t="n">
        <v>0</v>
      </c>
      <c r="O840" t="n">
        <v>0</v>
      </c>
      <c r="P840" t="n">
        <v>0</v>
      </c>
      <c r="Q840" t="n">
        <v>0</v>
      </c>
      <c r="R840" s="2" t="inlineStr"/>
    </row>
    <row r="841" ht="15" customHeight="1">
      <c r="A841" t="inlineStr">
        <is>
          <t>A 16574-2024</t>
        </is>
      </c>
      <c r="B841" s="1" t="n">
        <v>45408</v>
      </c>
      <c r="C841" s="1" t="n">
        <v>45695</v>
      </c>
      <c r="D841" t="inlineStr">
        <is>
          <t>DALARNAS LÄN</t>
        </is>
      </c>
      <c r="E841" t="inlineStr">
        <is>
          <t>MORA</t>
        </is>
      </c>
      <c r="G841" t="n">
        <v>3</v>
      </c>
      <c r="H841" t="n">
        <v>0</v>
      </c>
      <c r="I841" t="n">
        <v>0</v>
      </c>
      <c r="J841" t="n">
        <v>0</v>
      </c>
      <c r="K841" t="n">
        <v>0</v>
      </c>
      <c r="L841" t="n">
        <v>0</v>
      </c>
      <c r="M841" t="n">
        <v>0</v>
      </c>
      <c r="N841" t="n">
        <v>0</v>
      </c>
      <c r="O841" t="n">
        <v>0</v>
      </c>
      <c r="P841" t="n">
        <v>0</v>
      </c>
      <c r="Q841" t="n">
        <v>0</v>
      </c>
      <c r="R841" s="2" t="inlineStr"/>
    </row>
    <row r="842" ht="15" customHeight="1">
      <c r="A842" t="inlineStr">
        <is>
          <t>A 16733-2024</t>
        </is>
      </c>
      <c r="B842" s="1" t="n">
        <v>45410</v>
      </c>
      <c r="C842" s="1" t="n">
        <v>45695</v>
      </c>
      <c r="D842" t="inlineStr">
        <is>
          <t>DALARNAS LÄN</t>
        </is>
      </c>
      <c r="E842" t="inlineStr">
        <is>
          <t>MORA</t>
        </is>
      </c>
      <c r="G842" t="n">
        <v>6.3</v>
      </c>
      <c r="H842" t="n">
        <v>0</v>
      </c>
      <c r="I842" t="n">
        <v>0</v>
      </c>
      <c r="J842" t="n">
        <v>0</v>
      </c>
      <c r="K842" t="n">
        <v>0</v>
      </c>
      <c r="L842" t="n">
        <v>0</v>
      </c>
      <c r="M842" t="n">
        <v>0</v>
      </c>
      <c r="N842" t="n">
        <v>0</v>
      </c>
      <c r="O842" t="n">
        <v>0</v>
      </c>
      <c r="P842" t="n">
        <v>0</v>
      </c>
      <c r="Q842" t="n">
        <v>0</v>
      </c>
      <c r="R842" s="2" t="inlineStr"/>
    </row>
    <row r="843" ht="15" customHeight="1">
      <c r="A843" t="inlineStr">
        <is>
          <t>A 17145-2024</t>
        </is>
      </c>
      <c r="B843" s="1" t="n">
        <v>45412</v>
      </c>
      <c r="C843" s="1" t="n">
        <v>45695</v>
      </c>
      <c r="D843" t="inlineStr">
        <is>
          <t>DALARNAS LÄN</t>
        </is>
      </c>
      <c r="E843" t="inlineStr">
        <is>
          <t>MORA</t>
        </is>
      </c>
      <c r="G843" t="n">
        <v>1.4</v>
      </c>
      <c r="H843" t="n">
        <v>0</v>
      </c>
      <c r="I843" t="n">
        <v>0</v>
      </c>
      <c r="J843" t="n">
        <v>0</v>
      </c>
      <c r="K843" t="n">
        <v>0</v>
      </c>
      <c r="L843" t="n">
        <v>0</v>
      </c>
      <c r="M843" t="n">
        <v>0</v>
      </c>
      <c r="N843" t="n">
        <v>0</v>
      </c>
      <c r="O843" t="n">
        <v>0</v>
      </c>
      <c r="P843" t="n">
        <v>0</v>
      </c>
      <c r="Q843" t="n">
        <v>0</v>
      </c>
      <c r="R843" s="2" t="inlineStr"/>
    </row>
    <row r="844" ht="15" customHeight="1">
      <c r="A844" t="inlineStr">
        <is>
          <t>A 17217-2024</t>
        </is>
      </c>
      <c r="B844" s="1" t="n">
        <v>45414</v>
      </c>
      <c r="C844" s="1" t="n">
        <v>45695</v>
      </c>
      <c r="D844" t="inlineStr">
        <is>
          <t>DALARNAS LÄN</t>
        </is>
      </c>
      <c r="E844" t="inlineStr">
        <is>
          <t>MORA</t>
        </is>
      </c>
      <c r="G844" t="n">
        <v>11.3</v>
      </c>
      <c r="H844" t="n">
        <v>0</v>
      </c>
      <c r="I844" t="n">
        <v>0</v>
      </c>
      <c r="J844" t="n">
        <v>0</v>
      </c>
      <c r="K844" t="n">
        <v>0</v>
      </c>
      <c r="L844" t="n">
        <v>0</v>
      </c>
      <c r="M844" t="n">
        <v>0</v>
      </c>
      <c r="N844" t="n">
        <v>0</v>
      </c>
      <c r="O844" t="n">
        <v>0</v>
      </c>
      <c r="P844" t="n">
        <v>0</v>
      </c>
      <c r="Q844" t="n">
        <v>0</v>
      </c>
      <c r="R844" s="2" t="inlineStr"/>
    </row>
    <row r="845" ht="15" customHeight="1">
      <c r="A845" t="inlineStr">
        <is>
          <t>A 17368-2024</t>
        </is>
      </c>
      <c r="B845" s="1" t="n">
        <v>45414</v>
      </c>
      <c r="C845" s="1" t="n">
        <v>45695</v>
      </c>
      <c r="D845" t="inlineStr">
        <is>
          <t>DALARNAS LÄN</t>
        </is>
      </c>
      <c r="E845" t="inlineStr">
        <is>
          <t>MORA</t>
        </is>
      </c>
      <c r="G845" t="n">
        <v>5</v>
      </c>
      <c r="H845" t="n">
        <v>0</v>
      </c>
      <c r="I845" t="n">
        <v>0</v>
      </c>
      <c r="J845" t="n">
        <v>0</v>
      </c>
      <c r="K845" t="n">
        <v>0</v>
      </c>
      <c r="L845" t="n">
        <v>0</v>
      </c>
      <c r="M845" t="n">
        <v>0</v>
      </c>
      <c r="N845" t="n">
        <v>0</v>
      </c>
      <c r="O845" t="n">
        <v>0</v>
      </c>
      <c r="P845" t="n">
        <v>0</v>
      </c>
      <c r="Q845" t="n">
        <v>0</v>
      </c>
      <c r="R845" s="2" t="inlineStr"/>
    </row>
    <row r="846" ht="15" customHeight="1">
      <c r="A846" t="inlineStr">
        <is>
          <t>A 17468-2024</t>
        </is>
      </c>
      <c r="B846" s="1" t="n">
        <v>45415</v>
      </c>
      <c r="C846" s="1" t="n">
        <v>45695</v>
      </c>
      <c r="D846" t="inlineStr">
        <is>
          <t>DALARNAS LÄN</t>
        </is>
      </c>
      <c r="E846" t="inlineStr">
        <is>
          <t>MORA</t>
        </is>
      </c>
      <c r="G846" t="n">
        <v>8</v>
      </c>
      <c r="H846" t="n">
        <v>0</v>
      </c>
      <c r="I846" t="n">
        <v>0</v>
      </c>
      <c r="J846" t="n">
        <v>0</v>
      </c>
      <c r="K846" t="n">
        <v>0</v>
      </c>
      <c r="L846" t="n">
        <v>0</v>
      </c>
      <c r="M846" t="n">
        <v>0</v>
      </c>
      <c r="N846" t="n">
        <v>0</v>
      </c>
      <c r="O846" t="n">
        <v>0</v>
      </c>
      <c r="P846" t="n">
        <v>0</v>
      </c>
      <c r="Q846" t="n">
        <v>0</v>
      </c>
      <c r="R846" s="2" t="inlineStr"/>
    </row>
    <row r="847" ht="15" customHeight="1">
      <c r="A847" t="inlineStr">
        <is>
          <t>A 17516-2024</t>
        </is>
      </c>
      <c r="B847" s="1" t="n">
        <v>45415</v>
      </c>
      <c r="C847" s="1" t="n">
        <v>45695</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17645-2024</t>
        </is>
      </c>
      <c r="B848" s="1" t="n">
        <v>45418</v>
      </c>
      <c r="C848" s="1" t="n">
        <v>45695</v>
      </c>
      <c r="D848" t="inlineStr">
        <is>
          <t>DALARNAS LÄN</t>
        </is>
      </c>
      <c r="E848" t="inlineStr">
        <is>
          <t>MORA</t>
        </is>
      </c>
      <c r="G848" t="n">
        <v>1.9</v>
      </c>
      <c r="H848" t="n">
        <v>0</v>
      </c>
      <c r="I848" t="n">
        <v>0</v>
      </c>
      <c r="J848" t="n">
        <v>0</v>
      </c>
      <c r="K848" t="n">
        <v>0</v>
      </c>
      <c r="L848" t="n">
        <v>0</v>
      </c>
      <c r="M848" t="n">
        <v>0</v>
      </c>
      <c r="N848" t="n">
        <v>0</v>
      </c>
      <c r="O848" t="n">
        <v>0</v>
      </c>
      <c r="P848" t="n">
        <v>0</v>
      </c>
      <c r="Q848" t="n">
        <v>0</v>
      </c>
      <c r="R848" s="2" t="inlineStr"/>
    </row>
    <row r="849" ht="15" customHeight="1">
      <c r="A849" t="inlineStr">
        <is>
          <t>A 17647-2024</t>
        </is>
      </c>
      <c r="B849" s="1" t="n">
        <v>45418</v>
      </c>
      <c r="C849" s="1" t="n">
        <v>45695</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17692-2024</t>
        </is>
      </c>
      <c r="B850" s="1" t="n">
        <v>45418</v>
      </c>
      <c r="C850" s="1" t="n">
        <v>45695</v>
      </c>
      <c r="D850" t="inlineStr">
        <is>
          <t>DALARNAS LÄN</t>
        </is>
      </c>
      <c r="E850" t="inlineStr">
        <is>
          <t>MORA</t>
        </is>
      </c>
      <c r="F850" t="inlineStr">
        <is>
          <t>Bergvik skog öst AB</t>
        </is>
      </c>
      <c r="G850" t="n">
        <v>7.9</v>
      </c>
      <c r="H850" t="n">
        <v>0</v>
      </c>
      <c r="I850" t="n">
        <v>0</v>
      </c>
      <c r="J850" t="n">
        <v>0</v>
      </c>
      <c r="K850" t="n">
        <v>0</v>
      </c>
      <c r="L850" t="n">
        <v>0</v>
      </c>
      <c r="M850" t="n">
        <v>0</v>
      </c>
      <c r="N850" t="n">
        <v>0</v>
      </c>
      <c r="O850" t="n">
        <v>0</v>
      </c>
      <c r="P850" t="n">
        <v>0</v>
      </c>
      <c r="Q850" t="n">
        <v>0</v>
      </c>
      <c r="R850" s="2" t="inlineStr"/>
    </row>
    <row r="851" ht="15" customHeight="1">
      <c r="A851" t="inlineStr">
        <is>
          <t>A 17646-2024</t>
        </is>
      </c>
      <c r="B851" s="1" t="n">
        <v>45418</v>
      </c>
      <c r="C851" s="1" t="n">
        <v>45695</v>
      </c>
      <c r="D851" t="inlineStr">
        <is>
          <t>DALARNAS LÄN</t>
        </is>
      </c>
      <c r="E851" t="inlineStr">
        <is>
          <t>MORA</t>
        </is>
      </c>
      <c r="G851" t="n">
        <v>0.8</v>
      </c>
      <c r="H851" t="n">
        <v>0</v>
      </c>
      <c r="I851" t="n">
        <v>0</v>
      </c>
      <c r="J851" t="n">
        <v>0</v>
      </c>
      <c r="K851" t="n">
        <v>0</v>
      </c>
      <c r="L851" t="n">
        <v>0</v>
      </c>
      <c r="M851" t="n">
        <v>0</v>
      </c>
      <c r="N851" t="n">
        <v>0</v>
      </c>
      <c r="O851" t="n">
        <v>0</v>
      </c>
      <c r="P851" t="n">
        <v>0</v>
      </c>
      <c r="Q851" t="n">
        <v>0</v>
      </c>
      <c r="R851" s="2" t="inlineStr"/>
    </row>
    <row r="852" ht="15" customHeight="1">
      <c r="A852" t="inlineStr">
        <is>
          <t>A 17894-2024</t>
        </is>
      </c>
      <c r="B852" s="1" t="n">
        <v>45419</v>
      </c>
      <c r="C852" s="1" t="n">
        <v>45695</v>
      </c>
      <c r="D852" t="inlineStr">
        <is>
          <t>DALARNAS LÄN</t>
        </is>
      </c>
      <c r="E852" t="inlineStr">
        <is>
          <t>MORA</t>
        </is>
      </c>
      <c r="G852" t="n">
        <v>3.5</v>
      </c>
      <c r="H852" t="n">
        <v>0</v>
      </c>
      <c r="I852" t="n">
        <v>0</v>
      </c>
      <c r="J852" t="n">
        <v>0</v>
      </c>
      <c r="K852" t="n">
        <v>0</v>
      </c>
      <c r="L852" t="n">
        <v>0</v>
      </c>
      <c r="M852" t="n">
        <v>0</v>
      </c>
      <c r="N852" t="n">
        <v>0</v>
      </c>
      <c r="O852" t="n">
        <v>0</v>
      </c>
      <c r="P852" t="n">
        <v>0</v>
      </c>
      <c r="Q852" t="n">
        <v>0</v>
      </c>
      <c r="R852" s="2" t="inlineStr"/>
    </row>
    <row r="853" ht="15" customHeight="1">
      <c r="A853" t="inlineStr">
        <is>
          <t>A 17950-2024</t>
        </is>
      </c>
      <c r="B853" s="1" t="n">
        <v>45419</v>
      </c>
      <c r="C853" s="1" t="n">
        <v>45695</v>
      </c>
      <c r="D853" t="inlineStr">
        <is>
          <t>DALARNAS LÄN</t>
        </is>
      </c>
      <c r="E853" t="inlineStr">
        <is>
          <t>MORA</t>
        </is>
      </c>
      <c r="G853" t="n">
        <v>2.6</v>
      </c>
      <c r="H853" t="n">
        <v>0</v>
      </c>
      <c r="I853" t="n">
        <v>0</v>
      </c>
      <c r="J853" t="n">
        <v>0</v>
      </c>
      <c r="K853" t="n">
        <v>0</v>
      </c>
      <c r="L853" t="n">
        <v>0</v>
      </c>
      <c r="M853" t="n">
        <v>0</v>
      </c>
      <c r="N853" t="n">
        <v>0</v>
      </c>
      <c r="O853" t="n">
        <v>0</v>
      </c>
      <c r="P853" t="n">
        <v>0</v>
      </c>
      <c r="Q853" t="n">
        <v>0</v>
      </c>
      <c r="R853" s="2" t="inlineStr"/>
    </row>
    <row r="854" ht="15" customHeight="1">
      <c r="A854" t="inlineStr">
        <is>
          <t>A 18118-2024</t>
        </is>
      </c>
      <c r="B854" s="1" t="n">
        <v>45420</v>
      </c>
      <c r="C854" s="1" t="n">
        <v>45695</v>
      </c>
      <c r="D854" t="inlineStr">
        <is>
          <t>DALARNAS LÄN</t>
        </is>
      </c>
      <c r="E854" t="inlineStr">
        <is>
          <t>MORA</t>
        </is>
      </c>
      <c r="F854" t="inlineStr">
        <is>
          <t>Bergvik skog öst AB</t>
        </is>
      </c>
      <c r="G854" t="n">
        <v>5.2</v>
      </c>
      <c r="H854" t="n">
        <v>0</v>
      </c>
      <c r="I854" t="n">
        <v>0</v>
      </c>
      <c r="J854" t="n">
        <v>0</v>
      </c>
      <c r="K854" t="n">
        <v>0</v>
      </c>
      <c r="L854" t="n">
        <v>0</v>
      </c>
      <c r="M854" t="n">
        <v>0</v>
      </c>
      <c r="N854" t="n">
        <v>0</v>
      </c>
      <c r="O854" t="n">
        <v>0</v>
      </c>
      <c r="P854" t="n">
        <v>0</v>
      </c>
      <c r="Q854" t="n">
        <v>0</v>
      </c>
      <c r="R854" s="2" t="inlineStr"/>
    </row>
    <row r="855" ht="15" customHeight="1">
      <c r="A855" t="inlineStr">
        <is>
          <t>A 18202-2024</t>
        </is>
      </c>
      <c r="B855" s="1" t="n">
        <v>45420</v>
      </c>
      <c r="C855" s="1" t="n">
        <v>45695</v>
      </c>
      <c r="D855" t="inlineStr">
        <is>
          <t>DALARNAS LÄN</t>
        </is>
      </c>
      <c r="E855" t="inlineStr">
        <is>
          <t>MORA</t>
        </is>
      </c>
      <c r="G855" t="n">
        <v>2</v>
      </c>
      <c r="H855" t="n">
        <v>0</v>
      </c>
      <c r="I855" t="n">
        <v>0</v>
      </c>
      <c r="J855" t="n">
        <v>0</v>
      </c>
      <c r="K855" t="n">
        <v>0</v>
      </c>
      <c r="L855" t="n">
        <v>0</v>
      </c>
      <c r="M855" t="n">
        <v>0</v>
      </c>
      <c r="N855" t="n">
        <v>0</v>
      </c>
      <c r="O855" t="n">
        <v>0</v>
      </c>
      <c r="P855" t="n">
        <v>0</v>
      </c>
      <c r="Q855" t="n">
        <v>0</v>
      </c>
      <c r="R855" s="2" t="inlineStr"/>
    </row>
    <row r="856" ht="15" customHeight="1">
      <c r="A856" t="inlineStr">
        <is>
          <t>A 18214-2024</t>
        </is>
      </c>
      <c r="B856" s="1" t="n">
        <v>45420</v>
      </c>
      <c r="C856" s="1" t="n">
        <v>45695</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18119-2024</t>
        </is>
      </c>
      <c r="B857" s="1" t="n">
        <v>45420</v>
      </c>
      <c r="C857" s="1" t="n">
        <v>45695</v>
      </c>
      <c r="D857" t="inlineStr">
        <is>
          <t>DALARNAS LÄN</t>
        </is>
      </c>
      <c r="E857" t="inlineStr">
        <is>
          <t>MORA</t>
        </is>
      </c>
      <c r="F857" t="inlineStr">
        <is>
          <t>Bergvik skog öst AB</t>
        </is>
      </c>
      <c r="G857" t="n">
        <v>5.8</v>
      </c>
      <c r="H857" t="n">
        <v>0</v>
      </c>
      <c r="I857" t="n">
        <v>0</v>
      </c>
      <c r="J857" t="n">
        <v>0</v>
      </c>
      <c r="K857" t="n">
        <v>0</v>
      </c>
      <c r="L857" t="n">
        <v>0</v>
      </c>
      <c r="M857" t="n">
        <v>0</v>
      </c>
      <c r="N857" t="n">
        <v>0</v>
      </c>
      <c r="O857" t="n">
        <v>0</v>
      </c>
      <c r="P857" t="n">
        <v>0</v>
      </c>
      <c r="Q857" t="n">
        <v>0</v>
      </c>
      <c r="R857" s="2" t="inlineStr"/>
    </row>
    <row r="858" ht="15" customHeight="1">
      <c r="A858" t="inlineStr">
        <is>
          <t>A 18429-2024</t>
        </is>
      </c>
      <c r="B858" s="1" t="n">
        <v>45425</v>
      </c>
      <c r="C858" s="1" t="n">
        <v>45695</v>
      </c>
      <c r="D858" t="inlineStr">
        <is>
          <t>DALARNAS LÄN</t>
        </is>
      </c>
      <c r="E858" t="inlineStr">
        <is>
          <t>MORA</t>
        </is>
      </c>
      <c r="G858" t="n">
        <v>2.3</v>
      </c>
      <c r="H858" t="n">
        <v>0</v>
      </c>
      <c r="I858" t="n">
        <v>0</v>
      </c>
      <c r="J858" t="n">
        <v>0</v>
      </c>
      <c r="K858" t="n">
        <v>0</v>
      </c>
      <c r="L858" t="n">
        <v>0</v>
      </c>
      <c r="M858" t="n">
        <v>0</v>
      </c>
      <c r="N858" t="n">
        <v>0</v>
      </c>
      <c r="O858" t="n">
        <v>0</v>
      </c>
      <c r="P858" t="n">
        <v>0</v>
      </c>
      <c r="Q858" t="n">
        <v>0</v>
      </c>
      <c r="R858" s="2" t="inlineStr"/>
    </row>
    <row r="859" ht="15" customHeight="1">
      <c r="A859" t="inlineStr">
        <is>
          <t>A 18444-2024</t>
        </is>
      </c>
      <c r="B859" s="1" t="n">
        <v>45425</v>
      </c>
      <c r="C859" s="1" t="n">
        <v>45695</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18559-2024</t>
        </is>
      </c>
      <c r="B860" s="1" t="n">
        <v>45425</v>
      </c>
      <c r="C860" s="1" t="n">
        <v>45695</v>
      </c>
      <c r="D860" t="inlineStr">
        <is>
          <t>DALARNAS LÄN</t>
        </is>
      </c>
      <c r="E860" t="inlineStr">
        <is>
          <t>MORA</t>
        </is>
      </c>
      <c r="G860" t="n">
        <v>3.6</v>
      </c>
      <c r="H860" t="n">
        <v>0</v>
      </c>
      <c r="I860" t="n">
        <v>0</v>
      </c>
      <c r="J860" t="n">
        <v>0</v>
      </c>
      <c r="K860" t="n">
        <v>0</v>
      </c>
      <c r="L860" t="n">
        <v>0</v>
      </c>
      <c r="M860" t="n">
        <v>0</v>
      </c>
      <c r="N860" t="n">
        <v>0</v>
      </c>
      <c r="O860" t="n">
        <v>0</v>
      </c>
      <c r="P860" t="n">
        <v>0</v>
      </c>
      <c r="Q860" t="n">
        <v>0</v>
      </c>
      <c r="R860" s="2" t="inlineStr"/>
    </row>
    <row r="861" ht="15" customHeight="1">
      <c r="A861" t="inlineStr">
        <is>
          <t>A 18696-2024</t>
        </is>
      </c>
      <c r="B861" s="1" t="n">
        <v>45426</v>
      </c>
      <c r="C861" s="1" t="n">
        <v>45695</v>
      </c>
      <c r="D861" t="inlineStr">
        <is>
          <t>DALARNAS LÄN</t>
        </is>
      </c>
      <c r="E861" t="inlineStr">
        <is>
          <t>MORA</t>
        </is>
      </c>
      <c r="G861" t="n">
        <v>9.6</v>
      </c>
      <c r="H861" t="n">
        <v>0</v>
      </c>
      <c r="I861" t="n">
        <v>0</v>
      </c>
      <c r="J861" t="n">
        <v>0</v>
      </c>
      <c r="K861" t="n">
        <v>0</v>
      </c>
      <c r="L861" t="n">
        <v>0</v>
      </c>
      <c r="M861" t="n">
        <v>0</v>
      </c>
      <c r="N861" t="n">
        <v>0</v>
      </c>
      <c r="O861" t="n">
        <v>0</v>
      </c>
      <c r="P861" t="n">
        <v>0</v>
      </c>
      <c r="Q861" t="n">
        <v>0</v>
      </c>
      <c r="R861" s="2" t="inlineStr"/>
    </row>
    <row r="862" ht="15" customHeight="1">
      <c r="A862" t="inlineStr">
        <is>
          <t>A 18941-2024</t>
        </is>
      </c>
      <c r="B862" s="1" t="n">
        <v>45427</v>
      </c>
      <c r="C862" s="1" t="n">
        <v>45695</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18922-2024</t>
        </is>
      </c>
      <c r="B863" s="1" t="n">
        <v>45427</v>
      </c>
      <c r="C863" s="1" t="n">
        <v>45695</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18895-2024</t>
        </is>
      </c>
      <c r="B864" s="1" t="n">
        <v>45427</v>
      </c>
      <c r="C864" s="1" t="n">
        <v>45695</v>
      </c>
      <c r="D864" t="inlineStr">
        <is>
          <t>DALARNAS LÄN</t>
        </is>
      </c>
      <c r="E864" t="inlineStr">
        <is>
          <t>MORA</t>
        </is>
      </c>
      <c r="G864" t="n">
        <v>11.5</v>
      </c>
      <c r="H864" t="n">
        <v>0</v>
      </c>
      <c r="I864" t="n">
        <v>0</v>
      </c>
      <c r="J864" t="n">
        <v>0</v>
      </c>
      <c r="K864" t="n">
        <v>0</v>
      </c>
      <c r="L864" t="n">
        <v>0</v>
      </c>
      <c r="M864" t="n">
        <v>0</v>
      </c>
      <c r="N864" t="n">
        <v>0</v>
      </c>
      <c r="O864" t="n">
        <v>0</v>
      </c>
      <c r="P864" t="n">
        <v>0</v>
      </c>
      <c r="Q864" t="n">
        <v>0</v>
      </c>
      <c r="R864" s="2" t="inlineStr"/>
    </row>
    <row r="865" ht="15" customHeight="1">
      <c r="A865" t="inlineStr">
        <is>
          <t>A 18901-2024</t>
        </is>
      </c>
      <c r="B865" s="1" t="n">
        <v>45427</v>
      </c>
      <c r="C865" s="1" t="n">
        <v>45695</v>
      </c>
      <c r="D865" t="inlineStr">
        <is>
          <t>DALARNAS LÄN</t>
        </is>
      </c>
      <c r="E865" t="inlineStr">
        <is>
          <t>MORA</t>
        </is>
      </c>
      <c r="G865" t="n">
        <v>6.6</v>
      </c>
      <c r="H865" t="n">
        <v>0</v>
      </c>
      <c r="I865" t="n">
        <v>0</v>
      </c>
      <c r="J865" t="n">
        <v>0</v>
      </c>
      <c r="K865" t="n">
        <v>0</v>
      </c>
      <c r="L865" t="n">
        <v>0</v>
      </c>
      <c r="M865" t="n">
        <v>0</v>
      </c>
      <c r="N865" t="n">
        <v>0</v>
      </c>
      <c r="O865" t="n">
        <v>0</v>
      </c>
      <c r="P865" t="n">
        <v>0</v>
      </c>
      <c r="Q865" t="n">
        <v>0</v>
      </c>
      <c r="R865" s="2" t="inlineStr"/>
    </row>
    <row r="866" ht="15" customHeight="1">
      <c r="A866" t="inlineStr">
        <is>
          <t>A 18992-2024</t>
        </is>
      </c>
      <c r="B866" s="1" t="n">
        <v>45427</v>
      </c>
      <c r="C866" s="1" t="n">
        <v>45695</v>
      </c>
      <c r="D866" t="inlineStr">
        <is>
          <t>DALARNAS LÄN</t>
        </is>
      </c>
      <c r="E866" t="inlineStr">
        <is>
          <t>MORA</t>
        </is>
      </c>
      <c r="G866" t="n">
        <v>9.9</v>
      </c>
      <c r="H866" t="n">
        <v>0</v>
      </c>
      <c r="I866" t="n">
        <v>0</v>
      </c>
      <c r="J866" t="n">
        <v>0</v>
      </c>
      <c r="K866" t="n">
        <v>0</v>
      </c>
      <c r="L866" t="n">
        <v>0</v>
      </c>
      <c r="M866" t="n">
        <v>0</v>
      </c>
      <c r="N866" t="n">
        <v>0</v>
      </c>
      <c r="O866" t="n">
        <v>0</v>
      </c>
      <c r="P866" t="n">
        <v>0</v>
      </c>
      <c r="Q866" t="n">
        <v>0</v>
      </c>
      <c r="R866" s="2" t="inlineStr"/>
    </row>
    <row r="867" ht="15" customHeight="1">
      <c r="A867" t="inlineStr">
        <is>
          <t>A 19686-2024</t>
        </is>
      </c>
      <c r="B867" s="1" t="n">
        <v>45432</v>
      </c>
      <c r="C867" s="1" t="n">
        <v>45695</v>
      </c>
      <c r="D867" t="inlineStr">
        <is>
          <t>DALARNAS LÄN</t>
        </is>
      </c>
      <c r="E867" t="inlineStr">
        <is>
          <t>MORA</t>
        </is>
      </c>
      <c r="G867" t="n">
        <v>5.6</v>
      </c>
      <c r="H867" t="n">
        <v>0</v>
      </c>
      <c r="I867" t="n">
        <v>0</v>
      </c>
      <c r="J867" t="n">
        <v>0</v>
      </c>
      <c r="K867" t="n">
        <v>0</v>
      </c>
      <c r="L867" t="n">
        <v>0</v>
      </c>
      <c r="M867" t="n">
        <v>0</v>
      </c>
      <c r="N867" t="n">
        <v>0</v>
      </c>
      <c r="O867" t="n">
        <v>0</v>
      </c>
      <c r="P867" t="n">
        <v>0</v>
      </c>
      <c r="Q867" t="n">
        <v>0</v>
      </c>
      <c r="R867" s="2" t="inlineStr"/>
    </row>
    <row r="868" ht="15" customHeight="1">
      <c r="A868" t="inlineStr">
        <is>
          <t>A 19910-2024</t>
        </is>
      </c>
      <c r="B868" s="1" t="n">
        <v>45433</v>
      </c>
      <c r="C868" s="1" t="n">
        <v>45695</v>
      </c>
      <c r="D868" t="inlineStr">
        <is>
          <t>DALARNAS LÄN</t>
        </is>
      </c>
      <c r="E868" t="inlineStr">
        <is>
          <t>MORA</t>
        </is>
      </c>
      <c r="G868" t="n">
        <v>0.9</v>
      </c>
      <c r="H868" t="n">
        <v>0</v>
      </c>
      <c r="I868" t="n">
        <v>0</v>
      </c>
      <c r="J868" t="n">
        <v>0</v>
      </c>
      <c r="K868" t="n">
        <v>0</v>
      </c>
      <c r="L868" t="n">
        <v>0</v>
      </c>
      <c r="M868" t="n">
        <v>0</v>
      </c>
      <c r="N868" t="n">
        <v>0</v>
      </c>
      <c r="O868" t="n">
        <v>0</v>
      </c>
      <c r="P868" t="n">
        <v>0</v>
      </c>
      <c r="Q868" t="n">
        <v>0</v>
      </c>
      <c r="R868" s="2" t="inlineStr"/>
    </row>
    <row r="869" ht="15" customHeight="1">
      <c r="A869" t="inlineStr">
        <is>
          <t>A 20036-2024</t>
        </is>
      </c>
      <c r="B869" s="1" t="n">
        <v>45434</v>
      </c>
      <c r="C869" s="1" t="n">
        <v>45695</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20674-2024</t>
        </is>
      </c>
      <c r="B870" s="1" t="n">
        <v>45436</v>
      </c>
      <c r="C870" s="1" t="n">
        <v>45695</v>
      </c>
      <c r="D870" t="inlineStr">
        <is>
          <t>DALARNAS LÄN</t>
        </is>
      </c>
      <c r="E870" t="inlineStr">
        <is>
          <t>MORA</t>
        </is>
      </c>
      <c r="G870" t="n">
        <v>16</v>
      </c>
      <c r="H870" t="n">
        <v>0</v>
      </c>
      <c r="I870" t="n">
        <v>0</v>
      </c>
      <c r="J870" t="n">
        <v>0</v>
      </c>
      <c r="K870" t="n">
        <v>0</v>
      </c>
      <c r="L870" t="n">
        <v>0</v>
      </c>
      <c r="M870" t="n">
        <v>0</v>
      </c>
      <c r="N870" t="n">
        <v>0</v>
      </c>
      <c r="O870" t="n">
        <v>0</v>
      </c>
      <c r="P870" t="n">
        <v>0</v>
      </c>
      <c r="Q870" t="n">
        <v>0</v>
      </c>
      <c r="R870" s="2" t="inlineStr"/>
    </row>
    <row r="871" ht="15" customHeight="1">
      <c r="A871" t="inlineStr">
        <is>
          <t>A 20889-2024</t>
        </is>
      </c>
      <c r="B871" s="1" t="n">
        <v>45439</v>
      </c>
      <c r="C871" s="1" t="n">
        <v>45695</v>
      </c>
      <c r="D871" t="inlineStr">
        <is>
          <t>DALARNAS LÄN</t>
        </is>
      </c>
      <c r="E871" t="inlineStr">
        <is>
          <t>MORA</t>
        </is>
      </c>
      <c r="G871" t="n">
        <v>3.8</v>
      </c>
      <c r="H871" t="n">
        <v>0</v>
      </c>
      <c r="I871" t="n">
        <v>0</v>
      </c>
      <c r="J871" t="n">
        <v>0</v>
      </c>
      <c r="K871" t="n">
        <v>0</v>
      </c>
      <c r="L871" t="n">
        <v>0</v>
      </c>
      <c r="M871" t="n">
        <v>0</v>
      </c>
      <c r="N871" t="n">
        <v>0</v>
      </c>
      <c r="O871" t="n">
        <v>0</v>
      </c>
      <c r="P871" t="n">
        <v>0</v>
      </c>
      <c r="Q871" t="n">
        <v>0</v>
      </c>
      <c r="R871" s="2" t="inlineStr"/>
    </row>
    <row r="872" ht="15" customHeight="1">
      <c r="A872" t="inlineStr">
        <is>
          <t>A 21049-2024</t>
        </is>
      </c>
      <c r="B872" s="1" t="n">
        <v>45439</v>
      </c>
      <c r="C872" s="1" t="n">
        <v>45695</v>
      </c>
      <c r="D872" t="inlineStr">
        <is>
          <t>DALARNAS LÄN</t>
        </is>
      </c>
      <c r="E872" t="inlineStr">
        <is>
          <t>MORA</t>
        </is>
      </c>
      <c r="G872" t="n">
        <v>11</v>
      </c>
      <c r="H872" t="n">
        <v>0</v>
      </c>
      <c r="I872" t="n">
        <v>0</v>
      </c>
      <c r="J872" t="n">
        <v>0</v>
      </c>
      <c r="K872" t="n">
        <v>0</v>
      </c>
      <c r="L872" t="n">
        <v>0</v>
      </c>
      <c r="M872" t="n">
        <v>0</v>
      </c>
      <c r="N872" t="n">
        <v>0</v>
      </c>
      <c r="O872" t="n">
        <v>0</v>
      </c>
      <c r="P872" t="n">
        <v>0</v>
      </c>
      <c r="Q872" t="n">
        <v>0</v>
      </c>
      <c r="R872" s="2" t="inlineStr"/>
    </row>
    <row r="873" ht="15" customHeight="1">
      <c r="A873" t="inlineStr">
        <is>
          <t>A 20885-2024</t>
        </is>
      </c>
      <c r="B873" s="1" t="n">
        <v>45439</v>
      </c>
      <c r="C873" s="1" t="n">
        <v>45695</v>
      </c>
      <c r="D873" t="inlineStr">
        <is>
          <t>DALARNAS LÄN</t>
        </is>
      </c>
      <c r="E873" t="inlineStr">
        <is>
          <t>MORA</t>
        </is>
      </c>
      <c r="G873" t="n">
        <v>5</v>
      </c>
      <c r="H873" t="n">
        <v>0</v>
      </c>
      <c r="I873" t="n">
        <v>0</v>
      </c>
      <c r="J873" t="n">
        <v>0</v>
      </c>
      <c r="K873" t="n">
        <v>0</v>
      </c>
      <c r="L873" t="n">
        <v>0</v>
      </c>
      <c r="M873" t="n">
        <v>0</v>
      </c>
      <c r="N873" t="n">
        <v>0</v>
      </c>
      <c r="O873" t="n">
        <v>0</v>
      </c>
      <c r="P873" t="n">
        <v>0</v>
      </c>
      <c r="Q873" t="n">
        <v>0</v>
      </c>
      <c r="R873" s="2" t="inlineStr"/>
    </row>
    <row r="874" ht="15" customHeight="1">
      <c r="A874" t="inlineStr">
        <is>
          <t>A 20986-2024</t>
        </is>
      </c>
      <c r="B874" s="1" t="n">
        <v>45439</v>
      </c>
      <c r="C874" s="1" t="n">
        <v>45695</v>
      </c>
      <c r="D874" t="inlineStr">
        <is>
          <t>DALARNAS LÄN</t>
        </is>
      </c>
      <c r="E874" t="inlineStr">
        <is>
          <t>MORA</t>
        </is>
      </c>
      <c r="F874" t="inlineStr">
        <is>
          <t>Bergvik skog öst AB</t>
        </is>
      </c>
      <c r="G874" t="n">
        <v>18.7</v>
      </c>
      <c r="H874" t="n">
        <v>0</v>
      </c>
      <c r="I874" t="n">
        <v>0</v>
      </c>
      <c r="J874" t="n">
        <v>0</v>
      </c>
      <c r="K874" t="n">
        <v>0</v>
      </c>
      <c r="L874" t="n">
        <v>0</v>
      </c>
      <c r="M874" t="n">
        <v>0</v>
      </c>
      <c r="N874" t="n">
        <v>0</v>
      </c>
      <c r="O874" t="n">
        <v>0</v>
      </c>
      <c r="P874" t="n">
        <v>0</v>
      </c>
      <c r="Q874" t="n">
        <v>0</v>
      </c>
      <c r="R874" s="2" t="inlineStr"/>
    </row>
    <row r="875" ht="15" customHeight="1">
      <c r="A875" t="inlineStr">
        <is>
          <t>A 20989-2024</t>
        </is>
      </c>
      <c r="B875" s="1" t="n">
        <v>45439</v>
      </c>
      <c r="C875" s="1" t="n">
        <v>45695</v>
      </c>
      <c r="D875" t="inlineStr">
        <is>
          <t>DALARNAS LÄN</t>
        </is>
      </c>
      <c r="E875" t="inlineStr">
        <is>
          <t>MORA</t>
        </is>
      </c>
      <c r="F875" t="inlineStr">
        <is>
          <t>Bergvik skog öst AB</t>
        </is>
      </c>
      <c r="G875" t="n">
        <v>14.7</v>
      </c>
      <c r="H875" t="n">
        <v>0</v>
      </c>
      <c r="I875" t="n">
        <v>0</v>
      </c>
      <c r="J875" t="n">
        <v>0</v>
      </c>
      <c r="K875" t="n">
        <v>0</v>
      </c>
      <c r="L875" t="n">
        <v>0</v>
      </c>
      <c r="M875" t="n">
        <v>0</v>
      </c>
      <c r="N875" t="n">
        <v>0</v>
      </c>
      <c r="O875" t="n">
        <v>0</v>
      </c>
      <c r="P875" t="n">
        <v>0</v>
      </c>
      <c r="Q875" t="n">
        <v>0</v>
      </c>
      <c r="R875" s="2" t="inlineStr"/>
    </row>
    <row r="876" ht="15" customHeight="1">
      <c r="A876" t="inlineStr">
        <is>
          <t>A 20930-2024</t>
        </is>
      </c>
      <c r="B876" s="1" t="n">
        <v>45439</v>
      </c>
      <c r="C876" s="1" t="n">
        <v>45695</v>
      </c>
      <c r="D876" t="inlineStr">
        <is>
          <t>DALARNAS LÄN</t>
        </is>
      </c>
      <c r="E876" t="inlineStr">
        <is>
          <t>MORA</t>
        </is>
      </c>
      <c r="F876" t="inlineStr">
        <is>
          <t>Bergvik skog väst AB</t>
        </is>
      </c>
      <c r="G876" t="n">
        <v>5.3</v>
      </c>
      <c r="H876" t="n">
        <v>0</v>
      </c>
      <c r="I876" t="n">
        <v>0</v>
      </c>
      <c r="J876" t="n">
        <v>0</v>
      </c>
      <c r="K876" t="n">
        <v>0</v>
      </c>
      <c r="L876" t="n">
        <v>0</v>
      </c>
      <c r="M876" t="n">
        <v>0</v>
      </c>
      <c r="N876" t="n">
        <v>0</v>
      </c>
      <c r="O876" t="n">
        <v>0</v>
      </c>
      <c r="P876" t="n">
        <v>0</v>
      </c>
      <c r="Q876" t="n">
        <v>0</v>
      </c>
      <c r="R876" s="2" t="inlineStr"/>
    </row>
    <row r="877" ht="15" customHeight="1">
      <c r="A877" t="inlineStr">
        <is>
          <t>A 21221-2024</t>
        </is>
      </c>
      <c r="B877" s="1" t="n">
        <v>45440</v>
      </c>
      <c r="C877" s="1" t="n">
        <v>45695</v>
      </c>
      <c r="D877" t="inlineStr">
        <is>
          <t>DALARNAS LÄN</t>
        </is>
      </c>
      <c r="E877" t="inlineStr">
        <is>
          <t>MORA</t>
        </is>
      </c>
      <c r="G877" t="n">
        <v>6.7</v>
      </c>
      <c r="H877" t="n">
        <v>0</v>
      </c>
      <c r="I877" t="n">
        <v>0</v>
      </c>
      <c r="J877" t="n">
        <v>0</v>
      </c>
      <c r="K877" t="n">
        <v>0</v>
      </c>
      <c r="L877" t="n">
        <v>0</v>
      </c>
      <c r="M877" t="n">
        <v>0</v>
      </c>
      <c r="N877" t="n">
        <v>0</v>
      </c>
      <c r="O877" t="n">
        <v>0</v>
      </c>
      <c r="P877" t="n">
        <v>0</v>
      </c>
      <c r="Q877" t="n">
        <v>0</v>
      </c>
      <c r="R877" s="2" t="inlineStr"/>
    </row>
    <row r="878" ht="15" customHeight="1">
      <c r="A878" t="inlineStr">
        <is>
          <t>A 21244-2024</t>
        </is>
      </c>
      <c r="B878" s="1" t="n">
        <v>45440</v>
      </c>
      <c r="C878" s="1" t="n">
        <v>45695</v>
      </c>
      <c r="D878" t="inlineStr">
        <is>
          <t>DALARNAS LÄN</t>
        </is>
      </c>
      <c r="E878" t="inlineStr">
        <is>
          <t>MORA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21256-2024</t>
        </is>
      </c>
      <c r="B879" s="1" t="n">
        <v>45440</v>
      </c>
      <c r="C879" s="1" t="n">
        <v>45695</v>
      </c>
      <c r="D879" t="inlineStr">
        <is>
          <t>DALARNAS LÄN</t>
        </is>
      </c>
      <c r="E879" t="inlineStr">
        <is>
          <t>MORA</t>
        </is>
      </c>
      <c r="G879" t="n">
        <v>3</v>
      </c>
      <c r="H879" t="n">
        <v>0</v>
      </c>
      <c r="I879" t="n">
        <v>0</v>
      </c>
      <c r="J879" t="n">
        <v>0</v>
      </c>
      <c r="K879" t="n">
        <v>0</v>
      </c>
      <c r="L879" t="n">
        <v>0</v>
      </c>
      <c r="M879" t="n">
        <v>0</v>
      </c>
      <c r="N879" t="n">
        <v>0</v>
      </c>
      <c r="O879" t="n">
        <v>0</v>
      </c>
      <c r="P879" t="n">
        <v>0</v>
      </c>
      <c r="Q879" t="n">
        <v>0</v>
      </c>
      <c r="R879" s="2" t="inlineStr"/>
    </row>
    <row r="880" ht="15" customHeight="1">
      <c r="A880" t="inlineStr">
        <is>
          <t>A 21650-2024</t>
        </is>
      </c>
      <c r="B880" s="1" t="n">
        <v>45442</v>
      </c>
      <c r="C880" s="1" t="n">
        <v>45695</v>
      </c>
      <c r="D880" t="inlineStr">
        <is>
          <t>DALARNAS LÄN</t>
        </is>
      </c>
      <c r="E880" t="inlineStr">
        <is>
          <t>MORA</t>
        </is>
      </c>
      <c r="G880" t="n">
        <v>3.8</v>
      </c>
      <c r="H880" t="n">
        <v>0</v>
      </c>
      <c r="I880" t="n">
        <v>0</v>
      </c>
      <c r="J880" t="n">
        <v>0</v>
      </c>
      <c r="K880" t="n">
        <v>0</v>
      </c>
      <c r="L880" t="n">
        <v>0</v>
      </c>
      <c r="M880" t="n">
        <v>0</v>
      </c>
      <c r="N880" t="n">
        <v>0</v>
      </c>
      <c r="O880" t="n">
        <v>0</v>
      </c>
      <c r="P880" t="n">
        <v>0</v>
      </c>
      <c r="Q880" t="n">
        <v>0</v>
      </c>
      <c r="R880" s="2" t="inlineStr"/>
    </row>
    <row r="881" ht="15" customHeight="1">
      <c r="A881" t="inlineStr">
        <is>
          <t>A 21635-2024</t>
        </is>
      </c>
      <c r="B881" s="1" t="n">
        <v>45442</v>
      </c>
      <c r="C881" s="1" t="n">
        <v>45695</v>
      </c>
      <c r="D881" t="inlineStr">
        <is>
          <t>DALARNAS LÄN</t>
        </is>
      </c>
      <c r="E881" t="inlineStr">
        <is>
          <t>MORA</t>
        </is>
      </c>
      <c r="G881" t="n">
        <v>2.7</v>
      </c>
      <c r="H881" t="n">
        <v>0</v>
      </c>
      <c r="I881" t="n">
        <v>0</v>
      </c>
      <c r="J881" t="n">
        <v>0</v>
      </c>
      <c r="K881" t="n">
        <v>0</v>
      </c>
      <c r="L881" t="n">
        <v>0</v>
      </c>
      <c r="M881" t="n">
        <v>0</v>
      </c>
      <c r="N881" t="n">
        <v>0</v>
      </c>
      <c r="O881" t="n">
        <v>0</v>
      </c>
      <c r="P881" t="n">
        <v>0</v>
      </c>
      <c r="Q881" t="n">
        <v>0</v>
      </c>
      <c r="R881" s="2" t="inlineStr"/>
    </row>
    <row r="882" ht="15" customHeight="1">
      <c r="A882" t="inlineStr">
        <is>
          <t>A 21660-2024</t>
        </is>
      </c>
      <c r="B882" s="1" t="n">
        <v>45442</v>
      </c>
      <c r="C882" s="1" t="n">
        <v>45695</v>
      </c>
      <c r="D882" t="inlineStr">
        <is>
          <t>DALARNAS LÄN</t>
        </is>
      </c>
      <c r="E882" t="inlineStr">
        <is>
          <t>MORA</t>
        </is>
      </c>
      <c r="G882" t="n">
        <v>2</v>
      </c>
      <c r="H882" t="n">
        <v>0</v>
      </c>
      <c r="I882" t="n">
        <v>0</v>
      </c>
      <c r="J882" t="n">
        <v>0</v>
      </c>
      <c r="K882" t="n">
        <v>0</v>
      </c>
      <c r="L882" t="n">
        <v>0</v>
      </c>
      <c r="M882" t="n">
        <v>0</v>
      </c>
      <c r="N882" t="n">
        <v>0</v>
      </c>
      <c r="O882" t="n">
        <v>0</v>
      </c>
      <c r="P882" t="n">
        <v>0</v>
      </c>
      <c r="Q882" t="n">
        <v>0</v>
      </c>
      <c r="R882" s="2" t="inlineStr"/>
    </row>
    <row r="883" ht="15" customHeight="1">
      <c r="A883" t="inlineStr">
        <is>
          <t>A 21886-2024</t>
        </is>
      </c>
      <c r="B883" s="1" t="n">
        <v>45443</v>
      </c>
      <c r="C883" s="1" t="n">
        <v>45695</v>
      </c>
      <c r="D883" t="inlineStr">
        <is>
          <t>DALARNAS LÄN</t>
        </is>
      </c>
      <c r="E883" t="inlineStr">
        <is>
          <t>MORA</t>
        </is>
      </c>
      <c r="F883" t="inlineStr">
        <is>
          <t>Bergvik skog öst AB</t>
        </is>
      </c>
      <c r="G883" t="n">
        <v>4.5</v>
      </c>
      <c r="H883" t="n">
        <v>0</v>
      </c>
      <c r="I883" t="n">
        <v>0</v>
      </c>
      <c r="J883" t="n">
        <v>0</v>
      </c>
      <c r="K883" t="n">
        <v>0</v>
      </c>
      <c r="L883" t="n">
        <v>0</v>
      </c>
      <c r="M883" t="n">
        <v>0</v>
      </c>
      <c r="N883" t="n">
        <v>0</v>
      </c>
      <c r="O883" t="n">
        <v>0</v>
      </c>
      <c r="P883" t="n">
        <v>0</v>
      </c>
      <c r="Q883" t="n">
        <v>0</v>
      </c>
      <c r="R883" s="2" t="inlineStr"/>
    </row>
    <row r="884" ht="15" customHeight="1">
      <c r="A884" t="inlineStr">
        <is>
          <t>A 22390-2024</t>
        </is>
      </c>
      <c r="B884" s="1" t="n">
        <v>45446</v>
      </c>
      <c r="C884" s="1" t="n">
        <v>45695</v>
      </c>
      <c r="D884" t="inlineStr">
        <is>
          <t>DALARNAS LÄN</t>
        </is>
      </c>
      <c r="E884" t="inlineStr">
        <is>
          <t>MORA</t>
        </is>
      </c>
      <c r="G884" t="n">
        <v>0.6</v>
      </c>
      <c r="H884" t="n">
        <v>0</v>
      </c>
      <c r="I884" t="n">
        <v>0</v>
      </c>
      <c r="J884" t="n">
        <v>0</v>
      </c>
      <c r="K884" t="n">
        <v>0</v>
      </c>
      <c r="L884" t="n">
        <v>0</v>
      </c>
      <c r="M884" t="n">
        <v>0</v>
      </c>
      <c r="N884" t="n">
        <v>0</v>
      </c>
      <c r="O884" t="n">
        <v>0</v>
      </c>
      <c r="P884" t="n">
        <v>0</v>
      </c>
      <c r="Q884" t="n">
        <v>0</v>
      </c>
      <c r="R884" s="2" t="inlineStr"/>
    </row>
    <row r="885" ht="15" customHeight="1">
      <c r="A885" t="inlineStr">
        <is>
          <t>A 22598-2024</t>
        </is>
      </c>
      <c r="B885" s="1" t="n">
        <v>45447</v>
      </c>
      <c r="C885" s="1" t="n">
        <v>45695</v>
      </c>
      <c r="D885" t="inlineStr">
        <is>
          <t>DALARNAS LÄN</t>
        </is>
      </c>
      <c r="E885" t="inlineStr">
        <is>
          <t>MORA</t>
        </is>
      </c>
      <c r="G885" t="n">
        <v>7.2</v>
      </c>
      <c r="H885" t="n">
        <v>0</v>
      </c>
      <c r="I885" t="n">
        <v>0</v>
      </c>
      <c r="J885" t="n">
        <v>0</v>
      </c>
      <c r="K885" t="n">
        <v>0</v>
      </c>
      <c r="L885" t="n">
        <v>0</v>
      </c>
      <c r="M885" t="n">
        <v>0</v>
      </c>
      <c r="N885" t="n">
        <v>0</v>
      </c>
      <c r="O885" t="n">
        <v>0</v>
      </c>
      <c r="P885" t="n">
        <v>0</v>
      </c>
      <c r="Q885" t="n">
        <v>0</v>
      </c>
      <c r="R885" s="2" t="inlineStr"/>
    </row>
    <row r="886" ht="15" customHeight="1">
      <c r="A886" t="inlineStr">
        <is>
          <t>A 25515-2024</t>
        </is>
      </c>
      <c r="B886" s="1" t="n">
        <v>45448</v>
      </c>
      <c r="C886" s="1" t="n">
        <v>45695</v>
      </c>
      <c r="D886" t="inlineStr">
        <is>
          <t>DALARNAS LÄN</t>
        </is>
      </c>
      <c r="E886" t="inlineStr">
        <is>
          <t>MORA</t>
        </is>
      </c>
      <c r="G886" t="n">
        <v>24.5</v>
      </c>
      <c r="H886" t="n">
        <v>0</v>
      </c>
      <c r="I886" t="n">
        <v>0</v>
      </c>
      <c r="J886" t="n">
        <v>0</v>
      </c>
      <c r="K886" t="n">
        <v>0</v>
      </c>
      <c r="L886" t="n">
        <v>0</v>
      </c>
      <c r="M886" t="n">
        <v>0</v>
      </c>
      <c r="N886" t="n">
        <v>0</v>
      </c>
      <c r="O886" t="n">
        <v>0</v>
      </c>
      <c r="P886" t="n">
        <v>0</v>
      </c>
      <c r="Q886" t="n">
        <v>0</v>
      </c>
      <c r="R886" s="2" t="inlineStr"/>
    </row>
    <row r="887" ht="15" customHeight="1">
      <c r="A887" t="inlineStr">
        <is>
          <t>A 22732-2024</t>
        </is>
      </c>
      <c r="B887" s="1" t="n">
        <v>45448</v>
      </c>
      <c r="C887" s="1" t="n">
        <v>45695</v>
      </c>
      <c r="D887" t="inlineStr">
        <is>
          <t>DALARNAS LÄN</t>
        </is>
      </c>
      <c r="E887" t="inlineStr">
        <is>
          <t>MORA</t>
        </is>
      </c>
      <c r="G887" t="n">
        <v>3.6</v>
      </c>
      <c r="H887" t="n">
        <v>0</v>
      </c>
      <c r="I887" t="n">
        <v>0</v>
      </c>
      <c r="J887" t="n">
        <v>0</v>
      </c>
      <c r="K887" t="n">
        <v>0</v>
      </c>
      <c r="L887" t="n">
        <v>0</v>
      </c>
      <c r="M887" t="n">
        <v>0</v>
      </c>
      <c r="N887" t="n">
        <v>0</v>
      </c>
      <c r="O887" t="n">
        <v>0</v>
      </c>
      <c r="P887" t="n">
        <v>0</v>
      </c>
      <c r="Q887" t="n">
        <v>0</v>
      </c>
      <c r="R887" s="2" t="inlineStr"/>
    </row>
    <row r="888" ht="15" customHeight="1">
      <c r="A888" t="inlineStr">
        <is>
          <t>A 22737-2024</t>
        </is>
      </c>
      <c r="B888" s="1" t="n">
        <v>45448</v>
      </c>
      <c r="C888" s="1" t="n">
        <v>45695</v>
      </c>
      <c r="D888" t="inlineStr">
        <is>
          <t>DALARNAS LÄN</t>
        </is>
      </c>
      <c r="E888" t="inlineStr">
        <is>
          <t>MORA</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23057-2024</t>
        </is>
      </c>
      <c r="B889" s="1" t="n">
        <v>45450</v>
      </c>
      <c r="C889" s="1" t="n">
        <v>45695</v>
      </c>
      <c r="D889" t="inlineStr">
        <is>
          <t>DALARNAS LÄN</t>
        </is>
      </c>
      <c r="E889" t="inlineStr">
        <is>
          <t>MORA</t>
        </is>
      </c>
      <c r="F889" t="inlineStr">
        <is>
          <t>Bergvik skog väst AB</t>
        </is>
      </c>
      <c r="G889" t="n">
        <v>2.2</v>
      </c>
      <c r="H889" t="n">
        <v>0</v>
      </c>
      <c r="I889" t="n">
        <v>0</v>
      </c>
      <c r="J889" t="n">
        <v>0</v>
      </c>
      <c r="K889" t="n">
        <v>0</v>
      </c>
      <c r="L889" t="n">
        <v>0</v>
      </c>
      <c r="M889" t="n">
        <v>0</v>
      </c>
      <c r="N889" t="n">
        <v>0</v>
      </c>
      <c r="O889" t="n">
        <v>0</v>
      </c>
      <c r="P889" t="n">
        <v>0</v>
      </c>
      <c r="Q889" t="n">
        <v>0</v>
      </c>
      <c r="R889" s="2" t="inlineStr"/>
    </row>
    <row r="890" ht="15" customHeight="1">
      <c r="A890" t="inlineStr">
        <is>
          <t>A 23311-2024</t>
        </is>
      </c>
      <c r="B890" s="1" t="n">
        <v>45453</v>
      </c>
      <c r="C890" s="1" t="n">
        <v>45695</v>
      </c>
      <c r="D890" t="inlineStr">
        <is>
          <t>DALARNAS LÄN</t>
        </is>
      </c>
      <c r="E890" t="inlineStr">
        <is>
          <t>MORA</t>
        </is>
      </c>
      <c r="G890" t="n">
        <v>3.4</v>
      </c>
      <c r="H890" t="n">
        <v>0</v>
      </c>
      <c r="I890" t="n">
        <v>0</v>
      </c>
      <c r="J890" t="n">
        <v>0</v>
      </c>
      <c r="K890" t="n">
        <v>0</v>
      </c>
      <c r="L890" t="n">
        <v>0</v>
      </c>
      <c r="M890" t="n">
        <v>0</v>
      </c>
      <c r="N890" t="n">
        <v>0</v>
      </c>
      <c r="O890" t="n">
        <v>0</v>
      </c>
      <c r="P890" t="n">
        <v>0</v>
      </c>
      <c r="Q890" t="n">
        <v>0</v>
      </c>
      <c r="R890" s="2" t="inlineStr"/>
    </row>
    <row r="891" ht="15" customHeight="1">
      <c r="A891" t="inlineStr">
        <is>
          <t>A 23364-2024</t>
        </is>
      </c>
      <c r="B891" s="1" t="n">
        <v>45453</v>
      </c>
      <c r="C891" s="1" t="n">
        <v>45695</v>
      </c>
      <c r="D891" t="inlineStr">
        <is>
          <t>DALARNAS LÄN</t>
        </is>
      </c>
      <c r="E891" t="inlineStr">
        <is>
          <t>MORA</t>
        </is>
      </c>
      <c r="G891" t="n">
        <v>4.8</v>
      </c>
      <c r="H891" t="n">
        <v>0</v>
      </c>
      <c r="I891" t="n">
        <v>0</v>
      </c>
      <c r="J891" t="n">
        <v>0</v>
      </c>
      <c r="K891" t="n">
        <v>0</v>
      </c>
      <c r="L891" t="n">
        <v>0</v>
      </c>
      <c r="M891" t="n">
        <v>0</v>
      </c>
      <c r="N891" t="n">
        <v>0</v>
      </c>
      <c r="O891" t="n">
        <v>0</v>
      </c>
      <c r="P891" t="n">
        <v>0</v>
      </c>
      <c r="Q891" t="n">
        <v>0</v>
      </c>
      <c r="R891" s="2" t="inlineStr"/>
    </row>
    <row r="892" ht="15" customHeight="1">
      <c r="A892" t="inlineStr">
        <is>
          <t>A 23300-2024</t>
        </is>
      </c>
      <c r="B892" s="1" t="n">
        <v>45453</v>
      </c>
      <c r="C892" s="1" t="n">
        <v>45695</v>
      </c>
      <c r="D892" t="inlineStr">
        <is>
          <t>DALARNAS LÄN</t>
        </is>
      </c>
      <c r="E892" t="inlineStr">
        <is>
          <t>MORA</t>
        </is>
      </c>
      <c r="G892" t="n">
        <v>0.5</v>
      </c>
      <c r="H892" t="n">
        <v>0</v>
      </c>
      <c r="I892" t="n">
        <v>0</v>
      </c>
      <c r="J892" t="n">
        <v>0</v>
      </c>
      <c r="K892" t="n">
        <v>0</v>
      </c>
      <c r="L892" t="n">
        <v>0</v>
      </c>
      <c r="M892" t="n">
        <v>0</v>
      </c>
      <c r="N892" t="n">
        <v>0</v>
      </c>
      <c r="O892" t="n">
        <v>0</v>
      </c>
      <c r="P892" t="n">
        <v>0</v>
      </c>
      <c r="Q892" t="n">
        <v>0</v>
      </c>
      <c r="R892" s="2" t="inlineStr"/>
    </row>
    <row r="893" ht="15" customHeight="1">
      <c r="A893" t="inlineStr">
        <is>
          <t>A 23318-2024</t>
        </is>
      </c>
      <c r="B893" s="1" t="n">
        <v>45453</v>
      </c>
      <c r="C893" s="1" t="n">
        <v>45695</v>
      </c>
      <c r="D893" t="inlineStr">
        <is>
          <t>DALARNAS LÄN</t>
        </is>
      </c>
      <c r="E893" t="inlineStr">
        <is>
          <t>MORA</t>
        </is>
      </c>
      <c r="G893" t="n">
        <v>5.9</v>
      </c>
      <c r="H893" t="n">
        <v>0</v>
      </c>
      <c r="I893" t="n">
        <v>0</v>
      </c>
      <c r="J893" t="n">
        <v>0</v>
      </c>
      <c r="K893" t="n">
        <v>0</v>
      </c>
      <c r="L893" t="n">
        <v>0</v>
      </c>
      <c r="M893" t="n">
        <v>0</v>
      </c>
      <c r="N893" t="n">
        <v>0</v>
      </c>
      <c r="O893" t="n">
        <v>0</v>
      </c>
      <c r="P893" t="n">
        <v>0</v>
      </c>
      <c r="Q893" t="n">
        <v>0</v>
      </c>
      <c r="R893" s="2" t="inlineStr"/>
    </row>
    <row r="894" ht="15" customHeight="1">
      <c r="A894" t="inlineStr">
        <is>
          <t>A 23306-2024</t>
        </is>
      </c>
      <c r="B894" s="1" t="n">
        <v>45453</v>
      </c>
      <c r="C894" s="1" t="n">
        <v>45695</v>
      </c>
      <c r="D894" t="inlineStr">
        <is>
          <t>DALARNAS LÄN</t>
        </is>
      </c>
      <c r="E894" t="inlineStr">
        <is>
          <t>MORA</t>
        </is>
      </c>
      <c r="G894" t="n">
        <v>5.1</v>
      </c>
      <c r="H894" t="n">
        <v>0</v>
      </c>
      <c r="I894" t="n">
        <v>0</v>
      </c>
      <c r="J894" t="n">
        <v>0</v>
      </c>
      <c r="K894" t="n">
        <v>0</v>
      </c>
      <c r="L894" t="n">
        <v>0</v>
      </c>
      <c r="M894" t="n">
        <v>0</v>
      </c>
      <c r="N894" t="n">
        <v>0</v>
      </c>
      <c r="O894" t="n">
        <v>0</v>
      </c>
      <c r="P894" t="n">
        <v>0</v>
      </c>
      <c r="Q894" t="n">
        <v>0</v>
      </c>
      <c r="R894" s="2" t="inlineStr"/>
    </row>
    <row r="895" ht="15" customHeight="1">
      <c r="A895" t="inlineStr">
        <is>
          <t>A 23302-2024</t>
        </is>
      </c>
      <c r="B895" s="1" t="n">
        <v>45453</v>
      </c>
      <c r="C895" s="1" t="n">
        <v>45695</v>
      </c>
      <c r="D895" t="inlineStr">
        <is>
          <t>DALARNAS LÄN</t>
        </is>
      </c>
      <c r="E895" t="inlineStr">
        <is>
          <t>MORA</t>
        </is>
      </c>
      <c r="G895" t="n">
        <v>1.3</v>
      </c>
      <c r="H895" t="n">
        <v>0</v>
      </c>
      <c r="I895" t="n">
        <v>0</v>
      </c>
      <c r="J895" t="n">
        <v>0</v>
      </c>
      <c r="K895" t="n">
        <v>0</v>
      </c>
      <c r="L895" t="n">
        <v>0</v>
      </c>
      <c r="M895" t="n">
        <v>0</v>
      </c>
      <c r="N895" t="n">
        <v>0</v>
      </c>
      <c r="O895" t="n">
        <v>0</v>
      </c>
      <c r="P895" t="n">
        <v>0</v>
      </c>
      <c r="Q895" t="n">
        <v>0</v>
      </c>
      <c r="R895" s="2" t="inlineStr"/>
    </row>
    <row r="896" ht="15" customHeight="1">
      <c r="A896" t="inlineStr">
        <is>
          <t>A 23298-2024</t>
        </is>
      </c>
      <c r="B896" s="1" t="n">
        <v>45453</v>
      </c>
      <c r="C896" s="1" t="n">
        <v>45695</v>
      </c>
      <c r="D896" t="inlineStr">
        <is>
          <t>DALARNAS LÄN</t>
        </is>
      </c>
      <c r="E896" t="inlineStr">
        <is>
          <t>MORA</t>
        </is>
      </c>
      <c r="G896" t="n">
        <v>6.7</v>
      </c>
      <c r="H896" t="n">
        <v>0</v>
      </c>
      <c r="I896" t="n">
        <v>0</v>
      </c>
      <c r="J896" t="n">
        <v>0</v>
      </c>
      <c r="K896" t="n">
        <v>0</v>
      </c>
      <c r="L896" t="n">
        <v>0</v>
      </c>
      <c r="M896" t="n">
        <v>0</v>
      </c>
      <c r="N896" t="n">
        <v>0</v>
      </c>
      <c r="O896" t="n">
        <v>0</v>
      </c>
      <c r="P896" t="n">
        <v>0</v>
      </c>
      <c r="Q896" t="n">
        <v>0</v>
      </c>
      <c r="R896" s="2" t="inlineStr"/>
    </row>
    <row r="897" ht="15" customHeight="1">
      <c r="A897" t="inlineStr">
        <is>
          <t>A 23669-2024</t>
        </is>
      </c>
      <c r="B897" s="1" t="n">
        <v>45454</v>
      </c>
      <c r="C897" s="1" t="n">
        <v>45695</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23797-2024</t>
        </is>
      </c>
      <c r="B898" s="1" t="n">
        <v>45455</v>
      </c>
      <c r="C898" s="1" t="n">
        <v>45695</v>
      </c>
      <c r="D898" t="inlineStr">
        <is>
          <t>DALARNAS LÄN</t>
        </is>
      </c>
      <c r="E898" t="inlineStr">
        <is>
          <t>MORA</t>
        </is>
      </c>
      <c r="G898" t="n">
        <v>2.9</v>
      </c>
      <c r="H898" t="n">
        <v>0</v>
      </c>
      <c r="I898" t="n">
        <v>0</v>
      </c>
      <c r="J898" t="n">
        <v>0</v>
      </c>
      <c r="K898" t="n">
        <v>0</v>
      </c>
      <c r="L898" t="n">
        <v>0</v>
      </c>
      <c r="M898" t="n">
        <v>0</v>
      </c>
      <c r="N898" t="n">
        <v>0</v>
      </c>
      <c r="O898" t="n">
        <v>0</v>
      </c>
      <c r="P898" t="n">
        <v>0</v>
      </c>
      <c r="Q898" t="n">
        <v>0</v>
      </c>
      <c r="R898" s="2" t="inlineStr"/>
    </row>
    <row r="899" ht="15" customHeight="1">
      <c r="A899" t="inlineStr">
        <is>
          <t>A 23866-2024</t>
        </is>
      </c>
      <c r="B899" s="1" t="n">
        <v>45455</v>
      </c>
      <c r="C899" s="1" t="n">
        <v>45695</v>
      </c>
      <c r="D899" t="inlineStr">
        <is>
          <t>DALARNAS LÄN</t>
        </is>
      </c>
      <c r="E899" t="inlineStr">
        <is>
          <t>MORA</t>
        </is>
      </c>
      <c r="G899" t="n">
        <v>3.4</v>
      </c>
      <c r="H899" t="n">
        <v>0</v>
      </c>
      <c r="I899" t="n">
        <v>0</v>
      </c>
      <c r="J899" t="n">
        <v>0</v>
      </c>
      <c r="K899" t="n">
        <v>0</v>
      </c>
      <c r="L899" t="n">
        <v>0</v>
      </c>
      <c r="M899" t="n">
        <v>0</v>
      </c>
      <c r="N899" t="n">
        <v>0</v>
      </c>
      <c r="O899" t="n">
        <v>0</v>
      </c>
      <c r="P899" t="n">
        <v>0</v>
      </c>
      <c r="Q899" t="n">
        <v>0</v>
      </c>
      <c r="R899" s="2" t="inlineStr"/>
    </row>
    <row r="900" ht="15" customHeight="1">
      <c r="A900" t="inlineStr">
        <is>
          <t>A 24350-2024</t>
        </is>
      </c>
      <c r="B900" s="1" t="n">
        <v>45457</v>
      </c>
      <c r="C900" s="1" t="n">
        <v>45695</v>
      </c>
      <c r="D900" t="inlineStr">
        <is>
          <t>DALARNAS LÄN</t>
        </is>
      </c>
      <c r="E900" t="inlineStr">
        <is>
          <t>MORA</t>
        </is>
      </c>
      <c r="F900" t="inlineStr">
        <is>
          <t>Bergvik skog öst AB</t>
        </is>
      </c>
      <c r="G900" t="n">
        <v>9.6</v>
      </c>
      <c r="H900" t="n">
        <v>0</v>
      </c>
      <c r="I900" t="n">
        <v>0</v>
      </c>
      <c r="J900" t="n">
        <v>0</v>
      </c>
      <c r="K900" t="n">
        <v>0</v>
      </c>
      <c r="L900" t="n">
        <v>0</v>
      </c>
      <c r="M900" t="n">
        <v>0</v>
      </c>
      <c r="N900" t="n">
        <v>0</v>
      </c>
      <c r="O900" t="n">
        <v>0</v>
      </c>
      <c r="P900" t="n">
        <v>0</v>
      </c>
      <c r="Q900" t="n">
        <v>0</v>
      </c>
      <c r="R900" s="2" t="inlineStr"/>
    </row>
    <row r="901" ht="15" customHeight="1">
      <c r="A901" t="inlineStr">
        <is>
          <t>A 24343-2024</t>
        </is>
      </c>
      <c r="B901" s="1" t="n">
        <v>45457</v>
      </c>
      <c r="C901" s="1" t="n">
        <v>45695</v>
      </c>
      <c r="D901" t="inlineStr">
        <is>
          <t>DALARNAS LÄN</t>
        </is>
      </c>
      <c r="E901" t="inlineStr">
        <is>
          <t>MORA</t>
        </is>
      </c>
      <c r="F901" t="inlineStr">
        <is>
          <t>Bergvik skog öst AB</t>
        </is>
      </c>
      <c r="G901" t="n">
        <v>2</v>
      </c>
      <c r="H901" t="n">
        <v>0</v>
      </c>
      <c r="I901" t="n">
        <v>0</v>
      </c>
      <c r="J901" t="n">
        <v>0</v>
      </c>
      <c r="K901" t="n">
        <v>0</v>
      </c>
      <c r="L901" t="n">
        <v>0</v>
      </c>
      <c r="M901" t="n">
        <v>0</v>
      </c>
      <c r="N901" t="n">
        <v>0</v>
      </c>
      <c r="O901" t="n">
        <v>0</v>
      </c>
      <c r="P901" t="n">
        <v>0</v>
      </c>
      <c r="Q901" t="n">
        <v>0</v>
      </c>
      <c r="R901" s="2" t="inlineStr"/>
    </row>
    <row r="902" ht="15" customHeight="1">
      <c r="A902" t="inlineStr">
        <is>
          <t>A 24768-2024</t>
        </is>
      </c>
      <c r="B902" s="1" t="n">
        <v>45460</v>
      </c>
      <c r="C902" s="1" t="n">
        <v>45695</v>
      </c>
      <c r="D902" t="inlineStr">
        <is>
          <t>DALARNAS LÄN</t>
        </is>
      </c>
      <c r="E902" t="inlineStr">
        <is>
          <t>MORA</t>
        </is>
      </c>
      <c r="G902" t="n">
        <v>2.4</v>
      </c>
      <c r="H902" t="n">
        <v>0</v>
      </c>
      <c r="I902" t="n">
        <v>0</v>
      </c>
      <c r="J902" t="n">
        <v>0</v>
      </c>
      <c r="K902" t="n">
        <v>0</v>
      </c>
      <c r="L902" t="n">
        <v>0</v>
      </c>
      <c r="M902" t="n">
        <v>0</v>
      </c>
      <c r="N902" t="n">
        <v>0</v>
      </c>
      <c r="O902" t="n">
        <v>0</v>
      </c>
      <c r="P902" t="n">
        <v>0</v>
      </c>
      <c r="Q902" t="n">
        <v>0</v>
      </c>
      <c r="R902" s="2" t="inlineStr"/>
    </row>
    <row r="903" ht="15" customHeight="1">
      <c r="A903" t="inlineStr">
        <is>
          <t>A 24772-2024</t>
        </is>
      </c>
      <c r="B903" s="1" t="n">
        <v>45460</v>
      </c>
      <c r="C903" s="1" t="n">
        <v>45695</v>
      </c>
      <c r="D903" t="inlineStr">
        <is>
          <t>DALARNAS LÄN</t>
        </is>
      </c>
      <c r="E903" t="inlineStr">
        <is>
          <t>MORA</t>
        </is>
      </c>
      <c r="G903" t="n">
        <v>0.9</v>
      </c>
      <c r="H903" t="n">
        <v>0</v>
      </c>
      <c r="I903" t="n">
        <v>0</v>
      </c>
      <c r="J903" t="n">
        <v>0</v>
      </c>
      <c r="K903" t="n">
        <v>0</v>
      </c>
      <c r="L903" t="n">
        <v>0</v>
      </c>
      <c r="M903" t="n">
        <v>0</v>
      </c>
      <c r="N903" t="n">
        <v>0</v>
      </c>
      <c r="O903" t="n">
        <v>0</v>
      </c>
      <c r="P903" t="n">
        <v>0</v>
      </c>
      <c r="Q903" t="n">
        <v>0</v>
      </c>
      <c r="R903" s="2" t="inlineStr"/>
    </row>
    <row r="904" ht="15" customHeight="1">
      <c r="A904" t="inlineStr">
        <is>
          <t>A 24590-2024</t>
        </is>
      </c>
      <c r="B904" s="1" t="n">
        <v>45460</v>
      </c>
      <c r="C904" s="1" t="n">
        <v>45695</v>
      </c>
      <c r="D904" t="inlineStr">
        <is>
          <t>DALARNAS LÄN</t>
        </is>
      </c>
      <c r="E904" t="inlineStr">
        <is>
          <t>MORA</t>
        </is>
      </c>
      <c r="G904" t="n">
        <v>0.6</v>
      </c>
      <c r="H904" t="n">
        <v>0</v>
      </c>
      <c r="I904" t="n">
        <v>0</v>
      </c>
      <c r="J904" t="n">
        <v>0</v>
      </c>
      <c r="K904" t="n">
        <v>0</v>
      </c>
      <c r="L904" t="n">
        <v>0</v>
      </c>
      <c r="M904" t="n">
        <v>0</v>
      </c>
      <c r="N904" t="n">
        <v>0</v>
      </c>
      <c r="O904" t="n">
        <v>0</v>
      </c>
      <c r="P904" t="n">
        <v>0</v>
      </c>
      <c r="Q904" t="n">
        <v>0</v>
      </c>
      <c r="R904" s="2" t="inlineStr"/>
    </row>
    <row r="905" ht="15" customHeight="1">
      <c r="A905" t="inlineStr">
        <is>
          <t>A 24593-2024</t>
        </is>
      </c>
      <c r="B905" s="1" t="n">
        <v>45460</v>
      </c>
      <c r="C905" s="1" t="n">
        <v>45695</v>
      </c>
      <c r="D905" t="inlineStr">
        <is>
          <t>DALARNAS LÄN</t>
        </is>
      </c>
      <c r="E905" t="inlineStr">
        <is>
          <t>MORA</t>
        </is>
      </c>
      <c r="G905" t="n">
        <v>6.6</v>
      </c>
      <c r="H905" t="n">
        <v>0</v>
      </c>
      <c r="I905" t="n">
        <v>0</v>
      </c>
      <c r="J905" t="n">
        <v>0</v>
      </c>
      <c r="K905" t="n">
        <v>0</v>
      </c>
      <c r="L905" t="n">
        <v>0</v>
      </c>
      <c r="M905" t="n">
        <v>0</v>
      </c>
      <c r="N905" t="n">
        <v>0</v>
      </c>
      <c r="O905" t="n">
        <v>0</v>
      </c>
      <c r="P905" t="n">
        <v>0</v>
      </c>
      <c r="Q905" t="n">
        <v>0</v>
      </c>
      <c r="R905" s="2" t="inlineStr"/>
    </row>
    <row r="906" ht="15" customHeight="1">
      <c r="A906" t="inlineStr">
        <is>
          <t>A 25499-2024</t>
        </is>
      </c>
      <c r="B906" s="1" t="n">
        <v>45463</v>
      </c>
      <c r="C906" s="1" t="n">
        <v>45695</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25494-2024</t>
        </is>
      </c>
      <c r="B907" s="1" t="n">
        <v>45463</v>
      </c>
      <c r="C907" s="1" t="n">
        <v>45695</v>
      </c>
      <c r="D907" t="inlineStr">
        <is>
          <t>DALARNAS LÄN</t>
        </is>
      </c>
      <c r="E907" t="inlineStr">
        <is>
          <t>MORA</t>
        </is>
      </c>
      <c r="G907" t="n">
        <v>4.9</v>
      </c>
      <c r="H907" t="n">
        <v>0</v>
      </c>
      <c r="I907" t="n">
        <v>0</v>
      </c>
      <c r="J907" t="n">
        <v>0</v>
      </c>
      <c r="K907" t="n">
        <v>0</v>
      </c>
      <c r="L907" t="n">
        <v>0</v>
      </c>
      <c r="M907" t="n">
        <v>0</v>
      </c>
      <c r="N907" t="n">
        <v>0</v>
      </c>
      <c r="O907" t="n">
        <v>0</v>
      </c>
      <c r="P907" t="n">
        <v>0</v>
      </c>
      <c r="Q907" t="n">
        <v>0</v>
      </c>
      <c r="R907" s="2" t="inlineStr"/>
    </row>
    <row r="908" ht="15" customHeight="1">
      <c r="A908" t="inlineStr">
        <is>
          <t>A 25426-2024</t>
        </is>
      </c>
      <c r="B908" s="1" t="n">
        <v>45463</v>
      </c>
      <c r="C908" s="1" t="n">
        <v>45695</v>
      </c>
      <c r="D908" t="inlineStr">
        <is>
          <t>DALARNAS LÄN</t>
        </is>
      </c>
      <c r="E908" t="inlineStr">
        <is>
          <t>MORA</t>
        </is>
      </c>
      <c r="G908" t="n">
        <v>14.1</v>
      </c>
      <c r="H908" t="n">
        <v>0</v>
      </c>
      <c r="I908" t="n">
        <v>0</v>
      </c>
      <c r="J908" t="n">
        <v>0</v>
      </c>
      <c r="K908" t="n">
        <v>0</v>
      </c>
      <c r="L908" t="n">
        <v>0</v>
      </c>
      <c r="M908" t="n">
        <v>0</v>
      </c>
      <c r="N908" t="n">
        <v>0</v>
      </c>
      <c r="O908" t="n">
        <v>0</v>
      </c>
      <c r="P908" t="n">
        <v>0</v>
      </c>
      <c r="Q908" t="n">
        <v>0</v>
      </c>
      <c r="R908" s="2" t="inlineStr"/>
    </row>
    <row r="909" ht="15" customHeight="1">
      <c r="A909" t="inlineStr">
        <is>
          <t>A 25856-2024</t>
        </is>
      </c>
      <c r="B909" s="1" t="n">
        <v>45467</v>
      </c>
      <c r="C909" s="1" t="n">
        <v>45695</v>
      </c>
      <c r="D909" t="inlineStr">
        <is>
          <t>DALARNAS LÄN</t>
        </is>
      </c>
      <c r="E909" t="inlineStr">
        <is>
          <t>MORA</t>
        </is>
      </c>
      <c r="G909" t="n">
        <v>2.8</v>
      </c>
      <c r="H909" t="n">
        <v>0</v>
      </c>
      <c r="I909" t="n">
        <v>0</v>
      </c>
      <c r="J909" t="n">
        <v>0</v>
      </c>
      <c r="K909" t="n">
        <v>0</v>
      </c>
      <c r="L909" t="n">
        <v>0</v>
      </c>
      <c r="M909" t="n">
        <v>0</v>
      </c>
      <c r="N909" t="n">
        <v>0</v>
      </c>
      <c r="O909" t="n">
        <v>0</v>
      </c>
      <c r="P909" t="n">
        <v>0</v>
      </c>
      <c r="Q909" t="n">
        <v>0</v>
      </c>
      <c r="R909" s="2" t="inlineStr"/>
    </row>
    <row r="910" ht="15" customHeight="1">
      <c r="A910" t="inlineStr">
        <is>
          <t>A 26577-2024</t>
        </is>
      </c>
      <c r="B910" s="1" t="n">
        <v>45469</v>
      </c>
      <c r="C910" s="1" t="n">
        <v>45695</v>
      </c>
      <c r="D910" t="inlineStr">
        <is>
          <t>DALARNAS LÄN</t>
        </is>
      </c>
      <c r="E910" t="inlineStr">
        <is>
          <t>MORA</t>
        </is>
      </c>
      <c r="G910" t="n">
        <v>5.4</v>
      </c>
      <c r="H910" t="n">
        <v>0</v>
      </c>
      <c r="I910" t="n">
        <v>0</v>
      </c>
      <c r="J910" t="n">
        <v>0</v>
      </c>
      <c r="K910" t="n">
        <v>0</v>
      </c>
      <c r="L910" t="n">
        <v>0</v>
      </c>
      <c r="M910" t="n">
        <v>0</v>
      </c>
      <c r="N910" t="n">
        <v>0</v>
      </c>
      <c r="O910" t="n">
        <v>0</v>
      </c>
      <c r="P910" t="n">
        <v>0</v>
      </c>
      <c r="Q910" t="n">
        <v>0</v>
      </c>
      <c r="R910" s="2" t="inlineStr"/>
    </row>
    <row r="911" ht="15" customHeight="1">
      <c r="A911" t="inlineStr">
        <is>
          <t>A 26810-2024</t>
        </is>
      </c>
      <c r="B911" s="1" t="n">
        <v>45470</v>
      </c>
      <c r="C911" s="1" t="n">
        <v>45695</v>
      </c>
      <c r="D911" t="inlineStr">
        <is>
          <t>DALARNAS LÄN</t>
        </is>
      </c>
      <c r="E911" t="inlineStr">
        <is>
          <t>MORA</t>
        </is>
      </c>
      <c r="G911" t="n">
        <v>2.7</v>
      </c>
      <c r="H911" t="n">
        <v>0</v>
      </c>
      <c r="I911" t="n">
        <v>0</v>
      </c>
      <c r="J911" t="n">
        <v>0</v>
      </c>
      <c r="K911" t="n">
        <v>0</v>
      </c>
      <c r="L911" t="n">
        <v>0</v>
      </c>
      <c r="M911" t="n">
        <v>0</v>
      </c>
      <c r="N911" t="n">
        <v>0</v>
      </c>
      <c r="O911" t="n">
        <v>0</v>
      </c>
      <c r="P911" t="n">
        <v>0</v>
      </c>
      <c r="Q911" t="n">
        <v>0</v>
      </c>
      <c r="R911" s="2" t="inlineStr"/>
    </row>
    <row r="912" ht="15" customHeight="1">
      <c r="A912" t="inlineStr">
        <is>
          <t>A 26724-2024</t>
        </is>
      </c>
      <c r="B912" s="1" t="n">
        <v>45470</v>
      </c>
      <c r="C912" s="1" t="n">
        <v>45695</v>
      </c>
      <c r="D912" t="inlineStr">
        <is>
          <t>DALARNAS LÄN</t>
        </is>
      </c>
      <c r="E912" t="inlineStr">
        <is>
          <t>MORA</t>
        </is>
      </c>
      <c r="G912" t="n">
        <v>5.1</v>
      </c>
      <c r="H912" t="n">
        <v>0</v>
      </c>
      <c r="I912" t="n">
        <v>0</v>
      </c>
      <c r="J912" t="n">
        <v>0</v>
      </c>
      <c r="K912" t="n">
        <v>0</v>
      </c>
      <c r="L912" t="n">
        <v>0</v>
      </c>
      <c r="M912" t="n">
        <v>0</v>
      </c>
      <c r="N912" t="n">
        <v>0</v>
      </c>
      <c r="O912" t="n">
        <v>0</v>
      </c>
      <c r="P912" t="n">
        <v>0</v>
      </c>
      <c r="Q912" t="n">
        <v>0</v>
      </c>
      <c r="R912" s="2" t="inlineStr"/>
    </row>
    <row r="913" ht="15" customHeight="1">
      <c r="A913" t="inlineStr">
        <is>
          <t>A 26808-2024</t>
        </is>
      </c>
      <c r="B913" s="1" t="n">
        <v>45470</v>
      </c>
      <c r="C913" s="1" t="n">
        <v>45695</v>
      </c>
      <c r="D913" t="inlineStr">
        <is>
          <t>DALARNAS LÄN</t>
        </is>
      </c>
      <c r="E913" t="inlineStr">
        <is>
          <t>MORA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45695</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45695</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45695</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45695</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45695</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45695</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45695</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45695</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45695</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45695</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45695</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45695</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45695</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45695</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45695</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45695</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45695</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45695</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45695</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45695</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45695</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45695</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45695</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45695</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45695</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45695</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45695</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45695</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45695</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45695</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45695</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45695</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45695</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45695</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45695</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45695</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45695</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45695</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45695</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45695</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45695</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45695</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45695</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45695</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45695</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45695</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45695</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45695</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45695</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45695</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45695</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45695</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45695</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45695</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45695</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45695</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45695</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45695</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45695</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45695</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45695</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45695</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45695</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45695</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45695</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45695</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45695</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45695</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45695</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45695</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45695</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45695</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45695</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45695</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45695</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45695</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45695</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45695</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45695</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45695</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45695</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45695</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45695</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45695</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45695</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45695</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45695</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45695</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45695</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45695</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45695</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45695</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45695</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45695</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45695</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45695</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45695</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45695</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45695</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45695</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45695</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45695</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45695</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45695</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45695</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45695</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45695</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45695</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45695</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45695</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45695</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45695</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45695</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45695</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45695</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45695</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45695</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45695</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45695</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45695</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45695</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45695</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45695</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45695</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45695</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45695</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45695</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45695</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45695</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45695</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45695</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45695</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45695</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45695</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45695</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45695</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45695</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45695</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45695</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45695</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45695</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45695</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45695</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45695</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45695</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45695</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45695</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45695</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45695</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45695</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45695</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45695</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45695</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45695</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45695</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45695</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45695</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45695</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45695</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45695</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45695</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45695</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45695</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45695</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45695</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45695</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45695</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45695</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45695</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45695</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45695</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45695</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45695</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45695</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45695</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45695</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45695</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45695</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45695</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45695</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45695</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45695</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45695</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45695</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45695</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45695</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45695</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45695</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45695</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45695</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45695</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45695</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45695</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45695</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45695</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45695</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45695</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45695</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45695</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45695</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45695</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45695</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45695</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45695</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45695</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45695</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45695</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45695</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45695</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45695</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45695</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45695</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45695</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45695</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45695</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45695</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45695</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45695</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45695</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45695</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45695</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45695</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45695</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45695</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45695</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45695</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45695</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45695</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45695</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45695</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45695</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45695</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45695</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45695</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45695</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45695</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45695</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45695</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45695</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45695</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45695</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45695</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45695</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45695</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45695</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45695</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45695</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45695</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45695</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45695</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45695</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45695</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45695</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45695</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45695</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45695</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45695</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45695</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45695</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45695</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45695</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45695</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c r="A1176" t="inlineStr">
        <is>
          <t>A 5769-2025</t>
        </is>
      </c>
      <c r="B1176" s="1" t="n">
        <v>45694</v>
      </c>
      <c r="C1176" s="1" t="n">
        <v>45695</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2025-02-07T16:15:21Z</dcterms:created>
  <dcterms:modified xmlns:dcterms="http://purl.org/dc/terms/" xmlns:xsi="http://www.w3.org/2001/XMLSchema-instance" xsi:type="dcterms:W3CDTF">2025-02-07T16:15:22Z</dcterms:modified>
</cp:coreProperties>
</file>