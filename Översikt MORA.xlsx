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46116</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46116</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46116</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46116</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46116</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46116</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46116</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46116</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46116</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46116</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46116</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46116</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46116</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46116</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46116</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46116</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46116</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46116</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46116</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46116</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46116</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35944-2024</t>
        </is>
      </c>
      <c r="B30" s="1" t="n">
        <v>45533.45853009259</v>
      </c>
      <c r="C30" s="1" t="n">
        <v>46116</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34714-2025</t>
        </is>
      </c>
      <c r="B31" s="1" t="n">
        <v>45848</v>
      </c>
      <c r="C31" s="1" t="n">
        <v>46116</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29934-2025</t>
        </is>
      </c>
      <c r="B32" s="1" t="n">
        <v>45826</v>
      </c>
      <c r="C32" s="1" t="n">
        <v>46116</v>
      </c>
      <c r="D32" t="inlineStr">
        <is>
          <t>DALARNAS LÄN</t>
        </is>
      </c>
      <c r="E32" t="inlineStr">
        <is>
          <t>MORA</t>
        </is>
      </c>
      <c r="G32" t="n">
        <v>5.6</v>
      </c>
      <c r="H32" t="n">
        <v>2</v>
      </c>
      <c r="I32" t="n">
        <v>2</v>
      </c>
      <c r="J32" t="n">
        <v>8</v>
      </c>
      <c r="K32" t="n">
        <v>0</v>
      </c>
      <c r="L32" t="n">
        <v>0</v>
      </c>
      <c r="M32" t="n">
        <v>0</v>
      </c>
      <c r="N32" t="n">
        <v>0</v>
      </c>
      <c r="O32" t="n">
        <v>8</v>
      </c>
      <c r="P32" t="n">
        <v>0</v>
      </c>
      <c r="Q32" t="n">
        <v>10</v>
      </c>
      <c r="R32" s="2" t="inlineStr">
        <is>
          <t>Garnlav
Kolflarnlav
Mörk kolflarnlav
Spillkråka
Vedflamlav
Vedskivlav
Violettgrå tagellav
Vitgrynig nållav
Mindre märgborre
Plattlummer</t>
        </is>
      </c>
      <c r="S32">
        <f>HYPERLINK("https://klasma.github.io/Logging_2062/artfynd/A 29934-2025 artfynd.xlsx", "A 29934-2025")</f>
        <v/>
      </c>
      <c r="T32">
        <f>HYPERLINK("https://klasma.github.io/Logging_2062/kartor/A 29934-2025 karta.png", "A 29934-2025")</f>
        <v/>
      </c>
      <c r="V32">
        <f>HYPERLINK("https://klasma.github.io/Logging_2062/klagomål/A 29934-2025 FSC-klagomål.docx", "A 29934-2025")</f>
        <v/>
      </c>
      <c r="W32">
        <f>HYPERLINK("https://klasma.github.io/Logging_2062/klagomålsmail/A 29934-2025 FSC-klagomål mail.docx", "A 29934-2025")</f>
        <v/>
      </c>
      <c r="X32">
        <f>HYPERLINK("https://klasma.github.io/Logging_2062/tillsyn/A 29934-2025 tillsynsbegäran.docx", "A 29934-2025")</f>
        <v/>
      </c>
      <c r="Y32">
        <f>HYPERLINK("https://klasma.github.io/Logging_2062/tillsynsmail/A 29934-2025 tillsynsbegäran mail.docx", "A 29934-2025")</f>
        <v/>
      </c>
      <c r="Z32">
        <f>HYPERLINK("https://klasma.github.io/Logging_2062/fåglar/A 29934-2025 prioriterade fågelarter.docx", "A 29934-2025")</f>
        <v/>
      </c>
    </row>
    <row r="33" ht="15" customHeight="1">
      <c r="A33" t="inlineStr">
        <is>
          <t>A 40313-2025</t>
        </is>
      </c>
      <c r="B33" s="1" t="n">
        <v>45895.42209490741</v>
      </c>
      <c r="C33" s="1" t="n">
        <v>46116</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46116</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57661-2025</t>
        </is>
      </c>
      <c r="B35" s="1" t="n">
        <v>45981.41530092592</v>
      </c>
      <c r="C35" s="1" t="n">
        <v>46116</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21041-2023</t>
        </is>
      </c>
      <c r="B36" s="1" t="n">
        <v>45061.58952546296</v>
      </c>
      <c r="C36" s="1" t="n">
        <v>46116</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35486-2025</t>
        </is>
      </c>
      <c r="B37" s="1" t="n">
        <v>45855</v>
      </c>
      <c r="C37" s="1" t="n">
        <v>46116</v>
      </c>
      <c r="D37" t="inlineStr">
        <is>
          <t>DALARNAS LÄN</t>
        </is>
      </c>
      <c r="E37" t="inlineStr">
        <is>
          <t>MORA</t>
        </is>
      </c>
      <c r="F37" t="inlineStr">
        <is>
          <t>Allmännings- och besparingsskogar</t>
        </is>
      </c>
      <c r="G37" t="n">
        <v>3.9</v>
      </c>
      <c r="H37" t="n">
        <v>3</v>
      </c>
      <c r="I37" t="n">
        <v>2</v>
      </c>
      <c r="J37" t="n">
        <v>7</v>
      </c>
      <c r="K37" t="n">
        <v>0</v>
      </c>
      <c r="L37" t="n">
        <v>0</v>
      </c>
      <c r="M37" t="n">
        <v>0</v>
      </c>
      <c r="N37" t="n">
        <v>0</v>
      </c>
      <c r="O37" t="n">
        <v>7</v>
      </c>
      <c r="P37" t="n">
        <v>0</v>
      </c>
      <c r="Q37" t="n">
        <v>9</v>
      </c>
      <c r="R37" s="2" t="inlineStr">
        <is>
          <t>Dvärgbägarlav
Garnlav
Spillkråka
Talltita
Tretåig hackspett
Ullticka
Vedskivlav
Dropptaggsvamp
Mindre märgborre</t>
        </is>
      </c>
      <c r="S37">
        <f>HYPERLINK("https://klasma.github.io/Logging_2062/artfynd/A 35486-2025 artfynd.xlsx", "A 35486-2025")</f>
        <v/>
      </c>
      <c r="T37">
        <f>HYPERLINK("https://klasma.github.io/Logging_2062/kartor/A 35486-2025 karta.png", "A 35486-2025")</f>
        <v/>
      </c>
      <c r="V37">
        <f>HYPERLINK("https://klasma.github.io/Logging_2062/klagomål/A 35486-2025 FSC-klagomål.docx", "A 35486-2025")</f>
        <v/>
      </c>
      <c r="W37">
        <f>HYPERLINK("https://klasma.github.io/Logging_2062/klagomålsmail/A 35486-2025 FSC-klagomål mail.docx", "A 35486-2025")</f>
        <v/>
      </c>
      <c r="X37">
        <f>HYPERLINK("https://klasma.github.io/Logging_2062/tillsyn/A 35486-2025 tillsynsbegäran.docx", "A 35486-2025")</f>
        <v/>
      </c>
      <c r="Y37">
        <f>HYPERLINK("https://klasma.github.io/Logging_2062/tillsynsmail/A 35486-2025 tillsynsbegäran mail.docx", "A 35486-2025")</f>
        <v/>
      </c>
      <c r="Z37">
        <f>HYPERLINK("https://klasma.github.io/Logging_2062/fåglar/A 35486-2025 prioriterade fågelarter.docx", "A 35486-2025")</f>
        <v/>
      </c>
    </row>
    <row r="38" ht="15" customHeight="1">
      <c r="A38" t="inlineStr">
        <is>
          <t>A 41794-2025</t>
        </is>
      </c>
      <c r="B38" s="1" t="n">
        <v>45902</v>
      </c>
      <c r="C38" s="1" t="n">
        <v>46116</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46116</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46116</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46116</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46116</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46116</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46116</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46116</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46116</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58839-2025</t>
        </is>
      </c>
      <c r="B47" s="1" t="n">
        <v>45987.36070601852</v>
      </c>
      <c r="C47" s="1" t="n">
        <v>46116</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29520-2025</t>
        </is>
      </c>
      <c r="B48" s="1" t="n">
        <v>45825.3303125</v>
      </c>
      <c r="C48" s="1" t="n">
        <v>46116</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29380-2025</t>
        </is>
      </c>
      <c r="B49" s="1" t="n">
        <v>45824.59025462963</v>
      </c>
      <c r="C49" s="1" t="n">
        <v>46116</v>
      </c>
      <c r="D49" t="inlineStr">
        <is>
          <t>DALARNAS LÄN</t>
        </is>
      </c>
      <c r="E49" t="inlineStr">
        <is>
          <t>MORA</t>
        </is>
      </c>
      <c r="G49" t="n">
        <v>8</v>
      </c>
      <c r="H49" t="n">
        <v>2</v>
      </c>
      <c r="I49" t="n">
        <v>1</v>
      </c>
      <c r="J49" t="n">
        <v>5</v>
      </c>
      <c r="K49" t="n">
        <v>0</v>
      </c>
      <c r="L49" t="n">
        <v>0</v>
      </c>
      <c r="M49" t="n">
        <v>0</v>
      </c>
      <c r="N49" t="n">
        <v>0</v>
      </c>
      <c r="O49" t="n">
        <v>5</v>
      </c>
      <c r="P49" t="n">
        <v>0</v>
      </c>
      <c r="Q49" t="n">
        <v>7</v>
      </c>
      <c r="R49" s="2" t="inlineStr">
        <is>
          <t>Garnlav
Kolflarnlav
Mörk kolflarnlav
Tallticka
Talltita
Mindre märgborre
Tjäder</t>
        </is>
      </c>
      <c r="S49">
        <f>HYPERLINK("https://klasma.github.io/Logging_2062/artfynd/A 29380-2025 artfynd.xlsx", "A 29380-2025")</f>
        <v/>
      </c>
      <c r="T49">
        <f>HYPERLINK("https://klasma.github.io/Logging_2062/kartor/A 29380-2025 karta.png", "A 29380-2025")</f>
        <v/>
      </c>
      <c r="V49">
        <f>HYPERLINK("https://klasma.github.io/Logging_2062/klagomål/A 29380-2025 FSC-klagomål.docx", "A 29380-2025")</f>
        <v/>
      </c>
      <c r="W49">
        <f>HYPERLINK("https://klasma.github.io/Logging_2062/klagomålsmail/A 29380-2025 FSC-klagomål mail.docx", "A 29380-2025")</f>
        <v/>
      </c>
      <c r="X49">
        <f>HYPERLINK("https://klasma.github.io/Logging_2062/tillsyn/A 29380-2025 tillsynsbegäran.docx", "A 29380-2025")</f>
        <v/>
      </c>
      <c r="Y49">
        <f>HYPERLINK("https://klasma.github.io/Logging_2062/tillsynsmail/A 29380-2025 tillsynsbegäran mail.docx", "A 29380-2025")</f>
        <v/>
      </c>
      <c r="Z49">
        <f>HYPERLINK("https://klasma.github.io/Logging_2062/fåglar/A 29380-2025 prioriterade fågelarter.docx", "A 29380-2025")</f>
        <v/>
      </c>
    </row>
    <row r="50" ht="15" customHeight="1">
      <c r="A50" t="inlineStr">
        <is>
          <t>A 34719-2025</t>
        </is>
      </c>
      <c r="B50" s="1" t="n">
        <v>45848</v>
      </c>
      <c r="C50" s="1" t="n">
        <v>46116</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46116</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10693-2026</t>
        </is>
      </c>
      <c r="B52" s="1" t="n">
        <v>46078.43366898148</v>
      </c>
      <c r="C52" s="1" t="n">
        <v>46116</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62154-2025</t>
        </is>
      </c>
      <c r="B53" s="1" t="n">
        <v>46006.48664351852</v>
      </c>
      <c r="C53" s="1" t="n">
        <v>46116</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34447-2024</t>
        </is>
      </c>
      <c r="B54" s="1" t="n">
        <v>45525</v>
      </c>
      <c r="C54" s="1" t="n">
        <v>46116</v>
      </c>
      <c r="D54" t="inlineStr">
        <is>
          <t>DALARNAS LÄN</t>
        </is>
      </c>
      <c r="E54" t="inlineStr">
        <is>
          <t>MORA</t>
        </is>
      </c>
      <c r="G54" t="n">
        <v>8.300000000000001</v>
      </c>
      <c r="H54" t="n">
        <v>0</v>
      </c>
      <c r="I54" t="n">
        <v>0</v>
      </c>
      <c r="J54" t="n">
        <v>6</v>
      </c>
      <c r="K54" t="n">
        <v>0</v>
      </c>
      <c r="L54" t="n">
        <v>0</v>
      </c>
      <c r="M54" t="n">
        <v>0</v>
      </c>
      <c r="N54" t="n">
        <v>0</v>
      </c>
      <c r="O54" t="n">
        <v>6</v>
      </c>
      <c r="P54" t="n">
        <v>0</v>
      </c>
      <c r="Q54" t="n">
        <v>6</v>
      </c>
      <c r="R54" s="2" t="inlineStr">
        <is>
          <t>Dvärgbägarlav
Garnlav
Kolflarnlav
Mörk kolflarnlav
Vedflamlav
Vedskivlav</t>
        </is>
      </c>
      <c r="S54">
        <f>HYPERLINK("https://klasma.github.io/Logging_2062/artfynd/A 34447-2024 artfynd.xlsx", "A 34447-2024")</f>
        <v/>
      </c>
      <c r="T54">
        <f>HYPERLINK("https://klasma.github.io/Logging_2062/kartor/A 34447-2024 karta.png", "A 34447-2024")</f>
        <v/>
      </c>
      <c r="V54">
        <f>HYPERLINK("https://klasma.github.io/Logging_2062/klagomål/A 34447-2024 FSC-klagomål.docx", "A 34447-2024")</f>
        <v/>
      </c>
      <c r="W54">
        <f>HYPERLINK("https://klasma.github.io/Logging_2062/klagomålsmail/A 34447-2024 FSC-klagomål mail.docx", "A 34447-2024")</f>
        <v/>
      </c>
      <c r="X54">
        <f>HYPERLINK("https://klasma.github.io/Logging_2062/tillsyn/A 34447-2024 tillsynsbegäran.docx", "A 34447-2024")</f>
        <v/>
      </c>
      <c r="Y54">
        <f>HYPERLINK("https://klasma.github.io/Logging_2062/tillsynsmail/A 34447-2024 tillsynsbegäran mail.docx", "A 34447-2024")</f>
        <v/>
      </c>
    </row>
    <row r="55" ht="15" customHeight="1">
      <c r="A55" t="inlineStr">
        <is>
          <t>A 8760-2025</t>
        </is>
      </c>
      <c r="B55" s="1" t="n">
        <v>45712.57467592593</v>
      </c>
      <c r="C55" s="1" t="n">
        <v>46116</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46116</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46116</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46116</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58478-2025</t>
        </is>
      </c>
      <c r="B59" s="1" t="n">
        <v>45985.64645833334</v>
      </c>
      <c r="C59" s="1" t="n">
        <v>46116</v>
      </c>
      <c r="D59" t="inlineStr">
        <is>
          <t>DALARNAS LÄN</t>
        </is>
      </c>
      <c r="E59" t="inlineStr">
        <is>
          <t>MORA</t>
        </is>
      </c>
      <c r="G59" t="n">
        <v>6</v>
      </c>
      <c r="H59" t="n">
        <v>2</v>
      </c>
      <c r="I59" t="n">
        <v>1</v>
      </c>
      <c r="J59" t="n">
        <v>4</v>
      </c>
      <c r="K59" t="n">
        <v>0</v>
      </c>
      <c r="L59" t="n">
        <v>0</v>
      </c>
      <c r="M59" t="n">
        <v>0</v>
      </c>
      <c r="N59" t="n">
        <v>0</v>
      </c>
      <c r="O59" t="n">
        <v>4</v>
      </c>
      <c r="P59" t="n">
        <v>0</v>
      </c>
      <c r="Q59" t="n">
        <v>5</v>
      </c>
      <c r="R59" s="2" t="inlineStr">
        <is>
          <t>Garnlav
Skogshare
Spillkråka
Tretåig hackspett
Mindre märgborre</t>
        </is>
      </c>
      <c r="S59">
        <f>HYPERLINK("https://klasma.github.io/Logging_2062/artfynd/A 58478-2025 artfynd.xlsx", "A 58478-2025")</f>
        <v/>
      </c>
      <c r="T59">
        <f>HYPERLINK("https://klasma.github.io/Logging_2062/kartor/A 58478-2025 karta.png", "A 58478-2025")</f>
        <v/>
      </c>
      <c r="V59">
        <f>HYPERLINK("https://klasma.github.io/Logging_2062/klagomål/A 58478-2025 FSC-klagomål.docx", "A 58478-2025")</f>
        <v/>
      </c>
      <c r="W59">
        <f>HYPERLINK("https://klasma.github.io/Logging_2062/klagomålsmail/A 58478-2025 FSC-klagomål mail.docx", "A 58478-2025")</f>
        <v/>
      </c>
      <c r="X59">
        <f>HYPERLINK("https://klasma.github.io/Logging_2062/tillsyn/A 58478-2025 tillsynsbegäran.docx", "A 58478-2025")</f>
        <v/>
      </c>
      <c r="Y59">
        <f>HYPERLINK("https://klasma.github.io/Logging_2062/tillsynsmail/A 58478-2025 tillsynsbegäran mail.docx", "A 58478-2025")</f>
        <v/>
      </c>
      <c r="Z59">
        <f>HYPERLINK("https://klasma.github.io/Logging_2062/fåglar/A 58478-2025 prioriterade fågelarter.docx", "A 58478-2025")</f>
        <v/>
      </c>
    </row>
    <row r="60" ht="15" customHeight="1">
      <c r="A60" t="inlineStr">
        <is>
          <t>A 15758-2026</t>
        </is>
      </c>
      <c r="B60" s="1" t="n">
        <v>46107.43391203704</v>
      </c>
      <c r="C60" s="1" t="n">
        <v>46116</v>
      </c>
      <c r="D60" t="inlineStr">
        <is>
          <t>DALARNAS LÄN</t>
        </is>
      </c>
      <c r="E60" t="inlineStr">
        <is>
          <t>MORA</t>
        </is>
      </c>
      <c r="G60" t="n">
        <v>5.8</v>
      </c>
      <c r="H60" t="n">
        <v>0</v>
      </c>
      <c r="I60" t="n">
        <v>3</v>
      </c>
      <c r="J60" t="n">
        <v>1</v>
      </c>
      <c r="K60" t="n">
        <v>1</v>
      </c>
      <c r="L60" t="n">
        <v>0</v>
      </c>
      <c r="M60" t="n">
        <v>0</v>
      </c>
      <c r="N60" t="n">
        <v>0</v>
      </c>
      <c r="O60" t="n">
        <v>2</v>
      </c>
      <c r="P60" t="n">
        <v>1</v>
      </c>
      <c r="Q60" t="n">
        <v>5</v>
      </c>
      <c r="R60" s="2" t="inlineStr">
        <is>
          <t>Rotfingersvamp
Skrovlig taggsvamp
Dropptaggsvamp
Mindre märgborre
Tallfingersvamp</t>
        </is>
      </c>
      <c r="S60">
        <f>HYPERLINK("https://klasma.github.io/Logging_2062/artfynd/A 15758-2026 artfynd.xlsx", "A 15758-2026")</f>
        <v/>
      </c>
      <c r="T60">
        <f>HYPERLINK("https://klasma.github.io/Logging_2062/kartor/A 15758-2026 karta.png", "A 15758-2026")</f>
        <v/>
      </c>
      <c r="V60">
        <f>HYPERLINK("https://klasma.github.io/Logging_2062/klagomål/A 15758-2026 FSC-klagomål.docx", "A 15758-2026")</f>
        <v/>
      </c>
      <c r="W60">
        <f>HYPERLINK("https://klasma.github.io/Logging_2062/klagomålsmail/A 15758-2026 FSC-klagomål mail.docx", "A 15758-2026")</f>
        <v/>
      </c>
      <c r="X60">
        <f>HYPERLINK("https://klasma.github.io/Logging_2062/tillsyn/A 15758-2026 tillsynsbegäran.docx", "A 15758-2026")</f>
        <v/>
      </c>
      <c r="Y60">
        <f>HYPERLINK("https://klasma.github.io/Logging_2062/tillsynsmail/A 15758-2026 tillsynsbegäran mail.docx", "A 15758-2026")</f>
        <v/>
      </c>
    </row>
    <row r="61" ht="15" customHeight="1">
      <c r="A61" t="inlineStr">
        <is>
          <t>A 31539-2025</t>
        </is>
      </c>
      <c r="B61" s="1" t="n">
        <v>45833</v>
      </c>
      <c r="C61" s="1" t="n">
        <v>46116</v>
      </c>
      <c r="D61" t="inlineStr">
        <is>
          <t>DALARNAS LÄN</t>
        </is>
      </c>
      <c r="E61" t="inlineStr">
        <is>
          <t>MORA</t>
        </is>
      </c>
      <c r="G61" t="n">
        <v>5.3</v>
      </c>
      <c r="H61" t="n">
        <v>2</v>
      </c>
      <c r="I61" t="n">
        <v>2</v>
      </c>
      <c r="J61" t="n">
        <v>2</v>
      </c>
      <c r="K61" t="n">
        <v>1</v>
      </c>
      <c r="L61" t="n">
        <v>0</v>
      </c>
      <c r="M61" t="n">
        <v>0</v>
      </c>
      <c r="N61" t="n">
        <v>0</v>
      </c>
      <c r="O61" t="n">
        <v>3</v>
      </c>
      <c r="P61" t="n">
        <v>1</v>
      </c>
      <c r="Q61" t="n">
        <v>5</v>
      </c>
      <c r="R61" s="2" t="inlineStr">
        <is>
          <t>Knärot
Tallticka
Talltita
Bollvitmossa
Kattfotslav</t>
        </is>
      </c>
      <c r="S61">
        <f>HYPERLINK("https://klasma.github.io/Logging_2062/artfynd/A 31539-2025 artfynd.xlsx", "A 31539-2025")</f>
        <v/>
      </c>
      <c r="T61">
        <f>HYPERLINK("https://klasma.github.io/Logging_2062/kartor/A 31539-2025 karta.png", "A 31539-2025")</f>
        <v/>
      </c>
      <c r="U61">
        <f>HYPERLINK("https://klasma.github.io/Logging_2062/knärot/A 31539-2025 karta knärot.png", "A 31539-2025")</f>
        <v/>
      </c>
      <c r="V61">
        <f>HYPERLINK("https://klasma.github.io/Logging_2062/klagomål/A 31539-2025 FSC-klagomål.docx", "A 31539-2025")</f>
        <v/>
      </c>
      <c r="W61">
        <f>HYPERLINK("https://klasma.github.io/Logging_2062/klagomålsmail/A 31539-2025 FSC-klagomål mail.docx", "A 31539-2025")</f>
        <v/>
      </c>
      <c r="X61">
        <f>HYPERLINK("https://klasma.github.io/Logging_2062/tillsyn/A 31539-2025 tillsynsbegäran.docx", "A 31539-2025")</f>
        <v/>
      </c>
      <c r="Y61">
        <f>HYPERLINK("https://klasma.github.io/Logging_2062/tillsynsmail/A 31539-2025 tillsynsbegäran mail.docx", "A 31539-2025")</f>
        <v/>
      </c>
      <c r="Z61">
        <f>HYPERLINK("https://klasma.github.io/Logging_2062/fåglar/A 31539-2025 prioriterade fågelarter.docx", "A 31539-2025")</f>
        <v/>
      </c>
    </row>
    <row r="62" ht="15" customHeight="1">
      <c r="A62" t="inlineStr">
        <is>
          <t>A 39478-2025</t>
        </is>
      </c>
      <c r="B62" s="1" t="n">
        <v>45890.3469212963</v>
      </c>
      <c r="C62" s="1" t="n">
        <v>46116</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46116</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14829-2025</t>
        </is>
      </c>
      <c r="B64" s="1" t="n">
        <v>45743.36951388889</v>
      </c>
      <c r="C64" s="1" t="n">
        <v>46116</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34715-2025</t>
        </is>
      </c>
      <c r="B65" s="1" t="n">
        <v>45848</v>
      </c>
      <c r="C65" s="1" t="n">
        <v>46116</v>
      </c>
      <c r="D65" t="inlineStr">
        <is>
          <t>DALARNAS LÄN</t>
        </is>
      </c>
      <c r="E65" t="inlineStr">
        <is>
          <t>MORA</t>
        </is>
      </c>
      <c r="G65" t="n">
        <v>8.5</v>
      </c>
      <c r="H65" t="n">
        <v>2</v>
      </c>
      <c r="I65" t="n">
        <v>0</v>
      </c>
      <c r="J65" t="n">
        <v>3</v>
      </c>
      <c r="K65" t="n">
        <v>1</v>
      </c>
      <c r="L65" t="n">
        <v>0</v>
      </c>
      <c r="M65" t="n">
        <v>0</v>
      </c>
      <c r="N65" t="n">
        <v>0</v>
      </c>
      <c r="O65" t="n">
        <v>4</v>
      </c>
      <c r="P65" t="n">
        <v>1</v>
      </c>
      <c r="Q65" t="n">
        <v>4</v>
      </c>
      <c r="R65" s="2" t="inlineStr">
        <is>
          <t>Knärot
Garnlav
Tallticka
Tretåig hackspett</t>
        </is>
      </c>
      <c r="S65">
        <f>HYPERLINK("https://klasma.github.io/Logging_2062/artfynd/A 34715-2025 artfynd.xlsx", "A 34715-2025")</f>
        <v/>
      </c>
      <c r="T65">
        <f>HYPERLINK("https://klasma.github.io/Logging_2062/kartor/A 34715-2025 karta.png", "A 34715-2025")</f>
        <v/>
      </c>
      <c r="U65">
        <f>HYPERLINK("https://klasma.github.io/Logging_2062/knärot/A 34715-2025 karta knärot.png", "A 34715-2025")</f>
        <v/>
      </c>
      <c r="V65">
        <f>HYPERLINK("https://klasma.github.io/Logging_2062/klagomål/A 34715-2025 FSC-klagomål.docx", "A 34715-2025")</f>
        <v/>
      </c>
      <c r="W65">
        <f>HYPERLINK("https://klasma.github.io/Logging_2062/klagomålsmail/A 34715-2025 FSC-klagomål mail.docx", "A 34715-2025")</f>
        <v/>
      </c>
      <c r="X65">
        <f>HYPERLINK("https://klasma.github.io/Logging_2062/tillsyn/A 34715-2025 tillsynsbegäran.docx", "A 34715-2025")</f>
        <v/>
      </c>
      <c r="Y65">
        <f>HYPERLINK("https://klasma.github.io/Logging_2062/tillsynsmail/A 34715-2025 tillsynsbegäran mail.docx", "A 34715-2025")</f>
        <v/>
      </c>
      <c r="Z65">
        <f>HYPERLINK("https://klasma.github.io/Logging_2062/fåglar/A 34715-2025 prioriterade fågelarter.docx", "A 34715-2025")</f>
        <v/>
      </c>
    </row>
    <row r="66" ht="15" customHeight="1">
      <c r="A66" t="inlineStr">
        <is>
          <t>A 11973-2026</t>
        </is>
      </c>
      <c r="B66" s="1" t="n">
        <v>46085.62635416666</v>
      </c>
      <c r="C66" s="1" t="n">
        <v>46116</v>
      </c>
      <c r="D66" t="inlineStr">
        <is>
          <t>DALARNAS LÄN</t>
        </is>
      </c>
      <c r="E66" t="inlineStr">
        <is>
          <t>MORA</t>
        </is>
      </c>
      <c r="G66" t="n">
        <v>5.4</v>
      </c>
      <c r="H66" t="n">
        <v>1</v>
      </c>
      <c r="I66" t="n">
        <v>1</v>
      </c>
      <c r="J66" t="n">
        <v>3</v>
      </c>
      <c r="K66" t="n">
        <v>0</v>
      </c>
      <c r="L66" t="n">
        <v>0</v>
      </c>
      <c r="M66" t="n">
        <v>0</v>
      </c>
      <c r="N66" t="n">
        <v>0</v>
      </c>
      <c r="O66" t="n">
        <v>3</v>
      </c>
      <c r="P66" t="n">
        <v>0</v>
      </c>
      <c r="Q66" t="n">
        <v>4</v>
      </c>
      <c r="R66" s="2" t="inlineStr">
        <is>
          <t>Garnlav
Mörk kolflarnlav
Spillkråka
Mindre märgborre</t>
        </is>
      </c>
      <c r="S66">
        <f>HYPERLINK("https://klasma.github.io/Logging_2062/artfynd/A 11973-2026 artfynd.xlsx", "A 11973-2026")</f>
        <v/>
      </c>
      <c r="T66">
        <f>HYPERLINK("https://klasma.github.io/Logging_2062/kartor/A 11973-2026 karta.png", "A 11973-2026")</f>
        <v/>
      </c>
      <c r="V66">
        <f>HYPERLINK("https://klasma.github.io/Logging_2062/klagomål/A 11973-2026 FSC-klagomål.docx", "A 11973-2026")</f>
        <v/>
      </c>
      <c r="W66">
        <f>HYPERLINK("https://klasma.github.io/Logging_2062/klagomålsmail/A 11973-2026 FSC-klagomål mail.docx", "A 11973-2026")</f>
        <v/>
      </c>
      <c r="X66">
        <f>HYPERLINK("https://klasma.github.io/Logging_2062/tillsyn/A 11973-2026 tillsynsbegäran.docx", "A 11973-2026")</f>
        <v/>
      </c>
      <c r="Y66">
        <f>HYPERLINK("https://klasma.github.io/Logging_2062/tillsynsmail/A 11973-2026 tillsynsbegäran mail.docx", "A 11973-2026")</f>
        <v/>
      </c>
      <c r="Z66">
        <f>HYPERLINK("https://klasma.github.io/Logging_2062/fåglar/A 11973-2026 prioriterade fågelarter.docx", "A 11973-2026")</f>
        <v/>
      </c>
    </row>
    <row r="67" ht="15" customHeight="1">
      <c r="A67" t="inlineStr">
        <is>
          <t>A 61770-2025</t>
        </is>
      </c>
      <c r="B67" s="1" t="n">
        <v>46002.64605324074</v>
      </c>
      <c r="C67" s="1" t="n">
        <v>46116</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14293-2024</t>
        </is>
      </c>
      <c r="B68" s="1" t="n">
        <v>45393.63902777778</v>
      </c>
      <c r="C68" s="1" t="n">
        <v>46116</v>
      </c>
      <c r="D68" t="inlineStr">
        <is>
          <t>DALARNAS LÄN</t>
        </is>
      </c>
      <c r="E68" t="inlineStr">
        <is>
          <t>MORA</t>
        </is>
      </c>
      <c r="G68" t="n">
        <v>7.4</v>
      </c>
      <c r="H68" t="n">
        <v>2</v>
      </c>
      <c r="I68" t="n">
        <v>1</v>
      </c>
      <c r="J68" t="n">
        <v>2</v>
      </c>
      <c r="K68" t="n">
        <v>0</v>
      </c>
      <c r="L68" t="n">
        <v>0</v>
      </c>
      <c r="M68" t="n">
        <v>0</v>
      </c>
      <c r="N68" t="n">
        <v>0</v>
      </c>
      <c r="O68" t="n">
        <v>2</v>
      </c>
      <c r="P68" t="n">
        <v>0</v>
      </c>
      <c r="Q68" t="n">
        <v>4</v>
      </c>
      <c r="R68" s="2" t="inlineStr">
        <is>
          <t>Garnlav
Talltita
Dropptaggsvamp
Tjäder</t>
        </is>
      </c>
      <c r="S68">
        <f>HYPERLINK("https://klasma.github.io/Logging_2062/artfynd/A 14293-2024 artfynd.xlsx", "A 14293-2024")</f>
        <v/>
      </c>
      <c r="T68">
        <f>HYPERLINK("https://klasma.github.io/Logging_2062/kartor/A 14293-2024 karta.png", "A 14293-2024")</f>
        <v/>
      </c>
      <c r="V68">
        <f>HYPERLINK("https://klasma.github.io/Logging_2062/klagomål/A 14293-2024 FSC-klagomål.docx", "A 14293-2024")</f>
        <v/>
      </c>
      <c r="W68">
        <f>HYPERLINK("https://klasma.github.io/Logging_2062/klagomålsmail/A 14293-2024 FSC-klagomål mail.docx", "A 14293-2024")</f>
        <v/>
      </c>
      <c r="X68">
        <f>HYPERLINK("https://klasma.github.io/Logging_2062/tillsyn/A 14293-2024 tillsynsbegäran.docx", "A 14293-2024")</f>
        <v/>
      </c>
      <c r="Y68">
        <f>HYPERLINK("https://klasma.github.io/Logging_2062/tillsynsmail/A 14293-2024 tillsynsbegäran mail.docx", "A 14293-2024")</f>
        <v/>
      </c>
      <c r="Z68">
        <f>HYPERLINK("https://klasma.github.io/Logging_2062/fåglar/A 14293-2024 prioriterade fågelarter.docx", "A 14293-2024")</f>
        <v/>
      </c>
    </row>
    <row r="69" ht="15" customHeight="1">
      <c r="A69" t="inlineStr">
        <is>
          <t>A 17648-2024</t>
        </is>
      </c>
      <c r="B69" s="1" t="n">
        <v>45418.39261574074</v>
      </c>
      <c r="C69" s="1" t="n">
        <v>46116</v>
      </c>
      <c r="D69" t="inlineStr">
        <is>
          <t>DALARNAS LÄN</t>
        </is>
      </c>
      <c r="E69" t="inlineStr">
        <is>
          <t>MORA</t>
        </is>
      </c>
      <c r="G69" t="n">
        <v>1.7</v>
      </c>
      <c r="H69" t="n">
        <v>4</v>
      </c>
      <c r="I69" t="n">
        <v>0</v>
      </c>
      <c r="J69" t="n">
        <v>2</v>
      </c>
      <c r="K69" t="n">
        <v>0</v>
      </c>
      <c r="L69" t="n">
        <v>0</v>
      </c>
      <c r="M69" t="n">
        <v>0</v>
      </c>
      <c r="N69" t="n">
        <v>0</v>
      </c>
      <c r="O69" t="n">
        <v>2</v>
      </c>
      <c r="P69" t="n">
        <v>0</v>
      </c>
      <c r="Q69" t="n">
        <v>4</v>
      </c>
      <c r="R69" s="2" t="inlineStr">
        <is>
          <t>Brunlångöra
Nordfladdermus
Dvärgpipistrell
Vattenfladdermus</t>
        </is>
      </c>
      <c r="S69">
        <f>HYPERLINK("https://klasma.github.io/Logging_2062/artfynd/A 17648-2024 artfynd.xlsx", "A 17648-2024")</f>
        <v/>
      </c>
      <c r="T69">
        <f>HYPERLINK("https://klasma.github.io/Logging_2062/kartor/A 17648-2024 karta.png", "A 17648-2024")</f>
        <v/>
      </c>
      <c r="V69">
        <f>HYPERLINK("https://klasma.github.io/Logging_2062/klagomål/A 17648-2024 FSC-klagomål.docx", "A 17648-2024")</f>
        <v/>
      </c>
      <c r="W69">
        <f>HYPERLINK("https://klasma.github.io/Logging_2062/klagomålsmail/A 17648-2024 FSC-klagomål mail.docx", "A 17648-2024")</f>
        <v/>
      </c>
      <c r="X69">
        <f>HYPERLINK("https://klasma.github.io/Logging_2062/tillsyn/A 17648-2024 tillsynsbegäran.docx", "A 17648-2024")</f>
        <v/>
      </c>
      <c r="Y69">
        <f>HYPERLINK("https://klasma.github.io/Logging_2062/tillsynsmail/A 17648-2024 tillsynsbegäran mail.docx", "A 17648-2024")</f>
        <v/>
      </c>
    </row>
    <row r="70" ht="15" customHeight="1">
      <c r="A70" t="inlineStr">
        <is>
          <t>A 32222-2025</t>
        </is>
      </c>
      <c r="B70" s="1" t="n">
        <v>45835.59140046296</v>
      </c>
      <c r="C70" s="1" t="n">
        <v>46116</v>
      </c>
      <c r="D70" t="inlineStr">
        <is>
          <t>DALARNAS LÄN</t>
        </is>
      </c>
      <c r="E70" t="inlineStr">
        <is>
          <t>MORA</t>
        </is>
      </c>
      <c r="G70" t="n">
        <v>11.5</v>
      </c>
      <c r="H70" t="n">
        <v>1</v>
      </c>
      <c r="I70" t="n">
        <v>0</v>
      </c>
      <c r="J70" t="n">
        <v>4</v>
      </c>
      <c r="K70" t="n">
        <v>0</v>
      </c>
      <c r="L70" t="n">
        <v>0</v>
      </c>
      <c r="M70" t="n">
        <v>0</v>
      </c>
      <c r="N70" t="n">
        <v>0</v>
      </c>
      <c r="O70" t="n">
        <v>4</v>
      </c>
      <c r="P70" t="n">
        <v>0</v>
      </c>
      <c r="Q70" t="n">
        <v>4</v>
      </c>
      <c r="R70" s="2" t="inlineStr">
        <is>
          <t>Garnlav
Reliktbock
Tallticka
Tretåig hackspett</t>
        </is>
      </c>
      <c r="S70">
        <f>HYPERLINK("https://klasma.github.io/Logging_2062/artfynd/A 32222-2025 artfynd.xlsx", "A 32222-2025")</f>
        <v/>
      </c>
      <c r="T70">
        <f>HYPERLINK("https://klasma.github.io/Logging_2062/kartor/A 32222-2025 karta.png", "A 32222-2025")</f>
        <v/>
      </c>
      <c r="V70">
        <f>HYPERLINK("https://klasma.github.io/Logging_2062/klagomål/A 32222-2025 FSC-klagomål.docx", "A 32222-2025")</f>
        <v/>
      </c>
      <c r="W70">
        <f>HYPERLINK("https://klasma.github.io/Logging_2062/klagomålsmail/A 32222-2025 FSC-klagomål mail.docx", "A 32222-2025")</f>
        <v/>
      </c>
      <c r="X70">
        <f>HYPERLINK("https://klasma.github.io/Logging_2062/tillsyn/A 32222-2025 tillsynsbegäran.docx", "A 32222-2025")</f>
        <v/>
      </c>
      <c r="Y70">
        <f>HYPERLINK("https://klasma.github.io/Logging_2062/tillsynsmail/A 32222-2025 tillsynsbegäran mail.docx", "A 32222-2025")</f>
        <v/>
      </c>
      <c r="Z70">
        <f>HYPERLINK("https://klasma.github.io/Logging_2062/fåglar/A 32222-2025 prioriterade fågelarter.docx", "A 32222-2025")</f>
        <v/>
      </c>
    </row>
    <row r="71" ht="15" customHeight="1">
      <c r="A71" t="inlineStr">
        <is>
          <t>A 39481-2025</t>
        </is>
      </c>
      <c r="B71" s="1" t="n">
        <v>45890.35545138889</v>
      </c>
      <c r="C71" s="1" t="n">
        <v>46116</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49695-2025</t>
        </is>
      </c>
      <c r="B72" s="1" t="n">
        <v>45939.67418981482</v>
      </c>
      <c r="C72" s="1" t="n">
        <v>46116</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62620-2025</t>
        </is>
      </c>
      <c r="B73" s="1" t="n">
        <v>46008.34148148148</v>
      </c>
      <c r="C73" s="1" t="n">
        <v>46116</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46116</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23163-2025</t>
        </is>
      </c>
      <c r="B75" s="1" t="n">
        <v>45791.41832175926</v>
      </c>
      <c r="C75" s="1" t="n">
        <v>46116</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29392-2025</t>
        </is>
      </c>
      <c r="B76" s="1" t="n">
        <v>45824.60537037037</v>
      </c>
      <c r="C76" s="1" t="n">
        <v>46116</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42028-2023</t>
        </is>
      </c>
      <c r="B77" s="1" t="n">
        <v>45177.49715277777</v>
      </c>
      <c r="C77" s="1" t="n">
        <v>46116</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46116</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46116</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46116</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46116</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46116</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831-2025</t>
        </is>
      </c>
      <c r="B83" s="1" t="n">
        <v>45665.58001157407</v>
      </c>
      <c r="C83" s="1" t="n">
        <v>46116</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68415-2021</t>
        </is>
      </c>
      <c r="B84" s="1" t="n">
        <v>44529</v>
      </c>
      <c r="C84" s="1" t="n">
        <v>46116</v>
      </c>
      <c r="D84" t="inlineStr">
        <is>
          <t>DALARNAS LÄN</t>
        </is>
      </c>
      <c r="E84" t="inlineStr">
        <is>
          <t>MORA</t>
        </is>
      </c>
      <c r="G84" t="n">
        <v>1.2</v>
      </c>
      <c r="H84" t="n">
        <v>1</v>
      </c>
      <c r="I84" t="n">
        <v>0</v>
      </c>
      <c r="J84" t="n">
        <v>0</v>
      </c>
      <c r="K84" t="n">
        <v>0</v>
      </c>
      <c r="L84" t="n">
        <v>0</v>
      </c>
      <c r="M84" t="n">
        <v>0</v>
      </c>
      <c r="N84" t="n">
        <v>0</v>
      </c>
      <c r="O84" t="n">
        <v>0</v>
      </c>
      <c r="P84" t="n">
        <v>0</v>
      </c>
      <c r="Q84" t="n">
        <v>1</v>
      </c>
      <c r="R84" s="2" t="inlineStr">
        <is>
          <t>Sparvuggla</t>
        </is>
      </c>
      <c r="S84">
        <f>HYPERLINK("https://klasma.github.io/Logging_2062/artfynd/A 68415-2021 artfynd.xlsx", "A 68415-2021")</f>
        <v/>
      </c>
      <c r="T84">
        <f>HYPERLINK("https://klasma.github.io/Logging_2062/kartor/A 68415-2021 karta.png", "A 68415-2021")</f>
        <v/>
      </c>
      <c r="V84">
        <f>HYPERLINK("https://klasma.github.io/Logging_2062/klagomål/A 68415-2021 FSC-klagomål.docx", "A 68415-2021")</f>
        <v/>
      </c>
      <c r="W84">
        <f>HYPERLINK("https://klasma.github.io/Logging_2062/klagomålsmail/A 68415-2021 FSC-klagomål mail.docx", "A 68415-2021")</f>
        <v/>
      </c>
      <c r="X84">
        <f>HYPERLINK("https://klasma.github.io/Logging_2062/tillsyn/A 68415-2021 tillsynsbegäran.docx", "A 68415-2021")</f>
        <v/>
      </c>
      <c r="Y84">
        <f>HYPERLINK("https://klasma.github.io/Logging_2062/tillsynsmail/A 68415-2021 tillsynsbegäran mail.docx", "A 68415-2021")</f>
        <v/>
      </c>
      <c r="Z84">
        <f>HYPERLINK("https://klasma.github.io/Logging_2062/fåglar/A 68415-2021 prioriterade fågelarter.docx", "A 68415-2021")</f>
        <v/>
      </c>
    </row>
    <row r="85" ht="15" customHeight="1">
      <c r="A85" t="inlineStr">
        <is>
          <t>A 57669-2022</t>
        </is>
      </c>
      <c r="B85" s="1" t="n">
        <v>44897</v>
      </c>
      <c r="C85" s="1" t="n">
        <v>46116</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46116</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62096-2025</t>
        </is>
      </c>
      <c r="B87" s="1" t="n">
        <v>46006.38961805555</v>
      </c>
      <c r="C87" s="1" t="n">
        <v>46116</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45344-2024</t>
        </is>
      </c>
      <c r="B88" s="1" t="n">
        <v>45576</v>
      </c>
      <c r="C88" s="1" t="n">
        <v>46116</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45344-2024 artfynd.xlsx", "A 45344-2024")</f>
        <v/>
      </c>
      <c r="T88">
        <f>HYPERLINK("https://klasma.github.io/Logging_2062/kartor/A 45344-2024 karta.png", "A 45344-2024")</f>
        <v/>
      </c>
      <c r="V88">
        <f>HYPERLINK("https://klasma.github.io/Logging_2062/klagomål/A 45344-2024 FSC-klagomål.docx", "A 45344-2024")</f>
        <v/>
      </c>
      <c r="W88">
        <f>HYPERLINK("https://klasma.github.io/Logging_2062/klagomålsmail/A 45344-2024 FSC-klagomål mail.docx", "A 45344-2024")</f>
        <v/>
      </c>
      <c r="X88">
        <f>HYPERLINK("https://klasma.github.io/Logging_2062/tillsyn/A 45344-2024 tillsynsbegäran.docx", "A 45344-2024")</f>
        <v/>
      </c>
      <c r="Y88">
        <f>HYPERLINK("https://klasma.github.io/Logging_2062/tillsynsmail/A 45344-2024 tillsynsbegäran mail.docx", "A 45344-2024")</f>
        <v/>
      </c>
    </row>
    <row r="89" ht="15" customHeight="1">
      <c r="A89" t="inlineStr">
        <is>
          <t>A 30328-2021</t>
        </is>
      </c>
      <c r="B89" s="1" t="n">
        <v>44364</v>
      </c>
      <c r="C89" s="1" t="n">
        <v>46116</v>
      </c>
      <c r="D89" t="inlineStr">
        <is>
          <t>DALARNAS LÄN</t>
        </is>
      </c>
      <c r="E89" t="inlineStr">
        <is>
          <t>MORA</t>
        </is>
      </c>
      <c r="F89" t="inlineStr">
        <is>
          <t>Bergvik skog öst AB</t>
        </is>
      </c>
      <c r="G89" t="n">
        <v>1.1</v>
      </c>
      <c r="H89" t="n">
        <v>1</v>
      </c>
      <c r="I89" t="n">
        <v>0</v>
      </c>
      <c r="J89" t="n">
        <v>1</v>
      </c>
      <c r="K89" t="n">
        <v>0</v>
      </c>
      <c r="L89" t="n">
        <v>0</v>
      </c>
      <c r="M89" t="n">
        <v>0</v>
      </c>
      <c r="N89" t="n">
        <v>0</v>
      </c>
      <c r="O89" t="n">
        <v>1</v>
      </c>
      <c r="P89" t="n">
        <v>0</v>
      </c>
      <c r="Q89" t="n">
        <v>1</v>
      </c>
      <c r="R89" s="2" t="inlineStr">
        <is>
          <t>Fjällvråk</t>
        </is>
      </c>
      <c r="S89">
        <f>HYPERLINK("https://klasma.github.io/Logging_2062/artfynd/A 30328-2021 artfynd.xlsx", "A 30328-2021")</f>
        <v/>
      </c>
      <c r="T89">
        <f>HYPERLINK("https://klasma.github.io/Logging_2062/kartor/A 30328-2021 karta.png", "A 30328-2021")</f>
        <v/>
      </c>
      <c r="V89">
        <f>HYPERLINK("https://klasma.github.io/Logging_2062/klagomål/A 30328-2021 FSC-klagomål.docx", "A 30328-2021")</f>
        <v/>
      </c>
      <c r="W89">
        <f>HYPERLINK("https://klasma.github.io/Logging_2062/klagomålsmail/A 30328-2021 FSC-klagomål mail.docx", "A 30328-2021")</f>
        <v/>
      </c>
      <c r="X89">
        <f>HYPERLINK("https://klasma.github.io/Logging_2062/tillsyn/A 30328-2021 tillsynsbegäran.docx", "A 30328-2021")</f>
        <v/>
      </c>
      <c r="Y89">
        <f>HYPERLINK("https://klasma.github.io/Logging_2062/tillsynsmail/A 30328-2021 tillsynsbegäran mail.docx", "A 30328-2021")</f>
        <v/>
      </c>
      <c r="Z89">
        <f>HYPERLINK("https://klasma.github.io/Logging_2062/fåglar/A 30328-2021 prioriterade fågelarter.docx", "A 30328-2021")</f>
        <v/>
      </c>
    </row>
    <row r="90" ht="15" customHeight="1">
      <c r="A90" t="inlineStr">
        <is>
          <t>A 13717-2023</t>
        </is>
      </c>
      <c r="B90" s="1" t="n">
        <v>45007</v>
      </c>
      <c r="C90" s="1" t="n">
        <v>46116</v>
      </c>
      <c r="D90" t="inlineStr">
        <is>
          <t>DALARNAS LÄN</t>
        </is>
      </c>
      <c r="E90" t="inlineStr">
        <is>
          <t>MORA</t>
        </is>
      </c>
      <c r="G90" t="n">
        <v>5.6</v>
      </c>
      <c r="H90" t="n">
        <v>0</v>
      </c>
      <c r="I90" t="n">
        <v>0</v>
      </c>
      <c r="J90" t="n">
        <v>1</v>
      </c>
      <c r="K90" t="n">
        <v>0</v>
      </c>
      <c r="L90" t="n">
        <v>0</v>
      </c>
      <c r="M90" t="n">
        <v>0</v>
      </c>
      <c r="N90" t="n">
        <v>0</v>
      </c>
      <c r="O90" t="n">
        <v>1</v>
      </c>
      <c r="P90" t="n">
        <v>0</v>
      </c>
      <c r="Q90" t="n">
        <v>1</v>
      </c>
      <c r="R90" s="2" t="inlineStr">
        <is>
          <t>Slåtterfibbla</t>
        </is>
      </c>
      <c r="S90">
        <f>HYPERLINK("https://klasma.github.io/Logging_2062/artfynd/A 13717-2023 artfynd.xlsx", "A 13717-2023")</f>
        <v/>
      </c>
      <c r="T90">
        <f>HYPERLINK("https://klasma.github.io/Logging_2062/kartor/A 13717-2023 karta.png", "A 13717-2023")</f>
        <v/>
      </c>
      <c r="U90">
        <f>HYPERLINK("https://klasma.github.io/Logging_2062/knärot/A 13717-2023 karta knärot.png", "A 13717-2023")</f>
        <v/>
      </c>
      <c r="V90">
        <f>HYPERLINK("https://klasma.github.io/Logging_2062/klagomål/A 13717-2023 FSC-klagomål.docx", "A 13717-2023")</f>
        <v/>
      </c>
      <c r="W90">
        <f>HYPERLINK("https://klasma.github.io/Logging_2062/klagomålsmail/A 13717-2023 FSC-klagomål mail.docx", "A 13717-2023")</f>
        <v/>
      </c>
      <c r="X90">
        <f>HYPERLINK("https://klasma.github.io/Logging_2062/tillsyn/A 13717-2023 tillsynsbegäran.docx", "A 13717-2023")</f>
        <v/>
      </c>
      <c r="Y90">
        <f>HYPERLINK("https://klasma.github.io/Logging_2062/tillsynsmail/A 13717-2023 tillsynsbegäran mail.docx", "A 13717-2023")</f>
        <v/>
      </c>
    </row>
    <row r="91" ht="15" customHeight="1">
      <c r="A91" t="inlineStr">
        <is>
          <t>A 20538-2025</t>
        </is>
      </c>
      <c r="B91" s="1" t="n">
        <v>45775.62283564815</v>
      </c>
      <c r="C91" s="1" t="n">
        <v>46116</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20538-2025 artfynd.xlsx", "A 20538-2025")</f>
        <v/>
      </c>
      <c r="T91">
        <f>HYPERLINK("https://klasma.github.io/Logging_2062/kartor/A 20538-2025 karta.png", "A 20538-2025")</f>
        <v/>
      </c>
      <c r="V91">
        <f>HYPERLINK("https://klasma.github.io/Logging_2062/klagomål/A 20538-2025 FSC-klagomål.docx", "A 20538-2025")</f>
        <v/>
      </c>
      <c r="W91">
        <f>HYPERLINK("https://klasma.github.io/Logging_2062/klagomålsmail/A 20538-2025 FSC-klagomål mail.docx", "A 20538-2025")</f>
        <v/>
      </c>
      <c r="X91">
        <f>HYPERLINK("https://klasma.github.io/Logging_2062/tillsyn/A 20538-2025 tillsynsbegäran.docx", "A 20538-2025")</f>
        <v/>
      </c>
      <c r="Y91">
        <f>HYPERLINK("https://klasma.github.io/Logging_2062/tillsynsmail/A 20538-2025 tillsynsbegäran mail.docx", "A 20538-2025")</f>
        <v/>
      </c>
    </row>
    <row r="92" ht="15" customHeight="1">
      <c r="A92" t="inlineStr">
        <is>
          <t>A 5304-2023</t>
        </is>
      </c>
      <c r="B92" s="1" t="n">
        <v>44959.55116898148</v>
      </c>
      <c r="C92" s="1" t="n">
        <v>46116</v>
      </c>
      <c r="D92" t="inlineStr">
        <is>
          <t>DALARNAS LÄN</t>
        </is>
      </c>
      <c r="E92" t="inlineStr">
        <is>
          <t>MORA</t>
        </is>
      </c>
      <c r="F92" t="inlineStr">
        <is>
          <t>Bergvik skog väst AB</t>
        </is>
      </c>
      <c r="G92" t="n">
        <v>7.3</v>
      </c>
      <c r="H92" t="n">
        <v>0</v>
      </c>
      <c r="I92" t="n">
        <v>0</v>
      </c>
      <c r="J92" t="n">
        <v>1</v>
      </c>
      <c r="K92" t="n">
        <v>0</v>
      </c>
      <c r="L92" t="n">
        <v>0</v>
      </c>
      <c r="M92" t="n">
        <v>0</v>
      </c>
      <c r="N92" t="n">
        <v>0</v>
      </c>
      <c r="O92" t="n">
        <v>1</v>
      </c>
      <c r="P92" t="n">
        <v>0</v>
      </c>
      <c r="Q92" t="n">
        <v>1</v>
      </c>
      <c r="R92" s="2" t="inlineStr">
        <is>
          <t>Backruta</t>
        </is>
      </c>
      <c r="S92">
        <f>HYPERLINK("https://klasma.github.io/Logging_2062/artfynd/A 5304-2023 artfynd.xlsx", "A 5304-2023")</f>
        <v/>
      </c>
      <c r="T92">
        <f>HYPERLINK("https://klasma.github.io/Logging_2062/kartor/A 5304-2023 karta.png", "A 5304-2023")</f>
        <v/>
      </c>
      <c r="V92">
        <f>HYPERLINK("https://klasma.github.io/Logging_2062/klagomål/A 5304-2023 FSC-klagomål.docx", "A 5304-2023")</f>
        <v/>
      </c>
      <c r="W92">
        <f>HYPERLINK("https://klasma.github.io/Logging_2062/klagomålsmail/A 5304-2023 FSC-klagomål mail.docx", "A 5304-2023")</f>
        <v/>
      </c>
      <c r="X92">
        <f>HYPERLINK("https://klasma.github.io/Logging_2062/tillsyn/A 5304-2023 tillsynsbegäran.docx", "A 5304-2023")</f>
        <v/>
      </c>
      <c r="Y92">
        <f>HYPERLINK("https://klasma.github.io/Logging_2062/tillsynsmail/A 5304-2023 tillsynsbegäran mail.docx", "A 5304-2023")</f>
        <v/>
      </c>
    </row>
    <row r="93" ht="15" customHeight="1">
      <c r="A93" t="inlineStr">
        <is>
          <t>A 27113-2024</t>
        </is>
      </c>
      <c r="B93" s="1" t="n">
        <v>45471</v>
      </c>
      <c r="C93" s="1" t="n">
        <v>46116</v>
      </c>
      <c r="D93" t="inlineStr">
        <is>
          <t>DALARNAS LÄN</t>
        </is>
      </c>
      <c r="E93" t="inlineStr">
        <is>
          <t>MORA</t>
        </is>
      </c>
      <c r="G93" t="n">
        <v>10.3</v>
      </c>
      <c r="H93" t="n">
        <v>0</v>
      </c>
      <c r="I93" t="n">
        <v>1</v>
      </c>
      <c r="J93" t="n">
        <v>0</v>
      </c>
      <c r="K93" t="n">
        <v>0</v>
      </c>
      <c r="L93" t="n">
        <v>0</v>
      </c>
      <c r="M93" t="n">
        <v>0</v>
      </c>
      <c r="N93" t="n">
        <v>0</v>
      </c>
      <c r="O93" t="n">
        <v>0</v>
      </c>
      <c r="P93" t="n">
        <v>0</v>
      </c>
      <c r="Q93" t="n">
        <v>1</v>
      </c>
      <c r="R93" s="2" t="inlineStr">
        <is>
          <t>Stor aspticka</t>
        </is>
      </c>
      <c r="S93">
        <f>HYPERLINK("https://klasma.github.io/Logging_2062/artfynd/A 27113-2024 artfynd.xlsx", "A 27113-2024")</f>
        <v/>
      </c>
      <c r="T93">
        <f>HYPERLINK("https://klasma.github.io/Logging_2062/kartor/A 27113-2024 karta.png", "A 27113-2024")</f>
        <v/>
      </c>
      <c r="V93">
        <f>HYPERLINK("https://klasma.github.io/Logging_2062/klagomål/A 27113-2024 FSC-klagomål.docx", "A 27113-2024")</f>
        <v/>
      </c>
      <c r="W93">
        <f>HYPERLINK("https://klasma.github.io/Logging_2062/klagomålsmail/A 27113-2024 FSC-klagomål mail.docx", "A 27113-2024")</f>
        <v/>
      </c>
      <c r="X93">
        <f>HYPERLINK("https://klasma.github.io/Logging_2062/tillsyn/A 27113-2024 tillsynsbegäran.docx", "A 27113-2024")</f>
        <v/>
      </c>
      <c r="Y93">
        <f>HYPERLINK("https://klasma.github.io/Logging_2062/tillsynsmail/A 27113-2024 tillsynsbegäran mail.docx", "A 27113-2024")</f>
        <v/>
      </c>
    </row>
    <row r="94" ht="15" customHeight="1">
      <c r="A94" t="inlineStr">
        <is>
          <t>A 38769-2021</t>
        </is>
      </c>
      <c r="B94" s="1" t="n">
        <v>44410</v>
      </c>
      <c r="C94" s="1" t="n">
        <v>46116</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46116</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42505-2021</t>
        </is>
      </c>
      <c r="B96" s="1" t="n">
        <v>44427</v>
      </c>
      <c r="C96" s="1" t="n">
        <v>46116</v>
      </c>
      <c r="D96" t="inlineStr">
        <is>
          <t>DALARNAS LÄN</t>
        </is>
      </c>
      <c r="E96" t="inlineStr">
        <is>
          <t>MORA</t>
        </is>
      </c>
      <c r="G96" t="n">
        <v>0.9</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46116</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46116</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46116</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34897-2022</t>
        </is>
      </c>
      <c r="B100" s="1" t="n">
        <v>44796</v>
      </c>
      <c r="C100" s="1" t="n">
        <v>46116</v>
      </c>
      <c r="D100" t="inlineStr">
        <is>
          <t>DALARNAS LÄN</t>
        </is>
      </c>
      <c r="E100" t="inlineStr">
        <is>
          <t>MORA</t>
        </is>
      </c>
      <c r="F100" t="inlineStr">
        <is>
          <t>Bergvik skog väst AB</t>
        </is>
      </c>
      <c r="G100" t="n">
        <v>8</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46116</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46116</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46116</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46116</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44459.68884259259</v>
      </c>
      <c r="C105" s="1" t="n">
        <v>46116</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6574-2022</t>
        </is>
      </c>
      <c r="B106" s="1" t="n">
        <v>44601</v>
      </c>
      <c r="C106" s="1" t="n">
        <v>46116</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54239-2021</t>
        </is>
      </c>
      <c r="B107" s="1" t="n">
        <v>44470.63695601852</v>
      </c>
      <c r="C107" s="1" t="n">
        <v>46116</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46116</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46116</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46116</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46116</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46116</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46116</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46116</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46116</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46116</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46116</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46116</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46116</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46116</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46116</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46116</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46116</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46116</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46116</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46116</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46116</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46116</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33269-2022</t>
        </is>
      </c>
      <c r="B129" s="1" t="n">
        <v>44788.32601851852</v>
      </c>
      <c r="C129" s="1" t="n">
        <v>46116</v>
      </c>
      <c r="D129" t="inlineStr">
        <is>
          <t>DALARNAS LÄN</t>
        </is>
      </c>
      <c r="E129" t="inlineStr">
        <is>
          <t>MORA</t>
        </is>
      </c>
      <c r="G129" t="n">
        <v>3.1</v>
      </c>
      <c r="H129" t="n">
        <v>0</v>
      </c>
      <c r="I129" t="n">
        <v>0</v>
      </c>
      <c r="J129" t="n">
        <v>0</v>
      </c>
      <c r="K129" t="n">
        <v>0</v>
      </c>
      <c r="L129" t="n">
        <v>0</v>
      </c>
      <c r="M129" t="n">
        <v>0</v>
      </c>
      <c r="N129" t="n">
        <v>0</v>
      </c>
      <c r="O129" t="n">
        <v>0</v>
      </c>
      <c r="P129" t="n">
        <v>0</v>
      </c>
      <c r="Q129" t="n">
        <v>0</v>
      </c>
      <c r="R129" s="2" t="inlineStr"/>
    </row>
    <row r="130" ht="15" customHeight="1">
      <c r="A130" t="inlineStr">
        <is>
          <t>A 58690-2021</t>
        </is>
      </c>
      <c r="B130" s="1" t="n">
        <v>44489</v>
      </c>
      <c r="C130" s="1" t="n">
        <v>46116</v>
      </c>
      <c r="D130" t="inlineStr">
        <is>
          <t>DALARNAS LÄN</t>
        </is>
      </c>
      <c r="E130" t="inlineStr">
        <is>
          <t>MORA</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46116</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46116</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46116</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46116</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46116</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46116</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46116</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46116</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46116</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46116</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46116</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46116</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46116</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46116</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46116</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46116</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46116</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46116</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46116</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46116</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46116</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46116</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46116</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46116</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46116</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46116</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46116</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46116</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46116</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46116</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46116</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5418-2025</t>
        </is>
      </c>
      <c r="B162" s="1" t="n">
        <v>45692.68561342593</v>
      </c>
      <c r="C162" s="1" t="n">
        <v>46116</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8068-2024</t>
        </is>
      </c>
      <c r="B163" s="1" t="n">
        <v>45351.41524305556</v>
      </c>
      <c r="C163" s="1" t="n">
        <v>46116</v>
      </c>
      <c r="D163" t="inlineStr">
        <is>
          <t>DALARNAS LÄN</t>
        </is>
      </c>
      <c r="E163" t="inlineStr">
        <is>
          <t>MORA</t>
        </is>
      </c>
      <c r="G163" t="n">
        <v>6.4</v>
      </c>
      <c r="H163" t="n">
        <v>0</v>
      </c>
      <c r="I163" t="n">
        <v>0</v>
      </c>
      <c r="J163" t="n">
        <v>0</v>
      </c>
      <c r="K163" t="n">
        <v>0</v>
      </c>
      <c r="L163" t="n">
        <v>0</v>
      </c>
      <c r="M163" t="n">
        <v>0</v>
      </c>
      <c r="N163" t="n">
        <v>0</v>
      </c>
      <c r="O163" t="n">
        <v>0</v>
      </c>
      <c r="P163" t="n">
        <v>0</v>
      </c>
      <c r="Q163" t="n">
        <v>0</v>
      </c>
      <c r="R163" s="2" t="inlineStr"/>
    </row>
    <row r="164" ht="15" customHeight="1">
      <c r="A164" t="inlineStr">
        <is>
          <t>A 8100-2024</t>
        </is>
      </c>
      <c r="B164" s="1" t="n">
        <v>45351.46583333334</v>
      </c>
      <c r="C164" s="1" t="n">
        <v>46116</v>
      </c>
      <c r="D164" t="inlineStr">
        <is>
          <t>DALARNAS LÄN</t>
        </is>
      </c>
      <c r="E164" t="inlineStr">
        <is>
          <t>MORA</t>
        </is>
      </c>
      <c r="G164" t="n">
        <v>3.2</v>
      </c>
      <c r="H164" t="n">
        <v>0</v>
      </c>
      <c r="I164" t="n">
        <v>0</v>
      </c>
      <c r="J164" t="n">
        <v>0</v>
      </c>
      <c r="K164" t="n">
        <v>0</v>
      </c>
      <c r="L164" t="n">
        <v>0</v>
      </c>
      <c r="M164" t="n">
        <v>0</v>
      </c>
      <c r="N164" t="n">
        <v>0</v>
      </c>
      <c r="O164" t="n">
        <v>0</v>
      </c>
      <c r="P164" t="n">
        <v>0</v>
      </c>
      <c r="Q164" t="n">
        <v>0</v>
      </c>
      <c r="R164" s="2" t="inlineStr"/>
    </row>
    <row r="165" ht="15" customHeight="1">
      <c r="A165" t="inlineStr">
        <is>
          <t>A 17176-2025</t>
        </is>
      </c>
      <c r="B165" s="1" t="n">
        <v>45756.37520833333</v>
      </c>
      <c r="C165" s="1" t="n">
        <v>46116</v>
      </c>
      <c r="D165" t="inlineStr">
        <is>
          <t>DALARNAS LÄN</t>
        </is>
      </c>
      <c r="E165" t="inlineStr">
        <is>
          <t>MORA</t>
        </is>
      </c>
      <c r="F165" t="inlineStr">
        <is>
          <t>Bergvik skog öst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59101-2024</t>
        </is>
      </c>
      <c r="B166" s="1" t="n">
        <v>45637.34074074074</v>
      </c>
      <c r="C166" s="1" t="n">
        <v>46116</v>
      </c>
      <c r="D166" t="inlineStr">
        <is>
          <t>DALARNAS LÄN</t>
        </is>
      </c>
      <c r="E166" t="inlineStr">
        <is>
          <t>MORA</t>
        </is>
      </c>
      <c r="F166" t="inlineStr">
        <is>
          <t>Allmännings- och besparingsskogar</t>
        </is>
      </c>
      <c r="G166" t="n">
        <v>1.2</v>
      </c>
      <c r="H166" t="n">
        <v>0</v>
      </c>
      <c r="I166" t="n">
        <v>0</v>
      </c>
      <c r="J166" t="n">
        <v>0</v>
      </c>
      <c r="K166" t="n">
        <v>0</v>
      </c>
      <c r="L166" t="n">
        <v>0</v>
      </c>
      <c r="M166" t="n">
        <v>0</v>
      </c>
      <c r="N166" t="n">
        <v>0</v>
      </c>
      <c r="O166" t="n">
        <v>0</v>
      </c>
      <c r="P166" t="n">
        <v>0</v>
      </c>
      <c r="Q166" t="n">
        <v>0</v>
      </c>
      <c r="R166" s="2" t="inlineStr"/>
    </row>
    <row r="167" ht="15" customHeight="1">
      <c r="A167" t="inlineStr">
        <is>
          <t>A 52525-2022</t>
        </is>
      </c>
      <c r="B167" s="1" t="n">
        <v>44874</v>
      </c>
      <c r="C167" s="1" t="n">
        <v>46116</v>
      </c>
      <c r="D167" t="inlineStr">
        <is>
          <t>DALARNAS LÄN</t>
        </is>
      </c>
      <c r="E167" t="inlineStr">
        <is>
          <t>MORA</t>
        </is>
      </c>
      <c r="F167" t="inlineStr">
        <is>
          <t>Bergvik skog öst AB</t>
        </is>
      </c>
      <c r="G167" t="n">
        <v>0.9</v>
      </c>
      <c r="H167" t="n">
        <v>0</v>
      </c>
      <c r="I167" t="n">
        <v>0</v>
      </c>
      <c r="J167" t="n">
        <v>0</v>
      </c>
      <c r="K167" t="n">
        <v>0</v>
      </c>
      <c r="L167" t="n">
        <v>0</v>
      </c>
      <c r="M167" t="n">
        <v>0</v>
      </c>
      <c r="N167" t="n">
        <v>0</v>
      </c>
      <c r="O167" t="n">
        <v>0</v>
      </c>
      <c r="P167" t="n">
        <v>0</v>
      </c>
      <c r="Q167" t="n">
        <v>0</v>
      </c>
      <c r="R167" s="2" t="inlineStr"/>
    </row>
    <row r="168" ht="15" customHeight="1">
      <c r="A168" t="inlineStr">
        <is>
          <t>A 48390-2024</t>
        </is>
      </c>
      <c r="B168" s="1" t="n">
        <v>45590.60216435185</v>
      </c>
      <c r="C168" s="1" t="n">
        <v>46116</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11442-2022</t>
        </is>
      </c>
      <c r="B169" s="1" t="n">
        <v>44630.62788194444</v>
      </c>
      <c r="C169" s="1" t="n">
        <v>46116</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43874-2024</t>
        </is>
      </c>
      <c r="B170" s="1" t="n">
        <v>45572.38476851852</v>
      </c>
      <c r="C170" s="1" t="n">
        <v>46116</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60099-2024</t>
        </is>
      </c>
      <c r="B171" s="1" t="n">
        <v>45642.55645833333</v>
      </c>
      <c r="C171" s="1" t="n">
        <v>46116</v>
      </c>
      <c r="D171" t="inlineStr">
        <is>
          <t>DALARNAS LÄN</t>
        </is>
      </c>
      <c r="E171" t="inlineStr">
        <is>
          <t>MORA</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15443-2025</t>
        </is>
      </c>
      <c r="B172" s="1" t="n">
        <v>45747.48371527778</v>
      </c>
      <c r="C172" s="1" t="n">
        <v>46116</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61405-2023</t>
        </is>
      </c>
      <c r="B173" s="1" t="n">
        <v>45264.65987268519</v>
      </c>
      <c r="C173" s="1" t="n">
        <v>46116</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14832-2025</t>
        </is>
      </c>
      <c r="B174" s="1" t="n">
        <v>45743</v>
      </c>
      <c r="C174" s="1" t="n">
        <v>46116</v>
      </c>
      <c r="D174" t="inlineStr">
        <is>
          <t>DALARNAS LÄN</t>
        </is>
      </c>
      <c r="E174" t="inlineStr">
        <is>
          <t>MORA</t>
        </is>
      </c>
      <c r="G174" t="n">
        <v>9.1</v>
      </c>
      <c r="H174" t="n">
        <v>0</v>
      </c>
      <c r="I174" t="n">
        <v>0</v>
      </c>
      <c r="J174" t="n">
        <v>0</v>
      </c>
      <c r="K174" t="n">
        <v>0</v>
      </c>
      <c r="L174" t="n">
        <v>0</v>
      </c>
      <c r="M174" t="n">
        <v>0</v>
      </c>
      <c r="N174" t="n">
        <v>0</v>
      </c>
      <c r="O174" t="n">
        <v>0</v>
      </c>
      <c r="P174" t="n">
        <v>0</v>
      </c>
      <c r="Q174" t="n">
        <v>0</v>
      </c>
      <c r="R174" s="2" t="inlineStr"/>
    </row>
    <row r="175" ht="15" customHeight="1">
      <c r="A175" t="inlineStr">
        <is>
          <t>A 31929-2024</t>
        </is>
      </c>
      <c r="B175" s="1" t="n">
        <v>45510.40587962963</v>
      </c>
      <c r="C175" s="1" t="n">
        <v>46116</v>
      </c>
      <c r="D175" t="inlineStr">
        <is>
          <t>DALARNAS LÄN</t>
        </is>
      </c>
      <c r="E175" t="inlineStr">
        <is>
          <t>MORA</t>
        </is>
      </c>
      <c r="G175" t="n">
        <v>10.8</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46116</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12490-2025</t>
        </is>
      </c>
      <c r="B177" s="1" t="n">
        <v>45730.59239583334</v>
      </c>
      <c r="C177" s="1" t="n">
        <v>46116</v>
      </c>
      <c r="D177" t="inlineStr">
        <is>
          <t>DALARNAS LÄN</t>
        </is>
      </c>
      <c r="E177" t="inlineStr">
        <is>
          <t>MORA</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18702-2025</t>
        </is>
      </c>
      <c r="B178" s="1" t="n">
        <v>45763.63166666667</v>
      </c>
      <c r="C178" s="1" t="n">
        <v>46116</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37971-2024</t>
        </is>
      </c>
      <c r="B179" s="1" t="n">
        <v>45544</v>
      </c>
      <c r="C179" s="1" t="n">
        <v>46116</v>
      </c>
      <c r="D179" t="inlineStr">
        <is>
          <t>DALARNAS LÄN</t>
        </is>
      </c>
      <c r="E179" t="inlineStr">
        <is>
          <t>MORA</t>
        </is>
      </c>
      <c r="G179" t="n">
        <v>2.3</v>
      </c>
      <c r="H179" t="n">
        <v>0</v>
      </c>
      <c r="I179" t="n">
        <v>0</v>
      </c>
      <c r="J179" t="n">
        <v>0</v>
      </c>
      <c r="K179" t="n">
        <v>0</v>
      </c>
      <c r="L179" t="n">
        <v>0</v>
      </c>
      <c r="M179" t="n">
        <v>0</v>
      </c>
      <c r="N179" t="n">
        <v>0</v>
      </c>
      <c r="O179" t="n">
        <v>0</v>
      </c>
      <c r="P179" t="n">
        <v>0</v>
      </c>
      <c r="Q179" t="n">
        <v>0</v>
      </c>
      <c r="R179" s="2" t="inlineStr"/>
    </row>
    <row r="180" ht="15" customHeight="1">
      <c r="A180" t="inlineStr">
        <is>
          <t>A 45349-2024</t>
        </is>
      </c>
      <c r="B180" s="1" t="n">
        <v>45576</v>
      </c>
      <c r="C180" s="1" t="n">
        <v>46116</v>
      </c>
      <c r="D180" t="inlineStr">
        <is>
          <t>DALARNAS LÄN</t>
        </is>
      </c>
      <c r="E180" t="inlineStr">
        <is>
          <t>MORA</t>
        </is>
      </c>
      <c r="G180" t="n">
        <v>0.6</v>
      </c>
      <c r="H180" t="n">
        <v>0</v>
      </c>
      <c r="I180" t="n">
        <v>0</v>
      </c>
      <c r="J180" t="n">
        <v>0</v>
      </c>
      <c r="K180" t="n">
        <v>0</v>
      </c>
      <c r="L180" t="n">
        <v>0</v>
      </c>
      <c r="M180" t="n">
        <v>0</v>
      </c>
      <c r="N180" t="n">
        <v>0</v>
      </c>
      <c r="O180" t="n">
        <v>0</v>
      </c>
      <c r="P180" t="n">
        <v>0</v>
      </c>
      <c r="Q180" t="n">
        <v>0</v>
      </c>
      <c r="R180" s="2" t="inlineStr"/>
    </row>
    <row r="181" ht="15" customHeight="1">
      <c r="A181" t="inlineStr">
        <is>
          <t>A 55671-2024</t>
        </is>
      </c>
      <c r="B181" s="1" t="n">
        <v>45622.65269675926</v>
      </c>
      <c r="C181" s="1" t="n">
        <v>46116</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46116</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39674-2023</t>
        </is>
      </c>
      <c r="B183" s="1" t="n">
        <v>45167</v>
      </c>
      <c r="C183" s="1" t="n">
        <v>46116</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17494-2025</t>
        </is>
      </c>
      <c r="B184" s="1" t="n">
        <v>45757.52033564815</v>
      </c>
      <c r="C184" s="1" t="n">
        <v>46116</v>
      </c>
      <c r="D184" t="inlineStr">
        <is>
          <t>DALARNAS LÄN</t>
        </is>
      </c>
      <c r="E184" t="inlineStr">
        <is>
          <t>MORA</t>
        </is>
      </c>
      <c r="G184" t="n">
        <v>5.3</v>
      </c>
      <c r="H184" t="n">
        <v>0</v>
      </c>
      <c r="I184" t="n">
        <v>0</v>
      </c>
      <c r="J184" t="n">
        <v>0</v>
      </c>
      <c r="K184" t="n">
        <v>0</v>
      </c>
      <c r="L184" t="n">
        <v>0</v>
      </c>
      <c r="M184" t="n">
        <v>0</v>
      </c>
      <c r="N184" t="n">
        <v>0</v>
      </c>
      <c r="O184" t="n">
        <v>0</v>
      </c>
      <c r="P184" t="n">
        <v>0</v>
      </c>
      <c r="Q184" t="n">
        <v>0</v>
      </c>
      <c r="R184" s="2" t="inlineStr"/>
    </row>
    <row r="185" ht="15" customHeight="1">
      <c r="A185" t="inlineStr">
        <is>
          <t>A 50911-2024</t>
        </is>
      </c>
      <c r="B185" s="1" t="n">
        <v>45602.7022337963</v>
      </c>
      <c r="C185" s="1" t="n">
        <v>46116</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15440-2024</t>
        </is>
      </c>
      <c r="B186" s="1" t="n">
        <v>45401.4194212963</v>
      </c>
      <c r="C186" s="1" t="n">
        <v>46116</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30998-2022</t>
        </is>
      </c>
      <c r="B187" s="1" t="n">
        <v>44768</v>
      </c>
      <c r="C187" s="1" t="n">
        <v>46116</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47143-2022</t>
        </is>
      </c>
      <c r="B188" s="1" t="n">
        <v>44852</v>
      </c>
      <c r="C188" s="1" t="n">
        <v>46116</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57475-2022</t>
        </is>
      </c>
      <c r="B189" s="1" t="n">
        <v>44896</v>
      </c>
      <c r="C189" s="1" t="n">
        <v>46116</v>
      </c>
      <c r="D189" t="inlineStr">
        <is>
          <t>DALARNAS LÄN</t>
        </is>
      </c>
      <c r="E189" t="inlineStr">
        <is>
          <t>MORA</t>
        </is>
      </c>
      <c r="G189" t="n">
        <v>5.7</v>
      </c>
      <c r="H189" t="n">
        <v>0</v>
      </c>
      <c r="I189" t="n">
        <v>0</v>
      </c>
      <c r="J189" t="n">
        <v>0</v>
      </c>
      <c r="K189" t="n">
        <v>0</v>
      </c>
      <c r="L189" t="n">
        <v>0</v>
      </c>
      <c r="M189" t="n">
        <v>0</v>
      </c>
      <c r="N189" t="n">
        <v>0</v>
      </c>
      <c r="O189" t="n">
        <v>0</v>
      </c>
      <c r="P189" t="n">
        <v>0</v>
      </c>
      <c r="Q189" t="n">
        <v>0</v>
      </c>
      <c r="R189" s="2" t="inlineStr"/>
    </row>
    <row r="190" ht="15" customHeight="1">
      <c r="A190" t="inlineStr">
        <is>
          <t>A 35363-2024</t>
        </is>
      </c>
      <c r="B190" s="1" t="n">
        <v>45531.34050925926</v>
      </c>
      <c r="C190" s="1" t="n">
        <v>46116</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44307-2021</t>
        </is>
      </c>
      <c r="B191" s="1" t="n">
        <v>44435</v>
      </c>
      <c r="C191" s="1" t="n">
        <v>46116</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34923-2022</t>
        </is>
      </c>
      <c r="B192" s="1" t="n">
        <v>44796</v>
      </c>
      <c r="C192" s="1" t="n">
        <v>46116</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46116</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48728-2022</t>
        </is>
      </c>
      <c r="B194" s="1" t="n">
        <v>44859.52145833334</v>
      </c>
      <c r="C194" s="1" t="n">
        <v>46116</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32410-2024</t>
        </is>
      </c>
      <c r="B195" s="1" t="n">
        <v>45512.70077546296</v>
      </c>
      <c r="C195" s="1" t="n">
        <v>46116</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5922-2025</t>
        </is>
      </c>
      <c r="B196" s="1" t="n">
        <v>45695.42762731481</v>
      </c>
      <c r="C196" s="1" t="n">
        <v>46116</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64327-2023</t>
        </is>
      </c>
      <c r="B197" s="1" t="n">
        <v>45280</v>
      </c>
      <c r="C197" s="1" t="n">
        <v>46116</v>
      </c>
      <c r="D197" t="inlineStr">
        <is>
          <t>DALARNAS LÄN</t>
        </is>
      </c>
      <c r="E197" t="inlineStr">
        <is>
          <t>MORA</t>
        </is>
      </c>
      <c r="G197" t="n">
        <v>0.8</v>
      </c>
      <c r="H197" t="n">
        <v>0</v>
      </c>
      <c r="I197" t="n">
        <v>0</v>
      </c>
      <c r="J197" t="n">
        <v>0</v>
      </c>
      <c r="K197" t="n">
        <v>0</v>
      </c>
      <c r="L197" t="n">
        <v>0</v>
      </c>
      <c r="M197" t="n">
        <v>0</v>
      </c>
      <c r="N197" t="n">
        <v>0</v>
      </c>
      <c r="O197" t="n">
        <v>0</v>
      </c>
      <c r="P197" t="n">
        <v>0</v>
      </c>
      <c r="Q197" t="n">
        <v>0</v>
      </c>
      <c r="R197" s="2" t="inlineStr"/>
    </row>
    <row r="198" ht="15" customHeight="1">
      <c r="A198" t="inlineStr">
        <is>
          <t>A 43533-2023</t>
        </is>
      </c>
      <c r="B198" s="1" t="n">
        <v>45184.53412037037</v>
      </c>
      <c r="C198" s="1" t="n">
        <v>46116</v>
      </c>
      <c r="D198" t="inlineStr">
        <is>
          <t>DALARNAS LÄN</t>
        </is>
      </c>
      <c r="E198" t="inlineStr">
        <is>
          <t>MORA</t>
        </is>
      </c>
      <c r="F198" t="inlineStr">
        <is>
          <t>Bergvik skog väst AB</t>
        </is>
      </c>
      <c r="G198" t="n">
        <v>10.3</v>
      </c>
      <c r="H198" t="n">
        <v>0</v>
      </c>
      <c r="I198" t="n">
        <v>0</v>
      </c>
      <c r="J198" t="n">
        <v>0</v>
      </c>
      <c r="K198" t="n">
        <v>0</v>
      </c>
      <c r="L198" t="n">
        <v>0</v>
      </c>
      <c r="M198" t="n">
        <v>0</v>
      </c>
      <c r="N198" t="n">
        <v>0</v>
      </c>
      <c r="O198" t="n">
        <v>0</v>
      </c>
      <c r="P198" t="n">
        <v>0</v>
      </c>
      <c r="Q198" t="n">
        <v>0</v>
      </c>
      <c r="R198" s="2" t="inlineStr"/>
    </row>
    <row r="199" ht="15" customHeight="1">
      <c r="A199" t="inlineStr">
        <is>
          <t>A 17145-2024</t>
        </is>
      </c>
      <c r="B199" s="1" t="n">
        <v>45412</v>
      </c>
      <c r="C199" s="1" t="n">
        <v>46116</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4994-2025</t>
        </is>
      </c>
      <c r="B200" s="1" t="n">
        <v>45691.35427083333</v>
      </c>
      <c r="C200" s="1" t="n">
        <v>46116</v>
      </c>
      <c r="D200" t="inlineStr">
        <is>
          <t>DALARNAS LÄN</t>
        </is>
      </c>
      <c r="E200" t="inlineStr">
        <is>
          <t>MORA</t>
        </is>
      </c>
      <c r="G200" t="n">
        <v>4.6</v>
      </c>
      <c r="H200" t="n">
        <v>0</v>
      </c>
      <c r="I200" t="n">
        <v>0</v>
      </c>
      <c r="J200" t="n">
        <v>0</v>
      </c>
      <c r="K200" t="n">
        <v>0</v>
      </c>
      <c r="L200" t="n">
        <v>0</v>
      </c>
      <c r="M200" t="n">
        <v>0</v>
      </c>
      <c r="N200" t="n">
        <v>0</v>
      </c>
      <c r="O200" t="n">
        <v>0</v>
      </c>
      <c r="P200" t="n">
        <v>0</v>
      </c>
      <c r="Q200" t="n">
        <v>0</v>
      </c>
      <c r="R200" s="2" t="inlineStr"/>
    </row>
    <row r="201" ht="15" customHeight="1">
      <c r="A201" t="inlineStr">
        <is>
          <t>A 15993-2025</t>
        </is>
      </c>
      <c r="B201" s="1" t="n">
        <v>45749.58428240741</v>
      </c>
      <c r="C201" s="1" t="n">
        <v>46116</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56012-2023</t>
        </is>
      </c>
      <c r="B202" s="1" t="n">
        <v>45240</v>
      </c>
      <c r="C202" s="1" t="n">
        <v>46116</v>
      </c>
      <c r="D202" t="inlineStr">
        <is>
          <t>DALARNAS LÄN</t>
        </is>
      </c>
      <c r="E202" t="inlineStr">
        <is>
          <t>MORA</t>
        </is>
      </c>
      <c r="G202" t="n">
        <v>0.3</v>
      </c>
      <c r="H202" t="n">
        <v>0</v>
      </c>
      <c r="I202" t="n">
        <v>0</v>
      </c>
      <c r="J202" t="n">
        <v>0</v>
      </c>
      <c r="K202" t="n">
        <v>0</v>
      </c>
      <c r="L202" t="n">
        <v>0</v>
      </c>
      <c r="M202" t="n">
        <v>0</v>
      </c>
      <c r="N202" t="n">
        <v>0</v>
      </c>
      <c r="O202" t="n">
        <v>0</v>
      </c>
      <c r="P202" t="n">
        <v>0</v>
      </c>
      <c r="Q202" t="n">
        <v>0</v>
      </c>
      <c r="R202" s="2" t="inlineStr"/>
    </row>
    <row r="203" ht="15" customHeight="1">
      <c r="A203" t="inlineStr">
        <is>
          <t>A 60674-2023</t>
        </is>
      </c>
      <c r="B203" s="1" t="n">
        <v>45260.46609953704</v>
      </c>
      <c r="C203" s="1" t="n">
        <v>46116</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5298-2023</t>
        </is>
      </c>
      <c r="B204" s="1" t="n">
        <v>44959.54355324074</v>
      </c>
      <c r="C204" s="1" t="n">
        <v>46116</v>
      </c>
      <c r="D204" t="inlineStr">
        <is>
          <t>DALARNAS LÄN</t>
        </is>
      </c>
      <c r="E204" t="inlineStr">
        <is>
          <t>MORA</t>
        </is>
      </c>
      <c r="F204" t="inlineStr">
        <is>
          <t>Bergvik skog väst AB</t>
        </is>
      </c>
      <c r="G204" t="n">
        <v>6.2</v>
      </c>
      <c r="H204" t="n">
        <v>0</v>
      </c>
      <c r="I204" t="n">
        <v>0</v>
      </c>
      <c r="J204" t="n">
        <v>0</v>
      </c>
      <c r="K204" t="n">
        <v>0</v>
      </c>
      <c r="L204" t="n">
        <v>0</v>
      </c>
      <c r="M204" t="n">
        <v>0</v>
      </c>
      <c r="N204" t="n">
        <v>0</v>
      </c>
      <c r="O204" t="n">
        <v>0</v>
      </c>
      <c r="P204" t="n">
        <v>0</v>
      </c>
      <c r="Q204" t="n">
        <v>0</v>
      </c>
      <c r="R204" s="2" t="inlineStr"/>
    </row>
    <row r="205" ht="15" customHeight="1">
      <c r="A205" t="inlineStr">
        <is>
          <t>A 51253-2023</t>
        </is>
      </c>
      <c r="B205" s="1" t="n">
        <v>45219</v>
      </c>
      <c r="C205" s="1" t="n">
        <v>46116</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57110-2021</t>
        </is>
      </c>
      <c r="B206" s="1" t="n">
        <v>44482</v>
      </c>
      <c r="C206" s="1" t="n">
        <v>46116</v>
      </c>
      <c r="D206" t="inlineStr">
        <is>
          <t>DALARNAS LÄN</t>
        </is>
      </c>
      <c r="E206" t="inlineStr">
        <is>
          <t>MORA</t>
        </is>
      </c>
      <c r="G206" t="n">
        <v>5.4</v>
      </c>
      <c r="H206" t="n">
        <v>0</v>
      </c>
      <c r="I206" t="n">
        <v>0</v>
      </c>
      <c r="J206" t="n">
        <v>0</v>
      </c>
      <c r="K206" t="n">
        <v>0</v>
      </c>
      <c r="L206" t="n">
        <v>0</v>
      </c>
      <c r="M206" t="n">
        <v>0</v>
      </c>
      <c r="N206" t="n">
        <v>0</v>
      </c>
      <c r="O206" t="n">
        <v>0</v>
      </c>
      <c r="P206" t="n">
        <v>0</v>
      </c>
      <c r="Q206" t="n">
        <v>0</v>
      </c>
      <c r="R206" s="2" t="inlineStr"/>
    </row>
    <row r="207" ht="15" customHeight="1">
      <c r="A207" t="inlineStr">
        <is>
          <t>A 57859-2022</t>
        </is>
      </c>
      <c r="B207" s="1" t="n">
        <v>44898</v>
      </c>
      <c r="C207" s="1" t="n">
        <v>46116</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11857-2023</t>
        </is>
      </c>
      <c r="B208" s="1" t="n">
        <v>44995</v>
      </c>
      <c r="C208" s="1" t="n">
        <v>46116</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61249-2023</t>
        </is>
      </c>
      <c r="B209" s="1" t="n">
        <v>45264</v>
      </c>
      <c r="C209" s="1" t="n">
        <v>46116</v>
      </c>
      <c r="D209" t="inlineStr">
        <is>
          <t>DALARNAS LÄN</t>
        </is>
      </c>
      <c r="E209" t="inlineStr">
        <is>
          <t>MORA</t>
        </is>
      </c>
      <c r="F209" t="inlineStr">
        <is>
          <t>Allmännings- och besparingsskogar</t>
        </is>
      </c>
      <c r="G209" t="n">
        <v>1.7</v>
      </c>
      <c r="H209" t="n">
        <v>0</v>
      </c>
      <c r="I209" t="n">
        <v>0</v>
      </c>
      <c r="J209" t="n">
        <v>0</v>
      </c>
      <c r="K209" t="n">
        <v>0</v>
      </c>
      <c r="L209" t="n">
        <v>0</v>
      </c>
      <c r="M209" t="n">
        <v>0</v>
      </c>
      <c r="N209" t="n">
        <v>0</v>
      </c>
      <c r="O209" t="n">
        <v>0</v>
      </c>
      <c r="P209" t="n">
        <v>0</v>
      </c>
      <c r="Q209" t="n">
        <v>0</v>
      </c>
      <c r="R209" s="2" t="inlineStr"/>
    </row>
    <row r="210" ht="15" customHeight="1">
      <c r="A210" t="inlineStr">
        <is>
          <t>A 25935-2023</t>
        </is>
      </c>
      <c r="B210" s="1" t="n">
        <v>45090.68675925926</v>
      </c>
      <c r="C210" s="1" t="n">
        <v>46116</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46116</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46116</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45562-2023</t>
        </is>
      </c>
      <c r="B213" s="1" t="n">
        <v>45194.59378472222</v>
      </c>
      <c r="C213" s="1" t="n">
        <v>46116</v>
      </c>
      <c r="D213" t="inlineStr">
        <is>
          <t>DALARNAS LÄN</t>
        </is>
      </c>
      <c r="E213" t="inlineStr">
        <is>
          <t>MORA</t>
        </is>
      </c>
      <c r="G213" t="n">
        <v>0.7</v>
      </c>
      <c r="H213" t="n">
        <v>0</v>
      </c>
      <c r="I213" t="n">
        <v>0</v>
      </c>
      <c r="J213" t="n">
        <v>0</v>
      </c>
      <c r="K213" t="n">
        <v>0</v>
      </c>
      <c r="L213" t="n">
        <v>0</v>
      </c>
      <c r="M213" t="n">
        <v>0</v>
      </c>
      <c r="N213" t="n">
        <v>0</v>
      </c>
      <c r="O213" t="n">
        <v>0</v>
      </c>
      <c r="P213" t="n">
        <v>0</v>
      </c>
      <c r="Q213" t="n">
        <v>0</v>
      </c>
      <c r="R213" s="2" t="inlineStr"/>
    </row>
    <row r="214" ht="15" customHeight="1">
      <c r="A214" t="inlineStr">
        <is>
          <t>A 66232-2021</t>
        </is>
      </c>
      <c r="B214" s="1" t="n">
        <v>44518.39234953704</v>
      </c>
      <c r="C214" s="1" t="n">
        <v>46116</v>
      </c>
      <c r="D214" t="inlineStr">
        <is>
          <t>DALARNAS LÄN</t>
        </is>
      </c>
      <c r="E214" t="inlineStr">
        <is>
          <t>MORA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51168-2024</t>
        </is>
      </c>
      <c r="B215" s="1" t="n">
        <v>45603.58619212963</v>
      </c>
      <c r="C215" s="1" t="n">
        <v>46116</v>
      </c>
      <c r="D215" t="inlineStr">
        <is>
          <t>DALARNAS LÄN</t>
        </is>
      </c>
      <c r="E215" t="inlineStr">
        <is>
          <t>MORA</t>
        </is>
      </c>
      <c r="G215" t="n">
        <v>3</v>
      </c>
      <c r="H215" t="n">
        <v>0</v>
      </c>
      <c r="I215" t="n">
        <v>0</v>
      </c>
      <c r="J215" t="n">
        <v>0</v>
      </c>
      <c r="K215" t="n">
        <v>0</v>
      </c>
      <c r="L215" t="n">
        <v>0</v>
      </c>
      <c r="M215" t="n">
        <v>0</v>
      </c>
      <c r="N215" t="n">
        <v>0</v>
      </c>
      <c r="O215" t="n">
        <v>0</v>
      </c>
      <c r="P215" t="n">
        <v>0</v>
      </c>
      <c r="Q215" t="n">
        <v>0</v>
      </c>
      <c r="R215" s="2" t="inlineStr"/>
    </row>
    <row r="216" ht="15" customHeight="1">
      <c r="A216" t="inlineStr">
        <is>
          <t>A 59182-2023</t>
        </is>
      </c>
      <c r="B216" s="1" t="n">
        <v>45253</v>
      </c>
      <c r="C216" s="1" t="n">
        <v>46116</v>
      </c>
      <c r="D216" t="inlineStr">
        <is>
          <t>DALARNAS LÄN</t>
        </is>
      </c>
      <c r="E216" t="inlineStr">
        <is>
          <t>MORA</t>
        </is>
      </c>
      <c r="G216" t="n">
        <v>3.3</v>
      </c>
      <c r="H216" t="n">
        <v>0</v>
      </c>
      <c r="I216" t="n">
        <v>0</v>
      </c>
      <c r="J216" t="n">
        <v>0</v>
      </c>
      <c r="K216" t="n">
        <v>0</v>
      </c>
      <c r="L216" t="n">
        <v>0</v>
      </c>
      <c r="M216" t="n">
        <v>0</v>
      </c>
      <c r="N216" t="n">
        <v>0</v>
      </c>
      <c r="O216" t="n">
        <v>0</v>
      </c>
      <c r="P216" t="n">
        <v>0</v>
      </c>
      <c r="Q216" t="n">
        <v>0</v>
      </c>
      <c r="R216" s="2" t="inlineStr"/>
    </row>
    <row r="217" ht="15" customHeight="1">
      <c r="A217" t="inlineStr">
        <is>
          <t>A 51570-2023</t>
        </is>
      </c>
      <c r="B217" s="1" t="n">
        <v>45222</v>
      </c>
      <c r="C217" s="1" t="n">
        <v>46116</v>
      </c>
      <c r="D217" t="inlineStr">
        <is>
          <t>DALARNAS LÄN</t>
        </is>
      </c>
      <c r="E217" t="inlineStr">
        <is>
          <t>MORA</t>
        </is>
      </c>
      <c r="G217" t="n">
        <v>10.1</v>
      </c>
      <c r="H217" t="n">
        <v>0</v>
      </c>
      <c r="I217" t="n">
        <v>0</v>
      </c>
      <c r="J217" t="n">
        <v>0</v>
      </c>
      <c r="K217" t="n">
        <v>0</v>
      </c>
      <c r="L217" t="n">
        <v>0</v>
      </c>
      <c r="M217" t="n">
        <v>0</v>
      </c>
      <c r="N217" t="n">
        <v>0</v>
      </c>
      <c r="O217" t="n">
        <v>0</v>
      </c>
      <c r="P217" t="n">
        <v>0</v>
      </c>
      <c r="Q217" t="n">
        <v>0</v>
      </c>
      <c r="R217" s="2" t="inlineStr"/>
    </row>
    <row r="218" ht="15" customHeight="1">
      <c r="A218" t="inlineStr">
        <is>
          <t>A 36600-2023</t>
        </is>
      </c>
      <c r="B218" s="1" t="n">
        <v>45153</v>
      </c>
      <c r="C218" s="1" t="n">
        <v>46116</v>
      </c>
      <c r="D218" t="inlineStr">
        <is>
          <t>DALARNAS LÄN</t>
        </is>
      </c>
      <c r="E218" t="inlineStr">
        <is>
          <t>MORA</t>
        </is>
      </c>
      <c r="G218" t="n">
        <v>7.3</v>
      </c>
      <c r="H218" t="n">
        <v>0</v>
      </c>
      <c r="I218" t="n">
        <v>0</v>
      </c>
      <c r="J218" t="n">
        <v>0</v>
      </c>
      <c r="K218" t="n">
        <v>0</v>
      </c>
      <c r="L218" t="n">
        <v>0</v>
      </c>
      <c r="M218" t="n">
        <v>0</v>
      </c>
      <c r="N218" t="n">
        <v>0</v>
      </c>
      <c r="O218" t="n">
        <v>0</v>
      </c>
      <c r="P218" t="n">
        <v>0</v>
      </c>
      <c r="Q218" t="n">
        <v>0</v>
      </c>
      <c r="R218" s="2" t="inlineStr"/>
    </row>
    <row r="219" ht="15" customHeight="1">
      <c r="A219" t="inlineStr">
        <is>
          <t>A 59995-2023</t>
        </is>
      </c>
      <c r="B219" s="1" t="n">
        <v>45254</v>
      </c>
      <c r="C219" s="1" t="n">
        <v>46116</v>
      </c>
      <c r="D219" t="inlineStr">
        <is>
          <t>DALARNAS LÄN</t>
        </is>
      </c>
      <c r="E219" t="inlineStr">
        <is>
          <t>MORA</t>
        </is>
      </c>
      <c r="G219" t="n">
        <v>1.2</v>
      </c>
      <c r="H219" t="n">
        <v>0</v>
      </c>
      <c r="I219" t="n">
        <v>0</v>
      </c>
      <c r="J219" t="n">
        <v>0</v>
      </c>
      <c r="K219" t="n">
        <v>0</v>
      </c>
      <c r="L219" t="n">
        <v>0</v>
      </c>
      <c r="M219" t="n">
        <v>0</v>
      </c>
      <c r="N219" t="n">
        <v>0</v>
      </c>
      <c r="O219" t="n">
        <v>0</v>
      </c>
      <c r="P219" t="n">
        <v>0</v>
      </c>
      <c r="Q219" t="n">
        <v>0</v>
      </c>
      <c r="R219" s="2" t="inlineStr"/>
    </row>
    <row r="220" ht="15" customHeight="1">
      <c r="A220" t="inlineStr">
        <is>
          <t>A 60673-2023</t>
        </is>
      </c>
      <c r="B220" s="1" t="n">
        <v>45260.46438657407</v>
      </c>
      <c r="C220" s="1" t="n">
        <v>46116</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46116</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61270-2024</t>
        </is>
      </c>
      <c r="B222" s="1" t="n">
        <v>45645.74694444444</v>
      </c>
      <c r="C222" s="1" t="n">
        <v>46116</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20930-2024</t>
        </is>
      </c>
      <c r="B223" s="1" t="n">
        <v>45439.51907407407</v>
      </c>
      <c r="C223" s="1" t="n">
        <v>46116</v>
      </c>
      <c r="D223" t="inlineStr">
        <is>
          <t>DALARNAS LÄN</t>
        </is>
      </c>
      <c r="E223" t="inlineStr">
        <is>
          <t>MORA</t>
        </is>
      </c>
      <c r="F223" t="inlineStr">
        <is>
          <t>Bergvik skog väst AB</t>
        </is>
      </c>
      <c r="G223" t="n">
        <v>5.3</v>
      </c>
      <c r="H223" t="n">
        <v>0</v>
      </c>
      <c r="I223" t="n">
        <v>0</v>
      </c>
      <c r="J223" t="n">
        <v>0</v>
      </c>
      <c r="K223" t="n">
        <v>0</v>
      </c>
      <c r="L223" t="n">
        <v>0</v>
      </c>
      <c r="M223" t="n">
        <v>0</v>
      </c>
      <c r="N223" t="n">
        <v>0</v>
      </c>
      <c r="O223" t="n">
        <v>0</v>
      </c>
      <c r="P223" t="n">
        <v>0</v>
      </c>
      <c r="Q223" t="n">
        <v>0</v>
      </c>
      <c r="R223" s="2" t="inlineStr"/>
    </row>
    <row r="224" ht="15" customHeight="1">
      <c r="A224" t="inlineStr">
        <is>
          <t>A 42611-2022</t>
        </is>
      </c>
      <c r="B224" s="1" t="n">
        <v>44831.81482638889</v>
      </c>
      <c r="C224" s="1" t="n">
        <v>46116</v>
      </c>
      <c r="D224" t="inlineStr">
        <is>
          <t>DALARNAS LÄN</t>
        </is>
      </c>
      <c r="E224" t="inlineStr">
        <is>
          <t>MORA</t>
        </is>
      </c>
      <c r="G224" t="n">
        <v>2.1</v>
      </c>
      <c r="H224" t="n">
        <v>0</v>
      </c>
      <c r="I224" t="n">
        <v>0</v>
      </c>
      <c r="J224" t="n">
        <v>0</v>
      </c>
      <c r="K224" t="n">
        <v>0</v>
      </c>
      <c r="L224" t="n">
        <v>0</v>
      </c>
      <c r="M224" t="n">
        <v>0</v>
      </c>
      <c r="N224" t="n">
        <v>0</v>
      </c>
      <c r="O224" t="n">
        <v>0</v>
      </c>
      <c r="P224" t="n">
        <v>0</v>
      </c>
      <c r="Q224" t="n">
        <v>0</v>
      </c>
      <c r="R224" s="2" t="inlineStr"/>
    </row>
    <row r="225" ht="15" customHeight="1">
      <c r="A225" t="inlineStr">
        <is>
          <t>A 17865-2025</t>
        </is>
      </c>
      <c r="B225" s="1" t="n">
        <v>45758.62951388889</v>
      </c>
      <c r="C225" s="1" t="n">
        <v>46116</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28934-2023</t>
        </is>
      </c>
      <c r="B226" s="1" t="n">
        <v>45104</v>
      </c>
      <c r="C226" s="1" t="n">
        <v>46116</v>
      </c>
      <c r="D226" t="inlineStr">
        <is>
          <t>DALARNAS LÄN</t>
        </is>
      </c>
      <c r="E226" t="inlineStr">
        <is>
          <t>MORA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33676-2023</t>
        </is>
      </c>
      <c r="B227" s="1" t="n">
        <v>45132.6291550926</v>
      </c>
      <c r="C227" s="1" t="n">
        <v>46116</v>
      </c>
      <c r="D227" t="inlineStr">
        <is>
          <t>DALARNAS LÄN</t>
        </is>
      </c>
      <c r="E227" t="inlineStr">
        <is>
          <t>MORA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5769-2025</t>
        </is>
      </c>
      <c r="B228" s="1" t="n">
        <v>45694.59288194445</v>
      </c>
      <c r="C228" s="1" t="n">
        <v>46116</v>
      </c>
      <c r="D228" t="inlineStr">
        <is>
          <t>DALARNAS LÄN</t>
        </is>
      </c>
      <c r="E228" t="inlineStr">
        <is>
          <t>MORA</t>
        </is>
      </c>
      <c r="G228" t="n">
        <v>15.7</v>
      </c>
      <c r="H228" t="n">
        <v>0</v>
      </c>
      <c r="I228" t="n">
        <v>0</v>
      </c>
      <c r="J228" t="n">
        <v>0</v>
      </c>
      <c r="K228" t="n">
        <v>0</v>
      </c>
      <c r="L228" t="n">
        <v>0</v>
      </c>
      <c r="M228" t="n">
        <v>0</v>
      </c>
      <c r="N228" t="n">
        <v>0</v>
      </c>
      <c r="O228" t="n">
        <v>0</v>
      </c>
      <c r="P228" t="n">
        <v>0</v>
      </c>
      <c r="Q228" t="n">
        <v>0</v>
      </c>
      <c r="R228" s="2" t="inlineStr"/>
    </row>
    <row r="229" ht="15" customHeight="1">
      <c r="A229" t="inlineStr">
        <is>
          <t>A 61188-2024</t>
        </is>
      </c>
      <c r="B229" s="1" t="n">
        <v>45645.62282407407</v>
      </c>
      <c r="C229" s="1" t="n">
        <v>46116</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57608-2021</t>
        </is>
      </c>
      <c r="B230" s="1" t="n">
        <v>44484</v>
      </c>
      <c r="C230" s="1" t="n">
        <v>46116</v>
      </c>
      <c r="D230" t="inlineStr">
        <is>
          <t>DALARNAS LÄN</t>
        </is>
      </c>
      <c r="E230" t="inlineStr">
        <is>
          <t>MORA</t>
        </is>
      </c>
      <c r="G230" t="n">
        <v>6.3</v>
      </c>
      <c r="H230" t="n">
        <v>0</v>
      </c>
      <c r="I230" t="n">
        <v>0</v>
      </c>
      <c r="J230" t="n">
        <v>0</v>
      </c>
      <c r="K230" t="n">
        <v>0</v>
      </c>
      <c r="L230" t="n">
        <v>0</v>
      </c>
      <c r="M230" t="n">
        <v>0</v>
      </c>
      <c r="N230" t="n">
        <v>0</v>
      </c>
      <c r="O230" t="n">
        <v>0</v>
      </c>
      <c r="P230" t="n">
        <v>0</v>
      </c>
      <c r="Q230" t="n">
        <v>0</v>
      </c>
      <c r="R230" s="2" t="inlineStr"/>
    </row>
    <row r="231" ht="15" customHeight="1">
      <c r="A231" t="inlineStr">
        <is>
          <t>A 54253-2023</t>
        </is>
      </c>
      <c r="B231" s="1" t="n">
        <v>45232.63217592592</v>
      </c>
      <c r="C231" s="1" t="n">
        <v>46116</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15416-2023</t>
        </is>
      </c>
      <c r="B232" s="1" t="n">
        <v>45019.71342592593</v>
      </c>
      <c r="C232" s="1" t="n">
        <v>46116</v>
      </c>
      <c r="D232" t="inlineStr">
        <is>
          <t>DALARNAS LÄN</t>
        </is>
      </c>
      <c r="E232" t="inlineStr">
        <is>
          <t>MORA</t>
        </is>
      </c>
      <c r="G232" t="n">
        <v>2</v>
      </c>
      <c r="H232" t="n">
        <v>0</v>
      </c>
      <c r="I232" t="n">
        <v>0</v>
      </c>
      <c r="J232" t="n">
        <v>0</v>
      </c>
      <c r="K232" t="n">
        <v>0</v>
      </c>
      <c r="L232" t="n">
        <v>0</v>
      </c>
      <c r="M232" t="n">
        <v>0</v>
      </c>
      <c r="N232" t="n">
        <v>0</v>
      </c>
      <c r="O232" t="n">
        <v>0</v>
      </c>
      <c r="P232" t="n">
        <v>0</v>
      </c>
      <c r="Q232" t="n">
        <v>0</v>
      </c>
      <c r="R232" s="2" t="inlineStr"/>
    </row>
    <row r="233" ht="15" customHeight="1">
      <c r="A233" t="inlineStr">
        <is>
          <t>A 37710-2023</t>
        </is>
      </c>
      <c r="B233" s="1" t="n">
        <v>45159.59186342593</v>
      </c>
      <c r="C233" s="1" t="n">
        <v>46116</v>
      </c>
      <c r="D233" t="inlineStr">
        <is>
          <t>DALARNAS LÄN</t>
        </is>
      </c>
      <c r="E233" t="inlineStr">
        <is>
          <t>MORA</t>
        </is>
      </c>
      <c r="G233" t="n">
        <v>1.9</v>
      </c>
      <c r="H233" t="n">
        <v>0</v>
      </c>
      <c r="I233" t="n">
        <v>0</v>
      </c>
      <c r="J233" t="n">
        <v>0</v>
      </c>
      <c r="K233" t="n">
        <v>0</v>
      </c>
      <c r="L233" t="n">
        <v>0</v>
      </c>
      <c r="M233" t="n">
        <v>0</v>
      </c>
      <c r="N233" t="n">
        <v>0</v>
      </c>
      <c r="O233" t="n">
        <v>0</v>
      </c>
      <c r="P233" t="n">
        <v>0</v>
      </c>
      <c r="Q233" t="n">
        <v>0</v>
      </c>
      <c r="R233" s="2" t="inlineStr"/>
    </row>
    <row r="234" ht="15" customHeight="1">
      <c r="A234" t="inlineStr">
        <is>
          <t>A 17393-2025</t>
        </is>
      </c>
      <c r="B234" s="1" t="n">
        <v>45757.34350694445</v>
      </c>
      <c r="C234" s="1" t="n">
        <v>46116</v>
      </c>
      <c r="D234" t="inlineStr">
        <is>
          <t>DALARNAS LÄN</t>
        </is>
      </c>
      <c r="E234" t="inlineStr">
        <is>
          <t>MORA</t>
        </is>
      </c>
      <c r="G234" t="n">
        <v>10.1</v>
      </c>
      <c r="H234" t="n">
        <v>0</v>
      </c>
      <c r="I234" t="n">
        <v>0</v>
      </c>
      <c r="J234" t="n">
        <v>0</v>
      </c>
      <c r="K234" t="n">
        <v>0</v>
      </c>
      <c r="L234" t="n">
        <v>0</v>
      </c>
      <c r="M234" t="n">
        <v>0</v>
      </c>
      <c r="N234" t="n">
        <v>0</v>
      </c>
      <c r="O234" t="n">
        <v>0</v>
      </c>
      <c r="P234" t="n">
        <v>0</v>
      </c>
      <c r="Q234" t="n">
        <v>0</v>
      </c>
      <c r="R234" s="2" t="inlineStr"/>
    </row>
    <row r="235" ht="15" customHeight="1">
      <c r="A235" t="inlineStr">
        <is>
          <t>A 25887-2023</t>
        </is>
      </c>
      <c r="B235" s="1" t="n">
        <v>45090.62493055555</v>
      </c>
      <c r="C235" s="1" t="n">
        <v>46116</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64099-2023</t>
        </is>
      </c>
      <c r="B236" s="1" t="n">
        <v>45279.46009259259</v>
      </c>
      <c r="C236" s="1" t="n">
        <v>46116</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19910-2024</t>
        </is>
      </c>
      <c r="B237" s="1" t="n">
        <v>45433.5741087963</v>
      </c>
      <c r="C237" s="1" t="n">
        <v>46116</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44313.54942129629</v>
      </c>
      <c r="C238" s="1" t="n">
        <v>46116</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23300-2024</t>
        </is>
      </c>
      <c r="B239" s="1" t="n">
        <v>45453.43695601852</v>
      </c>
      <c r="C239" s="1" t="n">
        <v>46116</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45355-2024</t>
        </is>
      </c>
      <c r="B240" s="1" t="n">
        <v>45576</v>
      </c>
      <c r="C240" s="1" t="n">
        <v>46116</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34382-2025</t>
        </is>
      </c>
      <c r="B241" s="1" t="n">
        <v>45846</v>
      </c>
      <c r="C241" s="1" t="n">
        <v>46116</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9599-2022</t>
        </is>
      </c>
      <c r="B242" s="1" t="n">
        <v>44617.48909722222</v>
      </c>
      <c r="C242" s="1" t="n">
        <v>46116</v>
      </c>
      <c r="D242" t="inlineStr">
        <is>
          <t>DALARNAS LÄN</t>
        </is>
      </c>
      <c r="E242" t="inlineStr">
        <is>
          <t>MORA</t>
        </is>
      </c>
      <c r="G242" t="n">
        <v>2.1</v>
      </c>
      <c r="H242" t="n">
        <v>0</v>
      </c>
      <c r="I242" t="n">
        <v>0</v>
      </c>
      <c r="J242" t="n">
        <v>0</v>
      </c>
      <c r="K242" t="n">
        <v>0</v>
      </c>
      <c r="L242" t="n">
        <v>0</v>
      </c>
      <c r="M242" t="n">
        <v>0</v>
      </c>
      <c r="N242" t="n">
        <v>0</v>
      </c>
      <c r="O242" t="n">
        <v>0</v>
      </c>
      <c r="P242" t="n">
        <v>0</v>
      </c>
      <c r="Q242" t="n">
        <v>0</v>
      </c>
      <c r="R242" s="2" t="inlineStr"/>
    </row>
    <row r="243" ht="15" customHeight="1">
      <c r="A243" t="inlineStr">
        <is>
          <t>A 35521-2023</t>
        </is>
      </c>
      <c r="B243" s="1" t="n">
        <v>45147.33251157407</v>
      </c>
      <c r="C243" s="1" t="n">
        <v>46116</v>
      </c>
      <c r="D243" t="inlineStr">
        <is>
          <t>DALARNAS LÄN</t>
        </is>
      </c>
      <c r="E243" t="inlineStr">
        <is>
          <t>MORA</t>
        </is>
      </c>
      <c r="G243" t="n">
        <v>3.7</v>
      </c>
      <c r="H243" t="n">
        <v>0</v>
      </c>
      <c r="I243" t="n">
        <v>0</v>
      </c>
      <c r="J243" t="n">
        <v>0</v>
      </c>
      <c r="K243" t="n">
        <v>0</v>
      </c>
      <c r="L243" t="n">
        <v>0</v>
      </c>
      <c r="M243" t="n">
        <v>0</v>
      </c>
      <c r="N243" t="n">
        <v>0</v>
      </c>
      <c r="O243" t="n">
        <v>0</v>
      </c>
      <c r="P243" t="n">
        <v>0</v>
      </c>
      <c r="Q243" t="n">
        <v>0</v>
      </c>
      <c r="R243" s="2" t="inlineStr"/>
    </row>
    <row r="244" ht="15" customHeight="1">
      <c r="A244" t="inlineStr">
        <is>
          <t>A 37695-2024</t>
        </is>
      </c>
      <c r="B244" s="1" t="n">
        <v>45541.61094907407</v>
      </c>
      <c r="C244" s="1" t="n">
        <v>46116</v>
      </c>
      <c r="D244" t="inlineStr">
        <is>
          <t>DALARNAS LÄN</t>
        </is>
      </c>
      <c r="E244" t="inlineStr">
        <is>
          <t>MORA</t>
        </is>
      </c>
      <c r="G244" t="n">
        <v>19.7</v>
      </c>
      <c r="H244" t="n">
        <v>0</v>
      </c>
      <c r="I244" t="n">
        <v>0</v>
      </c>
      <c r="J244" t="n">
        <v>0</v>
      </c>
      <c r="K244" t="n">
        <v>0</v>
      </c>
      <c r="L244" t="n">
        <v>0</v>
      </c>
      <c r="M244" t="n">
        <v>0</v>
      </c>
      <c r="N244" t="n">
        <v>0</v>
      </c>
      <c r="O244" t="n">
        <v>0</v>
      </c>
      <c r="P244" t="n">
        <v>0</v>
      </c>
      <c r="Q244" t="n">
        <v>0</v>
      </c>
      <c r="R244" s="2" t="inlineStr"/>
    </row>
    <row r="245" ht="15" customHeight="1">
      <c r="A245" t="inlineStr">
        <is>
          <t>A 34933-2025</t>
        </is>
      </c>
      <c r="B245" s="1" t="n">
        <v>45849.57297453703</v>
      </c>
      <c r="C245" s="1" t="n">
        <v>46116</v>
      </c>
      <c r="D245" t="inlineStr">
        <is>
          <t>DALARNAS LÄN</t>
        </is>
      </c>
      <c r="E245" t="inlineStr">
        <is>
          <t>MORA</t>
        </is>
      </c>
      <c r="F245" t="inlineStr">
        <is>
          <t>Bergvik skog väst AB</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60715-2023</t>
        </is>
      </c>
      <c r="B246" s="1" t="n">
        <v>45260.52684027778</v>
      </c>
      <c r="C246" s="1" t="n">
        <v>46116</v>
      </c>
      <c r="D246" t="inlineStr">
        <is>
          <t>DALARNAS LÄN</t>
        </is>
      </c>
      <c r="E246" t="inlineStr">
        <is>
          <t>MORA</t>
        </is>
      </c>
      <c r="G246" t="n">
        <v>1.7</v>
      </c>
      <c r="H246" t="n">
        <v>0</v>
      </c>
      <c r="I246" t="n">
        <v>0</v>
      </c>
      <c r="J246" t="n">
        <v>0</v>
      </c>
      <c r="K246" t="n">
        <v>0</v>
      </c>
      <c r="L246" t="n">
        <v>0</v>
      </c>
      <c r="M246" t="n">
        <v>0</v>
      </c>
      <c r="N246" t="n">
        <v>0</v>
      </c>
      <c r="O246" t="n">
        <v>0</v>
      </c>
      <c r="P246" t="n">
        <v>0</v>
      </c>
      <c r="Q246" t="n">
        <v>0</v>
      </c>
      <c r="R246" s="2" t="inlineStr"/>
    </row>
    <row r="247" ht="15" customHeight="1">
      <c r="A247" t="inlineStr">
        <is>
          <t>A 54257-2023</t>
        </is>
      </c>
      <c r="B247" s="1" t="n">
        <v>45232.64195601852</v>
      </c>
      <c r="C247" s="1" t="n">
        <v>46116</v>
      </c>
      <c r="D247" t="inlineStr">
        <is>
          <t>DALARNAS LÄN</t>
        </is>
      </c>
      <c r="E247" t="inlineStr">
        <is>
          <t>MORA</t>
        </is>
      </c>
      <c r="G247" t="n">
        <v>4</v>
      </c>
      <c r="H247" t="n">
        <v>0</v>
      </c>
      <c r="I247" t="n">
        <v>0</v>
      </c>
      <c r="J247" t="n">
        <v>0</v>
      </c>
      <c r="K247" t="n">
        <v>0</v>
      </c>
      <c r="L247" t="n">
        <v>0</v>
      </c>
      <c r="M247" t="n">
        <v>0</v>
      </c>
      <c r="N247" t="n">
        <v>0</v>
      </c>
      <c r="O247" t="n">
        <v>0</v>
      </c>
      <c r="P247" t="n">
        <v>0</v>
      </c>
      <c r="Q247" t="n">
        <v>0</v>
      </c>
      <c r="R247" s="2" t="inlineStr"/>
    </row>
    <row r="248" ht="15" customHeight="1">
      <c r="A248" t="inlineStr">
        <is>
          <t>A 35121-2025</t>
        </is>
      </c>
      <c r="B248" s="1" t="n">
        <v>45852.60936342592</v>
      </c>
      <c r="C248" s="1" t="n">
        <v>46116</v>
      </c>
      <c r="D248" t="inlineStr">
        <is>
          <t>DALARNAS LÄN</t>
        </is>
      </c>
      <c r="E248" t="inlineStr">
        <is>
          <t>MORA</t>
        </is>
      </c>
      <c r="F248" t="inlineStr">
        <is>
          <t>Bergvik skog öst AB</t>
        </is>
      </c>
      <c r="G248" t="n">
        <v>15.9</v>
      </c>
      <c r="H248" t="n">
        <v>0</v>
      </c>
      <c r="I248" t="n">
        <v>0</v>
      </c>
      <c r="J248" t="n">
        <v>0</v>
      </c>
      <c r="K248" t="n">
        <v>0</v>
      </c>
      <c r="L248" t="n">
        <v>0</v>
      </c>
      <c r="M248" t="n">
        <v>0</v>
      </c>
      <c r="N248" t="n">
        <v>0</v>
      </c>
      <c r="O248" t="n">
        <v>0</v>
      </c>
      <c r="P248" t="n">
        <v>0</v>
      </c>
      <c r="Q248" t="n">
        <v>0</v>
      </c>
      <c r="R248" s="2" t="inlineStr"/>
    </row>
    <row r="249" ht="15" customHeight="1">
      <c r="A249" t="inlineStr">
        <is>
          <t>A 25499-2024</t>
        </is>
      </c>
      <c r="B249" s="1" t="n">
        <v>45463</v>
      </c>
      <c r="C249" s="1" t="n">
        <v>46116</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35407-2025</t>
        </is>
      </c>
      <c r="B250" s="1" t="n">
        <v>45855.35989583333</v>
      </c>
      <c r="C250" s="1" t="n">
        <v>46116</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9277-2024</t>
        </is>
      </c>
      <c r="B251" s="1" t="n">
        <v>45358.63265046296</v>
      </c>
      <c r="C251" s="1" t="n">
        <v>46116</v>
      </c>
      <c r="D251" t="inlineStr">
        <is>
          <t>DALARNAS LÄN</t>
        </is>
      </c>
      <c r="E251" t="inlineStr">
        <is>
          <t>MORA</t>
        </is>
      </c>
      <c r="G251" t="n">
        <v>1.7</v>
      </c>
      <c r="H251" t="n">
        <v>0</v>
      </c>
      <c r="I251" t="n">
        <v>0</v>
      </c>
      <c r="J251" t="n">
        <v>0</v>
      </c>
      <c r="K251" t="n">
        <v>0</v>
      </c>
      <c r="L251" t="n">
        <v>0</v>
      </c>
      <c r="M251" t="n">
        <v>0</v>
      </c>
      <c r="N251" t="n">
        <v>0</v>
      </c>
      <c r="O251" t="n">
        <v>0</v>
      </c>
      <c r="P251" t="n">
        <v>0</v>
      </c>
      <c r="Q251" t="n">
        <v>0</v>
      </c>
      <c r="R251" s="2" t="inlineStr"/>
    </row>
    <row r="252" ht="15" customHeight="1">
      <c r="A252" t="inlineStr">
        <is>
          <t>A 58958-2022</t>
        </is>
      </c>
      <c r="B252" s="1" t="n">
        <v>44903.6605324074</v>
      </c>
      <c r="C252" s="1" t="n">
        <v>46116</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35611-2025</t>
        </is>
      </c>
      <c r="B253" s="1" t="n">
        <v>45859.35384259259</v>
      </c>
      <c r="C253" s="1" t="n">
        <v>46116</v>
      </c>
      <c r="D253" t="inlineStr">
        <is>
          <t>DALARNAS LÄN</t>
        </is>
      </c>
      <c r="E253" t="inlineStr">
        <is>
          <t>MORA</t>
        </is>
      </c>
      <c r="G253" t="n">
        <v>2.5</v>
      </c>
      <c r="H253" t="n">
        <v>0</v>
      </c>
      <c r="I253" t="n">
        <v>0</v>
      </c>
      <c r="J253" t="n">
        <v>0</v>
      </c>
      <c r="K253" t="n">
        <v>0</v>
      </c>
      <c r="L253" t="n">
        <v>0</v>
      </c>
      <c r="M253" t="n">
        <v>0</v>
      </c>
      <c r="N253" t="n">
        <v>0</v>
      </c>
      <c r="O253" t="n">
        <v>0</v>
      </c>
      <c r="P253" t="n">
        <v>0</v>
      </c>
      <c r="Q253" t="n">
        <v>0</v>
      </c>
      <c r="R253" s="2" t="inlineStr"/>
    </row>
    <row r="254" ht="15" customHeight="1">
      <c r="A254" t="inlineStr">
        <is>
          <t>A 35734-2025</t>
        </is>
      </c>
      <c r="B254" s="1" t="n">
        <v>45860.471875</v>
      </c>
      <c r="C254" s="1" t="n">
        <v>46116</v>
      </c>
      <c r="D254" t="inlineStr">
        <is>
          <t>DALARNAS LÄN</t>
        </is>
      </c>
      <c r="E254" t="inlineStr">
        <is>
          <t>MORA</t>
        </is>
      </c>
      <c r="G254" t="n">
        <v>1.3</v>
      </c>
      <c r="H254" t="n">
        <v>0</v>
      </c>
      <c r="I254" t="n">
        <v>0</v>
      </c>
      <c r="J254" t="n">
        <v>0</v>
      </c>
      <c r="K254" t="n">
        <v>0</v>
      </c>
      <c r="L254" t="n">
        <v>0</v>
      </c>
      <c r="M254" t="n">
        <v>0</v>
      </c>
      <c r="N254" t="n">
        <v>0</v>
      </c>
      <c r="O254" t="n">
        <v>0</v>
      </c>
      <c r="P254" t="n">
        <v>0</v>
      </c>
      <c r="Q254" t="n">
        <v>0</v>
      </c>
      <c r="R254" s="2" t="inlineStr"/>
    </row>
    <row r="255" ht="15" customHeight="1">
      <c r="A255" t="inlineStr">
        <is>
          <t>A 35623-2025</t>
        </is>
      </c>
      <c r="B255" s="1" t="n">
        <v>45859</v>
      </c>
      <c r="C255" s="1" t="n">
        <v>46116</v>
      </c>
      <c r="D255" t="inlineStr">
        <is>
          <t>DALARNAS LÄN</t>
        </is>
      </c>
      <c r="E255" t="inlineStr">
        <is>
          <t>MORA</t>
        </is>
      </c>
      <c r="F255" t="inlineStr">
        <is>
          <t>Bergvik skog öst AB</t>
        </is>
      </c>
      <c r="G255" t="n">
        <v>1</v>
      </c>
      <c r="H255" t="n">
        <v>0</v>
      </c>
      <c r="I255" t="n">
        <v>0</v>
      </c>
      <c r="J255" t="n">
        <v>0</v>
      </c>
      <c r="K255" t="n">
        <v>0</v>
      </c>
      <c r="L255" t="n">
        <v>0</v>
      </c>
      <c r="M255" t="n">
        <v>0</v>
      </c>
      <c r="N255" t="n">
        <v>0</v>
      </c>
      <c r="O255" t="n">
        <v>0</v>
      </c>
      <c r="P255" t="n">
        <v>0</v>
      </c>
      <c r="Q255" t="n">
        <v>0</v>
      </c>
      <c r="R255" s="2" t="inlineStr"/>
    </row>
    <row r="256" ht="15" customHeight="1">
      <c r="A256" t="inlineStr">
        <is>
          <t>A 52908-2023</t>
        </is>
      </c>
      <c r="B256" s="1" t="n">
        <v>45226.49950231481</v>
      </c>
      <c r="C256" s="1" t="n">
        <v>46116</v>
      </c>
      <c r="D256" t="inlineStr">
        <is>
          <t>DALARNAS LÄN</t>
        </is>
      </c>
      <c r="E256" t="inlineStr">
        <is>
          <t>MORA</t>
        </is>
      </c>
      <c r="G256" t="n">
        <v>3.3</v>
      </c>
      <c r="H256" t="n">
        <v>0</v>
      </c>
      <c r="I256" t="n">
        <v>0</v>
      </c>
      <c r="J256" t="n">
        <v>0</v>
      </c>
      <c r="K256" t="n">
        <v>0</v>
      </c>
      <c r="L256" t="n">
        <v>0</v>
      </c>
      <c r="M256" t="n">
        <v>0</v>
      </c>
      <c r="N256" t="n">
        <v>0</v>
      </c>
      <c r="O256" t="n">
        <v>0</v>
      </c>
      <c r="P256" t="n">
        <v>0</v>
      </c>
      <c r="Q256" t="n">
        <v>0</v>
      </c>
      <c r="R256" s="2" t="inlineStr"/>
    </row>
    <row r="257" ht="15" customHeight="1">
      <c r="A257" t="inlineStr">
        <is>
          <t>A 35622-2025</t>
        </is>
      </c>
      <c r="B257" s="1" t="n">
        <v>45859</v>
      </c>
      <c r="C257" s="1" t="n">
        <v>46116</v>
      </c>
      <c r="D257" t="inlineStr">
        <is>
          <t>DALARNAS LÄN</t>
        </is>
      </c>
      <c r="E257" t="inlineStr">
        <is>
          <t>MORA</t>
        </is>
      </c>
      <c r="F257" t="inlineStr">
        <is>
          <t>Bergvik skog öst AB</t>
        </is>
      </c>
      <c r="G257" t="n">
        <v>5.8</v>
      </c>
      <c r="H257" t="n">
        <v>0</v>
      </c>
      <c r="I257" t="n">
        <v>0</v>
      </c>
      <c r="J257" t="n">
        <v>0</v>
      </c>
      <c r="K257" t="n">
        <v>0</v>
      </c>
      <c r="L257" t="n">
        <v>0</v>
      </c>
      <c r="M257" t="n">
        <v>0</v>
      </c>
      <c r="N257" t="n">
        <v>0</v>
      </c>
      <c r="O257" t="n">
        <v>0</v>
      </c>
      <c r="P257" t="n">
        <v>0</v>
      </c>
      <c r="Q257" t="n">
        <v>0</v>
      </c>
      <c r="R257" s="2" t="inlineStr"/>
    </row>
    <row r="258" ht="15" customHeight="1">
      <c r="A258" t="inlineStr">
        <is>
          <t>A 18214-2024</t>
        </is>
      </c>
      <c r="B258" s="1" t="n">
        <v>45420</v>
      </c>
      <c r="C258" s="1" t="n">
        <v>46116</v>
      </c>
      <c r="D258" t="inlineStr">
        <is>
          <t>DALARNAS LÄN</t>
        </is>
      </c>
      <c r="E258" t="inlineStr">
        <is>
          <t>MORA</t>
        </is>
      </c>
      <c r="G258" t="n">
        <v>1</v>
      </c>
      <c r="H258" t="n">
        <v>0</v>
      </c>
      <c r="I258" t="n">
        <v>0</v>
      </c>
      <c r="J258" t="n">
        <v>0</v>
      </c>
      <c r="K258" t="n">
        <v>0</v>
      </c>
      <c r="L258" t="n">
        <v>0</v>
      </c>
      <c r="M258" t="n">
        <v>0</v>
      </c>
      <c r="N258" t="n">
        <v>0</v>
      </c>
      <c r="O258" t="n">
        <v>0</v>
      </c>
      <c r="P258" t="n">
        <v>0</v>
      </c>
      <c r="Q258" t="n">
        <v>0</v>
      </c>
      <c r="R258" s="2" t="inlineStr"/>
    </row>
    <row r="259" ht="15" customHeight="1">
      <c r="A259" t="inlineStr">
        <is>
          <t>A 35624-2025</t>
        </is>
      </c>
      <c r="B259" s="1" t="n">
        <v>45859</v>
      </c>
      <c r="C259" s="1" t="n">
        <v>46116</v>
      </c>
      <c r="D259" t="inlineStr">
        <is>
          <t>DALARNAS LÄN</t>
        </is>
      </c>
      <c r="E259" t="inlineStr">
        <is>
          <t>MORA</t>
        </is>
      </c>
      <c r="F259" t="inlineStr">
        <is>
          <t>Bergvik skog öst AB</t>
        </is>
      </c>
      <c r="G259" t="n">
        <v>0.8</v>
      </c>
      <c r="H259" t="n">
        <v>0</v>
      </c>
      <c r="I259" t="n">
        <v>0</v>
      </c>
      <c r="J259" t="n">
        <v>0</v>
      </c>
      <c r="K259" t="n">
        <v>0</v>
      </c>
      <c r="L259" t="n">
        <v>0</v>
      </c>
      <c r="M259" t="n">
        <v>0</v>
      </c>
      <c r="N259" t="n">
        <v>0</v>
      </c>
      <c r="O259" t="n">
        <v>0</v>
      </c>
      <c r="P259" t="n">
        <v>0</v>
      </c>
      <c r="Q259" t="n">
        <v>0</v>
      </c>
      <c r="R259" s="2" t="inlineStr"/>
    </row>
    <row r="260" ht="15" customHeight="1">
      <c r="A260" t="inlineStr">
        <is>
          <t>A 60465-2023</t>
        </is>
      </c>
      <c r="B260" s="1" t="n">
        <v>45259.57872685185</v>
      </c>
      <c r="C260" s="1" t="n">
        <v>46116</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61654-2024</t>
        </is>
      </c>
      <c r="B261" s="1" t="n">
        <v>45646.74988425926</v>
      </c>
      <c r="C261" s="1" t="n">
        <v>46116</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36041-2025</t>
        </is>
      </c>
      <c r="B262" s="1" t="n">
        <v>45866.34385416667</v>
      </c>
      <c r="C262" s="1" t="n">
        <v>46116</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60428-2023</t>
        </is>
      </c>
      <c r="B263" s="1" t="n">
        <v>45259.50996527778</v>
      </c>
      <c r="C263" s="1" t="n">
        <v>46116</v>
      </c>
      <c r="D263" t="inlineStr">
        <is>
          <t>DALARNAS LÄN</t>
        </is>
      </c>
      <c r="E263" t="inlineStr">
        <is>
          <t>MORA</t>
        </is>
      </c>
      <c r="G263" t="n">
        <v>4.9</v>
      </c>
      <c r="H263" t="n">
        <v>0</v>
      </c>
      <c r="I263" t="n">
        <v>0</v>
      </c>
      <c r="J263" t="n">
        <v>0</v>
      </c>
      <c r="K263" t="n">
        <v>0</v>
      </c>
      <c r="L263" t="n">
        <v>0</v>
      </c>
      <c r="M263" t="n">
        <v>0</v>
      </c>
      <c r="N263" t="n">
        <v>0</v>
      </c>
      <c r="O263" t="n">
        <v>0</v>
      </c>
      <c r="P263" t="n">
        <v>0</v>
      </c>
      <c r="Q263" t="n">
        <v>0</v>
      </c>
      <c r="R263" s="2" t="inlineStr"/>
    </row>
    <row r="264" ht="15" customHeight="1">
      <c r="A264" t="inlineStr">
        <is>
          <t>A 2308-2023</t>
        </is>
      </c>
      <c r="B264" s="1" t="n">
        <v>44942.57987268519</v>
      </c>
      <c r="C264" s="1" t="n">
        <v>46116</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16174-2025</t>
        </is>
      </c>
      <c r="B265" s="1" t="n">
        <v>45750</v>
      </c>
      <c r="C265" s="1" t="n">
        <v>46116</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36586-2025</t>
        </is>
      </c>
      <c r="B266" s="1" t="n">
        <v>45869</v>
      </c>
      <c r="C266" s="1" t="n">
        <v>46116</v>
      </c>
      <c r="D266" t="inlineStr">
        <is>
          <t>DALARNAS LÄN</t>
        </is>
      </c>
      <c r="E266" t="inlineStr">
        <is>
          <t>MORA</t>
        </is>
      </c>
      <c r="G266" t="n">
        <v>1.8</v>
      </c>
      <c r="H266" t="n">
        <v>0</v>
      </c>
      <c r="I266" t="n">
        <v>0</v>
      </c>
      <c r="J266" t="n">
        <v>0</v>
      </c>
      <c r="K266" t="n">
        <v>0</v>
      </c>
      <c r="L266" t="n">
        <v>0</v>
      </c>
      <c r="M266" t="n">
        <v>0</v>
      </c>
      <c r="N266" t="n">
        <v>0</v>
      </c>
      <c r="O266" t="n">
        <v>0</v>
      </c>
      <c r="P266" t="n">
        <v>0</v>
      </c>
      <c r="Q266" t="n">
        <v>0</v>
      </c>
      <c r="R266" s="2" t="inlineStr"/>
    </row>
    <row r="267" ht="15" customHeight="1">
      <c r="A267" t="inlineStr">
        <is>
          <t>A 53159-2024</t>
        </is>
      </c>
      <c r="B267" s="1" t="n">
        <v>45611.63849537037</v>
      </c>
      <c r="C267" s="1" t="n">
        <v>46116</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36760-2025</t>
        </is>
      </c>
      <c r="B268" s="1" t="n">
        <v>45873.57319444444</v>
      </c>
      <c r="C268" s="1" t="n">
        <v>46116</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29754-2022</t>
        </is>
      </c>
      <c r="B269" s="1" t="n">
        <v>44755.59188657408</v>
      </c>
      <c r="C269" s="1" t="n">
        <v>46116</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27188-2023</t>
        </is>
      </c>
      <c r="B270" s="1" t="n">
        <v>45096</v>
      </c>
      <c r="C270" s="1" t="n">
        <v>46116</v>
      </c>
      <c r="D270" t="inlineStr">
        <is>
          <t>DALARNAS LÄN</t>
        </is>
      </c>
      <c r="E270" t="inlineStr">
        <is>
          <t>MORA</t>
        </is>
      </c>
      <c r="G270" t="n">
        <v>4.8</v>
      </c>
      <c r="H270" t="n">
        <v>0</v>
      </c>
      <c r="I270" t="n">
        <v>0</v>
      </c>
      <c r="J270" t="n">
        <v>0</v>
      </c>
      <c r="K270" t="n">
        <v>0</v>
      </c>
      <c r="L270" t="n">
        <v>0</v>
      </c>
      <c r="M270" t="n">
        <v>0</v>
      </c>
      <c r="N270" t="n">
        <v>0</v>
      </c>
      <c r="O270" t="n">
        <v>0</v>
      </c>
      <c r="P270" t="n">
        <v>0</v>
      </c>
      <c r="Q270" t="n">
        <v>0</v>
      </c>
      <c r="R270" s="2" t="inlineStr"/>
    </row>
    <row r="271" ht="15" customHeight="1">
      <c r="A271" t="inlineStr">
        <is>
          <t>A 56268-2024</t>
        </is>
      </c>
      <c r="B271" s="1" t="n">
        <v>45624.65785879629</v>
      </c>
      <c r="C271" s="1" t="n">
        <v>46116</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39456-2025</t>
        </is>
      </c>
      <c r="B272" s="1" t="n">
        <v>45889.76200231481</v>
      </c>
      <c r="C272" s="1" t="n">
        <v>46116</v>
      </c>
      <c r="D272" t="inlineStr">
        <is>
          <t>DALARNAS LÄN</t>
        </is>
      </c>
      <c r="E272" t="inlineStr">
        <is>
          <t>MORA</t>
        </is>
      </c>
      <c r="F272" t="inlineStr">
        <is>
          <t>Bergvik skog öst AB</t>
        </is>
      </c>
      <c r="G272" t="n">
        <v>16.7</v>
      </c>
      <c r="H272" t="n">
        <v>0</v>
      </c>
      <c r="I272" t="n">
        <v>0</v>
      </c>
      <c r="J272" t="n">
        <v>0</v>
      </c>
      <c r="K272" t="n">
        <v>0</v>
      </c>
      <c r="L272" t="n">
        <v>0</v>
      </c>
      <c r="M272" t="n">
        <v>0</v>
      </c>
      <c r="N272" t="n">
        <v>0</v>
      </c>
      <c r="O272" t="n">
        <v>0</v>
      </c>
      <c r="P272" t="n">
        <v>0</v>
      </c>
      <c r="Q272" t="n">
        <v>0</v>
      </c>
      <c r="R272" s="2" t="inlineStr"/>
    </row>
    <row r="273" ht="15" customHeight="1">
      <c r="A273" t="inlineStr">
        <is>
          <t>A 14641-2023</t>
        </is>
      </c>
      <c r="B273" s="1" t="n">
        <v>45013</v>
      </c>
      <c r="C273" s="1" t="n">
        <v>46116</v>
      </c>
      <c r="D273" t="inlineStr">
        <is>
          <t>DALARNAS LÄN</t>
        </is>
      </c>
      <c r="E273" t="inlineStr">
        <is>
          <t>MORA</t>
        </is>
      </c>
      <c r="G273" t="n">
        <v>1.5</v>
      </c>
      <c r="H273" t="n">
        <v>0</v>
      </c>
      <c r="I273" t="n">
        <v>0</v>
      </c>
      <c r="J273" t="n">
        <v>0</v>
      </c>
      <c r="K273" t="n">
        <v>0</v>
      </c>
      <c r="L273" t="n">
        <v>0</v>
      </c>
      <c r="M273" t="n">
        <v>0</v>
      </c>
      <c r="N273" t="n">
        <v>0</v>
      </c>
      <c r="O273" t="n">
        <v>0</v>
      </c>
      <c r="P273" t="n">
        <v>0</v>
      </c>
      <c r="Q273" t="n">
        <v>0</v>
      </c>
      <c r="R273" s="2" t="inlineStr"/>
    </row>
    <row r="274" ht="15" customHeight="1">
      <c r="A274" t="inlineStr">
        <is>
          <t>A 39824-2025</t>
        </is>
      </c>
      <c r="B274" s="1" t="n">
        <v>45891</v>
      </c>
      <c r="C274" s="1" t="n">
        <v>46116</v>
      </c>
      <c r="D274" t="inlineStr">
        <is>
          <t>DALARNAS LÄN</t>
        </is>
      </c>
      <c r="E274" t="inlineStr">
        <is>
          <t>MORA</t>
        </is>
      </c>
      <c r="G274" t="n">
        <v>2</v>
      </c>
      <c r="H274" t="n">
        <v>0</v>
      </c>
      <c r="I274" t="n">
        <v>0</v>
      </c>
      <c r="J274" t="n">
        <v>0</v>
      </c>
      <c r="K274" t="n">
        <v>0</v>
      </c>
      <c r="L274" t="n">
        <v>0</v>
      </c>
      <c r="M274" t="n">
        <v>0</v>
      </c>
      <c r="N274" t="n">
        <v>0</v>
      </c>
      <c r="O274" t="n">
        <v>0</v>
      </c>
      <c r="P274" t="n">
        <v>0</v>
      </c>
      <c r="Q274" t="n">
        <v>0</v>
      </c>
      <c r="R274" s="2" t="inlineStr"/>
    </row>
    <row r="275" ht="15" customHeight="1">
      <c r="A275" t="inlineStr">
        <is>
          <t>A 39787-2025</t>
        </is>
      </c>
      <c r="B275" s="1" t="n">
        <v>45891</v>
      </c>
      <c r="C275" s="1" t="n">
        <v>46116</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36846-2025</t>
        </is>
      </c>
      <c r="B276" s="1" t="n">
        <v>45874.38655092593</v>
      </c>
      <c r="C276" s="1" t="n">
        <v>46116</v>
      </c>
      <c r="D276" t="inlineStr">
        <is>
          <t>DALARNAS LÄN</t>
        </is>
      </c>
      <c r="E276" t="inlineStr">
        <is>
          <t>MORA</t>
        </is>
      </c>
      <c r="G276" t="n">
        <v>10.7</v>
      </c>
      <c r="H276" t="n">
        <v>0</v>
      </c>
      <c r="I276" t="n">
        <v>0</v>
      </c>
      <c r="J276" t="n">
        <v>0</v>
      </c>
      <c r="K276" t="n">
        <v>0</v>
      </c>
      <c r="L276" t="n">
        <v>0</v>
      </c>
      <c r="M276" t="n">
        <v>0</v>
      </c>
      <c r="N276" t="n">
        <v>0</v>
      </c>
      <c r="O276" t="n">
        <v>0</v>
      </c>
      <c r="P276" t="n">
        <v>0</v>
      </c>
      <c r="Q276" t="n">
        <v>0</v>
      </c>
      <c r="R276" s="2" t="inlineStr"/>
    </row>
    <row r="277" ht="15" customHeight="1">
      <c r="A277" t="inlineStr">
        <is>
          <t>A 22854-2023</t>
        </is>
      </c>
      <c r="B277" s="1" t="n">
        <v>45072</v>
      </c>
      <c r="C277" s="1" t="n">
        <v>46116</v>
      </c>
      <c r="D277" t="inlineStr">
        <is>
          <t>DALARNAS LÄN</t>
        </is>
      </c>
      <c r="E277" t="inlineStr">
        <is>
          <t>MORA</t>
        </is>
      </c>
      <c r="G277" t="n">
        <v>3.3</v>
      </c>
      <c r="H277" t="n">
        <v>0</v>
      </c>
      <c r="I277" t="n">
        <v>0</v>
      </c>
      <c r="J277" t="n">
        <v>0</v>
      </c>
      <c r="K277" t="n">
        <v>0</v>
      </c>
      <c r="L277" t="n">
        <v>0</v>
      </c>
      <c r="M277" t="n">
        <v>0</v>
      </c>
      <c r="N277" t="n">
        <v>0</v>
      </c>
      <c r="O277" t="n">
        <v>0</v>
      </c>
      <c r="P277" t="n">
        <v>0</v>
      </c>
      <c r="Q277" t="n">
        <v>0</v>
      </c>
      <c r="R277" s="2" t="inlineStr"/>
    </row>
    <row r="278" ht="15" customHeight="1">
      <c r="A278" t="inlineStr">
        <is>
          <t>A 57408-2024</t>
        </is>
      </c>
      <c r="B278" s="1" t="n">
        <v>45629</v>
      </c>
      <c r="C278" s="1" t="n">
        <v>46116</v>
      </c>
      <c r="D278" t="inlineStr">
        <is>
          <t>DALARNAS LÄN</t>
        </is>
      </c>
      <c r="E278" t="inlineStr">
        <is>
          <t>MORA</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40471-2025</t>
        </is>
      </c>
      <c r="B279" s="1" t="n">
        <v>45895.67356481482</v>
      </c>
      <c r="C279" s="1" t="n">
        <v>46116</v>
      </c>
      <c r="D279" t="inlineStr">
        <is>
          <t>DALARNAS LÄN</t>
        </is>
      </c>
      <c r="E279" t="inlineStr">
        <is>
          <t>MORA</t>
        </is>
      </c>
      <c r="G279" t="n">
        <v>2.8</v>
      </c>
      <c r="H279" t="n">
        <v>0</v>
      </c>
      <c r="I279" t="n">
        <v>0</v>
      </c>
      <c r="J279" t="n">
        <v>0</v>
      </c>
      <c r="K279" t="n">
        <v>0</v>
      </c>
      <c r="L279" t="n">
        <v>0</v>
      </c>
      <c r="M279" t="n">
        <v>0</v>
      </c>
      <c r="N279" t="n">
        <v>0</v>
      </c>
      <c r="O279" t="n">
        <v>0</v>
      </c>
      <c r="P279" t="n">
        <v>0</v>
      </c>
      <c r="Q279" t="n">
        <v>0</v>
      </c>
      <c r="R279" s="2" t="inlineStr"/>
    </row>
    <row r="280" ht="15" customHeight="1">
      <c r="A280" t="inlineStr">
        <is>
          <t>A 1252-2025</t>
        </is>
      </c>
      <c r="B280" s="1" t="n">
        <v>45667.46648148148</v>
      </c>
      <c r="C280" s="1" t="n">
        <v>46116</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25737-2025</t>
        </is>
      </c>
      <c r="B281" s="1" t="n">
        <v>45800</v>
      </c>
      <c r="C281" s="1" t="n">
        <v>46116</v>
      </c>
      <c r="D281" t="inlineStr">
        <is>
          <t>DALARNAS LÄN</t>
        </is>
      </c>
      <c r="E281" t="inlineStr">
        <is>
          <t>MORA</t>
        </is>
      </c>
      <c r="G281" t="n">
        <v>9.6</v>
      </c>
      <c r="H281" t="n">
        <v>0</v>
      </c>
      <c r="I281" t="n">
        <v>0</v>
      </c>
      <c r="J281" t="n">
        <v>0</v>
      </c>
      <c r="K281" t="n">
        <v>0</v>
      </c>
      <c r="L281" t="n">
        <v>0</v>
      </c>
      <c r="M281" t="n">
        <v>0</v>
      </c>
      <c r="N281" t="n">
        <v>0</v>
      </c>
      <c r="O281" t="n">
        <v>0</v>
      </c>
      <c r="P281" t="n">
        <v>0</v>
      </c>
      <c r="Q281" t="n">
        <v>0</v>
      </c>
      <c r="R281" s="2" t="inlineStr"/>
    </row>
    <row r="282" ht="15" customHeight="1">
      <c r="A282" t="inlineStr">
        <is>
          <t>A 37070-2025</t>
        </is>
      </c>
      <c r="B282" s="1" t="n">
        <v>45875.39822916667</v>
      </c>
      <c r="C282" s="1" t="n">
        <v>46116</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9554-2025</t>
        </is>
      </c>
      <c r="B283" s="1" t="n">
        <v>45715.59936342593</v>
      </c>
      <c r="C283" s="1" t="n">
        <v>46116</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37268-2025</t>
        </is>
      </c>
      <c r="B284" s="1" t="n">
        <v>45876.46681712963</v>
      </c>
      <c r="C284" s="1" t="n">
        <v>46116</v>
      </c>
      <c r="D284" t="inlineStr">
        <is>
          <t>DALARNAS LÄN</t>
        </is>
      </c>
      <c r="E284" t="inlineStr">
        <is>
          <t>MORA</t>
        </is>
      </c>
      <c r="G284" t="n">
        <v>2.1</v>
      </c>
      <c r="H284" t="n">
        <v>0</v>
      </c>
      <c r="I284" t="n">
        <v>0</v>
      </c>
      <c r="J284" t="n">
        <v>0</v>
      </c>
      <c r="K284" t="n">
        <v>0</v>
      </c>
      <c r="L284" t="n">
        <v>0</v>
      </c>
      <c r="M284" t="n">
        <v>0</v>
      </c>
      <c r="N284" t="n">
        <v>0</v>
      </c>
      <c r="O284" t="n">
        <v>0</v>
      </c>
      <c r="P284" t="n">
        <v>0</v>
      </c>
      <c r="Q284" t="n">
        <v>0</v>
      </c>
      <c r="R284" s="2" t="inlineStr"/>
    </row>
    <row r="285" ht="15" customHeight="1">
      <c r="A285" t="inlineStr">
        <is>
          <t>A 40140-2025</t>
        </is>
      </c>
      <c r="B285" s="1" t="n">
        <v>45894.57016203704</v>
      </c>
      <c r="C285" s="1" t="n">
        <v>46116</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40142-2025</t>
        </is>
      </c>
      <c r="B286" s="1" t="n">
        <v>45894.57202546296</v>
      </c>
      <c r="C286" s="1" t="n">
        <v>46116</v>
      </c>
      <c r="D286" t="inlineStr">
        <is>
          <t>DALARNAS LÄN</t>
        </is>
      </c>
      <c r="E286" t="inlineStr">
        <is>
          <t>MORA</t>
        </is>
      </c>
      <c r="G286" t="n">
        <v>0.4</v>
      </c>
      <c r="H286" t="n">
        <v>0</v>
      </c>
      <c r="I286" t="n">
        <v>0</v>
      </c>
      <c r="J286" t="n">
        <v>0</v>
      </c>
      <c r="K286" t="n">
        <v>0</v>
      </c>
      <c r="L286" t="n">
        <v>0</v>
      </c>
      <c r="M286" t="n">
        <v>0</v>
      </c>
      <c r="N286" t="n">
        <v>0</v>
      </c>
      <c r="O286" t="n">
        <v>0</v>
      </c>
      <c r="P286" t="n">
        <v>0</v>
      </c>
      <c r="Q286" t="n">
        <v>0</v>
      </c>
      <c r="R286" s="2" t="inlineStr"/>
    </row>
    <row r="287" ht="15" customHeight="1">
      <c r="A287" t="inlineStr">
        <is>
          <t>A 40147-2025</t>
        </is>
      </c>
      <c r="B287" s="1" t="n">
        <v>45894.57918981482</v>
      </c>
      <c r="C287" s="1" t="n">
        <v>46116</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571-2024</t>
        </is>
      </c>
      <c r="B288" s="1" t="n">
        <v>45299</v>
      </c>
      <c r="C288" s="1" t="n">
        <v>46116</v>
      </c>
      <c r="D288" t="inlineStr">
        <is>
          <t>DALARNAS LÄN</t>
        </is>
      </c>
      <c r="E288" t="inlineStr">
        <is>
          <t>MORA</t>
        </is>
      </c>
      <c r="G288" t="n">
        <v>3.3</v>
      </c>
      <c r="H288" t="n">
        <v>0</v>
      </c>
      <c r="I288" t="n">
        <v>0</v>
      </c>
      <c r="J288" t="n">
        <v>0</v>
      </c>
      <c r="K288" t="n">
        <v>0</v>
      </c>
      <c r="L288" t="n">
        <v>0</v>
      </c>
      <c r="M288" t="n">
        <v>0</v>
      </c>
      <c r="N288" t="n">
        <v>0</v>
      </c>
      <c r="O288" t="n">
        <v>0</v>
      </c>
      <c r="P288" t="n">
        <v>0</v>
      </c>
      <c r="Q288" t="n">
        <v>0</v>
      </c>
      <c r="R288" s="2" t="inlineStr"/>
    </row>
    <row r="289" ht="15" customHeight="1">
      <c r="A289" t="inlineStr">
        <is>
          <t>A 20549-2025</t>
        </is>
      </c>
      <c r="B289" s="1" t="n">
        <v>45775.63459490741</v>
      </c>
      <c r="C289" s="1" t="n">
        <v>46116</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12478-2025</t>
        </is>
      </c>
      <c r="B290" s="1" t="n">
        <v>45730.57429398148</v>
      </c>
      <c r="C290" s="1" t="n">
        <v>46116</v>
      </c>
      <c r="D290" t="inlineStr">
        <is>
          <t>DALARNAS LÄN</t>
        </is>
      </c>
      <c r="E290" t="inlineStr">
        <is>
          <t>MORA</t>
        </is>
      </c>
      <c r="F290" t="inlineStr">
        <is>
          <t>Bergvik skog öst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40660-2025</t>
        </is>
      </c>
      <c r="B291" s="1" t="n">
        <v>45896.64631944444</v>
      </c>
      <c r="C291" s="1" t="n">
        <v>46116</v>
      </c>
      <c r="D291" t="inlineStr">
        <is>
          <t>DALARNAS LÄN</t>
        </is>
      </c>
      <c r="E291" t="inlineStr">
        <is>
          <t>MORA</t>
        </is>
      </c>
      <c r="F291" t="inlineStr">
        <is>
          <t>Bergvik skog väst AB</t>
        </is>
      </c>
      <c r="G291" t="n">
        <v>5.4</v>
      </c>
      <c r="H291" t="n">
        <v>0</v>
      </c>
      <c r="I291" t="n">
        <v>0</v>
      </c>
      <c r="J291" t="n">
        <v>0</v>
      </c>
      <c r="K291" t="n">
        <v>0</v>
      </c>
      <c r="L291" t="n">
        <v>0</v>
      </c>
      <c r="M291" t="n">
        <v>0</v>
      </c>
      <c r="N291" t="n">
        <v>0</v>
      </c>
      <c r="O291" t="n">
        <v>0</v>
      </c>
      <c r="P291" t="n">
        <v>0</v>
      </c>
      <c r="Q291" t="n">
        <v>0</v>
      </c>
      <c r="R291" s="2" t="inlineStr"/>
    </row>
    <row r="292" ht="15" customHeight="1">
      <c r="A292" t="inlineStr">
        <is>
          <t>A 40805-2025</t>
        </is>
      </c>
      <c r="B292" s="1" t="n">
        <v>45897.46659722222</v>
      </c>
      <c r="C292" s="1" t="n">
        <v>46116</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40661-2025</t>
        </is>
      </c>
      <c r="B293" s="1" t="n">
        <v>45896.64715277778</v>
      </c>
      <c r="C293" s="1" t="n">
        <v>46116</v>
      </c>
      <c r="D293" t="inlineStr">
        <is>
          <t>DALARNAS LÄN</t>
        </is>
      </c>
      <c r="E293" t="inlineStr">
        <is>
          <t>MORA</t>
        </is>
      </c>
      <c r="G293" t="n">
        <v>2.8</v>
      </c>
      <c r="H293" t="n">
        <v>0</v>
      </c>
      <c r="I293" t="n">
        <v>0</v>
      </c>
      <c r="J293" t="n">
        <v>0</v>
      </c>
      <c r="K293" t="n">
        <v>0</v>
      </c>
      <c r="L293" t="n">
        <v>0</v>
      </c>
      <c r="M293" t="n">
        <v>0</v>
      </c>
      <c r="N293" t="n">
        <v>0</v>
      </c>
      <c r="O293" t="n">
        <v>0</v>
      </c>
      <c r="P293" t="n">
        <v>0</v>
      </c>
      <c r="Q293" t="n">
        <v>0</v>
      </c>
      <c r="R293" s="2" t="inlineStr"/>
    </row>
    <row r="294" ht="15" customHeight="1">
      <c r="A294" t="inlineStr">
        <is>
          <t>A 53743-2024</t>
        </is>
      </c>
      <c r="B294" s="1" t="n">
        <v>45615.47137731482</v>
      </c>
      <c r="C294" s="1" t="n">
        <v>46116</v>
      </c>
      <c r="D294" t="inlineStr">
        <is>
          <t>DALARNAS LÄN</t>
        </is>
      </c>
      <c r="E294" t="inlineStr">
        <is>
          <t>MORA</t>
        </is>
      </c>
      <c r="G294" t="n">
        <v>1.4</v>
      </c>
      <c r="H294" t="n">
        <v>0</v>
      </c>
      <c r="I294" t="n">
        <v>0</v>
      </c>
      <c r="J294" t="n">
        <v>0</v>
      </c>
      <c r="K294" t="n">
        <v>0</v>
      </c>
      <c r="L294" t="n">
        <v>0</v>
      </c>
      <c r="M294" t="n">
        <v>0</v>
      </c>
      <c r="N294" t="n">
        <v>0</v>
      </c>
      <c r="O294" t="n">
        <v>0</v>
      </c>
      <c r="P294" t="n">
        <v>0</v>
      </c>
      <c r="Q294" t="n">
        <v>0</v>
      </c>
      <c r="R294" s="2" t="inlineStr"/>
    </row>
    <row r="295" ht="15" customHeight="1">
      <c r="A295" t="inlineStr">
        <is>
          <t>A 25345-2025</t>
        </is>
      </c>
      <c r="B295" s="1" t="n">
        <v>45799</v>
      </c>
      <c r="C295" s="1" t="n">
        <v>46116</v>
      </c>
      <c r="D295" t="inlineStr">
        <is>
          <t>DALARNAS LÄN</t>
        </is>
      </c>
      <c r="E295" t="inlineStr">
        <is>
          <t>MORA</t>
        </is>
      </c>
      <c r="G295" t="n">
        <v>3.1</v>
      </c>
      <c r="H295" t="n">
        <v>0</v>
      </c>
      <c r="I295" t="n">
        <v>0</v>
      </c>
      <c r="J295" t="n">
        <v>0</v>
      </c>
      <c r="K295" t="n">
        <v>0</v>
      </c>
      <c r="L295" t="n">
        <v>0</v>
      </c>
      <c r="M295" t="n">
        <v>0</v>
      </c>
      <c r="N295" t="n">
        <v>0</v>
      </c>
      <c r="O295" t="n">
        <v>0</v>
      </c>
      <c r="P295" t="n">
        <v>0</v>
      </c>
      <c r="Q295" t="n">
        <v>0</v>
      </c>
      <c r="R295" s="2" t="inlineStr"/>
    </row>
    <row r="296" ht="15" customHeight="1">
      <c r="A296" t="inlineStr">
        <is>
          <t>A 5309-2023</t>
        </is>
      </c>
      <c r="B296" s="1" t="n">
        <v>44956</v>
      </c>
      <c r="C296" s="1" t="n">
        <v>46116</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41200-2025</t>
        </is>
      </c>
      <c r="B297" s="1" t="n">
        <v>45898.5738425926</v>
      </c>
      <c r="C297" s="1" t="n">
        <v>46116</v>
      </c>
      <c r="D297" t="inlineStr">
        <is>
          <t>DALARNAS LÄN</t>
        </is>
      </c>
      <c r="E297" t="inlineStr">
        <is>
          <t>MORA</t>
        </is>
      </c>
      <c r="G297" t="n">
        <v>8.9</v>
      </c>
      <c r="H297" t="n">
        <v>0</v>
      </c>
      <c r="I297" t="n">
        <v>0</v>
      </c>
      <c r="J297" t="n">
        <v>0</v>
      </c>
      <c r="K297" t="n">
        <v>0</v>
      </c>
      <c r="L297" t="n">
        <v>0</v>
      </c>
      <c r="M297" t="n">
        <v>0</v>
      </c>
      <c r="N297" t="n">
        <v>0</v>
      </c>
      <c r="O297" t="n">
        <v>0</v>
      </c>
      <c r="P297" t="n">
        <v>0</v>
      </c>
      <c r="Q297" t="n">
        <v>0</v>
      </c>
      <c r="R297" s="2" t="inlineStr"/>
    </row>
    <row r="298" ht="15" customHeight="1">
      <c r="A298" t="inlineStr">
        <is>
          <t>A 41175-2025</t>
        </is>
      </c>
      <c r="B298" s="1" t="n">
        <v>45898.55165509259</v>
      </c>
      <c r="C298" s="1" t="n">
        <v>46116</v>
      </c>
      <c r="D298" t="inlineStr">
        <is>
          <t>DALARNAS LÄN</t>
        </is>
      </c>
      <c r="E298" t="inlineStr">
        <is>
          <t>MORA</t>
        </is>
      </c>
      <c r="G298" t="n">
        <v>4.5</v>
      </c>
      <c r="H298" t="n">
        <v>0</v>
      </c>
      <c r="I298" t="n">
        <v>0</v>
      </c>
      <c r="J298" t="n">
        <v>0</v>
      </c>
      <c r="K298" t="n">
        <v>0</v>
      </c>
      <c r="L298" t="n">
        <v>0</v>
      </c>
      <c r="M298" t="n">
        <v>0</v>
      </c>
      <c r="N298" t="n">
        <v>0</v>
      </c>
      <c r="O298" t="n">
        <v>0</v>
      </c>
      <c r="P298" t="n">
        <v>0</v>
      </c>
      <c r="Q298" t="n">
        <v>0</v>
      </c>
      <c r="R298" s="2" t="inlineStr"/>
    </row>
    <row r="299" ht="15" customHeight="1">
      <c r="A299" t="inlineStr">
        <is>
          <t>A 37879-2025</t>
        </is>
      </c>
      <c r="B299" s="1" t="n">
        <v>45881.48791666667</v>
      </c>
      <c r="C299" s="1" t="n">
        <v>46116</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38086-2025</t>
        </is>
      </c>
      <c r="B300" s="1" t="n">
        <v>45882.47625</v>
      </c>
      <c r="C300" s="1" t="n">
        <v>46116</v>
      </c>
      <c r="D300" t="inlineStr">
        <is>
          <t>DALARNAS LÄN</t>
        </is>
      </c>
      <c r="E300" t="inlineStr">
        <is>
          <t>MORA</t>
        </is>
      </c>
      <c r="G300" t="n">
        <v>2.4</v>
      </c>
      <c r="H300" t="n">
        <v>0</v>
      </c>
      <c r="I300" t="n">
        <v>0</v>
      </c>
      <c r="J300" t="n">
        <v>0</v>
      </c>
      <c r="K300" t="n">
        <v>0</v>
      </c>
      <c r="L300" t="n">
        <v>0</v>
      </c>
      <c r="M300" t="n">
        <v>0</v>
      </c>
      <c r="N300" t="n">
        <v>0</v>
      </c>
      <c r="O300" t="n">
        <v>0</v>
      </c>
      <c r="P300" t="n">
        <v>0</v>
      </c>
      <c r="Q300" t="n">
        <v>0</v>
      </c>
      <c r="R300" s="2" t="inlineStr"/>
    </row>
    <row r="301" ht="15" customHeight="1">
      <c r="A301" t="inlineStr">
        <is>
          <t>A 53527-2024</t>
        </is>
      </c>
      <c r="B301" s="1" t="n">
        <v>45614.61569444444</v>
      </c>
      <c r="C301" s="1" t="n">
        <v>46116</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41614-2025</t>
        </is>
      </c>
      <c r="B302" s="1" t="n">
        <v>45901.68267361111</v>
      </c>
      <c r="C302" s="1" t="n">
        <v>46116</v>
      </c>
      <c r="D302" t="inlineStr">
        <is>
          <t>DALARNAS LÄN</t>
        </is>
      </c>
      <c r="E302" t="inlineStr">
        <is>
          <t>MORA</t>
        </is>
      </c>
      <c r="F302" t="inlineStr">
        <is>
          <t>Bergvik skog väst AB</t>
        </is>
      </c>
      <c r="G302" t="n">
        <v>13.8</v>
      </c>
      <c r="H302" t="n">
        <v>0</v>
      </c>
      <c r="I302" t="n">
        <v>0</v>
      </c>
      <c r="J302" t="n">
        <v>0</v>
      </c>
      <c r="K302" t="n">
        <v>0</v>
      </c>
      <c r="L302" t="n">
        <v>0</v>
      </c>
      <c r="M302" t="n">
        <v>0</v>
      </c>
      <c r="N302" t="n">
        <v>0</v>
      </c>
      <c r="O302" t="n">
        <v>0</v>
      </c>
      <c r="P302" t="n">
        <v>0</v>
      </c>
      <c r="Q302" t="n">
        <v>0</v>
      </c>
      <c r="R302" s="2" t="inlineStr"/>
    </row>
    <row r="303" ht="15" customHeight="1">
      <c r="A303" t="inlineStr">
        <is>
          <t>A 18806-2025</t>
        </is>
      </c>
      <c r="B303" s="1" t="n">
        <v>45764.35269675926</v>
      </c>
      <c r="C303" s="1" t="n">
        <v>46116</v>
      </c>
      <c r="D303" t="inlineStr">
        <is>
          <t>DALARNAS LÄN</t>
        </is>
      </c>
      <c r="E303" t="inlineStr">
        <is>
          <t>MORA</t>
        </is>
      </c>
      <c r="G303" t="n">
        <v>1.7</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46116</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38073-2025</t>
        </is>
      </c>
      <c r="B305" s="1" t="n">
        <v>45882</v>
      </c>
      <c r="C305" s="1" t="n">
        <v>46116</v>
      </c>
      <c r="D305" t="inlineStr">
        <is>
          <t>DALARNAS LÄN</t>
        </is>
      </c>
      <c r="E305" t="inlineStr">
        <is>
          <t>MORA</t>
        </is>
      </c>
      <c r="G305" t="n">
        <v>2.5</v>
      </c>
      <c r="H305" t="n">
        <v>0</v>
      </c>
      <c r="I305" t="n">
        <v>0</v>
      </c>
      <c r="J305" t="n">
        <v>0</v>
      </c>
      <c r="K305" t="n">
        <v>0</v>
      </c>
      <c r="L305" t="n">
        <v>0</v>
      </c>
      <c r="M305" t="n">
        <v>0</v>
      </c>
      <c r="N305" t="n">
        <v>0</v>
      </c>
      <c r="O305" t="n">
        <v>0</v>
      </c>
      <c r="P305" t="n">
        <v>0</v>
      </c>
      <c r="Q305" t="n">
        <v>0</v>
      </c>
      <c r="R305" s="2" t="inlineStr"/>
    </row>
    <row r="306" ht="15" customHeight="1">
      <c r="A306" t="inlineStr">
        <is>
          <t>A 54628-2024</t>
        </is>
      </c>
      <c r="B306" s="1" t="n">
        <v>45617.83969907407</v>
      </c>
      <c r="C306" s="1" t="n">
        <v>46116</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24620-2025</t>
        </is>
      </c>
      <c r="B307" s="1" t="n">
        <v>45798.59290509259</v>
      </c>
      <c r="C307" s="1" t="n">
        <v>46116</v>
      </c>
      <c r="D307" t="inlineStr">
        <is>
          <t>DALARNAS LÄN</t>
        </is>
      </c>
      <c r="E307" t="inlineStr">
        <is>
          <t>MORA</t>
        </is>
      </c>
      <c r="F307" t="inlineStr">
        <is>
          <t>Bergvik skog väst AB</t>
        </is>
      </c>
      <c r="G307" t="n">
        <v>4.9</v>
      </c>
      <c r="H307" t="n">
        <v>0</v>
      </c>
      <c r="I307" t="n">
        <v>0</v>
      </c>
      <c r="J307" t="n">
        <v>0</v>
      </c>
      <c r="K307" t="n">
        <v>0</v>
      </c>
      <c r="L307" t="n">
        <v>0</v>
      </c>
      <c r="M307" t="n">
        <v>0</v>
      </c>
      <c r="N307" t="n">
        <v>0</v>
      </c>
      <c r="O307" t="n">
        <v>0</v>
      </c>
      <c r="P307" t="n">
        <v>0</v>
      </c>
      <c r="Q307" t="n">
        <v>0</v>
      </c>
      <c r="R307" s="2" t="inlineStr"/>
    </row>
    <row r="308" ht="15" customHeight="1">
      <c r="A308" t="inlineStr">
        <is>
          <t>A 16967-2025</t>
        </is>
      </c>
      <c r="B308" s="1" t="n">
        <v>45755.46106481482</v>
      </c>
      <c r="C308" s="1" t="n">
        <v>46116</v>
      </c>
      <c r="D308" t="inlineStr">
        <is>
          <t>DALARNAS LÄN</t>
        </is>
      </c>
      <c r="E308" t="inlineStr">
        <is>
          <t>MORA</t>
        </is>
      </c>
      <c r="F308" t="inlineStr">
        <is>
          <t>Bergvik skog öst AB</t>
        </is>
      </c>
      <c r="G308" t="n">
        <v>2.9</v>
      </c>
      <c r="H308" t="n">
        <v>0</v>
      </c>
      <c r="I308" t="n">
        <v>0</v>
      </c>
      <c r="J308" t="n">
        <v>0</v>
      </c>
      <c r="K308" t="n">
        <v>0</v>
      </c>
      <c r="L308" t="n">
        <v>0</v>
      </c>
      <c r="M308" t="n">
        <v>0</v>
      </c>
      <c r="N308" t="n">
        <v>0</v>
      </c>
      <c r="O308" t="n">
        <v>0</v>
      </c>
      <c r="P308" t="n">
        <v>0</v>
      </c>
      <c r="Q308" t="n">
        <v>0</v>
      </c>
      <c r="R308" s="2" t="inlineStr"/>
    </row>
    <row r="309" ht="15" customHeight="1">
      <c r="A309" t="inlineStr">
        <is>
          <t>A 24653-2025</t>
        </is>
      </c>
      <c r="B309" s="1" t="n">
        <v>45798.63875</v>
      </c>
      <c r="C309" s="1" t="n">
        <v>46116</v>
      </c>
      <c r="D309" t="inlineStr">
        <is>
          <t>DALARNAS LÄN</t>
        </is>
      </c>
      <c r="E309" t="inlineStr">
        <is>
          <t>MORA</t>
        </is>
      </c>
      <c r="F309" t="inlineStr">
        <is>
          <t>Bergvik skog väst AB</t>
        </is>
      </c>
      <c r="G309" t="n">
        <v>4.9</v>
      </c>
      <c r="H309" t="n">
        <v>0</v>
      </c>
      <c r="I309" t="n">
        <v>0</v>
      </c>
      <c r="J309" t="n">
        <v>0</v>
      </c>
      <c r="K309" t="n">
        <v>0</v>
      </c>
      <c r="L309" t="n">
        <v>0</v>
      </c>
      <c r="M309" t="n">
        <v>0</v>
      </c>
      <c r="N309" t="n">
        <v>0</v>
      </c>
      <c r="O309" t="n">
        <v>0</v>
      </c>
      <c r="P309" t="n">
        <v>0</v>
      </c>
      <c r="Q309" t="n">
        <v>0</v>
      </c>
      <c r="R309" s="2" t="inlineStr"/>
    </row>
    <row r="310" ht="15" customHeight="1">
      <c r="A310" t="inlineStr">
        <is>
          <t>A 41783-2025</t>
        </is>
      </c>
      <c r="B310" s="1" t="n">
        <v>45902.58721064815</v>
      </c>
      <c r="C310" s="1" t="n">
        <v>46116</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61278-2024</t>
        </is>
      </c>
      <c r="B311" s="1" t="n">
        <v>45645.76561342592</v>
      </c>
      <c r="C311" s="1" t="n">
        <v>46116</v>
      </c>
      <c r="D311" t="inlineStr">
        <is>
          <t>DALARNAS LÄN</t>
        </is>
      </c>
      <c r="E311" t="inlineStr">
        <is>
          <t>MORA</t>
        </is>
      </c>
      <c r="G311" t="n">
        <v>1.1</v>
      </c>
      <c r="H311" t="n">
        <v>0</v>
      </c>
      <c r="I311" t="n">
        <v>0</v>
      </c>
      <c r="J311" t="n">
        <v>0</v>
      </c>
      <c r="K311" t="n">
        <v>0</v>
      </c>
      <c r="L311" t="n">
        <v>0</v>
      </c>
      <c r="M311" t="n">
        <v>0</v>
      </c>
      <c r="N311" t="n">
        <v>0</v>
      </c>
      <c r="O311" t="n">
        <v>0</v>
      </c>
      <c r="P311" t="n">
        <v>0</v>
      </c>
      <c r="Q311" t="n">
        <v>0</v>
      </c>
      <c r="R311" s="2" t="inlineStr"/>
    </row>
    <row r="312" ht="15" customHeight="1">
      <c r="A312" t="inlineStr">
        <is>
          <t>A 59448-2022</t>
        </is>
      </c>
      <c r="B312" s="1" t="n">
        <v>44907</v>
      </c>
      <c r="C312" s="1" t="n">
        <v>46116</v>
      </c>
      <c r="D312" t="inlineStr">
        <is>
          <t>DALARNAS LÄN</t>
        </is>
      </c>
      <c r="E312" t="inlineStr">
        <is>
          <t>MORA</t>
        </is>
      </c>
      <c r="G312" t="n">
        <v>35.7</v>
      </c>
      <c r="H312" t="n">
        <v>0</v>
      </c>
      <c r="I312" t="n">
        <v>0</v>
      </c>
      <c r="J312" t="n">
        <v>0</v>
      </c>
      <c r="K312" t="n">
        <v>0</v>
      </c>
      <c r="L312" t="n">
        <v>0</v>
      </c>
      <c r="M312" t="n">
        <v>0</v>
      </c>
      <c r="N312" t="n">
        <v>0</v>
      </c>
      <c r="O312" t="n">
        <v>0</v>
      </c>
      <c r="P312" t="n">
        <v>0</v>
      </c>
      <c r="Q312" t="n">
        <v>0</v>
      </c>
      <c r="R312" s="2" t="inlineStr"/>
    </row>
    <row r="313" ht="15" customHeight="1">
      <c r="A313" t="inlineStr">
        <is>
          <t>A 57319-2023</t>
        </is>
      </c>
      <c r="B313" s="1" t="n">
        <v>45245.64877314815</v>
      </c>
      <c r="C313" s="1" t="n">
        <v>46116</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41855-2025</t>
        </is>
      </c>
      <c r="B314" s="1" t="n">
        <v>45902.93693287037</v>
      </c>
      <c r="C314" s="1" t="n">
        <v>46116</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42319-2025</t>
        </is>
      </c>
      <c r="B315" s="1" t="n">
        <v>45903</v>
      </c>
      <c r="C315" s="1" t="n">
        <v>46116</v>
      </c>
      <c r="D315" t="inlineStr">
        <is>
          <t>DALARNAS LÄN</t>
        </is>
      </c>
      <c r="E315" t="inlineStr">
        <is>
          <t>MORA</t>
        </is>
      </c>
      <c r="G315" t="n">
        <v>2.3</v>
      </c>
      <c r="H315" t="n">
        <v>0</v>
      </c>
      <c r="I315" t="n">
        <v>0</v>
      </c>
      <c r="J315" t="n">
        <v>0</v>
      </c>
      <c r="K315" t="n">
        <v>0</v>
      </c>
      <c r="L315" t="n">
        <v>0</v>
      </c>
      <c r="M315" t="n">
        <v>0</v>
      </c>
      <c r="N315" t="n">
        <v>0</v>
      </c>
      <c r="O315" t="n">
        <v>0</v>
      </c>
      <c r="P315" t="n">
        <v>0</v>
      </c>
      <c r="Q315" t="n">
        <v>0</v>
      </c>
      <c r="R315" s="2" t="inlineStr"/>
    </row>
    <row r="316" ht="15" customHeight="1">
      <c r="A316" t="inlineStr">
        <is>
          <t>A 43498-2023</t>
        </is>
      </c>
      <c r="B316" s="1" t="n">
        <v>45184</v>
      </c>
      <c r="C316" s="1" t="n">
        <v>46116</v>
      </c>
      <c r="D316" t="inlineStr">
        <is>
          <t>DALARNAS LÄN</t>
        </is>
      </c>
      <c r="E316" t="inlineStr">
        <is>
          <t>MORA</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32261-2022</t>
        </is>
      </c>
      <c r="B317" s="1" t="n">
        <v>44781.5350925926</v>
      </c>
      <c r="C317" s="1" t="n">
        <v>46116</v>
      </c>
      <c r="D317" t="inlineStr">
        <is>
          <t>DALARNAS LÄN</t>
        </is>
      </c>
      <c r="E317" t="inlineStr">
        <is>
          <t>MORA</t>
        </is>
      </c>
      <c r="G317" t="n">
        <v>2.7</v>
      </c>
      <c r="H317" t="n">
        <v>0</v>
      </c>
      <c r="I317" t="n">
        <v>0</v>
      </c>
      <c r="J317" t="n">
        <v>0</v>
      </c>
      <c r="K317" t="n">
        <v>0</v>
      </c>
      <c r="L317" t="n">
        <v>0</v>
      </c>
      <c r="M317" t="n">
        <v>0</v>
      </c>
      <c r="N317" t="n">
        <v>0</v>
      </c>
      <c r="O317" t="n">
        <v>0</v>
      </c>
      <c r="P317" t="n">
        <v>0</v>
      </c>
      <c r="Q317" t="n">
        <v>0</v>
      </c>
      <c r="R317" s="2" t="inlineStr"/>
    </row>
    <row r="318" ht="15" customHeight="1">
      <c r="A318" t="inlineStr">
        <is>
          <t>A 35381-2024</t>
        </is>
      </c>
      <c r="B318" s="1" t="n">
        <v>45531.38372685185</v>
      </c>
      <c r="C318" s="1" t="n">
        <v>46116</v>
      </c>
      <c r="D318" t="inlineStr">
        <is>
          <t>DALARNAS LÄN</t>
        </is>
      </c>
      <c r="E318" t="inlineStr">
        <is>
          <t>MORA</t>
        </is>
      </c>
      <c r="G318" t="n">
        <v>3.7</v>
      </c>
      <c r="H318" t="n">
        <v>0</v>
      </c>
      <c r="I318" t="n">
        <v>0</v>
      </c>
      <c r="J318" t="n">
        <v>0</v>
      </c>
      <c r="K318" t="n">
        <v>0</v>
      </c>
      <c r="L318" t="n">
        <v>0</v>
      </c>
      <c r="M318" t="n">
        <v>0</v>
      </c>
      <c r="N318" t="n">
        <v>0</v>
      </c>
      <c r="O318" t="n">
        <v>0</v>
      </c>
      <c r="P318" t="n">
        <v>0</v>
      </c>
      <c r="Q318" t="n">
        <v>0</v>
      </c>
      <c r="R318" s="2" t="inlineStr"/>
    </row>
    <row r="319" ht="15" customHeight="1">
      <c r="A319" t="inlineStr">
        <is>
          <t>A 13479-2024</t>
        </is>
      </c>
      <c r="B319" s="1" t="n">
        <v>45387.5900925926</v>
      </c>
      <c r="C319" s="1" t="n">
        <v>46116</v>
      </c>
      <c r="D319" t="inlineStr">
        <is>
          <t>DALARNAS LÄN</t>
        </is>
      </c>
      <c r="E319" t="inlineStr">
        <is>
          <t>MORA</t>
        </is>
      </c>
      <c r="G319" t="n">
        <v>1.4</v>
      </c>
      <c r="H319" t="n">
        <v>0</v>
      </c>
      <c r="I319" t="n">
        <v>0</v>
      </c>
      <c r="J319" t="n">
        <v>0</v>
      </c>
      <c r="K319" t="n">
        <v>0</v>
      </c>
      <c r="L319" t="n">
        <v>0</v>
      </c>
      <c r="M319" t="n">
        <v>0</v>
      </c>
      <c r="N319" t="n">
        <v>0</v>
      </c>
      <c r="O319" t="n">
        <v>0</v>
      </c>
      <c r="P319" t="n">
        <v>0</v>
      </c>
      <c r="Q319" t="n">
        <v>0</v>
      </c>
      <c r="R319" s="2" t="inlineStr"/>
    </row>
    <row r="320" ht="15" customHeight="1">
      <c r="A320" t="inlineStr">
        <is>
          <t>A 42112-2025</t>
        </is>
      </c>
      <c r="B320" s="1" t="n">
        <v>45904.32134259259</v>
      </c>
      <c r="C320" s="1" t="n">
        <v>46116</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42813-2025</t>
        </is>
      </c>
      <c r="B321" s="1" t="n">
        <v>45908.56168981481</v>
      </c>
      <c r="C321" s="1" t="n">
        <v>46116</v>
      </c>
      <c r="D321" t="inlineStr">
        <is>
          <t>DALARNAS LÄN</t>
        </is>
      </c>
      <c r="E321" t="inlineStr">
        <is>
          <t>MORA</t>
        </is>
      </c>
      <c r="G321" t="n">
        <v>4.3</v>
      </c>
      <c r="H321" t="n">
        <v>0</v>
      </c>
      <c r="I321" t="n">
        <v>0</v>
      </c>
      <c r="J321" t="n">
        <v>0</v>
      </c>
      <c r="K321" t="n">
        <v>0</v>
      </c>
      <c r="L321" t="n">
        <v>0</v>
      </c>
      <c r="M321" t="n">
        <v>0</v>
      </c>
      <c r="N321" t="n">
        <v>0</v>
      </c>
      <c r="O321" t="n">
        <v>0</v>
      </c>
      <c r="P321" t="n">
        <v>0</v>
      </c>
      <c r="Q321" t="n">
        <v>0</v>
      </c>
      <c r="R321" s="2" t="inlineStr"/>
    </row>
    <row r="322" ht="15" customHeight="1">
      <c r="A322" t="inlineStr">
        <is>
          <t>A 42947-2025</t>
        </is>
      </c>
      <c r="B322" s="1" t="n">
        <v>45909.34799768519</v>
      </c>
      <c r="C322" s="1" t="n">
        <v>46116</v>
      </c>
      <c r="D322" t="inlineStr">
        <is>
          <t>DALARNAS LÄN</t>
        </is>
      </c>
      <c r="E322" t="inlineStr">
        <is>
          <t>MORA</t>
        </is>
      </c>
      <c r="F322" t="inlineStr">
        <is>
          <t>Allmännings- och besparingsskogar</t>
        </is>
      </c>
      <c r="G322" t="n">
        <v>6.2</v>
      </c>
      <c r="H322" t="n">
        <v>0</v>
      </c>
      <c r="I322" t="n">
        <v>0</v>
      </c>
      <c r="J322" t="n">
        <v>0</v>
      </c>
      <c r="K322" t="n">
        <v>0</v>
      </c>
      <c r="L322" t="n">
        <v>0</v>
      </c>
      <c r="M322" t="n">
        <v>0</v>
      </c>
      <c r="N322" t="n">
        <v>0</v>
      </c>
      <c r="O322" t="n">
        <v>0</v>
      </c>
      <c r="P322" t="n">
        <v>0</v>
      </c>
      <c r="Q322" t="n">
        <v>0</v>
      </c>
      <c r="R322" s="2" t="inlineStr"/>
    </row>
    <row r="323" ht="15" customHeight="1">
      <c r="A323" t="inlineStr">
        <is>
          <t>A 42960-2025</t>
        </is>
      </c>
      <c r="B323" s="1" t="n">
        <v>45909.36631944445</v>
      </c>
      <c r="C323" s="1" t="n">
        <v>46116</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20299-2023</t>
        </is>
      </c>
      <c r="B324" s="1" t="n">
        <v>45056</v>
      </c>
      <c r="C324" s="1" t="n">
        <v>46116</v>
      </c>
      <c r="D324" t="inlineStr">
        <is>
          <t>DALARNAS LÄN</t>
        </is>
      </c>
      <c r="E324" t="inlineStr">
        <is>
          <t>MORA</t>
        </is>
      </c>
      <c r="G324" t="n">
        <v>1.2</v>
      </c>
      <c r="H324" t="n">
        <v>0</v>
      </c>
      <c r="I324" t="n">
        <v>0</v>
      </c>
      <c r="J324" t="n">
        <v>0</v>
      </c>
      <c r="K324" t="n">
        <v>0</v>
      </c>
      <c r="L324" t="n">
        <v>0</v>
      </c>
      <c r="M324" t="n">
        <v>0</v>
      </c>
      <c r="N324" t="n">
        <v>0</v>
      </c>
      <c r="O324" t="n">
        <v>0</v>
      </c>
      <c r="P324" t="n">
        <v>0</v>
      </c>
      <c r="Q324" t="n">
        <v>0</v>
      </c>
      <c r="R324" s="2" t="inlineStr"/>
    </row>
    <row r="325" ht="15" customHeight="1">
      <c r="A325" t="inlineStr">
        <is>
          <t>A 42954-2025</t>
        </is>
      </c>
      <c r="B325" s="1" t="n">
        <v>45909.3578125</v>
      </c>
      <c r="C325" s="1" t="n">
        <v>46116</v>
      </c>
      <c r="D325" t="inlineStr">
        <is>
          <t>DALARNAS LÄN</t>
        </is>
      </c>
      <c r="E325" t="inlineStr">
        <is>
          <t>MORA</t>
        </is>
      </c>
      <c r="G325" t="n">
        <v>2.5</v>
      </c>
      <c r="H325" t="n">
        <v>0</v>
      </c>
      <c r="I325" t="n">
        <v>0</v>
      </c>
      <c r="J325" t="n">
        <v>0</v>
      </c>
      <c r="K325" t="n">
        <v>0</v>
      </c>
      <c r="L325" t="n">
        <v>0</v>
      </c>
      <c r="M325" t="n">
        <v>0</v>
      </c>
      <c r="N325" t="n">
        <v>0</v>
      </c>
      <c r="O325" t="n">
        <v>0</v>
      </c>
      <c r="P325" t="n">
        <v>0</v>
      </c>
      <c r="Q325" t="n">
        <v>0</v>
      </c>
      <c r="R325" s="2" t="inlineStr"/>
    </row>
    <row r="326" ht="15" customHeight="1">
      <c r="A326" t="inlineStr">
        <is>
          <t>A 42830-2025</t>
        </is>
      </c>
      <c r="B326" s="1" t="n">
        <v>45908.57753472222</v>
      </c>
      <c r="C326" s="1" t="n">
        <v>46116</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43157-2025</t>
        </is>
      </c>
      <c r="B327" s="1" t="n">
        <v>45910.34953703704</v>
      </c>
      <c r="C327" s="1" t="n">
        <v>46116</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28487-2024</t>
        </is>
      </c>
      <c r="B328" s="1" t="n">
        <v>45477.75744212963</v>
      </c>
      <c r="C328" s="1" t="n">
        <v>46116</v>
      </c>
      <c r="D328" t="inlineStr">
        <is>
          <t>DALARNAS LÄN</t>
        </is>
      </c>
      <c r="E328" t="inlineStr">
        <is>
          <t>MORA</t>
        </is>
      </c>
      <c r="G328" t="n">
        <v>3.1</v>
      </c>
      <c r="H328" t="n">
        <v>0</v>
      </c>
      <c r="I328" t="n">
        <v>0</v>
      </c>
      <c r="J328" t="n">
        <v>0</v>
      </c>
      <c r="K328" t="n">
        <v>0</v>
      </c>
      <c r="L328" t="n">
        <v>0</v>
      </c>
      <c r="M328" t="n">
        <v>0</v>
      </c>
      <c r="N328" t="n">
        <v>0</v>
      </c>
      <c r="O328" t="n">
        <v>0</v>
      </c>
      <c r="P328" t="n">
        <v>0</v>
      </c>
      <c r="Q328" t="n">
        <v>0</v>
      </c>
      <c r="R328" s="2" t="inlineStr"/>
    </row>
    <row r="329" ht="15" customHeight="1">
      <c r="A329" t="inlineStr">
        <is>
          <t>A 23586-2023</t>
        </is>
      </c>
      <c r="B329" s="1" t="n">
        <v>45077</v>
      </c>
      <c r="C329" s="1" t="n">
        <v>46116</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58972-2023</t>
        </is>
      </c>
      <c r="B330" s="1" t="n">
        <v>45252</v>
      </c>
      <c r="C330" s="1" t="n">
        <v>46116</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43153-2025</t>
        </is>
      </c>
      <c r="B331" s="1" t="n">
        <v>45910.34449074074</v>
      </c>
      <c r="C331" s="1" t="n">
        <v>46116</v>
      </c>
      <c r="D331" t="inlineStr">
        <is>
          <t>DALARNAS LÄN</t>
        </is>
      </c>
      <c r="E331" t="inlineStr">
        <is>
          <t>MORA</t>
        </is>
      </c>
      <c r="G331" t="n">
        <v>3.9</v>
      </c>
      <c r="H331" t="n">
        <v>0</v>
      </c>
      <c r="I331" t="n">
        <v>0</v>
      </c>
      <c r="J331" t="n">
        <v>0</v>
      </c>
      <c r="K331" t="n">
        <v>0</v>
      </c>
      <c r="L331" t="n">
        <v>0</v>
      </c>
      <c r="M331" t="n">
        <v>0</v>
      </c>
      <c r="N331" t="n">
        <v>0</v>
      </c>
      <c r="O331" t="n">
        <v>0</v>
      </c>
      <c r="P331" t="n">
        <v>0</v>
      </c>
      <c r="Q331" t="n">
        <v>0</v>
      </c>
      <c r="R331" s="2" t="inlineStr"/>
    </row>
    <row r="332" ht="15" customHeight="1">
      <c r="A332" t="inlineStr">
        <is>
          <t>A 43474-2025</t>
        </is>
      </c>
      <c r="B332" s="1" t="n">
        <v>45911.48967592593</v>
      </c>
      <c r="C332" s="1" t="n">
        <v>46116</v>
      </c>
      <c r="D332" t="inlineStr">
        <is>
          <t>DALARNAS LÄN</t>
        </is>
      </c>
      <c r="E332" t="inlineStr">
        <is>
          <t>MORA</t>
        </is>
      </c>
      <c r="G332" t="n">
        <v>1.8</v>
      </c>
      <c r="H332" t="n">
        <v>0</v>
      </c>
      <c r="I332" t="n">
        <v>0</v>
      </c>
      <c r="J332" t="n">
        <v>0</v>
      </c>
      <c r="K332" t="n">
        <v>0</v>
      </c>
      <c r="L332" t="n">
        <v>0</v>
      </c>
      <c r="M332" t="n">
        <v>0</v>
      </c>
      <c r="N332" t="n">
        <v>0</v>
      </c>
      <c r="O332" t="n">
        <v>0</v>
      </c>
      <c r="P332" t="n">
        <v>0</v>
      </c>
      <c r="Q332" t="n">
        <v>0</v>
      </c>
      <c r="R332" s="2" t="inlineStr"/>
    </row>
    <row r="333" ht="15" customHeight="1">
      <c r="A333" t="inlineStr">
        <is>
          <t>A 43811-2025</t>
        </is>
      </c>
      <c r="B333" s="1" t="n">
        <v>45912.58710648148</v>
      </c>
      <c r="C333" s="1" t="n">
        <v>46116</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46188-2022</t>
        </is>
      </c>
      <c r="B334" s="1" t="n">
        <v>44847.518125</v>
      </c>
      <c r="C334" s="1" t="n">
        <v>46116</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44384-2025</t>
        </is>
      </c>
      <c r="B335" s="1" t="n">
        <v>45916.48513888889</v>
      </c>
      <c r="C335" s="1" t="n">
        <v>46116</v>
      </c>
      <c r="D335" t="inlineStr">
        <is>
          <t>DALARNAS LÄN</t>
        </is>
      </c>
      <c r="E335" t="inlineStr">
        <is>
          <t>MORA</t>
        </is>
      </c>
      <c r="F335" t="inlineStr">
        <is>
          <t>Kyrkan</t>
        </is>
      </c>
      <c r="G335" t="n">
        <v>5.1</v>
      </c>
      <c r="H335" t="n">
        <v>0</v>
      </c>
      <c r="I335" t="n">
        <v>0</v>
      </c>
      <c r="J335" t="n">
        <v>0</v>
      </c>
      <c r="K335" t="n">
        <v>0</v>
      </c>
      <c r="L335" t="n">
        <v>0</v>
      </c>
      <c r="M335" t="n">
        <v>0</v>
      </c>
      <c r="N335" t="n">
        <v>0</v>
      </c>
      <c r="O335" t="n">
        <v>0</v>
      </c>
      <c r="P335" t="n">
        <v>0</v>
      </c>
      <c r="Q335" t="n">
        <v>0</v>
      </c>
      <c r="R335" s="2" t="inlineStr"/>
    </row>
    <row r="336" ht="15" customHeight="1">
      <c r="A336" t="inlineStr">
        <is>
          <t>A 42035-2022</t>
        </is>
      </c>
      <c r="B336" s="1" t="n">
        <v>44830</v>
      </c>
      <c r="C336" s="1" t="n">
        <v>46116</v>
      </c>
      <c r="D336" t="inlineStr">
        <is>
          <t>DALARNAS LÄN</t>
        </is>
      </c>
      <c r="E336" t="inlineStr">
        <is>
          <t>MORA</t>
        </is>
      </c>
      <c r="G336" t="n">
        <v>2.7</v>
      </c>
      <c r="H336" t="n">
        <v>0</v>
      </c>
      <c r="I336" t="n">
        <v>0</v>
      </c>
      <c r="J336" t="n">
        <v>0</v>
      </c>
      <c r="K336" t="n">
        <v>0</v>
      </c>
      <c r="L336" t="n">
        <v>0</v>
      </c>
      <c r="M336" t="n">
        <v>0</v>
      </c>
      <c r="N336" t="n">
        <v>0</v>
      </c>
      <c r="O336" t="n">
        <v>0</v>
      </c>
      <c r="P336" t="n">
        <v>0</v>
      </c>
      <c r="Q336" t="n">
        <v>0</v>
      </c>
      <c r="R336" s="2" t="inlineStr"/>
    </row>
    <row r="337" ht="15" customHeight="1">
      <c r="A337" t="inlineStr">
        <is>
          <t>A 44621-2025</t>
        </is>
      </c>
      <c r="B337" s="1" t="n">
        <v>45917.466875</v>
      </c>
      <c r="C337" s="1" t="n">
        <v>46116</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45181-2025</t>
        </is>
      </c>
      <c r="B338" s="1" t="n">
        <v>45919.53329861111</v>
      </c>
      <c r="C338" s="1" t="n">
        <v>46116</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15817-2024</t>
        </is>
      </c>
      <c r="B339" s="1" t="n">
        <v>45404.67387731482</v>
      </c>
      <c r="C339" s="1" t="n">
        <v>46116</v>
      </c>
      <c r="D339" t="inlineStr">
        <is>
          <t>DALARNAS LÄN</t>
        </is>
      </c>
      <c r="E339" t="inlineStr">
        <is>
          <t>MORA</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45191-2025</t>
        </is>
      </c>
      <c r="B340" s="1" t="n">
        <v>45919.54811342592</v>
      </c>
      <c r="C340" s="1" t="n">
        <v>46116</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58116-2022</t>
        </is>
      </c>
      <c r="B341" s="1" t="n">
        <v>44900.65716435185</v>
      </c>
      <c r="C341" s="1" t="n">
        <v>46116</v>
      </c>
      <c r="D341" t="inlineStr">
        <is>
          <t>DALARNAS LÄN</t>
        </is>
      </c>
      <c r="E341" t="inlineStr">
        <is>
          <t>MORA</t>
        </is>
      </c>
      <c r="G341" t="n">
        <v>2.9</v>
      </c>
      <c r="H341" t="n">
        <v>0</v>
      </c>
      <c r="I341" t="n">
        <v>0</v>
      </c>
      <c r="J341" t="n">
        <v>0</v>
      </c>
      <c r="K341" t="n">
        <v>0</v>
      </c>
      <c r="L341" t="n">
        <v>0</v>
      </c>
      <c r="M341" t="n">
        <v>0</v>
      </c>
      <c r="N341" t="n">
        <v>0</v>
      </c>
      <c r="O341" t="n">
        <v>0</v>
      </c>
      <c r="P341" t="n">
        <v>0</v>
      </c>
      <c r="Q341" t="n">
        <v>0</v>
      </c>
      <c r="R341" s="2" t="inlineStr"/>
    </row>
    <row r="342" ht="15" customHeight="1">
      <c r="A342" t="inlineStr">
        <is>
          <t>A 18992-2024</t>
        </is>
      </c>
      <c r="B342" s="1" t="n">
        <v>45427.61516203704</v>
      </c>
      <c r="C342" s="1" t="n">
        <v>46116</v>
      </c>
      <c r="D342" t="inlineStr">
        <is>
          <t>DALARNAS LÄN</t>
        </is>
      </c>
      <c r="E342" t="inlineStr">
        <is>
          <t>MORA</t>
        </is>
      </c>
      <c r="G342" t="n">
        <v>9.9</v>
      </c>
      <c r="H342" t="n">
        <v>0</v>
      </c>
      <c r="I342" t="n">
        <v>0</v>
      </c>
      <c r="J342" t="n">
        <v>0</v>
      </c>
      <c r="K342" t="n">
        <v>0</v>
      </c>
      <c r="L342" t="n">
        <v>0</v>
      </c>
      <c r="M342" t="n">
        <v>0</v>
      </c>
      <c r="N342" t="n">
        <v>0</v>
      </c>
      <c r="O342" t="n">
        <v>0</v>
      </c>
      <c r="P342" t="n">
        <v>0</v>
      </c>
      <c r="Q342" t="n">
        <v>0</v>
      </c>
      <c r="R342" s="2" t="inlineStr"/>
    </row>
    <row r="343" ht="15" customHeight="1">
      <c r="A343" t="inlineStr">
        <is>
          <t>A 60647-2022</t>
        </is>
      </c>
      <c r="B343" s="1" t="n">
        <v>44911</v>
      </c>
      <c r="C343" s="1" t="n">
        <v>46116</v>
      </c>
      <c r="D343" t="inlineStr">
        <is>
          <t>DALARNAS LÄN</t>
        </is>
      </c>
      <c r="E343" t="inlineStr">
        <is>
          <t>MORA</t>
        </is>
      </c>
      <c r="G343" t="n">
        <v>4.8</v>
      </c>
      <c r="H343" t="n">
        <v>0</v>
      </c>
      <c r="I343" t="n">
        <v>0</v>
      </c>
      <c r="J343" t="n">
        <v>0</v>
      </c>
      <c r="K343" t="n">
        <v>0</v>
      </c>
      <c r="L343" t="n">
        <v>0</v>
      </c>
      <c r="M343" t="n">
        <v>0</v>
      </c>
      <c r="N343" t="n">
        <v>0</v>
      </c>
      <c r="O343" t="n">
        <v>0</v>
      </c>
      <c r="P343" t="n">
        <v>0</v>
      </c>
      <c r="Q343" t="n">
        <v>0</v>
      </c>
      <c r="R343" s="2" t="inlineStr"/>
    </row>
    <row r="344" ht="15" customHeight="1">
      <c r="A344" t="inlineStr">
        <is>
          <t>A 56460-2022</t>
        </is>
      </c>
      <c r="B344" s="1" t="n">
        <v>44893</v>
      </c>
      <c r="C344" s="1" t="n">
        <v>46116</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46090-2025</t>
        </is>
      </c>
      <c r="B345" s="1" t="n">
        <v>45924.5253125</v>
      </c>
      <c r="C345" s="1" t="n">
        <v>46116</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46091-2025</t>
        </is>
      </c>
      <c r="B346" s="1" t="n">
        <v>45924.52871527777</v>
      </c>
      <c r="C346" s="1" t="n">
        <v>46116</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437-2024</t>
        </is>
      </c>
      <c r="B347" s="1" t="n">
        <v>45296</v>
      </c>
      <c r="C347" s="1" t="n">
        <v>46116</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46283-2025</t>
        </is>
      </c>
      <c r="B348" s="1" t="n">
        <v>45925</v>
      </c>
      <c r="C348" s="1" t="n">
        <v>46116</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46525-2025</t>
        </is>
      </c>
      <c r="B349" s="1" t="n">
        <v>45926.3312962963</v>
      </c>
      <c r="C349" s="1" t="n">
        <v>46116</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31395-2024</t>
        </is>
      </c>
      <c r="B350" s="1" t="n">
        <v>45505.47716435185</v>
      </c>
      <c r="C350" s="1" t="n">
        <v>46116</v>
      </c>
      <c r="D350" t="inlineStr">
        <is>
          <t>DALARNAS LÄN</t>
        </is>
      </c>
      <c r="E350" t="inlineStr">
        <is>
          <t>MORA</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60847-2021</t>
        </is>
      </c>
      <c r="B351" s="1" t="n">
        <v>44497</v>
      </c>
      <c r="C351" s="1" t="n">
        <v>46116</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46537-2025</t>
        </is>
      </c>
      <c r="B352" s="1" t="n">
        <v>45926.34195601852</v>
      </c>
      <c r="C352" s="1" t="n">
        <v>46116</v>
      </c>
      <c r="D352" t="inlineStr">
        <is>
          <t>DALARNAS LÄN</t>
        </is>
      </c>
      <c r="E352" t="inlineStr">
        <is>
          <t>MORA</t>
        </is>
      </c>
      <c r="G352" t="n">
        <v>10.6</v>
      </c>
      <c r="H352" t="n">
        <v>0</v>
      </c>
      <c r="I352" t="n">
        <v>0</v>
      </c>
      <c r="J352" t="n">
        <v>0</v>
      </c>
      <c r="K352" t="n">
        <v>0</v>
      </c>
      <c r="L352" t="n">
        <v>0</v>
      </c>
      <c r="M352" t="n">
        <v>0</v>
      </c>
      <c r="N352" t="n">
        <v>0</v>
      </c>
      <c r="O352" t="n">
        <v>0</v>
      </c>
      <c r="P352" t="n">
        <v>0</v>
      </c>
      <c r="Q352" t="n">
        <v>0</v>
      </c>
      <c r="R352" s="2" t="inlineStr"/>
    </row>
    <row r="353" ht="15" customHeight="1">
      <c r="A353" t="inlineStr">
        <is>
          <t>A 47140-2025</t>
        </is>
      </c>
      <c r="B353" s="1" t="n">
        <v>45929</v>
      </c>
      <c r="C353" s="1" t="n">
        <v>46116</v>
      </c>
      <c r="D353" t="inlineStr">
        <is>
          <t>DALARNAS LÄN</t>
        </is>
      </c>
      <c r="E353" t="inlineStr">
        <is>
          <t>MORA</t>
        </is>
      </c>
      <c r="G353" t="n">
        <v>6.7</v>
      </c>
      <c r="H353" t="n">
        <v>0</v>
      </c>
      <c r="I353" t="n">
        <v>0</v>
      </c>
      <c r="J353" t="n">
        <v>0</v>
      </c>
      <c r="K353" t="n">
        <v>0</v>
      </c>
      <c r="L353" t="n">
        <v>0</v>
      </c>
      <c r="M353" t="n">
        <v>0</v>
      </c>
      <c r="N353" t="n">
        <v>0</v>
      </c>
      <c r="O353" t="n">
        <v>0</v>
      </c>
      <c r="P353" t="n">
        <v>0</v>
      </c>
      <c r="Q353" t="n">
        <v>0</v>
      </c>
      <c r="R353" s="2" t="inlineStr"/>
    </row>
    <row r="354" ht="15" customHeight="1">
      <c r="A354" t="inlineStr">
        <is>
          <t>A 15435-2024</t>
        </is>
      </c>
      <c r="B354" s="1" t="n">
        <v>45401.40806712963</v>
      </c>
      <c r="C354" s="1" t="n">
        <v>46116</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47055-2025</t>
        </is>
      </c>
      <c r="B355" s="1" t="n">
        <v>45929.61931712963</v>
      </c>
      <c r="C355" s="1" t="n">
        <v>46116</v>
      </c>
      <c r="D355" t="inlineStr">
        <is>
          <t>DALARNAS LÄN</t>
        </is>
      </c>
      <c r="E355" t="inlineStr">
        <is>
          <t>MORA</t>
        </is>
      </c>
      <c r="G355" t="n">
        <v>28.1</v>
      </c>
      <c r="H355" t="n">
        <v>0</v>
      </c>
      <c r="I355" t="n">
        <v>0</v>
      </c>
      <c r="J355" t="n">
        <v>0</v>
      </c>
      <c r="K355" t="n">
        <v>0</v>
      </c>
      <c r="L355" t="n">
        <v>0</v>
      </c>
      <c r="M355" t="n">
        <v>0</v>
      </c>
      <c r="N355" t="n">
        <v>0</v>
      </c>
      <c r="O355" t="n">
        <v>0</v>
      </c>
      <c r="P355" t="n">
        <v>0</v>
      </c>
      <c r="Q355" t="n">
        <v>0</v>
      </c>
      <c r="R355" s="2" t="inlineStr"/>
    </row>
    <row r="356" ht="15" customHeight="1">
      <c r="A356" t="inlineStr">
        <is>
          <t>A 47072-2025</t>
        </is>
      </c>
      <c r="B356" s="1" t="n">
        <v>45929.6365162037</v>
      </c>
      <c r="C356" s="1" t="n">
        <v>46116</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31085-2024</t>
        </is>
      </c>
      <c r="B357" s="1" t="n">
        <v>45502.48047453703</v>
      </c>
      <c r="C357" s="1" t="n">
        <v>46116</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43863-2023</t>
        </is>
      </c>
      <c r="B358" s="1" t="n">
        <v>45187.62532407408</v>
      </c>
      <c r="C358" s="1" t="n">
        <v>46116</v>
      </c>
      <c r="D358" t="inlineStr">
        <is>
          <t>DALARNAS LÄN</t>
        </is>
      </c>
      <c r="E358" t="inlineStr">
        <is>
          <t>MORA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60051-2022</t>
        </is>
      </c>
      <c r="B359" s="1" t="n">
        <v>44909.52385416667</v>
      </c>
      <c r="C359" s="1" t="n">
        <v>46116</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44644.70184027778</v>
      </c>
      <c r="C360" s="1" t="n">
        <v>46116</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56767-2023</t>
        </is>
      </c>
      <c r="B361" s="1" t="n">
        <v>45244</v>
      </c>
      <c r="C361" s="1" t="n">
        <v>46116</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47414-2025</t>
        </is>
      </c>
      <c r="B362" s="1" t="n">
        <v>45930.61896990741</v>
      </c>
      <c r="C362" s="1" t="n">
        <v>46116</v>
      </c>
      <c r="D362" t="inlineStr">
        <is>
          <t>DALARNAS LÄN</t>
        </is>
      </c>
      <c r="E362" t="inlineStr">
        <is>
          <t>MORA</t>
        </is>
      </c>
      <c r="G362" t="n">
        <v>6.1</v>
      </c>
      <c r="H362" t="n">
        <v>0</v>
      </c>
      <c r="I362" t="n">
        <v>0</v>
      </c>
      <c r="J362" t="n">
        <v>0</v>
      </c>
      <c r="K362" t="n">
        <v>0</v>
      </c>
      <c r="L362" t="n">
        <v>0</v>
      </c>
      <c r="M362" t="n">
        <v>0</v>
      </c>
      <c r="N362" t="n">
        <v>0</v>
      </c>
      <c r="O362" t="n">
        <v>0</v>
      </c>
      <c r="P362" t="n">
        <v>0</v>
      </c>
      <c r="Q362" t="n">
        <v>0</v>
      </c>
      <c r="R362" s="2" t="inlineStr"/>
    </row>
    <row r="363" ht="15" customHeight="1">
      <c r="A363" t="inlineStr">
        <is>
          <t>A 50056-2022</t>
        </is>
      </c>
      <c r="B363" s="1" t="n">
        <v>44865</v>
      </c>
      <c r="C363" s="1" t="n">
        <v>46116</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47765-2025</t>
        </is>
      </c>
      <c r="B364" s="1" t="n">
        <v>45931.69100694444</v>
      </c>
      <c r="C364" s="1" t="n">
        <v>46116</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47769-2025</t>
        </is>
      </c>
      <c r="B365" s="1" t="n">
        <v>45931.70715277778</v>
      </c>
      <c r="C365" s="1" t="n">
        <v>46116</v>
      </c>
      <c r="D365" t="inlineStr">
        <is>
          <t>DALARNAS LÄN</t>
        </is>
      </c>
      <c r="E365" t="inlineStr">
        <is>
          <t>MORA</t>
        </is>
      </c>
      <c r="G365" t="n">
        <v>6.7</v>
      </c>
      <c r="H365" t="n">
        <v>0</v>
      </c>
      <c r="I365" t="n">
        <v>0</v>
      </c>
      <c r="J365" t="n">
        <v>0</v>
      </c>
      <c r="K365" t="n">
        <v>0</v>
      </c>
      <c r="L365" t="n">
        <v>0</v>
      </c>
      <c r="M365" t="n">
        <v>0</v>
      </c>
      <c r="N365" t="n">
        <v>0</v>
      </c>
      <c r="O365" t="n">
        <v>0</v>
      </c>
      <c r="P365" t="n">
        <v>0</v>
      </c>
      <c r="Q365" t="n">
        <v>0</v>
      </c>
      <c r="R365" s="2" t="inlineStr"/>
    </row>
    <row r="366" ht="15" customHeight="1">
      <c r="A366" t="inlineStr">
        <is>
          <t>A 15499-2024</t>
        </is>
      </c>
      <c r="B366" s="1" t="n">
        <v>45401.53798611111</v>
      </c>
      <c r="C366" s="1" t="n">
        <v>46116</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48376-2025</t>
        </is>
      </c>
      <c r="B367" s="1" t="n">
        <v>45933.71648148148</v>
      </c>
      <c r="C367" s="1" t="n">
        <v>46116</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47860-2025</t>
        </is>
      </c>
      <c r="B368" s="1" t="n">
        <v>45932.42298611111</v>
      </c>
      <c r="C368" s="1" t="n">
        <v>46116</v>
      </c>
      <c r="D368" t="inlineStr">
        <is>
          <t>DALARNAS LÄN</t>
        </is>
      </c>
      <c r="E368" t="inlineStr">
        <is>
          <t>MORA</t>
        </is>
      </c>
      <c r="G368" t="n">
        <v>2.1</v>
      </c>
      <c r="H368" t="n">
        <v>0</v>
      </c>
      <c r="I368" t="n">
        <v>0</v>
      </c>
      <c r="J368" t="n">
        <v>0</v>
      </c>
      <c r="K368" t="n">
        <v>0</v>
      </c>
      <c r="L368" t="n">
        <v>0</v>
      </c>
      <c r="M368" t="n">
        <v>0</v>
      </c>
      <c r="N368" t="n">
        <v>0</v>
      </c>
      <c r="O368" t="n">
        <v>0</v>
      </c>
      <c r="P368" t="n">
        <v>0</v>
      </c>
      <c r="Q368" t="n">
        <v>0</v>
      </c>
      <c r="R368" s="2" t="inlineStr"/>
    </row>
    <row r="369" ht="15" customHeight="1">
      <c r="A369" t="inlineStr">
        <is>
          <t>A 15643-2025</t>
        </is>
      </c>
      <c r="B369" s="1" t="n">
        <v>45748.39222222222</v>
      </c>
      <c r="C369" s="1" t="n">
        <v>46116</v>
      </c>
      <c r="D369" t="inlineStr">
        <is>
          <t>DALARNAS LÄN</t>
        </is>
      </c>
      <c r="E369" t="inlineStr">
        <is>
          <t>MORA</t>
        </is>
      </c>
      <c r="G369" t="n">
        <v>7.6</v>
      </c>
      <c r="H369" t="n">
        <v>0</v>
      </c>
      <c r="I369" t="n">
        <v>0</v>
      </c>
      <c r="J369" t="n">
        <v>0</v>
      </c>
      <c r="K369" t="n">
        <v>0</v>
      </c>
      <c r="L369" t="n">
        <v>0</v>
      </c>
      <c r="M369" t="n">
        <v>0</v>
      </c>
      <c r="N369" t="n">
        <v>0</v>
      </c>
      <c r="O369" t="n">
        <v>0</v>
      </c>
      <c r="P369" t="n">
        <v>0</v>
      </c>
      <c r="Q369" t="n">
        <v>0</v>
      </c>
      <c r="R369" s="2" t="inlineStr"/>
    </row>
    <row r="370" ht="15" customHeight="1">
      <c r="A370" t="inlineStr">
        <is>
          <t>A 46755-2023</t>
        </is>
      </c>
      <c r="B370" s="1" t="n">
        <v>45198.61314814815</v>
      </c>
      <c r="C370" s="1" t="n">
        <v>46116</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48377-2025</t>
        </is>
      </c>
      <c r="B371" s="1" t="n">
        <v>45933.71896990741</v>
      </c>
      <c r="C371" s="1" t="n">
        <v>46116</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18122-2025</t>
        </is>
      </c>
      <c r="B372" s="1" t="n">
        <v>45761.59221064814</v>
      </c>
      <c r="C372" s="1" t="n">
        <v>46116</v>
      </c>
      <c r="D372" t="inlineStr">
        <is>
          <t>DALARNAS LÄN</t>
        </is>
      </c>
      <c r="E372" t="inlineStr">
        <is>
          <t>MORA</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47716-2025</t>
        </is>
      </c>
      <c r="B373" s="1" t="n">
        <v>45931</v>
      </c>
      <c r="C373" s="1" t="n">
        <v>46116</v>
      </c>
      <c r="D373" t="inlineStr">
        <is>
          <t>DALARNAS LÄN</t>
        </is>
      </c>
      <c r="E373" t="inlineStr">
        <is>
          <t>MORA</t>
        </is>
      </c>
      <c r="G373" t="n">
        <v>8.9</v>
      </c>
      <c r="H373" t="n">
        <v>0</v>
      </c>
      <c r="I373" t="n">
        <v>0</v>
      </c>
      <c r="J373" t="n">
        <v>0</v>
      </c>
      <c r="K373" t="n">
        <v>0</v>
      </c>
      <c r="L373" t="n">
        <v>0</v>
      </c>
      <c r="M373" t="n">
        <v>0</v>
      </c>
      <c r="N373" t="n">
        <v>0</v>
      </c>
      <c r="O373" t="n">
        <v>0</v>
      </c>
      <c r="P373" t="n">
        <v>0</v>
      </c>
      <c r="Q373" t="n">
        <v>0</v>
      </c>
      <c r="R373" s="2" t="inlineStr"/>
    </row>
    <row r="374" ht="15" customHeight="1">
      <c r="A374" t="inlineStr">
        <is>
          <t>A 48927-2025</t>
        </is>
      </c>
      <c r="B374" s="1" t="n">
        <v>45931</v>
      </c>
      <c r="C374" s="1" t="n">
        <v>46116</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44817-2023</t>
        </is>
      </c>
      <c r="B375" s="1" t="n">
        <v>45190.51887731482</v>
      </c>
      <c r="C375" s="1" t="n">
        <v>46116</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48926-2025</t>
        </is>
      </c>
      <c r="B376" s="1" t="n">
        <v>45937.50666666667</v>
      </c>
      <c r="C376" s="1" t="n">
        <v>46116</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48929-2025</t>
        </is>
      </c>
      <c r="B377" s="1" t="n">
        <v>45937.51315972222</v>
      </c>
      <c r="C377" s="1" t="n">
        <v>46116</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39511-2024</t>
        </is>
      </c>
      <c r="B378" s="1" t="n">
        <v>45551.68347222222</v>
      </c>
      <c r="C378" s="1" t="n">
        <v>46116</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49404-2025</t>
        </is>
      </c>
      <c r="B379" s="1" t="n">
        <v>45938.67662037037</v>
      </c>
      <c r="C379" s="1" t="n">
        <v>46116</v>
      </c>
      <c r="D379" t="inlineStr">
        <is>
          <t>DALARNAS LÄN</t>
        </is>
      </c>
      <c r="E379" t="inlineStr">
        <is>
          <t>MORA</t>
        </is>
      </c>
      <c r="F379" t="inlineStr">
        <is>
          <t>Bergvik skog väst AB</t>
        </is>
      </c>
      <c r="G379" t="n">
        <v>0.9</v>
      </c>
      <c r="H379" t="n">
        <v>0</v>
      </c>
      <c r="I379" t="n">
        <v>0</v>
      </c>
      <c r="J379" t="n">
        <v>0</v>
      </c>
      <c r="K379" t="n">
        <v>0</v>
      </c>
      <c r="L379" t="n">
        <v>0</v>
      </c>
      <c r="M379" t="n">
        <v>0</v>
      </c>
      <c r="N379" t="n">
        <v>0</v>
      </c>
      <c r="O379" t="n">
        <v>0</v>
      </c>
      <c r="P379" t="n">
        <v>0</v>
      </c>
      <c r="Q379" t="n">
        <v>0</v>
      </c>
      <c r="R379" s="2" t="inlineStr"/>
    </row>
    <row r="380" ht="15" customHeight="1">
      <c r="A380" t="inlineStr">
        <is>
          <t>A 57797-2022</t>
        </is>
      </c>
      <c r="B380" s="1" t="n">
        <v>44897</v>
      </c>
      <c r="C380" s="1" t="n">
        <v>46116</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49401-2025</t>
        </is>
      </c>
      <c r="B381" s="1" t="n">
        <v>45938.66932870371</v>
      </c>
      <c r="C381" s="1" t="n">
        <v>46116</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27125-2024</t>
        </is>
      </c>
      <c r="B382" s="1" t="n">
        <v>45471</v>
      </c>
      <c r="C382" s="1" t="n">
        <v>46116</v>
      </c>
      <c r="D382" t="inlineStr">
        <is>
          <t>DALARNAS LÄN</t>
        </is>
      </c>
      <c r="E382" t="inlineStr">
        <is>
          <t>MORA</t>
        </is>
      </c>
      <c r="G382" t="n">
        <v>2.3</v>
      </c>
      <c r="H382" t="n">
        <v>0</v>
      </c>
      <c r="I382" t="n">
        <v>0</v>
      </c>
      <c r="J382" t="n">
        <v>0</v>
      </c>
      <c r="K382" t="n">
        <v>0</v>
      </c>
      <c r="L382" t="n">
        <v>0</v>
      </c>
      <c r="M382" t="n">
        <v>0</v>
      </c>
      <c r="N382" t="n">
        <v>0</v>
      </c>
      <c r="O382" t="n">
        <v>0</v>
      </c>
      <c r="P382" t="n">
        <v>0</v>
      </c>
      <c r="Q382" t="n">
        <v>0</v>
      </c>
      <c r="R382" s="2" t="inlineStr"/>
    </row>
    <row r="383" ht="15" customHeight="1">
      <c r="A383" t="inlineStr">
        <is>
          <t>A 30822-2024</t>
        </is>
      </c>
      <c r="B383" s="1" t="n">
        <v>45497</v>
      </c>
      <c r="C383" s="1" t="n">
        <v>46116</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49574-2025</t>
        </is>
      </c>
      <c r="B384" s="1" t="n">
        <v>45939.49045138889</v>
      </c>
      <c r="C384" s="1" t="n">
        <v>46116</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6371-2022</t>
        </is>
      </c>
      <c r="B385" s="1" t="n">
        <v>44600</v>
      </c>
      <c r="C385" s="1" t="n">
        <v>46116</v>
      </c>
      <c r="D385" t="inlineStr">
        <is>
          <t>DALARNAS LÄN</t>
        </is>
      </c>
      <c r="E385" t="inlineStr">
        <is>
          <t>MORA</t>
        </is>
      </c>
      <c r="G385" t="n">
        <v>4.6</v>
      </c>
      <c r="H385" t="n">
        <v>0</v>
      </c>
      <c r="I385" t="n">
        <v>0</v>
      </c>
      <c r="J385" t="n">
        <v>0</v>
      </c>
      <c r="K385" t="n">
        <v>0</v>
      </c>
      <c r="L385" t="n">
        <v>0</v>
      </c>
      <c r="M385" t="n">
        <v>0</v>
      </c>
      <c r="N385" t="n">
        <v>0</v>
      </c>
      <c r="O385" t="n">
        <v>0</v>
      </c>
      <c r="P385" t="n">
        <v>0</v>
      </c>
      <c r="Q385" t="n">
        <v>0</v>
      </c>
      <c r="R385" s="2" t="inlineStr"/>
    </row>
    <row r="386" ht="15" customHeight="1">
      <c r="A386" t="inlineStr">
        <is>
          <t>A 61350-2024</t>
        </is>
      </c>
      <c r="B386" s="1" t="n">
        <v>45646.37872685185</v>
      </c>
      <c r="C386" s="1" t="n">
        <v>46116</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49828-2025</t>
        </is>
      </c>
      <c r="B387" s="1" t="n">
        <v>45940.44993055556</v>
      </c>
      <c r="C387" s="1" t="n">
        <v>46116</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20126-2025</t>
        </is>
      </c>
      <c r="B388" s="1" t="n">
        <v>45772.49640046297</v>
      </c>
      <c r="C388" s="1" t="n">
        <v>46116</v>
      </c>
      <c r="D388" t="inlineStr">
        <is>
          <t>DALARNAS LÄN</t>
        </is>
      </c>
      <c r="E388" t="inlineStr">
        <is>
          <t>MORA</t>
        </is>
      </c>
      <c r="G388" t="n">
        <v>12.1</v>
      </c>
      <c r="H388" t="n">
        <v>0</v>
      </c>
      <c r="I388" t="n">
        <v>0</v>
      </c>
      <c r="J388" t="n">
        <v>0</v>
      </c>
      <c r="K388" t="n">
        <v>0</v>
      </c>
      <c r="L388" t="n">
        <v>0</v>
      </c>
      <c r="M388" t="n">
        <v>0</v>
      </c>
      <c r="N388" t="n">
        <v>0</v>
      </c>
      <c r="O388" t="n">
        <v>0</v>
      </c>
      <c r="P388" t="n">
        <v>0</v>
      </c>
      <c r="Q388" t="n">
        <v>0</v>
      </c>
      <c r="R388" s="2" t="inlineStr"/>
    </row>
    <row r="389" ht="15" customHeight="1">
      <c r="A389" t="inlineStr">
        <is>
          <t>A 27420-2024</t>
        </is>
      </c>
      <c r="B389" s="1" t="n">
        <v>45474.37850694444</v>
      </c>
      <c r="C389" s="1" t="n">
        <v>46116</v>
      </c>
      <c r="D389" t="inlineStr">
        <is>
          <t>DALARNAS LÄN</t>
        </is>
      </c>
      <c r="E389" t="inlineStr">
        <is>
          <t>MORA</t>
        </is>
      </c>
      <c r="G389" t="n">
        <v>7.3</v>
      </c>
      <c r="H389" t="n">
        <v>0</v>
      </c>
      <c r="I389" t="n">
        <v>0</v>
      </c>
      <c r="J389" t="n">
        <v>0</v>
      </c>
      <c r="K389" t="n">
        <v>0</v>
      </c>
      <c r="L389" t="n">
        <v>0</v>
      </c>
      <c r="M389" t="n">
        <v>0</v>
      </c>
      <c r="N389" t="n">
        <v>0</v>
      </c>
      <c r="O389" t="n">
        <v>0</v>
      </c>
      <c r="P389" t="n">
        <v>0</v>
      </c>
      <c r="Q389" t="n">
        <v>0</v>
      </c>
      <c r="R389" s="2" t="inlineStr"/>
    </row>
    <row r="390" ht="15" customHeight="1">
      <c r="A390" t="inlineStr">
        <is>
          <t>A 47686-2025</t>
        </is>
      </c>
      <c r="B390" s="1" t="n">
        <v>45931</v>
      </c>
      <c r="C390" s="1" t="n">
        <v>46116</v>
      </c>
      <c r="D390" t="inlineStr">
        <is>
          <t>DALARNAS LÄN</t>
        </is>
      </c>
      <c r="E390" t="inlineStr">
        <is>
          <t>MORA</t>
        </is>
      </c>
      <c r="G390" t="n">
        <v>1.3</v>
      </c>
      <c r="H390" t="n">
        <v>0</v>
      </c>
      <c r="I390" t="n">
        <v>0</v>
      </c>
      <c r="J390" t="n">
        <v>0</v>
      </c>
      <c r="K390" t="n">
        <v>0</v>
      </c>
      <c r="L390" t="n">
        <v>0</v>
      </c>
      <c r="M390" t="n">
        <v>0</v>
      </c>
      <c r="N390" t="n">
        <v>0</v>
      </c>
      <c r="O390" t="n">
        <v>0</v>
      </c>
      <c r="P390" t="n">
        <v>0</v>
      </c>
      <c r="Q390" t="n">
        <v>0</v>
      </c>
      <c r="R390" s="2" t="inlineStr"/>
    </row>
    <row r="391" ht="15" customHeight="1">
      <c r="A391" t="inlineStr">
        <is>
          <t>A 39344-2024</t>
        </is>
      </c>
      <c r="B391" s="1" t="n">
        <v>45551.44503472222</v>
      </c>
      <c r="C391" s="1" t="n">
        <v>46116</v>
      </c>
      <c r="D391" t="inlineStr">
        <is>
          <t>DALARNAS LÄN</t>
        </is>
      </c>
      <c r="E391" t="inlineStr">
        <is>
          <t>MORA</t>
        </is>
      </c>
      <c r="G391" t="n">
        <v>0.6</v>
      </c>
      <c r="H391" t="n">
        <v>0</v>
      </c>
      <c r="I391" t="n">
        <v>0</v>
      </c>
      <c r="J391" t="n">
        <v>0</v>
      </c>
      <c r="K391" t="n">
        <v>0</v>
      </c>
      <c r="L391" t="n">
        <v>0</v>
      </c>
      <c r="M391" t="n">
        <v>0</v>
      </c>
      <c r="N391" t="n">
        <v>0</v>
      </c>
      <c r="O391" t="n">
        <v>0</v>
      </c>
      <c r="P391" t="n">
        <v>0</v>
      </c>
      <c r="Q391" t="n">
        <v>0</v>
      </c>
      <c r="R391" s="2" t="inlineStr"/>
    </row>
    <row r="392" ht="15" customHeight="1">
      <c r="A392" t="inlineStr">
        <is>
          <t>A 24590-2024</t>
        </is>
      </c>
      <c r="B392" s="1" t="n">
        <v>45460</v>
      </c>
      <c r="C392" s="1" t="n">
        <v>46116</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24169-2022</t>
        </is>
      </c>
      <c r="B393" s="1" t="n">
        <v>44725.50280092593</v>
      </c>
      <c r="C393" s="1" t="n">
        <v>46116</v>
      </c>
      <c r="D393" t="inlineStr">
        <is>
          <t>DALARNAS LÄN</t>
        </is>
      </c>
      <c r="E393" t="inlineStr">
        <is>
          <t>MORA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43641-2022</t>
        </is>
      </c>
      <c r="B394" s="1" t="n">
        <v>44837</v>
      </c>
      <c r="C394" s="1" t="n">
        <v>46116</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53750-2024</t>
        </is>
      </c>
      <c r="B395" s="1" t="n">
        <v>45615.48465277778</v>
      </c>
      <c r="C395" s="1" t="n">
        <v>46116</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10777-2025</t>
        </is>
      </c>
      <c r="B396" s="1" t="n">
        <v>45722.47743055555</v>
      </c>
      <c r="C396" s="1" t="n">
        <v>46116</v>
      </c>
      <c r="D396" t="inlineStr">
        <is>
          <t>DALARNAS LÄN</t>
        </is>
      </c>
      <c r="E396" t="inlineStr">
        <is>
          <t>MORA</t>
        </is>
      </c>
      <c r="G396" t="n">
        <v>9.9</v>
      </c>
      <c r="H396" t="n">
        <v>0</v>
      </c>
      <c r="I396" t="n">
        <v>0</v>
      </c>
      <c r="J396" t="n">
        <v>0</v>
      </c>
      <c r="K396" t="n">
        <v>0</v>
      </c>
      <c r="L396" t="n">
        <v>0</v>
      </c>
      <c r="M396" t="n">
        <v>0</v>
      </c>
      <c r="N396" t="n">
        <v>0</v>
      </c>
      <c r="O396" t="n">
        <v>0</v>
      </c>
      <c r="P396" t="n">
        <v>0</v>
      </c>
      <c r="Q396" t="n">
        <v>0</v>
      </c>
      <c r="R396" s="2" t="inlineStr"/>
    </row>
    <row r="397" ht="15" customHeight="1">
      <c r="A397" t="inlineStr">
        <is>
          <t>A 51771-2025</t>
        </is>
      </c>
      <c r="B397" s="1" t="n">
        <v>45951.64653935185</v>
      </c>
      <c r="C397" s="1" t="n">
        <v>46116</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19842-2025</t>
        </is>
      </c>
      <c r="B398" s="1" t="n">
        <v>45771.47938657407</v>
      </c>
      <c r="C398" s="1" t="n">
        <v>46116</v>
      </c>
      <c r="D398" t="inlineStr">
        <is>
          <t>DALARNAS LÄN</t>
        </is>
      </c>
      <c r="E398" t="inlineStr">
        <is>
          <t>MORA</t>
        </is>
      </c>
      <c r="G398" t="n">
        <v>1.9</v>
      </c>
      <c r="H398" t="n">
        <v>0</v>
      </c>
      <c r="I398" t="n">
        <v>0</v>
      </c>
      <c r="J398" t="n">
        <v>0</v>
      </c>
      <c r="K398" t="n">
        <v>0</v>
      </c>
      <c r="L398" t="n">
        <v>0</v>
      </c>
      <c r="M398" t="n">
        <v>0</v>
      </c>
      <c r="N398" t="n">
        <v>0</v>
      </c>
      <c r="O398" t="n">
        <v>0</v>
      </c>
      <c r="P398" t="n">
        <v>0</v>
      </c>
      <c r="Q398" t="n">
        <v>0</v>
      </c>
      <c r="R398" s="2" t="inlineStr"/>
    </row>
    <row r="399" ht="15" customHeight="1">
      <c r="A399" t="inlineStr">
        <is>
          <t>A 44177-2023</t>
        </is>
      </c>
      <c r="B399" s="1" t="n">
        <v>45188.51439814815</v>
      </c>
      <c r="C399" s="1" t="n">
        <v>46116</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52110-2025</t>
        </is>
      </c>
      <c r="B400" s="1" t="n">
        <v>45952.69306712963</v>
      </c>
      <c r="C400" s="1" t="n">
        <v>46116</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18134-2025</t>
        </is>
      </c>
      <c r="B401" s="1" t="n">
        <v>45761.60189814815</v>
      </c>
      <c r="C401" s="1" t="n">
        <v>46116</v>
      </c>
      <c r="D401" t="inlineStr">
        <is>
          <t>DALARNAS LÄN</t>
        </is>
      </c>
      <c r="E401" t="inlineStr">
        <is>
          <t>MORA</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52804-2025</t>
        </is>
      </c>
      <c r="B402" s="1" t="n">
        <v>45957.44552083333</v>
      </c>
      <c r="C402" s="1" t="n">
        <v>46116</v>
      </c>
      <c r="D402" t="inlineStr">
        <is>
          <t>DALARNAS LÄN</t>
        </is>
      </c>
      <c r="E402" t="inlineStr">
        <is>
          <t>MORA</t>
        </is>
      </c>
      <c r="G402" t="n">
        <v>2.9</v>
      </c>
      <c r="H402" t="n">
        <v>0</v>
      </c>
      <c r="I402" t="n">
        <v>0</v>
      </c>
      <c r="J402" t="n">
        <v>0</v>
      </c>
      <c r="K402" t="n">
        <v>0</v>
      </c>
      <c r="L402" t="n">
        <v>0</v>
      </c>
      <c r="M402" t="n">
        <v>0</v>
      </c>
      <c r="N402" t="n">
        <v>0</v>
      </c>
      <c r="O402" t="n">
        <v>0</v>
      </c>
      <c r="P402" t="n">
        <v>0</v>
      </c>
      <c r="Q402" t="n">
        <v>0</v>
      </c>
      <c r="R402" s="2" t="inlineStr"/>
    </row>
    <row r="403" ht="15" customHeight="1">
      <c r="A403" t="inlineStr">
        <is>
          <t>A 35327-2024</t>
        </is>
      </c>
      <c r="B403" s="1" t="n">
        <v>45530.71334490741</v>
      </c>
      <c r="C403" s="1" t="n">
        <v>46116</v>
      </c>
      <c r="D403" t="inlineStr">
        <is>
          <t>DALARNAS LÄN</t>
        </is>
      </c>
      <c r="E403" t="inlineStr">
        <is>
          <t>MORA</t>
        </is>
      </c>
      <c r="G403" t="n">
        <v>5</v>
      </c>
      <c r="H403" t="n">
        <v>0</v>
      </c>
      <c r="I403" t="n">
        <v>0</v>
      </c>
      <c r="J403" t="n">
        <v>0</v>
      </c>
      <c r="K403" t="n">
        <v>0</v>
      </c>
      <c r="L403" t="n">
        <v>0</v>
      </c>
      <c r="M403" t="n">
        <v>0</v>
      </c>
      <c r="N403" t="n">
        <v>0</v>
      </c>
      <c r="O403" t="n">
        <v>0</v>
      </c>
      <c r="P403" t="n">
        <v>0</v>
      </c>
      <c r="Q403" t="n">
        <v>0</v>
      </c>
      <c r="R403" s="2" t="inlineStr"/>
    </row>
    <row r="404" ht="15" customHeight="1">
      <c r="A404" t="inlineStr">
        <is>
          <t>A 31112-2024</t>
        </is>
      </c>
      <c r="B404" s="1" t="n">
        <v>45502.55185185185</v>
      </c>
      <c r="C404" s="1" t="n">
        <v>46116</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442-2024</t>
        </is>
      </c>
      <c r="B405" s="1" t="n">
        <v>45296.60353009259</v>
      </c>
      <c r="C405" s="1" t="n">
        <v>46116</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501-2024</t>
        </is>
      </c>
      <c r="B406" s="1" t="n">
        <v>45299</v>
      </c>
      <c r="C406" s="1" t="n">
        <v>46116</v>
      </c>
      <c r="D406" t="inlineStr">
        <is>
          <t>DALARNAS LÄN</t>
        </is>
      </c>
      <c r="E406" t="inlineStr">
        <is>
          <t>MORA</t>
        </is>
      </c>
      <c r="G406" t="n">
        <v>2.5</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46116</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19814-2025</t>
        </is>
      </c>
      <c r="B408" s="1" t="n">
        <v>45771.45686342593</v>
      </c>
      <c r="C408" s="1" t="n">
        <v>46116</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53151-2025</t>
        </is>
      </c>
      <c r="B409" s="1" t="n">
        <v>45958.48611111111</v>
      </c>
      <c r="C409" s="1" t="n">
        <v>46116</v>
      </c>
      <c r="D409" t="inlineStr">
        <is>
          <t>DALARNAS LÄN</t>
        </is>
      </c>
      <c r="E409" t="inlineStr">
        <is>
          <t>MORA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53150-2025</t>
        </is>
      </c>
      <c r="B410" s="1" t="n">
        <v>45958.48280092593</v>
      </c>
      <c r="C410" s="1" t="n">
        <v>46116</v>
      </c>
      <c r="D410" t="inlineStr">
        <is>
          <t>DALARNAS LÄN</t>
        </is>
      </c>
      <c r="E410" t="inlineStr">
        <is>
          <t>MORA</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60526-2023</t>
        </is>
      </c>
      <c r="B411" s="1" t="n">
        <v>45259</v>
      </c>
      <c r="C411" s="1" t="n">
        <v>46116</v>
      </c>
      <c r="D411" t="inlineStr">
        <is>
          <t>DALARNAS LÄN</t>
        </is>
      </c>
      <c r="E411" t="inlineStr">
        <is>
          <t>MORA</t>
        </is>
      </c>
      <c r="G411" t="n">
        <v>6.7</v>
      </c>
      <c r="H411" t="n">
        <v>0</v>
      </c>
      <c r="I411" t="n">
        <v>0</v>
      </c>
      <c r="J411" t="n">
        <v>0</v>
      </c>
      <c r="K411" t="n">
        <v>0</v>
      </c>
      <c r="L411" t="n">
        <v>0</v>
      </c>
      <c r="M411" t="n">
        <v>0</v>
      </c>
      <c r="N411" t="n">
        <v>0</v>
      </c>
      <c r="O411" t="n">
        <v>0</v>
      </c>
      <c r="P411" t="n">
        <v>0</v>
      </c>
      <c r="Q411" t="n">
        <v>0</v>
      </c>
      <c r="R411" s="2" t="inlineStr"/>
    </row>
    <row r="412" ht="15" customHeight="1">
      <c r="A412" t="inlineStr">
        <is>
          <t>A 53341-2023</t>
        </is>
      </c>
      <c r="B412" s="1" t="n">
        <v>45229</v>
      </c>
      <c r="C412" s="1" t="n">
        <v>46116</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12828-2023</t>
        </is>
      </c>
      <c r="B413" s="1" t="n">
        <v>45001</v>
      </c>
      <c r="C413" s="1" t="n">
        <v>46116</v>
      </c>
      <c r="D413" t="inlineStr">
        <is>
          <t>DALARNAS LÄN</t>
        </is>
      </c>
      <c r="E413" t="inlineStr">
        <is>
          <t>MORA</t>
        </is>
      </c>
      <c r="F413" t="inlineStr">
        <is>
          <t>Bergvik skog väst AB</t>
        </is>
      </c>
      <c r="G413" t="n">
        <v>5.4</v>
      </c>
      <c r="H413" t="n">
        <v>0</v>
      </c>
      <c r="I413" t="n">
        <v>0</v>
      </c>
      <c r="J413" t="n">
        <v>0</v>
      </c>
      <c r="K413" t="n">
        <v>0</v>
      </c>
      <c r="L413" t="n">
        <v>0</v>
      </c>
      <c r="M413" t="n">
        <v>0</v>
      </c>
      <c r="N413" t="n">
        <v>0</v>
      </c>
      <c r="O413" t="n">
        <v>0</v>
      </c>
      <c r="P413" t="n">
        <v>0</v>
      </c>
      <c r="Q413" t="n">
        <v>0</v>
      </c>
      <c r="R413" s="2" t="inlineStr"/>
    </row>
    <row r="414" ht="15" customHeight="1">
      <c r="A414" t="inlineStr">
        <is>
          <t>A 53982-2025</t>
        </is>
      </c>
      <c r="B414" s="1" t="n">
        <v>45961.57019675926</v>
      </c>
      <c r="C414" s="1" t="n">
        <v>46116</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53565-2025</t>
        </is>
      </c>
      <c r="B415" s="1" t="n">
        <v>45960.40711805555</v>
      </c>
      <c r="C415" s="1" t="n">
        <v>46116</v>
      </c>
      <c r="D415" t="inlineStr">
        <is>
          <t>DALARNAS LÄN</t>
        </is>
      </c>
      <c r="E415" t="inlineStr">
        <is>
          <t>MORA</t>
        </is>
      </c>
      <c r="G415" t="n">
        <v>5.1</v>
      </c>
      <c r="H415" t="n">
        <v>0</v>
      </c>
      <c r="I415" t="n">
        <v>0</v>
      </c>
      <c r="J415" t="n">
        <v>0</v>
      </c>
      <c r="K415" t="n">
        <v>0</v>
      </c>
      <c r="L415" t="n">
        <v>0</v>
      </c>
      <c r="M415" t="n">
        <v>0</v>
      </c>
      <c r="N415" t="n">
        <v>0</v>
      </c>
      <c r="O415" t="n">
        <v>0</v>
      </c>
      <c r="P415" t="n">
        <v>0</v>
      </c>
      <c r="Q415" t="n">
        <v>0</v>
      </c>
      <c r="R415" s="2" t="inlineStr"/>
    </row>
    <row r="416" ht="15" customHeight="1">
      <c r="A416" t="inlineStr">
        <is>
          <t>A 53632-2025</t>
        </is>
      </c>
      <c r="B416" s="1" t="n">
        <v>45960.49972222222</v>
      </c>
      <c r="C416" s="1" t="n">
        <v>46116</v>
      </c>
      <c r="D416" t="inlineStr">
        <is>
          <t>DALARNAS LÄN</t>
        </is>
      </c>
      <c r="E416" t="inlineStr">
        <is>
          <t>MORA</t>
        </is>
      </c>
      <c r="G416" t="n">
        <v>3.1</v>
      </c>
      <c r="H416" t="n">
        <v>0</v>
      </c>
      <c r="I416" t="n">
        <v>0</v>
      </c>
      <c r="J416" t="n">
        <v>0</v>
      </c>
      <c r="K416" t="n">
        <v>0</v>
      </c>
      <c r="L416" t="n">
        <v>0</v>
      </c>
      <c r="M416" t="n">
        <v>0</v>
      </c>
      <c r="N416" t="n">
        <v>0</v>
      </c>
      <c r="O416" t="n">
        <v>0</v>
      </c>
      <c r="P416" t="n">
        <v>0</v>
      </c>
      <c r="Q416" t="n">
        <v>0</v>
      </c>
      <c r="R416" s="2" t="inlineStr"/>
    </row>
    <row r="417" ht="15" customHeight="1">
      <c r="A417" t="inlineStr">
        <is>
          <t>A 53560-2025</t>
        </is>
      </c>
      <c r="B417" s="1" t="n">
        <v>45960.39960648148</v>
      </c>
      <c r="C417" s="1" t="n">
        <v>46116</v>
      </c>
      <c r="D417" t="inlineStr">
        <is>
          <t>DALARNAS LÄN</t>
        </is>
      </c>
      <c r="E417" t="inlineStr">
        <is>
          <t>MORA</t>
        </is>
      </c>
      <c r="G417" t="n">
        <v>5.2</v>
      </c>
      <c r="H417" t="n">
        <v>0</v>
      </c>
      <c r="I417" t="n">
        <v>0</v>
      </c>
      <c r="J417" t="n">
        <v>0</v>
      </c>
      <c r="K417" t="n">
        <v>0</v>
      </c>
      <c r="L417" t="n">
        <v>0</v>
      </c>
      <c r="M417" t="n">
        <v>0</v>
      </c>
      <c r="N417" t="n">
        <v>0</v>
      </c>
      <c r="O417" t="n">
        <v>0</v>
      </c>
      <c r="P417" t="n">
        <v>0</v>
      </c>
      <c r="Q417" t="n">
        <v>0</v>
      </c>
      <c r="R417" s="2" t="inlineStr"/>
    </row>
    <row r="418" ht="15" customHeight="1">
      <c r="A418" t="inlineStr">
        <is>
          <t>A 53562-2025</t>
        </is>
      </c>
      <c r="B418" s="1" t="n">
        <v>45960.40662037037</v>
      </c>
      <c r="C418" s="1" t="n">
        <v>46116</v>
      </c>
      <c r="D418" t="inlineStr">
        <is>
          <t>DALARNAS LÄN</t>
        </is>
      </c>
      <c r="E418" t="inlineStr">
        <is>
          <t>MORA</t>
        </is>
      </c>
      <c r="G418" t="n">
        <v>5.1</v>
      </c>
      <c r="H418" t="n">
        <v>0</v>
      </c>
      <c r="I418" t="n">
        <v>0</v>
      </c>
      <c r="J418" t="n">
        <v>0</v>
      </c>
      <c r="K418" t="n">
        <v>0</v>
      </c>
      <c r="L418" t="n">
        <v>0</v>
      </c>
      <c r="M418" t="n">
        <v>0</v>
      </c>
      <c r="N418" t="n">
        <v>0</v>
      </c>
      <c r="O418" t="n">
        <v>0</v>
      </c>
      <c r="P418" t="n">
        <v>0</v>
      </c>
      <c r="Q418" t="n">
        <v>0</v>
      </c>
      <c r="R418" s="2" t="inlineStr"/>
    </row>
    <row r="419" ht="15" customHeight="1">
      <c r="A419" t="inlineStr">
        <is>
          <t>A 53591-2025</t>
        </is>
      </c>
      <c r="B419" s="1" t="n">
        <v>45960.43893518519</v>
      </c>
      <c r="C419" s="1" t="n">
        <v>46116</v>
      </c>
      <c r="D419" t="inlineStr">
        <is>
          <t>DALARNAS LÄN</t>
        </is>
      </c>
      <c r="E419" t="inlineStr">
        <is>
          <t>MORA</t>
        </is>
      </c>
      <c r="G419" t="n">
        <v>3.8</v>
      </c>
      <c r="H419" t="n">
        <v>0</v>
      </c>
      <c r="I419" t="n">
        <v>0</v>
      </c>
      <c r="J419" t="n">
        <v>0</v>
      </c>
      <c r="K419" t="n">
        <v>0</v>
      </c>
      <c r="L419" t="n">
        <v>0</v>
      </c>
      <c r="M419" t="n">
        <v>0</v>
      </c>
      <c r="N419" t="n">
        <v>0</v>
      </c>
      <c r="O419" t="n">
        <v>0</v>
      </c>
      <c r="P419" t="n">
        <v>0</v>
      </c>
      <c r="Q419" t="n">
        <v>0</v>
      </c>
      <c r="R419" s="2" t="inlineStr"/>
    </row>
    <row r="420" ht="15" customHeight="1">
      <c r="A420" t="inlineStr">
        <is>
          <t>A 53418-2025</t>
        </is>
      </c>
      <c r="B420" s="1" t="n">
        <v>45959</v>
      </c>
      <c r="C420" s="1" t="n">
        <v>46116</v>
      </c>
      <c r="D420" t="inlineStr">
        <is>
          <t>DALARNAS LÄN</t>
        </is>
      </c>
      <c r="E420" t="inlineStr">
        <is>
          <t>MORA</t>
        </is>
      </c>
      <c r="G420" t="n">
        <v>1</v>
      </c>
      <c r="H420" t="n">
        <v>0</v>
      </c>
      <c r="I420" t="n">
        <v>0</v>
      </c>
      <c r="J420" t="n">
        <v>0</v>
      </c>
      <c r="K420" t="n">
        <v>0</v>
      </c>
      <c r="L420" t="n">
        <v>0</v>
      </c>
      <c r="M420" t="n">
        <v>0</v>
      </c>
      <c r="N420" t="n">
        <v>0</v>
      </c>
      <c r="O420" t="n">
        <v>0</v>
      </c>
      <c r="P420" t="n">
        <v>0</v>
      </c>
      <c r="Q420" t="n">
        <v>0</v>
      </c>
      <c r="R420" s="2" t="inlineStr"/>
    </row>
    <row r="421" ht="15" customHeight="1">
      <c r="A421" t="inlineStr">
        <is>
          <t>A 21410-2023</t>
        </is>
      </c>
      <c r="B421" s="1" t="n">
        <v>45063</v>
      </c>
      <c r="C421" s="1" t="n">
        <v>46116</v>
      </c>
      <c r="D421" t="inlineStr">
        <is>
          <t>DALARNAS LÄN</t>
        </is>
      </c>
      <c r="E421" t="inlineStr">
        <is>
          <t>MORA</t>
        </is>
      </c>
      <c r="G421" t="n">
        <v>7</v>
      </c>
      <c r="H421" t="n">
        <v>0</v>
      </c>
      <c r="I421" t="n">
        <v>0</v>
      </c>
      <c r="J421" t="n">
        <v>0</v>
      </c>
      <c r="K421" t="n">
        <v>0</v>
      </c>
      <c r="L421" t="n">
        <v>0</v>
      </c>
      <c r="M421" t="n">
        <v>0</v>
      </c>
      <c r="N421" t="n">
        <v>0</v>
      </c>
      <c r="O421" t="n">
        <v>0</v>
      </c>
      <c r="P421" t="n">
        <v>0</v>
      </c>
      <c r="Q421" t="n">
        <v>0</v>
      </c>
      <c r="R421" s="2" t="inlineStr"/>
    </row>
    <row r="422" ht="15" customHeight="1">
      <c r="A422" t="inlineStr">
        <is>
          <t>A 53556-2025</t>
        </is>
      </c>
      <c r="B422" s="1" t="n">
        <v>45960.3921875</v>
      </c>
      <c r="C422" s="1" t="n">
        <v>46116</v>
      </c>
      <c r="D422" t="inlineStr">
        <is>
          <t>DALARNAS LÄN</t>
        </is>
      </c>
      <c r="E422" t="inlineStr">
        <is>
          <t>MORA</t>
        </is>
      </c>
      <c r="G422" t="n">
        <v>3.3</v>
      </c>
      <c r="H422" t="n">
        <v>0</v>
      </c>
      <c r="I422" t="n">
        <v>0</v>
      </c>
      <c r="J422" t="n">
        <v>0</v>
      </c>
      <c r="K422" t="n">
        <v>0</v>
      </c>
      <c r="L422" t="n">
        <v>0</v>
      </c>
      <c r="M422" t="n">
        <v>0</v>
      </c>
      <c r="N422" t="n">
        <v>0</v>
      </c>
      <c r="O422" t="n">
        <v>0</v>
      </c>
      <c r="P422" t="n">
        <v>0</v>
      </c>
      <c r="Q422" t="n">
        <v>0</v>
      </c>
      <c r="R422" s="2" t="inlineStr"/>
    </row>
    <row r="423" ht="15" customHeight="1">
      <c r="A423" t="inlineStr">
        <is>
          <t>A 54508-2025</t>
        </is>
      </c>
      <c r="B423" s="1" t="n">
        <v>45965.61844907407</v>
      </c>
      <c r="C423" s="1" t="n">
        <v>46116</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3531-2024</t>
        </is>
      </c>
      <c r="B424" s="1" t="n">
        <v>45320</v>
      </c>
      <c r="C424" s="1" t="n">
        <v>46116</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c r="U424">
        <f>HYPERLINK("https://klasma.github.io/Logging_2062/knärot/A 3531-2024 karta knärot.png", "A 3531-2024")</f>
        <v/>
      </c>
      <c r="V424">
        <f>HYPERLINK("https://klasma.github.io/Logging_2062/klagomål/A 3531-2024 FSC-klagomål.docx", "A 3531-2024")</f>
        <v/>
      </c>
      <c r="W424">
        <f>HYPERLINK("https://klasma.github.io/Logging_2062/klagomålsmail/A 3531-2024 FSC-klagomål mail.docx", "A 3531-2024")</f>
        <v/>
      </c>
      <c r="X424">
        <f>HYPERLINK("https://klasma.github.io/Logging_2062/tillsyn/A 3531-2024 tillsynsbegäran.docx", "A 3531-2024")</f>
        <v/>
      </c>
      <c r="Y424">
        <f>HYPERLINK("https://klasma.github.io/Logging_2062/tillsynsmail/A 3531-2024 tillsynsbegäran mail.docx", "A 3531-2024")</f>
        <v/>
      </c>
    </row>
    <row r="425" ht="15" customHeight="1">
      <c r="A425" t="inlineStr">
        <is>
          <t>A 45475-2023</t>
        </is>
      </c>
      <c r="B425" s="1" t="n">
        <v>45188</v>
      </c>
      <c r="C425" s="1" t="n">
        <v>46116</v>
      </c>
      <c r="D425" t="inlineStr">
        <is>
          <t>DALARNAS LÄN</t>
        </is>
      </c>
      <c r="E425" t="inlineStr">
        <is>
          <t>MORA</t>
        </is>
      </c>
      <c r="G425" t="n">
        <v>1.1</v>
      </c>
      <c r="H425" t="n">
        <v>0</v>
      </c>
      <c r="I425" t="n">
        <v>0</v>
      </c>
      <c r="J425" t="n">
        <v>0</v>
      </c>
      <c r="K425" t="n">
        <v>0</v>
      </c>
      <c r="L425" t="n">
        <v>0</v>
      </c>
      <c r="M425" t="n">
        <v>0</v>
      </c>
      <c r="N425" t="n">
        <v>0</v>
      </c>
      <c r="O425" t="n">
        <v>0</v>
      </c>
      <c r="P425" t="n">
        <v>0</v>
      </c>
      <c r="Q425" t="n">
        <v>0</v>
      </c>
      <c r="R425" s="2" t="inlineStr"/>
    </row>
    <row r="426" ht="15" customHeight="1">
      <c r="A426" t="inlineStr">
        <is>
          <t>A 44071-2024</t>
        </is>
      </c>
      <c r="B426" s="1" t="n">
        <v>45572.60915509259</v>
      </c>
      <c r="C426" s="1" t="n">
        <v>46116</v>
      </c>
      <c r="D426" t="inlineStr">
        <is>
          <t>DALARNAS LÄN</t>
        </is>
      </c>
      <c r="E426" t="inlineStr">
        <is>
          <t>MORA</t>
        </is>
      </c>
      <c r="G426" t="n">
        <v>4.5</v>
      </c>
      <c r="H426" t="n">
        <v>0</v>
      </c>
      <c r="I426" t="n">
        <v>0</v>
      </c>
      <c r="J426" t="n">
        <v>0</v>
      </c>
      <c r="K426" t="n">
        <v>0</v>
      </c>
      <c r="L426" t="n">
        <v>0</v>
      </c>
      <c r="M426" t="n">
        <v>0</v>
      </c>
      <c r="N426" t="n">
        <v>0</v>
      </c>
      <c r="O426" t="n">
        <v>0</v>
      </c>
      <c r="P426" t="n">
        <v>0</v>
      </c>
      <c r="Q426" t="n">
        <v>0</v>
      </c>
      <c r="R426" s="2" t="inlineStr"/>
    </row>
    <row r="427" ht="15" customHeight="1">
      <c r="A427" t="inlineStr">
        <is>
          <t>A 54518-2025</t>
        </is>
      </c>
      <c r="B427" s="1" t="n">
        <v>45965.62608796296</v>
      </c>
      <c r="C427" s="1" t="n">
        <v>46116</v>
      </c>
      <c r="D427" t="inlineStr">
        <is>
          <t>DALARNAS LÄN</t>
        </is>
      </c>
      <c r="E427" t="inlineStr">
        <is>
          <t>MORA</t>
        </is>
      </c>
      <c r="G427" t="n">
        <v>7.1</v>
      </c>
      <c r="H427" t="n">
        <v>0</v>
      </c>
      <c r="I427" t="n">
        <v>0</v>
      </c>
      <c r="J427" t="n">
        <v>0</v>
      </c>
      <c r="K427" t="n">
        <v>0</v>
      </c>
      <c r="L427" t="n">
        <v>0</v>
      </c>
      <c r="M427" t="n">
        <v>0</v>
      </c>
      <c r="N427" t="n">
        <v>0</v>
      </c>
      <c r="O427" t="n">
        <v>0</v>
      </c>
      <c r="P427" t="n">
        <v>0</v>
      </c>
      <c r="Q427" t="n">
        <v>0</v>
      </c>
      <c r="R427" s="2" t="inlineStr"/>
    </row>
    <row r="428" ht="15" customHeight="1">
      <c r="A428" t="inlineStr">
        <is>
          <t>A 54099-2025</t>
        </is>
      </c>
      <c r="B428" s="1" t="n">
        <v>45964.41665509259</v>
      </c>
      <c r="C428" s="1" t="n">
        <v>46116</v>
      </c>
      <c r="D428" t="inlineStr">
        <is>
          <t>DALARNAS LÄN</t>
        </is>
      </c>
      <c r="E428" t="inlineStr">
        <is>
          <t>MORA</t>
        </is>
      </c>
      <c r="G428" t="n">
        <v>5.3</v>
      </c>
      <c r="H428" t="n">
        <v>0</v>
      </c>
      <c r="I428" t="n">
        <v>0</v>
      </c>
      <c r="J428" t="n">
        <v>0</v>
      </c>
      <c r="K428" t="n">
        <v>0</v>
      </c>
      <c r="L428" t="n">
        <v>0</v>
      </c>
      <c r="M428" t="n">
        <v>0</v>
      </c>
      <c r="N428" t="n">
        <v>0</v>
      </c>
      <c r="O428" t="n">
        <v>0</v>
      </c>
      <c r="P428" t="n">
        <v>0</v>
      </c>
      <c r="Q428" t="n">
        <v>0</v>
      </c>
      <c r="R428" s="2" t="inlineStr"/>
    </row>
    <row r="429" ht="15" customHeight="1">
      <c r="A429" t="inlineStr">
        <is>
          <t>A 11463-2024</t>
        </is>
      </c>
      <c r="B429" s="1" t="n">
        <v>45372.58969907407</v>
      </c>
      <c r="C429" s="1" t="n">
        <v>46116</v>
      </c>
      <c r="D429" t="inlineStr">
        <is>
          <t>DALARNAS LÄN</t>
        </is>
      </c>
      <c r="E429" t="inlineStr">
        <is>
          <t>MORA</t>
        </is>
      </c>
      <c r="F429" t="inlineStr">
        <is>
          <t>Bergvik skog väst AB</t>
        </is>
      </c>
      <c r="G429" t="n">
        <v>1.8</v>
      </c>
      <c r="H429" t="n">
        <v>0</v>
      </c>
      <c r="I429" t="n">
        <v>0</v>
      </c>
      <c r="J429" t="n">
        <v>0</v>
      </c>
      <c r="K429" t="n">
        <v>0</v>
      </c>
      <c r="L429" t="n">
        <v>0</v>
      </c>
      <c r="M429" t="n">
        <v>0</v>
      </c>
      <c r="N429" t="n">
        <v>0</v>
      </c>
      <c r="O429" t="n">
        <v>0</v>
      </c>
      <c r="P429" t="n">
        <v>0</v>
      </c>
      <c r="Q429" t="n">
        <v>0</v>
      </c>
      <c r="R429" s="2" t="inlineStr"/>
    </row>
    <row r="430" ht="15" customHeight="1">
      <c r="A430" t="inlineStr">
        <is>
          <t>A 54367-2025</t>
        </is>
      </c>
      <c r="B430" s="1" t="n">
        <v>45965.4031712963</v>
      </c>
      <c r="C430" s="1" t="n">
        <v>46116</v>
      </c>
      <c r="D430" t="inlineStr">
        <is>
          <t>DALARNAS LÄN</t>
        </is>
      </c>
      <c r="E430" t="inlineStr">
        <is>
          <t>MORA</t>
        </is>
      </c>
      <c r="G430" t="n">
        <v>7</v>
      </c>
      <c r="H430" t="n">
        <v>0</v>
      </c>
      <c r="I430" t="n">
        <v>0</v>
      </c>
      <c r="J430" t="n">
        <v>0</v>
      </c>
      <c r="K430" t="n">
        <v>0</v>
      </c>
      <c r="L430" t="n">
        <v>0</v>
      </c>
      <c r="M430" t="n">
        <v>0</v>
      </c>
      <c r="N430" t="n">
        <v>0</v>
      </c>
      <c r="O430" t="n">
        <v>0</v>
      </c>
      <c r="P430" t="n">
        <v>0</v>
      </c>
      <c r="Q430" t="n">
        <v>0</v>
      </c>
      <c r="R430" s="2" t="inlineStr"/>
    </row>
    <row r="431" ht="15" customHeight="1">
      <c r="A431" t="inlineStr">
        <is>
          <t>A 54504-2025</t>
        </is>
      </c>
      <c r="B431" s="1" t="n">
        <v>45965.61686342592</v>
      </c>
      <c r="C431" s="1" t="n">
        <v>46116</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57903-2022</t>
        </is>
      </c>
      <c r="B432" s="1" t="n">
        <v>44900.3521412037</v>
      </c>
      <c r="C432" s="1" t="n">
        <v>46116</v>
      </c>
      <c r="D432" t="inlineStr">
        <is>
          <t>DALARNAS LÄN</t>
        </is>
      </c>
      <c r="E432" t="inlineStr">
        <is>
          <t>MORA</t>
        </is>
      </c>
      <c r="G432" t="n">
        <v>4.3</v>
      </c>
      <c r="H432" t="n">
        <v>0</v>
      </c>
      <c r="I432" t="n">
        <v>0</v>
      </c>
      <c r="J432" t="n">
        <v>0</v>
      </c>
      <c r="K432" t="n">
        <v>0</v>
      </c>
      <c r="L432" t="n">
        <v>0</v>
      </c>
      <c r="M432" t="n">
        <v>0</v>
      </c>
      <c r="N432" t="n">
        <v>0</v>
      </c>
      <c r="O432" t="n">
        <v>0</v>
      </c>
      <c r="P432" t="n">
        <v>0</v>
      </c>
      <c r="Q432" t="n">
        <v>0</v>
      </c>
      <c r="R432" s="2" t="inlineStr"/>
    </row>
    <row r="433" ht="15" customHeight="1">
      <c r="A433" t="inlineStr">
        <is>
          <t>A 54868-2025</t>
        </is>
      </c>
      <c r="B433" s="1" t="n">
        <v>45966.85649305556</v>
      </c>
      <c r="C433" s="1" t="n">
        <v>46116</v>
      </c>
      <c r="D433" t="inlineStr">
        <is>
          <t>DALARNAS LÄN</t>
        </is>
      </c>
      <c r="E433" t="inlineStr">
        <is>
          <t>MORA</t>
        </is>
      </c>
      <c r="F433" t="inlineStr">
        <is>
          <t>Bergvik skog väst AB</t>
        </is>
      </c>
      <c r="G433" t="n">
        <v>5.6</v>
      </c>
      <c r="H433" t="n">
        <v>0</v>
      </c>
      <c r="I433" t="n">
        <v>0</v>
      </c>
      <c r="J433" t="n">
        <v>0</v>
      </c>
      <c r="K433" t="n">
        <v>0</v>
      </c>
      <c r="L433" t="n">
        <v>0</v>
      </c>
      <c r="M433" t="n">
        <v>0</v>
      </c>
      <c r="N433" t="n">
        <v>0</v>
      </c>
      <c r="O433" t="n">
        <v>0</v>
      </c>
      <c r="P433" t="n">
        <v>0</v>
      </c>
      <c r="Q433" t="n">
        <v>0</v>
      </c>
      <c r="R433" s="2" t="inlineStr"/>
    </row>
    <row r="434" ht="15" customHeight="1">
      <c r="A434" t="inlineStr">
        <is>
          <t>A 54862-2025</t>
        </is>
      </c>
      <c r="B434" s="1" t="n">
        <v>45966.76542824074</v>
      </c>
      <c r="C434" s="1" t="n">
        <v>46116</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46129-2024</t>
        </is>
      </c>
      <c r="B435" s="1" t="n">
        <v>45581.43337962963</v>
      </c>
      <c r="C435" s="1" t="n">
        <v>46116</v>
      </c>
      <c r="D435" t="inlineStr">
        <is>
          <t>DALARNAS LÄN</t>
        </is>
      </c>
      <c r="E435" t="inlineStr">
        <is>
          <t>MORA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19193-2025</t>
        </is>
      </c>
      <c r="B436" s="1" t="n">
        <v>45769.42203703704</v>
      </c>
      <c r="C436" s="1" t="n">
        <v>46116</v>
      </c>
      <c r="D436" t="inlineStr">
        <is>
          <t>DALARNAS LÄN</t>
        </is>
      </c>
      <c r="E436" t="inlineStr">
        <is>
          <t>MORA</t>
        </is>
      </c>
      <c r="F436" t="inlineStr">
        <is>
          <t>Bergvik skog öst AB</t>
        </is>
      </c>
      <c r="G436" t="n">
        <v>1</v>
      </c>
      <c r="H436" t="n">
        <v>0</v>
      </c>
      <c r="I436" t="n">
        <v>0</v>
      </c>
      <c r="J436" t="n">
        <v>0</v>
      </c>
      <c r="K436" t="n">
        <v>0</v>
      </c>
      <c r="L436" t="n">
        <v>0</v>
      </c>
      <c r="M436" t="n">
        <v>0</v>
      </c>
      <c r="N436" t="n">
        <v>0</v>
      </c>
      <c r="O436" t="n">
        <v>0</v>
      </c>
      <c r="P436" t="n">
        <v>0</v>
      </c>
      <c r="Q436" t="n">
        <v>0</v>
      </c>
      <c r="R436" s="2" t="inlineStr"/>
    </row>
    <row r="437" ht="15" customHeight="1">
      <c r="A437" t="inlineStr">
        <is>
          <t>A 54909-2025</t>
        </is>
      </c>
      <c r="B437" s="1" t="n">
        <v>45967.374375</v>
      </c>
      <c r="C437" s="1" t="n">
        <v>46116</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54919-2025</t>
        </is>
      </c>
      <c r="B438" s="1" t="n">
        <v>45967.38884259259</v>
      </c>
      <c r="C438" s="1" t="n">
        <v>46116</v>
      </c>
      <c r="D438" t="inlineStr">
        <is>
          <t>DALARNAS LÄN</t>
        </is>
      </c>
      <c r="E438" t="inlineStr">
        <is>
          <t>MORA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54905-2025</t>
        </is>
      </c>
      <c r="B439" s="1" t="n">
        <v>45967.3700462963</v>
      </c>
      <c r="C439" s="1" t="n">
        <v>46116</v>
      </c>
      <c r="D439" t="inlineStr">
        <is>
          <t>DALARNAS LÄN</t>
        </is>
      </c>
      <c r="E439" t="inlineStr">
        <is>
          <t>MORA</t>
        </is>
      </c>
      <c r="G439" t="n">
        <v>0.4</v>
      </c>
      <c r="H439" t="n">
        <v>0</v>
      </c>
      <c r="I439" t="n">
        <v>0</v>
      </c>
      <c r="J439" t="n">
        <v>0</v>
      </c>
      <c r="K439" t="n">
        <v>0</v>
      </c>
      <c r="L439" t="n">
        <v>0</v>
      </c>
      <c r="M439" t="n">
        <v>0</v>
      </c>
      <c r="N439" t="n">
        <v>0</v>
      </c>
      <c r="O439" t="n">
        <v>0</v>
      </c>
      <c r="P439" t="n">
        <v>0</v>
      </c>
      <c r="Q439" t="n">
        <v>0</v>
      </c>
      <c r="R439" s="2" t="inlineStr"/>
    </row>
    <row r="440" ht="15" customHeight="1">
      <c r="A440" t="inlineStr">
        <is>
          <t>A 54910-2025</t>
        </is>
      </c>
      <c r="B440" s="1" t="n">
        <v>45967.37679398148</v>
      </c>
      <c r="C440" s="1" t="n">
        <v>46116</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6183-2024</t>
        </is>
      </c>
      <c r="B441" s="1" t="n">
        <v>45337.54135416666</v>
      </c>
      <c r="C441" s="1" t="n">
        <v>46116</v>
      </c>
      <c r="D441" t="inlineStr">
        <is>
          <t>DALARNAS LÄN</t>
        </is>
      </c>
      <c r="E441" t="inlineStr">
        <is>
          <t>MORA</t>
        </is>
      </c>
      <c r="G441" t="n">
        <v>7.9</v>
      </c>
      <c r="H441" t="n">
        <v>0</v>
      </c>
      <c r="I441" t="n">
        <v>0</v>
      </c>
      <c r="J441" t="n">
        <v>0</v>
      </c>
      <c r="K441" t="n">
        <v>0</v>
      </c>
      <c r="L441" t="n">
        <v>0</v>
      </c>
      <c r="M441" t="n">
        <v>0</v>
      </c>
      <c r="N441" t="n">
        <v>0</v>
      </c>
      <c r="O441" t="n">
        <v>0</v>
      </c>
      <c r="P441" t="n">
        <v>0</v>
      </c>
      <c r="Q441" t="n">
        <v>0</v>
      </c>
      <c r="R441" s="2" t="inlineStr"/>
    </row>
    <row r="442" ht="15" customHeight="1">
      <c r="A442" t="inlineStr">
        <is>
          <t>A 55123-2025</t>
        </is>
      </c>
      <c r="B442" s="1" t="n">
        <v>45968.40056712963</v>
      </c>
      <c r="C442" s="1" t="n">
        <v>46116</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55262-2025</t>
        </is>
      </c>
      <c r="B443" s="1" t="n">
        <v>45968.64847222222</v>
      </c>
      <c r="C443" s="1" t="n">
        <v>46116</v>
      </c>
      <c r="D443" t="inlineStr">
        <is>
          <t>DALARNAS LÄN</t>
        </is>
      </c>
      <c r="E443" t="inlineStr">
        <is>
          <t>MORA</t>
        </is>
      </c>
      <c r="G443" t="n">
        <v>1.2</v>
      </c>
      <c r="H443" t="n">
        <v>0</v>
      </c>
      <c r="I443" t="n">
        <v>0</v>
      </c>
      <c r="J443" t="n">
        <v>0</v>
      </c>
      <c r="K443" t="n">
        <v>0</v>
      </c>
      <c r="L443" t="n">
        <v>0</v>
      </c>
      <c r="M443" t="n">
        <v>0</v>
      </c>
      <c r="N443" t="n">
        <v>0</v>
      </c>
      <c r="O443" t="n">
        <v>0</v>
      </c>
      <c r="P443" t="n">
        <v>0</v>
      </c>
      <c r="Q443" t="n">
        <v>0</v>
      </c>
      <c r="R443" s="2" t="inlineStr"/>
    </row>
    <row r="444" ht="15" customHeight="1">
      <c r="A444" t="inlineStr">
        <is>
          <t>A 55284-2025</t>
        </is>
      </c>
      <c r="B444" s="1" t="n">
        <v>45968.8227662037</v>
      </c>
      <c r="C444" s="1" t="n">
        <v>46116</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55124-2025</t>
        </is>
      </c>
      <c r="B445" s="1" t="n">
        <v>45968.40621527778</v>
      </c>
      <c r="C445" s="1" t="n">
        <v>46116</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46152-2023</t>
        </is>
      </c>
      <c r="B446" s="1" t="n">
        <v>45196.58278935185</v>
      </c>
      <c r="C446" s="1" t="n">
        <v>46116</v>
      </c>
      <c r="D446" t="inlineStr">
        <is>
          <t>DALARNAS LÄN</t>
        </is>
      </c>
      <c r="E446" t="inlineStr">
        <is>
          <t>MORA</t>
        </is>
      </c>
      <c r="G446" t="n">
        <v>2</v>
      </c>
      <c r="H446" t="n">
        <v>0</v>
      </c>
      <c r="I446" t="n">
        <v>0</v>
      </c>
      <c r="J446" t="n">
        <v>0</v>
      </c>
      <c r="K446" t="n">
        <v>0</v>
      </c>
      <c r="L446" t="n">
        <v>0</v>
      </c>
      <c r="M446" t="n">
        <v>0</v>
      </c>
      <c r="N446" t="n">
        <v>0</v>
      </c>
      <c r="O446" t="n">
        <v>0</v>
      </c>
      <c r="P446" t="n">
        <v>0</v>
      </c>
      <c r="Q446" t="n">
        <v>0</v>
      </c>
      <c r="R446" s="2" t="inlineStr"/>
    </row>
    <row r="447" ht="15" customHeight="1">
      <c r="A447" t="inlineStr">
        <is>
          <t>A 28832-2023</t>
        </is>
      </c>
      <c r="B447" s="1" t="n">
        <v>45104.40493055555</v>
      </c>
      <c r="C447" s="1" t="n">
        <v>46116</v>
      </c>
      <c r="D447" t="inlineStr">
        <is>
          <t>DALARNAS LÄN</t>
        </is>
      </c>
      <c r="E447" t="inlineStr">
        <is>
          <t>MORA</t>
        </is>
      </c>
      <c r="F447" t="inlineStr">
        <is>
          <t>Bergvik skog öst AB</t>
        </is>
      </c>
      <c r="G447" t="n">
        <v>2</v>
      </c>
      <c r="H447" t="n">
        <v>0</v>
      </c>
      <c r="I447" t="n">
        <v>0</v>
      </c>
      <c r="J447" t="n">
        <v>0</v>
      </c>
      <c r="K447" t="n">
        <v>0</v>
      </c>
      <c r="L447" t="n">
        <v>0</v>
      </c>
      <c r="M447" t="n">
        <v>0</v>
      </c>
      <c r="N447" t="n">
        <v>0</v>
      </c>
      <c r="O447" t="n">
        <v>0</v>
      </c>
      <c r="P447" t="n">
        <v>0</v>
      </c>
      <c r="Q447" t="n">
        <v>0</v>
      </c>
      <c r="R447" s="2" t="inlineStr"/>
    </row>
    <row r="448" ht="15" customHeight="1">
      <c r="A448" t="inlineStr">
        <is>
          <t>A 56702-2025</t>
        </is>
      </c>
      <c r="B448" s="1" t="n">
        <v>45977.45586805556</v>
      </c>
      <c r="C448" s="1" t="n">
        <v>46116</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48824-2023</t>
        </is>
      </c>
      <c r="B449" s="1" t="n">
        <v>45203</v>
      </c>
      <c r="C449" s="1" t="n">
        <v>46116</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57097-2025</t>
        </is>
      </c>
      <c r="B450" s="1" t="n">
        <v>45979.43388888889</v>
      </c>
      <c r="C450" s="1" t="n">
        <v>46116</v>
      </c>
      <c r="D450" t="inlineStr">
        <is>
          <t>DALARNAS LÄN</t>
        </is>
      </c>
      <c r="E450" t="inlineStr">
        <is>
          <t>MORA</t>
        </is>
      </c>
      <c r="G450" t="n">
        <v>7.5</v>
      </c>
      <c r="H450" t="n">
        <v>0</v>
      </c>
      <c r="I450" t="n">
        <v>0</v>
      </c>
      <c r="J450" t="n">
        <v>0</v>
      </c>
      <c r="K450" t="n">
        <v>0</v>
      </c>
      <c r="L450" t="n">
        <v>0</v>
      </c>
      <c r="M450" t="n">
        <v>0</v>
      </c>
      <c r="N450" t="n">
        <v>0</v>
      </c>
      <c r="O450" t="n">
        <v>0</v>
      </c>
      <c r="P450" t="n">
        <v>0</v>
      </c>
      <c r="Q450" t="n">
        <v>0</v>
      </c>
      <c r="R450" s="2" t="inlineStr"/>
    </row>
    <row r="451" ht="15" customHeight="1">
      <c r="A451" t="inlineStr">
        <is>
          <t>A 57101-2025</t>
        </is>
      </c>
      <c r="B451" s="1" t="n">
        <v>45979.44006944444</v>
      </c>
      <c r="C451" s="1" t="n">
        <v>46116</v>
      </c>
      <c r="D451" t="inlineStr">
        <is>
          <t>DALARNAS LÄN</t>
        </is>
      </c>
      <c r="E451" t="inlineStr">
        <is>
          <t>MORA</t>
        </is>
      </c>
      <c r="G451" t="n">
        <v>7.5</v>
      </c>
      <c r="H451" t="n">
        <v>0</v>
      </c>
      <c r="I451" t="n">
        <v>0</v>
      </c>
      <c r="J451" t="n">
        <v>0</v>
      </c>
      <c r="K451" t="n">
        <v>0</v>
      </c>
      <c r="L451" t="n">
        <v>0</v>
      </c>
      <c r="M451" t="n">
        <v>0</v>
      </c>
      <c r="N451" t="n">
        <v>0</v>
      </c>
      <c r="O451" t="n">
        <v>0</v>
      </c>
      <c r="P451" t="n">
        <v>0</v>
      </c>
      <c r="Q451" t="n">
        <v>0</v>
      </c>
      <c r="R451" s="2" t="inlineStr"/>
    </row>
    <row r="452" ht="15" customHeight="1">
      <c r="A452" t="inlineStr">
        <is>
          <t>A 8343-2025</t>
        </is>
      </c>
      <c r="B452" s="1" t="n">
        <v>45708.67253472222</v>
      </c>
      <c r="C452" s="1" t="n">
        <v>46116</v>
      </c>
      <c r="D452" t="inlineStr">
        <is>
          <t>DALARNAS LÄN</t>
        </is>
      </c>
      <c r="E452" t="inlineStr">
        <is>
          <t>MORA</t>
        </is>
      </c>
      <c r="G452" t="n">
        <v>3.4</v>
      </c>
      <c r="H452" t="n">
        <v>0</v>
      </c>
      <c r="I452" t="n">
        <v>0</v>
      </c>
      <c r="J452" t="n">
        <v>0</v>
      </c>
      <c r="K452" t="n">
        <v>0</v>
      </c>
      <c r="L452" t="n">
        <v>0</v>
      </c>
      <c r="M452" t="n">
        <v>0</v>
      </c>
      <c r="N452" t="n">
        <v>0</v>
      </c>
      <c r="O452" t="n">
        <v>0</v>
      </c>
      <c r="P452" t="n">
        <v>0</v>
      </c>
      <c r="Q452" t="n">
        <v>0</v>
      </c>
      <c r="R452" s="2" t="inlineStr"/>
    </row>
    <row r="453" ht="15" customHeight="1">
      <c r="A453" t="inlineStr">
        <is>
          <t>A 17163-2025</t>
        </is>
      </c>
      <c r="B453" s="1" t="n">
        <v>45756.35998842592</v>
      </c>
      <c r="C453" s="1" t="n">
        <v>46116</v>
      </c>
      <c r="D453" t="inlineStr">
        <is>
          <t>DALARNAS LÄN</t>
        </is>
      </c>
      <c r="E453" t="inlineStr">
        <is>
          <t>MORA</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34272-2024</t>
        </is>
      </c>
      <c r="B454" s="1" t="n">
        <v>45524.61752314815</v>
      </c>
      <c r="C454" s="1" t="n">
        <v>46116</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57659-2025</t>
        </is>
      </c>
      <c r="B455" s="1" t="n">
        <v>45981.41228009259</v>
      </c>
      <c r="C455" s="1" t="n">
        <v>46116</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57647-2025</t>
        </is>
      </c>
      <c r="B456" s="1" t="n">
        <v>45981.37621527778</v>
      </c>
      <c r="C456" s="1" t="n">
        <v>46116</v>
      </c>
      <c r="D456" t="inlineStr">
        <is>
          <t>DALARNAS LÄN</t>
        </is>
      </c>
      <c r="E456" t="inlineStr">
        <is>
          <t>MORA</t>
        </is>
      </c>
      <c r="G456" t="n">
        <v>3.9</v>
      </c>
      <c r="H456" t="n">
        <v>0</v>
      </c>
      <c r="I456" t="n">
        <v>0</v>
      </c>
      <c r="J456" t="n">
        <v>0</v>
      </c>
      <c r="K456" t="n">
        <v>0</v>
      </c>
      <c r="L456" t="n">
        <v>0</v>
      </c>
      <c r="M456" t="n">
        <v>0</v>
      </c>
      <c r="N456" t="n">
        <v>0</v>
      </c>
      <c r="O456" t="n">
        <v>0</v>
      </c>
      <c r="P456" t="n">
        <v>0</v>
      </c>
      <c r="Q456" t="n">
        <v>0</v>
      </c>
      <c r="R456" s="2" t="inlineStr"/>
    </row>
    <row r="457" ht="15" customHeight="1">
      <c r="A457" t="inlineStr">
        <is>
          <t>A 36579-2022</t>
        </is>
      </c>
      <c r="B457" s="1" t="n">
        <v>44804.61636574074</v>
      </c>
      <c r="C457" s="1" t="n">
        <v>46116</v>
      </c>
      <c r="D457" t="inlineStr">
        <is>
          <t>DALARNAS LÄN</t>
        </is>
      </c>
      <c r="E457" t="inlineStr">
        <is>
          <t>MORA</t>
        </is>
      </c>
      <c r="G457" t="n">
        <v>2.3</v>
      </c>
      <c r="H457" t="n">
        <v>0</v>
      </c>
      <c r="I457" t="n">
        <v>0</v>
      </c>
      <c r="J457" t="n">
        <v>0</v>
      </c>
      <c r="K457" t="n">
        <v>0</v>
      </c>
      <c r="L457" t="n">
        <v>0</v>
      </c>
      <c r="M457" t="n">
        <v>0</v>
      </c>
      <c r="N457" t="n">
        <v>0</v>
      </c>
      <c r="O457" t="n">
        <v>0</v>
      </c>
      <c r="P457" t="n">
        <v>0</v>
      </c>
      <c r="Q457" t="n">
        <v>0</v>
      </c>
      <c r="R457" s="2" t="inlineStr"/>
    </row>
    <row r="458" ht="15" customHeight="1">
      <c r="A458" t="inlineStr">
        <is>
          <t>A 30030-2021</t>
        </is>
      </c>
      <c r="B458" s="1" t="n">
        <v>44363</v>
      </c>
      <c r="C458" s="1" t="n">
        <v>46116</v>
      </c>
      <c r="D458" t="inlineStr">
        <is>
          <t>DALARNAS LÄN</t>
        </is>
      </c>
      <c r="E458" t="inlineStr">
        <is>
          <t>MORA</t>
        </is>
      </c>
      <c r="G458" t="n">
        <v>7.1</v>
      </c>
      <c r="H458" t="n">
        <v>0</v>
      </c>
      <c r="I458" t="n">
        <v>0</v>
      </c>
      <c r="J458" t="n">
        <v>0</v>
      </c>
      <c r="K458" t="n">
        <v>0</v>
      </c>
      <c r="L458" t="n">
        <v>0</v>
      </c>
      <c r="M458" t="n">
        <v>0</v>
      </c>
      <c r="N458" t="n">
        <v>0</v>
      </c>
      <c r="O458" t="n">
        <v>0</v>
      </c>
      <c r="P458" t="n">
        <v>0</v>
      </c>
      <c r="Q458" t="n">
        <v>0</v>
      </c>
      <c r="R458" s="2" t="inlineStr"/>
    </row>
    <row r="459" ht="15" customHeight="1">
      <c r="A459" t="inlineStr">
        <is>
          <t>A 57843-2025</t>
        </is>
      </c>
      <c r="B459" s="1" t="n">
        <v>45981.62792824074</v>
      </c>
      <c r="C459" s="1" t="n">
        <v>46116</v>
      </c>
      <c r="D459" t="inlineStr">
        <is>
          <t>DALARNAS LÄN</t>
        </is>
      </c>
      <c r="E459" t="inlineStr">
        <is>
          <t>MORA</t>
        </is>
      </c>
      <c r="G459" t="n">
        <v>4.5</v>
      </c>
      <c r="H459" t="n">
        <v>0</v>
      </c>
      <c r="I459" t="n">
        <v>0</v>
      </c>
      <c r="J459" t="n">
        <v>0</v>
      </c>
      <c r="K459" t="n">
        <v>0</v>
      </c>
      <c r="L459" t="n">
        <v>0</v>
      </c>
      <c r="M459" t="n">
        <v>0</v>
      </c>
      <c r="N459" t="n">
        <v>0</v>
      </c>
      <c r="O459" t="n">
        <v>0</v>
      </c>
      <c r="P459" t="n">
        <v>0</v>
      </c>
      <c r="Q459" t="n">
        <v>0</v>
      </c>
      <c r="R459" s="2" t="inlineStr"/>
    </row>
    <row r="460" ht="15" customHeight="1">
      <c r="A460" t="inlineStr">
        <is>
          <t>A 33531-2024</t>
        </is>
      </c>
      <c r="B460" s="1" t="n">
        <v>45519.67503472222</v>
      </c>
      <c r="C460" s="1" t="n">
        <v>46116</v>
      </c>
      <c r="D460" t="inlineStr">
        <is>
          <t>DALARNAS LÄN</t>
        </is>
      </c>
      <c r="E460" t="inlineStr">
        <is>
          <t>MORA</t>
        </is>
      </c>
      <c r="G460" t="n">
        <v>14.8</v>
      </c>
      <c r="H460" t="n">
        <v>0</v>
      </c>
      <c r="I460" t="n">
        <v>0</v>
      </c>
      <c r="J460" t="n">
        <v>0</v>
      </c>
      <c r="K460" t="n">
        <v>0</v>
      </c>
      <c r="L460" t="n">
        <v>0</v>
      </c>
      <c r="M460" t="n">
        <v>0</v>
      </c>
      <c r="N460" t="n">
        <v>0</v>
      </c>
      <c r="O460" t="n">
        <v>0</v>
      </c>
      <c r="P460" t="n">
        <v>0</v>
      </c>
      <c r="Q460" t="n">
        <v>0</v>
      </c>
      <c r="R460" s="2" t="inlineStr"/>
    </row>
    <row r="461" ht="15" customHeight="1">
      <c r="A461" t="inlineStr">
        <is>
          <t>A 57855-2025</t>
        </is>
      </c>
      <c r="B461" s="1" t="n">
        <v>45981.63909722222</v>
      </c>
      <c r="C461" s="1" t="n">
        <v>46116</v>
      </c>
      <c r="D461" t="inlineStr">
        <is>
          <t>DALARNAS LÄN</t>
        </is>
      </c>
      <c r="E461" t="inlineStr">
        <is>
          <t>MORA</t>
        </is>
      </c>
      <c r="G461" t="n">
        <v>9.9</v>
      </c>
      <c r="H461" t="n">
        <v>0</v>
      </c>
      <c r="I461" t="n">
        <v>0</v>
      </c>
      <c r="J461" t="n">
        <v>0</v>
      </c>
      <c r="K461" t="n">
        <v>0</v>
      </c>
      <c r="L461" t="n">
        <v>0</v>
      </c>
      <c r="M461" t="n">
        <v>0</v>
      </c>
      <c r="N461" t="n">
        <v>0</v>
      </c>
      <c r="O461" t="n">
        <v>0</v>
      </c>
      <c r="P461" t="n">
        <v>0</v>
      </c>
      <c r="Q461" t="n">
        <v>0</v>
      </c>
      <c r="R461" s="2" t="inlineStr"/>
    </row>
    <row r="462" ht="15" customHeight="1">
      <c r="A462" t="inlineStr">
        <is>
          <t>A 57453-2025</t>
        </is>
      </c>
      <c r="B462" s="1" t="n">
        <v>45980.5122337963</v>
      </c>
      <c r="C462" s="1" t="n">
        <v>46116</v>
      </c>
      <c r="D462" t="inlineStr">
        <is>
          <t>DALARNAS LÄN</t>
        </is>
      </c>
      <c r="E462" t="inlineStr">
        <is>
          <t>MORA</t>
        </is>
      </c>
      <c r="F462" t="inlineStr">
        <is>
          <t>Allmännings- och besparingsskogar</t>
        </is>
      </c>
      <c r="G462" t="n">
        <v>2.9</v>
      </c>
      <c r="H462" t="n">
        <v>0</v>
      </c>
      <c r="I462" t="n">
        <v>0</v>
      </c>
      <c r="J462" t="n">
        <v>0</v>
      </c>
      <c r="K462" t="n">
        <v>0</v>
      </c>
      <c r="L462" t="n">
        <v>0</v>
      </c>
      <c r="M462" t="n">
        <v>0</v>
      </c>
      <c r="N462" t="n">
        <v>0</v>
      </c>
      <c r="O462" t="n">
        <v>0</v>
      </c>
      <c r="P462" t="n">
        <v>0</v>
      </c>
      <c r="Q462" t="n">
        <v>0</v>
      </c>
      <c r="R462" s="2" t="inlineStr"/>
    </row>
    <row r="463" ht="15" customHeight="1">
      <c r="A463" t="inlineStr">
        <is>
          <t>A 58473-2025</t>
        </is>
      </c>
      <c r="B463" s="1" t="n">
        <v>45985.63859953704</v>
      </c>
      <c r="C463" s="1" t="n">
        <v>46116</v>
      </c>
      <c r="D463" t="inlineStr">
        <is>
          <t>DALARNAS LÄN</t>
        </is>
      </c>
      <c r="E463" t="inlineStr">
        <is>
          <t>MORA</t>
        </is>
      </c>
      <c r="G463" t="n">
        <v>2.3</v>
      </c>
      <c r="H463" t="n">
        <v>0</v>
      </c>
      <c r="I463" t="n">
        <v>0</v>
      </c>
      <c r="J463" t="n">
        <v>0</v>
      </c>
      <c r="K463" t="n">
        <v>0</v>
      </c>
      <c r="L463" t="n">
        <v>0</v>
      </c>
      <c r="M463" t="n">
        <v>0</v>
      </c>
      <c r="N463" t="n">
        <v>0</v>
      </c>
      <c r="O463" t="n">
        <v>0</v>
      </c>
      <c r="P463" t="n">
        <v>0</v>
      </c>
      <c r="Q463" t="n">
        <v>0</v>
      </c>
      <c r="R463" s="2" t="inlineStr"/>
    </row>
    <row r="464" ht="15" customHeight="1">
      <c r="A464" t="inlineStr">
        <is>
          <t>A 58001-2025</t>
        </is>
      </c>
      <c r="B464" s="1" t="n">
        <v>45982.43615740741</v>
      </c>
      <c r="C464" s="1" t="n">
        <v>46116</v>
      </c>
      <c r="D464" t="inlineStr">
        <is>
          <t>DALARNAS LÄN</t>
        </is>
      </c>
      <c r="E464" t="inlineStr">
        <is>
          <t>MORA</t>
        </is>
      </c>
      <c r="G464" t="n">
        <v>3.2</v>
      </c>
      <c r="H464" t="n">
        <v>0</v>
      </c>
      <c r="I464" t="n">
        <v>0</v>
      </c>
      <c r="J464" t="n">
        <v>0</v>
      </c>
      <c r="K464" t="n">
        <v>0</v>
      </c>
      <c r="L464" t="n">
        <v>0</v>
      </c>
      <c r="M464" t="n">
        <v>0</v>
      </c>
      <c r="N464" t="n">
        <v>0</v>
      </c>
      <c r="O464" t="n">
        <v>0</v>
      </c>
      <c r="P464" t="n">
        <v>0</v>
      </c>
      <c r="Q464" t="n">
        <v>0</v>
      </c>
      <c r="R464" s="2" t="inlineStr"/>
    </row>
    <row r="465" ht="15" customHeight="1">
      <c r="A465" t="inlineStr">
        <is>
          <t>A 57976-2025</t>
        </is>
      </c>
      <c r="B465" s="1" t="n">
        <v>45982.39435185185</v>
      </c>
      <c r="C465" s="1" t="n">
        <v>46116</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51780-2023</t>
        </is>
      </c>
      <c r="B466" s="1" t="n">
        <v>45222</v>
      </c>
      <c r="C466" s="1" t="n">
        <v>46116</v>
      </c>
      <c r="D466" t="inlineStr">
        <is>
          <t>DALARNAS LÄN</t>
        </is>
      </c>
      <c r="E466" t="inlineStr">
        <is>
          <t>MORA</t>
        </is>
      </c>
      <c r="G466" t="n">
        <v>9.9</v>
      </c>
      <c r="H466" t="n">
        <v>0</v>
      </c>
      <c r="I466" t="n">
        <v>0</v>
      </c>
      <c r="J466" t="n">
        <v>0</v>
      </c>
      <c r="K466" t="n">
        <v>0</v>
      </c>
      <c r="L466" t="n">
        <v>0</v>
      </c>
      <c r="M466" t="n">
        <v>0</v>
      </c>
      <c r="N466" t="n">
        <v>0</v>
      </c>
      <c r="O466" t="n">
        <v>0</v>
      </c>
      <c r="P466" t="n">
        <v>0</v>
      </c>
      <c r="Q466" t="n">
        <v>0</v>
      </c>
      <c r="R466" s="2" t="inlineStr"/>
    </row>
    <row r="467" ht="15" customHeight="1">
      <c r="A467" t="inlineStr">
        <is>
          <t>A 15818-2024</t>
        </is>
      </c>
      <c r="B467" s="1" t="n">
        <v>45404.67442129629</v>
      </c>
      <c r="C467" s="1" t="n">
        <v>46116</v>
      </c>
      <c r="D467" t="inlineStr">
        <is>
          <t>DALARNAS LÄN</t>
        </is>
      </c>
      <c r="E467" t="inlineStr">
        <is>
          <t>MORA</t>
        </is>
      </c>
      <c r="G467" t="n">
        <v>7</v>
      </c>
      <c r="H467" t="n">
        <v>0</v>
      </c>
      <c r="I467" t="n">
        <v>0</v>
      </c>
      <c r="J467" t="n">
        <v>0</v>
      </c>
      <c r="K467" t="n">
        <v>0</v>
      </c>
      <c r="L467" t="n">
        <v>0</v>
      </c>
      <c r="M467" t="n">
        <v>0</v>
      </c>
      <c r="N467" t="n">
        <v>0</v>
      </c>
      <c r="O467" t="n">
        <v>0</v>
      </c>
      <c r="P467" t="n">
        <v>0</v>
      </c>
      <c r="Q467" t="n">
        <v>0</v>
      </c>
      <c r="R467" s="2" t="inlineStr"/>
    </row>
    <row r="468" ht="15" customHeight="1">
      <c r="A468" t="inlineStr">
        <is>
          <t>A 33513-2024</t>
        </is>
      </c>
      <c r="B468" s="1" t="n">
        <v>45519.644375</v>
      </c>
      <c r="C468" s="1" t="n">
        <v>46116</v>
      </c>
      <c r="D468" t="inlineStr">
        <is>
          <t>DALARNAS LÄN</t>
        </is>
      </c>
      <c r="E468" t="inlineStr">
        <is>
          <t>MORA</t>
        </is>
      </c>
      <c r="G468" t="n">
        <v>5.9</v>
      </c>
      <c r="H468" t="n">
        <v>0</v>
      </c>
      <c r="I468" t="n">
        <v>0</v>
      </c>
      <c r="J468" t="n">
        <v>0</v>
      </c>
      <c r="K468" t="n">
        <v>0</v>
      </c>
      <c r="L468" t="n">
        <v>0</v>
      </c>
      <c r="M468" t="n">
        <v>0</v>
      </c>
      <c r="N468" t="n">
        <v>0</v>
      </c>
      <c r="O468" t="n">
        <v>0</v>
      </c>
      <c r="P468" t="n">
        <v>0</v>
      </c>
      <c r="Q468" t="n">
        <v>0</v>
      </c>
      <c r="R468" s="2" t="inlineStr"/>
    </row>
    <row r="469" ht="15" customHeight="1">
      <c r="A469" t="inlineStr">
        <is>
          <t>A 35040-2023</t>
        </is>
      </c>
      <c r="B469" s="1" t="n">
        <v>45145.36853009259</v>
      </c>
      <c r="C469" s="1" t="n">
        <v>46116</v>
      </c>
      <c r="D469" t="inlineStr">
        <is>
          <t>DALARNAS LÄN</t>
        </is>
      </c>
      <c r="E469" t="inlineStr">
        <is>
          <t>MORA</t>
        </is>
      </c>
      <c r="G469" t="n">
        <v>2.1</v>
      </c>
      <c r="H469" t="n">
        <v>0</v>
      </c>
      <c r="I469" t="n">
        <v>0</v>
      </c>
      <c r="J469" t="n">
        <v>0</v>
      </c>
      <c r="K469" t="n">
        <v>0</v>
      </c>
      <c r="L469" t="n">
        <v>0</v>
      </c>
      <c r="M469" t="n">
        <v>0</v>
      </c>
      <c r="N469" t="n">
        <v>0</v>
      </c>
      <c r="O469" t="n">
        <v>0</v>
      </c>
      <c r="P469" t="n">
        <v>0</v>
      </c>
      <c r="Q469" t="n">
        <v>0</v>
      </c>
      <c r="R469" s="2" t="inlineStr"/>
    </row>
    <row r="470" ht="15" customHeight="1">
      <c r="A470" t="inlineStr">
        <is>
          <t>A 54548-2025</t>
        </is>
      </c>
      <c r="B470" s="1" t="n">
        <v>45965.6534837963</v>
      </c>
      <c r="C470" s="1" t="n">
        <v>46116</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55135-2025</t>
        </is>
      </c>
      <c r="B471" s="1" t="n">
        <v>45968.42591435185</v>
      </c>
      <c r="C471" s="1" t="n">
        <v>46116</v>
      </c>
      <c r="D471" t="inlineStr">
        <is>
          <t>DALARNAS LÄN</t>
        </is>
      </c>
      <c r="E471" t="inlineStr">
        <is>
          <t>MORA</t>
        </is>
      </c>
      <c r="G471" t="n">
        <v>5.1</v>
      </c>
      <c r="H471" t="n">
        <v>0</v>
      </c>
      <c r="I471" t="n">
        <v>0</v>
      </c>
      <c r="J471" t="n">
        <v>0</v>
      </c>
      <c r="K471" t="n">
        <v>0</v>
      </c>
      <c r="L471" t="n">
        <v>0</v>
      </c>
      <c r="M471" t="n">
        <v>0</v>
      </c>
      <c r="N471" t="n">
        <v>0</v>
      </c>
      <c r="O471" t="n">
        <v>0</v>
      </c>
      <c r="P471" t="n">
        <v>0</v>
      </c>
      <c r="Q471" t="n">
        <v>0</v>
      </c>
      <c r="R471" s="2" t="inlineStr"/>
    </row>
    <row r="472" ht="15" customHeight="1">
      <c r="A472" t="inlineStr">
        <is>
          <t>A 59094-2025</t>
        </is>
      </c>
      <c r="B472" s="1" t="n">
        <v>45988.45105324074</v>
      </c>
      <c r="C472" s="1" t="n">
        <v>46116</v>
      </c>
      <c r="D472" t="inlineStr">
        <is>
          <t>DALARNAS LÄN</t>
        </is>
      </c>
      <c r="E472" t="inlineStr">
        <is>
          <t>MORA</t>
        </is>
      </c>
      <c r="G472" t="n">
        <v>10</v>
      </c>
      <c r="H472" t="n">
        <v>0</v>
      </c>
      <c r="I472" t="n">
        <v>0</v>
      </c>
      <c r="J472" t="n">
        <v>0</v>
      </c>
      <c r="K472" t="n">
        <v>0</v>
      </c>
      <c r="L472" t="n">
        <v>0</v>
      </c>
      <c r="M472" t="n">
        <v>0</v>
      </c>
      <c r="N472" t="n">
        <v>0</v>
      </c>
      <c r="O472" t="n">
        <v>0</v>
      </c>
      <c r="P472" t="n">
        <v>0</v>
      </c>
      <c r="Q472" t="n">
        <v>0</v>
      </c>
      <c r="R472" s="2" t="inlineStr"/>
    </row>
    <row r="473" ht="15" customHeight="1">
      <c r="A473" t="inlineStr">
        <is>
          <t>A 59805-2025</t>
        </is>
      </c>
      <c r="B473" s="1" t="n">
        <v>45992.62635416666</v>
      </c>
      <c r="C473" s="1" t="n">
        <v>46116</v>
      </c>
      <c r="D473" t="inlineStr">
        <is>
          <t>DALARNAS LÄN</t>
        </is>
      </c>
      <c r="E473" t="inlineStr">
        <is>
          <t>MORA</t>
        </is>
      </c>
      <c r="G473" t="n">
        <v>4.2</v>
      </c>
      <c r="H473" t="n">
        <v>0</v>
      </c>
      <c r="I473" t="n">
        <v>0</v>
      </c>
      <c r="J473" t="n">
        <v>0</v>
      </c>
      <c r="K473" t="n">
        <v>0</v>
      </c>
      <c r="L473" t="n">
        <v>0</v>
      </c>
      <c r="M473" t="n">
        <v>0</v>
      </c>
      <c r="N473" t="n">
        <v>0</v>
      </c>
      <c r="O473" t="n">
        <v>0</v>
      </c>
      <c r="P473" t="n">
        <v>0</v>
      </c>
      <c r="Q473" t="n">
        <v>0</v>
      </c>
      <c r="R473" s="2" t="inlineStr"/>
    </row>
    <row r="474" ht="15" customHeight="1">
      <c r="A474" t="inlineStr">
        <is>
          <t>A 44595-2024</t>
        </is>
      </c>
      <c r="B474" s="1" t="n">
        <v>45574.51053240741</v>
      </c>
      <c r="C474" s="1" t="n">
        <v>46116</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59768-2025</t>
        </is>
      </c>
      <c r="B475" s="1" t="n">
        <v>45992</v>
      </c>
      <c r="C475" s="1" t="n">
        <v>46116</v>
      </c>
      <c r="D475" t="inlineStr">
        <is>
          <t>DALARNAS LÄN</t>
        </is>
      </c>
      <c r="E475" t="inlineStr">
        <is>
          <t>MORA</t>
        </is>
      </c>
      <c r="G475" t="n">
        <v>4</v>
      </c>
      <c r="H475" t="n">
        <v>0</v>
      </c>
      <c r="I475" t="n">
        <v>0</v>
      </c>
      <c r="J475" t="n">
        <v>0</v>
      </c>
      <c r="K475" t="n">
        <v>0</v>
      </c>
      <c r="L475" t="n">
        <v>0</v>
      </c>
      <c r="M475" t="n">
        <v>0</v>
      </c>
      <c r="N475" t="n">
        <v>0</v>
      </c>
      <c r="O475" t="n">
        <v>0</v>
      </c>
      <c r="P475" t="n">
        <v>0</v>
      </c>
      <c r="Q475" t="n">
        <v>0</v>
      </c>
      <c r="R475" s="2" t="inlineStr"/>
    </row>
    <row r="476" ht="15" customHeight="1">
      <c r="A476" t="inlineStr">
        <is>
          <t>A 59669-2025</t>
        </is>
      </c>
      <c r="B476" s="1" t="n">
        <v>45992.45640046296</v>
      </c>
      <c r="C476" s="1" t="n">
        <v>46116</v>
      </c>
      <c r="D476" t="inlineStr">
        <is>
          <t>DALARNAS LÄN</t>
        </is>
      </c>
      <c r="E476" t="inlineStr">
        <is>
          <t>MORA</t>
        </is>
      </c>
      <c r="G476" t="n">
        <v>0.6</v>
      </c>
      <c r="H476" t="n">
        <v>0</v>
      </c>
      <c r="I476" t="n">
        <v>0</v>
      </c>
      <c r="J476" t="n">
        <v>0</v>
      </c>
      <c r="K476" t="n">
        <v>0</v>
      </c>
      <c r="L476" t="n">
        <v>0</v>
      </c>
      <c r="M476" t="n">
        <v>0</v>
      </c>
      <c r="N476" t="n">
        <v>0</v>
      </c>
      <c r="O476" t="n">
        <v>0</v>
      </c>
      <c r="P476" t="n">
        <v>0</v>
      </c>
      <c r="Q476" t="n">
        <v>0</v>
      </c>
      <c r="R476" s="2" t="inlineStr"/>
    </row>
    <row r="477" ht="15" customHeight="1">
      <c r="A477" t="inlineStr">
        <is>
          <t>A 61293-2022</t>
        </is>
      </c>
      <c r="B477" s="1" t="n">
        <v>44915.62751157407</v>
      </c>
      <c r="C477" s="1" t="n">
        <v>46116</v>
      </c>
      <c r="D477" t="inlineStr">
        <is>
          <t>DALARNAS LÄN</t>
        </is>
      </c>
      <c r="E477" t="inlineStr">
        <is>
          <t>MORA</t>
        </is>
      </c>
      <c r="G477" t="n">
        <v>0.3</v>
      </c>
      <c r="H477" t="n">
        <v>0</v>
      </c>
      <c r="I477" t="n">
        <v>0</v>
      </c>
      <c r="J477" t="n">
        <v>0</v>
      </c>
      <c r="K477" t="n">
        <v>0</v>
      </c>
      <c r="L477" t="n">
        <v>0</v>
      </c>
      <c r="M477" t="n">
        <v>0</v>
      </c>
      <c r="N477" t="n">
        <v>0</v>
      </c>
      <c r="O477" t="n">
        <v>0</v>
      </c>
      <c r="P477" t="n">
        <v>0</v>
      </c>
      <c r="Q477" t="n">
        <v>0</v>
      </c>
      <c r="R477" s="2" t="inlineStr"/>
    </row>
    <row r="478" ht="15" customHeight="1">
      <c r="A478" t="inlineStr">
        <is>
          <t>A 46412-2024</t>
        </is>
      </c>
      <c r="B478" s="1" t="n">
        <v>45582.44894675926</v>
      </c>
      <c r="C478" s="1" t="n">
        <v>46116</v>
      </c>
      <c r="D478" t="inlineStr">
        <is>
          <t>DALARNAS LÄN</t>
        </is>
      </c>
      <c r="E478" t="inlineStr">
        <is>
          <t>MORA</t>
        </is>
      </c>
      <c r="G478" t="n">
        <v>4.1</v>
      </c>
      <c r="H478" t="n">
        <v>0</v>
      </c>
      <c r="I478" t="n">
        <v>0</v>
      </c>
      <c r="J478" t="n">
        <v>0</v>
      </c>
      <c r="K478" t="n">
        <v>0</v>
      </c>
      <c r="L478" t="n">
        <v>0</v>
      </c>
      <c r="M478" t="n">
        <v>0</v>
      </c>
      <c r="N478" t="n">
        <v>0</v>
      </c>
      <c r="O478" t="n">
        <v>0</v>
      </c>
      <c r="P478" t="n">
        <v>0</v>
      </c>
      <c r="Q478" t="n">
        <v>0</v>
      </c>
      <c r="R478" s="2" t="inlineStr"/>
    </row>
    <row r="479" ht="15" customHeight="1">
      <c r="A479" t="inlineStr">
        <is>
          <t>A 57091-2021</t>
        </is>
      </c>
      <c r="B479" s="1" t="n">
        <v>44482</v>
      </c>
      <c r="C479" s="1" t="n">
        <v>46116</v>
      </c>
      <c r="D479" t="inlineStr">
        <is>
          <t>DALARNAS LÄN</t>
        </is>
      </c>
      <c r="E479" t="inlineStr">
        <is>
          <t>MORA</t>
        </is>
      </c>
      <c r="G479" t="n">
        <v>1</v>
      </c>
      <c r="H479" t="n">
        <v>0</v>
      </c>
      <c r="I479" t="n">
        <v>0</v>
      </c>
      <c r="J479" t="n">
        <v>0</v>
      </c>
      <c r="K479" t="n">
        <v>0</v>
      </c>
      <c r="L479" t="n">
        <v>0</v>
      </c>
      <c r="M479" t="n">
        <v>0</v>
      </c>
      <c r="N479" t="n">
        <v>0</v>
      </c>
      <c r="O479" t="n">
        <v>0</v>
      </c>
      <c r="P479" t="n">
        <v>0</v>
      </c>
      <c r="Q479" t="n">
        <v>0</v>
      </c>
      <c r="R479" s="2" t="inlineStr"/>
    </row>
    <row r="480" ht="15" customHeight="1">
      <c r="A480" t="inlineStr">
        <is>
          <t>A 50685-2023</t>
        </is>
      </c>
      <c r="B480" s="1" t="n">
        <v>45210</v>
      </c>
      <c r="C480" s="1" t="n">
        <v>46116</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36740-2023</t>
        </is>
      </c>
      <c r="B481" s="1" t="n">
        <v>45153</v>
      </c>
      <c r="C481" s="1" t="n">
        <v>46116</v>
      </c>
      <c r="D481" t="inlineStr">
        <is>
          <t>DALARNAS LÄN</t>
        </is>
      </c>
      <c r="E481" t="inlineStr">
        <is>
          <t>MORA</t>
        </is>
      </c>
      <c r="G481" t="n">
        <v>0.2</v>
      </c>
      <c r="H481" t="n">
        <v>0</v>
      </c>
      <c r="I481" t="n">
        <v>0</v>
      </c>
      <c r="J481" t="n">
        <v>0</v>
      </c>
      <c r="K481" t="n">
        <v>0</v>
      </c>
      <c r="L481" t="n">
        <v>0</v>
      </c>
      <c r="M481" t="n">
        <v>0</v>
      </c>
      <c r="N481" t="n">
        <v>0</v>
      </c>
      <c r="O481" t="n">
        <v>0</v>
      </c>
      <c r="P481" t="n">
        <v>0</v>
      </c>
      <c r="Q481" t="n">
        <v>0</v>
      </c>
      <c r="R481" s="2" t="inlineStr"/>
    </row>
    <row r="482" ht="15" customHeight="1">
      <c r="A482" t="inlineStr">
        <is>
          <t>A 31177-2021</t>
        </is>
      </c>
      <c r="B482" s="1" t="n">
        <v>44368</v>
      </c>
      <c r="C482" s="1" t="n">
        <v>46116</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65186-2021</t>
        </is>
      </c>
      <c r="B483" s="1" t="n">
        <v>44515</v>
      </c>
      <c r="C483" s="1" t="n">
        <v>46116</v>
      </c>
      <c r="D483" t="inlineStr">
        <is>
          <t>DALARNAS LÄN</t>
        </is>
      </c>
      <c r="E483" t="inlineStr">
        <is>
          <t>MORA</t>
        </is>
      </c>
      <c r="G483" t="n">
        <v>1.4</v>
      </c>
      <c r="H483" t="n">
        <v>0</v>
      </c>
      <c r="I483" t="n">
        <v>0</v>
      </c>
      <c r="J483" t="n">
        <v>0</v>
      </c>
      <c r="K483" t="n">
        <v>0</v>
      </c>
      <c r="L483" t="n">
        <v>0</v>
      </c>
      <c r="M483" t="n">
        <v>0</v>
      </c>
      <c r="N483" t="n">
        <v>0</v>
      </c>
      <c r="O483" t="n">
        <v>0</v>
      </c>
      <c r="P483" t="n">
        <v>0</v>
      </c>
      <c r="Q483" t="n">
        <v>0</v>
      </c>
      <c r="R483" s="2" t="inlineStr"/>
    </row>
    <row r="484" ht="15" customHeight="1">
      <c r="A484" t="inlineStr">
        <is>
          <t>A 48522-2024</t>
        </is>
      </c>
      <c r="B484" s="1" t="n">
        <v>45593.32924768519</v>
      </c>
      <c r="C484" s="1" t="n">
        <v>46116</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48342-2023</t>
        </is>
      </c>
      <c r="B485" s="1" t="n">
        <v>45205</v>
      </c>
      <c r="C485" s="1" t="n">
        <v>46116</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60957-2025</t>
        </is>
      </c>
      <c r="B486" s="1" t="n">
        <v>45999.65799768519</v>
      </c>
      <c r="C486" s="1" t="n">
        <v>46116</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55691-2023</t>
        </is>
      </c>
      <c r="B487" s="1" t="n">
        <v>45239.36509259259</v>
      </c>
      <c r="C487" s="1" t="n">
        <v>46116</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63958-2023</t>
        </is>
      </c>
      <c r="B488" s="1" t="n">
        <v>45278</v>
      </c>
      <c r="C488" s="1" t="n">
        <v>46116</v>
      </c>
      <c r="D488" t="inlineStr">
        <is>
          <t>DALARNAS LÄN</t>
        </is>
      </c>
      <c r="E488" t="inlineStr">
        <is>
          <t>MORA</t>
        </is>
      </c>
      <c r="G488" t="n">
        <v>1.9</v>
      </c>
      <c r="H488" t="n">
        <v>0</v>
      </c>
      <c r="I488" t="n">
        <v>0</v>
      </c>
      <c r="J488" t="n">
        <v>0</v>
      </c>
      <c r="K488" t="n">
        <v>0</v>
      </c>
      <c r="L488" t="n">
        <v>0</v>
      </c>
      <c r="M488" t="n">
        <v>0</v>
      </c>
      <c r="N488" t="n">
        <v>0</v>
      </c>
      <c r="O488" t="n">
        <v>0</v>
      </c>
      <c r="P488" t="n">
        <v>0</v>
      </c>
      <c r="Q488" t="n">
        <v>0</v>
      </c>
      <c r="R488" s="2" t="inlineStr"/>
    </row>
    <row r="489" ht="15" customHeight="1">
      <c r="A489" t="inlineStr">
        <is>
          <t>A 25494-2024</t>
        </is>
      </c>
      <c r="B489" s="1" t="n">
        <v>45463</v>
      </c>
      <c r="C489" s="1" t="n">
        <v>46116</v>
      </c>
      <c r="D489" t="inlineStr">
        <is>
          <t>DALARNAS LÄN</t>
        </is>
      </c>
      <c r="E489" t="inlineStr">
        <is>
          <t>MORA</t>
        </is>
      </c>
      <c r="G489" t="n">
        <v>4.9</v>
      </c>
      <c r="H489" t="n">
        <v>0</v>
      </c>
      <c r="I489" t="n">
        <v>0</v>
      </c>
      <c r="J489" t="n">
        <v>0</v>
      </c>
      <c r="K489" t="n">
        <v>0</v>
      </c>
      <c r="L489" t="n">
        <v>0</v>
      </c>
      <c r="M489" t="n">
        <v>0</v>
      </c>
      <c r="N489" t="n">
        <v>0</v>
      </c>
      <c r="O489" t="n">
        <v>0</v>
      </c>
      <c r="P489" t="n">
        <v>0</v>
      </c>
      <c r="Q489" t="n">
        <v>0</v>
      </c>
      <c r="R489" s="2" t="inlineStr"/>
    </row>
    <row r="490" ht="15" customHeight="1">
      <c r="A490" t="inlineStr">
        <is>
          <t>A 58171-2024</t>
        </is>
      </c>
      <c r="B490" s="1" t="n">
        <v>45632.46545138889</v>
      </c>
      <c r="C490" s="1" t="n">
        <v>46116</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61412-2025</t>
        </is>
      </c>
      <c r="B491" s="1" t="n">
        <v>46001.5266087963</v>
      </c>
      <c r="C491" s="1" t="n">
        <v>46116</v>
      </c>
      <c r="D491" t="inlineStr">
        <is>
          <t>DALARNAS LÄN</t>
        </is>
      </c>
      <c r="E491" t="inlineStr">
        <is>
          <t>MORA</t>
        </is>
      </c>
      <c r="G491" t="n">
        <v>2.9</v>
      </c>
      <c r="H491" t="n">
        <v>0</v>
      </c>
      <c r="I491" t="n">
        <v>0</v>
      </c>
      <c r="J491" t="n">
        <v>0</v>
      </c>
      <c r="K491" t="n">
        <v>0</v>
      </c>
      <c r="L491" t="n">
        <v>0</v>
      </c>
      <c r="M491" t="n">
        <v>0</v>
      </c>
      <c r="N491" t="n">
        <v>0</v>
      </c>
      <c r="O491" t="n">
        <v>0</v>
      </c>
      <c r="P491" t="n">
        <v>0</v>
      </c>
      <c r="Q491" t="n">
        <v>0</v>
      </c>
      <c r="R491" s="2" t="inlineStr"/>
    </row>
    <row r="492" ht="15" customHeight="1">
      <c r="A492" t="inlineStr">
        <is>
          <t>A 17167-2025</t>
        </is>
      </c>
      <c r="B492" s="1" t="n">
        <v>45756.36844907407</v>
      </c>
      <c r="C492" s="1" t="n">
        <v>46116</v>
      </c>
      <c r="D492" t="inlineStr">
        <is>
          <t>DALARNAS LÄN</t>
        </is>
      </c>
      <c r="E492" t="inlineStr">
        <is>
          <t>MORA</t>
        </is>
      </c>
      <c r="F492" t="inlineStr">
        <is>
          <t>Bergvik skog öst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20504-2023</t>
        </is>
      </c>
      <c r="B493" s="1" t="n">
        <v>45057</v>
      </c>
      <c r="C493" s="1" t="n">
        <v>46116</v>
      </c>
      <c r="D493" t="inlineStr">
        <is>
          <t>DALARNAS LÄN</t>
        </is>
      </c>
      <c r="E493" t="inlineStr">
        <is>
          <t>MORA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61455-2025</t>
        </is>
      </c>
      <c r="B494" s="1" t="n">
        <v>46001.58590277778</v>
      </c>
      <c r="C494" s="1" t="n">
        <v>46116</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36184-2021</t>
        </is>
      </c>
      <c r="B495" s="1" t="n">
        <v>44389</v>
      </c>
      <c r="C495" s="1" t="n">
        <v>46116</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17529-2023</t>
        </is>
      </c>
      <c r="B496" s="1" t="n">
        <v>45036.46804398148</v>
      </c>
      <c r="C496" s="1" t="n">
        <v>46116</v>
      </c>
      <c r="D496" t="inlineStr">
        <is>
          <t>DALARNAS LÄN</t>
        </is>
      </c>
      <c r="E496" t="inlineStr">
        <is>
          <t>MORA</t>
        </is>
      </c>
      <c r="G496" t="n">
        <v>6</v>
      </c>
      <c r="H496" t="n">
        <v>0</v>
      </c>
      <c r="I496" t="n">
        <v>0</v>
      </c>
      <c r="J496" t="n">
        <v>0</v>
      </c>
      <c r="K496" t="n">
        <v>0</v>
      </c>
      <c r="L496" t="n">
        <v>0</v>
      </c>
      <c r="M496" t="n">
        <v>0</v>
      </c>
      <c r="N496" t="n">
        <v>0</v>
      </c>
      <c r="O496" t="n">
        <v>0</v>
      </c>
      <c r="P496" t="n">
        <v>0</v>
      </c>
      <c r="Q496" t="n">
        <v>0</v>
      </c>
      <c r="R496" s="2" t="inlineStr"/>
    </row>
    <row r="497" ht="15" customHeight="1">
      <c r="A497" t="inlineStr">
        <is>
          <t>A 44201-2023</t>
        </is>
      </c>
      <c r="B497" s="1" t="n">
        <v>45188</v>
      </c>
      <c r="C497" s="1" t="n">
        <v>46116</v>
      </c>
      <c r="D497" t="inlineStr">
        <is>
          <t>DALARNAS LÄN</t>
        </is>
      </c>
      <c r="E497" t="inlineStr">
        <is>
          <t>MORA</t>
        </is>
      </c>
      <c r="G497" t="n">
        <v>0.6</v>
      </c>
      <c r="H497" t="n">
        <v>0</v>
      </c>
      <c r="I497" t="n">
        <v>0</v>
      </c>
      <c r="J497" t="n">
        <v>0</v>
      </c>
      <c r="K497" t="n">
        <v>0</v>
      </c>
      <c r="L497" t="n">
        <v>0</v>
      </c>
      <c r="M497" t="n">
        <v>0</v>
      </c>
      <c r="N497" t="n">
        <v>0</v>
      </c>
      <c r="O497" t="n">
        <v>0</v>
      </c>
      <c r="P497" t="n">
        <v>0</v>
      </c>
      <c r="Q497" t="n">
        <v>0</v>
      </c>
      <c r="R497" s="2" t="inlineStr"/>
    </row>
    <row r="498" ht="15" customHeight="1">
      <c r="A498" t="inlineStr">
        <is>
          <t>A 16522-2024</t>
        </is>
      </c>
      <c r="B498" s="1" t="n">
        <v>45408.41166666667</v>
      </c>
      <c r="C498" s="1" t="n">
        <v>46116</v>
      </c>
      <c r="D498" t="inlineStr">
        <is>
          <t>DALARNAS LÄN</t>
        </is>
      </c>
      <c r="E498" t="inlineStr">
        <is>
          <t>MORA</t>
        </is>
      </c>
      <c r="G498" t="n">
        <v>11.2</v>
      </c>
      <c r="H498" t="n">
        <v>0</v>
      </c>
      <c r="I498" t="n">
        <v>0</v>
      </c>
      <c r="J498" t="n">
        <v>0</v>
      </c>
      <c r="K498" t="n">
        <v>0</v>
      </c>
      <c r="L498" t="n">
        <v>0</v>
      </c>
      <c r="M498" t="n">
        <v>0</v>
      </c>
      <c r="N498" t="n">
        <v>0</v>
      </c>
      <c r="O498" t="n">
        <v>0</v>
      </c>
      <c r="P498" t="n">
        <v>0</v>
      </c>
      <c r="Q498" t="n">
        <v>0</v>
      </c>
      <c r="R498" s="2" t="inlineStr"/>
    </row>
    <row r="499" ht="15" customHeight="1">
      <c r="A499" t="inlineStr">
        <is>
          <t>A 36038-2024</t>
        </is>
      </c>
      <c r="B499" s="1" t="n">
        <v>45533</v>
      </c>
      <c r="C499" s="1" t="n">
        <v>46116</v>
      </c>
      <c r="D499" t="inlineStr">
        <is>
          <t>DALARNAS LÄN</t>
        </is>
      </c>
      <c r="E499" t="inlineStr">
        <is>
          <t>MORA</t>
        </is>
      </c>
      <c r="G499" t="n">
        <v>5.1</v>
      </c>
      <c r="H499" t="n">
        <v>0</v>
      </c>
      <c r="I499" t="n">
        <v>0</v>
      </c>
      <c r="J499" t="n">
        <v>0</v>
      </c>
      <c r="K499" t="n">
        <v>0</v>
      </c>
      <c r="L499" t="n">
        <v>0</v>
      </c>
      <c r="M499" t="n">
        <v>0</v>
      </c>
      <c r="N499" t="n">
        <v>0</v>
      </c>
      <c r="O499" t="n">
        <v>0</v>
      </c>
      <c r="P499" t="n">
        <v>0</v>
      </c>
      <c r="Q499" t="n">
        <v>0</v>
      </c>
      <c r="R499" s="2" t="inlineStr"/>
    </row>
    <row r="500" ht="15" customHeight="1">
      <c r="A500" t="inlineStr">
        <is>
          <t>A 2865-2022</t>
        </is>
      </c>
      <c r="B500" s="1" t="n">
        <v>44581</v>
      </c>
      <c r="C500" s="1" t="n">
        <v>46116</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56834-2024</t>
        </is>
      </c>
      <c r="B501" s="1" t="n">
        <v>45628.49931712963</v>
      </c>
      <c r="C501" s="1" t="n">
        <v>46116</v>
      </c>
      <c r="D501" t="inlineStr">
        <is>
          <t>DALARNAS LÄN</t>
        </is>
      </c>
      <c r="E501" t="inlineStr">
        <is>
          <t>MORA</t>
        </is>
      </c>
      <c r="G501" t="n">
        <v>0.4</v>
      </c>
      <c r="H501" t="n">
        <v>0</v>
      </c>
      <c r="I501" t="n">
        <v>0</v>
      </c>
      <c r="J501" t="n">
        <v>0</v>
      </c>
      <c r="K501" t="n">
        <v>0</v>
      </c>
      <c r="L501" t="n">
        <v>0</v>
      </c>
      <c r="M501" t="n">
        <v>0</v>
      </c>
      <c r="N501" t="n">
        <v>0</v>
      </c>
      <c r="O501" t="n">
        <v>0</v>
      </c>
      <c r="P501" t="n">
        <v>0</v>
      </c>
      <c r="Q501" t="n">
        <v>0</v>
      </c>
      <c r="R501" s="2" t="inlineStr"/>
    </row>
    <row r="502" ht="15" customHeight="1">
      <c r="A502" t="inlineStr">
        <is>
          <t>A 47036-2023</t>
        </is>
      </c>
      <c r="B502" s="1" t="n">
        <v>45196</v>
      </c>
      <c r="C502" s="1" t="n">
        <v>46116</v>
      </c>
      <c r="D502" t="inlineStr">
        <is>
          <t>DALARNAS LÄN</t>
        </is>
      </c>
      <c r="E502" t="inlineStr">
        <is>
          <t>MORA</t>
        </is>
      </c>
      <c r="G502" t="n">
        <v>2.7</v>
      </c>
      <c r="H502" t="n">
        <v>0</v>
      </c>
      <c r="I502" t="n">
        <v>0</v>
      </c>
      <c r="J502" t="n">
        <v>0</v>
      </c>
      <c r="K502" t="n">
        <v>0</v>
      </c>
      <c r="L502" t="n">
        <v>0</v>
      </c>
      <c r="M502" t="n">
        <v>0</v>
      </c>
      <c r="N502" t="n">
        <v>0</v>
      </c>
      <c r="O502" t="n">
        <v>0</v>
      </c>
      <c r="P502" t="n">
        <v>0</v>
      </c>
      <c r="Q502" t="n">
        <v>0</v>
      </c>
      <c r="R502" s="2" t="inlineStr"/>
    </row>
    <row r="503" ht="15" customHeight="1">
      <c r="A503" t="inlineStr">
        <is>
          <t>A 61606-2025</t>
        </is>
      </c>
      <c r="B503" s="1" t="n">
        <v>46002.37662037037</v>
      </c>
      <c r="C503" s="1" t="n">
        <v>46116</v>
      </c>
      <c r="D503" t="inlineStr">
        <is>
          <t>DALARNAS LÄN</t>
        </is>
      </c>
      <c r="E503" t="inlineStr">
        <is>
          <t>MORA</t>
        </is>
      </c>
      <c r="G503" t="n">
        <v>6.1</v>
      </c>
      <c r="H503" t="n">
        <v>0</v>
      </c>
      <c r="I503" t="n">
        <v>0</v>
      </c>
      <c r="J503" t="n">
        <v>0</v>
      </c>
      <c r="K503" t="n">
        <v>0</v>
      </c>
      <c r="L503" t="n">
        <v>0</v>
      </c>
      <c r="M503" t="n">
        <v>0</v>
      </c>
      <c r="N503" t="n">
        <v>0</v>
      </c>
      <c r="O503" t="n">
        <v>0</v>
      </c>
      <c r="P503" t="n">
        <v>0</v>
      </c>
      <c r="Q503" t="n">
        <v>0</v>
      </c>
      <c r="R503" s="2" t="inlineStr"/>
    </row>
    <row r="504" ht="15" customHeight="1">
      <c r="A504" t="inlineStr">
        <is>
          <t>A 61624-2025</t>
        </is>
      </c>
      <c r="B504" s="1" t="n">
        <v>46002.39755787037</v>
      </c>
      <c r="C504" s="1" t="n">
        <v>46116</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61620-2025</t>
        </is>
      </c>
      <c r="B505" s="1" t="n">
        <v>46002.39347222223</v>
      </c>
      <c r="C505" s="1" t="n">
        <v>46116</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61995-2025</t>
        </is>
      </c>
      <c r="B506" s="1" t="n">
        <v>46003.63954861111</v>
      </c>
      <c r="C506" s="1" t="n">
        <v>46116</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20544-2025</t>
        </is>
      </c>
      <c r="B507" s="1" t="n">
        <v>45775.63119212963</v>
      </c>
      <c r="C507" s="1" t="n">
        <v>46116</v>
      </c>
      <c r="D507" t="inlineStr">
        <is>
          <t>DALARNAS LÄN</t>
        </is>
      </c>
      <c r="E507" t="inlineStr">
        <is>
          <t>MORA</t>
        </is>
      </c>
      <c r="G507" t="n">
        <v>3.6</v>
      </c>
      <c r="H507" t="n">
        <v>0</v>
      </c>
      <c r="I507" t="n">
        <v>0</v>
      </c>
      <c r="J507" t="n">
        <v>0</v>
      </c>
      <c r="K507" t="n">
        <v>0</v>
      </c>
      <c r="L507" t="n">
        <v>0</v>
      </c>
      <c r="M507" t="n">
        <v>0</v>
      </c>
      <c r="N507" t="n">
        <v>0</v>
      </c>
      <c r="O507" t="n">
        <v>0</v>
      </c>
      <c r="P507" t="n">
        <v>0</v>
      </c>
      <c r="Q507" t="n">
        <v>0</v>
      </c>
      <c r="R507" s="2" t="inlineStr"/>
    </row>
    <row r="508" ht="15" customHeight="1">
      <c r="A508" t="inlineStr">
        <is>
          <t>A 62055-2025</t>
        </is>
      </c>
      <c r="B508" s="1" t="n">
        <v>46006.3365625</v>
      </c>
      <c r="C508" s="1" t="n">
        <v>46116</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62054-2025</t>
        </is>
      </c>
      <c r="B509" s="1" t="n">
        <v>46006.33462962963</v>
      </c>
      <c r="C509" s="1" t="n">
        <v>46116</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51965-2024</t>
        </is>
      </c>
      <c r="B510" s="1" t="n">
        <v>45607.65123842593</v>
      </c>
      <c r="C510" s="1" t="n">
        <v>46116</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62548-2025</t>
        </is>
      </c>
      <c r="B511" s="1" t="n">
        <v>46007.66275462963</v>
      </c>
      <c r="C511" s="1" t="n">
        <v>46116</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62959-2025</t>
        </is>
      </c>
      <c r="B512" s="1" t="n">
        <v>46009.45792824074</v>
      </c>
      <c r="C512" s="1" t="n">
        <v>46116</v>
      </c>
      <c r="D512" t="inlineStr">
        <is>
          <t>DALARNAS LÄN</t>
        </is>
      </c>
      <c r="E512" t="inlineStr">
        <is>
          <t>MORA</t>
        </is>
      </c>
      <c r="G512" t="n">
        <v>2.6</v>
      </c>
      <c r="H512" t="n">
        <v>0</v>
      </c>
      <c r="I512" t="n">
        <v>0</v>
      </c>
      <c r="J512" t="n">
        <v>0</v>
      </c>
      <c r="K512" t="n">
        <v>0</v>
      </c>
      <c r="L512" t="n">
        <v>0</v>
      </c>
      <c r="M512" t="n">
        <v>0</v>
      </c>
      <c r="N512" t="n">
        <v>0</v>
      </c>
      <c r="O512" t="n">
        <v>0</v>
      </c>
      <c r="P512" t="n">
        <v>0</v>
      </c>
      <c r="Q512" t="n">
        <v>0</v>
      </c>
      <c r="R512" s="2" t="inlineStr"/>
    </row>
    <row r="513" ht="15" customHeight="1">
      <c r="A513" t="inlineStr">
        <is>
          <t>A 62965-2025</t>
        </is>
      </c>
      <c r="B513" s="1" t="n">
        <v>46009.46129629629</v>
      </c>
      <c r="C513" s="1" t="n">
        <v>46116</v>
      </c>
      <c r="D513" t="inlineStr">
        <is>
          <t>DALARNAS LÄN</t>
        </is>
      </c>
      <c r="E513" t="inlineStr">
        <is>
          <t>MORA</t>
        </is>
      </c>
      <c r="G513" t="n">
        <v>9.1</v>
      </c>
      <c r="H513" t="n">
        <v>0</v>
      </c>
      <c r="I513" t="n">
        <v>0</v>
      </c>
      <c r="J513" t="n">
        <v>0</v>
      </c>
      <c r="K513" t="n">
        <v>0</v>
      </c>
      <c r="L513" t="n">
        <v>0</v>
      </c>
      <c r="M513" t="n">
        <v>0</v>
      </c>
      <c r="N513" t="n">
        <v>0</v>
      </c>
      <c r="O513" t="n">
        <v>0</v>
      </c>
      <c r="P513" t="n">
        <v>0</v>
      </c>
      <c r="Q513" t="n">
        <v>0</v>
      </c>
      <c r="R513" s="2" t="inlineStr"/>
    </row>
    <row r="514" ht="15" customHeight="1">
      <c r="A514" t="inlineStr">
        <is>
          <t>A 63030-2025</t>
        </is>
      </c>
      <c r="B514" s="1" t="n">
        <v>46009.60133101852</v>
      </c>
      <c r="C514" s="1" t="n">
        <v>46116</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5763-2026</t>
        </is>
      </c>
      <c r="B515" s="1" t="n">
        <v>46051.63380787037</v>
      </c>
      <c r="C515" s="1" t="n">
        <v>46116</v>
      </c>
      <c r="D515" t="inlineStr">
        <is>
          <t>DALARNAS LÄN</t>
        </is>
      </c>
      <c r="E515" t="inlineStr">
        <is>
          <t>MORA</t>
        </is>
      </c>
      <c r="G515" t="n">
        <v>0.3</v>
      </c>
      <c r="H515" t="n">
        <v>0</v>
      </c>
      <c r="I515" t="n">
        <v>0</v>
      </c>
      <c r="J515" t="n">
        <v>0</v>
      </c>
      <c r="K515" t="n">
        <v>0</v>
      </c>
      <c r="L515" t="n">
        <v>0</v>
      </c>
      <c r="M515" t="n">
        <v>0</v>
      </c>
      <c r="N515" t="n">
        <v>0</v>
      </c>
      <c r="O515" t="n">
        <v>0</v>
      </c>
      <c r="P515" t="n">
        <v>0</v>
      </c>
      <c r="Q515" t="n">
        <v>0</v>
      </c>
      <c r="R515" s="2" t="inlineStr"/>
    </row>
    <row r="516" ht="15" customHeight="1">
      <c r="A516" t="inlineStr">
        <is>
          <t>A 62619-2025</t>
        </is>
      </c>
      <c r="B516" s="1" t="n">
        <v>46008.33967592593</v>
      </c>
      <c r="C516" s="1" t="n">
        <v>46116</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62853-2025</t>
        </is>
      </c>
      <c r="B517" s="1" t="n">
        <v>46008.72493055555</v>
      </c>
      <c r="C517" s="1" t="n">
        <v>46116</v>
      </c>
      <c r="D517" t="inlineStr">
        <is>
          <t>DALARNAS LÄN</t>
        </is>
      </c>
      <c r="E517" t="inlineStr">
        <is>
          <t>MORA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62628-2025</t>
        </is>
      </c>
      <c r="B518" s="1" t="n">
        <v>46008.35011574074</v>
      </c>
      <c r="C518" s="1" t="n">
        <v>46116</v>
      </c>
      <c r="D518" t="inlineStr">
        <is>
          <t>DALARNAS LÄN</t>
        </is>
      </c>
      <c r="E518" t="inlineStr">
        <is>
          <t>MORA</t>
        </is>
      </c>
      <c r="G518" t="n">
        <v>5.7</v>
      </c>
      <c r="H518" t="n">
        <v>0</v>
      </c>
      <c r="I518" t="n">
        <v>0</v>
      </c>
      <c r="J518" t="n">
        <v>0</v>
      </c>
      <c r="K518" t="n">
        <v>0</v>
      </c>
      <c r="L518" t="n">
        <v>0</v>
      </c>
      <c r="M518" t="n">
        <v>0</v>
      </c>
      <c r="N518" t="n">
        <v>0</v>
      </c>
      <c r="O518" t="n">
        <v>0</v>
      </c>
      <c r="P518" t="n">
        <v>0</v>
      </c>
      <c r="Q518" t="n">
        <v>0</v>
      </c>
      <c r="R518" s="2" t="inlineStr"/>
    </row>
    <row r="519" ht="15" customHeight="1">
      <c r="A519" t="inlineStr">
        <is>
          <t>A 62626-2025</t>
        </is>
      </c>
      <c r="B519" s="1" t="n">
        <v>46008.34541666666</v>
      </c>
      <c r="C519" s="1" t="n">
        <v>46116</v>
      </c>
      <c r="D519" t="inlineStr">
        <is>
          <t>DALARNAS LÄN</t>
        </is>
      </c>
      <c r="E519" t="inlineStr">
        <is>
          <t>MORA</t>
        </is>
      </c>
      <c r="G519" t="n">
        <v>6.7</v>
      </c>
      <c r="H519" t="n">
        <v>0</v>
      </c>
      <c r="I519" t="n">
        <v>0</v>
      </c>
      <c r="J519" t="n">
        <v>0</v>
      </c>
      <c r="K519" t="n">
        <v>0</v>
      </c>
      <c r="L519" t="n">
        <v>0</v>
      </c>
      <c r="M519" t="n">
        <v>0</v>
      </c>
      <c r="N519" t="n">
        <v>0</v>
      </c>
      <c r="O519" t="n">
        <v>0</v>
      </c>
      <c r="P519" t="n">
        <v>0</v>
      </c>
      <c r="Q519" t="n">
        <v>0</v>
      </c>
      <c r="R519" s="2" t="inlineStr"/>
    </row>
    <row r="520" ht="15" customHeight="1">
      <c r="A520" t="inlineStr">
        <is>
          <t>A 20401-2022</t>
        </is>
      </c>
      <c r="B520" s="1" t="n">
        <v>44699</v>
      </c>
      <c r="C520" s="1" t="n">
        <v>46116</v>
      </c>
      <c r="D520" t="inlineStr">
        <is>
          <t>DALARNAS LÄN</t>
        </is>
      </c>
      <c r="E520" t="inlineStr">
        <is>
          <t>MORA</t>
        </is>
      </c>
      <c r="G520" t="n">
        <v>3.2</v>
      </c>
      <c r="H520" t="n">
        <v>0</v>
      </c>
      <c r="I520" t="n">
        <v>0</v>
      </c>
      <c r="J520" t="n">
        <v>0</v>
      </c>
      <c r="K520" t="n">
        <v>0</v>
      </c>
      <c r="L520" t="n">
        <v>0</v>
      </c>
      <c r="M520" t="n">
        <v>0</v>
      </c>
      <c r="N520" t="n">
        <v>0</v>
      </c>
      <c r="O520" t="n">
        <v>0</v>
      </c>
      <c r="P520" t="n">
        <v>0</v>
      </c>
      <c r="Q520" t="n">
        <v>0</v>
      </c>
      <c r="R520" s="2" t="inlineStr"/>
    </row>
    <row r="521" ht="15" customHeight="1">
      <c r="A521" t="inlineStr">
        <is>
          <t>A 26546-2025</t>
        </is>
      </c>
      <c r="B521" s="1" t="n">
        <v>45807</v>
      </c>
      <c r="C521" s="1" t="n">
        <v>46116</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26573-2025</t>
        </is>
      </c>
      <c r="B522" s="1" t="n">
        <v>45807</v>
      </c>
      <c r="C522" s="1" t="n">
        <v>46116</v>
      </c>
      <c r="D522" t="inlineStr">
        <is>
          <t>DALARNAS LÄN</t>
        </is>
      </c>
      <c r="E522" t="inlineStr">
        <is>
          <t>MORA</t>
        </is>
      </c>
      <c r="G522" t="n">
        <v>4.3</v>
      </c>
      <c r="H522" t="n">
        <v>0</v>
      </c>
      <c r="I522" t="n">
        <v>0</v>
      </c>
      <c r="J522" t="n">
        <v>0</v>
      </c>
      <c r="K522" t="n">
        <v>0</v>
      </c>
      <c r="L522" t="n">
        <v>0</v>
      </c>
      <c r="M522" t="n">
        <v>0</v>
      </c>
      <c r="N522" t="n">
        <v>0</v>
      </c>
      <c r="O522" t="n">
        <v>0</v>
      </c>
      <c r="P522" t="n">
        <v>0</v>
      </c>
      <c r="Q522" t="n">
        <v>0</v>
      </c>
      <c r="R522" s="2" t="inlineStr"/>
    </row>
    <row r="523" ht="15" customHeight="1">
      <c r="A523" t="inlineStr">
        <is>
          <t>A 26577-2025</t>
        </is>
      </c>
      <c r="B523" s="1" t="n">
        <v>45807</v>
      </c>
      <c r="C523" s="1" t="n">
        <v>46116</v>
      </c>
      <c r="D523" t="inlineStr">
        <is>
          <t>DALARNAS LÄN</t>
        </is>
      </c>
      <c r="E523" t="inlineStr">
        <is>
          <t>MORA</t>
        </is>
      </c>
      <c r="G523" t="n">
        <v>2.8</v>
      </c>
      <c r="H523" t="n">
        <v>0</v>
      </c>
      <c r="I523" t="n">
        <v>0</v>
      </c>
      <c r="J523" t="n">
        <v>0</v>
      </c>
      <c r="K523" t="n">
        <v>0</v>
      </c>
      <c r="L523" t="n">
        <v>0</v>
      </c>
      <c r="M523" t="n">
        <v>0</v>
      </c>
      <c r="N523" t="n">
        <v>0</v>
      </c>
      <c r="O523" t="n">
        <v>0</v>
      </c>
      <c r="P523" t="n">
        <v>0</v>
      </c>
      <c r="Q523" t="n">
        <v>0</v>
      </c>
      <c r="R523" s="2" t="inlineStr"/>
    </row>
    <row r="524" ht="15" customHeight="1">
      <c r="A524" t="inlineStr">
        <is>
          <t>A 26545-2025</t>
        </is>
      </c>
      <c r="B524" s="1" t="n">
        <v>45807</v>
      </c>
      <c r="C524" s="1" t="n">
        <v>46116</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63434-2025</t>
        </is>
      </c>
      <c r="B525" s="1" t="n">
        <v>46013.36556712963</v>
      </c>
      <c r="C525" s="1" t="n">
        <v>46116</v>
      </c>
      <c r="D525" t="inlineStr">
        <is>
          <t>DALARNAS LÄN</t>
        </is>
      </c>
      <c r="E525" t="inlineStr">
        <is>
          <t>MORA</t>
        </is>
      </c>
      <c r="F525" t="inlineStr">
        <is>
          <t>Allmännings- och besparingsskogar</t>
        </is>
      </c>
      <c r="G525" t="n">
        <v>3.6</v>
      </c>
      <c r="H525" t="n">
        <v>0</v>
      </c>
      <c r="I525" t="n">
        <v>0</v>
      </c>
      <c r="J525" t="n">
        <v>0</v>
      </c>
      <c r="K525" t="n">
        <v>0</v>
      </c>
      <c r="L525" t="n">
        <v>0</v>
      </c>
      <c r="M525" t="n">
        <v>0</v>
      </c>
      <c r="N525" t="n">
        <v>0</v>
      </c>
      <c r="O525" t="n">
        <v>0</v>
      </c>
      <c r="P525" t="n">
        <v>0</v>
      </c>
      <c r="Q525" t="n">
        <v>0</v>
      </c>
      <c r="R525" s="2" t="inlineStr"/>
    </row>
    <row r="526" ht="15" customHeight="1">
      <c r="A526" t="inlineStr">
        <is>
          <t>A 63431-2025</t>
        </is>
      </c>
      <c r="B526" s="1" t="n">
        <v>46013.36268518519</v>
      </c>
      <c r="C526" s="1" t="n">
        <v>46116</v>
      </c>
      <c r="D526" t="inlineStr">
        <is>
          <t>DALARNAS LÄN</t>
        </is>
      </c>
      <c r="E526" t="inlineStr">
        <is>
          <t>MORA</t>
        </is>
      </c>
      <c r="F526" t="inlineStr">
        <is>
          <t>Allmännings- och besparingsskogar</t>
        </is>
      </c>
      <c r="G526" t="n">
        <v>5.7</v>
      </c>
      <c r="H526" t="n">
        <v>0</v>
      </c>
      <c r="I526" t="n">
        <v>0</v>
      </c>
      <c r="J526" t="n">
        <v>0</v>
      </c>
      <c r="K526" t="n">
        <v>0</v>
      </c>
      <c r="L526" t="n">
        <v>0</v>
      </c>
      <c r="M526" t="n">
        <v>0</v>
      </c>
      <c r="N526" t="n">
        <v>0</v>
      </c>
      <c r="O526" t="n">
        <v>0</v>
      </c>
      <c r="P526" t="n">
        <v>0</v>
      </c>
      <c r="Q526" t="n">
        <v>0</v>
      </c>
      <c r="R526" s="2" t="inlineStr"/>
    </row>
    <row r="527" ht="15" customHeight="1">
      <c r="A527" t="inlineStr">
        <is>
          <t>A 63457-2025</t>
        </is>
      </c>
      <c r="B527" s="1" t="n">
        <v>46013.42269675926</v>
      </c>
      <c r="C527" s="1" t="n">
        <v>46116</v>
      </c>
      <c r="D527" t="inlineStr">
        <is>
          <t>DALARNAS LÄN</t>
        </is>
      </c>
      <c r="E527" t="inlineStr">
        <is>
          <t>MORA</t>
        </is>
      </c>
      <c r="F527" t="inlineStr">
        <is>
          <t>Allmännings- och besparingsskogar</t>
        </is>
      </c>
      <c r="G527" t="n">
        <v>34.4</v>
      </c>
      <c r="H527" t="n">
        <v>0</v>
      </c>
      <c r="I527" t="n">
        <v>0</v>
      </c>
      <c r="J527" t="n">
        <v>0</v>
      </c>
      <c r="K527" t="n">
        <v>0</v>
      </c>
      <c r="L527" t="n">
        <v>0</v>
      </c>
      <c r="M527" t="n">
        <v>0</v>
      </c>
      <c r="N527" t="n">
        <v>0</v>
      </c>
      <c r="O527" t="n">
        <v>0</v>
      </c>
      <c r="P527" t="n">
        <v>0</v>
      </c>
      <c r="Q527" t="n">
        <v>0</v>
      </c>
      <c r="R527" s="2" t="inlineStr"/>
    </row>
    <row r="528" ht="15" customHeight="1">
      <c r="A528" t="inlineStr">
        <is>
          <t>A 52599-2025</t>
        </is>
      </c>
      <c r="B528" s="1" t="n">
        <v>45954.65564814815</v>
      </c>
      <c r="C528" s="1" t="n">
        <v>46116</v>
      </c>
      <c r="D528" t="inlineStr">
        <is>
          <t>DALARNAS LÄN</t>
        </is>
      </c>
      <c r="E528" t="inlineStr">
        <is>
          <t>MORA</t>
        </is>
      </c>
      <c r="G528" t="n">
        <v>10.8</v>
      </c>
      <c r="H528" t="n">
        <v>0</v>
      </c>
      <c r="I528" t="n">
        <v>0</v>
      </c>
      <c r="J528" t="n">
        <v>0</v>
      </c>
      <c r="K528" t="n">
        <v>0</v>
      </c>
      <c r="L528" t="n">
        <v>0</v>
      </c>
      <c r="M528" t="n">
        <v>0</v>
      </c>
      <c r="N528" t="n">
        <v>0</v>
      </c>
      <c r="O528" t="n">
        <v>0</v>
      </c>
      <c r="P528" t="n">
        <v>0</v>
      </c>
      <c r="Q528" t="n">
        <v>0</v>
      </c>
      <c r="R528" s="2" t="inlineStr"/>
    </row>
    <row r="529" ht="15" customHeight="1">
      <c r="A529" t="inlineStr">
        <is>
          <t>A 63596-2025</t>
        </is>
      </c>
      <c r="B529" s="1" t="n">
        <v>46013.96362268519</v>
      </c>
      <c r="C529" s="1" t="n">
        <v>46116</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63692-2025</t>
        </is>
      </c>
      <c r="B530" s="1" t="n">
        <v>46014.54496527778</v>
      </c>
      <c r="C530" s="1" t="n">
        <v>46116</v>
      </c>
      <c r="D530" t="inlineStr">
        <is>
          <t>DALARNAS LÄN</t>
        </is>
      </c>
      <c r="E530" t="inlineStr">
        <is>
          <t>MORA</t>
        </is>
      </c>
      <c r="G530" t="n">
        <v>1.4</v>
      </c>
      <c r="H530" t="n">
        <v>0</v>
      </c>
      <c r="I530" t="n">
        <v>0</v>
      </c>
      <c r="J530" t="n">
        <v>0</v>
      </c>
      <c r="K530" t="n">
        <v>0</v>
      </c>
      <c r="L530" t="n">
        <v>0</v>
      </c>
      <c r="M530" t="n">
        <v>0</v>
      </c>
      <c r="N530" t="n">
        <v>0</v>
      </c>
      <c r="O530" t="n">
        <v>0</v>
      </c>
      <c r="P530" t="n">
        <v>0</v>
      </c>
      <c r="Q530" t="n">
        <v>0</v>
      </c>
      <c r="R530" s="2" t="inlineStr"/>
    </row>
    <row r="531" ht="15" customHeight="1">
      <c r="A531" t="inlineStr">
        <is>
          <t>A 63689-2025</t>
        </is>
      </c>
      <c r="B531" s="1" t="n">
        <v>46014.539375</v>
      </c>
      <c r="C531" s="1" t="n">
        <v>46116</v>
      </c>
      <c r="D531" t="inlineStr">
        <is>
          <t>DALARNAS LÄN</t>
        </is>
      </c>
      <c r="E531" t="inlineStr">
        <is>
          <t>MORA</t>
        </is>
      </c>
      <c r="G531" t="n">
        <v>2.2</v>
      </c>
      <c r="H531" t="n">
        <v>0</v>
      </c>
      <c r="I531" t="n">
        <v>0</v>
      </c>
      <c r="J531" t="n">
        <v>0</v>
      </c>
      <c r="K531" t="n">
        <v>0</v>
      </c>
      <c r="L531" t="n">
        <v>0</v>
      </c>
      <c r="M531" t="n">
        <v>0</v>
      </c>
      <c r="N531" t="n">
        <v>0</v>
      </c>
      <c r="O531" t="n">
        <v>0</v>
      </c>
      <c r="P531" t="n">
        <v>0</v>
      </c>
      <c r="Q531" t="n">
        <v>0</v>
      </c>
      <c r="R531" s="2" t="inlineStr"/>
    </row>
    <row r="532" ht="15" customHeight="1">
      <c r="A532" t="inlineStr">
        <is>
          <t>A 38627-2023</t>
        </is>
      </c>
      <c r="B532" s="1" t="n">
        <v>45162.68787037037</v>
      </c>
      <c r="C532" s="1" t="n">
        <v>46116</v>
      </c>
      <c r="D532" t="inlineStr">
        <is>
          <t>DALARNAS LÄN</t>
        </is>
      </c>
      <c r="E532" t="inlineStr">
        <is>
          <t>MORA</t>
        </is>
      </c>
      <c r="G532" t="n">
        <v>6.5</v>
      </c>
      <c r="H532" t="n">
        <v>0</v>
      </c>
      <c r="I532" t="n">
        <v>0</v>
      </c>
      <c r="J532" t="n">
        <v>0</v>
      </c>
      <c r="K532" t="n">
        <v>0</v>
      </c>
      <c r="L532" t="n">
        <v>0</v>
      </c>
      <c r="M532" t="n">
        <v>0</v>
      </c>
      <c r="N532" t="n">
        <v>0</v>
      </c>
      <c r="O532" t="n">
        <v>0</v>
      </c>
      <c r="P532" t="n">
        <v>0</v>
      </c>
      <c r="Q532" t="n">
        <v>0</v>
      </c>
      <c r="R532" s="2" t="inlineStr"/>
    </row>
    <row r="533" ht="15" customHeight="1">
      <c r="A533" t="inlineStr">
        <is>
          <t>A 64088-2023</t>
        </is>
      </c>
      <c r="B533" s="1" t="n">
        <v>45279.43570601852</v>
      </c>
      <c r="C533" s="1" t="n">
        <v>46116</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63964-2025</t>
        </is>
      </c>
      <c r="B534" s="1" t="n">
        <v>46020</v>
      </c>
      <c r="C534" s="1" t="n">
        <v>46116</v>
      </c>
      <c r="D534" t="inlineStr">
        <is>
          <t>DALARNAS LÄN</t>
        </is>
      </c>
      <c r="E534" t="inlineStr">
        <is>
          <t>MORA</t>
        </is>
      </c>
      <c r="G534" t="n">
        <v>6.1</v>
      </c>
      <c r="H534" t="n">
        <v>0</v>
      </c>
      <c r="I534" t="n">
        <v>0</v>
      </c>
      <c r="J534" t="n">
        <v>0</v>
      </c>
      <c r="K534" t="n">
        <v>0</v>
      </c>
      <c r="L534" t="n">
        <v>0</v>
      </c>
      <c r="M534" t="n">
        <v>0</v>
      </c>
      <c r="N534" t="n">
        <v>0</v>
      </c>
      <c r="O534" t="n">
        <v>0</v>
      </c>
      <c r="P534" t="n">
        <v>0</v>
      </c>
      <c r="Q534" t="n">
        <v>0</v>
      </c>
      <c r="R534" s="2" t="inlineStr"/>
    </row>
    <row r="535" ht="15" customHeight="1">
      <c r="A535" t="inlineStr">
        <is>
          <t>A 56767-2024</t>
        </is>
      </c>
      <c r="B535" s="1" t="n">
        <v>45628.41274305555</v>
      </c>
      <c r="C535" s="1" t="n">
        <v>46116</v>
      </c>
      <c r="D535" t="inlineStr">
        <is>
          <t>DALARNAS LÄN</t>
        </is>
      </c>
      <c r="E535" t="inlineStr">
        <is>
          <t>MORA</t>
        </is>
      </c>
      <c r="G535" t="n">
        <v>5</v>
      </c>
      <c r="H535" t="n">
        <v>0</v>
      </c>
      <c r="I535" t="n">
        <v>0</v>
      </c>
      <c r="J535" t="n">
        <v>0</v>
      </c>
      <c r="K535" t="n">
        <v>0</v>
      </c>
      <c r="L535" t="n">
        <v>0</v>
      </c>
      <c r="M535" t="n">
        <v>0</v>
      </c>
      <c r="N535" t="n">
        <v>0</v>
      </c>
      <c r="O535" t="n">
        <v>0</v>
      </c>
      <c r="P535" t="n">
        <v>0</v>
      </c>
      <c r="Q535" t="n">
        <v>0</v>
      </c>
      <c r="R535" s="2" t="inlineStr"/>
    </row>
    <row r="536" ht="15" customHeight="1">
      <c r="A536" t="inlineStr">
        <is>
          <t>A 2830-2023</t>
        </is>
      </c>
      <c r="B536" s="1" t="n">
        <v>44945.32997685186</v>
      </c>
      <c r="C536" s="1" t="n">
        <v>46116</v>
      </c>
      <c r="D536" t="inlineStr">
        <is>
          <t>DALARNAS LÄN</t>
        </is>
      </c>
      <c r="E536" t="inlineStr">
        <is>
          <t>MORA</t>
        </is>
      </c>
      <c r="G536" t="n">
        <v>0.5</v>
      </c>
      <c r="H536" t="n">
        <v>0</v>
      </c>
      <c r="I536" t="n">
        <v>0</v>
      </c>
      <c r="J536" t="n">
        <v>0</v>
      </c>
      <c r="K536" t="n">
        <v>0</v>
      </c>
      <c r="L536" t="n">
        <v>0</v>
      </c>
      <c r="M536" t="n">
        <v>0</v>
      </c>
      <c r="N536" t="n">
        <v>0</v>
      </c>
      <c r="O536" t="n">
        <v>0</v>
      </c>
      <c r="P536" t="n">
        <v>0</v>
      </c>
      <c r="Q536" t="n">
        <v>0</v>
      </c>
      <c r="R536" s="2" t="inlineStr"/>
    </row>
    <row r="537" ht="15" customHeight="1">
      <c r="A537" t="inlineStr">
        <is>
          <t>A 239-2026</t>
        </is>
      </c>
      <c r="B537" s="1" t="n">
        <v>46027</v>
      </c>
      <c r="C537" s="1" t="n">
        <v>46116</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141-2026</t>
        </is>
      </c>
      <c r="B538" s="1" t="n">
        <v>46024.62364583334</v>
      </c>
      <c r="C538" s="1" t="n">
        <v>46116</v>
      </c>
      <c r="D538" t="inlineStr">
        <is>
          <t>DALARNAS LÄN</t>
        </is>
      </c>
      <c r="E538" t="inlineStr">
        <is>
          <t>MORA</t>
        </is>
      </c>
      <c r="G538" t="n">
        <v>4.4</v>
      </c>
      <c r="H538" t="n">
        <v>0</v>
      </c>
      <c r="I538" t="n">
        <v>0</v>
      </c>
      <c r="J538" t="n">
        <v>0</v>
      </c>
      <c r="K538" t="n">
        <v>0</v>
      </c>
      <c r="L538" t="n">
        <v>0</v>
      </c>
      <c r="M538" t="n">
        <v>0</v>
      </c>
      <c r="N538" t="n">
        <v>0</v>
      </c>
      <c r="O538" t="n">
        <v>0</v>
      </c>
      <c r="P538" t="n">
        <v>0</v>
      </c>
      <c r="Q538" t="n">
        <v>0</v>
      </c>
      <c r="R538" s="2" t="inlineStr"/>
    </row>
    <row r="539" ht="15" customHeight="1">
      <c r="A539" t="inlineStr">
        <is>
          <t>A 39882-2024</t>
        </is>
      </c>
      <c r="B539" s="1" t="n">
        <v>45553</v>
      </c>
      <c r="C539" s="1" t="n">
        <v>46116</v>
      </c>
      <c r="D539" t="inlineStr">
        <is>
          <t>DALARNAS LÄN</t>
        </is>
      </c>
      <c r="E539" t="inlineStr">
        <is>
          <t>MORA</t>
        </is>
      </c>
      <c r="G539" t="n">
        <v>14.6</v>
      </c>
      <c r="H539" t="n">
        <v>0</v>
      </c>
      <c r="I539" t="n">
        <v>0</v>
      </c>
      <c r="J539" t="n">
        <v>0</v>
      </c>
      <c r="K539" t="n">
        <v>0</v>
      </c>
      <c r="L539" t="n">
        <v>0</v>
      </c>
      <c r="M539" t="n">
        <v>0</v>
      </c>
      <c r="N539" t="n">
        <v>0</v>
      </c>
      <c r="O539" t="n">
        <v>0</v>
      </c>
      <c r="P539" t="n">
        <v>0</v>
      </c>
      <c r="Q539" t="n">
        <v>0</v>
      </c>
      <c r="R539" s="2" t="inlineStr"/>
    </row>
    <row r="540" ht="15" customHeight="1">
      <c r="A540" t="inlineStr">
        <is>
          <t>A 43566-2023</t>
        </is>
      </c>
      <c r="B540" s="1" t="n">
        <v>45184.58199074074</v>
      </c>
      <c r="C540" s="1" t="n">
        <v>46116</v>
      </c>
      <c r="D540" t="inlineStr">
        <is>
          <t>DALARNAS LÄN</t>
        </is>
      </c>
      <c r="E540" t="inlineStr">
        <is>
          <t>MORA</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60962-2025</t>
        </is>
      </c>
      <c r="B541" s="1" t="n">
        <v>45999.66488425926</v>
      </c>
      <c r="C541" s="1" t="n">
        <v>46116</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665-2026</t>
        </is>
      </c>
      <c r="B542" s="1" t="n">
        <v>46029</v>
      </c>
      <c r="C542" s="1" t="n">
        <v>46116</v>
      </c>
      <c r="D542" t="inlineStr">
        <is>
          <t>DALARNAS LÄN</t>
        </is>
      </c>
      <c r="E542" t="inlineStr">
        <is>
          <t>MORA</t>
        </is>
      </c>
      <c r="F542" t="inlineStr">
        <is>
          <t>Kommuner</t>
        </is>
      </c>
      <c r="G542" t="n">
        <v>20.9</v>
      </c>
      <c r="H542" t="n">
        <v>0</v>
      </c>
      <c r="I542" t="n">
        <v>0</v>
      </c>
      <c r="J542" t="n">
        <v>0</v>
      </c>
      <c r="K542" t="n">
        <v>0</v>
      </c>
      <c r="L542" t="n">
        <v>0</v>
      </c>
      <c r="M542" t="n">
        <v>0</v>
      </c>
      <c r="N542" t="n">
        <v>0</v>
      </c>
      <c r="O542" t="n">
        <v>0</v>
      </c>
      <c r="P542" t="n">
        <v>0</v>
      </c>
      <c r="Q542" t="n">
        <v>0</v>
      </c>
      <c r="R542" s="2" t="inlineStr"/>
    </row>
    <row r="543" ht="15" customHeight="1">
      <c r="A543" t="inlineStr">
        <is>
          <t>A 902-2026</t>
        </is>
      </c>
      <c r="B543" s="1" t="n">
        <v>46030.46954861111</v>
      </c>
      <c r="C543" s="1" t="n">
        <v>46116</v>
      </c>
      <c r="D543" t="inlineStr">
        <is>
          <t>DALARNAS LÄN</t>
        </is>
      </c>
      <c r="E543" t="inlineStr">
        <is>
          <t>MORA</t>
        </is>
      </c>
      <c r="G543" t="n">
        <v>4.2</v>
      </c>
      <c r="H543" t="n">
        <v>0</v>
      </c>
      <c r="I543" t="n">
        <v>0</v>
      </c>
      <c r="J543" t="n">
        <v>0</v>
      </c>
      <c r="K543" t="n">
        <v>0</v>
      </c>
      <c r="L543" t="n">
        <v>0</v>
      </c>
      <c r="M543" t="n">
        <v>0</v>
      </c>
      <c r="N543" t="n">
        <v>0</v>
      </c>
      <c r="O543" t="n">
        <v>0</v>
      </c>
      <c r="P543" t="n">
        <v>0</v>
      </c>
      <c r="Q543" t="n">
        <v>0</v>
      </c>
      <c r="R543" s="2" t="inlineStr"/>
    </row>
    <row r="544" ht="15" customHeight="1">
      <c r="A544" t="inlineStr">
        <is>
          <t>A 46414-2024</t>
        </is>
      </c>
      <c r="B544" s="1" t="n">
        <v>45582.45226851852</v>
      </c>
      <c r="C544" s="1" t="n">
        <v>46116</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46417-2024</t>
        </is>
      </c>
      <c r="B545" s="1" t="n">
        <v>45582.45449074074</v>
      </c>
      <c r="C545" s="1" t="n">
        <v>46116</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1068-2026</t>
        </is>
      </c>
      <c r="B546" s="1" t="n">
        <v>46030</v>
      </c>
      <c r="C546" s="1" t="n">
        <v>46116</v>
      </c>
      <c r="D546" t="inlineStr">
        <is>
          <t>DALARNAS LÄN</t>
        </is>
      </c>
      <c r="E546" t="inlineStr">
        <is>
          <t>MORA</t>
        </is>
      </c>
      <c r="G546" t="n">
        <v>1.4</v>
      </c>
      <c r="H546" t="n">
        <v>0</v>
      </c>
      <c r="I546" t="n">
        <v>0</v>
      </c>
      <c r="J546" t="n">
        <v>0</v>
      </c>
      <c r="K546" t="n">
        <v>0</v>
      </c>
      <c r="L546" t="n">
        <v>0</v>
      </c>
      <c r="M546" t="n">
        <v>0</v>
      </c>
      <c r="N546" t="n">
        <v>0</v>
      </c>
      <c r="O546" t="n">
        <v>0</v>
      </c>
      <c r="P546" t="n">
        <v>0</v>
      </c>
      <c r="Q546" t="n">
        <v>0</v>
      </c>
      <c r="R546" s="2" t="inlineStr"/>
    </row>
    <row r="547" ht="15" customHeight="1">
      <c r="A547" t="inlineStr">
        <is>
          <t>A 5491-2023</t>
        </is>
      </c>
      <c r="B547" s="1" t="n">
        <v>44957</v>
      </c>
      <c r="C547" s="1" t="n">
        <v>46116</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5493-2023</t>
        </is>
      </c>
      <c r="B548" s="1" t="n">
        <v>44957</v>
      </c>
      <c r="C548" s="1" t="n">
        <v>46116</v>
      </c>
      <c r="D548" t="inlineStr">
        <is>
          <t>DALARNAS LÄN</t>
        </is>
      </c>
      <c r="E548" t="inlineStr">
        <is>
          <t>MORA</t>
        </is>
      </c>
      <c r="F548" t="inlineStr">
        <is>
          <t>Allmännings- och besparingsskogar</t>
        </is>
      </c>
      <c r="G548" t="n">
        <v>14.9</v>
      </c>
      <c r="H548" t="n">
        <v>0</v>
      </c>
      <c r="I548" t="n">
        <v>0</v>
      </c>
      <c r="J548" t="n">
        <v>0</v>
      </c>
      <c r="K548" t="n">
        <v>0</v>
      </c>
      <c r="L548" t="n">
        <v>0</v>
      </c>
      <c r="M548" t="n">
        <v>0</v>
      </c>
      <c r="N548" t="n">
        <v>0</v>
      </c>
      <c r="O548" t="n">
        <v>0</v>
      </c>
      <c r="P548" t="n">
        <v>0</v>
      </c>
      <c r="Q548" t="n">
        <v>0</v>
      </c>
      <c r="R548" s="2" t="inlineStr"/>
    </row>
    <row r="549" ht="15" customHeight="1">
      <c r="A549" t="inlineStr">
        <is>
          <t>A 1102-2026</t>
        </is>
      </c>
      <c r="B549" s="1" t="n">
        <v>46030.66743055556</v>
      </c>
      <c r="C549" s="1" t="n">
        <v>46116</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48825-2023</t>
        </is>
      </c>
      <c r="B550" s="1" t="n">
        <v>45203</v>
      </c>
      <c r="C550" s="1" t="n">
        <v>46116</v>
      </c>
      <c r="D550" t="inlineStr">
        <is>
          <t>DALARNAS LÄN</t>
        </is>
      </c>
      <c r="E550" t="inlineStr">
        <is>
          <t>MORA</t>
        </is>
      </c>
      <c r="G550" t="n">
        <v>7.9</v>
      </c>
      <c r="H550" t="n">
        <v>0</v>
      </c>
      <c r="I550" t="n">
        <v>0</v>
      </c>
      <c r="J550" t="n">
        <v>0</v>
      </c>
      <c r="K550" t="n">
        <v>0</v>
      </c>
      <c r="L550" t="n">
        <v>0</v>
      </c>
      <c r="M550" t="n">
        <v>0</v>
      </c>
      <c r="N550" t="n">
        <v>0</v>
      </c>
      <c r="O550" t="n">
        <v>0</v>
      </c>
      <c r="P550" t="n">
        <v>0</v>
      </c>
      <c r="Q550" t="n">
        <v>0</v>
      </c>
      <c r="R550" s="2" t="inlineStr"/>
    </row>
    <row r="551" ht="15" customHeight="1">
      <c r="A551" t="inlineStr">
        <is>
          <t>A 1881-2026</t>
        </is>
      </c>
      <c r="B551" s="1" t="n">
        <v>46035.4731712963</v>
      </c>
      <c r="C551" s="1" t="n">
        <v>46116</v>
      </c>
      <c r="D551" t="inlineStr">
        <is>
          <t>DALARNAS LÄN</t>
        </is>
      </c>
      <c r="E551" t="inlineStr">
        <is>
          <t>MORA</t>
        </is>
      </c>
      <c r="G551" t="n">
        <v>5.2</v>
      </c>
      <c r="H551" t="n">
        <v>0</v>
      </c>
      <c r="I551" t="n">
        <v>0</v>
      </c>
      <c r="J551" t="n">
        <v>0</v>
      </c>
      <c r="K551" t="n">
        <v>0</v>
      </c>
      <c r="L551" t="n">
        <v>0</v>
      </c>
      <c r="M551" t="n">
        <v>0</v>
      </c>
      <c r="N551" t="n">
        <v>0</v>
      </c>
      <c r="O551" t="n">
        <v>0</v>
      </c>
      <c r="P551" t="n">
        <v>0</v>
      </c>
      <c r="Q551" t="n">
        <v>0</v>
      </c>
      <c r="R551" s="2" t="inlineStr"/>
    </row>
    <row r="552" ht="15" customHeight="1">
      <c r="A552" t="inlineStr">
        <is>
          <t>A 29193-2023</t>
        </is>
      </c>
      <c r="B552" s="1" t="n">
        <v>45105.54791666667</v>
      </c>
      <c r="C552" s="1" t="n">
        <v>46116</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18444-2024</t>
        </is>
      </c>
      <c r="B553" s="1" t="n">
        <v>45425.45568287037</v>
      </c>
      <c r="C553" s="1" t="n">
        <v>46116</v>
      </c>
      <c r="D553" t="inlineStr">
        <is>
          <t>DALARNAS LÄN</t>
        </is>
      </c>
      <c r="E553" t="inlineStr">
        <is>
          <t>MORA</t>
        </is>
      </c>
      <c r="G553" t="n">
        <v>5</v>
      </c>
      <c r="H553" t="n">
        <v>0</v>
      </c>
      <c r="I553" t="n">
        <v>0</v>
      </c>
      <c r="J553" t="n">
        <v>0</v>
      </c>
      <c r="K553" t="n">
        <v>0</v>
      </c>
      <c r="L553" t="n">
        <v>0</v>
      </c>
      <c r="M553" t="n">
        <v>0</v>
      </c>
      <c r="N553" t="n">
        <v>0</v>
      </c>
      <c r="O553" t="n">
        <v>0</v>
      </c>
      <c r="P553" t="n">
        <v>0</v>
      </c>
      <c r="Q553" t="n">
        <v>0</v>
      </c>
      <c r="R553" s="2" t="inlineStr"/>
    </row>
    <row r="554" ht="15" customHeight="1">
      <c r="A554" t="inlineStr">
        <is>
          <t>A 47784-2024</t>
        </is>
      </c>
      <c r="B554" s="1" t="n">
        <v>45588.59290509259</v>
      </c>
      <c r="C554" s="1" t="n">
        <v>46116</v>
      </c>
      <c r="D554" t="inlineStr">
        <is>
          <t>DALARNAS LÄN</t>
        </is>
      </c>
      <c r="E554" t="inlineStr">
        <is>
          <t>MORA</t>
        </is>
      </c>
      <c r="G554" t="n">
        <v>15.3</v>
      </c>
      <c r="H554" t="n">
        <v>0</v>
      </c>
      <c r="I554" t="n">
        <v>0</v>
      </c>
      <c r="J554" t="n">
        <v>0</v>
      </c>
      <c r="K554" t="n">
        <v>0</v>
      </c>
      <c r="L554" t="n">
        <v>0</v>
      </c>
      <c r="M554" t="n">
        <v>0</v>
      </c>
      <c r="N554" t="n">
        <v>0</v>
      </c>
      <c r="O554" t="n">
        <v>0</v>
      </c>
      <c r="P554" t="n">
        <v>0</v>
      </c>
      <c r="Q554" t="n">
        <v>0</v>
      </c>
      <c r="R554" s="2" t="inlineStr"/>
    </row>
    <row r="555" ht="15" customHeight="1">
      <c r="A555" t="inlineStr">
        <is>
          <t>A 35551-2023</t>
        </is>
      </c>
      <c r="B555" s="1" t="n">
        <v>45147.3934837963</v>
      </c>
      <c r="C555" s="1" t="n">
        <v>46116</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59174-2023</t>
        </is>
      </c>
      <c r="B556" s="1" t="n">
        <v>45253.43202546296</v>
      </c>
      <c r="C556" s="1" t="n">
        <v>46116</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2637-2026</t>
        </is>
      </c>
      <c r="B557" s="1" t="n">
        <v>46037.61490740741</v>
      </c>
      <c r="C557" s="1" t="n">
        <v>46116</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55331-2022</t>
        </is>
      </c>
      <c r="B558" s="1" t="n">
        <v>44887.43714120371</v>
      </c>
      <c r="C558" s="1" t="n">
        <v>46116</v>
      </c>
      <c r="D558" t="inlineStr">
        <is>
          <t>DALARNAS LÄN</t>
        </is>
      </c>
      <c r="E558" t="inlineStr">
        <is>
          <t>MORA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42085-2024</t>
        </is>
      </c>
      <c r="B559" s="1" t="n">
        <v>45562.33179398148</v>
      </c>
      <c r="C559" s="1" t="n">
        <v>46116</v>
      </c>
      <c r="D559" t="inlineStr">
        <is>
          <t>DALARNAS LÄN</t>
        </is>
      </c>
      <c r="E559" t="inlineStr">
        <is>
          <t>MORA</t>
        </is>
      </c>
      <c r="G559" t="n">
        <v>4.9</v>
      </c>
      <c r="H559" t="n">
        <v>0</v>
      </c>
      <c r="I559" t="n">
        <v>0</v>
      </c>
      <c r="J559" t="n">
        <v>0</v>
      </c>
      <c r="K559" t="n">
        <v>0</v>
      </c>
      <c r="L559" t="n">
        <v>0</v>
      </c>
      <c r="M559" t="n">
        <v>0</v>
      </c>
      <c r="N559" t="n">
        <v>0</v>
      </c>
      <c r="O559" t="n">
        <v>0</v>
      </c>
      <c r="P559" t="n">
        <v>0</v>
      </c>
      <c r="Q559" t="n">
        <v>0</v>
      </c>
      <c r="R559" s="2" t="inlineStr"/>
    </row>
    <row r="560" ht="15" customHeight="1">
      <c r="A560" t="inlineStr">
        <is>
          <t>A 2110-2026</t>
        </is>
      </c>
      <c r="B560" s="1" t="n">
        <v>46036</v>
      </c>
      <c r="C560" s="1" t="n">
        <v>46116</v>
      </c>
      <c r="D560" t="inlineStr">
        <is>
          <t>DALARNAS LÄN</t>
        </is>
      </c>
      <c r="E560" t="inlineStr">
        <is>
          <t>MORA</t>
        </is>
      </c>
      <c r="G560" t="n">
        <v>7.2</v>
      </c>
      <c r="H560" t="n">
        <v>0</v>
      </c>
      <c r="I560" t="n">
        <v>0</v>
      </c>
      <c r="J560" t="n">
        <v>0</v>
      </c>
      <c r="K560" t="n">
        <v>0</v>
      </c>
      <c r="L560" t="n">
        <v>0</v>
      </c>
      <c r="M560" t="n">
        <v>0</v>
      </c>
      <c r="N560" t="n">
        <v>0</v>
      </c>
      <c r="O560" t="n">
        <v>0</v>
      </c>
      <c r="P560" t="n">
        <v>0</v>
      </c>
      <c r="Q560" t="n">
        <v>0</v>
      </c>
      <c r="R560" s="2" t="inlineStr"/>
    </row>
    <row r="561" ht="15" customHeight="1">
      <c r="A561" t="inlineStr">
        <is>
          <t>A 673-2026</t>
        </is>
      </c>
      <c r="B561" s="1" t="n">
        <v>46029</v>
      </c>
      <c r="C561" s="1" t="n">
        <v>46116</v>
      </c>
      <c r="D561" t="inlineStr">
        <is>
          <t>DALARNAS LÄN</t>
        </is>
      </c>
      <c r="E561" t="inlineStr">
        <is>
          <t>MORA</t>
        </is>
      </c>
      <c r="F561" t="inlineStr">
        <is>
          <t>Kommuner</t>
        </is>
      </c>
      <c r="G561" t="n">
        <v>25.8</v>
      </c>
      <c r="H561" t="n">
        <v>0</v>
      </c>
      <c r="I561" t="n">
        <v>0</v>
      </c>
      <c r="J561" t="n">
        <v>0</v>
      </c>
      <c r="K561" t="n">
        <v>0</v>
      </c>
      <c r="L561" t="n">
        <v>0</v>
      </c>
      <c r="M561" t="n">
        <v>0</v>
      </c>
      <c r="N561" t="n">
        <v>0</v>
      </c>
      <c r="O561" t="n">
        <v>0</v>
      </c>
      <c r="P561" t="n">
        <v>0</v>
      </c>
      <c r="Q561" t="n">
        <v>0</v>
      </c>
      <c r="R561" s="2" t="inlineStr"/>
    </row>
    <row r="562" ht="15" customHeight="1">
      <c r="A562" t="inlineStr">
        <is>
          <t>A 60187-2024</t>
        </is>
      </c>
      <c r="B562" s="1" t="n">
        <v>45642.64803240741</v>
      </c>
      <c r="C562" s="1" t="n">
        <v>46116</v>
      </c>
      <c r="D562" t="inlineStr">
        <is>
          <t>DALARNAS LÄN</t>
        </is>
      </c>
      <c r="E562" t="inlineStr">
        <is>
          <t>MORA</t>
        </is>
      </c>
      <c r="F562" t="inlineStr">
        <is>
          <t>Allmännings- och besparingsskogar</t>
        </is>
      </c>
      <c r="G562" t="n">
        <v>24.6</v>
      </c>
      <c r="H562" t="n">
        <v>0</v>
      </c>
      <c r="I562" t="n">
        <v>0</v>
      </c>
      <c r="J562" t="n">
        <v>0</v>
      </c>
      <c r="K562" t="n">
        <v>0</v>
      </c>
      <c r="L562" t="n">
        <v>0</v>
      </c>
      <c r="M562" t="n">
        <v>0</v>
      </c>
      <c r="N562" t="n">
        <v>0</v>
      </c>
      <c r="O562" t="n">
        <v>0</v>
      </c>
      <c r="P562" t="n">
        <v>0</v>
      </c>
      <c r="Q562" t="n">
        <v>0</v>
      </c>
      <c r="R562" s="2" t="inlineStr"/>
    </row>
    <row r="563" ht="15" customHeight="1">
      <c r="A563" t="inlineStr">
        <is>
          <t>A 2521-2026</t>
        </is>
      </c>
      <c r="B563" s="1" t="n">
        <v>46037.42600694444</v>
      </c>
      <c r="C563" s="1" t="n">
        <v>46116</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61222-2023</t>
        </is>
      </c>
      <c r="B564" s="1" t="n">
        <v>45264</v>
      </c>
      <c r="C564" s="1" t="n">
        <v>46116</v>
      </c>
      <c r="D564" t="inlineStr">
        <is>
          <t>DALARNAS LÄN</t>
        </is>
      </c>
      <c r="E564" t="inlineStr">
        <is>
          <t>MORA</t>
        </is>
      </c>
      <c r="F564" t="inlineStr">
        <is>
          <t>Allmännings- och besparingsskogar</t>
        </is>
      </c>
      <c r="G564" t="n">
        <v>1.1</v>
      </c>
      <c r="H564" t="n">
        <v>0</v>
      </c>
      <c r="I564" t="n">
        <v>0</v>
      </c>
      <c r="J564" t="n">
        <v>0</v>
      </c>
      <c r="K564" t="n">
        <v>0</v>
      </c>
      <c r="L564" t="n">
        <v>0</v>
      </c>
      <c r="M564" t="n">
        <v>0</v>
      </c>
      <c r="N564" t="n">
        <v>0</v>
      </c>
      <c r="O564" t="n">
        <v>0</v>
      </c>
      <c r="P564" t="n">
        <v>0</v>
      </c>
      <c r="Q564" t="n">
        <v>0</v>
      </c>
      <c r="R564" s="2" t="inlineStr"/>
    </row>
    <row r="565" ht="15" customHeight="1">
      <c r="A565" t="inlineStr">
        <is>
          <t>A 40949-2023</t>
        </is>
      </c>
      <c r="B565" s="1" t="n">
        <v>45173</v>
      </c>
      <c r="C565" s="1" t="n">
        <v>46116</v>
      </c>
      <c r="D565" t="inlineStr">
        <is>
          <t>DALARNAS LÄN</t>
        </is>
      </c>
      <c r="E565" t="inlineStr">
        <is>
          <t>MORA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10181-2026</t>
        </is>
      </c>
      <c r="B566" s="1" t="n">
        <v>46076</v>
      </c>
      <c r="C566" s="1" t="n">
        <v>46116</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5216-2025</t>
        </is>
      </c>
      <c r="B567" s="1" t="n">
        <v>45691.69671296296</v>
      </c>
      <c r="C567" s="1" t="n">
        <v>46116</v>
      </c>
      <c r="D567" t="inlineStr">
        <is>
          <t>DALARNAS LÄN</t>
        </is>
      </c>
      <c r="E567" t="inlineStr">
        <is>
          <t>MORA</t>
        </is>
      </c>
      <c r="G567" t="n">
        <v>2.5</v>
      </c>
      <c r="H567" t="n">
        <v>0</v>
      </c>
      <c r="I567" t="n">
        <v>0</v>
      </c>
      <c r="J567" t="n">
        <v>0</v>
      </c>
      <c r="K567" t="n">
        <v>0</v>
      </c>
      <c r="L567" t="n">
        <v>0</v>
      </c>
      <c r="M567" t="n">
        <v>0</v>
      </c>
      <c r="N567" t="n">
        <v>0</v>
      </c>
      <c r="O567" t="n">
        <v>0</v>
      </c>
      <c r="P567" t="n">
        <v>0</v>
      </c>
      <c r="Q567" t="n">
        <v>0</v>
      </c>
      <c r="R567" s="2" t="inlineStr"/>
    </row>
    <row r="568" ht="15" customHeight="1">
      <c r="A568" t="inlineStr">
        <is>
          <t>A 3260-2026</t>
        </is>
      </c>
      <c r="B568" s="1" t="n">
        <v>46041</v>
      </c>
      <c r="C568" s="1" t="n">
        <v>46116</v>
      </c>
      <c r="D568" t="inlineStr">
        <is>
          <t>DALARNAS LÄN</t>
        </is>
      </c>
      <c r="E568" t="inlineStr">
        <is>
          <t>MORA</t>
        </is>
      </c>
      <c r="G568" t="n">
        <v>27.1</v>
      </c>
      <c r="H568" t="n">
        <v>0</v>
      </c>
      <c r="I568" t="n">
        <v>0</v>
      </c>
      <c r="J568" t="n">
        <v>0</v>
      </c>
      <c r="K568" t="n">
        <v>0</v>
      </c>
      <c r="L568" t="n">
        <v>0</v>
      </c>
      <c r="M568" t="n">
        <v>0</v>
      </c>
      <c r="N568" t="n">
        <v>0</v>
      </c>
      <c r="O568" t="n">
        <v>0</v>
      </c>
      <c r="P568" t="n">
        <v>0</v>
      </c>
      <c r="Q568" t="n">
        <v>0</v>
      </c>
      <c r="R568" s="2" t="inlineStr"/>
    </row>
    <row r="569" ht="15" customHeight="1">
      <c r="A569" t="inlineStr">
        <is>
          <t>A 3247-2026</t>
        </is>
      </c>
      <c r="B569" s="1" t="n">
        <v>46041</v>
      </c>
      <c r="C569" s="1" t="n">
        <v>46116</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2995-2026</t>
        </is>
      </c>
      <c r="B570" s="1" t="n">
        <v>46038</v>
      </c>
      <c r="C570" s="1" t="n">
        <v>46116</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2786-2026</t>
        </is>
      </c>
      <c r="B571" s="1" t="n">
        <v>46038.39023148148</v>
      </c>
      <c r="C571" s="1" t="n">
        <v>46116</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3145-2026</t>
        </is>
      </c>
      <c r="B572" s="1" t="n">
        <v>46041.41971064815</v>
      </c>
      <c r="C572" s="1" t="n">
        <v>46116</v>
      </c>
      <c r="D572" t="inlineStr">
        <is>
          <t>DALARNAS LÄN</t>
        </is>
      </c>
      <c r="E572" t="inlineStr">
        <is>
          <t>MORA</t>
        </is>
      </c>
      <c r="G572" t="n">
        <v>4.3</v>
      </c>
      <c r="H572" t="n">
        <v>0</v>
      </c>
      <c r="I572" t="n">
        <v>0</v>
      </c>
      <c r="J572" t="n">
        <v>0</v>
      </c>
      <c r="K572" t="n">
        <v>0</v>
      </c>
      <c r="L572" t="n">
        <v>0</v>
      </c>
      <c r="M572" t="n">
        <v>0</v>
      </c>
      <c r="N572" t="n">
        <v>0</v>
      </c>
      <c r="O572" t="n">
        <v>0</v>
      </c>
      <c r="P572" t="n">
        <v>0</v>
      </c>
      <c r="Q572" t="n">
        <v>0</v>
      </c>
      <c r="R572" s="2" t="inlineStr"/>
    </row>
    <row r="573" ht="15" customHeight="1">
      <c r="A573" t="inlineStr">
        <is>
          <t>A 45674-2024</t>
        </is>
      </c>
      <c r="B573" s="1" t="n">
        <v>45573</v>
      </c>
      <c r="C573" s="1" t="n">
        <v>46116</v>
      </c>
      <c r="D573" t="inlineStr">
        <is>
          <t>DALARNAS LÄN</t>
        </is>
      </c>
      <c r="E573" t="inlineStr">
        <is>
          <t>MORA</t>
        </is>
      </c>
      <c r="G573" t="n">
        <v>3.2</v>
      </c>
      <c r="H573" t="n">
        <v>0</v>
      </c>
      <c r="I573" t="n">
        <v>0</v>
      </c>
      <c r="J573" t="n">
        <v>0</v>
      </c>
      <c r="K573" t="n">
        <v>0</v>
      </c>
      <c r="L573" t="n">
        <v>0</v>
      </c>
      <c r="M573" t="n">
        <v>0</v>
      </c>
      <c r="N573" t="n">
        <v>0</v>
      </c>
      <c r="O573" t="n">
        <v>0</v>
      </c>
      <c r="P573" t="n">
        <v>0</v>
      </c>
      <c r="Q573" t="n">
        <v>0</v>
      </c>
      <c r="R573" s="2" t="inlineStr"/>
    </row>
    <row r="574" ht="15" customHeight="1">
      <c r="A574" t="inlineStr">
        <is>
          <t>A 3149-2026</t>
        </is>
      </c>
      <c r="B574" s="1" t="n">
        <v>46041.42416666666</v>
      </c>
      <c r="C574" s="1" t="n">
        <v>46116</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3854-2026</t>
        </is>
      </c>
      <c r="B575" s="1" t="n">
        <v>46043</v>
      </c>
      <c r="C575" s="1" t="n">
        <v>46116</v>
      </c>
      <c r="D575" t="inlineStr">
        <is>
          <t>DALARNAS LÄN</t>
        </is>
      </c>
      <c r="E575" t="inlineStr">
        <is>
          <t>MORA</t>
        </is>
      </c>
      <c r="G575" t="n">
        <v>1</v>
      </c>
      <c r="H575" t="n">
        <v>0</v>
      </c>
      <c r="I575" t="n">
        <v>0</v>
      </c>
      <c r="J575" t="n">
        <v>0</v>
      </c>
      <c r="K575" t="n">
        <v>0</v>
      </c>
      <c r="L575" t="n">
        <v>0</v>
      </c>
      <c r="M575" t="n">
        <v>0</v>
      </c>
      <c r="N575" t="n">
        <v>0</v>
      </c>
      <c r="O575" t="n">
        <v>0</v>
      </c>
      <c r="P575" t="n">
        <v>0</v>
      </c>
      <c r="Q575" t="n">
        <v>0</v>
      </c>
      <c r="R575" s="2" t="inlineStr"/>
    </row>
    <row r="576" ht="15" customHeight="1">
      <c r="A576" t="inlineStr">
        <is>
          <t>A 11819-2026</t>
        </is>
      </c>
      <c r="B576" s="1" t="n">
        <v>46085.38835648148</v>
      </c>
      <c r="C576" s="1" t="n">
        <v>46116</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3440-2026</t>
        </is>
      </c>
      <c r="B577" s="1" t="n">
        <v>46042.475625</v>
      </c>
      <c r="C577" s="1" t="n">
        <v>46116</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11875-2026</t>
        </is>
      </c>
      <c r="B578" s="1" t="n">
        <v>46085</v>
      </c>
      <c r="C578" s="1" t="n">
        <v>46116</v>
      </c>
      <c r="D578" t="inlineStr">
        <is>
          <t>DALARNAS LÄN</t>
        </is>
      </c>
      <c r="E578" t="inlineStr">
        <is>
          <t>MORA</t>
        </is>
      </c>
      <c r="G578" t="n">
        <v>3.7</v>
      </c>
      <c r="H578" t="n">
        <v>0</v>
      </c>
      <c r="I578" t="n">
        <v>0</v>
      </c>
      <c r="J578" t="n">
        <v>0</v>
      </c>
      <c r="K578" t="n">
        <v>0</v>
      </c>
      <c r="L578" t="n">
        <v>0</v>
      </c>
      <c r="M578" t="n">
        <v>0</v>
      </c>
      <c r="N578" t="n">
        <v>0</v>
      </c>
      <c r="O578" t="n">
        <v>0</v>
      </c>
      <c r="P578" t="n">
        <v>0</v>
      </c>
      <c r="Q578" t="n">
        <v>0</v>
      </c>
      <c r="R578" s="2" t="inlineStr"/>
    </row>
    <row r="579" ht="15" customHeight="1">
      <c r="A579" t="inlineStr">
        <is>
          <t>A 3876-2026</t>
        </is>
      </c>
      <c r="B579" s="1" t="n">
        <v>46043.64811342592</v>
      </c>
      <c r="C579" s="1" t="n">
        <v>46116</v>
      </c>
      <c r="D579" t="inlineStr">
        <is>
          <t>DALARNAS LÄN</t>
        </is>
      </c>
      <c r="E579" t="inlineStr">
        <is>
          <t>MORA</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18139-2025</t>
        </is>
      </c>
      <c r="B580" s="1" t="n">
        <v>45761.60459490741</v>
      </c>
      <c r="C580" s="1" t="n">
        <v>46116</v>
      </c>
      <c r="D580" t="inlineStr">
        <is>
          <t>DALARNAS LÄN</t>
        </is>
      </c>
      <c r="E580" t="inlineStr">
        <is>
          <t>MORA</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57999-2023</t>
        </is>
      </c>
      <c r="B581" s="1" t="n">
        <v>45247</v>
      </c>
      <c r="C581" s="1" t="n">
        <v>46116</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11705-2026</t>
        </is>
      </c>
      <c r="B582" s="1" t="n">
        <v>46084.61635416667</v>
      </c>
      <c r="C582" s="1" t="n">
        <v>46116</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24335-2022</t>
        </is>
      </c>
      <c r="B583" s="1" t="n">
        <v>44725</v>
      </c>
      <c r="C583" s="1" t="n">
        <v>46116</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3669-2026</t>
        </is>
      </c>
      <c r="B584" s="1" t="n">
        <v>46043.41603009259</v>
      </c>
      <c r="C584" s="1" t="n">
        <v>46116</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11716-2026</t>
        </is>
      </c>
      <c r="B585" s="1" t="n">
        <v>46084.62465277778</v>
      </c>
      <c r="C585" s="1" t="n">
        <v>46116</v>
      </c>
      <c r="D585" t="inlineStr">
        <is>
          <t>DALARNAS LÄN</t>
        </is>
      </c>
      <c r="E585" t="inlineStr">
        <is>
          <t>MORA</t>
        </is>
      </c>
      <c r="G585" t="n">
        <v>1.8</v>
      </c>
      <c r="H585" t="n">
        <v>0</v>
      </c>
      <c r="I585" t="n">
        <v>0</v>
      </c>
      <c r="J585" t="n">
        <v>0</v>
      </c>
      <c r="K585" t="n">
        <v>0</v>
      </c>
      <c r="L585" t="n">
        <v>0</v>
      </c>
      <c r="M585" t="n">
        <v>0</v>
      </c>
      <c r="N585" t="n">
        <v>0</v>
      </c>
      <c r="O585" t="n">
        <v>0</v>
      </c>
      <c r="P585" t="n">
        <v>0</v>
      </c>
      <c r="Q585" t="n">
        <v>0</v>
      </c>
      <c r="R585" s="2" t="inlineStr"/>
    </row>
    <row r="586" ht="15" customHeight="1">
      <c r="A586" t="inlineStr">
        <is>
          <t>A 55120-2024</t>
        </is>
      </c>
      <c r="B586" s="1" t="n">
        <v>45621.45765046297</v>
      </c>
      <c r="C586" s="1" t="n">
        <v>46116</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34660-2021</t>
        </is>
      </c>
      <c r="B587" s="1" t="n">
        <v>44382.57981481482</v>
      </c>
      <c r="C587" s="1" t="n">
        <v>46116</v>
      </c>
      <c r="D587" t="inlineStr">
        <is>
          <t>DALARNAS LÄN</t>
        </is>
      </c>
      <c r="E587" t="inlineStr">
        <is>
          <t>MORA</t>
        </is>
      </c>
      <c r="G587" t="n">
        <v>7.5</v>
      </c>
      <c r="H587" t="n">
        <v>0</v>
      </c>
      <c r="I587" t="n">
        <v>0</v>
      </c>
      <c r="J587" t="n">
        <v>0</v>
      </c>
      <c r="K587" t="n">
        <v>0</v>
      </c>
      <c r="L587" t="n">
        <v>0</v>
      </c>
      <c r="M587" t="n">
        <v>0</v>
      </c>
      <c r="N587" t="n">
        <v>0</v>
      </c>
      <c r="O587" t="n">
        <v>0</v>
      </c>
      <c r="P587" t="n">
        <v>0</v>
      </c>
      <c r="Q587" t="n">
        <v>0</v>
      </c>
      <c r="R587" s="2" t="inlineStr"/>
    </row>
    <row r="588" ht="15" customHeight="1">
      <c r="A588" t="inlineStr">
        <is>
          <t>A 3742-2026</t>
        </is>
      </c>
      <c r="B588" s="1" t="n">
        <v>46043</v>
      </c>
      <c r="C588" s="1" t="n">
        <v>46116</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4155-2026</t>
        </is>
      </c>
      <c r="B589" s="1" t="n">
        <v>46044.6533449074</v>
      </c>
      <c r="C589" s="1" t="n">
        <v>46116</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42934-2024</t>
        </is>
      </c>
      <c r="B590" s="1" t="n">
        <v>45567.33655092592</v>
      </c>
      <c r="C590" s="1" t="n">
        <v>46116</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17516-2024</t>
        </is>
      </c>
      <c r="B591" s="1" t="n">
        <v>45415.58502314815</v>
      </c>
      <c r="C591" s="1" t="n">
        <v>46116</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49159-2023</t>
        </is>
      </c>
      <c r="B592" s="1" t="n">
        <v>45210</v>
      </c>
      <c r="C592" s="1" t="n">
        <v>46116</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29188-2023</t>
        </is>
      </c>
      <c r="B593" s="1" t="n">
        <v>45105.54270833333</v>
      </c>
      <c r="C593" s="1" t="n">
        <v>46116</v>
      </c>
      <c r="D593" t="inlineStr">
        <is>
          <t>DALARNAS LÄN</t>
        </is>
      </c>
      <c r="E593" t="inlineStr">
        <is>
          <t>MORA</t>
        </is>
      </c>
      <c r="G593" t="n">
        <v>0.8</v>
      </c>
      <c r="H593" t="n">
        <v>0</v>
      </c>
      <c r="I593" t="n">
        <v>0</v>
      </c>
      <c r="J593" t="n">
        <v>0</v>
      </c>
      <c r="K593" t="n">
        <v>0</v>
      </c>
      <c r="L593" t="n">
        <v>0</v>
      </c>
      <c r="M593" t="n">
        <v>0</v>
      </c>
      <c r="N593" t="n">
        <v>0</v>
      </c>
      <c r="O593" t="n">
        <v>0</v>
      </c>
      <c r="P593" t="n">
        <v>0</v>
      </c>
      <c r="Q593" t="n">
        <v>0</v>
      </c>
      <c r="R593" s="2" t="inlineStr"/>
    </row>
    <row r="594" ht="15" customHeight="1">
      <c r="A594" t="inlineStr">
        <is>
          <t>A 26314-2021</t>
        </is>
      </c>
      <c r="B594" s="1" t="n">
        <v>44347</v>
      </c>
      <c r="C594" s="1" t="n">
        <v>46116</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30985-2024</t>
        </is>
      </c>
      <c r="B595" s="1" t="n">
        <v>45499.51721064815</v>
      </c>
      <c r="C595" s="1" t="n">
        <v>46116</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4213-2026</t>
        </is>
      </c>
      <c r="B596" s="1" t="n">
        <v>46044.741875</v>
      </c>
      <c r="C596" s="1" t="n">
        <v>46116</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12610-2026</t>
        </is>
      </c>
      <c r="B597" s="1" t="n">
        <v>46091.38306712963</v>
      </c>
      <c r="C597" s="1" t="n">
        <v>46116</v>
      </c>
      <c r="D597" t="inlineStr">
        <is>
          <t>DALARNAS LÄN</t>
        </is>
      </c>
      <c r="E597" t="inlineStr">
        <is>
          <t>MORA</t>
        </is>
      </c>
      <c r="G597" t="n">
        <v>8.1</v>
      </c>
      <c r="H597" t="n">
        <v>0</v>
      </c>
      <c r="I597" t="n">
        <v>0</v>
      </c>
      <c r="J597" t="n">
        <v>0</v>
      </c>
      <c r="K597" t="n">
        <v>0</v>
      </c>
      <c r="L597" t="n">
        <v>0</v>
      </c>
      <c r="M597" t="n">
        <v>0</v>
      </c>
      <c r="N597" t="n">
        <v>0</v>
      </c>
      <c r="O597" t="n">
        <v>0</v>
      </c>
      <c r="P597" t="n">
        <v>0</v>
      </c>
      <c r="Q597" t="n">
        <v>0</v>
      </c>
      <c r="R597" s="2" t="inlineStr"/>
    </row>
    <row r="598" ht="15" customHeight="1">
      <c r="A598" t="inlineStr">
        <is>
          <t>A 18202-2024</t>
        </is>
      </c>
      <c r="B598" s="1" t="n">
        <v>45420.68172453704</v>
      </c>
      <c r="C598" s="1" t="n">
        <v>46116</v>
      </c>
      <c r="D598" t="inlineStr">
        <is>
          <t>DALARNAS LÄN</t>
        </is>
      </c>
      <c r="E598" t="inlineStr">
        <is>
          <t>MORA</t>
        </is>
      </c>
      <c r="G598" t="n">
        <v>2</v>
      </c>
      <c r="H598" t="n">
        <v>0</v>
      </c>
      <c r="I598" t="n">
        <v>0</v>
      </c>
      <c r="J598" t="n">
        <v>0</v>
      </c>
      <c r="K598" t="n">
        <v>0</v>
      </c>
      <c r="L598" t="n">
        <v>0</v>
      </c>
      <c r="M598" t="n">
        <v>0</v>
      </c>
      <c r="N598" t="n">
        <v>0</v>
      </c>
      <c r="O598" t="n">
        <v>0</v>
      </c>
      <c r="P598" t="n">
        <v>0</v>
      </c>
      <c r="Q598" t="n">
        <v>0</v>
      </c>
      <c r="R598" s="2" t="inlineStr"/>
    </row>
    <row r="599" ht="15" customHeight="1">
      <c r="A599" t="inlineStr">
        <is>
          <t>A 40286-2024</t>
        </is>
      </c>
      <c r="B599" s="1" t="n">
        <v>45554.6687037037</v>
      </c>
      <c r="C599" s="1" t="n">
        <v>46116</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45174.34662037037</v>
      </c>
      <c r="C600" s="1" t="n">
        <v>46116</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4752-2026</t>
        </is>
      </c>
      <c r="B601" s="1" t="n">
        <v>46048</v>
      </c>
      <c r="C601" s="1" t="n">
        <v>46116</v>
      </c>
      <c r="D601" t="inlineStr">
        <is>
          <t>DALARNAS LÄN</t>
        </is>
      </c>
      <c r="E601" t="inlineStr">
        <is>
          <t>MORA</t>
        </is>
      </c>
      <c r="G601" t="n">
        <v>1.7</v>
      </c>
      <c r="H601" t="n">
        <v>0</v>
      </c>
      <c r="I601" t="n">
        <v>0</v>
      </c>
      <c r="J601" t="n">
        <v>0</v>
      </c>
      <c r="K601" t="n">
        <v>0</v>
      </c>
      <c r="L601" t="n">
        <v>0</v>
      </c>
      <c r="M601" t="n">
        <v>0</v>
      </c>
      <c r="N601" t="n">
        <v>0</v>
      </c>
      <c r="O601" t="n">
        <v>0</v>
      </c>
      <c r="P601" t="n">
        <v>0</v>
      </c>
      <c r="Q601" t="n">
        <v>0</v>
      </c>
      <c r="R601" s="2" t="inlineStr"/>
    </row>
    <row r="602" ht="15" customHeight="1">
      <c r="A602" t="inlineStr">
        <is>
          <t>A 4906-2026</t>
        </is>
      </c>
      <c r="B602" s="1" t="n">
        <v>46048.70013888889</v>
      </c>
      <c r="C602" s="1" t="n">
        <v>46116</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43826-2022</t>
        </is>
      </c>
      <c r="B603" s="1" t="n">
        <v>44838</v>
      </c>
      <c r="C603" s="1" t="n">
        <v>46116</v>
      </c>
      <c r="D603" t="inlineStr">
        <is>
          <t>DALARNAS LÄN</t>
        </is>
      </c>
      <c r="E603" t="inlineStr">
        <is>
          <t>MORA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5116-2026</t>
        </is>
      </c>
      <c r="B604" s="1" t="n">
        <v>46049.57591435185</v>
      </c>
      <c r="C604" s="1" t="n">
        <v>46116</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4744-2026</t>
        </is>
      </c>
      <c r="B605" s="1" t="n">
        <v>46048</v>
      </c>
      <c r="C605" s="1" t="n">
        <v>46116</v>
      </c>
      <c r="D605" t="inlineStr">
        <is>
          <t>DALARNAS LÄN</t>
        </is>
      </c>
      <c r="E605" t="inlineStr">
        <is>
          <t>MORA</t>
        </is>
      </c>
      <c r="G605" t="n">
        <v>15.8</v>
      </c>
      <c r="H605" t="n">
        <v>0</v>
      </c>
      <c r="I605" t="n">
        <v>0</v>
      </c>
      <c r="J605" t="n">
        <v>0</v>
      </c>
      <c r="K605" t="n">
        <v>0</v>
      </c>
      <c r="L605" t="n">
        <v>0</v>
      </c>
      <c r="M605" t="n">
        <v>0</v>
      </c>
      <c r="N605" t="n">
        <v>0</v>
      </c>
      <c r="O605" t="n">
        <v>0</v>
      </c>
      <c r="P605" t="n">
        <v>0</v>
      </c>
      <c r="Q605" t="n">
        <v>0</v>
      </c>
      <c r="R605" s="2" t="inlineStr"/>
    </row>
    <row r="606" ht="15" customHeight="1">
      <c r="A606" t="inlineStr">
        <is>
          <t>A 44106-2023</t>
        </is>
      </c>
      <c r="B606" s="1" t="n">
        <v>45188</v>
      </c>
      <c r="C606" s="1" t="n">
        <v>46116</v>
      </c>
      <c r="D606" t="inlineStr">
        <is>
          <t>DALARNAS LÄN</t>
        </is>
      </c>
      <c r="E606" t="inlineStr">
        <is>
          <t>MORA</t>
        </is>
      </c>
      <c r="G606" t="n">
        <v>10.1</v>
      </c>
      <c r="H606" t="n">
        <v>0</v>
      </c>
      <c r="I606" t="n">
        <v>0</v>
      </c>
      <c r="J606" t="n">
        <v>0</v>
      </c>
      <c r="K606" t="n">
        <v>0</v>
      </c>
      <c r="L606" t="n">
        <v>0</v>
      </c>
      <c r="M606" t="n">
        <v>0</v>
      </c>
      <c r="N606" t="n">
        <v>0</v>
      </c>
      <c r="O606" t="n">
        <v>0</v>
      </c>
      <c r="P606" t="n">
        <v>0</v>
      </c>
      <c r="Q606" t="n">
        <v>0</v>
      </c>
      <c r="R606" s="2" t="inlineStr"/>
    </row>
    <row r="607" ht="15" customHeight="1">
      <c r="A607" t="inlineStr">
        <is>
          <t>A 59002-2024</t>
        </is>
      </c>
      <c r="B607" s="1" t="n">
        <v>45636</v>
      </c>
      <c r="C607" s="1" t="n">
        <v>46116</v>
      </c>
      <c r="D607" t="inlineStr">
        <is>
          <t>DALARNAS LÄN</t>
        </is>
      </c>
      <c r="E607" t="inlineStr">
        <is>
          <t>MORA</t>
        </is>
      </c>
      <c r="F607" t="inlineStr">
        <is>
          <t>Bergvik skog väst AB</t>
        </is>
      </c>
      <c r="G607" t="n">
        <v>24.8</v>
      </c>
      <c r="H607" t="n">
        <v>0</v>
      </c>
      <c r="I607" t="n">
        <v>0</v>
      </c>
      <c r="J607" t="n">
        <v>0</v>
      </c>
      <c r="K607" t="n">
        <v>0</v>
      </c>
      <c r="L607" t="n">
        <v>0</v>
      </c>
      <c r="M607" t="n">
        <v>0</v>
      </c>
      <c r="N607" t="n">
        <v>0</v>
      </c>
      <c r="O607" t="n">
        <v>0</v>
      </c>
      <c r="P607" t="n">
        <v>0</v>
      </c>
      <c r="Q607" t="n">
        <v>0</v>
      </c>
      <c r="R607" s="2" t="inlineStr"/>
    </row>
    <row r="608" ht="15" customHeight="1">
      <c r="A608" t="inlineStr">
        <is>
          <t>A 5980-2025</t>
        </is>
      </c>
      <c r="B608" s="1" t="n">
        <v>45695.54651620371</v>
      </c>
      <c r="C608" s="1" t="n">
        <v>46116</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5803-2026</t>
        </is>
      </c>
      <c r="B609" s="1" t="n">
        <v>46051</v>
      </c>
      <c r="C609" s="1" t="n">
        <v>46116</v>
      </c>
      <c r="D609" t="inlineStr">
        <is>
          <t>DALARNAS LÄN</t>
        </is>
      </c>
      <c r="E609" t="inlineStr">
        <is>
          <t>MORA</t>
        </is>
      </c>
      <c r="G609" t="n">
        <v>0.8</v>
      </c>
      <c r="H609" t="n">
        <v>0</v>
      </c>
      <c r="I609" t="n">
        <v>0</v>
      </c>
      <c r="J609" t="n">
        <v>0</v>
      </c>
      <c r="K609" t="n">
        <v>0</v>
      </c>
      <c r="L609" t="n">
        <v>0</v>
      </c>
      <c r="M609" t="n">
        <v>0</v>
      </c>
      <c r="N609" t="n">
        <v>0</v>
      </c>
      <c r="O609" t="n">
        <v>0</v>
      </c>
      <c r="P609" t="n">
        <v>0</v>
      </c>
      <c r="Q609" t="n">
        <v>0</v>
      </c>
      <c r="R609" s="2" t="inlineStr"/>
    </row>
    <row r="610" ht="15" customHeight="1">
      <c r="A610" t="inlineStr">
        <is>
          <t>A 5473-2026</t>
        </is>
      </c>
      <c r="B610" s="1" t="n">
        <v>46050</v>
      </c>
      <c r="C610" s="1" t="n">
        <v>46116</v>
      </c>
      <c r="D610" t="inlineStr">
        <is>
          <t>DALARNAS LÄN</t>
        </is>
      </c>
      <c r="E610" t="inlineStr">
        <is>
          <t>MORA</t>
        </is>
      </c>
      <c r="G610" t="n">
        <v>10.2</v>
      </c>
      <c r="H610" t="n">
        <v>0</v>
      </c>
      <c r="I610" t="n">
        <v>0</v>
      </c>
      <c r="J610" t="n">
        <v>0</v>
      </c>
      <c r="K610" t="n">
        <v>0</v>
      </c>
      <c r="L610" t="n">
        <v>0</v>
      </c>
      <c r="M610" t="n">
        <v>0</v>
      </c>
      <c r="N610" t="n">
        <v>0</v>
      </c>
      <c r="O610" t="n">
        <v>0</v>
      </c>
      <c r="P610" t="n">
        <v>0</v>
      </c>
      <c r="Q610" t="n">
        <v>0</v>
      </c>
      <c r="R610" s="2" t="inlineStr"/>
    </row>
    <row r="611" ht="15" customHeight="1">
      <c r="A611" t="inlineStr">
        <is>
          <t>A 12527-2026</t>
        </is>
      </c>
      <c r="B611" s="1" t="n">
        <v>46090</v>
      </c>
      <c r="C611" s="1" t="n">
        <v>46116</v>
      </c>
      <c r="D611" t="inlineStr">
        <is>
          <t>DALARNAS LÄN</t>
        </is>
      </c>
      <c r="E611" t="inlineStr">
        <is>
          <t>MORA</t>
        </is>
      </c>
      <c r="G611" t="n">
        <v>17.5</v>
      </c>
      <c r="H611" t="n">
        <v>0</v>
      </c>
      <c r="I611" t="n">
        <v>0</v>
      </c>
      <c r="J611" t="n">
        <v>0</v>
      </c>
      <c r="K611" t="n">
        <v>0</v>
      </c>
      <c r="L611" t="n">
        <v>0</v>
      </c>
      <c r="M611" t="n">
        <v>0</v>
      </c>
      <c r="N611" t="n">
        <v>0</v>
      </c>
      <c r="O611" t="n">
        <v>0</v>
      </c>
      <c r="P611" t="n">
        <v>0</v>
      </c>
      <c r="Q611" t="n">
        <v>0</v>
      </c>
      <c r="R611" s="2" t="inlineStr"/>
    </row>
    <row r="612" ht="15" customHeight="1">
      <c r="A612" t="inlineStr">
        <is>
          <t>A 5709-2026</t>
        </is>
      </c>
      <c r="B612" s="1" t="n">
        <v>46051</v>
      </c>
      <c r="C612" s="1" t="n">
        <v>46116</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1174-2026</t>
        </is>
      </c>
      <c r="B613" s="1" t="n">
        <v>46031</v>
      </c>
      <c r="C613" s="1" t="n">
        <v>46116</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13476-2026</t>
        </is>
      </c>
      <c r="B614" s="1" t="n">
        <v>46094.57229166666</v>
      </c>
      <c r="C614" s="1" t="n">
        <v>46116</v>
      </c>
      <c r="D614" t="inlineStr">
        <is>
          <t>DALARNAS LÄN</t>
        </is>
      </c>
      <c r="E614" t="inlineStr">
        <is>
          <t>MORA</t>
        </is>
      </c>
      <c r="F614" t="inlineStr">
        <is>
          <t>Bergvik skog öst AB</t>
        </is>
      </c>
      <c r="G614" t="n">
        <v>11.5</v>
      </c>
      <c r="H614" t="n">
        <v>0</v>
      </c>
      <c r="I614" t="n">
        <v>0</v>
      </c>
      <c r="J614" t="n">
        <v>0</v>
      </c>
      <c r="K614" t="n">
        <v>0</v>
      </c>
      <c r="L614" t="n">
        <v>0</v>
      </c>
      <c r="M614" t="n">
        <v>0</v>
      </c>
      <c r="N614" t="n">
        <v>0</v>
      </c>
      <c r="O614" t="n">
        <v>0</v>
      </c>
      <c r="P614" t="n">
        <v>0</v>
      </c>
      <c r="Q614" t="n">
        <v>0</v>
      </c>
      <c r="R614" s="2" t="inlineStr"/>
    </row>
    <row r="615" ht="15" customHeight="1">
      <c r="A615" t="inlineStr">
        <is>
          <t>A 13483-2026</t>
        </is>
      </c>
      <c r="B615" s="1" t="n">
        <v>46094</v>
      </c>
      <c r="C615" s="1" t="n">
        <v>46116</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5527-2024</t>
        </is>
      </c>
      <c r="B616" s="1" t="n">
        <v>45334.38981481481</v>
      </c>
      <c r="C616" s="1" t="n">
        <v>46116</v>
      </c>
      <c r="D616" t="inlineStr">
        <is>
          <t>DALARNAS LÄN</t>
        </is>
      </c>
      <c r="E616" t="inlineStr">
        <is>
          <t>MORA</t>
        </is>
      </c>
      <c r="G616" t="n">
        <v>1</v>
      </c>
      <c r="H616" t="n">
        <v>0</v>
      </c>
      <c r="I616" t="n">
        <v>0</v>
      </c>
      <c r="J616" t="n">
        <v>0</v>
      </c>
      <c r="K616" t="n">
        <v>0</v>
      </c>
      <c r="L616" t="n">
        <v>0</v>
      </c>
      <c r="M616" t="n">
        <v>0</v>
      </c>
      <c r="N616" t="n">
        <v>0</v>
      </c>
      <c r="O616" t="n">
        <v>0</v>
      </c>
      <c r="P616" t="n">
        <v>0</v>
      </c>
      <c r="Q616" t="n">
        <v>0</v>
      </c>
      <c r="R616" s="2" t="inlineStr"/>
    </row>
    <row r="617" ht="15" customHeight="1">
      <c r="A617" t="inlineStr">
        <is>
          <t>A 11176-2026</t>
        </is>
      </c>
      <c r="B617" s="1" t="n">
        <v>46080</v>
      </c>
      <c r="C617" s="1" t="n">
        <v>46116</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39856-2024</t>
        </is>
      </c>
      <c r="B618" s="1" t="n">
        <v>45553.44084490741</v>
      </c>
      <c r="C618" s="1" t="n">
        <v>46116</v>
      </c>
      <c r="D618" t="inlineStr">
        <is>
          <t>DALARNAS LÄN</t>
        </is>
      </c>
      <c r="E618" t="inlineStr">
        <is>
          <t>MORA</t>
        </is>
      </c>
      <c r="G618" t="n">
        <v>4.8</v>
      </c>
      <c r="H618" t="n">
        <v>0</v>
      </c>
      <c r="I618" t="n">
        <v>0</v>
      </c>
      <c r="J618" t="n">
        <v>0</v>
      </c>
      <c r="K618" t="n">
        <v>0</v>
      </c>
      <c r="L618" t="n">
        <v>0</v>
      </c>
      <c r="M618" t="n">
        <v>0</v>
      </c>
      <c r="N618" t="n">
        <v>0</v>
      </c>
      <c r="O618" t="n">
        <v>0</v>
      </c>
      <c r="P618" t="n">
        <v>0</v>
      </c>
      <c r="Q618" t="n">
        <v>0</v>
      </c>
      <c r="R618" s="2" t="inlineStr"/>
    </row>
    <row r="619" ht="15" customHeight="1">
      <c r="A619" t="inlineStr">
        <is>
          <t>A 52288-2024</t>
        </is>
      </c>
      <c r="B619" s="1" t="n">
        <v>45608.69395833334</v>
      </c>
      <c r="C619" s="1" t="n">
        <v>46116</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43879-2022</t>
        </is>
      </c>
      <c r="B620" s="1" t="n">
        <v>44838.46721064814</v>
      </c>
      <c r="C620" s="1" t="n">
        <v>46116</v>
      </c>
      <c r="D620" t="inlineStr">
        <is>
          <t>DALARNAS LÄN</t>
        </is>
      </c>
      <c r="E620" t="inlineStr">
        <is>
          <t>MORA</t>
        </is>
      </c>
      <c r="G620" t="n">
        <v>3.4</v>
      </c>
      <c r="H620" t="n">
        <v>0</v>
      </c>
      <c r="I620" t="n">
        <v>0</v>
      </c>
      <c r="J620" t="n">
        <v>0</v>
      </c>
      <c r="K620" t="n">
        <v>0</v>
      </c>
      <c r="L620" t="n">
        <v>0</v>
      </c>
      <c r="M620" t="n">
        <v>0</v>
      </c>
      <c r="N620" t="n">
        <v>0</v>
      </c>
      <c r="O620" t="n">
        <v>0</v>
      </c>
      <c r="P620" t="n">
        <v>0</v>
      </c>
      <c r="Q620" t="n">
        <v>0</v>
      </c>
      <c r="R620" s="2" t="inlineStr"/>
    </row>
    <row r="621" ht="15" customHeight="1">
      <c r="A621" t="inlineStr">
        <is>
          <t>A 5959-2026</t>
        </is>
      </c>
      <c r="B621" s="1" t="n">
        <v>46052.50533564815</v>
      </c>
      <c r="C621" s="1" t="n">
        <v>46116</v>
      </c>
      <c r="D621" t="inlineStr">
        <is>
          <t>DALARNAS LÄN</t>
        </is>
      </c>
      <c r="E621" t="inlineStr">
        <is>
          <t>MORA</t>
        </is>
      </c>
      <c r="G621" t="n">
        <v>9.5</v>
      </c>
      <c r="H621" t="n">
        <v>0</v>
      </c>
      <c r="I621" t="n">
        <v>0</v>
      </c>
      <c r="J621" t="n">
        <v>0</v>
      </c>
      <c r="K621" t="n">
        <v>0</v>
      </c>
      <c r="L621" t="n">
        <v>0</v>
      </c>
      <c r="M621" t="n">
        <v>0</v>
      </c>
      <c r="N621" t="n">
        <v>0</v>
      </c>
      <c r="O621" t="n">
        <v>0</v>
      </c>
      <c r="P621" t="n">
        <v>0</v>
      </c>
      <c r="Q621" t="n">
        <v>0</v>
      </c>
      <c r="R621" s="2" t="inlineStr"/>
    </row>
    <row r="622" ht="15" customHeight="1">
      <c r="A622" t="inlineStr">
        <is>
          <t>A 12920-2022</t>
        </is>
      </c>
      <c r="B622" s="1" t="n">
        <v>44642.65418981481</v>
      </c>
      <c r="C622" s="1" t="n">
        <v>46116</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13515-2026</t>
        </is>
      </c>
      <c r="B623" s="1" t="n">
        <v>46094.61391203704</v>
      </c>
      <c r="C623" s="1" t="n">
        <v>46116</v>
      </c>
      <c r="D623" t="inlineStr">
        <is>
          <t>DALARNAS LÄN</t>
        </is>
      </c>
      <c r="E623" t="inlineStr">
        <is>
          <t>MORA</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6182-2026</t>
        </is>
      </c>
      <c r="B624" s="1" t="n">
        <v>46055.36231481482</v>
      </c>
      <c r="C624" s="1" t="n">
        <v>46116</v>
      </c>
      <c r="D624" t="inlineStr">
        <is>
          <t>DALARNAS LÄN</t>
        </is>
      </c>
      <c r="E624" t="inlineStr">
        <is>
          <t>MORA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5836-2026</t>
        </is>
      </c>
      <c r="B625" s="1" t="n">
        <v>46052.33809027778</v>
      </c>
      <c r="C625" s="1" t="n">
        <v>46116</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13543-2026</t>
        </is>
      </c>
      <c r="B626" s="1" t="n">
        <v>46094.6853125</v>
      </c>
      <c r="C626" s="1" t="n">
        <v>46116</v>
      </c>
      <c r="D626" t="inlineStr">
        <is>
          <t>DALARNAS LÄN</t>
        </is>
      </c>
      <c r="E626" t="inlineStr">
        <is>
          <t>MORA</t>
        </is>
      </c>
      <c r="G626" t="n">
        <v>1.3</v>
      </c>
      <c r="H626" t="n">
        <v>0</v>
      </c>
      <c r="I626" t="n">
        <v>0</v>
      </c>
      <c r="J626" t="n">
        <v>0</v>
      </c>
      <c r="K626" t="n">
        <v>0</v>
      </c>
      <c r="L626" t="n">
        <v>0</v>
      </c>
      <c r="M626" t="n">
        <v>0</v>
      </c>
      <c r="N626" t="n">
        <v>0</v>
      </c>
      <c r="O626" t="n">
        <v>0</v>
      </c>
      <c r="P626" t="n">
        <v>0</v>
      </c>
      <c r="Q626" t="n">
        <v>0</v>
      </c>
      <c r="R626" s="2" t="inlineStr"/>
    </row>
    <row r="627" ht="15" customHeight="1">
      <c r="A627" t="inlineStr">
        <is>
          <t>A 17280-2025</t>
        </is>
      </c>
      <c r="B627" s="1" t="n">
        <v>45756</v>
      </c>
      <c r="C627" s="1" t="n">
        <v>46116</v>
      </c>
      <c r="D627" t="inlineStr">
        <is>
          <t>DALARNAS LÄN</t>
        </is>
      </c>
      <c r="E627" t="inlineStr">
        <is>
          <t>MORA</t>
        </is>
      </c>
      <c r="G627" t="n">
        <v>2.1</v>
      </c>
      <c r="H627" t="n">
        <v>0</v>
      </c>
      <c r="I627" t="n">
        <v>0</v>
      </c>
      <c r="J627" t="n">
        <v>0</v>
      </c>
      <c r="K627" t="n">
        <v>0</v>
      </c>
      <c r="L627" t="n">
        <v>0</v>
      </c>
      <c r="M627" t="n">
        <v>0</v>
      </c>
      <c r="N627" t="n">
        <v>0</v>
      </c>
      <c r="O627" t="n">
        <v>0</v>
      </c>
      <c r="P627" t="n">
        <v>0</v>
      </c>
      <c r="Q627" t="n">
        <v>0</v>
      </c>
      <c r="R627" s="2" t="inlineStr"/>
    </row>
    <row r="628" ht="15" customHeight="1">
      <c r="A628" t="inlineStr">
        <is>
          <t>A 12664-2026</t>
        </is>
      </c>
      <c r="B628" s="1" t="n">
        <v>46091</v>
      </c>
      <c r="C628" s="1" t="n">
        <v>46116</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11452-2026</t>
        </is>
      </c>
      <c r="B629" s="1" t="n">
        <v>46083</v>
      </c>
      <c r="C629" s="1" t="n">
        <v>46116</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6967-2026</t>
        </is>
      </c>
      <c r="B630" s="1" t="n">
        <v>46057.58777777778</v>
      </c>
      <c r="C630" s="1" t="n">
        <v>46116</v>
      </c>
      <c r="D630" t="inlineStr">
        <is>
          <t>DALARNAS LÄN</t>
        </is>
      </c>
      <c r="E630" t="inlineStr">
        <is>
          <t>MORA</t>
        </is>
      </c>
      <c r="G630" t="n">
        <v>5</v>
      </c>
      <c r="H630" t="n">
        <v>0</v>
      </c>
      <c r="I630" t="n">
        <v>0</v>
      </c>
      <c r="J630" t="n">
        <v>0</v>
      </c>
      <c r="K630" t="n">
        <v>0</v>
      </c>
      <c r="L630" t="n">
        <v>0</v>
      </c>
      <c r="M630" t="n">
        <v>0</v>
      </c>
      <c r="N630" t="n">
        <v>0</v>
      </c>
      <c r="O630" t="n">
        <v>0</v>
      </c>
      <c r="P630" t="n">
        <v>0</v>
      </c>
      <c r="Q630" t="n">
        <v>0</v>
      </c>
      <c r="R630" s="2" t="inlineStr"/>
    </row>
    <row r="631" ht="15" customHeight="1">
      <c r="A631" t="inlineStr">
        <is>
          <t>A 34282-2024</t>
        </is>
      </c>
      <c r="B631" s="1" t="n">
        <v>45524.62600694445</v>
      </c>
      <c r="C631" s="1" t="n">
        <v>46116</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6971-2026</t>
        </is>
      </c>
      <c r="B632" s="1" t="n">
        <v>46057</v>
      </c>
      <c r="C632" s="1" t="n">
        <v>46116</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13853-2026</t>
        </is>
      </c>
      <c r="B633" s="1" t="n">
        <v>46098.39268518519</v>
      </c>
      <c r="C633" s="1" t="n">
        <v>46116</v>
      </c>
      <c r="D633" t="inlineStr">
        <is>
          <t>DALARNAS LÄN</t>
        </is>
      </c>
      <c r="E633" t="inlineStr">
        <is>
          <t>MORA</t>
        </is>
      </c>
      <c r="G633" t="n">
        <v>1.4</v>
      </c>
      <c r="H633" t="n">
        <v>0</v>
      </c>
      <c r="I633" t="n">
        <v>0</v>
      </c>
      <c r="J633" t="n">
        <v>0</v>
      </c>
      <c r="K633" t="n">
        <v>0</v>
      </c>
      <c r="L633" t="n">
        <v>0</v>
      </c>
      <c r="M633" t="n">
        <v>0</v>
      </c>
      <c r="N633" t="n">
        <v>0</v>
      </c>
      <c r="O633" t="n">
        <v>0</v>
      </c>
      <c r="P633" t="n">
        <v>0</v>
      </c>
      <c r="Q633" t="n">
        <v>0</v>
      </c>
      <c r="R633" s="2" t="inlineStr"/>
    </row>
    <row r="634" ht="15" customHeight="1">
      <c r="A634" t="inlineStr">
        <is>
          <t>A 6674-2026</t>
        </is>
      </c>
      <c r="B634" s="1" t="n">
        <v>46056.60297453704</v>
      </c>
      <c r="C634" s="1" t="n">
        <v>46116</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6690-2026</t>
        </is>
      </c>
      <c r="B635" s="1" t="n">
        <v>46056.6352662037</v>
      </c>
      <c r="C635" s="1" t="n">
        <v>46116</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13902-2026</t>
        </is>
      </c>
      <c r="B636" s="1" t="n">
        <v>46098.46834490741</v>
      </c>
      <c r="C636" s="1" t="n">
        <v>46116</v>
      </c>
      <c r="D636" t="inlineStr">
        <is>
          <t>DALARNAS LÄN</t>
        </is>
      </c>
      <c r="E636" t="inlineStr">
        <is>
          <t>MORA</t>
        </is>
      </c>
      <c r="G636" t="n">
        <v>5.3</v>
      </c>
      <c r="H636" t="n">
        <v>0</v>
      </c>
      <c r="I636" t="n">
        <v>0</v>
      </c>
      <c r="J636" t="n">
        <v>0</v>
      </c>
      <c r="K636" t="n">
        <v>0</v>
      </c>
      <c r="L636" t="n">
        <v>0</v>
      </c>
      <c r="M636" t="n">
        <v>0</v>
      </c>
      <c r="N636" t="n">
        <v>0</v>
      </c>
      <c r="O636" t="n">
        <v>0</v>
      </c>
      <c r="P636" t="n">
        <v>0</v>
      </c>
      <c r="Q636" t="n">
        <v>0</v>
      </c>
      <c r="R636" s="2" t="inlineStr"/>
    </row>
    <row r="637" ht="15" customHeight="1">
      <c r="A637" t="inlineStr">
        <is>
          <t>A 38055-2024</t>
        </is>
      </c>
      <c r="B637" s="1" t="n">
        <v>45544</v>
      </c>
      <c r="C637" s="1" t="n">
        <v>46116</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7116-2024</t>
        </is>
      </c>
      <c r="B638" s="1" t="n">
        <v>45343.95445601852</v>
      </c>
      <c r="C638" s="1" t="n">
        <v>46116</v>
      </c>
      <c r="D638" t="inlineStr">
        <is>
          <t>DALARNAS LÄN</t>
        </is>
      </c>
      <c r="E638" t="inlineStr">
        <is>
          <t>MORA</t>
        </is>
      </c>
      <c r="G638" t="n">
        <v>0.3</v>
      </c>
      <c r="H638" t="n">
        <v>0</v>
      </c>
      <c r="I638" t="n">
        <v>0</v>
      </c>
      <c r="J638" t="n">
        <v>0</v>
      </c>
      <c r="K638" t="n">
        <v>0</v>
      </c>
      <c r="L638" t="n">
        <v>0</v>
      </c>
      <c r="M638" t="n">
        <v>0</v>
      </c>
      <c r="N638" t="n">
        <v>0</v>
      </c>
      <c r="O638" t="n">
        <v>0</v>
      </c>
      <c r="P638" t="n">
        <v>0</v>
      </c>
      <c r="Q638" t="n">
        <v>0</v>
      </c>
      <c r="R638" s="2" t="inlineStr"/>
    </row>
    <row r="639" ht="15" customHeight="1">
      <c r="A639" t="inlineStr">
        <is>
          <t>A 22785-2023</t>
        </is>
      </c>
      <c r="B639" s="1" t="n">
        <v>45072.34796296297</v>
      </c>
      <c r="C639" s="1" t="n">
        <v>46116</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6802-2026</t>
        </is>
      </c>
      <c r="B640" s="1" t="n">
        <v>46057.35288194445</v>
      </c>
      <c r="C640" s="1" t="n">
        <v>46116</v>
      </c>
      <c r="D640" t="inlineStr">
        <is>
          <t>DALARNAS LÄN</t>
        </is>
      </c>
      <c r="E640" t="inlineStr">
        <is>
          <t>MORA</t>
        </is>
      </c>
      <c r="G640" t="n">
        <v>5.8</v>
      </c>
      <c r="H640" t="n">
        <v>0</v>
      </c>
      <c r="I640" t="n">
        <v>0</v>
      </c>
      <c r="J640" t="n">
        <v>0</v>
      </c>
      <c r="K640" t="n">
        <v>0</v>
      </c>
      <c r="L640" t="n">
        <v>0</v>
      </c>
      <c r="M640" t="n">
        <v>0</v>
      </c>
      <c r="N640" t="n">
        <v>0</v>
      </c>
      <c r="O640" t="n">
        <v>0</v>
      </c>
      <c r="P640" t="n">
        <v>0</v>
      </c>
      <c r="Q640" t="n">
        <v>0</v>
      </c>
      <c r="R640" s="2" t="inlineStr"/>
    </row>
    <row r="641" ht="15" customHeight="1">
      <c r="A641" t="inlineStr">
        <is>
          <t>A 6923-2026</t>
        </is>
      </c>
      <c r="B641" s="1" t="n">
        <v>46057.53868055555</v>
      </c>
      <c r="C641" s="1" t="n">
        <v>46116</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6892-2026</t>
        </is>
      </c>
      <c r="B642" s="1" t="n">
        <v>46057.47490740741</v>
      </c>
      <c r="C642" s="1" t="n">
        <v>46116</v>
      </c>
      <c r="D642" t="inlineStr">
        <is>
          <t>DALARNAS LÄN</t>
        </is>
      </c>
      <c r="E642" t="inlineStr">
        <is>
          <t>MORA</t>
        </is>
      </c>
      <c r="G642" t="n">
        <v>9</v>
      </c>
      <c r="H642" t="n">
        <v>0</v>
      </c>
      <c r="I642" t="n">
        <v>0</v>
      </c>
      <c r="J642" t="n">
        <v>0</v>
      </c>
      <c r="K642" t="n">
        <v>0</v>
      </c>
      <c r="L642" t="n">
        <v>0</v>
      </c>
      <c r="M642" t="n">
        <v>0</v>
      </c>
      <c r="N642" t="n">
        <v>0</v>
      </c>
      <c r="O642" t="n">
        <v>0</v>
      </c>
      <c r="P642" t="n">
        <v>0</v>
      </c>
      <c r="Q642" t="n">
        <v>0</v>
      </c>
      <c r="R642" s="2" t="inlineStr"/>
    </row>
    <row r="643" ht="15" customHeight="1">
      <c r="A643" t="inlineStr">
        <is>
          <t>A 6619-2026</t>
        </is>
      </c>
      <c r="B643" s="1" t="n">
        <v>46056.49622685185</v>
      </c>
      <c r="C643" s="1" t="n">
        <v>46116</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316-2026</t>
        </is>
      </c>
      <c r="B644" s="1" t="n">
        <v>46027</v>
      </c>
      <c r="C644" s="1" t="n">
        <v>46116</v>
      </c>
      <c r="D644" t="inlineStr">
        <is>
          <t>DALARNAS LÄN</t>
        </is>
      </c>
      <c r="E644" t="inlineStr">
        <is>
          <t>MORA</t>
        </is>
      </c>
      <c r="G644" t="n">
        <v>2.8</v>
      </c>
      <c r="H644" t="n">
        <v>0</v>
      </c>
      <c r="I644" t="n">
        <v>0</v>
      </c>
      <c r="J644" t="n">
        <v>0</v>
      </c>
      <c r="K644" t="n">
        <v>0</v>
      </c>
      <c r="L644" t="n">
        <v>0</v>
      </c>
      <c r="M644" t="n">
        <v>0</v>
      </c>
      <c r="N644" t="n">
        <v>0</v>
      </c>
      <c r="O644" t="n">
        <v>0</v>
      </c>
      <c r="P644" t="n">
        <v>0</v>
      </c>
      <c r="Q644" t="n">
        <v>0</v>
      </c>
      <c r="R644" s="2" t="inlineStr"/>
    </row>
    <row r="645" ht="15" customHeight="1">
      <c r="A645" t="inlineStr">
        <is>
          <t>A 6595-2026</t>
        </is>
      </c>
      <c r="B645" s="1" t="n">
        <v>46056</v>
      </c>
      <c r="C645" s="1" t="n">
        <v>46116</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60718-2023</t>
        </is>
      </c>
      <c r="B646" s="1" t="n">
        <v>45260.5284375</v>
      </c>
      <c r="C646" s="1" t="n">
        <v>46116</v>
      </c>
      <c r="D646" t="inlineStr">
        <is>
          <t>DALARNAS LÄN</t>
        </is>
      </c>
      <c r="E646" t="inlineStr">
        <is>
          <t>MORA</t>
        </is>
      </c>
      <c r="G646" t="n">
        <v>2.6</v>
      </c>
      <c r="H646" t="n">
        <v>0</v>
      </c>
      <c r="I646" t="n">
        <v>0</v>
      </c>
      <c r="J646" t="n">
        <v>0</v>
      </c>
      <c r="K646" t="n">
        <v>0</v>
      </c>
      <c r="L646" t="n">
        <v>0</v>
      </c>
      <c r="M646" t="n">
        <v>0</v>
      </c>
      <c r="N646" t="n">
        <v>0</v>
      </c>
      <c r="O646" t="n">
        <v>0</v>
      </c>
      <c r="P646" t="n">
        <v>0</v>
      </c>
      <c r="Q646" t="n">
        <v>0</v>
      </c>
      <c r="R646" s="2" t="inlineStr"/>
    </row>
    <row r="647" ht="15" customHeight="1">
      <c r="A647" t="inlineStr">
        <is>
          <t>A 6947-2026</t>
        </is>
      </c>
      <c r="B647" s="1" t="n">
        <v>46057.56855324074</v>
      </c>
      <c r="C647" s="1" t="n">
        <v>46116</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7972-2024</t>
        </is>
      </c>
      <c r="B648" s="1" t="n">
        <v>45350</v>
      </c>
      <c r="C648" s="1" t="n">
        <v>46116</v>
      </c>
      <c r="D648" t="inlineStr">
        <is>
          <t>DALARNAS LÄN</t>
        </is>
      </c>
      <c r="E648" t="inlineStr">
        <is>
          <t>MORA</t>
        </is>
      </c>
      <c r="G648" t="n">
        <v>2.4</v>
      </c>
      <c r="H648" t="n">
        <v>0</v>
      </c>
      <c r="I648" t="n">
        <v>0</v>
      </c>
      <c r="J648" t="n">
        <v>0</v>
      </c>
      <c r="K648" t="n">
        <v>0</v>
      </c>
      <c r="L648" t="n">
        <v>0</v>
      </c>
      <c r="M648" t="n">
        <v>0</v>
      </c>
      <c r="N648" t="n">
        <v>0</v>
      </c>
      <c r="O648" t="n">
        <v>0</v>
      </c>
      <c r="P648" t="n">
        <v>0</v>
      </c>
      <c r="Q648" t="n">
        <v>0</v>
      </c>
      <c r="R648" s="2" t="inlineStr"/>
    </row>
    <row r="649" ht="15" customHeight="1">
      <c r="A649" t="inlineStr">
        <is>
          <t>A 6719-2026</t>
        </is>
      </c>
      <c r="B649" s="1" t="n">
        <v>46056.66945601852</v>
      </c>
      <c r="C649" s="1" t="n">
        <v>46116</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16637-2025</t>
        </is>
      </c>
      <c r="B650" s="1" t="n">
        <v>45754.36738425926</v>
      </c>
      <c r="C650" s="1" t="n">
        <v>46116</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7446-2026</t>
        </is>
      </c>
      <c r="B651" s="1" t="n">
        <v>46059</v>
      </c>
      <c r="C651" s="1" t="n">
        <v>46116</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49991-2023</t>
        </is>
      </c>
      <c r="B652" s="1" t="n">
        <v>45215.43879629629</v>
      </c>
      <c r="C652" s="1" t="n">
        <v>46116</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43569-2025</t>
        </is>
      </c>
      <c r="B653" s="1" t="n">
        <v>45911.63363425926</v>
      </c>
      <c r="C653" s="1" t="n">
        <v>46116</v>
      </c>
      <c r="D653" t="inlineStr">
        <is>
          <t>DALARNAS LÄN</t>
        </is>
      </c>
      <c r="E653" t="inlineStr">
        <is>
          <t>MORA</t>
        </is>
      </c>
      <c r="G653" t="n">
        <v>4.7</v>
      </c>
      <c r="H653" t="n">
        <v>0</v>
      </c>
      <c r="I653" t="n">
        <v>0</v>
      </c>
      <c r="J653" t="n">
        <v>0</v>
      </c>
      <c r="K653" t="n">
        <v>0</v>
      </c>
      <c r="L653" t="n">
        <v>0</v>
      </c>
      <c r="M653" t="n">
        <v>0</v>
      </c>
      <c r="N653" t="n">
        <v>0</v>
      </c>
      <c r="O653" t="n">
        <v>0</v>
      </c>
      <c r="P653" t="n">
        <v>0</v>
      </c>
      <c r="Q653" t="n">
        <v>0</v>
      </c>
      <c r="R653" s="2" t="inlineStr"/>
    </row>
    <row r="654" ht="15" customHeight="1">
      <c r="A654" t="inlineStr">
        <is>
          <t>A 28131-2024</t>
        </is>
      </c>
      <c r="B654" s="1" t="n">
        <v>45476.68435185185</v>
      </c>
      <c r="C654" s="1" t="n">
        <v>46116</v>
      </c>
      <c r="D654" t="inlineStr">
        <is>
          <t>DALARNAS LÄN</t>
        </is>
      </c>
      <c r="E654" t="inlineStr">
        <is>
          <t>MORA</t>
        </is>
      </c>
      <c r="G654" t="n">
        <v>0.8</v>
      </c>
      <c r="H654" t="n">
        <v>0</v>
      </c>
      <c r="I654" t="n">
        <v>0</v>
      </c>
      <c r="J654" t="n">
        <v>0</v>
      </c>
      <c r="K654" t="n">
        <v>0</v>
      </c>
      <c r="L654" t="n">
        <v>0</v>
      </c>
      <c r="M654" t="n">
        <v>0</v>
      </c>
      <c r="N654" t="n">
        <v>0</v>
      </c>
      <c r="O654" t="n">
        <v>0</v>
      </c>
      <c r="P654" t="n">
        <v>0</v>
      </c>
      <c r="Q654" t="n">
        <v>0</v>
      </c>
      <c r="R654" s="2" t="inlineStr"/>
    </row>
    <row r="655" ht="15" customHeight="1">
      <c r="A655" t="inlineStr">
        <is>
          <t>A 28132-2024</t>
        </is>
      </c>
      <c r="B655" s="1" t="n">
        <v>45476.68616898148</v>
      </c>
      <c r="C655" s="1" t="n">
        <v>46116</v>
      </c>
      <c r="D655" t="inlineStr">
        <is>
          <t>DALARNAS LÄN</t>
        </is>
      </c>
      <c r="E655" t="inlineStr">
        <is>
          <t>MORA</t>
        </is>
      </c>
      <c r="G655" t="n">
        <v>0.2</v>
      </c>
      <c r="H655" t="n">
        <v>0</v>
      </c>
      <c r="I655" t="n">
        <v>0</v>
      </c>
      <c r="J655" t="n">
        <v>0</v>
      </c>
      <c r="K655" t="n">
        <v>0</v>
      </c>
      <c r="L655" t="n">
        <v>0</v>
      </c>
      <c r="M655" t="n">
        <v>0</v>
      </c>
      <c r="N655" t="n">
        <v>0</v>
      </c>
      <c r="O655" t="n">
        <v>0</v>
      </c>
      <c r="P655" t="n">
        <v>0</v>
      </c>
      <c r="Q655" t="n">
        <v>0</v>
      </c>
      <c r="R655" s="2" t="inlineStr"/>
    </row>
    <row r="656" ht="15" customHeight="1">
      <c r="A656" t="inlineStr">
        <is>
          <t>A 7418-2026</t>
        </is>
      </c>
      <c r="B656" s="1" t="n">
        <v>46059.42018518518</v>
      </c>
      <c r="C656" s="1" t="n">
        <v>46116</v>
      </c>
      <c r="D656" t="inlineStr">
        <is>
          <t>DALARNAS LÄN</t>
        </is>
      </c>
      <c r="E656" t="inlineStr">
        <is>
          <t>MORA</t>
        </is>
      </c>
      <c r="G656" t="n">
        <v>4</v>
      </c>
      <c r="H656" t="n">
        <v>0</v>
      </c>
      <c r="I656" t="n">
        <v>0</v>
      </c>
      <c r="J656" t="n">
        <v>0</v>
      </c>
      <c r="K656" t="n">
        <v>0</v>
      </c>
      <c r="L656" t="n">
        <v>0</v>
      </c>
      <c r="M656" t="n">
        <v>0</v>
      </c>
      <c r="N656" t="n">
        <v>0</v>
      </c>
      <c r="O656" t="n">
        <v>0</v>
      </c>
      <c r="P656" t="n">
        <v>0</v>
      </c>
      <c r="Q656" t="n">
        <v>0</v>
      </c>
      <c r="R656" s="2" t="inlineStr"/>
    </row>
    <row r="657" ht="15" customHeight="1">
      <c r="A657" t="inlineStr">
        <is>
          <t>A 12987-2024</t>
        </is>
      </c>
      <c r="B657" s="1" t="n">
        <v>45385.55375</v>
      </c>
      <c r="C657" s="1" t="n">
        <v>46116</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14745-2026</t>
        </is>
      </c>
      <c r="B658" s="1" t="n">
        <v>46101.60760416667</v>
      </c>
      <c r="C658" s="1" t="n">
        <v>46116</v>
      </c>
      <c r="D658" t="inlineStr">
        <is>
          <t>DALARNAS LÄN</t>
        </is>
      </c>
      <c r="E658" t="inlineStr">
        <is>
          <t>MORA</t>
        </is>
      </c>
      <c r="F658" t="inlineStr">
        <is>
          <t>Bergvik skog öst AB</t>
        </is>
      </c>
      <c r="G658" t="n">
        <v>10.9</v>
      </c>
      <c r="H658" t="n">
        <v>0</v>
      </c>
      <c r="I658" t="n">
        <v>0</v>
      </c>
      <c r="J658" t="n">
        <v>0</v>
      </c>
      <c r="K658" t="n">
        <v>0</v>
      </c>
      <c r="L658" t="n">
        <v>0</v>
      </c>
      <c r="M658" t="n">
        <v>0</v>
      </c>
      <c r="N658" t="n">
        <v>0</v>
      </c>
      <c r="O658" t="n">
        <v>0</v>
      </c>
      <c r="P658" t="n">
        <v>0</v>
      </c>
      <c r="Q658" t="n">
        <v>0</v>
      </c>
      <c r="R658" s="2" t="inlineStr"/>
    </row>
    <row r="659" ht="15" customHeight="1">
      <c r="A659" t="inlineStr">
        <is>
          <t>A 7849-2026</t>
        </is>
      </c>
      <c r="B659" s="1" t="n">
        <v>46062</v>
      </c>
      <c r="C659" s="1" t="n">
        <v>46116</v>
      </c>
      <c r="D659" t="inlineStr">
        <is>
          <t>DALARNAS LÄN</t>
        </is>
      </c>
      <c r="E659" t="inlineStr">
        <is>
          <t>MORA</t>
        </is>
      </c>
      <c r="G659" t="n">
        <v>1.7</v>
      </c>
      <c r="H659" t="n">
        <v>0</v>
      </c>
      <c r="I659" t="n">
        <v>0</v>
      </c>
      <c r="J659" t="n">
        <v>0</v>
      </c>
      <c r="K659" t="n">
        <v>0</v>
      </c>
      <c r="L659" t="n">
        <v>0</v>
      </c>
      <c r="M659" t="n">
        <v>0</v>
      </c>
      <c r="N659" t="n">
        <v>0</v>
      </c>
      <c r="O659" t="n">
        <v>0</v>
      </c>
      <c r="P659" t="n">
        <v>0</v>
      </c>
      <c r="Q659" t="n">
        <v>0</v>
      </c>
      <c r="R659" s="2" t="inlineStr"/>
    </row>
    <row r="660" ht="15" customHeight="1">
      <c r="A660" t="inlineStr">
        <is>
          <t>A 8007-2026</t>
        </is>
      </c>
      <c r="B660" s="1" t="n">
        <v>46063.52565972223</v>
      </c>
      <c r="C660" s="1" t="n">
        <v>46116</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48170-2024</t>
        </is>
      </c>
      <c r="B661" s="1" t="n">
        <v>45589.76975694444</v>
      </c>
      <c r="C661" s="1" t="n">
        <v>46116</v>
      </c>
      <c r="D661" t="inlineStr">
        <is>
          <t>DALARNAS LÄN</t>
        </is>
      </c>
      <c r="E661" t="inlineStr">
        <is>
          <t>MORA</t>
        </is>
      </c>
      <c r="G661" t="n">
        <v>2.4</v>
      </c>
      <c r="H661" t="n">
        <v>0</v>
      </c>
      <c r="I661" t="n">
        <v>0</v>
      </c>
      <c r="J661" t="n">
        <v>0</v>
      </c>
      <c r="K661" t="n">
        <v>0</v>
      </c>
      <c r="L661" t="n">
        <v>0</v>
      </c>
      <c r="M661" t="n">
        <v>0</v>
      </c>
      <c r="N661" t="n">
        <v>0</v>
      </c>
      <c r="O661" t="n">
        <v>0</v>
      </c>
      <c r="P661" t="n">
        <v>0</v>
      </c>
      <c r="Q661" t="n">
        <v>0</v>
      </c>
      <c r="R661" s="2" t="inlineStr"/>
    </row>
    <row r="662" ht="15" customHeight="1">
      <c r="A662" t="inlineStr">
        <is>
          <t>A 58892-2023</t>
        </is>
      </c>
      <c r="B662" s="1" t="n">
        <v>45252.48592592592</v>
      </c>
      <c r="C662" s="1" t="n">
        <v>46116</v>
      </c>
      <c r="D662" t="inlineStr">
        <is>
          <t>DALARNAS LÄN</t>
        </is>
      </c>
      <c r="E662" t="inlineStr">
        <is>
          <t>MORA</t>
        </is>
      </c>
      <c r="G662" t="n">
        <v>2.2</v>
      </c>
      <c r="H662" t="n">
        <v>0</v>
      </c>
      <c r="I662" t="n">
        <v>0</v>
      </c>
      <c r="J662" t="n">
        <v>0</v>
      </c>
      <c r="K662" t="n">
        <v>0</v>
      </c>
      <c r="L662" t="n">
        <v>0</v>
      </c>
      <c r="M662" t="n">
        <v>0</v>
      </c>
      <c r="N662" t="n">
        <v>0</v>
      </c>
      <c r="O662" t="n">
        <v>0</v>
      </c>
      <c r="P662" t="n">
        <v>0</v>
      </c>
      <c r="Q662" t="n">
        <v>0</v>
      </c>
      <c r="R662" s="2" t="inlineStr"/>
    </row>
    <row r="663" ht="15" customHeight="1">
      <c r="A663" t="inlineStr">
        <is>
          <t>A 27975-2023</t>
        </is>
      </c>
      <c r="B663" s="1" t="n">
        <v>45098</v>
      </c>
      <c r="C663" s="1" t="n">
        <v>46116</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55222-2023</t>
        </is>
      </c>
      <c r="B664" s="1" t="n">
        <v>45237.60775462963</v>
      </c>
      <c r="C664" s="1" t="n">
        <v>46116</v>
      </c>
      <c r="D664" t="inlineStr">
        <is>
          <t>DALARNAS LÄN</t>
        </is>
      </c>
      <c r="E664" t="inlineStr">
        <is>
          <t>MORA</t>
        </is>
      </c>
      <c r="F664" t="inlineStr">
        <is>
          <t>Allmännings- och besparingsskogar</t>
        </is>
      </c>
      <c r="G664" t="n">
        <v>19.8</v>
      </c>
      <c r="H664" t="n">
        <v>0</v>
      </c>
      <c r="I664" t="n">
        <v>0</v>
      </c>
      <c r="J664" t="n">
        <v>0</v>
      </c>
      <c r="K664" t="n">
        <v>0</v>
      </c>
      <c r="L664" t="n">
        <v>0</v>
      </c>
      <c r="M664" t="n">
        <v>0</v>
      </c>
      <c r="N664" t="n">
        <v>0</v>
      </c>
      <c r="O664" t="n">
        <v>0</v>
      </c>
      <c r="P664" t="n">
        <v>0</v>
      </c>
      <c r="Q664" t="n">
        <v>0</v>
      </c>
      <c r="R664" s="2" t="inlineStr"/>
    </row>
    <row r="665" ht="15" customHeight="1">
      <c r="A665" t="inlineStr">
        <is>
          <t>A 24772-2024</t>
        </is>
      </c>
      <c r="B665" s="1" t="n">
        <v>45460.70204861111</v>
      </c>
      <c r="C665" s="1" t="n">
        <v>46116</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5486-2023</t>
        </is>
      </c>
      <c r="B666" s="1" t="n">
        <v>44957</v>
      </c>
      <c r="C666" s="1" t="n">
        <v>46116</v>
      </c>
      <c r="D666" t="inlineStr">
        <is>
          <t>DALARNAS LÄN</t>
        </is>
      </c>
      <c r="E666" t="inlineStr">
        <is>
          <t>MORA</t>
        </is>
      </c>
      <c r="G666" t="n">
        <v>3.2</v>
      </c>
      <c r="H666" t="n">
        <v>0</v>
      </c>
      <c r="I666" t="n">
        <v>0</v>
      </c>
      <c r="J666" t="n">
        <v>0</v>
      </c>
      <c r="K666" t="n">
        <v>0</v>
      </c>
      <c r="L666" t="n">
        <v>0</v>
      </c>
      <c r="M666" t="n">
        <v>0</v>
      </c>
      <c r="N666" t="n">
        <v>0</v>
      </c>
      <c r="O666" t="n">
        <v>0</v>
      </c>
      <c r="P666" t="n">
        <v>0</v>
      </c>
      <c r="Q666" t="n">
        <v>0</v>
      </c>
      <c r="R666" s="2" t="inlineStr"/>
    </row>
    <row r="667" ht="15" customHeight="1">
      <c r="A667" t="inlineStr">
        <is>
          <t>A 42943-2024</t>
        </is>
      </c>
      <c r="B667" s="1" t="n">
        <v>45567.35359953704</v>
      </c>
      <c r="C667" s="1" t="n">
        <v>46116</v>
      </c>
      <c r="D667" t="inlineStr">
        <is>
          <t>DALARNAS LÄN</t>
        </is>
      </c>
      <c r="E667" t="inlineStr">
        <is>
          <t>MORA</t>
        </is>
      </c>
      <c r="G667" t="n">
        <v>0.5</v>
      </c>
      <c r="H667" t="n">
        <v>0</v>
      </c>
      <c r="I667" t="n">
        <v>0</v>
      </c>
      <c r="J667" t="n">
        <v>0</v>
      </c>
      <c r="K667" t="n">
        <v>0</v>
      </c>
      <c r="L667" t="n">
        <v>0</v>
      </c>
      <c r="M667" t="n">
        <v>0</v>
      </c>
      <c r="N667" t="n">
        <v>0</v>
      </c>
      <c r="O667" t="n">
        <v>0</v>
      </c>
      <c r="P667" t="n">
        <v>0</v>
      </c>
      <c r="Q667" t="n">
        <v>0</v>
      </c>
      <c r="R667" s="2" t="inlineStr"/>
    </row>
    <row r="668" ht="15" customHeight="1">
      <c r="A668" t="inlineStr">
        <is>
          <t>A 8075-2026</t>
        </is>
      </c>
      <c r="B668" s="1" t="n">
        <v>46063</v>
      </c>
      <c r="C668" s="1" t="n">
        <v>46116</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9855-2024</t>
        </is>
      </c>
      <c r="B669" s="1" t="n">
        <v>45363.40368055556</v>
      </c>
      <c r="C669" s="1" t="n">
        <v>46116</v>
      </c>
      <c r="D669" t="inlineStr">
        <is>
          <t>DALARNAS LÄN</t>
        </is>
      </c>
      <c r="E669" t="inlineStr">
        <is>
          <t>MORA</t>
        </is>
      </c>
      <c r="G669" t="n">
        <v>8.6</v>
      </c>
      <c r="H669" t="n">
        <v>0</v>
      </c>
      <c r="I669" t="n">
        <v>0</v>
      </c>
      <c r="J669" t="n">
        <v>0</v>
      </c>
      <c r="K669" t="n">
        <v>0</v>
      </c>
      <c r="L669" t="n">
        <v>0</v>
      </c>
      <c r="M669" t="n">
        <v>0</v>
      </c>
      <c r="N669" t="n">
        <v>0</v>
      </c>
      <c r="O669" t="n">
        <v>0</v>
      </c>
      <c r="P669" t="n">
        <v>0</v>
      </c>
      <c r="Q669" t="n">
        <v>0</v>
      </c>
      <c r="R669" s="2" t="inlineStr"/>
    </row>
    <row r="670" ht="15" customHeight="1">
      <c r="A670" t="inlineStr">
        <is>
          <t>A 15294-2026</t>
        </is>
      </c>
      <c r="B670" s="1" t="n">
        <v>46105.6279050926</v>
      </c>
      <c r="C670" s="1" t="n">
        <v>46116</v>
      </c>
      <c r="D670" t="inlineStr">
        <is>
          <t>DALARNAS LÄN</t>
        </is>
      </c>
      <c r="E670" t="inlineStr">
        <is>
          <t>MORA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15311-2026</t>
        </is>
      </c>
      <c r="B671" s="1" t="n">
        <v>46105.6447800926</v>
      </c>
      <c r="C671" s="1" t="n">
        <v>46116</v>
      </c>
      <c r="D671" t="inlineStr">
        <is>
          <t>DALARNAS LÄN</t>
        </is>
      </c>
      <c r="E671" t="inlineStr">
        <is>
          <t>MORA</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15012-2026</t>
        </is>
      </c>
      <c r="B672" s="1" t="n">
        <v>46104.61704861111</v>
      </c>
      <c r="C672" s="1" t="n">
        <v>46116</v>
      </c>
      <c r="D672" t="inlineStr">
        <is>
          <t>DALARNAS LÄN</t>
        </is>
      </c>
      <c r="E672" t="inlineStr">
        <is>
          <t>MORA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5936-2026</t>
        </is>
      </c>
      <c r="B673" s="1" t="n">
        <v>46052.47197916666</v>
      </c>
      <c r="C673" s="1" t="n">
        <v>46116</v>
      </c>
      <c r="D673" t="inlineStr">
        <is>
          <t>DALARNAS LÄN</t>
        </is>
      </c>
      <c r="E673" t="inlineStr">
        <is>
          <t>MORA</t>
        </is>
      </c>
      <c r="G673" t="n">
        <v>11.1</v>
      </c>
      <c r="H673" t="n">
        <v>0</v>
      </c>
      <c r="I673" t="n">
        <v>0</v>
      </c>
      <c r="J673" t="n">
        <v>0</v>
      </c>
      <c r="K673" t="n">
        <v>0</v>
      </c>
      <c r="L673" t="n">
        <v>0</v>
      </c>
      <c r="M673" t="n">
        <v>0</v>
      </c>
      <c r="N673" t="n">
        <v>0</v>
      </c>
      <c r="O673" t="n">
        <v>0</v>
      </c>
      <c r="P673" t="n">
        <v>0</v>
      </c>
      <c r="Q673" t="n">
        <v>0</v>
      </c>
      <c r="R673" s="2" t="inlineStr"/>
    </row>
    <row r="674" ht="15" customHeight="1">
      <c r="A674" t="inlineStr">
        <is>
          <t>A 15372-2026</t>
        </is>
      </c>
      <c r="B674" s="1" t="n">
        <v>46105.92204861111</v>
      </c>
      <c r="C674" s="1" t="n">
        <v>46116</v>
      </c>
      <c r="D674" t="inlineStr">
        <is>
          <t>DALARNAS LÄN</t>
        </is>
      </c>
      <c r="E674" t="inlineStr">
        <is>
          <t>MORA</t>
        </is>
      </c>
      <c r="F674" t="inlineStr">
        <is>
          <t>Bergvik skog öst AB</t>
        </is>
      </c>
      <c r="G674" t="n">
        <v>5.7</v>
      </c>
      <c r="H674" t="n">
        <v>0</v>
      </c>
      <c r="I674" t="n">
        <v>0</v>
      </c>
      <c r="J674" t="n">
        <v>0</v>
      </c>
      <c r="K674" t="n">
        <v>0</v>
      </c>
      <c r="L674" t="n">
        <v>0</v>
      </c>
      <c r="M674" t="n">
        <v>0</v>
      </c>
      <c r="N674" t="n">
        <v>0</v>
      </c>
      <c r="O674" t="n">
        <v>0</v>
      </c>
      <c r="P674" t="n">
        <v>0</v>
      </c>
      <c r="Q674" t="n">
        <v>0</v>
      </c>
      <c r="R674" s="2" t="inlineStr"/>
    </row>
    <row r="675" ht="15" customHeight="1">
      <c r="A675" t="inlineStr">
        <is>
          <t>A 15397-2026</t>
        </is>
      </c>
      <c r="B675" s="1" t="n">
        <v>46106.35565972222</v>
      </c>
      <c r="C675" s="1" t="n">
        <v>46116</v>
      </c>
      <c r="D675" t="inlineStr">
        <is>
          <t>DALARNAS LÄN</t>
        </is>
      </c>
      <c r="E675" t="inlineStr">
        <is>
          <t>MORA</t>
        </is>
      </c>
      <c r="F675" t="inlineStr">
        <is>
          <t>Bergvik skog öst AB</t>
        </is>
      </c>
      <c r="G675" t="n">
        <v>0.8</v>
      </c>
      <c r="H675" t="n">
        <v>0</v>
      </c>
      <c r="I675" t="n">
        <v>0</v>
      </c>
      <c r="J675" t="n">
        <v>0</v>
      </c>
      <c r="K675" t="n">
        <v>0</v>
      </c>
      <c r="L675" t="n">
        <v>0</v>
      </c>
      <c r="M675" t="n">
        <v>0</v>
      </c>
      <c r="N675" t="n">
        <v>0</v>
      </c>
      <c r="O675" t="n">
        <v>0</v>
      </c>
      <c r="P675" t="n">
        <v>0</v>
      </c>
      <c r="Q675" t="n">
        <v>0</v>
      </c>
      <c r="R675" s="2" t="inlineStr"/>
    </row>
    <row r="676" ht="15" customHeight="1">
      <c r="A676" t="inlineStr">
        <is>
          <t>A 8470-2026</t>
        </is>
      </c>
      <c r="B676" s="1" t="n">
        <v>46065.4490162037</v>
      </c>
      <c r="C676" s="1" t="n">
        <v>46116</v>
      </c>
      <c r="D676" t="inlineStr">
        <is>
          <t>DALARNAS LÄN</t>
        </is>
      </c>
      <c r="E676" t="inlineStr">
        <is>
          <t>MORA</t>
        </is>
      </c>
      <c r="G676" t="n">
        <v>3.1</v>
      </c>
      <c r="H676" t="n">
        <v>0</v>
      </c>
      <c r="I676" t="n">
        <v>0</v>
      </c>
      <c r="J676" t="n">
        <v>0</v>
      </c>
      <c r="K676" t="n">
        <v>0</v>
      </c>
      <c r="L676" t="n">
        <v>0</v>
      </c>
      <c r="M676" t="n">
        <v>0</v>
      </c>
      <c r="N676" t="n">
        <v>0</v>
      </c>
      <c r="O676" t="n">
        <v>0</v>
      </c>
      <c r="P676" t="n">
        <v>0</v>
      </c>
      <c r="Q676" t="n">
        <v>0</v>
      </c>
      <c r="R676" s="2" t="inlineStr"/>
    </row>
    <row r="677" ht="15" customHeight="1">
      <c r="A677" t="inlineStr">
        <is>
          <t>A 8549-2026</t>
        </is>
      </c>
      <c r="B677" s="1" t="n">
        <v>46065.61790509259</v>
      </c>
      <c r="C677" s="1" t="n">
        <v>46116</v>
      </c>
      <c r="D677" t="inlineStr">
        <is>
          <t>DALARNAS LÄN</t>
        </is>
      </c>
      <c r="E677" t="inlineStr">
        <is>
          <t>MORA</t>
        </is>
      </c>
      <c r="G677" t="n">
        <v>1.4</v>
      </c>
      <c r="H677" t="n">
        <v>0</v>
      </c>
      <c r="I677" t="n">
        <v>0</v>
      </c>
      <c r="J677" t="n">
        <v>0</v>
      </c>
      <c r="K677" t="n">
        <v>0</v>
      </c>
      <c r="L677" t="n">
        <v>0</v>
      </c>
      <c r="M677" t="n">
        <v>0</v>
      </c>
      <c r="N677" t="n">
        <v>0</v>
      </c>
      <c r="O677" t="n">
        <v>0</v>
      </c>
      <c r="P677" t="n">
        <v>0</v>
      </c>
      <c r="Q677" t="n">
        <v>0</v>
      </c>
      <c r="R677" s="2" t="inlineStr"/>
    </row>
    <row r="678" ht="15" customHeight="1">
      <c r="A678" t="inlineStr">
        <is>
          <t>A 21244-2024</t>
        </is>
      </c>
      <c r="B678" s="1" t="n">
        <v>45440.59936342593</v>
      </c>
      <c r="C678" s="1" t="n">
        <v>46116</v>
      </c>
      <c r="D678" t="inlineStr">
        <is>
          <t>DALARNAS LÄN</t>
        </is>
      </c>
      <c r="E678" t="inlineStr">
        <is>
          <t>MORA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28964-2024</t>
        </is>
      </c>
      <c r="B679" s="1" t="n">
        <v>45481.42923611111</v>
      </c>
      <c r="C679" s="1" t="n">
        <v>46116</v>
      </c>
      <c r="D679" t="inlineStr">
        <is>
          <t>DALARNAS LÄN</t>
        </is>
      </c>
      <c r="E679" t="inlineStr">
        <is>
          <t>MORA</t>
        </is>
      </c>
      <c r="G679" t="n">
        <v>1.3</v>
      </c>
      <c r="H679" t="n">
        <v>0</v>
      </c>
      <c r="I679" t="n">
        <v>0</v>
      </c>
      <c r="J679" t="n">
        <v>0</v>
      </c>
      <c r="K679" t="n">
        <v>0</v>
      </c>
      <c r="L679" t="n">
        <v>0</v>
      </c>
      <c r="M679" t="n">
        <v>0</v>
      </c>
      <c r="N679" t="n">
        <v>0</v>
      </c>
      <c r="O679" t="n">
        <v>0</v>
      </c>
      <c r="P679" t="n">
        <v>0</v>
      </c>
      <c r="Q679" t="n">
        <v>0</v>
      </c>
      <c r="R679" s="2" t="inlineStr"/>
    </row>
    <row r="680" ht="15" customHeight="1">
      <c r="A680" t="inlineStr">
        <is>
          <t>A 15552-2026</t>
        </is>
      </c>
      <c r="B680" s="1" t="n">
        <v>46106.53862268518</v>
      </c>
      <c r="C680" s="1" t="n">
        <v>46116</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30194-2024</t>
        </is>
      </c>
      <c r="B681" s="1" t="n">
        <v>45490.33387731481</v>
      </c>
      <c r="C681" s="1" t="n">
        <v>46116</v>
      </c>
      <c r="D681" t="inlineStr">
        <is>
          <t>DALARNAS LÄN</t>
        </is>
      </c>
      <c r="E681" t="inlineStr">
        <is>
          <t>MORA</t>
        </is>
      </c>
      <c r="G681" t="n">
        <v>3.1</v>
      </c>
      <c r="H681" t="n">
        <v>0</v>
      </c>
      <c r="I681" t="n">
        <v>0</v>
      </c>
      <c r="J681" t="n">
        <v>0</v>
      </c>
      <c r="K681" t="n">
        <v>0</v>
      </c>
      <c r="L681" t="n">
        <v>0</v>
      </c>
      <c r="M681" t="n">
        <v>0</v>
      </c>
      <c r="N681" t="n">
        <v>0</v>
      </c>
      <c r="O681" t="n">
        <v>0</v>
      </c>
      <c r="P681" t="n">
        <v>0</v>
      </c>
      <c r="Q681" t="n">
        <v>0</v>
      </c>
      <c r="R681" s="2" t="inlineStr"/>
    </row>
    <row r="682" ht="15" customHeight="1">
      <c r="A682" t="inlineStr">
        <is>
          <t>A 58177-2024</t>
        </is>
      </c>
      <c r="B682" s="1" t="n">
        <v>45632.46821759259</v>
      </c>
      <c r="C682" s="1" t="n">
        <v>46116</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8361-2026</t>
        </is>
      </c>
      <c r="B683" s="1" t="n">
        <v>46064.6643287037</v>
      </c>
      <c r="C683" s="1" t="n">
        <v>46116</v>
      </c>
      <c r="D683" t="inlineStr">
        <is>
          <t>DALARNAS LÄN</t>
        </is>
      </c>
      <c r="E683" t="inlineStr">
        <is>
          <t>MORA</t>
        </is>
      </c>
      <c r="G683" t="n">
        <v>2.7</v>
      </c>
      <c r="H683" t="n">
        <v>0</v>
      </c>
      <c r="I683" t="n">
        <v>0</v>
      </c>
      <c r="J683" t="n">
        <v>0</v>
      </c>
      <c r="K683" t="n">
        <v>0</v>
      </c>
      <c r="L683" t="n">
        <v>0</v>
      </c>
      <c r="M683" t="n">
        <v>0</v>
      </c>
      <c r="N683" t="n">
        <v>0</v>
      </c>
      <c r="O683" t="n">
        <v>0</v>
      </c>
      <c r="P683" t="n">
        <v>0</v>
      </c>
      <c r="Q683" t="n">
        <v>0</v>
      </c>
      <c r="R683" s="2" t="inlineStr"/>
    </row>
    <row r="684" ht="15" customHeight="1">
      <c r="A684" t="inlineStr">
        <is>
          <t>A 45390-2024</t>
        </is>
      </c>
      <c r="B684" s="1" t="n">
        <v>45576.54820601852</v>
      </c>
      <c r="C684" s="1" t="n">
        <v>46116</v>
      </c>
      <c r="D684" t="inlineStr">
        <is>
          <t>DALARNAS LÄN</t>
        </is>
      </c>
      <c r="E684" t="inlineStr">
        <is>
          <t>MORA</t>
        </is>
      </c>
      <c r="F684" t="inlineStr">
        <is>
          <t>Bergvik skog väst AB</t>
        </is>
      </c>
      <c r="G684" t="n">
        <v>5.6</v>
      </c>
      <c r="H684" t="n">
        <v>0</v>
      </c>
      <c r="I684" t="n">
        <v>0</v>
      </c>
      <c r="J684" t="n">
        <v>0</v>
      </c>
      <c r="K684" t="n">
        <v>0</v>
      </c>
      <c r="L684" t="n">
        <v>0</v>
      </c>
      <c r="M684" t="n">
        <v>0</v>
      </c>
      <c r="N684" t="n">
        <v>0</v>
      </c>
      <c r="O684" t="n">
        <v>0</v>
      </c>
      <c r="P684" t="n">
        <v>0</v>
      </c>
      <c r="Q684" t="n">
        <v>0</v>
      </c>
      <c r="R684" s="2" t="inlineStr"/>
    </row>
    <row r="685" ht="15" customHeight="1">
      <c r="A685" t="inlineStr">
        <is>
          <t>A 58089-2024</t>
        </is>
      </c>
      <c r="B685" s="1" t="n">
        <v>45632.34984953704</v>
      </c>
      <c r="C685" s="1" t="n">
        <v>46116</v>
      </c>
      <c r="D685" t="inlineStr">
        <is>
          <t>DALARNAS LÄN</t>
        </is>
      </c>
      <c r="E685" t="inlineStr">
        <is>
          <t>MORA</t>
        </is>
      </c>
      <c r="G685" t="n">
        <v>1.4</v>
      </c>
      <c r="H685" t="n">
        <v>0</v>
      </c>
      <c r="I685" t="n">
        <v>0</v>
      </c>
      <c r="J685" t="n">
        <v>0</v>
      </c>
      <c r="K685" t="n">
        <v>0</v>
      </c>
      <c r="L685" t="n">
        <v>0</v>
      </c>
      <c r="M685" t="n">
        <v>0</v>
      </c>
      <c r="N685" t="n">
        <v>0</v>
      </c>
      <c r="O685" t="n">
        <v>0</v>
      </c>
      <c r="P685" t="n">
        <v>0</v>
      </c>
      <c r="Q685" t="n">
        <v>0</v>
      </c>
      <c r="R685" s="2" t="inlineStr"/>
    </row>
    <row r="686" ht="15" customHeight="1">
      <c r="A686" t="inlineStr">
        <is>
          <t>A 8474-2026</t>
        </is>
      </c>
      <c r="B686" s="1" t="n">
        <v>46065</v>
      </c>
      <c r="C686" s="1" t="n">
        <v>46116</v>
      </c>
      <c r="D686" t="inlineStr">
        <is>
          <t>DALARNAS LÄN</t>
        </is>
      </c>
      <c r="E686" t="inlineStr">
        <is>
          <t>MORA</t>
        </is>
      </c>
      <c r="G686" t="n">
        <v>4.7</v>
      </c>
      <c r="H686" t="n">
        <v>0</v>
      </c>
      <c r="I686" t="n">
        <v>0</v>
      </c>
      <c r="J686" t="n">
        <v>0</v>
      </c>
      <c r="K686" t="n">
        <v>0</v>
      </c>
      <c r="L686" t="n">
        <v>0</v>
      </c>
      <c r="M686" t="n">
        <v>0</v>
      </c>
      <c r="N686" t="n">
        <v>0</v>
      </c>
      <c r="O686" t="n">
        <v>0</v>
      </c>
      <c r="P686" t="n">
        <v>0</v>
      </c>
      <c r="Q686" t="n">
        <v>0</v>
      </c>
      <c r="R686" s="2" t="inlineStr"/>
    </row>
    <row r="687" ht="15" customHeight="1">
      <c r="A687" t="inlineStr">
        <is>
          <t>A 4208-2023</t>
        </is>
      </c>
      <c r="B687" s="1" t="n">
        <v>44953</v>
      </c>
      <c r="C687" s="1" t="n">
        <v>46116</v>
      </c>
      <c r="D687" t="inlineStr">
        <is>
          <t>DALARNAS LÄN</t>
        </is>
      </c>
      <c r="E687" t="inlineStr">
        <is>
          <t>MORA</t>
        </is>
      </c>
      <c r="G687" t="n">
        <v>2.4</v>
      </c>
      <c r="H687" t="n">
        <v>0</v>
      </c>
      <c r="I687" t="n">
        <v>0</v>
      </c>
      <c r="J687" t="n">
        <v>0</v>
      </c>
      <c r="K687" t="n">
        <v>0</v>
      </c>
      <c r="L687" t="n">
        <v>0</v>
      </c>
      <c r="M687" t="n">
        <v>0</v>
      </c>
      <c r="N687" t="n">
        <v>0</v>
      </c>
      <c r="O687" t="n">
        <v>0</v>
      </c>
      <c r="P687" t="n">
        <v>0</v>
      </c>
      <c r="Q687" t="n">
        <v>0</v>
      </c>
      <c r="R687" s="2" t="inlineStr"/>
    </row>
    <row r="688" ht="15" customHeight="1">
      <c r="A688" t="inlineStr">
        <is>
          <t>A 4210-2023</t>
        </is>
      </c>
      <c r="B688" s="1" t="n">
        <v>44953.44965277778</v>
      </c>
      <c r="C688" s="1" t="n">
        <v>46116</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16218-2026</t>
        </is>
      </c>
      <c r="B689" s="1" t="n">
        <v>46111.43640046296</v>
      </c>
      <c r="C689" s="1" t="n">
        <v>46116</v>
      </c>
      <c r="D689" t="inlineStr">
        <is>
          <t>DALARNAS LÄN</t>
        </is>
      </c>
      <c r="E689" t="inlineStr">
        <is>
          <t>MORA</t>
        </is>
      </c>
      <c r="F689" t="inlineStr">
        <is>
          <t>Bergvik skog öst AB</t>
        </is>
      </c>
      <c r="G689" t="n">
        <v>2.3</v>
      </c>
      <c r="H689" t="n">
        <v>0</v>
      </c>
      <c r="I689" t="n">
        <v>0</v>
      </c>
      <c r="J689" t="n">
        <v>0</v>
      </c>
      <c r="K689" t="n">
        <v>0</v>
      </c>
      <c r="L689" t="n">
        <v>0</v>
      </c>
      <c r="M689" t="n">
        <v>0</v>
      </c>
      <c r="N689" t="n">
        <v>0</v>
      </c>
      <c r="O689" t="n">
        <v>0</v>
      </c>
      <c r="P689" t="n">
        <v>0</v>
      </c>
      <c r="Q689" t="n">
        <v>0</v>
      </c>
      <c r="R689" s="2" t="inlineStr"/>
    </row>
    <row r="690" ht="15" customHeight="1">
      <c r="A690" t="inlineStr">
        <is>
          <t>A 44769-2021</t>
        </is>
      </c>
      <c r="B690" s="1" t="n">
        <v>44438</v>
      </c>
      <c r="C690" s="1" t="n">
        <v>46116</v>
      </c>
      <c r="D690" t="inlineStr">
        <is>
          <t>DALARNAS LÄN</t>
        </is>
      </c>
      <c r="E690" t="inlineStr">
        <is>
          <t>MORA</t>
        </is>
      </c>
      <c r="G690" t="n">
        <v>0.9</v>
      </c>
      <c r="H690" t="n">
        <v>0</v>
      </c>
      <c r="I690" t="n">
        <v>0</v>
      </c>
      <c r="J690" t="n">
        <v>0</v>
      </c>
      <c r="K690" t="n">
        <v>0</v>
      </c>
      <c r="L690" t="n">
        <v>0</v>
      </c>
      <c r="M690" t="n">
        <v>0</v>
      </c>
      <c r="N690" t="n">
        <v>0</v>
      </c>
      <c r="O690" t="n">
        <v>0</v>
      </c>
      <c r="P690" t="n">
        <v>0</v>
      </c>
      <c r="Q690" t="n">
        <v>0</v>
      </c>
      <c r="R690" s="2" t="inlineStr"/>
    </row>
    <row r="691" ht="15" customHeight="1">
      <c r="A691" t="inlineStr">
        <is>
          <t>A 8983-2026</t>
        </is>
      </c>
      <c r="B691" s="1" t="n">
        <v>46069</v>
      </c>
      <c r="C691" s="1" t="n">
        <v>46116</v>
      </c>
      <c r="D691" t="inlineStr">
        <is>
          <t>DALARNAS LÄN</t>
        </is>
      </c>
      <c r="E691" t="inlineStr">
        <is>
          <t>MORA</t>
        </is>
      </c>
      <c r="G691" t="n">
        <v>4.8</v>
      </c>
      <c r="H691" t="n">
        <v>0</v>
      </c>
      <c r="I691" t="n">
        <v>0</v>
      </c>
      <c r="J691" t="n">
        <v>0</v>
      </c>
      <c r="K691" t="n">
        <v>0</v>
      </c>
      <c r="L691" t="n">
        <v>0</v>
      </c>
      <c r="M691" t="n">
        <v>0</v>
      </c>
      <c r="N691" t="n">
        <v>0</v>
      </c>
      <c r="O691" t="n">
        <v>0</v>
      </c>
      <c r="P691" t="n">
        <v>0</v>
      </c>
      <c r="Q691" t="n">
        <v>0</v>
      </c>
      <c r="R691" s="2" t="inlineStr"/>
    </row>
    <row r="692" ht="15" customHeight="1">
      <c r="A692" t="inlineStr">
        <is>
          <t>A 58036-2024</t>
        </is>
      </c>
      <c r="B692" s="1" t="n">
        <v>45631.71893518518</v>
      </c>
      <c r="C692" s="1" t="n">
        <v>46116</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16114-2026</t>
        </is>
      </c>
      <c r="B693" s="1" t="n">
        <v>46108.61211805556</v>
      </c>
      <c r="C693" s="1" t="n">
        <v>46116</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3430-2023</t>
        </is>
      </c>
      <c r="B694" s="1" t="n">
        <v>44949.57856481482</v>
      </c>
      <c r="C694" s="1" t="n">
        <v>46116</v>
      </c>
      <c r="D694" t="inlineStr">
        <is>
          <t>DALARNAS LÄN</t>
        </is>
      </c>
      <c r="E694" t="inlineStr">
        <is>
          <t>MORA</t>
        </is>
      </c>
      <c r="G694" t="n">
        <v>2.6</v>
      </c>
      <c r="H694" t="n">
        <v>0</v>
      </c>
      <c r="I694" t="n">
        <v>0</v>
      </c>
      <c r="J694" t="n">
        <v>0</v>
      </c>
      <c r="K694" t="n">
        <v>0</v>
      </c>
      <c r="L694" t="n">
        <v>0</v>
      </c>
      <c r="M694" t="n">
        <v>0</v>
      </c>
      <c r="N694" t="n">
        <v>0</v>
      </c>
      <c r="O694" t="n">
        <v>0</v>
      </c>
      <c r="P694" t="n">
        <v>0</v>
      </c>
      <c r="Q694" t="n">
        <v>0</v>
      </c>
      <c r="R694" s="2" t="inlineStr"/>
    </row>
    <row r="695" ht="15" customHeight="1">
      <c r="A695" t="inlineStr">
        <is>
          <t>A 15172-2025</t>
        </is>
      </c>
      <c r="B695" s="1" t="n">
        <v>45744.50722222222</v>
      </c>
      <c r="C695" s="1" t="n">
        <v>46116</v>
      </c>
      <c r="D695" t="inlineStr">
        <is>
          <t>DALARNAS LÄN</t>
        </is>
      </c>
      <c r="E695" t="inlineStr">
        <is>
          <t>MORA</t>
        </is>
      </c>
      <c r="G695" t="n">
        <v>3.2</v>
      </c>
      <c r="H695" t="n">
        <v>0</v>
      </c>
      <c r="I695" t="n">
        <v>0</v>
      </c>
      <c r="J695" t="n">
        <v>0</v>
      </c>
      <c r="K695" t="n">
        <v>0</v>
      </c>
      <c r="L695" t="n">
        <v>0</v>
      </c>
      <c r="M695" t="n">
        <v>0</v>
      </c>
      <c r="N695" t="n">
        <v>0</v>
      </c>
      <c r="O695" t="n">
        <v>0</v>
      </c>
      <c r="P695" t="n">
        <v>0</v>
      </c>
      <c r="Q695" t="n">
        <v>0</v>
      </c>
      <c r="R695" s="2" t="inlineStr"/>
    </row>
    <row r="696" ht="15" customHeight="1">
      <c r="A696" t="inlineStr">
        <is>
          <t>A 8762-2026</t>
        </is>
      </c>
      <c r="B696" s="1" t="n">
        <v>46066.55876157407</v>
      </c>
      <c r="C696" s="1" t="n">
        <v>46116</v>
      </c>
      <c r="D696" t="inlineStr">
        <is>
          <t>DALARNAS LÄN</t>
        </is>
      </c>
      <c r="E696" t="inlineStr">
        <is>
          <t>MORA</t>
        </is>
      </c>
      <c r="F696" t="inlineStr">
        <is>
          <t>Bergvik skog väst AB</t>
        </is>
      </c>
      <c r="G696" t="n">
        <v>1.8</v>
      </c>
      <c r="H696" t="n">
        <v>0</v>
      </c>
      <c r="I696" t="n">
        <v>0</v>
      </c>
      <c r="J696" t="n">
        <v>0</v>
      </c>
      <c r="K696" t="n">
        <v>0</v>
      </c>
      <c r="L696" t="n">
        <v>0</v>
      </c>
      <c r="M696" t="n">
        <v>0</v>
      </c>
      <c r="N696" t="n">
        <v>0</v>
      </c>
      <c r="O696" t="n">
        <v>0</v>
      </c>
      <c r="P696" t="n">
        <v>0</v>
      </c>
      <c r="Q696" t="n">
        <v>0</v>
      </c>
      <c r="R696" s="2" t="inlineStr"/>
    </row>
    <row r="697" ht="15" customHeight="1">
      <c r="A697" t="inlineStr">
        <is>
          <t>A 15860-2026</t>
        </is>
      </c>
      <c r="B697" s="1" t="n">
        <v>46107</v>
      </c>
      <c r="C697" s="1" t="n">
        <v>46116</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15203-2026</t>
        </is>
      </c>
      <c r="B698" s="1" t="n">
        <v>46105</v>
      </c>
      <c r="C698" s="1" t="n">
        <v>46116</v>
      </c>
      <c r="D698" t="inlineStr">
        <is>
          <t>DALARNAS LÄN</t>
        </is>
      </c>
      <c r="E698" t="inlineStr">
        <is>
          <t>MORA</t>
        </is>
      </c>
      <c r="G698" t="n">
        <v>2.5</v>
      </c>
      <c r="H698" t="n">
        <v>0</v>
      </c>
      <c r="I698" t="n">
        <v>0</v>
      </c>
      <c r="J698" t="n">
        <v>0</v>
      </c>
      <c r="K698" t="n">
        <v>0</v>
      </c>
      <c r="L698" t="n">
        <v>0</v>
      </c>
      <c r="M698" t="n">
        <v>0</v>
      </c>
      <c r="N698" t="n">
        <v>0</v>
      </c>
      <c r="O698" t="n">
        <v>0</v>
      </c>
      <c r="P698" t="n">
        <v>0</v>
      </c>
      <c r="Q698" t="n">
        <v>0</v>
      </c>
      <c r="R698" s="2" t="inlineStr"/>
    </row>
    <row r="699" ht="15" customHeight="1">
      <c r="A699" t="inlineStr">
        <is>
          <t>A 16547-2026</t>
        </is>
      </c>
      <c r="B699" s="1" t="n">
        <v>46112.5105787037</v>
      </c>
      <c r="C699" s="1" t="n">
        <v>46116</v>
      </c>
      <c r="D699" t="inlineStr">
        <is>
          <t>DALARNAS LÄN</t>
        </is>
      </c>
      <c r="E699" t="inlineStr">
        <is>
          <t>MORA</t>
        </is>
      </c>
      <c r="G699" t="n">
        <v>0.9</v>
      </c>
      <c r="H699" t="n">
        <v>0</v>
      </c>
      <c r="I699" t="n">
        <v>0</v>
      </c>
      <c r="J699" t="n">
        <v>0</v>
      </c>
      <c r="K699" t="n">
        <v>0</v>
      </c>
      <c r="L699" t="n">
        <v>0</v>
      </c>
      <c r="M699" t="n">
        <v>0</v>
      </c>
      <c r="N699" t="n">
        <v>0</v>
      </c>
      <c r="O699" t="n">
        <v>0</v>
      </c>
      <c r="P699" t="n">
        <v>0</v>
      </c>
      <c r="Q699" t="n">
        <v>0</v>
      </c>
      <c r="R699" s="2" t="inlineStr"/>
    </row>
    <row r="700" ht="15" customHeight="1">
      <c r="A700" t="inlineStr">
        <is>
          <t>A 16386-2026</t>
        </is>
      </c>
      <c r="B700" s="1" t="n">
        <v>46111</v>
      </c>
      <c r="C700" s="1" t="n">
        <v>46116</v>
      </c>
      <c r="D700" t="inlineStr">
        <is>
          <t>DALARNAS LÄN</t>
        </is>
      </c>
      <c r="E700" t="inlineStr">
        <is>
          <t>MORA</t>
        </is>
      </c>
      <c r="G700" t="n">
        <v>1.4</v>
      </c>
      <c r="H700" t="n">
        <v>0</v>
      </c>
      <c r="I700" t="n">
        <v>0</v>
      </c>
      <c r="J700" t="n">
        <v>0</v>
      </c>
      <c r="K700" t="n">
        <v>0</v>
      </c>
      <c r="L700" t="n">
        <v>0</v>
      </c>
      <c r="M700" t="n">
        <v>0</v>
      </c>
      <c r="N700" t="n">
        <v>0</v>
      </c>
      <c r="O700" t="n">
        <v>0</v>
      </c>
      <c r="P700" t="n">
        <v>0</v>
      </c>
      <c r="Q700" t="n">
        <v>0</v>
      </c>
      <c r="R700" s="2" t="inlineStr"/>
    </row>
    <row r="701" ht="15" customHeight="1">
      <c r="A701" t="inlineStr">
        <is>
          <t>A 39897-2022</t>
        </is>
      </c>
      <c r="B701" s="1" t="n">
        <v>44819.66083333334</v>
      </c>
      <c r="C701" s="1" t="n">
        <v>46116</v>
      </c>
      <c r="D701" t="inlineStr">
        <is>
          <t>DALARNAS LÄN</t>
        </is>
      </c>
      <c r="E701" t="inlineStr">
        <is>
          <t>MORA</t>
        </is>
      </c>
      <c r="G701" t="n">
        <v>15.8</v>
      </c>
      <c r="H701" t="n">
        <v>0</v>
      </c>
      <c r="I701" t="n">
        <v>0</v>
      </c>
      <c r="J701" t="n">
        <v>0</v>
      </c>
      <c r="K701" t="n">
        <v>0</v>
      </c>
      <c r="L701" t="n">
        <v>0</v>
      </c>
      <c r="M701" t="n">
        <v>0</v>
      </c>
      <c r="N701" t="n">
        <v>0</v>
      </c>
      <c r="O701" t="n">
        <v>0</v>
      </c>
      <c r="P701" t="n">
        <v>0</v>
      </c>
      <c r="Q701" t="n">
        <v>0</v>
      </c>
      <c r="R701" s="2" t="inlineStr"/>
    </row>
    <row r="702" ht="15" customHeight="1">
      <c r="A702" t="inlineStr">
        <is>
          <t>A 62853-2023</t>
        </is>
      </c>
      <c r="B702" s="1" t="n">
        <v>45272</v>
      </c>
      <c r="C702" s="1" t="n">
        <v>46116</v>
      </c>
      <c r="D702" t="inlineStr">
        <is>
          <t>DALARNAS LÄN</t>
        </is>
      </c>
      <c r="E702" t="inlineStr">
        <is>
          <t>MORA</t>
        </is>
      </c>
      <c r="G702" t="n">
        <v>13.6</v>
      </c>
      <c r="H702" t="n">
        <v>0</v>
      </c>
      <c r="I702" t="n">
        <v>0</v>
      </c>
      <c r="J702" t="n">
        <v>0</v>
      </c>
      <c r="K702" t="n">
        <v>0</v>
      </c>
      <c r="L702" t="n">
        <v>0</v>
      </c>
      <c r="M702" t="n">
        <v>0</v>
      </c>
      <c r="N702" t="n">
        <v>0</v>
      </c>
      <c r="O702" t="n">
        <v>0</v>
      </c>
      <c r="P702" t="n">
        <v>0</v>
      </c>
      <c r="Q702" t="n">
        <v>0</v>
      </c>
      <c r="R702" s="2" t="inlineStr"/>
    </row>
    <row r="703" ht="15" customHeight="1">
      <c r="A703" t="inlineStr">
        <is>
          <t>A 9421-2026</t>
        </is>
      </c>
      <c r="B703" s="1" t="n">
        <v>46071</v>
      </c>
      <c r="C703" s="1" t="n">
        <v>46116</v>
      </c>
      <c r="D703" t="inlineStr">
        <is>
          <t>DALARNAS LÄN</t>
        </is>
      </c>
      <c r="E703" t="inlineStr">
        <is>
          <t>MORA</t>
        </is>
      </c>
      <c r="G703" t="n">
        <v>8.1</v>
      </c>
      <c r="H703" t="n">
        <v>0</v>
      </c>
      <c r="I703" t="n">
        <v>0</v>
      </c>
      <c r="J703" t="n">
        <v>0</v>
      </c>
      <c r="K703" t="n">
        <v>0</v>
      </c>
      <c r="L703" t="n">
        <v>0</v>
      </c>
      <c r="M703" t="n">
        <v>0</v>
      </c>
      <c r="N703" t="n">
        <v>0</v>
      </c>
      <c r="O703" t="n">
        <v>0</v>
      </c>
      <c r="P703" t="n">
        <v>0</v>
      </c>
      <c r="Q703" t="n">
        <v>0</v>
      </c>
      <c r="R703" s="2" t="inlineStr"/>
    </row>
    <row r="704" ht="15" customHeight="1">
      <c r="A704" t="inlineStr">
        <is>
          <t>A 9350-2026</t>
        </is>
      </c>
      <c r="B704" s="1" t="n">
        <v>46070</v>
      </c>
      <c r="C704" s="1" t="n">
        <v>46116</v>
      </c>
      <c r="D704" t="inlineStr">
        <is>
          <t>DALARNAS LÄN</t>
        </is>
      </c>
      <c r="E704" t="inlineStr">
        <is>
          <t>MORA</t>
        </is>
      </c>
      <c r="G704" t="n">
        <v>0.9</v>
      </c>
      <c r="H704" t="n">
        <v>0</v>
      </c>
      <c r="I704" t="n">
        <v>0</v>
      </c>
      <c r="J704" t="n">
        <v>0</v>
      </c>
      <c r="K704" t="n">
        <v>0</v>
      </c>
      <c r="L704" t="n">
        <v>0</v>
      </c>
      <c r="M704" t="n">
        <v>0</v>
      </c>
      <c r="N704" t="n">
        <v>0</v>
      </c>
      <c r="O704" t="n">
        <v>0</v>
      </c>
      <c r="P704" t="n">
        <v>0</v>
      </c>
      <c r="Q704" t="n">
        <v>0</v>
      </c>
      <c r="R704" s="2" t="inlineStr"/>
    </row>
    <row r="705" ht="15" customHeight="1">
      <c r="A705" t="inlineStr">
        <is>
          <t>A 11919-2024</t>
        </is>
      </c>
      <c r="B705" s="1" t="n">
        <v>45376.61019675926</v>
      </c>
      <c r="C705" s="1" t="n">
        <v>46116</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9536-2026</t>
        </is>
      </c>
      <c r="B706" s="1" t="n">
        <v>46071</v>
      </c>
      <c r="C706" s="1" t="n">
        <v>46116</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1897-2023</t>
        </is>
      </c>
      <c r="B707" s="1" t="n">
        <v>44937</v>
      </c>
      <c r="C707" s="1" t="n">
        <v>46116</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37385-2022</t>
        </is>
      </c>
      <c r="B708" s="1" t="n">
        <v>44806</v>
      </c>
      <c r="C708" s="1" t="n">
        <v>46116</v>
      </c>
      <c r="D708" t="inlineStr">
        <is>
          <t>DALARNAS LÄN</t>
        </is>
      </c>
      <c r="E708" t="inlineStr">
        <is>
          <t>MORA</t>
        </is>
      </c>
      <c r="G708" t="n">
        <v>2.2</v>
      </c>
      <c r="H708" t="n">
        <v>0</v>
      </c>
      <c r="I708" t="n">
        <v>0</v>
      </c>
      <c r="J708" t="n">
        <v>0</v>
      </c>
      <c r="K708" t="n">
        <v>0</v>
      </c>
      <c r="L708" t="n">
        <v>0</v>
      </c>
      <c r="M708" t="n">
        <v>0</v>
      </c>
      <c r="N708" t="n">
        <v>0</v>
      </c>
      <c r="O708" t="n">
        <v>0</v>
      </c>
      <c r="P708" t="n">
        <v>0</v>
      </c>
      <c r="Q708" t="n">
        <v>0</v>
      </c>
      <c r="R708" s="2" t="inlineStr"/>
    </row>
    <row r="709" ht="15" customHeight="1">
      <c r="A709" t="inlineStr">
        <is>
          <t>A 42391-2023</t>
        </is>
      </c>
      <c r="B709" s="1" t="n">
        <v>45180</v>
      </c>
      <c r="C709" s="1" t="n">
        <v>46116</v>
      </c>
      <c r="D709" t="inlineStr">
        <is>
          <t>DALARNAS LÄN</t>
        </is>
      </c>
      <c r="E709" t="inlineStr">
        <is>
          <t>MORA</t>
        </is>
      </c>
      <c r="F709" t="inlineStr">
        <is>
          <t>Kommuner</t>
        </is>
      </c>
      <c r="G709" t="n">
        <v>0.3</v>
      </c>
      <c r="H709" t="n">
        <v>0</v>
      </c>
      <c r="I709" t="n">
        <v>0</v>
      </c>
      <c r="J709" t="n">
        <v>0</v>
      </c>
      <c r="K709" t="n">
        <v>0</v>
      </c>
      <c r="L709" t="n">
        <v>0</v>
      </c>
      <c r="M709" t="n">
        <v>0</v>
      </c>
      <c r="N709" t="n">
        <v>0</v>
      </c>
      <c r="O709" t="n">
        <v>0</v>
      </c>
      <c r="P709" t="n">
        <v>0</v>
      </c>
      <c r="Q709" t="n">
        <v>0</v>
      </c>
      <c r="R709" s="2" t="inlineStr"/>
    </row>
    <row r="710" ht="15" customHeight="1">
      <c r="A710" t="inlineStr">
        <is>
          <t>A 70141-2021</t>
        </is>
      </c>
      <c r="B710" s="1" t="n">
        <v>44533</v>
      </c>
      <c r="C710" s="1" t="n">
        <v>46116</v>
      </c>
      <c r="D710" t="inlineStr">
        <is>
          <t>DALARNAS LÄN</t>
        </is>
      </c>
      <c r="E710" t="inlineStr">
        <is>
          <t>MORA</t>
        </is>
      </c>
      <c r="G710" t="n">
        <v>4.1</v>
      </c>
      <c r="H710" t="n">
        <v>0</v>
      </c>
      <c r="I710" t="n">
        <v>0</v>
      </c>
      <c r="J710" t="n">
        <v>0</v>
      </c>
      <c r="K710" t="n">
        <v>0</v>
      </c>
      <c r="L710" t="n">
        <v>0</v>
      </c>
      <c r="M710" t="n">
        <v>0</v>
      </c>
      <c r="N710" t="n">
        <v>0</v>
      </c>
      <c r="O710" t="n">
        <v>0</v>
      </c>
      <c r="P710" t="n">
        <v>0</v>
      </c>
      <c r="Q710" t="n">
        <v>0</v>
      </c>
      <c r="R710" s="2" t="inlineStr"/>
    </row>
    <row r="711" ht="15" customHeight="1">
      <c r="A711" t="inlineStr">
        <is>
          <t>A 9740-2026</t>
        </is>
      </c>
      <c r="B711" s="1" t="n">
        <v>46072</v>
      </c>
      <c r="C711" s="1" t="n">
        <v>46116</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64093-2023</t>
        </is>
      </c>
      <c r="B712" s="1" t="n">
        <v>45279</v>
      </c>
      <c r="C712" s="1" t="n">
        <v>46116</v>
      </c>
      <c r="D712" t="inlineStr">
        <is>
          <t>DALARNAS LÄN</t>
        </is>
      </c>
      <c r="E712" t="inlineStr">
        <is>
          <t>MORA</t>
        </is>
      </c>
      <c r="G712" t="n">
        <v>0.9</v>
      </c>
      <c r="H712" t="n">
        <v>0</v>
      </c>
      <c r="I712" t="n">
        <v>0</v>
      </c>
      <c r="J712" t="n">
        <v>0</v>
      </c>
      <c r="K712" t="n">
        <v>0</v>
      </c>
      <c r="L712" t="n">
        <v>0</v>
      </c>
      <c r="M712" t="n">
        <v>0</v>
      </c>
      <c r="N712" t="n">
        <v>0</v>
      </c>
      <c r="O712" t="n">
        <v>0</v>
      </c>
      <c r="P712" t="n">
        <v>0</v>
      </c>
      <c r="Q712" t="n">
        <v>0</v>
      </c>
      <c r="R712" s="2" t="inlineStr"/>
    </row>
    <row r="713" ht="15" customHeight="1">
      <c r="A713" t="inlineStr">
        <is>
          <t>A 9733-2026</t>
        </is>
      </c>
      <c r="B713" s="1" t="n">
        <v>46072</v>
      </c>
      <c r="C713" s="1" t="n">
        <v>46116</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14397-2026</t>
        </is>
      </c>
      <c r="B714" s="1" t="n">
        <v>46100</v>
      </c>
      <c r="C714" s="1" t="n">
        <v>46116</v>
      </c>
      <c r="D714" t="inlineStr">
        <is>
          <t>DALARNAS LÄN</t>
        </is>
      </c>
      <c r="E714" t="inlineStr">
        <is>
          <t>MORA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37471-2024</t>
        </is>
      </c>
      <c r="B715" s="1" t="n">
        <v>45540.85054398148</v>
      </c>
      <c r="C715" s="1" t="n">
        <v>46116</v>
      </c>
      <c r="D715" t="inlineStr">
        <is>
          <t>DALARNAS LÄN</t>
        </is>
      </c>
      <c r="E715" t="inlineStr">
        <is>
          <t>MORA</t>
        </is>
      </c>
      <c r="G715" t="n">
        <v>3.5</v>
      </c>
      <c r="H715" t="n">
        <v>0</v>
      </c>
      <c r="I715" t="n">
        <v>0</v>
      </c>
      <c r="J715" t="n">
        <v>0</v>
      </c>
      <c r="K715" t="n">
        <v>0</v>
      </c>
      <c r="L715" t="n">
        <v>0</v>
      </c>
      <c r="M715" t="n">
        <v>0</v>
      </c>
      <c r="N715" t="n">
        <v>0</v>
      </c>
      <c r="O715" t="n">
        <v>0</v>
      </c>
      <c r="P715" t="n">
        <v>0</v>
      </c>
      <c r="Q715" t="n">
        <v>0</v>
      </c>
      <c r="R715" s="2" t="inlineStr"/>
    </row>
    <row r="716" ht="15" customHeight="1">
      <c r="A716" t="inlineStr">
        <is>
          <t>A 14936-2025</t>
        </is>
      </c>
      <c r="B716" s="1" t="n">
        <v>45743.55756944444</v>
      </c>
      <c r="C716" s="1" t="n">
        <v>46116</v>
      </c>
      <c r="D716" t="inlineStr">
        <is>
          <t>DALARNAS LÄN</t>
        </is>
      </c>
      <c r="E716" t="inlineStr">
        <is>
          <t>MORA</t>
        </is>
      </c>
      <c r="G716" t="n">
        <v>2.4</v>
      </c>
      <c r="H716" t="n">
        <v>0</v>
      </c>
      <c r="I716" t="n">
        <v>0</v>
      </c>
      <c r="J716" t="n">
        <v>0</v>
      </c>
      <c r="K716" t="n">
        <v>0</v>
      </c>
      <c r="L716" t="n">
        <v>0</v>
      </c>
      <c r="M716" t="n">
        <v>0</v>
      </c>
      <c r="N716" t="n">
        <v>0</v>
      </c>
      <c r="O716" t="n">
        <v>0</v>
      </c>
      <c r="P716" t="n">
        <v>0</v>
      </c>
      <c r="Q716" t="n">
        <v>0</v>
      </c>
      <c r="R716" s="2" t="inlineStr"/>
    </row>
    <row r="717" ht="15" customHeight="1">
      <c r="A717" t="inlineStr">
        <is>
          <t>A 9788-2026</t>
        </is>
      </c>
      <c r="B717" s="1" t="n">
        <v>46072</v>
      </c>
      <c r="C717" s="1" t="n">
        <v>46116</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53344-2023</t>
        </is>
      </c>
      <c r="B718" s="1" t="n">
        <v>45229</v>
      </c>
      <c r="C718" s="1" t="n">
        <v>46116</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53754-2024</t>
        </is>
      </c>
      <c r="B719" s="1" t="n">
        <v>45615.49371527778</v>
      </c>
      <c r="C719" s="1" t="n">
        <v>46116</v>
      </c>
      <c r="D719" t="inlineStr">
        <is>
          <t>DALARNAS LÄN</t>
        </is>
      </c>
      <c r="E719" t="inlineStr">
        <is>
          <t>MORA</t>
        </is>
      </c>
      <c r="G719" t="n">
        <v>4.8</v>
      </c>
      <c r="H719" t="n">
        <v>0</v>
      </c>
      <c r="I719" t="n">
        <v>0</v>
      </c>
      <c r="J719" t="n">
        <v>0</v>
      </c>
      <c r="K719" t="n">
        <v>0</v>
      </c>
      <c r="L719" t="n">
        <v>0</v>
      </c>
      <c r="M719" t="n">
        <v>0</v>
      </c>
      <c r="N719" t="n">
        <v>0</v>
      </c>
      <c r="O719" t="n">
        <v>0</v>
      </c>
      <c r="P719" t="n">
        <v>0</v>
      </c>
      <c r="Q719" t="n">
        <v>0</v>
      </c>
      <c r="R719" s="2" t="inlineStr"/>
    </row>
    <row r="720" ht="15" customHeight="1">
      <c r="A720" t="inlineStr">
        <is>
          <t>A 14040-2023</t>
        </is>
      </c>
      <c r="B720" s="1" t="n">
        <v>45008.64575231481</v>
      </c>
      <c r="C720" s="1" t="n">
        <v>46116</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56770-2024</t>
        </is>
      </c>
      <c r="B721" s="1" t="n">
        <v>45628.41587962963</v>
      </c>
      <c r="C721" s="1" t="n">
        <v>46116</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18120-2025</t>
        </is>
      </c>
      <c r="B722" s="1" t="n">
        <v>45761</v>
      </c>
      <c r="C722" s="1" t="n">
        <v>46116</v>
      </c>
      <c r="D722" t="inlineStr">
        <is>
          <t>DALARNAS LÄN</t>
        </is>
      </c>
      <c r="E722" t="inlineStr">
        <is>
          <t>MORA</t>
        </is>
      </c>
      <c r="F722" t="inlineStr">
        <is>
          <t>Bergvik skog väst AB</t>
        </is>
      </c>
      <c r="G722" t="n">
        <v>6.4</v>
      </c>
      <c r="H722" t="n">
        <v>0</v>
      </c>
      <c r="I722" t="n">
        <v>0</v>
      </c>
      <c r="J722" t="n">
        <v>0</v>
      </c>
      <c r="K722" t="n">
        <v>0</v>
      </c>
      <c r="L722" t="n">
        <v>0</v>
      </c>
      <c r="M722" t="n">
        <v>0</v>
      </c>
      <c r="N722" t="n">
        <v>0</v>
      </c>
      <c r="O722" t="n">
        <v>0</v>
      </c>
      <c r="P722" t="n">
        <v>0</v>
      </c>
      <c r="Q722" t="n">
        <v>0</v>
      </c>
      <c r="R722" s="2" t="inlineStr"/>
    </row>
    <row r="723" ht="15" customHeight="1">
      <c r="A723" t="inlineStr">
        <is>
          <t>A 18127-2025</t>
        </is>
      </c>
      <c r="B723" s="1" t="n">
        <v>45761.59523148148</v>
      </c>
      <c r="C723" s="1" t="n">
        <v>46116</v>
      </c>
      <c r="D723" t="inlineStr">
        <is>
          <t>DALARNAS LÄN</t>
        </is>
      </c>
      <c r="E723" t="inlineStr">
        <is>
          <t>MORA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4489-2022</t>
        </is>
      </c>
      <c r="B724" s="1" t="n">
        <v>44589</v>
      </c>
      <c r="C724" s="1" t="n">
        <v>46116</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45574-2023</t>
        </is>
      </c>
      <c r="B725" s="1" t="n">
        <v>45194</v>
      </c>
      <c r="C725" s="1" t="n">
        <v>46116</v>
      </c>
      <c r="D725" t="inlineStr">
        <is>
          <t>DALARNAS LÄN</t>
        </is>
      </c>
      <c r="E725" t="inlineStr">
        <is>
          <t>MORA</t>
        </is>
      </c>
      <c r="G725" t="n">
        <v>6.3</v>
      </c>
      <c r="H725" t="n">
        <v>0</v>
      </c>
      <c r="I725" t="n">
        <v>0</v>
      </c>
      <c r="J725" t="n">
        <v>0</v>
      </c>
      <c r="K725" t="n">
        <v>0</v>
      </c>
      <c r="L725" t="n">
        <v>0</v>
      </c>
      <c r="M725" t="n">
        <v>0</v>
      </c>
      <c r="N725" t="n">
        <v>0</v>
      </c>
      <c r="O725" t="n">
        <v>0</v>
      </c>
      <c r="P725" t="n">
        <v>0</v>
      </c>
      <c r="Q725" t="n">
        <v>0</v>
      </c>
      <c r="R725" s="2" t="inlineStr"/>
    </row>
    <row r="726" ht="15" customHeight="1">
      <c r="A726" t="inlineStr">
        <is>
          <t>A 45315-2024</t>
        </is>
      </c>
      <c r="B726" s="1" t="n">
        <v>45576.43782407408</v>
      </c>
      <c r="C726" s="1" t="n">
        <v>46116</v>
      </c>
      <c r="D726" t="inlineStr">
        <is>
          <t>DALARNAS LÄN</t>
        </is>
      </c>
      <c r="E726" t="inlineStr">
        <is>
          <t>MORA</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17172-2025</t>
        </is>
      </c>
      <c r="B727" s="1" t="n">
        <v>45756.37201388889</v>
      </c>
      <c r="C727" s="1" t="n">
        <v>46116</v>
      </c>
      <c r="D727" t="inlineStr">
        <is>
          <t>DALARNAS LÄN</t>
        </is>
      </c>
      <c r="E727" t="inlineStr">
        <is>
          <t>MORA</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39009-2023</t>
        </is>
      </c>
      <c r="B728" s="1" t="n">
        <v>45162</v>
      </c>
      <c r="C728" s="1" t="n">
        <v>46116</v>
      </c>
      <c r="D728" t="inlineStr">
        <is>
          <t>DALARNAS LÄN</t>
        </is>
      </c>
      <c r="E728" t="inlineStr">
        <is>
          <t>MORA</t>
        </is>
      </c>
      <c r="G728" t="n">
        <v>1.9</v>
      </c>
      <c r="H728" t="n">
        <v>0</v>
      </c>
      <c r="I728" t="n">
        <v>0</v>
      </c>
      <c r="J728" t="n">
        <v>0</v>
      </c>
      <c r="K728" t="n">
        <v>0</v>
      </c>
      <c r="L728" t="n">
        <v>0</v>
      </c>
      <c r="M728" t="n">
        <v>0</v>
      </c>
      <c r="N728" t="n">
        <v>0</v>
      </c>
      <c r="O728" t="n">
        <v>0</v>
      </c>
      <c r="P728" t="n">
        <v>0</v>
      </c>
      <c r="Q728" t="n">
        <v>0</v>
      </c>
      <c r="R728" s="2" t="inlineStr"/>
    </row>
    <row r="729" ht="15" customHeight="1">
      <c r="A729" t="inlineStr">
        <is>
          <t>A 56532-2024</t>
        </is>
      </c>
      <c r="B729" s="1" t="n">
        <v>45625.55440972222</v>
      </c>
      <c r="C729" s="1" t="n">
        <v>46116</v>
      </c>
      <c r="D729" t="inlineStr">
        <is>
          <t>DALARNAS LÄN</t>
        </is>
      </c>
      <c r="E729" t="inlineStr">
        <is>
          <t>MORA</t>
        </is>
      </c>
      <c r="G729" t="n">
        <v>6.9</v>
      </c>
      <c r="H729" t="n">
        <v>0</v>
      </c>
      <c r="I729" t="n">
        <v>0</v>
      </c>
      <c r="J729" t="n">
        <v>0</v>
      </c>
      <c r="K729" t="n">
        <v>0</v>
      </c>
      <c r="L729" t="n">
        <v>0</v>
      </c>
      <c r="M729" t="n">
        <v>0</v>
      </c>
      <c r="N729" t="n">
        <v>0</v>
      </c>
      <c r="O729" t="n">
        <v>0</v>
      </c>
      <c r="P729" t="n">
        <v>0</v>
      </c>
      <c r="Q729" t="n">
        <v>0</v>
      </c>
      <c r="R729" s="2" t="inlineStr"/>
    </row>
    <row r="730" ht="15" customHeight="1">
      <c r="A730" t="inlineStr">
        <is>
          <t>A 5001-2025</t>
        </is>
      </c>
      <c r="B730" s="1" t="n">
        <v>45691.36403935185</v>
      </c>
      <c r="C730" s="1" t="n">
        <v>46116</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60360-2023</t>
        </is>
      </c>
      <c r="B731" s="1" t="n">
        <v>45259</v>
      </c>
      <c r="C731" s="1" t="n">
        <v>46116</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17164-2025</t>
        </is>
      </c>
      <c r="B732" s="1" t="n">
        <v>45756.36403935185</v>
      </c>
      <c r="C732" s="1" t="n">
        <v>46116</v>
      </c>
      <c r="D732" t="inlineStr">
        <is>
          <t>DALARNAS LÄN</t>
        </is>
      </c>
      <c r="E732" t="inlineStr">
        <is>
          <t>MORA</t>
        </is>
      </c>
      <c r="F732" t="inlineStr">
        <is>
          <t>Bergvik skog öst AB</t>
        </is>
      </c>
      <c r="G732" t="n">
        <v>0.3</v>
      </c>
      <c r="H732" t="n">
        <v>0</v>
      </c>
      <c r="I732" t="n">
        <v>0</v>
      </c>
      <c r="J732" t="n">
        <v>0</v>
      </c>
      <c r="K732" t="n">
        <v>0</v>
      </c>
      <c r="L732" t="n">
        <v>0</v>
      </c>
      <c r="M732" t="n">
        <v>0</v>
      </c>
      <c r="N732" t="n">
        <v>0</v>
      </c>
      <c r="O732" t="n">
        <v>0</v>
      </c>
      <c r="P732" t="n">
        <v>0</v>
      </c>
      <c r="Q732" t="n">
        <v>0</v>
      </c>
      <c r="R732" s="2" t="inlineStr"/>
    </row>
    <row r="733" ht="15" customHeight="1">
      <c r="A733" t="inlineStr">
        <is>
          <t>A 24768-2024</t>
        </is>
      </c>
      <c r="B733" s="1" t="n">
        <v>45460.69545138889</v>
      </c>
      <c r="C733" s="1" t="n">
        <v>46116</v>
      </c>
      <c r="D733" t="inlineStr">
        <is>
          <t>DALARNAS LÄN</t>
        </is>
      </c>
      <c r="E733" t="inlineStr">
        <is>
          <t>MORA</t>
        </is>
      </c>
      <c r="G733" t="n">
        <v>2.4</v>
      </c>
      <c r="H733" t="n">
        <v>0</v>
      </c>
      <c r="I733" t="n">
        <v>0</v>
      </c>
      <c r="J733" t="n">
        <v>0</v>
      </c>
      <c r="K733" t="n">
        <v>0</v>
      </c>
      <c r="L733" t="n">
        <v>0</v>
      </c>
      <c r="M733" t="n">
        <v>0</v>
      </c>
      <c r="N733" t="n">
        <v>0</v>
      </c>
      <c r="O733" t="n">
        <v>0</v>
      </c>
      <c r="P733" t="n">
        <v>0</v>
      </c>
      <c r="Q733" t="n">
        <v>0</v>
      </c>
      <c r="R733" s="2" t="inlineStr"/>
    </row>
    <row r="734" ht="15" customHeight="1">
      <c r="A734" t="inlineStr">
        <is>
          <t>A 17278-2025</t>
        </is>
      </c>
      <c r="B734" s="1" t="n">
        <v>45756.56131944444</v>
      </c>
      <c r="C734" s="1" t="n">
        <v>46116</v>
      </c>
      <c r="D734" t="inlineStr">
        <is>
          <t>DALARNAS LÄN</t>
        </is>
      </c>
      <c r="E734" t="inlineStr">
        <is>
          <t>MORA</t>
        </is>
      </c>
      <c r="G734" t="n">
        <v>3</v>
      </c>
      <c r="H734" t="n">
        <v>0</v>
      </c>
      <c r="I734" t="n">
        <v>0</v>
      </c>
      <c r="J734" t="n">
        <v>0</v>
      </c>
      <c r="K734" t="n">
        <v>0</v>
      </c>
      <c r="L734" t="n">
        <v>0</v>
      </c>
      <c r="M734" t="n">
        <v>0</v>
      </c>
      <c r="N734" t="n">
        <v>0</v>
      </c>
      <c r="O734" t="n">
        <v>0</v>
      </c>
      <c r="P734" t="n">
        <v>0</v>
      </c>
      <c r="Q734" t="n">
        <v>0</v>
      </c>
      <c r="R734" s="2" t="inlineStr"/>
    </row>
    <row r="735" ht="15" customHeight="1">
      <c r="A735" t="inlineStr">
        <is>
          <t>A 4209-2023</t>
        </is>
      </c>
      <c r="B735" s="1" t="n">
        <v>44953</v>
      </c>
      <c r="C735" s="1" t="n">
        <v>46116</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44205-2023</t>
        </is>
      </c>
      <c r="B736" s="1" t="n">
        <v>45188</v>
      </c>
      <c r="C736" s="1" t="n">
        <v>46116</v>
      </c>
      <c r="D736" t="inlineStr">
        <is>
          <t>DALARNAS LÄN</t>
        </is>
      </c>
      <c r="E736" t="inlineStr">
        <is>
          <t>MORA</t>
        </is>
      </c>
      <c r="G736" t="n">
        <v>0.7</v>
      </c>
      <c r="H736" t="n">
        <v>0</v>
      </c>
      <c r="I736" t="n">
        <v>0</v>
      </c>
      <c r="J736" t="n">
        <v>0</v>
      </c>
      <c r="K736" t="n">
        <v>0</v>
      </c>
      <c r="L736" t="n">
        <v>0</v>
      </c>
      <c r="M736" t="n">
        <v>0</v>
      </c>
      <c r="N736" t="n">
        <v>0</v>
      </c>
      <c r="O736" t="n">
        <v>0</v>
      </c>
      <c r="P736" t="n">
        <v>0</v>
      </c>
      <c r="Q736" t="n">
        <v>0</v>
      </c>
      <c r="R736" s="2" t="inlineStr"/>
    </row>
    <row r="737" ht="15" customHeight="1">
      <c r="A737" t="inlineStr">
        <is>
          <t>A 22732-2024</t>
        </is>
      </c>
      <c r="B737" s="1" t="n">
        <v>45448.38677083333</v>
      </c>
      <c r="C737" s="1" t="n">
        <v>46116</v>
      </c>
      <c r="D737" t="inlineStr">
        <is>
          <t>DALARNAS LÄN</t>
        </is>
      </c>
      <c r="E737" t="inlineStr">
        <is>
          <t>MORA</t>
        </is>
      </c>
      <c r="G737" t="n">
        <v>3.6</v>
      </c>
      <c r="H737" t="n">
        <v>0</v>
      </c>
      <c r="I737" t="n">
        <v>0</v>
      </c>
      <c r="J737" t="n">
        <v>0</v>
      </c>
      <c r="K737" t="n">
        <v>0</v>
      </c>
      <c r="L737" t="n">
        <v>0</v>
      </c>
      <c r="M737" t="n">
        <v>0</v>
      </c>
      <c r="N737" t="n">
        <v>0</v>
      </c>
      <c r="O737" t="n">
        <v>0</v>
      </c>
      <c r="P737" t="n">
        <v>0</v>
      </c>
      <c r="Q737" t="n">
        <v>0</v>
      </c>
      <c r="R737" s="2" t="inlineStr"/>
    </row>
    <row r="738" ht="15" customHeight="1">
      <c r="A738" t="inlineStr">
        <is>
          <t>A 19756-2022</t>
        </is>
      </c>
      <c r="B738" s="1" t="n">
        <v>44694.62913194444</v>
      </c>
      <c r="C738" s="1" t="n">
        <v>46116</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46801-2022</t>
        </is>
      </c>
      <c r="B739" s="1" t="n">
        <v>44851</v>
      </c>
      <c r="C739" s="1" t="n">
        <v>46116</v>
      </c>
      <c r="D739" t="inlineStr">
        <is>
          <t>DALARNAS LÄN</t>
        </is>
      </c>
      <c r="E739" t="inlineStr">
        <is>
          <t>MORA</t>
        </is>
      </c>
      <c r="G739" t="n">
        <v>1.5</v>
      </c>
      <c r="H739" t="n">
        <v>0</v>
      </c>
      <c r="I739" t="n">
        <v>0</v>
      </c>
      <c r="J739" t="n">
        <v>0</v>
      </c>
      <c r="K739" t="n">
        <v>0</v>
      </c>
      <c r="L739" t="n">
        <v>0</v>
      </c>
      <c r="M739" t="n">
        <v>0</v>
      </c>
      <c r="N739" t="n">
        <v>0</v>
      </c>
      <c r="O739" t="n">
        <v>0</v>
      </c>
      <c r="P739" t="n">
        <v>0</v>
      </c>
      <c r="Q739" t="n">
        <v>0</v>
      </c>
      <c r="R739" s="2" t="inlineStr"/>
    </row>
    <row r="740" ht="15" customHeight="1">
      <c r="A740" t="inlineStr">
        <is>
          <t>A 5644-2024</t>
        </is>
      </c>
      <c r="B740" s="1" t="n">
        <v>45334</v>
      </c>
      <c r="C740" s="1" t="n">
        <v>46116</v>
      </c>
      <c r="D740" t="inlineStr">
        <is>
          <t>DALARNAS LÄN</t>
        </is>
      </c>
      <c r="E740" t="inlineStr">
        <is>
          <t>MORA</t>
        </is>
      </c>
      <c r="F740" t="inlineStr">
        <is>
          <t>Bergvik skog väst AB</t>
        </is>
      </c>
      <c r="G740" t="n">
        <v>0.6</v>
      </c>
      <c r="H740" t="n">
        <v>0</v>
      </c>
      <c r="I740" t="n">
        <v>0</v>
      </c>
      <c r="J740" t="n">
        <v>0</v>
      </c>
      <c r="K740" t="n">
        <v>0</v>
      </c>
      <c r="L740" t="n">
        <v>0</v>
      </c>
      <c r="M740" t="n">
        <v>0</v>
      </c>
      <c r="N740" t="n">
        <v>0</v>
      </c>
      <c r="O740" t="n">
        <v>0</v>
      </c>
      <c r="P740" t="n">
        <v>0</v>
      </c>
      <c r="Q740" t="n">
        <v>0</v>
      </c>
      <c r="R740" s="2" t="inlineStr"/>
    </row>
    <row r="741" ht="15" customHeight="1">
      <c r="A741" t="inlineStr">
        <is>
          <t>A 33627-2024</t>
        </is>
      </c>
      <c r="B741" s="1" t="n">
        <v>45520</v>
      </c>
      <c r="C741" s="1" t="n">
        <v>46116</v>
      </c>
      <c r="D741" t="inlineStr">
        <is>
          <t>DALARNAS LÄN</t>
        </is>
      </c>
      <c r="E741" t="inlineStr">
        <is>
          <t>MORA</t>
        </is>
      </c>
      <c r="G741" t="n">
        <v>1.1</v>
      </c>
      <c r="H741" t="n">
        <v>0</v>
      </c>
      <c r="I741" t="n">
        <v>0</v>
      </c>
      <c r="J741" t="n">
        <v>0</v>
      </c>
      <c r="K741" t="n">
        <v>0</v>
      </c>
      <c r="L741" t="n">
        <v>0</v>
      </c>
      <c r="M741" t="n">
        <v>0</v>
      </c>
      <c r="N741" t="n">
        <v>0</v>
      </c>
      <c r="O741" t="n">
        <v>0</v>
      </c>
      <c r="P741" t="n">
        <v>0</v>
      </c>
      <c r="Q741" t="n">
        <v>0</v>
      </c>
      <c r="R741" s="2" t="inlineStr"/>
    </row>
    <row r="742" ht="15" customHeight="1">
      <c r="A742" t="inlineStr">
        <is>
          <t>A 46923-2024</t>
        </is>
      </c>
      <c r="B742" s="1" t="n">
        <v>45584.42887731481</v>
      </c>
      <c r="C742" s="1" t="n">
        <v>46116</v>
      </c>
      <c r="D742" t="inlineStr">
        <is>
          <t>DALARNAS LÄN</t>
        </is>
      </c>
      <c r="E742" t="inlineStr">
        <is>
          <t>MORA</t>
        </is>
      </c>
      <c r="G742" t="n">
        <v>3.4</v>
      </c>
      <c r="H742" t="n">
        <v>0</v>
      </c>
      <c r="I742" t="n">
        <v>0</v>
      </c>
      <c r="J742" t="n">
        <v>0</v>
      </c>
      <c r="K742" t="n">
        <v>0</v>
      </c>
      <c r="L742" t="n">
        <v>0</v>
      </c>
      <c r="M742" t="n">
        <v>0</v>
      </c>
      <c r="N742" t="n">
        <v>0</v>
      </c>
      <c r="O742" t="n">
        <v>0</v>
      </c>
      <c r="P742" t="n">
        <v>0</v>
      </c>
      <c r="Q742" t="n">
        <v>0</v>
      </c>
      <c r="R742" s="2" t="inlineStr"/>
    </row>
    <row r="743" ht="15" customHeight="1">
      <c r="A743" t="inlineStr">
        <is>
          <t>A 39888-2024</t>
        </is>
      </c>
      <c r="B743" s="1" t="n">
        <v>45553.47538194444</v>
      </c>
      <c r="C743" s="1" t="n">
        <v>46116</v>
      </c>
      <c r="D743" t="inlineStr">
        <is>
          <t>DALARNAS LÄN</t>
        </is>
      </c>
      <c r="E743" t="inlineStr">
        <is>
          <t>MORA</t>
        </is>
      </c>
      <c r="G743" t="n">
        <v>5.4</v>
      </c>
      <c r="H743" t="n">
        <v>0</v>
      </c>
      <c r="I743" t="n">
        <v>0</v>
      </c>
      <c r="J743" t="n">
        <v>0</v>
      </c>
      <c r="K743" t="n">
        <v>0</v>
      </c>
      <c r="L743" t="n">
        <v>0</v>
      </c>
      <c r="M743" t="n">
        <v>0</v>
      </c>
      <c r="N743" t="n">
        <v>0</v>
      </c>
      <c r="O743" t="n">
        <v>0</v>
      </c>
      <c r="P743" t="n">
        <v>0</v>
      </c>
      <c r="Q743" t="n">
        <v>0</v>
      </c>
      <c r="R743" s="2" t="inlineStr"/>
    </row>
    <row r="744" ht="15" customHeight="1">
      <c r="A744" t="inlineStr">
        <is>
          <t>A 33666-2024</t>
        </is>
      </c>
      <c r="B744" s="1" t="n">
        <v>45520.48304398148</v>
      </c>
      <c r="C744" s="1" t="n">
        <v>46116</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20989-2024</t>
        </is>
      </c>
      <c r="B745" s="1" t="n">
        <v>45439</v>
      </c>
      <c r="C745" s="1" t="n">
        <v>46116</v>
      </c>
      <c r="D745" t="inlineStr">
        <is>
          <t>DALARNAS LÄN</t>
        </is>
      </c>
      <c r="E745" t="inlineStr">
        <is>
          <t>MORA</t>
        </is>
      </c>
      <c r="F745" t="inlineStr">
        <is>
          <t>Bergvik skog öst AB</t>
        </is>
      </c>
      <c r="G745" t="n">
        <v>14.7</v>
      </c>
      <c r="H745" t="n">
        <v>0</v>
      </c>
      <c r="I745" t="n">
        <v>0</v>
      </c>
      <c r="J745" t="n">
        <v>0</v>
      </c>
      <c r="K745" t="n">
        <v>0</v>
      </c>
      <c r="L745" t="n">
        <v>0</v>
      </c>
      <c r="M745" t="n">
        <v>0</v>
      </c>
      <c r="N745" t="n">
        <v>0</v>
      </c>
      <c r="O745" t="n">
        <v>0</v>
      </c>
      <c r="P745" t="n">
        <v>0</v>
      </c>
      <c r="Q745" t="n">
        <v>0</v>
      </c>
      <c r="R745" s="2" t="inlineStr"/>
    </row>
    <row r="746" ht="15" customHeight="1">
      <c r="A746" t="inlineStr">
        <is>
          <t>A 41812-2024</t>
        </is>
      </c>
      <c r="B746" s="1" t="n">
        <v>45561.3771412037</v>
      </c>
      <c r="C746" s="1" t="n">
        <v>46116</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51888-2024</t>
        </is>
      </c>
      <c r="B747" s="1" t="n">
        <v>45607.57142361111</v>
      </c>
      <c r="C747" s="1" t="n">
        <v>46116</v>
      </c>
      <c r="D747" t="inlineStr">
        <is>
          <t>DALARNAS LÄN</t>
        </is>
      </c>
      <c r="E747" t="inlineStr">
        <is>
          <t>MORA</t>
        </is>
      </c>
      <c r="G747" t="n">
        <v>0.9</v>
      </c>
      <c r="H747" t="n">
        <v>0</v>
      </c>
      <c r="I747" t="n">
        <v>0</v>
      </c>
      <c r="J747" t="n">
        <v>0</v>
      </c>
      <c r="K747" t="n">
        <v>0</v>
      </c>
      <c r="L747" t="n">
        <v>0</v>
      </c>
      <c r="M747" t="n">
        <v>0</v>
      </c>
      <c r="N747" t="n">
        <v>0</v>
      </c>
      <c r="O747" t="n">
        <v>0</v>
      </c>
      <c r="P747" t="n">
        <v>0</v>
      </c>
      <c r="Q747" t="n">
        <v>0</v>
      </c>
      <c r="R747" s="2" t="inlineStr"/>
    </row>
    <row r="748" ht="15" customHeight="1">
      <c r="A748" t="inlineStr">
        <is>
          <t>A 32721-2024</t>
        </is>
      </c>
      <c r="B748" s="1" t="n">
        <v>45516.40261574074</v>
      </c>
      <c r="C748" s="1" t="n">
        <v>46116</v>
      </c>
      <c r="D748" t="inlineStr">
        <is>
          <t>DALARNAS LÄN</t>
        </is>
      </c>
      <c r="E748" t="inlineStr">
        <is>
          <t>MORA</t>
        </is>
      </c>
      <c r="G748" t="n">
        <v>4.2</v>
      </c>
      <c r="H748" t="n">
        <v>0</v>
      </c>
      <c r="I748" t="n">
        <v>0</v>
      </c>
      <c r="J748" t="n">
        <v>0</v>
      </c>
      <c r="K748" t="n">
        <v>0</v>
      </c>
      <c r="L748" t="n">
        <v>0</v>
      </c>
      <c r="M748" t="n">
        <v>0</v>
      </c>
      <c r="N748" t="n">
        <v>0</v>
      </c>
      <c r="O748" t="n">
        <v>0</v>
      </c>
      <c r="P748" t="n">
        <v>0</v>
      </c>
      <c r="Q748" t="n">
        <v>0</v>
      </c>
      <c r="R748" s="2" t="inlineStr"/>
    </row>
    <row r="749" ht="15" customHeight="1">
      <c r="A749" t="inlineStr">
        <is>
          <t>A 25749-2023</t>
        </is>
      </c>
      <c r="B749" s="1" t="n">
        <v>45090</v>
      </c>
      <c r="C749" s="1" t="n">
        <v>46116</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40325-2024</t>
        </is>
      </c>
      <c r="B750" s="1" t="n">
        <v>45554.88538194444</v>
      </c>
      <c r="C750" s="1" t="n">
        <v>46116</v>
      </c>
      <c r="D750" t="inlineStr">
        <is>
          <t>DALARNAS LÄN</t>
        </is>
      </c>
      <c r="E750" t="inlineStr">
        <is>
          <t>MORA</t>
        </is>
      </c>
      <c r="G750" t="n">
        <v>2.8</v>
      </c>
      <c r="H750" t="n">
        <v>0</v>
      </c>
      <c r="I750" t="n">
        <v>0</v>
      </c>
      <c r="J750" t="n">
        <v>0</v>
      </c>
      <c r="K750" t="n">
        <v>0</v>
      </c>
      <c r="L750" t="n">
        <v>0</v>
      </c>
      <c r="M750" t="n">
        <v>0</v>
      </c>
      <c r="N750" t="n">
        <v>0</v>
      </c>
      <c r="O750" t="n">
        <v>0</v>
      </c>
      <c r="P750" t="n">
        <v>0</v>
      </c>
      <c r="Q750" t="n">
        <v>0</v>
      </c>
      <c r="R750" s="2" t="inlineStr"/>
    </row>
    <row r="751" ht="15" customHeight="1">
      <c r="A751" t="inlineStr">
        <is>
          <t>A 43964-2024</t>
        </is>
      </c>
      <c r="B751" s="1" t="n">
        <v>45572.48407407408</v>
      </c>
      <c r="C751" s="1" t="n">
        <v>46116</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51883-2024</t>
        </is>
      </c>
      <c r="B752" s="1" t="n">
        <v>45607</v>
      </c>
      <c r="C752" s="1" t="n">
        <v>46116</v>
      </c>
      <c r="D752" t="inlineStr">
        <is>
          <t>DALARNAS LÄN</t>
        </is>
      </c>
      <c r="E752" t="inlineStr">
        <is>
          <t>MORA</t>
        </is>
      </c>
      <c r="G752" t="n">
        <v>0.2</v>
      </c>
      <c r="H752" t="n">
        <v>0</v>
      </c>
      <c r="I752" t="n">
        <v>0</v>
      </c>
      <c r="J752" t="n">
        <v>0</v>
      </c>
      <c r="K752" t="n">
        <v>0</v>
      </c>
      <c r="L752" t="n">
        <v>0</v>
      </c>
      <c r="M752" t="n">
        <v>0</v>
      </c>
      <c r="N752" t="n">
        <v>0</v>
      </c>
      <c r="O752" t="n">
        <v>0</v>
      </c>
      <c r="P752" t="n">
        <v>0</v>
      </c>
      <c r="Q752" t="n">
        <v>0</v>
      </c>
      <c r="R752" s="2" t="inlineStr"/>
    </row>
    <row r="753" ht="15" customHeight="1">
      <c r="A753" t="inlineStr">
        <is>
          <t>A 42941-2024</t>
        </is>
      </c>
      <c r="B753" s="1" t="n">
        <v>45567.3515162037</v>
      </c>
      <c r="C753" s="1" t="n">
        <v>46116</v>
      </c>
      <c r="D753" t="inlineStr">
        <is>
          <t>DALARNAS LÄN</t>
        </is>
      </c>
      <c r="E753" t="inlineStr">
        <is>
          <t>MORA</t>
        </is>
      </c>
      <c r="G753" t="n">
        <v>1.6</v>
      </c>
      <c r="H753" t="n">
        <v>0</v>
      </c>
      <c r="I753" t="n">
        <v>0</v>
      </c>
      <c r="J753" t="n">
        <v>0</v>
      </c>
      <c r="K753" t="n">
        <v>0</v>
      </c>
      <c r="L753" t="n">
        <v>0</v>
      </c>
      <c r="M753" t="n">
        <v>0</v>
      </c>
      <c r="N753" t="n">
        <v>0</v>
      </c>
      <c r="O753" t="n">
        <v>0</v>
      </c>
      <c r="P753" t="n">
        <v>0</v>
      </c>
      <c r="Q753" t="n">
        <v>0</v>
      </c>
      <c r="R753" s="2" t="inlineStr"/>
    </row>
    <row r="754" ht="15" customHeight="1">
      <c r="A754" t="inlineStr">
        <is>
          <t>A 43873-2024</t>
        </is>
      </c>
      <c r="B754" s="1" t="n">
        <v>45572.38429398148</v>
      </c>
      <c r="C754" s="1" t="n">
        <v>46116</v>
      </c>
      <c r="D754" t="inlineStr">
        <is>
          <t>DALARNAS LÄN</t>
        </is>
      </c>
      <c r="E754" t="inlineStr">
        <is>
          <t>MORA</t>
        </is>
      </c>
      <c r="G754" t="n">
        <v>4.1</v>
      </c>
      <c r="H754" t="n">
        <v>0</v>
      </c>
      <c r="I754" t="n">
        <v>0</v>
      </c>
      <c r="J754" t="n">
        <v>0</v>
      </c>
      <c r="K754" t="n">
        <v>0</v>
      </c>
      <c r="L754" t="n">
        <v>0</v>
      </c>
      <c r="M754" t="n">
        <v>0</v>
      </c>
      <c r="N754" t="n">
        <v>0</v>
      </c>
      <c r="O754" t="n">
        <v>0</v>
      </c>
      <c r="P754" t="n">
        <v>0</v>
      </c>
      <c r="Q754" t="n">
        <v>0</v>
      </c>
      <c r="R754" s="2" t="inlineStr"/>
    </row>
    <row r="755" ht="15" customHeight="1">
      <c r="A755" t="inlineStr">
        <is>
          <t>A 14378-2025</t>
        </is>
      </c>
      <c r="B755" s="1" t="n">
        <v>45741</v>
      </c>
      <c r="C755" s="1" t="n">
        <v>46116</v>
      </c>
      <c r="D755" t="inlineStr">
        <is>
          <t>DALARNAS LÄN</t>
        </is>
      </c>
      <c r="E755" t="inlineStr">
        <is>
          <t>MORA</t>
        </is>
      </c>
      <c r="G755" t="n">
        <v>5.2</v>
      </c>
      <c r="H755" t="n">
        <v>0</v>
      </c>
      <c r="I755" t="n">
        <v>0</v>
      </c>
      <c r="J755" t="n">
        <v>0</v>
      </c>
      <c r="K755" t="n">
        <v>0</v>
      </c>
      <c r="L755" t="n">
        <v>0</v>
      </c>
      <c r="M755" t="n">
        <v>0</v>
      </c>
      <c r="N755" t="n">
        <v>0</v>
      </c>
      <c r="O755" t="n">
        <v>0</v>
      </c>
      <c r="P755" t="n">
        <v>0</v>
      </c>
      <c r="Q755" t="n">
        <v>0</v>
      </c>
      <c r="R755" s="2" t="inlineStr"/>
    </row>
    <row r="756" ht="15" customHeight="1">
      <c r="A756" t="inlineStr">
        <is>
          <t>A 16733-2024</t>
        </is>
      </c>
      <c r="B756" s="1" t="n">
        <v>45410.78502314815</v>
      </c>
      <c r="C756" s="1" t="n">
        <v>46116</v>
      </c>
      <c r="D756" t="inlineStr">
        <is>
          <t>DALARNAS LÄN</t>
        </is>
      </c>
      <c r="E756" t="inlineStr">
        <is>
          <t>MORA</t>
        </is>
      </c>
      <c r="G756" t="n">
        <v>6.3</v>
      </c>
      <c r="H756" t="n">
        <v>0</v>
      </c>
      <c r="I756" t="n">
        <v>0</v>
      </c>
      <c r="J756" t="n">
        <v>0</v>
      </c>
      <c r="K756" t="n">
        <v>0</v>
      </c>
      <c r="L756" t="n">
        <v>0</v>
      </c>
      <c r="M756" t="n">
        <v>0</v>
      </c>
      <c r="N756" t="n">
        <v>0</v>
      </c>
      <c r="O756" t="n">
        <v>0</v>
      </c>
      <c r="P756" t="n">
        <v>0</v>
      </c>
      <c r="Q756" t="n">
        <v>0</v>
      </c>
      <c r="R756" s="2" t="inlineStr"/>
    </row>
    <row r="757" ht="15" customHeight="1">
      <c r="A757" t="inlineStr">
        <is>
          <t>A 61217-2023</t>
        </is>
      </c>
      <c r="B757" s="1" t="n">
        <v>45264.43802083333</v>
      </c>
      <c r="C757" s="1" t="n">
        <v>46116</v>
      </c>
      <c r="D757" t="inlineStr">
        <is>
          <t>DALARNAS LÄN</t>
        </is>
      </c>
      <c r="E757" t="inlineStr">
        <is>
          <t>MORA</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61218-2023</t>
        </is>
      </c>
      <c r="B758" s="1" t="n">
        <v>45264</v>
      </c>
      <c r="C758" s="1" t="n">
        <v>46116</v>
      </c>
      <c r="D758" t="inlineStr">
        <is>
          <t>DALARNAS LÄN</t>
        </is>
      </c>
      <c r="E758" t="inlineStr">
        <is>
          <t>MORA</t>
        </is>
      </c>
      <c r="F758" t="inlineStr">
        <is>
          <t>Allmännings- och besparingsskogar</t>
        </is>
      </c>
      <c r="G758" t="n">
        <v>2.6</v>
      </c>
      <c r="H758" t="n">
        <v>0</v>
      </c>
      <c r="I758" t="n">
        <v>0</v>
      </c>
      <c r="J758" t="n">
        <v>0</v>
      </c>
      <c r="K758" t="n">
        <v>0</v>
      </c>
      <c r="L758" t="n">
        <v>0</v>
      </c>
      <c r="M758" t="n">
        <v>0</v>
      </c>
      <c r="N758" t="n">
        <v>0</v>
      </c>
      <c r="O758" t="n">
        <v>0</v>
      </c>
      <c r="P758" t="n">
        <v>0</v>
      </c>
      <c r="Q758" t="n">
        <v>0</v>
      </c>
      <c r="R758" s="2" t="inlineStr"/>
    </row>
    <row r="759" ht="15" customHeight="1">
      <c r="A759" t="inlineStr">
        <is>
          <t>A 39348-2024</t>
        </is>
      </c>
      <c r="B759" s="1" t="n">
        <v>45551.45322916667</v>
      </c>
      <c r="C759" s="1" t="n">
        <v>46116</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54903-2024</t>
        </is>
      </c>
      <c r="B760" s="1" t="n">
        <v>45618</v>
      </c>
      <c r="C760" s="1" t="n">
        <v>46116</v>
      </c>
      <c r="D760" t="inlineStr">
        <is>
          <t>DALARNAS LÄN</t>
        </is>
      </c>
      <c r="E760" t="inlineStr">
        <is>
          <t>MORA</t>
        </is>
      </c>
      <c r="G760" t="n">
        <v>28.2</v>
      </c>
      <c r="H760" t="n">
        <v>0</v>
      </c>
      <c r="I760" t="n">
        <v>0</v>
      </c>
      <c r="J760" t="n">
        <v>0</v>
      </c>
      <c r="K760" t="n">
        <v>0</v>
      </c>
      <c r="L760" t="n">
        <v>0</v>
      </c>
      <c r="M760" t="n">
        <v>0</v>
      </c>
      <c r="N760" t="n">
        <v>0</v>
      </c>
      <c r="O760" t="n">
        <v>0</v>
      </c>
      <c r="P760" t="n">
        <v>0</v>
      </c>
      <c r="Q760" t="n">
        <v>0</v>
      </c>
      <c r="R760" s="2" t="inlineStr"/>
    </row>
    <row r="761" ht="15" customHeight="1">
      <c r="A761" t="inlineStr">
        <is>
          <t>A 23302-2024</t>
        </is>
      </c>
      <c r="B761" s="1" t="n">
        <v>45453.44091435185</v>
      </c>
      <c r="C761" s="1" t="n">
        <v>46116</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16573-2024</t>
        </is>
      </c>
      <c r="B762" s="1" t="n">
        <v>45408.46980324074</v>
      </c>
      <c r="C762" s="1" t="n">
        <v>46116</v>
      </c>
      <c r="D762" t="inlineStr">
        <is>
          <t>DALARNAS LÄN</t>
        </is>
      </c>
      <c r="E762" t="inlineStr">
        <is>
          <t>MORA</t>
        </is>
      </c>
      <c r="G762" t="n">
        <v>4.5</v>
      </c>
      <c r="H762" t="n">
        <v>0</v>
      </c>
      <c r="I762" t="n">
        <v>0</v>
      </c>
      <c r="J762" t="n">
        <v>0</v>
      </c>
      <c r="K762" t="n">
        <v>0</v>
      </c>
      <c r="L762" t="n">
        <v>0</v>
      </c>
      <c r="M762" t="n">
        <v>0</v>
      </c>
      <c r="N762" t="n">
        <v>0</v>
      </c>
      <c r="O762" t="n">
        <v>0</v>
      </c>
      <c r="P762" t="n">
        <v>0</v>
      </c>
      <c r="Q762" t="n">
        <v>0</v>
      </c>
      <c r="R762" s="2" t="inlineStr"/>
    </row>
    <row r="763" ht="15" customHeight="1">
      <c r="A763" t="inlineStr">
        <is>
          <t>A 21894-2025</t>
        </is>
      </c>
      <c r="B763" s="1" t="n">
        <v>45784.45060185185</v>
      </c>
      <c r="C763" s="1" t="n">
        <v>46116</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21890-2025</t>
        </is>
      </c>
      <c r="B764" s="1" t="n">
        <v>45784.44481481481</v>
      </c>
      <c r="C764" s="1" t="n">
        <v>46116</v>
      </c>
      <c r="D764" t="inlineStr">
        <is>
          <t>DALARNAS LÄN</t>
        </is>
      </c>
      <c r="E764" t="inlineStr">
        <is>
          <t>MORA</t>
        </is>
      </c>
      <c r="G764" t="n">
        <v>3.8</v>
      </c>
      <c r="H764" t="n">
        <v>0</v>
      </c>
      <c r="I764" t="n">
        <v>0</v>
      </c>
      <c r="J764" t="n">
        <v>0</v>
      </c>
      <c r="K764" t="n">
        <v>0</v>
      </c>
      <c r="L764" t="n">
        <v>0</v>
      </c>
      <c r="M764" t="n">
        <v>0</v>
      </c>
      <c r="N764" t="n">
        <v>0</v>
      </c>
      <c r="O764" t="n">
        <v>0</v>
      </c>
      <c r="P764" t="n">
        <v>0</v>
      </c>
      <c r="Q764" t="n">
        <v>0</v>
      </c>
      <c r="R764" s="2" t="inlineStr"/>
    </row>
    <row r="765" ht="15" customHeight="1">
      <c r="A765" t="inlineStr">
        <is>
          <t>A 21895-2025</t>
        </is>
      </c>
      <c r="B765" s="1" t="n">
        <v>45784.45273148148</v>
      </c>
      <c r="C765" s="1" t="n">
        <v>46116</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22354-2025</t>
        </is>
      </c>
      <c r="B766" s="1" t="n">
        <v>45786.45721064815</v>
      </c>
      <c r="C766" s="1" t="n">
        <v>46116</v>
      </c>
      <c r="D766" t="inlineStr">
        <is>
          <t>DALARNAS LÄN</t>
        </is>
      </c>
      <c r="E766" t="inlineStr">
        <is>
          <t>MORA</t>
        </is>
      </c>
      <c r="F766" t="inlineStr">
        <is>
          <t>Bergvik skog öst AB</t>
        </is>
      </c>
      <c r="G766" t="n">
        <v>2</v>
      </c>
      <c r="H766" t="n">
        <v>0</v>
      </c>
      <c r="I766" t="n">
        <v>0</v>
      </c>
      <c r="J766" t="n">
        <v>0</v>
      </c>
      <c r="K766" t="n">
        <v>0</v>
      </c>
      <c r="L766" t="n">
        <v>0</v>
      </c>
      <c r="M766" t="n">
        <v>0</v>
      </c>
      <c r="N766" t="n">
        <v>0</v>
      </c>
      <c r="O766" t="n">
        <v>0</v>
      </c>
      <c r="P766" t="n">
        <v>0</v>
      </c>
      <c r="Q766" t="n">
        <v>0</v>
      </c>
      <c r="R766" s="2" t="inlineStr"/>
    </row>
    <row r="767" ht="15" customHeight="1">
      <c r="A767" t="inlineStr">
        <is>
          <t>A 22409-2025</t>
        </is>
      </c>
      <c r="B767" s="1" t="n">
        <v>45786.54940972223</v>
      </c>
      <c r="C767" s="1" t="n">
        <v>46116</v>
      </c>
      <c r="D767" t="inlineStr">
        <is>
          <t>DALARNAS LÄN</t>
        </is>
      </c>
      <c r="E767" t="inlineStr">
        <is>
          <t>MORA</t>
        </is>
      </c>
      <c r="F767" t="inlineStr">
        <is>
          <t>Bergvik skog öst AB</t>
        </is>
      </c>
      <c r="G767" t="n">
        <v>5</v>
      </c>
      <c r="H767" t="n">
        <v>0</v>
      </c>
      <c r="I767" t="n">
        <v>0</v>
      </c>
      <c r="J767" t="n">
        <v>0</v>
      </c>
      <c r="K767" t="n">
        <v>0</v>
      </c>
      <c r="L767" t="n">
        <v>0</v>
      </c>
      <c r="M767" t="n">
        <v>0</v>
      </c>
      <c r="N767" t="n">
        <v>0</v>
      </c>
      <c r="O767" t="n">
        <v>0</v>
      </c>
      <c r="P767" t="n">
        <v>0</v>
      </c>
      <c r="Q767" t="n">
        <v>0</v>
      </c>
      <c r="R767" s="2" t="inlineStr"/>
    </row>
    <row r="768" ht="15" customHeight="1">
      <c r="A768" t="inlineStr">
        <is>
          <t>A 23368-2025</t>
        </is>
      </c>
      <c r="B768" s="1" t="n">
        <v>45791.70299768518</v>
      </c>
      <c r="C768" s="1" t="n">
        <v>46116</v>
      </c>
      <c r="D768" t="inlineStr">
        <is>
          <t>DALARNAS LÄN</t>
        </is>
      </c>
      <c r="E768" t="inlineStr">
        <is>
          <t>MORA</t>
        </is>
      </c>
      <c r="G768" t="n">
        <v>1.4</v>
      </c>
      <c r="H768" t="n">
        <v>0</v>
      </c>
      <c r="I768" t="n">
        <v>0</v>
      </c>
      <c r="J768" t="n">
        <v>0</v>
      </c>
      <c r="K768" t="n">
        <v>0</v>
      </c>
      <c r="L768" t="n">
        <v>0</v>
      </c>
      <c r="M768" t="n">
        <v>0</v>
      </c>
      <c r="N768" t="n">
        <v>0</v>
      </c>
      <c r="O768" t="n">
        <v>0</v>
      </c>
      <c r="P768" t="n">
        <v>0</v>
      </c>
      <c r="Q768" t="n">
        <v>0</v>
      </c>
      <c r="R768" s="2" t="inlineStr"/>
    </row>
    <row r="769" ht="15" customHeight="1">
      <c r="A769" t="inlineStr">
        <is>
          <t>A 56935-2024</t>
        </is>
      </c>
      <c r="B769" s="1" t="n">
        <v>45625</v>
      </c>
      <c r="C769" s="1" t="n">
        <v>46116</v>
      </c>
      <c r="D769" t="inlineStr">
        <is>
          <t>DALARNAS LÄN</t>
        </is>
      </c>
      <c r="E769" t="inlineStr">
        <is>
          <t>MORA</t>
        </is>
      </c>
      <c r="G769" t="n">
        <v>1.1</v>
      </c>
      <c r="H769" t="n">
        <v>0</v>
      </c>
      <c r="I769" t="n">
        <v>0</v>
      </c>
      <c r="J769" t="n">
        <v>0</v>
      </c>
      <c r="K769" t="n">
        <v>0</v>
      </c>
      <c r="L769" t="n">
        <v>0</v>
      </c>
      <c r="M769" t="n">
        <v>0</v>
      </c>
      <c r="N769" t="n">
        <v>0</v>
      </c>
      <c r="O769" t="n">
        <v>0</v>
      </c>
      <c r="P769" t="n">
        <v>0</v>
      </c>
      <c r="Q769" t="n">
        <v>0</v>
      </c>
      <c r="R769" s="2" t="inlineStr"/>
    </row>
    <row r="770" ht="15" customHeight="1">
      <c r="A770" t="inlineStr">
        <is>
          <t>A 56927-2024</t>
        </is>
      </c>
      <c r="B770" s="1" t="n">
        <v>45625</v>
      </c>
      <c r="C770" s="1" t="n">
        <v>46116</v>
      </c>
      <c r="D770" t="inlineStr">
        <is>
          <t>DALARNAS LÄN</t>
        </is>
      </c>
      <c r="E770" t="inlineStr">
        <is>
          <t>MORA</t>
        </is>
      </c>
      <c r="G770" t="n">
        <v>2.8</v>
      </c>
      <c r="H770" t="n">
        <v>0</v>
      </c>
      <c r="I770" t="n">
        <v>0</v>
      </c>
      <c r="J770" t="n">
        <v>0</v>
      </c>
      <c r="K770" t="n">
        <v>0</v>
      </c>
      <c r="L770" t="n">
        <v>0</v>
      </c>
      <c r="M770" t="n">
        <v>0</v>
      </c>
      <c r="N770" t="n">
        <v>0</v>
      </c>
      <c r="O770" t="n">
        <v>0</v>
      </c>
      <c r="P770" t="n">
        <v>0</v>
      </c>
      <c r="Q770" t="n">
        <v>0</v>
      </c>
      <c r="R770" s="2" t="inlineStr"/>
    </row>
    <row r="771" ht="15" customHeight="1">
      <c r="A771" t="inlineStr">
        <is>
          <t>A 22185-2025</t>
        </is>
      </c>
      <c r="B771" s="1" t="n">
        <v>45785</v>
      </c>
      <c r="C771" s="1" t="n">
        <v>46116</v>
      </c>
      <c r="D771" t="inlineStr">
        <is>
          <t>DALARNAS LÄN</t>
        </is>
      </c>
      <c r="E771" t="inlineStr">
        <is>
          <t>MORA</t>
        </is>
      </c>
      <c r="G771" t="n">
        <v>2.4</v>
      </c>
      <c r="H771" t="n">
        <v>0</v>
      </c>
      <c r="I771" t="n">
        <v>0</v>
      </c>
      <c r="J771" t="n">
        <v>0</v>
      </c>
      <c r="K771" t="n">
        <v>0</v>
      </c>
      <c r="L771" t="n">
        <v>0</v>
      </c>
      <c r="M771" t="n">
        <v>0</v>
      </c>
      <c r="N771" t="n">
        <v>0</v>
      </c>
      <c r="O771" t="n">
        <v>0</v>
      </c>
      <c r="P771" t="n">
        <v>0</v>
      </c>
      <c r="Q771" t="n">
        <v>0</v>
      </c>
      <c r="R771" s="2" t="inlineStr"/>
    </row>
    <row r="772" ht="15" customHeight="1">
      <c r="A772" t="inlineStr">
        <is>
          <t>A 59404-2024</t>
        </is>
      </c>
      <c r="B772" s="1" t="n">
        <v>45638</v>
      </c>
      <c r="C772" s="1" t="n">
        <v>46116</v>
      </c>
      <c r="D772" t="inlineStr">
        <is>
          <t>DALARNAS LÄN</t>
        </is>
      </c>
      <c r="E772" t="inlineStr">
        <is>
          <t>MORA</t>
        </is>
      </c>
      <c r="G772" t="n">
        <v>2.6</v>
      </c>
      <c r="H772" t="n">
        <v>0</v>
      </c>
      <c r="I772" t="n">
        <v>0</v>
      </c>
      <c r="J772" t="n">
        <v>0</v>
      </c>
      <c r="K772" t="n">
        <v>0</v>
      </c>
      <c r="L772" t="n">
        <v>0</v>
      </c>
      <c r="M772" t="n">
        <v>0</v>
      </c>
      <c r="N772" t="n">
        <v>0</v>
      </c>
      <c r="O772" t="n">
        <v>0</v>
      </c>
      <c r="P772" t="n">
        <v>0</v>
      </c>
      <c r="Q772" t="n">
        <v>0</v>
      </c>
      <c r="R772" s="2" t="inlineStr"/>
    </row>
    <row r="773" ht="15" customHeight="1">
      <c r="A773" t="inlineStr">
        <is>
          <t>A 11193-2025</t>
        </is>
      </c>
      <c r="B773" s="1" t="n">
        <v>45725</v>
      </c>
      <c r="C773" s="1" t="n">
        <v>46116</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56900-2024</t>
        </is>
      </c>
      <c r="B774" s="1" t="n">
        <v>45625</v>
      </c>
      <c r="C774" s="1" t="n">
        <v>46116</v>
      </c>
      <c r="D774" t="inlineStr">
        <is>
          <t>DALARNAS LÄN</t>
        </is>
      </c>
      <c r="E774" t="inlineStr">
        <is>
          <t>MORA</t>
        </is>
      </c>
      <c r="G774" t="n">
        <v>2.7</v>
      </c>
      <c r="H774" t="n">
        <v>0</v>
      </c>
      <c r="I774" t="n">
        <v>0</v>
      </c>
      <c r="J774" t="n">
        <v>0</v>
      </c>
      <c r="K774" t="n">
        <v>0</v>
      </c>
      <c r="L774" t="n">
        <v>0</v>
      </c>
      <c r="M774" t="n">
        <v>0</v>
      </c>
      <c r="N774" t="n">
        <v>0</v>
      </c>
      <c r="O774" t="n">
        <v>0</v>
      </c>
      <c r="P774" t="n">
        <v>0</v>
      </c>
      <c r="Q774" t="n">
        <v>0</v>
      </c>
      <c r="R774" s="2" t="inlineStr"/>
    </row>
    <row r="775" ht="15" customHeight="1">
      <c r="A775" t="inlineStr">
        <is>
          <t>A 23354-2022</t>
        </is>
      </c>
      <c r="B775" s="1" t="n">
        <v>44720</v>
      </c>
      <c r="C775" s="1" t="n">
        <v>46116</v>
      </c>
      <c r="D775" t="inlineStr">
        <is>
          <t>DALARNAS LÄN</t>
        </is>
      </c>
      <c r="E775" t="inlineStr">
        <is>
          <t>MORA</t>
        </is>
      </c>
      <c r="G775" t="n">
        <v>5.2</v>
      </c>
      <c r="H775" t="n">
        <v>0</v>
      </c>
      <c r="I775" t="n">
        <v>0</v>
      </c>
      <c r="J775" t="n">
        <v>0</v>
      </c>
      <c r="K775" t="n">
        <v>0</v>
      </c>
      <c r="L775" t="n">
        <v>0</v>
      </c>
      <c r="M775" t="n">
        <v>0</v>
      </c>
      <c r="N775" t="n">
        <v>0</v>
      </c>
      <c r="O775" t="n">
        <v>0</v>
      </c>
      <c r="P775" t="n">
        <v>0</v>
      </c>
      <c r="Q775" t="n">
        <v>0</v>
      </c>
      <c r="R775" s="2" t="inlineStr"/>
    </row>
    <row r="776" ht="15" customHeight="1">
      <c r="A776" t="inlineStr">
        <is>
          <t>A 54192-2023</t>
        </is>
      </c>
      <c r="B776" s="1" t="n">
        <v>45232.53052083333</v>
      </c>
      <c r="C776" s="1" t="n">
        <v>46116</v>
      </c>
      <c r="D776" t="inlineStr">
        <is>
          <t>DALARNAS LÄN</t>
        </is>
      </c>
      <c r="E776" t="inlineStr">
        <is>
          <t>MORA</t>
        </is>
      </c>
      <c r="G776" t="n">
        <v>3.4</v>
      </c>
      <c r="H776" t="n">
        <v>0</v>
      </c>
      <c r="I776" t="n">
        <v>0</v>
      </c>
      <c r="J776" t="n">
        <v>0</v>
      </c>
      <c r="K776" t="n">
        <v>0</v>
      </c>
      <c r="L776" t="n">
        <v>0</v>
      </c>
      <c r="M776" t="n">
        <v>0</v>
      </c>
      <c r="N776" t="n">
        <v>0</v>
      </c>
      <c r="O776" t="n">
        <v>0</v>
      </c>
      <c r="P776" t="n">
        <v>0</v>
      </c>
      <c r="Q776" t="n">
        <v>0</v>
      </c>
      <c r="R776" s="2" t="inlineStr"/>
    </row>
    <row r="777" ht="15" customHeight="1">
      <c r="A777" t="inlineStr">
        <is>
          <t>A 23229-2025</t>
        </is>
      </c>
      <c r="B777" s="1" t="n">
        <v>45791</v>
      </c>
      <c r="C777" s="1" t="n">
        <v>46116</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62854-2023</t>
        </is>
      </c>
      <c r="B778" s="1" t="n">
        <v>45272</v>
      </c>
      <c r="C778" s="1" t="n">
        <v>46116</v>
      </c>
      <c r="D778" t="inlineStr">
        <is>
          <t>DALARNAS LÄN</t>
        </is>
      </c>
      <c r="E778" t="inlineStr">
        <is>
          <t>MORA</t>
        </is>
      </c>
      <c r="G778" t="n">
        <v>11.3</v>
      </c>
      <c r="H778" t="n">
        <v>0</v>
      </c>
      <c r="I778" t="n">
        <v>0</v>
      </c>
      <c r="J778" t="n">
        <v>0</v>
      </c>
      <c r="K778" t="n">
        <v>0</v>
      </c>
      <c r="L778" t="n">
        <v>0</v>
      </c>
      <c r="M778" t="n">
        <v>0</v>
      </c>
      <c r="N778" t="n">
        <v>0</v>
      </c>
      <c r="O778" t="n">
        <v>0</v>
      </c>
      <c r="P778" t="n">
        <v>0</v>
      </c>
      <c r="Q778" t="n">
        <v>0</v>
      </c>
      <c r="R778" s="2" t="inlineStr"/>
    </row>
    <row r="779" ht="15" customHeight="1">
      <c r="A779" t="inlineStr">
        <is>
          <t>A 24127-2025</t>
        </is>
      </c>
      <c r="B779" s="1" t="n">
        <v>45796.63137731481</v>
      </c>
      <c r="C779" s="1" t="n">
        <v>46116</v>
      </c>
      <c r="D779" t="inlineStr">
        <is>
          <t>DALARNAS LÄN</t>
        </is>
      </c>
      <c r="E779" t="inlineStr">
        <is>
          <t>MORA</t>
        </is>
      </c>
      <c r="G779" t="n">
        <v>1.2</v>
      </c>
      <c r="H779" t="n">
        <v>0</v>
      </c>
      <c r="I779" t="n">
        <v>0</v>
      </c>
      <c r="J779" t="n">
        <v>0</v>
      </c>
      <c r="K779" t="n">
        <v>0</v>
      </c>
      <c r="L779" t="n">
        <v>0</v>
      </c>
      <c r="M779" t="n">
        <v>0</v>
      </c>
      <c r="N779" t="n">
        <v>0</v>
      </c>
      <c r="O779" t="n">
        <v>0</v>
      </c>
      <c r="P779" t="n">
        <v>0</v>
      </c>
      <c r="Q779" t="n">
        <v>0</v>
      </c>
      <c r="R779" s="2" t="inlineStr"/>
    </row>
    <row r="780" ht="15" customHeight="1">
      <c r="A780" t="inlineStr">
        <is>
          <t>A 24249-2025</t>
        </is>
      </c>
      <c r="B780" s="1" t="n">
        <v>45797.40260416667</v>
      </c>
      <c r="C780" s="1" t="n">
        <v>46116</v>
      </c>
      <c r="D780" t="inlineStr">
        <is>
          <t>DALARNAS LÄN</t>
        </is>
      </c>
      <c r="E780" t="inlineStr">
        <is>
          <t>MORA</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9461-2025</t>
        </is>
      </c>
      <c r="B781" s="1" t="n">
        <v>45715.45341435185</v>
      </c>
      <c r="C781" s="1" t="n">
        <v>46116</v>
      </c>
      <c r="D781" t="inlineStr">
        <is>
          <t>DALARNAS LÄN</t>
        </is>
      </c>
      <c r="E781" t="inlineStr">
        <is>
          <t>MORA</t>
        </is>
      </c>
      <c r="G781" t="n">
        <v>1.8</v>
      </c>
      <c r="H781" t="n">
        <v>0</v>
      </c>
      <c r="I781" t="n">
        <v>0</v>
      </c>
      <c r="J781" t="n">
        <v>0</v>
      </c>
      <c r="K781" t="n">
        <v>0</v>
      </c>
      <c r="L781" t="n">
        <v>0</v>
      </c>
      <c r="M781" t="n">
        <v>0</v>
      </c>
      <c r="N781" t="n">
        <v>0</v>
      </c>
      <c r="O781" t="n">
        <v>0</v>
      </c>
      <c r="P781" t="n">
        <v>0</v>
      </c>
      <c r="Q781" t="n">
        <v>0</v>
      </c>
      <c r="R781" s="2" t="inlineStr"/>
    </row>
    <row r="782" ht="15" customHeight="1">
      <c r="A782" t="inlineStr">
        <is>
          <t>A 34928-2022</t>
        </is>
      </c>
      <c r="B782" s="1" t="n">
        <v>44796.60479166666</v>
      </c>
      <c r="C782" s="1" t="n">
        <v>46116</v>
      </c>
      <c r="D782" t="inlineStr">
        <is>
          <t>DALARNAS LÄN</t>
        </is>
      </c>
      <c r="E782" t="inlineStr">
        <is>
          <t>MORA</t>
        </is>
      </c>
      <c r="G782" t="n">
        <v>1.2</v>
      </c>
      <c r="H782" t="n">
        <v>0</v>
      </c>
      <c r="I782" t="n">
        <v>0</v>
      </c>
      <c r="J782" t="n">
        <v>0</v>
      </c>
      <c r="K782" t="n">
        <v>0</v>
      </c>
      <c r="L782" t="n">
        <v>0</v>
      </c>
      <c r="M782" t="n">
        <v>0</v>
      </c>
      <c r="N782" t="n">
        <v>0</v>
      </c>
      <c r="O782" t="n">
        <v>0</v>
      </c>
      <c r="P782" t="n">
        <v>0</v>
      </c>
      <c r="Q782" t="n">
        <v>0</v>
      </c>
      <c r="R782" s="2" t="inlineStr"/>
    </row>
    <row r="783" ht="15" customHeight="1">
      <c r="A783" t="inlineStr">
        <is>
          <t>A 19286-2023</t>
        </is>
      </c>
      <c r="B783" s="1" t="n">
        <v>45049</v>
      </c>
      <c r="C783" s="1" t="n">
        <v>46116</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24230-2025</t>
        </is>
      </c>
      <c r="B784" s="1" t="n">
        <v>45797.37607638889</v>
      </c>
      <c r="C784" s="1" t="n">
        <v>46116</v>
      </c>
      <c r="D784" t="inlineStr">
        <is>
          <t>DALARNAS LÄN</t>
        </is>
      </c>
      <c r="E784" t="inlineStr">
        <is>
          <t>MORA</t>
        </is>
      </c>
      <c r="G784" t="n">
        <v>6.8</v>
      </c>
      <c r="H784" t="n">
        <v>0</v>
      </c>
      <c r="I784" t="n">
        <v>0</v>
      </c>
      <c r="J784" t="n">
        <v>0</v>
      </c>
      <c r="K784" t="n">
        <v>0</v>
      </c>
      <c r="L784" t="n">
        <v>0</v>
      </c>
      <c r="M784" t="n">
        <v>0</v>
      </c>
      <c r="N784" t="n">
        <v>0</v>
      </c>
      <c r="O784" t="n">
        <v>0</v>
      </c>
      <c r="P784" t="n">
        <v>0</v>
      </c>
      <c r="Q784" t="n">
        <v>0</v>
      </c>
      <c r="R784" s="2" t="inlineStr"/>
    </row>
    <row r="785" ht="15" customHeight="1">
      <c r="A785" t="inlineStr">
        <is>
          <t>A 24280-2025</t>
        </is>
      </c>
      <c r="B785" s="1" t="n">
        <v>45797.45581018519</v>
      </c>
      <c r="C785" s="1" t="n">
        <v>46116</v>
      </c>
      <c r="D785" t="inlineStr">
        <is>
          <t>DALARNAS LÄN</t>
        </is>
      </c>
      <c r="E785" t="inlineStr">
        <is>
          <t>MORA</t>
        </is>
      </c>
      <c r="G785" t="n">
        <v>1.1</v>
      </c>
      <c r="H785" t="n">
        <v>0</v>
      </c>
      <c r="I785" t="n">
        <v>0</v>
      </c>
      <c r="J785" t="n">
        <v>0</v>
      </c>
      <c r="K785" t="n">
        <v>0</v>
      </c>
      <c r="L785" t="n">
        <v>0</v>
      </c>
      <c r="M785" t="n">
        <v>0</v>
      </c>
      <c r="N785" t="n">
        <v>0</v>
      </c>
      <c r="O785" t="n">
        <v>0</v>
      </c>
      <c r="P785" t="n">
        <v>0</v>
      </c>
      <c r="Q785" t="n">
        <v>0</v>
      </c>
      <c r="R785" s="2" t="inlineStr"/>
    </row>
    <row r="786" ht="15" customHeight="1">
      <c r="A786" t="inlineStr">
        <is>
          <t>A 19183-2025</t>
        </is>
      </c>
      <c r="B786" s="1" t="n">
        <v>45769</v>
      </c>
      <c r="C786" s="1" t="n">
        <v>46116</v>
      </c>
      <c r="D786" t="inlineStr">
        <is>
          <t>DALARNAS LÄN</t>
        </is>
      </c>
      <c r="E786" t="inlineStr">
        <is>
          <t>MORA</t>
        </is>
      </c>
      <c r="G786" t="n">
        <v>0.5</v>
      </c>
      <c r="H786" t="n">
        <v>0</v>
      </c>
      <c r="I786" t="n">
        <v>0</v>
      </c>
      <c r="J786" t="n">
        <v>0</v>
      </c>
      <c r="K786" t="n">
        <v>0</v>
      </c>
      <c r="L786" t="n">
        <v>0</v>
      </c>
      <c r="M786" t="n">
        <v>0</v>
      </c>
      <c r="N786" t="n">
        <v>0</v>
      </c>
      <c r="O786" t="n">
        <v>0</v>
      </c>
      <c r="P786" t="n">
        <v>0</v>
      </c>
      <c r="Q786" t="n">
        <v>0</v>
      </c>
      <c r="R786" s="2" t="inlineStr"/>
    </row>
    <row r="787" ht="15" customHeight="1">
      <c r="A787" t="inlineStr">
        <is>
          <t>A 24640-2025</t>
        </is>
      </c>
      <c r="B787" s="1" t="n">
        <v>45798.62243055556</v>
      </c>
      <c r="C787" s="1" t="n">
        <v>46116</v>
      </c>
      <c r="D787" t="inlineStr">
        <is>
          <t>DALARNAS LÄN</t>
        </is>
      </c>
      <c r="E787" t="inlineStr">
        <is>
          <t>MORA</t>
        </is>
      </c>
      <c r="F787" t="inlineStr">
        <is>
          <t>Bergvik skog väst AB</t>
        </is>
      </c>
      <c r="G787" t="n">
        <v>2.2</v>
      </c>
      <c r="H787" t="n">
        <v>0</v>
      </c>
      <c r="I787" t="n">
        <v>0</v>
      </c>
      <c r="J787" t="n">
        <v>0</v>
      </c>
      <c r="K787" t="n">
        <v>0</v>
      </c>
      <c r="L787" t="n">
        <v>0</v>
      </c>
      <c r="M787" t="n">
        <v>0</v>
      </c>
      <c r="N787" t="n">
        <v>0</v>
      </c>
      <c r="O787" t="n">
        <v>0</v>
      </c>
      <c r="P787" t="n">
        <v>0</v>
      </c>
      <c r="Q787" t="n">
        <v>0</v>
      </c>
      <c r="R787" s="2" t="inlineStr"/>
    </row>
    <row r="788" ht="15" customHeight="1">
      <c r="A788" t="inlineStr">
        <is>
          <t>A 24947-2025</t>
        </is>
      </c>
      <c r="B788" s="1" t="n">
        <v>45799.56524305556</v>
      </c>
      <c r="C788" s="1" t="n">
        <v>46116</v>
      </c>
      <c r="D788" t="inlineStr">
        <is>
          <t>DALARNAS LÄN</t>
        </is>
      </c>
      <c r="E788" t="inlineStr">
        <is>
          <t>MORA</t>
        </is>
      </c>
      <c r="G788" t="n">
        <v>2</v>
      </c>
      <c r="H788" t="n">
        <v>0</v>
      </c>
      <c r="I788" t="n">
        <v>0</v>
      </c>
      <c r="J788" t="n">
        <v>0</v>
      </c>
      <c r="K788" t="n">
        <v>0</v>
      </c>
      <c r="L788" t="n">
        <v>0</v>
      </c>
      <c r="M788" t="n">
        <v>0</v>
      </c>
      <c r="N788" t="n">
        <v>0</v>
      </c>
      <c r="O788" t="n">
        <v>0</v>
      </c>
      <c r="P788" t="n">
        <v>0</v>
      </c>
      <c r="Q788" t="n">
        <v>0</v>
      </c>
      <c r="R788" s="2" t="inlineStr"/>
    </row>
    <row r="789" ht="15" customHeight="1">
      <c r="A789" t="inlineStr">
        <is>
          <t>A 24630-2025</t>
        </is>
      </c>
      <c r="B789" s="1" t="n">
        <v>45798.6003587963</v>
      </c>
      <c r="C789" s="1" t="n">
        <v>46116</v>
      </c>
      <c r="D789" t="inlineStr">
        <is>
          <t>DALARNAS LÄN</t>
        </is>
      </c>
      <c r="E789" t="inlineStr">
        <is>
          <t>MORA</t>
        </is>
      </c>
      <c r="F789" t="inlineStr">
        <is>
          <t>Bergvik skog väst AB</t>
        </is>
      </c>
      <c r="G789" t="n">
        <v>10.4</v>
      </c>
      <c r="H789" t="n">
        <v>0</v>
      </c>
      <c r="I789" t="n">
        <v>0</v>
      </c>
      <c r="J789" t="n">
        <v>0</v>
      </c>
      <c r="K789" t="n">
        <v>0</v>
      </c>
      <c r="L789" t="n">
        <v>0</v>
      </c>
      <c r="M789" t="n">
        <v>0</v>
      </c>
      <c r="N789" t="n">
        <v>0</v>
      </c>
      <c r="O789" t="n">
        <v>0</v>
      </c>
      <c r="P789" t="n">
        <v>0</v>
      </c>
      <c r="Q789" t="n">
        <v>0</v>
      </c>
      <c r="R789" s="2" t="inlineStr"/>
    </row>
    <row r="790" ht="15" customHeight="1">
      <c r="A790" t="inlineStr">
        <is>
          <t>A 24960-2025</t>
        </is>
      </c>
      <c r="B790" s="1" t="n">
        <v>45799.57666666667</v>
      </c>
      <c r="C790" s="1" t="n">
        <v>46116</v>
      </c>
      <c r="D790" t="inlineStr">
        <is>
          <t>DALARNAS LÄN</t>
        </is>
      </c>
      <c r="E790" t="inlineStr">
        <is>
          <t>MORA</t>
        </is>
      </c>
      <c r="G790" t="n">
        <v>3.2</v>
      </c>
      <c r="H790" t="n">
        <v>0</v>
      </c>
      <c r="I790" t="n">
        <v>0</v>
      </c>
      <c r="J790" t="n">
        <v>0</v>
      </c>
      <c r="K790" t="n">
        <v>0</v>
      </c>
      <c r="L790" t="n">
        <v>0</v>
      </c>
      <c r="M790" t="n">
        <v>0</v>
      </c>
      <c r="N790" t="n">
        <v>0</v>
      </c>
      <c r="O790" t="n">
        <v>0</v>
      </c>
      <c r="P790" t="n">
        <v>0</v>
      </c>
      <c r="Q790" t="n">
        <v>0</v>
      </c>
      <c r="R790" s="2" t="inlineStr"/>
    </row>
    <row r="791" ht="15" customHeight="1">
      <c r="A791" t="inlineStr">
        <is>
          <t>A 24642-2025</t>
        </is>
      </c>
      <c r="B791" s="1" t="n">
        <v>45798.62894675926</v>
      </c>
      <c r="C791" s="1" t="n">
        <v>46116</v>
      </c>
      <c r="D791" t="inlineStr">
        <is>
          <t>DALARNAS LÄN</t>
        </is>
      </c>
      <c r="E791" t="inlineStr">
        <is>
          <t>MORA</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54398-2021</t>
        </is>
      </c>
      <c r="B792" s="1" t="n">
        <v>44473.39252314815</v>
      </c>
      <c r="C792" s="1" t="n">
        <v>46116</v>
      </c>
      <c r="D792" t="inlineStr">
        <is>
          <t>DALARNAS LÄN</t>
        </is>
      </c>
      <c r="E792" t="inlineStr">
        <is>
          <t>MORA</t>
        </is>
      </c>
      <c r="G792" t="n">
        <v>0.9</v>
      </c>
      <c r="H792" t="n">
        <v>0</v>
      </c>
      <c r="I792" t="n">
        <v>0</v>
      </c>
      <c r="J792" t="n">
        <v>0</v>
      </c>
      <c r="K792" t="n">
        <v>0</v>
      </c>
      <c r="L792" t="n">
        <v>0</v>
      </c>
      <c r="M792" t="n">
        <v>0</v>
      </c>
      <c r="N792" t="n">
        <v>0</v>
      </c>
      <c r="O792" t="n">
        <v>0</v>
      </c>
      <c r="P792" t="n">
        <v>0</v>
      </c>
      <c r="Q792" t="n">
        <v>0</v>
      </c>
      <c r="R792" s="2" t="inlineStr"/>
    </row>
    <row r="793" ht="15" customHeight="1">
      <c r="A793" t="inlineStr">
        <is>
          <t>A 26532-2025</t>
        </is>
      </c>
      <c r="B793" s="1" t="n">
        <v>45807</v>
      </c>
      <c r="C793" s="1" t="n">
        <v>46116</v>
      </c>
      <c r="D793" t="inlineStr">
        <is>
          <t>DALARNAS LÄN</t>
        </is>
      </c>
      <c r="E793" t="inlineStr">
        <is>
          <t>MORA</t>
        </is>
      </c>
      <c r="G793" t="n">
        <v>4.4</v>
      </c>
      <c r="H793" t="n">
        <v>0</v>
      </c>
      <c r="I793" t="n">
        <v>0</v>
      </c>
      <c r="J793" t="n">
        <v>0</v>
      </c>
      <c r="K793" t="n">
        <v>0</v>
      </c>
      <c r="L793" t="n">
        <v>0</v>
      </c>
      <c r="M793" t="n">
        <v>0</v>
      </c>
      <c r="N793" t="n">
        <v>0</v>
      </c>
      <c r="O793" t="n">
        <v>0</v>
      </c>
      <c r="P793" t="n">
        <v>0</v>
      </c>
      <c r="Q793" t="n">
        <v>0</v>
      </c>
      <c r="R793" s="2" t="inlineStr"/>
    </row>
    <row r="794" ht="15" customHeight="1">
      <c r="A794" t="inlineStr">
        <is>
          <t>A 30819-2024</t>
        </is>
      </c>
      <c r="B794" s="1" t="n">
        <v>45497</v>
      </c>
      <c r="C794" s="1" t="n">
        <v>46116</v>
      </c>
      <c r="D794" t="inlineStr">
        <is>
          <t>DALARNAS LÄN</t>
        </is>
      </c>
      <c r="E794" t="inlineStr">
        <is>
          <t>MORA</t>
        </is>
      </c>
      <c r="G794" t="n">
        <v>2.2</v>
      </c>
      <c r="H794" t="n">
        <v>0</v>
      </c>
      <c r="I794" t="n">
        <v>0</v>
      </c>
      <c r="J794" t="n">
        <v>0</v>
      </c>
      <c r="K794" t="n">
        <v>0</v>
      </c>
      <c r="L794" t="n">
        <v>0</v>
      </c>
      <c r="M794" t="n">
        <v>0</v>
      </c>
      <c r="N794" t="n">
        <v>0</v>
      </c>
      <c r="O794" t="n">
        <v>0</v>
      </c>
      <c r="P794" t="n">
        <v>0</v>
      </c>
      <c r="Q794" t="n">
        <v>0</v>
      </c>
      <c r="R794" s="2" t="inlineStr"/>
    </row>
    <row r="795" ht="15" customHeight="1">
      <c r="A795" t="inlineStr">
        <is>
          <t>A 26731-2025</t>
        </is>
      </c>
      <c r="B795" s="1" t="n">
        <v>45810.50702546296</v>
      </c>
      <c r="C795" s="1" t="n">
        <v>46116</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20885-2024</t>
        </is>
      </c>
      <c r="B796" s="1" t="n">
        <v>45439.45527777778</v>
      </c>
      <c r="C796" s="1" t="n">
        <v>46116</v>
      </c>
      <c r="D796" t="inlineStr">
        <is>
          <t>DALARNAS LÄN</t>
        </is>
      </c>
      <c r="E796" t="inlineStr">
        <is>
          <t>MORA</t>
        </is>
      </c>
      <c r="G796" t="n">
        <v>5</v>
      </c>
      <c r="H796" t="n">
        <v>0</v>
      </c>
      <c r="I796" t="n">
        <v>0</v>
      </c>
      <c r="J796" t="n">
        <v>0</v>
      </c>
      <c r="K796" t="n">
        <v>0</v>
      </c>
      <c r="L796" t="n">
        <v>0</v>
      </c>
      <c r="M796" t="n">
        <v>0</v>
      </c>
      <c r="N796" t="n">
        <v>0</v>
      </c>
      <c r="O796" t="n">
        <v>0</v>
      </c>
      <c r="P796" t="n">
        <v>0</v>
      </c>
      <c r="Q796" t="n">
        <v>0</v>
      </c>
      <c r="R796" s="2" t="inlineStr"/>
    </row>
    <row r="797" ht="15" customHeight="1">
      <c r="A797" t="inlineStr">
        <is>
          <t>A 56425-2024</t>
        </is>
      </c>
      <c r="B797" s="1" t="n">
        <v>45625.38677083333</v>
      </c>
      <c r="C797" s="1" t="n">
        <v>46116</v>
      </c>
      <c r="D797" t="inlineStr">
        <is>
          <t>DALARNAS LÄN</t>
        </is>
      </c>
      <c r="E797" t="inlineStr">
        <is>
          <t>MORA</t>
        </is>
      </c>
      <c r="G797" t="n">
        <v>2.1</v>
      </c>
      <c r="H797" t="n">
        <v>0</v>
      </c>
      <c r="I797" t="n">
        <v>0</v>
      </c>
      <c r="J797" t="n">
        <v>0</v>
      </c>
      <c r="K797" t="n">
        <v>0</v>
      </c>
      <c r="L797" t="n">
        <v>0</v>
      </c>
      <c r="M797" t="n">
        <v>0</v>
      </c>
      <c r="N797" t="n">
        <v>0</v>
      </c>
      <c r="O797" t="n">
        <v>0</v>
      </c>
      <c r="P797" t="n">
        <v>0</v>
      </c>
      <c r="Q797" t="n">
        <v>0</v>
      </c>
      <c r="R797" s="2" t="inlineStr"/>
    </row>
    <row r="798" ht="15" customHeight="1">
      <c r="A798" t="inlineStr">
        <is>
          <t>A 26711-2025</t>
        </is>
      </c>
      <c r="B798" s="1" t="n">
        <v>45810.46144675926</v>
      </c>
      <c r="C798" s="1" t="n">
        <v>46116</v>
      </c>
      <c r="D798" t="inlineStr">
        <is>
          <t>DALARNAS LÄN</t>
        </is>
      </c>
      <c r="E798" t="inlineStr">
        <is>
          <t>MORA</t>
        </is>
      </c>
      <c r="G798" t="n">
        <v>0.5</v>
      </c>
      <c r="H798" t="n">
        <v>0</v>
      </c>
      <c r="I798" t="n">
        <v>0</v>
      </c>
      <c r="J798" t="n">
        <v>0</v>
      </c>
      <c r="K798" t="n">
        <v>0</v>
      </c>
      <c r="L798" t="n">
        <v>0</v>
      </c>
      <c r="M798" t="n">
        <v>0</v>
      </c>
      <c r="N798" t="n">
        <v>0</v>
      </c>
      <c r="O798" t="n">
        <v>0</v>
      </c>
      <c r="P798" t="n">
        <v>0</v>
      </c>
      <c r="Q798" t="n">
        <v>0</v>
      </c>
      <c r="R798" s="2" t="inlineStr"/>
    </row>
    <row r="799" ht="15" customHeight="1">
      <c r="A799" t="inlineStr">
        <is>
          <t>A 7565-2025</t>
        </is>
      </c>
      <c r="B799" s="1" t="n">
        <v>45705.59269675926</v>
      </c>
      <c r="C799" s="1" t="n">
        <v>46116</v>
      </c>
      <c r="D799" t="inlineStr">
        <is>
          <t>DALARNAS LÄN</t>
        </is>
      </c>
      <c r="E799" t="inlineStr">
        <is>
          <t>MORA</t>
        </is>
      </c>
      <c r="G799" t="n">
        <v>3</v>
      </c>
      <c r="H799" t="n">
        <v>0</v>
      </c>
      <c r="I799" t="n">
        <v>0</v>
      </c>
      <c r="J799" t="n">
        <v>0</v>
      </c>
      <c r="K799" t="n">
        <v>0</v>
      </c>
      <c r="L799" t="n">
        <v>0</v>
      </c>
      <c r="M799" t="n">
        <v>0</v>
      </c>
      <c r="N799" t="n">
        <v>0</v>
      </c>
      <c r="O799" t="n">
        <v>0</v>
      </c>
      <c r="P799" t="n">
        <v>0</v>
      </c>
      <c r="Q799" t="n">
        <v>0</v>
      </c>
      <c r="R799" s="2" t="inlineStr"/>
    </row>
    <row r="800" ht="15" customHeight="1">
      <c r="A800" t="inlineStr">
        <is>
          <t>A 26854-2025</t>
        </is>
      </c>
      <c r="B800" s="1" t="n">
        <v>45810.67462962963</v>
      </c>
      <c r="C800" s="1" t="n">
        <v>46116</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26647-2025</t>
        </is>
      </c>
      <c r="B801" s="1" t="n">
        <v>45810.38439814815</v>
      </c>
      <c r="C801" s="1" t="n">
        <v>46116</v>
      </c>
      <c r="D801" t="inlineStr">
        <is>
          <t>DALARNAS LÄN</t>
        </is>
      </c>
      <c r="E801" t="inlineStr">
        <is>
          <t>MORA</t>
        </is>
      </c>
      <c r="G801" t="n">
        <v>7.9</v>
      </c>
      <c r="H801" t="n">
        <v>0</v>
      </c>
      <c r="I801" t="n">
        <v>0</v>
      </c>
      <c r="J801" t="n">
        <v>0</v>
      </c>
      <c r="K801" t="n">
        <v>0</v>
      </c>
      <c r="L801" t="n">
        <v>0</v>
      </c>
      <c r="M801" t="n">
        <v>0</v>
      </c>
      <c r="N801" t="n">
        <v>0</v>
      </c>
      <c r="O801" t="n">
        <v>0</v>
      </c>
      <c r="P801" t="n">
        <v>0</v>
      </c>
      <c r="Q801" t="n">
        <v>0</v>
      </c>
      <c r="R801" s="2" t="inlineStr"/>
    </row>
    <row r="802" ht="15" customHeight="1">
      <c r="A802" t="inlineStr">
        <is>
          <t>A 26630-2025</t>
        </is>
      </c>
      <c r="B802" s="1" t="n">
        <v>45809</v>
      </c>
      <c r="C802" s="1" t="n">
        <v>46116</v>
      </c>
      <c r="D802" t="inlineStr">
        <is>
          <t>DALARNAS LÄN</t>
        </is>
      </c>
      <c r="E802" t="inlineStr">
        <is>
          <t>MORA</t>
        </is>
      </c>
      <c r="G802" t="n">
        <v>32.1</v>
      </c>
      <c r="H802" t="n">
        <v>0</v>
      </c>
      <c r="I802" t="n">
        <v>0</v>
      </c>
      <c r="J802" t="n">
        <v>0</v>
      </c>
      <c r="K802" t="n">
        <v>0</v>
      </c>
      <c r="L802" t="n">
        <v>0</v>
      </c>
      <c r="M802" t="n">
        <v>0</v>
      </c>
      <c r="N802" t="n">
        <v>0</v>
      </c>
      <c r="O802" t="n">
        <v>0</v>
      </c>
      <c r="P802" t="n">
        <v>0</v>
      </c>
      <c r="Q802" t="n">
        <v>0</v>
      </c>
      <c r="R802" s="2" t="inlineStr"/>
    </row>
    <row r="803" ht="15" customHeight="1">
      <c r="A803" t="inlineStr">
        <is>
          <t>A 27194-2025</t>
        </is>
      </c>
      <c r="B803" s="1" t="n">
        <v>45812.37965277778</v>
      </c>
      <c r="C803" s="1" t="n">
        <v>46116</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17268-2025</t>
        </is>
      </c>
      <c r="B804" s="1" t="n">
        <v>45756</v>
      </c>
      <c r="C804" s="1" t="n">
        <v>46116</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27642-2025</t>
        </is>
      </c>
      <c r="B805" s="1" t="n">
        <v>45813.59405092592</v>
      </c>
      <c r="C805" s="1" t="n">
        <v>46116</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27184-2025</t>
        </is>
      </c>
      <c r="B806" s="1" t="n">
        <v>45812.36133101852</v>
      </c>
      <c r="C806" s="1" t="n">
        <v>46116</v>
      </c>
      <c r="D806" t="inlineStr">
        <is>
          <t>DALARNAS LÄN</t>
        </is>
      </c>
      <c r="E806" t="inlineStr">
        <is>
          <t>MORA</t>
        </is>
      </c>
      <c r="G806" t="n">
        <v>1.2</v>
      </c>
      <c r="H806" t="n">
        <v>0</v>
      </c>
      <c r="I806" t="n">
        <v>0</v>
      </c>
      <c r="J806" t="n">
        <v>0</v>
      </c>
      <c r="K806" t="n">
        <v>0</v>
      </c>
      <c r="L806" t="n">
        <v>0</v>
      </c>
      <c r="M806" t="n">
        <v>0</v>
      </c>
      <c r="N806" t="n">
        <v>0</v>
      </c>
      <c r="O806" t="n">
        <v>0</v>
      </c>
      <c r="P806" t="n">
        <v>0</v>
      </c>
      <c r="Q806" t="n">
        <v>0</v>
      </c>
      <c r="R806" s="2" t="inlineStr"/>
    </row>
    <row r="807" ht="15" customHeight="1">
      <c r="A807" t="inlineStr">
        <is>
          <t>A 27177-2025</t>
        </is>
      </c>
      <c r="B807" s="1" t="n">
        <v>45812.3533912037</v>
      </c>
      <c r="C807" s="1" t="n">
        <v>46116</v>
      </c>
      <c r="D807" t="inlineStr">
        <is>
          <t>DALARNAS LÄN</t>
        </is>
      </c>
      <c r="E807" t="inlineStr">
        <is>
          <t>MORA</t>
        </is>
      </c>
      <c r="F807" t="inlineStr">
        <is>
          <t>Bergvik skog öst AB</t>
        </is>
      </c>
      <c r="G807" t="n">
        <v>2.5</v>
      </c>
      <c r="H807" t="n">
        <v>0</v>
      </c>
      <c r="I807" t="n">
        <v>0</v>
      </c>
      <c r="J807" t="n">
        <v>0</v>
      </c>
      <c r="K807" t="n">
        <v>0</v>
      </c>
      <c r="L807" t="n">
        <v>0</v>
      </c>
      <c r="M807" t="n">
        <v>0</v>
      </c>
      <c r="N807" t="n">
        <v>0</v>
      </c>
      <c r="O807" t="n">
        <v>0</v>
      </c>
      <c r="P807" t="n">
        <v>0</v>
      </c>
      <c r="Q807" t="n">
        <v>0</v>
      </c>
      <c r="R807" s="2" t="inlineStr"/>
    </row>
    <row r="808" ht="15" customHeight="1">
      <c r="A808" t="inlineStr">
        <is>
          <t>A 14611-2025</t>
        </is>
      </c>
      <c r="B808" s="1" t="n">
        <v>45742.38511574074</v>
      </c>
      <c r="C808" s="1" t="n">
        <v>46116</v>
      </c>
      <c r="D808" t="inlineStr">
        <is>
          <t>DALARNAS LÄN</t>
        </is>
      </c>
      <c r="E808" t="inlineStr">
        <is>
          <t>MORA</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27175-2025</t>
        </is>
      </c>
      <c r="B809" s="1" t="n">
        <v>45812.35072916667</v>
      </c>
      <c r="C809" s="1" t="n">
        <v>46116</v>
      </c>
      <c r="D809" t="inlineStr">
        <is>
          <t>DALARNAS LÄN</t>
        </is>
      </c>
      <c r="E809" t="inlineStr">
        <is>
          <t>MORA</t>
        </is>
      </c>
      <c r="F809" t="inlineStr">
        <is>
          <t>Bergvik skog öst AB</t>
        </is>
      </c>
      <c r="G809" t="n">
        <v>4</v>
      </c>
      <c r="H809" t="n">
        <v>0</v>
      </c>
      <c r="I809" t="n">
        <v>0</v>
      </c>
      <c r="J809" t="n">
        <v>0</v>
      </c>
      <c r="K809" t="n">
        <v>0</v>
      </c>
      <c r="L809" t="n">
        <v>0</v>
      </c>
      <c r="M809" t="n">
        <v>0</v>
      </c>
      <c r="N809" t="n">
        <v>0</v>
      </c>
      <c r="O809" t="n">
        <v>0</v>
      </c>
      <c r="P809" t="n">
        <v>0</v>
      </c>
      <c r="Q809" t="n">
        <v>0</v>
      </c>
      <c r="R809" s="2" t="inlineStr"/>
    </row>
    <row r="810" ht="15" customHeight="1">
      <c r="A810" t="inlineStr">
        <is>
          <t>A 28033-2025</t>
        </is>
      </c>
      <c r="B810" s="1" t="n">
        <v>45817.6325462963</v>
      </c>
      <c r="C810" s="1" t="n">
        <v>46116</v>
      </c>
      <c r="D810" t="inlineStr">
        <is>
          <t>DALARNAS LÄN</t>
        </is>
      </c>
      <c r="E810" t="inlineStr">
        <is>
          <t>MORA</t>
        </is>
      </c>
      <c r="F810" t="inlineStr">
        <is>
          <t>Bergvik skog öst AB</t>
        </is>
      </c>
      <c r="G810" t="n">
        <v>12.8</v>
      </c>
      <c r="H810" t="n">
        <v>0</v>
      </c>
      <c r="I810" t="n">
        <v>0</v>
      </c>
      <c r="J810" t="n">
        <v>0</v>
      </c>
      <c r="K810" t="n">
        <v>0</v>
      </c>
      <c r="L810" t="n">
        <v>0</v>
      </c>
      <c r="M810" t="n">
        <v>0</v>
      </c>
      <c r="N810" t="n">
        <v>0</v>
      </c>
      <c r="O810" t="n">
        <v>0</v>
      </c>
      <c r="P810" t="n">
        <v>0</v>
      </c>
      <c r="Q810" t="n">
        <v>0</v>
      </c>
      <c r="R810" s="2" t="inlineStr"/>
    </row>
    <row r="811" ht="15" customHeight="1">
      <c r="A811" t="inlineStr">
        <is>
          <t>A 29068-2025</t>
        </is>
      </c>
      <c r="B811" s="1" t="n">
        <v>45821.50900462963</v>
      </c>
      <c r="C811" s="1" t="n">
        <v>46116</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28976-2025</t>
        </is>
      </c>
      <c r="B812" s="1" t="n">
        <v>45821.34855324074</v>
      </c>
      <c r="C812" s="1" t="n">
        <v>46116</v>
      </c>
      <c r="D812" t="inlineStr">
        <is>
          <t>DALARNAS LÄN</t>
        </is>
      </c>
      <c r="E812" t="inlineStr">
        <is>
          <t>MORA</t>
        </is>
      </c>
      <c r="F812" t="inlineStr">
        <is>
          <t>Bergvik skog öst AB</t>
        </is>
      </c>
      <c r="G812" t="n">
        <v>1.2</v>
      </c>
      <c r="H812" t="n">
        <v>0</v>
      </c>
      <c r="I812" t="n">
        <v>0</v>
      </c>
      <c r="J812" t="n">
        <v>0</v>
      </c>
      <c r="K812" t="n">
        <v>0</v>
      </c>
      <c r="L812" t="n">
        <v>0</v>
      </c>
      <c r="M812" t="n">
        <v>0</v>
      </c>
      <c r="N812" t="n">
        <v>0</v>
      </c>
      <c r="O812" t="n">
        <v>0</v>
      </c>
      <c r="P812" t="n">
        <v>0</v>
      </c>
      <c r="Q812" t="n">
        <v>0</v>
      </c>
      <c r="R812" s="2" t="inlineStr"/>
    </row>
    <row r="813" ht="15" customHeight="1">
      <c r="A813" t="inlineStr">
        <is>
          <t>A 28925-2025</t>
        </is>
      </c>
      <c r="B813" s="1" t="n">
        <v>45820.67107638889</v>
      </c>
      <c r="C813" s="1" t="n">
        <v>46116</v>
      </c>
      <c r="D813" t="inlineStr">
        <is>
          <t>DALARNAS LÄN</t>
        </is>
      </c>
      <c r="E813" t="inlineStr">
        <is>
          <t>MORA</t>
        </is>
      </c>
      <c r="G813" t="n">
        <v>3.7</v>
      </c>
      <c r="H813" t="n">
        <v>0</v>
      </c>
      <c r="I813" t="n">
        <v>0</v>
      </c>
      <c r="J813" t="n">
        <v>0</v>
      </c>
      <c r="K813" t="n">
        <v>0</v>
      </c>
      <c r="L813" t="n">
        <v>0</v>
      </c>
      <c r="M813" t="n">
        <v>0</v>
      </c>
      <c r="N813" t="n">
        <v>0</v>
      </c>
      <c r="O813" t="n">
        <v>0</v>
      </c>
      <c r="P813" t="n">
        <v>0</v>
      </c>
      <c r="Q813" t="n">
        <v>0</v>
      </c>
      <c r="R813" s="2" t="inlineStr"/>
    </row>
    <row r="814" ht="15" customHeight="1">
      <c r="A814" t="inlineStr">
        <is>
          <t>A 28927-2025</t>
        </is>
      </c>
      <c r="B814" s="1" t="n">
        <v>45820.67221064815</v>
      </c>
      <c r="C814" s="1" t="n">
        <v>46116</v>
      </c>
      <c r="D814" t="inlineStr">
        <is>
          <t>DALARNAS LÄN</t>
        </is>
      </c>
      <c r="E814" t="inlineStr">
        <is>
          <t>MORA</t>
        </is>
      </c>
      <c r="G814" t="n">
        <v>0.4</v>
      </c>
      <c r="H814" t="n">
        <v>0</v>
      </c>
      <c r="I814" t="n">
        <v>0</v>
      </c>
      <c r="J814" t="n">
        <v>0</v>
      </c>
      <c r="K814" t="n">
        <v>0</v>
      </c>
      <c r="L814" t="n">
        <v>0</v>
      </c>
      <c r="M814" t="n">
        <v>0</v>
      </c>
      <c r="N814" t="n">
        <v>0</v>
      </c>
      <c r="O814" t="n">
        <v>0</v>
      </c>
      <c r="P814" t="n">
        <v>0</v>
      </c>
      <c r="Q814" t="n">
        <v>0</v>
      </c>
      <c r="R814" s="2" t="inlineStr"/>
    </row>
    <row r="815" ht="15" customHeight="1">
      <c r="A815" t="inlineStr">
        <is>
          <t>A 28924-2025</t>
        </is>
      </c>
      <c r="B815" s="1" t="n">
        <v>45820.66846064815</v>
      </c>
      <c r="C815" s="1" t="n">
        <v>46116</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28751-2025</t>
        </is>
      </c>
      <c r="B816" s="1" t="n">
        <v>45820.40034722222</v>
      </c>
      <c r="C816" s="1" t="n">
        <v>46116</v>
      </c>
      <c r="D816" t="inlineStr">
        <is>
          <t>DALARNAS LÄN</t>
        </is>
      </c>
      <c r="E816" t="inlineStr">
        <is>
          <t>MORA</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29528-2025</t>
        </is>
      </c>
      <c r="B817" s="1" t="n">
        <v>45825.34322916667</v>
      </c>
      <c r="C817" s="1" t="n">
        <v>46116</v>
      </c>
      <c r="D817" t="inlineStr">
        <is>
          <t>DALARNAS LÄN</t>
        </is>
      </c>
      <c r="E817" t="inlineStr">
        <is>
          <t>MORA</t>
        </is>
      </c>
      <c r="G817" t="n">
        <v>2.2</v>
      </c>
      <c r="H817" t="n">
        <v>0</v>
      </c>
      <c r="I817" t="n">
        <v>0</v>
      </c>
      <c r="J817" t="n">
        <v>0</v>
      </c>
      <c r="K817" t="n">
        <v>0</v>
      </c>
      <c r="L817" t="n">
        <v>0</v>
      </c>
      <c r="M817" t="n">
        <v>0</v>
      </c>
      <c r="N817" t="n">
        <v>0</v>
      </c>
      <c r="O817" t="n">
        <v>0</v>
      </c>
      <c r="P817" t="n">
        <v>0</v>
      </c>
      <c r="Q817" t="n">
        <v>0</v>
      </c>
      <c r="R817" s="2" t="inlineStr"/>
    </row>
    <row r="818" ht="15" customHeight="1">
      <c r="A818" t="inlineStr">
        <is>
          <t>A 29440-2025</t>
        </is>
      </c>
      <c r="B818" s="1" t="n">
        <v>45824.65862268519</v>
      </c>
      <c r="C818" s="1" t="n">
        <v>46116</v>
      </c>
      <c r="D818" t="inlineStr">
        <is>
          <t>DALARNAS LÄN</t>
        </is>
      </c>
      <c r="E818" t="inlineStr">
        <is>
          <t>MORA</t>
        </is>
      </c>
      <c r="G818" t="n">
        <v>1.7</v>
      </c>
      <c r="H818" t="n">
        <v>0</v>
      </c>
      <c r="I818" t="n">
        <v>0</v>
      </c>
      <c r="J818" t="n">
        <v>0</v>
      </c>
      <c r="K818" t="n">
        <v>0</v>
      </c>
      <c r="L818" t="n">
        <v>0</v>
      </c>
      <c r="M818" t="n">
        <v>0</v>
      </c>
      <c r="N818" t="n">
        <v>0</v>
      </c>
      <c r="O818" t="n">
        <v>0</v>
      </c>
      <c r="P818" t="n">
        <v>0</v>
      </c>
      <c r="Q818" t="n">
        <v>0</v>
      </c>
      <c r="R818" s="2" t="inlineStr"/>
    </row>
    <row r="819" ht="15" customHeight="1">
      <c r="A819" t="inlineStr">
        <is>
          <t>A 29425-2025</t>
        </is>
      </c>
      <c r="B819" s="1" t="n">
        <v>45824.64524305556</v>
      </c>
      <c r="C819" s="1" t="n">
        <v>46116</v>
      </c>
      <c r="D819" t="inlineStr">
        <is>
          <t>DALARNAS LÄN</t>
        </is>
      </c>
      <c r="E819" t="inlineStr">
        <is>
          <t>MORA</t>
        </is>
      </c>
      <c r="G819" t="n">
        <v>4.4</v>
      </c>
      <c r="H819" t="n">
        <v>0</v>
      </c>
      <c r="I819" t="n">
        <v>0</v>
      </c>
      <c r="J819" t="n">
        <v>0</v>
      </c>
      <c r="K819" t="n">
        <v>0</v>
      </c>
      <c r="L819" t="n">
        <v>0</v>
      </c>
      <c r="M819" t="n">
        <v>0</v>
      </c>
      <c r="N819" t="n">
        <v>0</v>
      </c>
      <c r="O819" t="n">
        <v>0</v>
      </c>
      <c r="P819" t="n">
        <v>0</v>
      </c>
      <c r="Q819" t="n">
        <v>0</v>
      </c>
      <c r="R819" s="2" t="inlineStr"/>
    </row>
    <row r="820" ht="15" customHeight="1">
      <c r="A820" t="inlineStr">
        <is>
          <t>A 30087-2025</t>
        </is>
      </c>
      <c r="B820" s="1" t="n">
        <v>45826.6575</v>
      </c>
      <c r="C820" s="1" t="n">
        <v>46116</v>
      </c>
      <c r="D820" t="inlineStr">
        <is>
          <t>DALARNAS LÄN</t>
        </is>
      </c>
      <c r="E820" t="inlineStr">
        <is>
          <t>MORA</t>
        </is>
      </c>
      <c r="G820" t="n">
        <v>1.6</v>
      </c>
      <c r="H820" t="n">
        <v>0</v>
      </c>
      <c r="I820" t="n">
        <v>0</v>
      </c>
      <c r="J820" t="n">
        <v>0</v>
      </c>
      <c r="K820" t="n">
        <v>0</v>
      </c>
      <c r="L820" t="n">
        <v>0</v>
      </c>
      <c r="M820" t="n">
        <v>0</v>
      </c>
      <c r="N820" t="n">
        <v>0</v>
      </c>
      <c r="O820" t="n">
        <v>0</v>
      </c>
      <c r="P820" t="n">
        <v>0</v>
      </c>
      <c r="Q820" t="n">
        <v>0</v>
      </c>
      <c r="R820" s="2" t="inlineStr"/>
    </row>
    <row r="821" ht="15" customHeight="1">
      <c r="A821" t="inlineStr">
        <is>
          <t>A 30166-2025</t>
        </is>
      </c>
      <c r="B821" s="1" t="n">
        <v>45827.33116898148</v>
      </c>
      <c r="C821" s="1" t="n">
        <v>46116</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29870-2025</t>
        </is>
      </c>
      <c r="B822" s="1" t="n">
        <v>45826.35716435185</v>
      </c>
      <c r="C822" s="1" t="n">
        <v>46116</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29873-2025</t>
        </is>
      </c>
      <c r="B823" s="1" t="n">
        <v>45826</v>
      </c>
      <c r="C823" s="1" t="n">
        <v>46116</v>
      </c>
      <c r="D823" t="inlineStr">
        <is>
          <t>DALARNAS LÄN</t>
        </is>
      </c>
      <c r="E823" t="inlineStr">
        <is>
          <t>MORA</t>
        </is>
      </c>
      <c r="G823" t="n">
        <v>0.6</v>
      </c>
      <c r="H823" t="n">
        <v>0</v>
      </c>
      <c r="I823" t="n">
        <v>0</v>
      </c>
      <c r="J823" t="n">
        <v>0</v>
      </c>
      <c r="K823" t="n">
        <v>0</v>
      </c>
      <c r="L823" t="n">
        <v>0</v>
      </c>
      <c r="M823" t="n">
        <v>0</v>
      </c>
      <c r="N823" t="n">
        <v>0</v>
      </c>
      <c r="O823" t="n">
        <v>0</v>
      </c>
      <c r="P823" t="n">
        <v>0</v>
      </c>
      <c r="Q823" t="n">
        <v>0</v>
      </c>
      <c r="R823" s="2" t="inlineStr"/>
    </row>
    <row r="824" ht="15" customHeight="1">
      <c r="A824" t="inlineStr">
        <is>
          <t>A 30507-2025</t>
        </is>
      </c>
      <c r="B824" s="1" t="n">
        <v>45831.24760416667</v>
      </c>
      <c r="C824" s="1" t="n">
        <v>46116</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30509-2025</t>
        </is>
      </c>
      <c r="B825" s="1" t="n">
        <v>45831.25519675926</v>
      </c>
      <c r="C825" s="1" t="n">
        <v>46116</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30989-2025</t>
        </is>
      </c>
      <c r="B826" s="1" t="n">
        <v>45832.48185185185</v>
      </c>
      <c r="C826" s="1" t="n">
        <v>46116</v>
      </c>
      <c r="D826" t="inlineStr">
        <is>
          <t>DALARNAS LÄN</t>
        </is>
      </c>
      <c r="E826" t="inlineStr">
        <is>
          <t>MORA</t>
        </is>
      </c>
      <c r="F826" t="inlineStr">
        <is>
          <t>Bergvik skog öst AB</t>
        </is>
      </c>
      <c r="G826" t="n">
        <v>4.1</v>
      </c>
      <c r="H826" t="n">
        <v>0</v>
      </c>
      <c r="I826" t="n">
        <v>0</v>
      </c>
      <c r="J826" t="n">
        <v>0</v>
      </c>
      <c r="K826" t="n">
        <v>0</v>
      </c>
      <c r="L826" t="n">
        <v>0</v>
      </c>
      <c r="M826" t="n">
        <v>0</v>
      </c>
      <c r="N826" t="n">
        <v>0</v>
      </c>
      <c r="O826" t="n">
        <v>0</v>
      </c>
      <c r="P826" t="n">
        <v>0</v>
      </c>
      <c r="Q826" t="n">
        <v>0</v>
      </c>
      <c r="R826" s="2" t="inlineStr"/>
    </row>
    <row r="827" ht="15" customHeight="1">
      <c r="A827" t="inlineStr">
        <is>
          <t>A 30858-2025</t>
        </is>
      </c>
      <c r="B827" s="1" t="n">
        <v>45831.92416666666</v>
      </c>
      <c r="C827" s="1" t="n">
        <v>46116</v>
      </c>
      <c r="D827" t="inlineStr">
        <is>
          <t>DALARNAS LÄN</t>
        </is>
      </c>
      <c r="E827" t="inlineStr">
        <is>
          <t>MORA</t>
        </is>
      </c>
      <c r="G827" t="n">
        <v>2.9</v>
      </c>
      <c r="H827" t="n">
        <v>0</v>
      </c>
      <c r="I827" t="n">
        <v>0</v>
      </c>
      <c r="J827" t="n">
        <v>0</v>
      </c>
      <c r="K827" t="n">
        <v>0</v>
      </c>
      <c r="L827" t="n">
        <v>0</v>
      </c>
      <c r="M827" t="n">
        <v>0</v>
      </c>
      <c r="N827" t="n">
        <v>0</v>
      </c>
      <c r="O827" t="n">
        <v>0</v>
      </c>
      <c r="P827" t="n">
        <v>0</v>
      </c>
      <c r="Q827" t="n">
        <v>0</v>
      </c>
      <c r="R827" s="2" t="inlineStr"/>
    </row>
    <row r="828" ht="15" customHeight="1">
      <c r="A828" t="inlineStr">
        <is>
          <t>A 30859-2025</t>
        </is>
      </c>
      <c r="B828" s="1" t="n">
        <v>45831.93105324074</v>
      </c>
      <c r="C828" s="1" t="n">
        <v>46116</v>
      </c>
      <c r="D828" t="inlineStr">
        <is>
          <t>DALARNAS LÄN</t>
        </is>
      </c>
      <c r="E828" t="inlineStr">
        <is>
          <t>MORA</t>
        </is>
      </c>
      <c r="G828" t="n">
        <v>0.7</v>
      </c>
      <c r="H828" t="n">
        <v>0</v>
      </c>
      <c r="I828" t="n">
        <v>0</v>
      </c>
      <c r="J828" t="n">
        <v>0</v>
      </c>
      <c r="K828" t="n">
        <v>0</v>
      </c>
      <c r="L828" t="n">
        <v>0</v>
      </c>
      <c r="M828" t="n">
        <v>0</v>
      </c>
      <c r="N828" t="n">
        <v>0</v>
      </c>
      <c r="O828" t="n">
        <v>0</v>
      </c>
      <c r="P828" t="n">
        <v>0</v>
      </c>
      <c r="Q828" t="n">
        <v>0</v>
      </c>
      <c r="R828" s="2" t="inlineStr"/>
    </row>
    <row r="829" ht="15" customHeight="1">
      <c r="A829" t="inlineStr">
        <is>
          <t>A 31846-2025</t>
        </is>
      </c>
      <c r="B829" s="1" t="n">
        <v>45834.60209490741</v>
      </c>
      <c r="C829" s="1" t="n">
        <v>46116</v>
      </c>
      <c r="D829" t="inlineStr">
        <is>
          <t>DALARNAS LÄN</t>
        </is>
      </c>
      <c r="E829" t="inlineStr">
        <is>
          <t>MORA</t>
        </is>
      </c>
      <c r="G829" t="n">
        <v>3.6</v>
      </c>
      <c r="H829" t="n">
        <v>0</v>
      </c>
      <c r="I829" t="n">
        <v>0</v>
      </c>
      <c r="J829" t="n">
        <v>0</v>
      </c>
      <c r="K829" t="n">
        <v>0</v>
      </c>
      <c r="L829" t="n">
        <v>0</v>
      </c>
      <c r="M829" t="n">
        <v>0</v>
      </c>
      <c r="N829" t="n">
        <v>0</v>
      </c>
      <c r="O829" t="n">
        <v>0</v>
      </c>
      <c r="P829" t="n">
        <v>0</v>
      </c>
      <c r="Q829" t="n">
        <v>0</v>
      </c>
      <c r="R829" s="2" t="inlineStr"/>
    </row>
    <row r="830" ht="15" customHeight="1">
      <c r="A830" t="inlineStr">
        <is>
          <t>A 31849-2025</t>
        </is>
      </c>
      <c r="B830" s="1" t="n">
        <v>45834.60525462963</v>
      </c>
      <c r="C830" s="1" t="n">
        <v>46116</v>
      </c>
      <c r="D830" t="inlineStr">
        <is>
          <t>DALARNAS LÄN</t>
        </is>
      </c>
      <c r="E830" t="inlineStr">
        <is>
          <t>MORA</t>
        </is>
      </c>
      <c r="G830" t="n">
        <v>3.9</v>
      </c>
      <c r="H830" t="n">
        <v>0</v>
      </c>
      <c r="I830" t="n">
        <v>0</v>
      </c>
      <c r="J830" t="n">
        <v>0</v>
      </c>
      <c r="K830" t="n">
        <v>0</v>
      </c>
      <c r="L830" t="n">
        <v>0</v>
      </c>
      <c r="M830" t="n">
        <v>0</v>
      </c>
      <c r="N830" t="n">
        <v>0</v>
      </c>
      <c r="O830" t="n">
        <v>0</v>
      </c>
      <c r="P830" t="n">
        <v>0</v>
      </c>
      <c r="Q830" t="n">
        <v>0</v>
      </c>
      <c r="R830" s="2" t="inlineStr"/>
    </row>
    <row r="831" ht="15" customHeight="1">
      <c r="A831" t="inlineStr">
        <is>
          <t>A 31842-2025</t>
        </is>
      </c>
      <c r="B831" s="1" t="n">
        <v>45834.59822916667</v>
      </c>
      <c r="C831" s="1" t="n">
        <v>46116</v>
      </c>
      <c r="D831" t="inlineStr">
        <is>
          <t>DALARNAS LÄN</t>
        </is>
      </c>
      <c r="E831" t="inlineStr">
        <is>
          <t>MORA</t>
        </is>
      </c>
      <c r="G831" t="n">
        <v>1.1</v>
      </c>
      <c r="H831" t="n">
        <v>0</v>
      </c>
      <c r="I831" t="n">
        <v>0</v>
      </c>
      <c r="J831" t="n">
        <v>0</v>
      </c>
      <c r="K831" t="n">
        <v>0</v>
      </c>
      <c r="L831" t="n">
        <v>0</v>
      </c>
      <c r="M831" t="n">
        <v>0</v>
      </c>
      <c r="N831" t="n">
        <v>0</v>
      </c>
      <c r="O831" t="n">
        <v>0</v>
      </c>
      <c r="P831" t="n">
        <v>0</v>
      </c>
      <c r="Q831" t="n">
        <v>0</v>
      </c>
      <c r="R831" s="2" t="inlineStr"/>
    </row>
    <row r="832" ht="15" customHeight="1">
      <c r="A832" t="inlineStr">
        <is>
          <t>A 32852-2025</t>
        </is>
      </c>
      <c r="B832" s="1" t="n">
        <v>45839.57559027777</v>
      </c>
      <c r="C832" s="1" t="n">
        <v>46116</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33443-2025</t>
        </is>
      </c>
      <c r="B833" s="1" t="n">
        <v>45841</v>
      </c>
      <c r="C833" s="1" t="n">
        <v>46116</v>
      </c>
      <c r="D833" t="inlineStr">
        <is>
          <t>DALARNAS LÄN</t>
        </is>
      </c>
      <c r="E833" t="inlineStr">
        <is>
          <t>MORA</t>
        </is>
      </c>
      <c r="G833" t="n">
        <v>2.7</v>
      </c>
      <c r="H833" t="n">
        <v>0</v>
      </c>
      <c r="I833" t="n">
        <v>0</v>
      </c>
      <c r="J833" t="n">
        <v>0</v>
      </c>
      <c r="K833" t="n">
        <v>0</v>
      </c>
      <c r="L833" t="n">
        <v>0</v>
      </c>
      <c r="M833" t="n">
        <v>0</v>
      </c>
      <c r="N833" t="n">
        <v>0</v>
      </c>
      <c r="O833" t="n">
        <v>0</v>
      </c>
      <c r="P833" t="n">
        <v>0</v>
      </c>
      <c r="Q833" t="n">
        <v>0</v>
      </c>
      <c r="R833" s="2" t="inlineStr"/>
    </row>
    <row r="834" ht="15" customHeight="1">
      <c r="A834" t="inlineStr">
        <is>
          <t>A 34182-2025</t>
        </is>
      </c>
      <c r="B834" s="1" t="n">
        <v>45845.60520833333</v>
      </c>
      <c r="C834" s="1" t="n">
        <v>46116</v>
      </c>
      <c r="D834" t="inlineStr">
        <is>
          <t>DALARNAS LÄN</t>
        </is>
      </c>
      <c r="E834" t="inlineStr">
        <is>
          <t>MORA</t>
        </is>
      </c>
      <c r="G834" t="n">
        <v>3.4</v>
      </c>
      <c r="H834" t="n">
        <v>0</v>
      </c>
      <c r="I834" t="n">
        <v>0</v>
      </c>
      <c r="J834" t="n">
        <v>0</v>
      </c>
      <c r="K834" t="n">
        <v>0</v>
      </c>
      <c r="L834" t="n">
        <v>0</v>
      </c>
      <c r="M834" t="n">
        <v>0</v>
      </c>
      <c r="N834" t="n">
        <v>0</v>
      </c>
      <c r="O834" t="n">
        <v>0</v>
      </c>
      <c r="P834" t="n">
        <v>0</v>
      </c>
      <c r="Q834" t="n">
        <v>0</v>
      </c>
      <c r="R834" s="2" t="inlineStr"/>
    </row>
    <row r="835" ht="15" customHeight="1">
      <c r="A835" t="inlineStr">
        <is>
          <t>A 34005-2025</t>
        </is>
      </c>
      <c r="B835" s="1" t="n">
        <v>45844.58890046296</v>
      </c>
      <c r="C835" s="1" t="n">
        <v>46116</v>
      </c>
      <c r="D835" t="inlineStr">
        <is>
          <t>DALARNAS LÄN</t>
        </is>
      </c>
      <c r="E835" t="inlineStr">
        <is>
          <t>MORA</t>
        </is>
      </c>
      <c r="G835" t="n">
        <v>7.2</v>
      </c>
      <c r="H835" t="n">
        <v>0</v>
      </c>
      <c r="I835" t="n">
        <v>0</v>
      </c>
      <c r="J835" t="n">
        <v>0</v>
      </c>
      <c r="K835" t="n">
        <v>0</v>
      </c>
      <c r="L835" t="n">
        <v>0</v>
      </c>
      <c r="M835" t="n">
        <v>0</v>
      </c>
      <c r="N835" t="n">
        <v>0</v>
      </c>
      <c r="O835" t="n">
        <v>0</v>
      </c>
      <c r="P835" t="n">
        <v>0</v>
      </c>
      <c r="Q835" t="n">
        <v>0</v>
      </c>
      <c r="R835" s="2" t="inlineStr"/>
    </row>
    <row r="836">
      <c r="A836" t="inlineStr">
        <is>
          <t>A 34482-2025</t>
        </is>
      </c>
      <c r="B836" s="1" t="n">
        <v>45847.38469907407</v>
      </c>
      <c r="C836" s="1" t="n">
        <v>46116</v>
      </c>
      <c r="D836" t="inlineStr">
        <is>
          <t>DALARNAS LÄN</t>
        </is>
      </c>
      <c r="E836" t="inlineStr">
        <is>
          <t>MORA</t>
        </is>
      </c>
      <c r="G836" t="n">
        <v>1.5</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2026-04-04T10:45:27Z</dcterms:created>
  <dcterms:modified xmlns:dcterms="http://purl.org/dc/terms/" xmlns:xsi="http://www.w3.org/2001/XMLSchema-instance" xsi:type="dcterms:W3CDTF">2026-04-04T10:45:27Z</dcterms:modified>
</cp:coreProperties>
</file>