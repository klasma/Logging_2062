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46073</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46073</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46073</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46073</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46073</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44318-2025</t>
        </is>
      </c>
      <c r="B23" s="1" t="n">
        <v>45916.39680555555</v>
      </c>
      <c r="C23" s="1" t="n">
        <v>46073</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46073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46073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46073</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46073</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46073</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46073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46073</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46073</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46073</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35486-2025</t>
        </is>
      </c>
      <c r="B33" s="1" t="n">
        <v>45855</v>
      </c>
      <c r="C33" s="1" t="n">
        <v>46073</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46073</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46073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46073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46073</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46073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2762-2026</t>
        </is>
      </c>
      <c r="B40" s="1" t="n">
        <v>46036</v>
      </c>
      <c r="C40" s="1" t="n">
        <v>46073</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46073</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29380-2025</t>
        </is>
      </c>
      <c r="B42" s="1" t="n">
        <v>45824.59025462963</v>
      </c>
      <c r="C42" s="1" t="n">
        <v>46073</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46073</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29520-2025</t>
        </is>
      </c>
      <c r="B44" s="1" t="n">
        <v>45825.3303125</v>
      </c>
      <c r="C44" s="1" t="n">
        <v>46073</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46073</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34447-2024</t>
        </is>
      </c>
      <c r="B46" s="1" t="n">
        <v>45525</v>
      </c>
      <c r="C46" s="1" t="n">
        <v>46073</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46073</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46073</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46073</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53426-2025</t>
        </is>
      </c>
      <c r="B50" s="1" t="n">
        <v>45959.6131712963</v>
      </c>
      <c r="C50" s="1" t="n">
        <v>46073</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46073</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8760-2025</t>
        </is>
      </c>
      <c r="B52" s="1" t="n">
        <v>45712.57467592593</v>
      </c>
      <c r="C52" s="1" t="n">
        <v>46073</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31539-2025</t>
        </is>
      </c>
      <c r="B53" s="1" t="n">
        <v>45833</v>
      </c>
      <c r="C53" s="1" t="n">
        <v>46073</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46073</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46073</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46073</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39478-2025</t>
        </is>
      </c>
      <c r="B57" s="1" t="n">
        <v>45890.3469212963</v>
      </c>
      <c r="C57" s="1" t="n">
        <v>46073</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46073</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17648-2024</t>
        </is>
      </c>
      <c r="B59" s="1" t="n">
        <v>45418.39261574074</v>
      </c>
      <c r="C59" s="1" t="n">
        <v>46073</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14829-2025</t>
        </is>
      </c>
      <c r="B60" s="1" t="n">
        <v>45743.36951388889</v>
      </c>
      <c r="C60" s="1" t="n">
        <v>46073</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32222-2025</t>
        </is>
      </c>
      <c r="B61" s="1" t="n">
        <v>45835.59140046296</v>
      </c>
      <c r="C61" s="1" t="n">
        <v>46073</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46073</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61770-2025</t>
        </is>
      </c>
      <c r="B63" s="1" t="n">
        <v>46002.64605324074</v>
      </c>
      <c r="C63" s="1" t="n">
        <v>46073</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46073</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23163-2025</t>
        </is>
      </c>
      <c r="B65" s="1" t="n">
        <v>45791.41832175926</v>
      </c>
      <c r="C65" s="1" t="n">
        <v>46073</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49695-2025</t>
        </is>
      </c>
      <c r="B66" s="1" t="n">
        <v>45939.67418981482</v>
      </c>
      <c r="C66" s="1" t="n">
        <v>46073</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29392-2025</t>
        </is>
      </c>
      <c r="B67" s="1" t="n">
        <v>45824.60537037037</v>
      </c>
      <c r="C67" s="1" t="n">
        <v>46073</v>
      </c>
      <c r="D67" t="inlineStr">
        <is>
          <t>DALARNAS LÄN</t>
        </is>
      </c>
      <c r="E67" t="inlineStr">
        <is>
          <t>MORA</t>
        </is>
      </c>
      <c r="G67" t="n">
        <v>1</v>
      </c>
      <c r="H67" t="n">
        <v>1</v>
      </c>
      <c r="I67" t="n">
        <v>2</v>
      </c>
      <c r="J67" t="n">
        <v>1</v>
      </c>
      <c r="K67" t="n">
        <v>0</v>
      </c>
      <c r="L67" t="n">
        <v>0</v>
      </c>
      <c r="M67" t="n">
        <v>0</v>
      </c>
      <c r="N67" t="n">
        <v>0</v>
      </c>
      <c r="O67" t="n">
        <v>1</v>
      </c>
      <c r="P67" t="n">
        <v>0</v>
      </c>
      <c r="Q67" t="n">
        <v>3</v>
      </c>
      <c r="R67" s="2" t="inlineStr">
        <is>
          <t>Garnlav
Mindre märgborre
Plattlummer</t>
        </is>
      </c>
      <c r="S67">
        <f>HYPERLINK("https://klasma.github.io/Logging_2062/artfynd/A 29392-2025 artfynd.xlsx", "A 29392-2025")</f>
        <v/>
      </c>
      <c r="T67">
        <f>HYPERLINK("https://klasma.github.io/Logging_2062/kartor/A 29392-2025 karta.png", "A 29392-2025")</f>
        <v/>
      </c>
      <c r="V67">
        <f>HYPERLINK("https://klasma.github.io/Logging_2062/klagomål/A 29392-2025 FSC-klagomål.docx", "A 29392-2025")</f>
        <v/>
      </c>
      <c r="W67">
        <f>HYPERLINK("https://klasma.github.io/Logging_2062/klagomålsmail/A 29392-2025 FSC-klagomål mail.docx", "A 29392-2025")</f>
        <v/>
      </c>
      <c r="X67">
        <f>HYPERLINK("https://klasma.github.io/Logging_2062/tillsyn/A 29392-2025 tillsynsbegäran.docx", "A 29392-2025")</f>
        <v/>
      </c>
      <c r="Y67">
        <f>HYPERLINK("https://klasma.github.io/Logging_2062/tillsynsmail/A 29392-2025 tillsynsbegäran mail.docx", "A 29392-2025")</f>
        <v/>
      </c>
    </row>
    <row r="68" ht="15" customHeight="1">
      <c r="A68" t="inlineStr">
        <is>
          <t>A 62620-2025</t>
        </is>
      </c>
      <c r="B68" s="1" t="n">
        <v>46008.34148148148</v>
      </c>
      <c r="C68" s="1" t="n">
        <v>46073</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46073</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35068-2025</t>
        </is>
      </c>
      <c r="B70" s="1" t="n">
        <v>45852.45686342593</v>
      </c>
      <c r="C70" s="1" t="n">
        <v>46073</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37552-2023</t>
        </is>
      </c>
      <c r="B71" s="1" t="n">
        <v>45159.32799768518</v>
      </c>
      <c r="C71" s="1" t="n">
        <v>46073</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42028-2023</t>
        </is>
      </c>
      <c r="B72" s="1" t="n">
        <v>45177.49715277777</v>
      </c>
      <c r="C72" s="1" t="n">
        <v>46073</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30328-2021</t>
        </is>
      </c>
      <c r="B73" s="1" t="n">
        <v>44364</v>
      </c>
      <c r="C73" s="1" t="n">
        <v>46073</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5304-2023</t>
        </is>
      </c>
      <c r="B74" s="1" t="n">
        <v>44959.55116898148</v>
      </c>
      <c r="C74" s="1" t="n">
        <v>46073</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16094-2024</t>
        </is>
      </c>
      <c r="B75" s="1" t="n">
        <v>45406.41648148148</v>
      </c>
      <c r="C75" s="1" t="n">
        <v>46073</v>
      </c>
      <c r="D75" t="inlineStr">
        <is>
          <t>DALARNAS LÄN</t>
        </is>
      </c>
      <c r="E75" t="inlineStr">
        <is>
          <t>MORA</t>
        </is>
      </c>
      <c r="F75" t="inlineStr">
        <is>
          <t>Bergvik skog väst AB</t>
        </is>
      </c>
      <c r="G75" t="n">
        <v>22.6</v>
      </c>
      <c r="H75" t="n">
        <v>0</v>
      </c>
      <c r="I75" t="n">
        <v>0</v>
      </c>
      <c r="J75" t="n">
        <v>1</v>
      </c>
      <c r="K75" t="n">
        <v>0</v>
      </c>
      <c r="L75" t="n">
        <v>0</v>
      </c>
      <c r="M75" t="n">
        <v>0</v>
      </c>
      <c r="N75" t="n">
        <v>0</v>
      </c>
      <c r="O75" t="n">
        <v>1</v>
      </c>
      <c r="P75" t="n">
        <v>0</v>
      </c>
      <c r="Q75" t="n">
        <v>1</v>
      </c>
      <c r="R75" s="2" t="inlineStr">
        <is>
          <t>Reliktbock</t>
        </is>
      </c>
      <c r="S75">
        <f>HYPERLINK("https://klasma.github.io/Logging_2062/artfynd/A 16094-2024 artfynd.xlsx", "A 16094-2024")</f>
        <v/>
      </c>
      <c r="T75">
        <f>HYPERLINK("https://klasma.github.io/Logging_2062/kartor/A 16094-2024 karta.png", "A 16094-2024")</f>
        <v/>
      </c>
      <c r="V75">
        <f>HYPERLINK("https://klasma.github.io/Logging_2062/klagomål/A 16094-2024 FSC-klagomål.docx", "A 16094-2024")</f>
        <v/>
      </c>
      <c r="W75">
        <f>HYPERLINK("https://klasma.github.io/Logging_2062/klagomålsmail/A 16094-2024 FSC-klagomål mail.docx", "A 16094-2024")</f>
        <v/>
      </c>
      <c r="X75">
        <f>HYPERLINK("https://klasma.github.io/Logging_2062/tillsyn/A 16094-2024 tillsynsbegäran.docx", "A 16094-2024")</f>
        <v/>
      </c>
      <c r="Y75">
        <f>HYPERLINK("https://klasma.github.io/Logging_2062/tillsynsmail/A 16094-2024 tillsynsbegäran mail.docx", "A 16094-2024")</f>
        <v/>
      </c>
    </row>
    <row r="76" ht="15" customHeight="1">
      <c r="A76" t="inlineStr">
        <is>
          <t>A 27113-2024</t>
        </is>
      </c>
      <c r="B76" s="1" t="n">
        <v>45471</v>
      </c>
      <c r="C76" s="1" t="n">
        <v>46073</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57669-2022</t>
        </is>
      </c>
      <c r="B77" s="1" t="n">
        <v>44897</v>
      </c>
      <c r="C77" s="1" t="n">
        <v>46073</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62096-2025</t>
        </is>
      </c>
      <c r="B78" s="1" t="n">
        <v>46006.38961805555</v>
      </c>
      <c r="C78" s="1" t="n">
        <v>46073</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20538-2025</t>
        </is>
      </c>
      <c r="B79" s="1" t="n">
        <v>45775.62283564815</v>
      </c>
      <c r="C79" s="1" t="n">
        <v>46073</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46073</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68415-2021</t>
        </is>
      </c>
      <c r="B81" s="1" t="n">
        <v>44529</v>
      </c>
      <c r="C81" s="1" t="n">
        <v>46073</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831-2025</t>
        </is>
      </c>
      <c r="B82" s="1" t="n">
        <v>45665.58001157407</v>
      </c>
      <c r="C82" s="1" t="n">
        <v>46073</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45344-2024</t>
        </is>
      </c>
      <c r="B83" s="1" t="n">
        <v>45576</v>
      </c>
      <c r="C83" s="1" t="n">
        <v>46073</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45344-2024 artfynd.xlsx", "A 45344-2024")</f>
        <v/>
      </c>
      <c r="T83">
        <f>HYPERLINK("https://klasma.github.io/Logging_2062/kartor/A 45344-2024 karta.png", "A 45344-2024")</f>
        <v/>
      </c>
      <c r="V83">
        <f>HYPERLINK("https://klasma.github.io/Logging_2062/klagomål/A 45344-2024 FSC-klagomål.docx", "A 45344-2024")</f>
        <v/>
      </c>
      <c r="W83">
        <f>HYPERLINK("https://klasma.github.io/Logging_2062/klagomålsmail/A 45344-2024 FSC-klagomål mail.docx", "A 45344-2024")</f>
        <v/>
      </c>
      <c r="X83">
        <f>HYPERLINK("https://klasma.github.io/Logging_2062/tillsyn/A 45344-2024 tillsynsbegäran.docx", "A 45344-2024")</f>
        <v/>
      </c>
      <c r="Y83">
        <f>HYPERLINK("https://klasma.github.io/Logging_2062/tillsynsmail/A 45344-2024 tillsynsbegäran mail.docx", "A 45344-2024")</f>
        <v/>
      </c>
    </row>
    <row r="84" ht="15" customHeight="1">
      <c r="A84" t="inlineStr">
        <is>
          <t>A 23736-2023</t>
        </is>
      </c>
      <c r="B84" s="1" t="n">
        <v>45077</v>
      </c>
      <c r="C84" s="1" t="n">
        <v>46073</v>
      </c>
      <c r="D84" t="inlineStr">
        <is>
          <t>DALARNAS LÄN</t>
        </is>
      </c>
      <c r="E84" t="inlineStr">
        <is>
          <t>MORA</t>
        </is>
      </c>
      <c r="G84" t="n">
        <v>7.2</v>
      </c>
      <c r="H84" t="n">
        <v>0</v>
      </c>
      <c r="I84" t="n">
        <v>0</v>
      </c>
      <c r="J84" t="n">
        <v>1</v>
      </c>
      <c r="K84" t="n">
        <v>0</v>
      </c>
      <c r="L84" t="n">
        <v>0</v>
      </c>
      <c r="M84" t="n">
        <v>0</v>
      </c>
      <c r="N84" t="n">
        <v>0</v>
      </c>
      <c r="O84" t="n">
        <v>1</v>
      </c>
      <c r="P84" t="n">
        <v>0</v>
      </c>
      <c r="Q84" t="n">
        <v>1</v>
      </c>
      <c r="R84" s="2" t="inlineStr">
        <is>
          <t>Reliktbock</t>
        </is>
      </c>
      <c r="S84">
        <f>HYPERLINK("https://klasma.github.io/Logging_2062/artfynd/A 23736-2023 artfynd.xlsx", "A 23736-2023")</f>
        <v/>
      </c>
      <c r="T84">
        <f>HYPERLINK("https://klasma.github.io/Logging_2062/kartor/A 23736-2023 karta.png", "A 23736-2023")</f>
        <v/>
      </c>
      <c r="V84">
        <f>HYPERLINK("https://klasma.github.io/Logging_2062/klagomål/A 23736-2023 FSC-klagomål.docx", "A 23736-2023")</f>
        <v/>
      </c>
      <c r="W84">
        <f>HYPERLINK("https://klasma.github.io/Logging_2062/klagomålsmail/A 23736-2023 FSC-klagomål mail.docx", "A 23736-2023")</f>
        <v/>
      </c>
      <c r="X84">
        <f>HYPERLINK("https://klasma.github.io/Logging_2062/tillsyn/A 23736-2023 tillsynsbegäran.docx", "A 23736-2023")</f>
        <v/>
      </c>
      <c r="Y84">
        <f>HYPERLINK("https://klasma.github.io/Logging_2062/tillsynsmail/A 23736-2023 tillsynsbegäran mail.docx", "A 23736-2023")</f>
        <v/>
      </c>
    </row>
    <row r="85" ht="15" customHeight="1">
      <c r="A85" t="inlineStr">
        <is>
          <t>A 38769-2021</t>
        </is>
      </c>
      <c r="B85" s="1" t="n">
        <v>44410</v>
      </c>
      <c r="C85" s="1" t="n">
        <v>46073</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73930-2021</t>
        </is>
      </c>
      <c r="B86" s="1" t="n">
        <v>44553</v>
      </c>
      <c r="C86" s="1" t="n">
        <v>46073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66158-2021</t>
        </is>
      </c>
      <c r="B87" s="1" t="n">
        <v>44517.934375</v>
      </c>
      <c r="C87" s="1" t="n">
        <v>46073</v>
      </c>
      <c r="D87" t="inlineStr">
        <is>
          <t>DALARNAS LÄN</t>
        </is>
      </c>
      <c r="E87" t="inlineStr">
        <is>
          <t>MORA</t>
        </is>
      </c>
      <c r="G87" t="n">
        <v>3.3</v>
      </c>
      <c r="H87" t="n">
        <v>0</v>
      </c>
      <c r="I87" t="n">
        <v>0</v>
      </c>
      <c r="J87" t="n">
        <v>0</v>
      </c>
      <c r="K87" t="n">
        <v>0</v>
      </c>
      <c r="L87" t="n">
        <v>0</v>
      </c>
      <c r="M87" t="n">
        <v>0</v>
      </c>
      <c r="N87" t="n">
        <v>0</v>
      </c>
      <c r="O87" t="n">
        <v>0</v>
      </c>
      <c r="P87" t="n">
        <v>0</v>
      </c>
      <c r="Q87" t="n">
        <v>0</v>
      </c>
      <c r="R87" s="2" t="inlineStr"/>
    </row>
    <row r="88" ht="15" customHeight="1">
      <c r="A88" t="inlineStr">
        <is>
          <t>A 42505-2021</t>
        </is>
      </c>
      <c r="B88" s="1" t="n">
        <v>44427</v>
      </c>
      <c r="C88" s="1" t="n">
        <v>46073</v>
      </c>
      <c r="D88" t="inlineStr">
        <is>
          <t>DALARNAS LÄN</t>
        </is>
      </c>
      <c r="E88" t="inlineStr">
        <is>
          <t>MORA</t>
        </is>
      </c>
      <c r="G88" t="n">
        <v>0.9</v>
      </c>
      <c r="H88" t="n">
        <v>0</v>
      </c>
      <c r="I88" t="n">
        <v>0</v>
      </c>
      <c r="J88" t="n">
        <v>0</v>
      </c>
      <c r="K88" t="n">
        <v>0</v>
      </c>
      <c r="L88" t="n">
        <v>0</v>
      </c>
      <c r="M88" t="n">
        <v>0</v>
      </c>
      <c r="N88" t="n">
        <v>0</v>
      </c>
      <c r="O88" t="n">
        <v>0</v>
      </c>
      <c r="P88" t="n">
        <v>0</v>
      </c>
      <c r="Q88" t="n">
        <v>0</v>
      </c>
      <c r="R88" s="2" t="inlineStr"/>
    </row>
    <row r="89" ht="15" customHeight="1">
      <c r="A89" t="inlineStr">
        <is>
          <t>A 34897-2022</t>
        </is>
      </c>
      <c r="B89" s="1" t="n">
        <v>44796</v>
      </c>
      <c r="C89" s="1" t="n">
        <v>46073</v>
      </c>
      <c r="D89" t="inlineStr">
        <is>
          <t>DALARNAS LÄN</t>
        </is>
      </c>
      <c r="E89" t="inlineStr">
        <is>
          <t>MORA</t>
        </is>
      </c>
      <c r="F89" t="inlineStr">
        <is>
          <t>Bergvik skog väst AB</t>
        </is>
      </c>
      <c r="G89" t="n">
        <v>8</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46073</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38651-2022</t>
        </is>
      </c>
      <c r="B91" s="1" t="n">
        <v>44813</v>
      </c>
      <c r="C91" s="1" t="n">
        <v>46073</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65253-2021</t>
        </is>
      </c>
      <c r="B92" s="1" t="n">
        <v>44515</v>
      </c>
      <c r="C92" s="1" t="n">
        <v>46073</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42668-2022</t>
        </is>
      </c>
      <c r="B93" s="1" t="n">
        <v>44832.31839120371</v>
      </c>
      <c r="C93" s="1" t="n">
        <v>46073</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46073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46073</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46073</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50620-2021</t>
        </is>
      </c>
      <c r="B97" s="1" t="n">
        <v>44459.68884259259</v>
      </c>
      <c r="C97" s="1" t="n">
        <v>46073</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6574-2022</t>
        </is>
      </c>
      <c r="B98" s="1" t="n">
        <v>44601</v>
      </c>
      <c r="C98" s="1" t="n">
        <v>46073</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21273-2022</t>
        </is>
      </c>
      <c r="B99" s="1" t="n">
        <v>44705</v>
      </c>
      <c r="C99" s="1" t="n">
        <v>46073</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72780-2021</t>
        </is>
      </c>
      <c r="B100" s="1" t="n">
        <v>44545</v>
      </c>
      <c r="C100" s="1" t="n">
        <v>46073</v>
      </c>
      <c r="D100" t="inlineStr">
        <is>
          <t>DALARNAS LÄN</t>
        </is>
      </c>
      <c r="E100" t="inlineStr">
        <is>
          <t>MORA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41022-2021</t>
        </is>
      </c>
      <c r="B101" s="1" t="n">
        <v>44421</v>
      </c>
      <c r="C101" s="1" t="n">
        <v>46073</v>
      </c>
      <c r="D101" t="inlineStr">
        <is>
          <t>DALARNAS LÄN</t>
        </is>
      </c>
      <c r="E101" t="inlineStr">
        <is>
          <t>MORA</t>
        </is>
      </c>
      <c r="G101" t="n">
        <v>11.9</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46073</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16840-2021</t>
        </is>
      </c>
      <c r="B103" s="1" t="n">
        <v>44295</v>
      </c>
      <c r="C103" s="1" t="n">
        <v>46073</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41032-2021</t>
        </is>
      </c>
      <c r="B104" s="1" t="n">
        <v>44421</v>
      </c>
      <c r="C104" s="1" t="n">
        <v>46073</v>
      </c>
      <c r="D104" t="inlineStr">
        <is>
          <t>DALARNAS LÄN</t>
        </is>
      </c>
      <c r="E104" t="inlineStr">
        <is>
          <t>MORA</t>
        </is>
      </c>
      <c r="G104" t="n">
        <v>4.1</v>
      </c>
      <c r="H104" t="n">
        <v>0</v>
      </c>
      <c r="I104" t="n">
        <v>0</v>
      </c>
      <c r="J104" t="n">
        <v>0</v>
      </c>
      <c r="K104" t="n">
        <v>0</v>
      </c>
      <c r="L104" t="n">
        <v>0</v>
      </c>
      <c r="M104" t="n">
        <v>0</v>
      </c>
      <c r="N104" t="n">
        <v>0</v>
      </c>
      <c r="O104" t="n">
        <v>0</v>
      </c>
      <c r="P104" t="n">
        <v>0</v>
      </c>
      <c r="Q104" t="n">
        <v>0</v>
      </c>
      <c r="R104" s="2" t="inlineStr"/>
    </row>
    <row r="105" ht="15" customHeight="1">
      <c r="A105" t="inlineStr">
        <is>
          <t>A 65527-2021</t>
        </is>
      </c>
      <c r="B105" s="1" t="n">
        <v>44516.42728009259</v>
      </c>
      <c r="C105" s="1" t="n">
        <v>46073</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39672-2021</t>
        </is>
      </c>
      <c r="B106" s="1" t="n">
        <v>44417.43135416666</v>
      </c>
      <c r="C106" s="1" t="n">
        <v>46073</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43458-2021</t>
        </is>
      </c>
      <c r="B107" s="1" t="n">
        <v>44432</v>
      </c>
      <c r="C107" s="1" t="n">
        <v>46073</v>
      </c>
      <c r="D107" t="inlineStr">
        <is>
          <t>DALARNAS LÄN</t>
        </is>
      </c>
      <c r="E107" t="inlineStr">
        <is>
          <t>MORA</t>
        </is>
      </c>
      <c r="G107" t="n">
        <v>2.4</v>
      </c>
      <c r="H107" t="n">
        <v>0</v>
      </c>
      <c r="I107" t="n">
        <v>0</v>
      </c>
      <c r="J107" t="n">
        <v>0</v>
      </c>
      <c r="K107" t="n">
        <v>0</v>
      </c>
      <c r="L107" t="n">
        <v>0</v>
      </c>
      <c r="M107" t="n">
        <v>0</v>
      </c>
      <c r="N107" t="n">
        <v>0</v>
      </c>
      <c r="O107" t="n">
        <v>0</v>
      </c>
      <c r="P107" t="n">
        <v>0</v>
      </c>
      <c r="Q107" t="n">
        <v>0</v>
      </c>
      <c r="R107" s="2" t="inlineStr"/>
    </row>
    <row r="108" ht="15" customHeight="1">
      <c r="A108" t="inlineStr">
        <is>
          <t>A 28344-2022</t>
        </is>
      </c>
      <c r="B108" s="1" t="n">
        <v>44747</v>
      </c>
      <c r="C108" s="1" t="n">
        <v>46073</v>
      </c>
      <c r="D108" t="inlineStr">
        <is>
          <t>DALARNAS LÄN</t>
        </is>
      </c>
      <c r="E108" t="inlineStr">
        <is>
          <t>MORA</t>
        </is>
      </c>
      <c r="F108" t="inlineStr">
        <is>
          <t>Kyrkan</t>
        </is>
      </c>
      <c r="G108" t="n">
        <v>6.4</v>
      </c>
      <c r="H108" t="n">
        <v>0</v>
      </c>
      <c r="I108" t="n">
        <v>0</v>
      </c>
      <c r="J108" t="n">
        <v>0</v>
      </c>
      <c r="K108" t="n">
        <v>0</v>
      </c>
      <c r="L108" t="n">
        <v>0</v>
      </c>
      <c r="M108" t="n">
        <v>0</v>
      </c>
      <c r="N108" t="n">
        <v>0</v>
      </c>
      <c r="O108" t="n">
        <v>0</v>
      </c>
      <c r="P108" t="n">
        <v>0</v>
      </c>
      <c r="Q108" t="n">
        <v>0</v>
      </c>
      <c r="R108" s="2" t="inlineStr"/>
    </row>
    <row r="109" ht="15" customHeight="1">
      <c r="A109" t="inlineStr">
        <is>
          <t>A 30895-2021</t>
        </is>
      </c>
      <c r="B109" s="1" t="n">
        <v>44365.59125</v>
      </c>
      <c r="C109" s="1" t="n">
        <v>46073</v>
      </c>
      <c r="D109" t="inlineStr">
        <is>
          <t>DALARNAS LÄN</t>
        </is>
      </c>
      <c r="E109" t="inlineStr">
        <is>
          <t>MORA</t>
        </is>
      </c>
      <c r="G109" t="n">
        <v>2.8</v>
      </c>
      <c r="H109" t="n">
        <v>0</v>
      </c>
      <c r="I109" t="n">
        <v>0</v>
      </c>
      <c r="J109" t="n">
        <v>0</v>
      </c>
      <c r="K109" t="n">
        <v>0</v>
      </c>
      <c r="L109" t="n">
        <v>0</v>
      </c>
      <c r="M109" t="n">
        <v>0</v>
      </c>
      <c r="N109" t="n">
        <v>0</v>
      </c>
      <c r="O109" t="n">
        <v>0</v>
      </c>
      <c r="P109" t="n">
        <v>0</v>
      </c>
      <c r="Q109" t="n">
        <v>0</v>
      </c>
      <c r="R109" s="2" t="inlineStr"/>
    </row>
    <row r="110" ht="15" customHeight="1">
      <c r="A110" t="inlineStr">
        <is>
          <t>A 17915-2021</t>
        </is>
      </c>
      <c r="B110" s="1" t="n">
        <v>44301</v>
      </c>
      <c r="C110" s="1" t="n">
        <v>46073</v>
      </c>
      <c r="D110" t="inlineStr">
        <is>
          <t>DALARNAS LÄN</t>
        </is>
      </c>
      <c r="E110" t="inlineStr">
        <is>
          <t>MORA</t>
        </is>
      </c>
      <c r="G110" t="n">
        <v>4.4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46073</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30905-2021</t>
        </is>
      </c>
      <c r="B112" s="1" t="n">
        <v>44365</v>
      </c>
      <c r="C112" s="1" t="n">
        <v>46073</v>
      </c>
      <c r="D112" t="inlineStr">
        <is>
          <t>DALARNAS LÄN</t>
        </is>
      </c>
      <c r="E112" t="inlineStr">
        <is>
          <t>MORA</t>
        </is>
      </c>
      <c r="G112" t="n">
        <v>2.6</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46073</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44844.47778935185</v>
      </c>
      <c r="C114" s="1" t="n">
        <v>46073</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44369.7362037037</v>
      </c>
      <c r="C115" s="1" t="n">
        <v>46073</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46073</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46073</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46073</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46073</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46073</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46073</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46073</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46073</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46073</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46073</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46073</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46073</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46073</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46073</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46073</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46073</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46073</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46073</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46073</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46073</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46073</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46073</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46073</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46073</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46073</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46073</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46073</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46073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46073</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46073</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67045-2021</t>
        </is>
      </c>
      <c r="B146" s="1" t="n">
        <v>44522</v>
      </c>
      <c r="C146" s="1" t="n">
        <v>46073</v>
      </c>
      <c r="D146" t="inlineStr">
        <is>
          <t>DALARNAS LÄN</t>
        </is>
      </c>
      <c r="E146" t="inlineStr">
        <is>
          <t>MORA</t>
        </is>
      </c>
      <c r="G146" t="n">
        <v>0.2</v>
      </c>
      <c r="H146" t="n">
        <v>0</v>
      </c>
      <c r="I146" t="n">
        <v>0</v>
      </c>
      <c r="J146" t="n">
        <v>0</v>
      </c>
      <c r="K146" t="n">
        <v>0</v>
      </c>
      <c r="L146" t="n">
        <v>0</v>
      </c>
      <c r="M146" t="n">
        <v>0</v>
      </c>
      <c r="N146" t="n">
        <v>0</v>
      </c>
      <c r="O146" t="n">
        <v>0</v>
      </c>
      <c r="P146" t="n">
        <v>0</v>
      </c>
      <c r="Q146" t="n">
        <v>0</v>
      </c>
      <c r="R146" s="2" t="inlineStr"/>
    </row>
    <row r="147" ht="15" customHeight="1">
      <c r="A147" t="inlineStr">
        <is>
          <t>A 8546-2022</t>
        </is>
      </c>
      <c r="B147" s="1" t="n">
        <v>44613</v>
      </c>
      <c r="C147" s="1" t="n">
        <v>46073</v>
      </c>
      <c r="D147" t="inlineStr">
        <is>
          <t>DALARNAS LÄN</t>
        </is>
      </c>
      <c r="E147" t="inlineStr">
        <is>
          <t>MORA</t>
        </is>
      </c>
      <c r="G147" t="n">
        <v>2.6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46073</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46073</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46073</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46073</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46073</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15993-2025</t>
        </is>
      </c>
      <c r="B153" s="1" t="n">
        <v>45749.58428240741</v>
      </c>
      <c r="C153" s="1" t="n">
        <v>46073</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46073</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14832-2025</t>
        </is>
      </c>
      <c r="B155" s="1" t="n">
        <v>45743</v>
      </c>
      <c r="C155" s="1" t="n">
        <v>46073</v>
      </c>
      <c r="D155" t="inlineStr">
        <is>
          <t>DALARNAS LÄN</t>
        </is>
      </c>
      <c r="E155" t="inlineStr">
        <is>
          <t>MORA</t>
        </is>
      </c>
      <c r="G155" t="n">
        <v>9.1</v>
      </c>
      <c r="H155" t="n">
        <v>0</v>
      </c>
      <c r="I155" t="n">
        <v>0</v>
      </c>
      <c r="J155" t="n">
        <v>0</v>
      </c>
      <c r="K155" t="n">
        <v>0</v>
      </c>
      <c r="L155" t="n">
        <v>0</v>
      </c>
      <c r="M155" t="n">
        <v>0</v>
      </c>
      <c r="N155" t="n">
        <v>0</v>
      </c>
      <c r="O155" t="n">
        <v>0</v>
      </c>
      <c r="P155" t="n">
        <v>0</v>
      </c>
      <c r="Q155" t="n">
        <v>0</v>
      </c>
      <c r="R155" s="2" t="inlineStr"/>
    </row>
    <row r="156" ht="15" customHeight="1">
      <c r="A156" t="inlineStr">
        <is>
          <t>A 15443-2025</t>
        </is>
      </c>
      <c r="B156" s="1" t="n">
        <v>45747.48371527778</v>
      </c>
      <c r="C156" s="1" t="n">
        <v>46073</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45574-2023</t>
        </is>
      </c>
      <c r="B157" s="1" t="n">
        <v>45194</v>
      </c>
      <c r="C157" s="1" t="n">
        <v>46073</v>
      </c>
      <c r="D157" t="inlineStr">
        <is>
          <t>DALARNAS LÄN</t>
        </is>
      </c>
      <c r="E157" t="inlineStr">
        <is>
          <t>MORA</t>
        </is>
      </c>
      <c r="G157" t="n">
        <v>6.3</v>
      </c>
      <c r="H157" t="n">
        <v>0</v>
      </c>
      <c r="I157" t="n">
        <v>0</v>
      </c>
      <c r="J157" t="n">
        <v>0</v>
      </c>
      <c r="K157" t="n">
        <v>0</v>
      </c>
      <c r="L157" t="n">
        <v>0</v>
      </c>
      <c r="M157" t="n">
        <v>0</v>
      </c>
      <c r="N157" t="n">
        <v>0</v>
      </c>
      <c r="O157" t="n">
        <v>0</v>
      </c>
      <c r="P157" t="n">
        <v>0</v>
      </c>
      <c r="Q157" t="n">
        <v>0</v>
      </c>
      <c r="R157" s="2" t="inlineStr"/>
    </row>
    <row r="158" ht="15" customHeight="1">
      <c r="A158" t="inlineStr">
        <is>
          <t>A 47769-2025</t>
        </is>
      </c>
      <c r="B158" s="1" t="n">
        <v>45931.70715277778</v>
      </c>
      <c r="C158" s="1" t="n">
        <v>46073</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20299-2023</t>
        </is>
      </c>
      <c r="B159" s="1" t="n">
        <v>45056</v>
      </c>
      <c r="C159" s="1" t="n">
        <v>46073</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5922-2025</t>
        </is>
      </c>
      <c r="B160" s="1" t="n">
        <v>45695.42762731481</v>
      </c>
      <c r="C160" s="1" t="n">
        <v>46073</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19910-2024</t>
        </is>
      </c>
      <c r="B161" s="1" t="n">
        <v>45433.5741087963</v>
      </c>
      <c r="C161" s="1" t="n">
        <v>46073</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20126-2025</t>
        </is>
      </c>
      <c r="B162" s="1" t="n">
        <v>45772.49640046297</v>
      </c>
      <c r="C162" s="1" t="n">
        <v>46073</v>
      </c>
      <c r="D162" t="inlineStr">
        <is>
          <t>DALARNAS LÄN</t>
        </is>
      </c>
      <c r="E162" t="inlineStr">
        <is>
          <t>MORA</t>
        </is>
      </c>
      <c r="G162" t="n">
        <v>12.1</v>
      </c>
      <c r="H162" t="n">
        <v>0</v>
      </c>
      <c r="I162" t="n">
        <v>0</v>
      </c>
      <c r="J162" t="n">
        <v>0</v>
      </c>
      <c r="K162" t="n">
        <v>0</v>
      </c>
      <c r="L162" t="n">
        <v>0</v>
      </c>
      <c r="M162" t="n">
        <v>0</v>
      </c>
      <c r="N162" t="n">
        <v>0</v>
      </c>
      <c r="O162" t="n">
        <v>0</v>
      </c>
      <c r="P162" t="n">
        <v>0</v>
      </c>
      <c r="Q162" t="n">
        <v>0</v>
      </c>
      <c r="R162" s="2" t="inlineStr"/>
    </row>
    <row r="163" ht="15" customHeight="1">
      <c r="A163" t="inlineStr">
        <is>
          <t>A 15643-2025</t>
        </is>
      </c>
      <c r="B163" s="1" t="n">
        <v>45748.39222222222</v>
      </c>
      <c r="C163" s="1" t="n">
        <v>46073</v>
      </c>
      <c r="D163" t="inlineStr">
        <is>
          <t>DALARNAS LÄN</t>
        </is>
      </c>
      <c r="E163" t="inlineStr">
        <is>
          <t>MORA</t>
        </is>
      </c>
      <c r="G163" t="n">
        <v>7.6</v>
      </c>
      <c r="H163" t="n">
        <v>0</v>
      </c>
      <c r="I163" t="n">
        <v>0</v>
      </c>
      <c r="J163" t="n">
        <v>0</v>
      </c>
      <c r="K163" t="n">
        <v>0</v>
      </c>
      <c r="L163" t="n">
        <v>0</v>
      </c>
      <c r="M163" t="n">
        <v>0</v>
      </c>
      <c r="N163" t="n">
        <v>0</v>
      </c>
      <c r="O163" t="n">
        <v>0</v>
      </c>
      <c r="P163" t="n">
        <v>0</v>
      </c>
      <c r="Q163" t="n">
        <v>0</v>
      </c>
      <c r="R163" s="2" t="inlineStr"/>
    </row>
    <row r="164" ht="15" customHeight="1">
      <c r="A164" t="inlineStr">
        <is>
          <t>A 36058-2024</t>
        </is>
      </c>
      <c r="B164" s="1" t="n">
        <v>45533</v>
      </c>
      <c r="C164" s="1" t="n">
        <v>46073</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47765-2025</t>
        </is>
      </c>
      <c r="B165" s="1" t="n">
        <v>45931.69100694444</v>
      </c>
      <c r="C165" s="1" t="n">
        <v>46073</v>
      </c>
      <c r="D165" t="inlineStr">
        <is>
          <t>DALARNAS LÄN</t>
        </is>
      </c>
      <c r="E165" t="inlineStr">
        <is>
          <t>MORA</t>
        </is>
      </c>
      <c r="G165" t="n">
        <v>1.7</v>
      </c>
      <c r="H165" t="n">
        <v>0</v>
      </c>
      <c r="I165" t="n">
        <v>0</v>
      </c>
      <c r="J165" t="n">
        <v>0</v>
      </c>
      <c r="K165" t="n">
        <v>0</v>
      </c>
      <c r="L165" t="n">
        <v>0</v>
      </c>
      <c r="M165" t="n">
        <v>0</v>
      </c>
      <c r="N165" t="n">
        <v>0</v>
      </c>
      <c r="O165" t="n">
        <v>0</v>
      </c>
      <c r="P165" t="n">
        <v>0</v>
      </c>
      <c r="Q165" t="n">
        <v>0</v>
      </c>
      <c r="R165" s="2" t="inlineStr"/>
    </row>
    <row r="166" ht="15" customHeight="1">
      <c r="A166" t="inlineStr">
        <is>
          <t>A 47860-2025</t>
        </is>
      </c>
      <c r="B166" s="1" t="n">
        <v>45932.42298611111</v>
      </c>
      <c r="C166" s="1" t="n">
        <v>46073</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17145-2024</t>
        </is>
      </c>
      <c r="B167" s="1" t="n">
        <v>45412</v>
      </c>
      <c r="C167" s="1" t="n">
        <v>46073</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51780-2023</t>
        </is>
      </c>
      <c r="B168" s="1" t="n">
        <v>45222</v>
      </c>
      <c r="C168" s="1" t="n">
        <v>46073</v>
      </c>
      <c r="D168" t="inlineStr">
        <is>
          <t>DALARNAS LÄN</t>
        </is>
      </c>
      <c r="E168" t="inlineStr">
        <is>
          <t>MORA</t>
        </is>
      </c>
      <c r="G168" t="n">
        <v>9.9</v>
      </c>
      <c r="H168" t="n">
        <v>0</v>
      </c>
      <c r="I168" t="n">
        <v>0</v>
      </c>
      <c r="J168" t="n">
        <v>0</v>
      </c>
      <c r="K168" t="n">
        <v>0</v>
      </c>
      <c r="L168" t="n">
        <v>0</v>
      </c>
      <c r="M168" t="n">
        <v>0</v>
      </c>
      <c r="N168" t="n">
        <v>0</v>
      </c>
      <c r="O168" t="n">
        <v>0</v>
      </c>
      <c r="P168" t="n">
        <v>0</v>
      </c>
      <c r="Q168" t="n">
        <v>0</v>
      </c>
      <c r="R168" s="2" t="inlineStr"/>
    </row>
    <row r="169" ht="15" customHeight="1">
      <c r="A169" t="inlineStr">
        <is>
          <t>A 48376-2025</t>
        </is>
      </c>
      <c r="B169" s="1" t="n">
        <v>45933.71648148148</v>
      </c>
      <c r="C169" s="1" t="n">
        <v>46073</v>
      </c>
      <c r="D169" t="inlineStr">
        <is>
          <t>DALARNAS LÄN</t>
        </is>
      </c>
      <c r="E169" t="inlineStr">
        <is>
          <t>MORA</t>
        </is>
      </c>
      <c r="G169" t="n">
        <v>0.8</v>
      </c>
      <c r="H169" t="n">
        <v>0</v>
      </c>
      <c r="I169" t="n">
        <v>0</v>
      </c>
      <c r="J169" t="n">
        <v>0</v>
      </c>
      <c r="K169" t="n">
        <v>0</v>
      </c>
      <c r="L169" t="n">
        <v>0</v>
      </c>
      <c r="M169" t="n">
        <v>0</v>
      </c>
      <c r="N169" t="n">
        <v>0</v>
      </c>
      <c r="O169" t="n">
        <v>0</v>
      </c>
      <c r="P169" t="n">
        <v>0</v>
      </c>
      <c r="Q169" t="n">
        <v>0</v>
      </c>
      <c r="R169" s="2" t="inlineStr"/>
    </row>
    <row r="170" ht="15" customHeight="1">
      <c r="A170" t="inlineStr">
        <is>
          <t>A 48377-2025</t>
        </is>
      </c>
      <c r="B170" s="1" t="n">
        <v>45933.71896990741</v>
      </c>
      <c r="C170" s="1" t="n">
        <v>46073</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47716-2025</t>
        </is>
      </c>
      <c r="B171" s="1" t="n">
        <v>45931</v>
      </c>
      <c r="C171" s="1" t="n">
        <v>46073</v>
      </c>
      <c r="D171" t="inlineStr">
        <is>
          <t>DALARNAS LÄN</t>
        </is>
      </c>
      <c r="E171" t="inlineStr">
        <is>
          <t>MORA</t>
        </is>
      </c>
      <c r="G171" t="n">
        <v>8.9</v>
      </c>
      <c r="H171" t="n">
        <v>0</v>
      </c>
      <c r="I171" t="n">
        <v>0</v>
      </c>
      <c r="J171" t="n">
        <v>0</v>
      </c>
      <c r="K171" t="n">
        <v>0</v>
      </c>
      <c r="L171" t="n">
        <v>0</v>
      </c>
      <c r="M171" t="n">
        <v>0</v>
      </c>
      <c r="N171" t="n">
        <v>0</v>
      </c>
      <c r="O171" t="n">
        <v>0</v>
      </c>
      <c r="P171" t="n">
        <v>0</v>
      </c>
      <c r="Q171" t="n">
        <v>0</v>
      </c>
      <c r="R171" s="2" t="inlineStr"/>
    </row>
    <row r="172" ht="15" customHeight="1">
      <c r="A172" t="inlineStr">
        <is>
          <t>A 46188-2022</t>
        </is>
      </c>
      <c r="B172" s="1" t="n">
        <v>44847.518125</v>
      </c>
      <c r="C172" s="1" t="n">
        <v>46073</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16967-2025</t>
        </is>
      </c>
      <c r="B173" s="1" t="n">
        <v>45755.46106481482</v>
      </c>
      <c r="C173" s="1" t="n">
        <v>46073</v>
      </c>
      <c r="D173" t="inlineStr">
        <is>
          <t>DALARNAS LÄN</t>
        </is>
      </c>
      <c r="E173" t="inlineStr">
        <is>
          <t>MORA</t>
        </is>
      </c>
      <c r="F173" t="inlineStr">
        <is>
          <t>Bergvik skog öst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48927-2025</t>
        </is>
      </c>
      <c r="B174" s="1" t="n">
        <v>45931</v>
      </c>
      <c r="C174" s="1" t="n">
        <v>46073</v>
      </c>
      <c r="D174" t="inlineStr">
        <is>
          <t>DALARNAS LÄN</t>
        </is>
      </c>
      <c r="E174" t="inlineStr">
        <is>
          <t>MORA</t>
        </is>
      </c>
      <c r="G174" t="n">
        <v>2.1</v>
      </c>
      <c r="H174" t="n">
        <v>0</v>
      </c>
      <c r="I174" t="n">
        <v>0</v>
      </c>
      <c r="J174" t="n">
        <v>0</v>
      </c>
      <c r="K174" t="n">
        <v>0</v>
      </c>
      <c r="L174" t="n">
        <v>0</v>
      </c>
      <c r="M174" t="n">
        <v>0</v>
      </c>
      <c r="N174" t="n">
        <v>0</v>
      </c>
      <c r="O174" t="n">
        <v>0</v>
      </c>
      <c r="P174" t="n">
        <v>0</v>
      </c>
      <c r="Q174" t="n">
        <v>0</v>
      </c>
      <c r="R174" s="2" t="inlineStr"/>
    </row>
    <row r="175" ht="15" customHeight="1">
      <c r="A175" t="inlineStr">
        <is>
          <t>A 49404-2025</t>
        </is>
      </c>
      <c r="B175" s="1" t="n">
        <v>45938.67662037037</v>
      </c>
      <c r="C175" s="1" t="n">
        <v>46073</v>
      </c>
      <c r="D175" t="inlineStr">
        <is>
          <t>DALARNAS LÄN</t>
        </is>
      </c>
      <c r="E175" t="inlineStr">
        <is>
          <t>MORA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17516-2024</t>
        </is>
      </c>
      <c r="B176" s="1" t="n">
        <v>45415.58502314815</v>
      </c>
      <c r="C176" s="1" t="n">
        <v>46073</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48929-2025</t>
        </is>
      </c>
      <c r="B177" s="1" t="n">
        <v>45937.51315972222</v>
      </c>
      <c r="C177" s="1" t="n">
        <v>46073</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21890-2025</t>
        </is>
      </c>
      <c r="B178" s="1" t="n">
        <v>45784.44481481481</v>
      </c>
      <c r="C178" s="1" t="n">
        <v>46073</v>
      </c>
      <c r="D178" t="inlineStr">
        <is>
          <t>DALARNAS LÄN</t>
        </is>
      </c>
      <c r="E178" t="inlineStr">
        <is>
          <t>MORA</t>
        </is>
      </c>
      <c r="G178" t="n">
        <v>3.8</v>
      </c>
      <c r="H178" t="n">
        <v>0</v>
      </c>
      <c r="I178" t="n">
        <v>0</v>
      </c>
      <c r="J178" t="n">
        <v>0</v>
      </c>
      <c r="K178" t="n">
        <v>0</v>
      </c>
      <c r="L178" t="n">
        <v>0</v>
      </c>
      <c r="M178" t="n">
        <v>0</v>
      </c>
      <c r="N178" t="n">
        <v>0</v>
      </c>
      <c r="O178" t="n">
        <v>0</v>
      </c>
      <c r="P178" t="n">
        <v>0</v>
      </c>
      <c r="Q178" t="n">
        <v>0</v>
      </c>
      <c r="R178" s="2" t="inlineStr"/>
    </row>
    <row r="179" ht="15" customHeight="1">
      <c r="A179" t="inlineStr">
        <is>
          <t>A 21895-2025</t>
        </is>
      </c>
      <c r="B179" s="1" t="n">
        <v>45784.45273148148</v>
      </c>
      <c r="C179" s="1" t="n">
        <v>46073</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24772-2024</t>
        </is>
      </c>
      <c r="B180" s="1" t="n">
        <v>45460.70204861111</v>
      </c>
      <c r="C180" s="1" t="n">
        <v>46073</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21894-2025</t>
        </is>
      </c>
      <c r="B181" s="1" t="n">
        <v>45784.45060185185</v>
      </c>
      <c r="C181" s="1" t="n">
        <v>46073</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34923-2022</t>
        </is>
      </c>
      <c r="B182" s="1" t="n">
        <v>44796</v>
      </c>
      <c r="C182" s="1" t="n">
        <v>46073</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59174-2023</t>
        </is>
      </c>
      <c r="B183" s="1" t="n">
        <v>45253.43202546296</v>
      </c>
      <c r="C183" s="1" t="n">
        <v>46073</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36184-2021</t>
        </is>
      </c>
      <c r="B184" s="1" t="n">
        <v>44389</v>
      </c>
      <c r="C184" s="1" t="n">
        <v>46073</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39456-2025</t>
        </is>
      </c>
      <c r="B185" s="1" t="n">
        <v>45889.76200231481</v>
      </c>
      <c r="C185" s="1" t="n">
        <v>46073</v>
      </c>
      <c r="D185" t="inlineStr">
        <is>
          <t>DALARNAS LÄN</t>
        </is>
      </c>
      <c r="E185" t="inlineStr">
        <is>
          <t>MORA</t>
        </is>
      </c>
      <c r="F185" t="inlineStr">
        <is>
          <t>Bergvik skog öst AB</t>
        </is>
      </c>
      <c r="G185" t="n">
        <v>16.7</v>
      </c>
      <c r="H185" t="n">
        <v>0</v>
      </c>
      <c r="I185" t="n">
        <v>0</v>
      </c>
      <c r="J185" t="n">
        <v>0</v>
      </c>
      <c r="K185" t="n">
        <v>0</v>
      </c>
      <c r="L185" t="n">
        <v>0</v>
      </c>
      <c r="M185" t="n">
        <v>0</v>
      </c>
      <c r="N185" t="n">
        <v>0</v>
      </c>
      <c r="O185" t="n">
        <v>0</v>
      </c>
      <c r="P185" t="n">
        <v>0</v>
      </c>
      <c r="Q185" t="n">
        <v>0</v>
      </c>
      <c r="R185" s="2" t="inlineStr"/>
    </row>
    <row r="186" ht="15" customHeight="1">
      <c r="A186" t="inlineStr">
        <is>
          <t>A 16573-2024</t>
        </is>
      </c>
      <c r="B186" s="1" t="n">
        <v>45408.46980324074</v>
      </c>
      <c r="C186" s="1" t="n">
        <v>46073</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18202-2024</t>
        </is>
      </c>
      <c r="B187" s="1" t="n">
        <v>45420.68172453704</v>
      </c>
      <c r="C187" s="1" t="n">
        <v>46073</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22409-2025</t>
        </is>
      </c>
      <c r="B188" s="1" t="n">
        <v>45786.54940972223</v>
      </c>
      <c r="C188" s="1" t="n">
        <v>46073</v>
      </c>
      <c r="D188" t="inlineStr">
        <is>
          <t>DALARNAS LÄN</t>
        </is>
      </c>
      <c r="E188" t="inlineStr">
        <is>
          <t>MORA</t>
        </is>
      </c>
      <c r="F188" t="inlineStr">
        <is>
          <t>Bergvik skog öst AB</t>
        </is>
      </c>
      <c r="G188" t="n">
        <v>5</v>
      </c>
      <c r="H188" t="n">
        <v>0</v>
      </c>
      <c r="I188" t="n">
        <v>0</v>
      </c>
      <c r="J188" t="n">
        <v>0</v>
      </c>
      <c r="K188" t="n">
        <v>0</v>
      </c>
      <c r="L188" t="n">
        <v>0</v>
      </c>
      <c r="M188" t="n">
        <v>0</v>
      </c>
      <c r="N188" t="n">
        <v>0</v>
      </c>
      <c r="O188" t="n">
        <v>0</v>
      </c>
      <c r="P188" t="n">
        <v>0</v>
      </c>
      <c r="Q188" t="n">
        <v>0</v>
      </c>
      <c r="R188" s="2" t="inlineStr"/>
    </row>
    <row r="189" ht="15" customHeight="1">
      <c r="A189" t="inlineStr">
        <is>
          <t>A 23057-2024</t>
        </is>
      </c>
      <c r="B189" s="1" t="n">
        <v>45450</v>
      </c>
      <c r="C189" s="1" t="n">
        <v>46073</v>
      </c>
      <c r="D189" t="inlineStr">
        <is>
          <t>DALARNAS LÄN</t>
        </is>
      </c>
      <c r="E189" t="inlineStr">
        <is>
          <t>MORA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40147-2025</t>
        </is>
      </c>
      <c r="B190" s="1" t="n">
        <v>45894.57918981482</v>
      </c>
      <c r="C190" s="1" t="n">
        <v>46073</v>
      </c>
      <c r="D190" t="inlineStr">
        <is>
          <t>DALARNAS LÄN</t>
        </is>
      </c>
      <c r="E190" t="inlineStr">
        <is>
          <t>MORA</t>
        </is>
      </c>
      <c r="G190" t="n">
        <v>1.4</v>
      </c>
      <c r="H190" t="n">
        <v>0</v>
      </c>
      <c r="I190" t="n">
        <v>0</v>
      </c>
      <c r="J190" t="n">
        <v>0</v>
      </c>
      <c r="K190" t="n">
        <v>0</v>
      </c>
      <c r="L190" t="n">
        <v>0</v>
      </c>
      <c r="M190" t="n">
        <v>0</v>
      </c>
      <c r="N190" t="n">
        <v>0</v>
      </c>
      <c r="O190" t="n">
        <v>0</v>
      </c>
      <c r="P190" t="n">
        <v>0</v>
      </c>
      <c r="Q190" t="n">
        <v>0</v>
      </c>
      <c r="R190" s="2" t="inlineStr"/>
    </row>
    <row r="191" ht="15" customHeight="1">
      <c r="A191" t="inlineStr">
        <is>
          <t>A 39824-2025</t>
        </is>
      </c>
      <c r="B191" s="1" t="n">
        <v>45891</v>
      </c>
      <c r="C191" s="1" t="n">
        <v>46073</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49159-2023</t>
        </is>
      </c>
      <c r="B192" s="1" t="n">
        <v>45210</v>
      </c>
      <c r="C192" s="1" t="n">
        <v>46073</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49401-2025</t>
        </is>
      </c>
      <c r="B193" s="1" t="n">
        <v>45938.66932870371</v>
      </c>
      <c r="C193" s="1" t="n">
        <v>46073</v>
      </c>
      <c r="D193" t="inlineStr">
        <is>
          <t>DALARNAS LÄN</t>
        </is>
      </c>
      <c r="E193" t="inlineStr">
        <is>
          <t>MORA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25737-2025</t>
        </is>
      </c>
      <c r="B194" s="1" t="n">
        <v>45800</v>
      </c>
      <c r="C194" s="1" t="n">
        <v>46073</v>
      </c>
      <c r="D194" t="inlineStr">
        <is>
          <t>DALARNAS LÄN</t>
        </is>
      </c>
      <c r="E194" t="inlineStr">
        <is>
          <t>MORA</t>
        </is>
      </c>
      <c r="G194" t="n">
        <v>9.6</v>
      </c>
      <c r="H194" t="n">
        <v>0</v>
      </c>
      <c r="I194" t="n">
        <v>0</v>
      </c>
      <c r="J194" t="n">
        <v>0</v>
      </c>
      <c r="K194" t="n">
        <v>0</v>
      </c>
      <c r="L194" t="n">
        <v>0</v>
      </c>
      <c r="M194" t="n">
        <v>0</v>
      </c>
      <c r="N194" t="n">
        <v>0</v>
      </c>
      <c r="O194" t="n">
        <v>0</v>
      </c>
      <c r="P194" t="n">
        <v>0</v>
      </c>
      <c r="Q194" t="n">
        <v>0</v>
      </c>
      <c r="R194" s="2" t="inlineStr"/>
    </row>
    <row r="195" ht="15" customHeight="1">
      <c r="A195" t="inlineStr">
        <is>
          <t>A 18444-2024</t>
        </is>
      </c>
      <c r="B195" s="1" t="n">
        <v>45425.45568287037</v>
      </c>
      <c r="C195" s="1" t="n">
        <v>46073</v>
      </c>
      <c r="D195" t="inlineStr">
        <is>
          <t>DALARNAS LÄN</t>
        </is>
      </c>
      <c r="E195" t="inlineStr">
        <is>
          <t>MORA</t>
        </is>
      </c>
      <c r="G195" t="n">
        <v>5</v>
      </c>
      <c r="H195" t="n">
        <v>0</v>
      </c>
      <c r="I195" t="n">
        <v>0</v>
      </c>
      <c r="J195" t="n">
        <v>0</v>
      </c>
      <c r="K195" t="n">
        <v>0</v>
      </c>
      <c r="L195" t="n">
        <v>0</v>
      </c>
      <c r="M195" t="n">
        <v>0</v>
      </c>
      <c r="N195" t="n">
        <v>0</v>
      </c>
      <c r="O195" t="n">
        <v>0</v>
      </c>
      <c r="P195" t="n">
        <v>0</v>
      </c>
      <c r="Q195" t="n">
        <v>0</v>
      </c>
      <c r="R195" s="2" t="inlineStr"/>
    </row>
    <row r="196" ht="15" customHeight="1">
      <c r="A196" t="inlineStr">
        <is>
          <t>A 39787-2025</t>
        </is>
      </c>
      <c r="B196" s="1" t="n">
        <v>45891</v>
      </c>
      <c r="C196" s="1" t="n">
        <v>46073</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40140-2025</t>
        </is>
      </c>
      <c r="B197" s="1" t="n">
        <v>45894.57016203704</v>
      </c>
      <c r="C197" s="1" t="n">
        <v>46073</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40142-2025</t>
        </is>
      </c>
      <c r="B198" s="1" t="n">
        <v>45894.57202546296</v>
      </c>
      <c r="C198" s="1" t="n">
        <v>46073</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40471-2025</t>
        </is>
      </c>
      <c r="B199" s="1" t="n">
        <v>45895.67356481482</v>
      </c>
      <c r="C199" s="1" t="n">
        <v>46073</v>
      </c>
      <c r="D199" t="inlineStr">
        <is>
          <t>DALARNAS LÄN</t>
        </is>
      </c>
      <c r="E199" t="inlineStr">
        <is>
          <t>MORA</t>
        </is>
      </c>
      <c r="G199" t="n">
        <v>2.8</v>
      </c>
      <c r="H199" t="n">
        <v>0</v>
      </c>
      <c r="I199" t="n">
        <v>0</v>
      </c>
      <c r="J199" t="n">
        <v>0</v>
      </c>
      <c r="K199" t="n">
        <v>0</v>
      </c>
      <c r="L199" t="n">
        <v>0</v>
      </c>
      <c r="M199" t="n">
        <v>0</v>
      </c>
      <c r="N199" t="n">
        <v>0</v>
      </c>
      <c r="O199" t="n">
        <v>0</v>
      </c>
      <c r="P199" t="n">
        <v>0</v>
      </c>
      <c r="Q199" t="n">
        <v>0</v>
      </c>
      <c r="R199" s="2" t="inlineStr"/>
    </row>
    <row r="200" ht="15" customHeight="1">
      <c r="A200" t="inlineStr">
        <is>
          <t>A 11193-2025</t>
        </is>
      </c>
      <c r="B200" s="1" t="n">
        <v>45725</v>
      </c>
      <c r="C200" s="1" t="n">
        <v>46073</v>
      </c>
      <c r="D200" t="inlineStr">
        <is>
          <t>DALARNAS LÄN</t>
        </is>
      </c>
      <c r="E200" t="inlineStr">
        <is>
          <t>MORA</t>
        </is>
      </c>
      <c r="G200" t="n">
        <v>4.1</v>
      </c>
      <c r="H200" t="n">
        <v>0</v>
      </c>
      <c r="I200" t="n">
        <v>0</v>
      </c>
      <c r="J200" t="n">
        <v>0</v>
      </c>
      <c r="K200" t="n">
        <v>0</v>
      </c>
      <c r="L200" t="n">
        <v>0</v>
      </c>
      <c r="M200" t="n">
        <v>0</v>
      </c>
      <c r="N200" t="n">
        <v>0</v>
      </c>
      <c r="O200" t="n">
        <v>0</v>
      </c>
      <c r="P200" t="n">
        <v>0</v>
      </c>
      <c r="Q200" t="n">
        <v>0</v>
      </c>
      <c r="R200" s="2" t="inlineStr"/>
    </row>
    <row r="201" ht="15" customHeight="1">
      <c r="A201" t="inlineStr">
        <is>
          <t>A 22354-2025</t>
        </is>
      </c>
      <c r="B201" s="1" t="n">
        <v>45786.45721064815</v>
      </c>
      <c r="C201" s="1" t="n">
        <v>46073</v>
      </c>
      <c r="D201" t="inlineStr">
        <is>
          <t>DALARNAS LÄN</t>
        </is>
      </c>
      <c r="E201" t="inlineStr">
        <is>
          <t>MORA</t>
        </is>
      </c>
      <c r="F201" t="inlineStr">
        <is>
          <t>Bergvik skog öst AB</t>
        </is>
      </c>
      <c r="G201" t="n">
        <v>2</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46073</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40661-2025</t>
        </is>
      </c>
      <c r="B203" s="1" t="n">
        <v>45896.64715277778</v>
      </c>
      <c r="C203" s="1" t="n">
        <v>46073</v>
      </c>
      <c r="D203" t="inlineStr">
        <is>
          <t>DALARNAS LÄN</t>
        </is>
      </c>
      <c r="E203" t="inlineStr">
        <is>
          <t>MORA</t>
        </is>
      </c>
      <c r="G203" t="n">
        <v>2.8</v>
      </c>
      <c r="H203" t="n">
        <v>0</v>
      </c>
      <c r="I203" t="n">
        <v>0</v>
      </c>
      <c r="J203" t="n">
        <v>0</v>
      </c>
      <c r="K203" t="n">
        <v>0</v>
      </c>
      <c r="L203" t="n">
        <v>0</v>
      </c>
      <c r="M203" t="n">
        <v>0</v>
      </c>
      <c r="N203" t="n">
        <v>0</v>
      </c>
      <c r="O203" t="n">
        <v>0</v>
      </c>
      <c r="P203" t="n">
        <v>0</v>
      </c>
      <c r="Q203" t="n">
        <v>0</v>
      </c>
      <c r="R203" s="2" t="inlineStr"/>
    </row>
    <row r="204" ht="15" customHeight="1">
      <c r="A204" t="inlineStr">
        <is>
          <t>A 40660-2025</t>
        </is>
      </c>
      <c r="B204" s="1" t="n">
        <v>45896.64631944444</v>
      </c>
      <c r="C204" s="1" t="n">
        <v>46073</v>
      </c>
      <c r="D204" t="inlineStr">
        <is>
          <t>DALARNAS LÄN</t>
        </is>
      </c>
      <c r="E204" t="inlineStr">
        <is>
          <t>MORA</t>
        </is>
      </c>
      <c r="F204" t="inlineStr">
        <is>
          <t>Bergvik skog väst AB</t>
        </is>
      </c>
      <c r="G204" t="n">
        <v>5.4</v>
      </c>
      <c r="H204" t="n">
        <v>0</v>
      </c>
      <c r="I204" t="n">
        <v>0</v>
      </c>
      <c r="J204" t="n">
        <v>0</v>
      </c>
      <c r="K204" t="n">
        <v>0</v>
      </c>
      <c r="L204" t="n">
        <v>0</v>
      </c>
      <c r="M204" t="n">
        <v>0</v>
      </c>
      <c r="N204" t="n">
        <v>0</v>
      </c>
      <c r="O204" t="n">
        <v>0</v>
      </c>
      <c r="P204" t="n">
        <v>0</v>
      </c>
      <c r="Q204" t="n">
        <v>0</v>
      </c>
      <c r="R204" s="2" t="inlineStr"/>
    </row>
    <row r="205" ht="15" customHeight="1">
      <c r="A205" t="inlineStr">
        <is>
          <t>A 60673-2023</t>
        </is>
      </c>
      <c r="B205" s="1" t="n">
        <v>45260.46438657407</v>
      </c>
      <c r="C205" s="1" t="n">
        <v>46073</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25345-2025</t>
        </is>
      </c>
      <c r="B206" s="1" t="n">
        <v>45799</v>
      </c>
      <c r="C206" s="1" t="n">
        <v>46073</v>
      </c>
      <c r="D206" t="inlineStr">
        <is>
          <t>DALARNAS LÄN</t>
        </is>
      </c>
      <c r="E206" t="inlineStr">
        <is>
          <t>MORA</t>
        </is>
      </c>
      <c r="G206" t="n">
        <v>3.1</v>
      </c>
      <c r="H206" t="n">
        <v>0</v>
      </c>
      <c r="I206" t="n">
        <v>0</v>
      </c>
      <c r="J206" t="n">
        <v>0</v>
      </c>
      <c r="K206" t="n">
        <v>0</v>
      </c>
      <c r="L206" t="n">
        <v>0</v>
      </c>
      <c r="M206" t="n">
        <v>0</v>
      </c>
      <c r="N206" t="n">
        <v>0</v>
      </c>
      <c r="O206" t="n">
        <v>0</v>
      </c>
      <c r="P206" t="n">
        <v>0</v>
      </c>
      <c r="Q206" t="n">
        <v>0</v>
      </c>
      <c r="R206" s="2" t="inlineStr"/>
    </row>
    <row r="207" ht="15" customHeight="1">
      <c r="A207" t="inlineStr">
        <is>
          <t>A 40805-2025</t>
        </is>
      </c>
      <c r="B207" s="1" t="n">
        <v>45897.46659722222</v>
      </c>
      <c r="C207" s="1" t="n">
        <v>46073</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60847-2021</t>
        </is>
      </c>
      <c r="B208" s="1" t="n">
        <v>44497</v>
      </c>
      <c r="C208" s="1" t="n">
        <v>46073</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41175-2025</t>
        </is>
      </c>
      <c r="B209" s="1" t="n">
        <v>45898.55165509259</v>
      </c>
      <c r="C209" s="1" t="n">
        <v>46073</v>
      </c>
      <c r="D209" t="inlineStr">
        <is>
          <t>DALARNAS LÄN</t>
        </is>
      </c>
      <c r="E209" t="inlineStr">
        <is>
          <t>MORA</t>
        </is>
      </c>
      <c r="G209" t="n">
        <v>4.5</v>
      </c>
      <c r="H209" t="n">
        <v>0</v>
      </c>
      <c r="I209" t="n">
        <v>0</v>
      </c>
      <c r="J209" t="n">
        <v>0</v>
      </c>
      <c r="K209" t="n">
        <v>0</v>
      </c>
      <c r="L209" t="n">
        <v>0</v>
      </c>
      <c r="M209" t="n">
        <v>0</v>
      </c>
      <c r="N209" t="n">
        <v>0</v>
      </c>
      <c r="O209" t="n">
        <v>0</v>
      </c>
      <c r="P209" t="n">
        <v>0</v>
      </c>
      <c r="Q209" t="n">
        <v>0</v>
      </c>
      <c r="R209" s="2" t="inlineStr"/>
    </row>
    <row r="210" ht="15" customHeight="1">
      <c r="A210" t="inlineStr">
        <is>
          <t>A 24620-2025</t>
        </is>
      </c>
      <c r="B210" s="1" t="n">
        <v>45798.59290509259</v>
      </c>
      <c r="C210" s="1" t="n">
        <v>46073</v>
      </c>
      <c r="D210" t="inlineStr">
        <is>
          <t>DALARNAS LÄN</t>
        </is>
      </c>
      <c r="E210" t="inlineStr">
        <is>
          <t>MORA</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24653-2025</t>
        </is>
      </c>
      <c r="B211" s="1" t="n">
        <v>45798.63875</v>
      </c>
      <c r="C211" s="1" t="n">
        <v>46073</v>
      </c>
      <c r="D211" t="inlineStr">
        <is>
          <t>DALARNAS LÄN</t>
        </is>
      </c>
      <c r="E211" t="inlineStr">
        <is>
          <t>MORA</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32410-2024</t>
        </is>
      </c>
      <c r="B212" s="1" t="n">
        <v>45512.70077546296</v>
      </c>
      <c r="C212" s="1" t="n">
        <v>46073</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2879-2022</t>
        </is>
      </c>
      <c r="B213" s="1" t="n">
        <v>44581</v>
      </c>
      <c r="C213" s="1" t="n">
        <v>46073</v>
      </c>
      <c r="D213" t="inlineStr">
        <is>
          <t>DALARNAS LÄN</t>
        </is>
      </c>
      <c r="E213" t="inlineStr">
        <is>
          <t>MORA</t>
        </is>
      </c>
      <c r="G213" t="n">
        <v>2.3</v>
      </c>
      <c r="H213" t="n">
        <v>0</v>
      </c>
      <c r="I213" t="n">
        <v>0</v>
      </c>
      <c r="J213" t="n">
        <v>0</v>
      </c>
      <c r="K213" t="n">
        <v>0</v>
      </c>
      <c r="L213" t="n">
        <v>0</v>
      </c>
      <c r="M213" t="n">
        <v>0</v>
      </c>
      <c r="N213" t="n">
        <v>0</v>
      </c>
      <c r="O213" t="n">
        <v>0</v>
      </c>
      <c r="P213" t="n">
        <v>0</v>
      </c>
      <c r="Q213" t="n">
        <v>0</v>
      </c>
      <c r="R213" s="2" t="inlineStr"/>
    </row>
    <row r="214" ht="15" customHeight="1">
      <c r="A214" t="inlineStr">
        <is>
          <t>A 56900-2024</t>
        </is>
      </c>
      <c r="B214" s="1" t="n">
        <v>45625</v>
      </c>
      <c r="C214" s="1" t="n">
        <v>46073</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41200-2025</t>
        </is>
      </c>
      <c r="B215" s="1" t="n">
        <v>45898.5738425926</v>
      </c>
      <c r="C215" s="1" t="n">
        <v>46073</v>
      </c>
      <c r="D215" t="inlineStr">
        <is>
          <t>DALARNAS LÄN</t>
        </is>
      </c>
      <c r="E215" t="inlineStr">
        <is>
          <t>MORA</t>
        </is>
      </c>
      <c r="G215" t="n">
        <v>8.9</v>
      </c>
      <c r="H215" t="n">
        <v>0</v>
      </c>
      <c r="I215" t="n">
        <v>0</v>
      </c>
      <c r="J215" t="n">
        <v>0</v>
      </c>
      <c r="K215" t="n">
        <v>0</v>
      </c>
      <c r="L215" t="n">
        <v>0</v>
      </c>
      <c r="M215" t="n">
        <v>0</v>
      </c>
      <c r="N215" t="n">
        <v>0</v>
      </c>
      <c r="O215" t="n">
        <v>0</v>
      </c>
      <c r="P215" t="n">
        <v>0</v>
      </c>
      <c r="Q215" t="n">
        <v>0</v>
      </c>
      <c r="R215" s="2" t="inlineStr"/>
    </row>
    <row r="216" ht="15" customHeight="1">
      <c r="A216" t="inlineStr">
        <is>
          <t>A 32721-2024</t>
        </is>
      </c>
      <c r="B216" s="1" t="n">
        <v>45516.40261574074</v>
      </c>
      <c r="C216" s="1" t="n">
        <v>46073</v>
      </c>
      <c r="D216" t="inlineStr">
        <is>
          <t>DALARNAS LÄN</t>
        </is>
      </c>
      <c r="E216" t="inlineStr">
        <is>
          <t>MORA</t>
        </is>
      </c>
      <c r="G216" t="n">
        <v>4.2</v>
      </c>
      <c r="H216" t="n">
        <v>0</v>
      </c>
      <c r="I216" t="n">
        <v>0</v>
      </c>
      <c r="J216" t="n">
        <v>0</v>
      </c>
      <c r="K216" t="n">
        <v>0</v>
      </c>
      <c r="L216" t="n">
        <v>0</v>
      </c>
      <c r="M216" t="n">
        <v>0</v>
      </c>
      <c r="N216" t="n">
        <v>0</v>
      </c>
      <c r="O216" t="n">
        <v>0</v>
      </c>
      <c r="P216" t="n">
        <v>0</v>
      </c>
      <c r="Q216" t="n">
        <v>0</v>
      </c>
      <c r="R216" s="2" t="inlineStr"/>
    </row>
    <row r="217" ht="15" customHeight="1">
      <c r="A217" t="inlineStr">
        <is>
          <t>A 56927-2024</t>
        </is>
      </c>
      <c r="B217" s="1" t="n">
        <v>45625</v>
      </c>
      <c r="C217" s="1" t="n">
        <v>46073</v>
      </c>
      <c r="D217" t="inlineStr">
        <is>
          <t>DALARNAS LÄN</t>
        </is>
      </c>
      <c r="E217" t="inlineStr">
        <is>
          <t>MORA</t>
        </is>
      </c>
      <c r="G217" t="n">
        <v>2.8</v>
      </c>
      <c r="H217" t="n">
        <v>0</v>
      </c>
      <c r="I217" t="n">
        <v>0</v>
      </c>
      <c r="J217" t="n">
        <v>0</v>
      </c>
      <c r="K217" t="n">
        <v>0</v>
      </c>
      <c r="L217" t="n">
        <v>0</v>
      </c>
      <c r="M217" t="n">
        <v>0</v>
      </c>
      <c r="N217" t="n">
        <v>0</v>
      </c>
      <c r="O217" t="n">
        <v>0</v>
      </c>
      <c r="P217" t="n">
        <v>0</v>
      </c>
      <c r="Q217" t="n">
        <v>0</v>
      </c>
      <c r="R217" s="2" t="inlineStr"/>
    </row>
    <row r="218" ht="15" customHeight="1">
      <c r="A218" t="inlineStr">
        <is>
          <t>A 36038-2024</t>
        </is>
      </c>
      <c r="B218" s="1" t="n">
        <v>45533</v>
      </c>
      <c r="C218" s="1" t="n">
        <v>46073</v>
      </c>
      <c r="D218" t="inlineStr">
        <is>
          <t>DALARNAS LÄN</t>
        </is>
      </c>
      <c r="E218" t="inlineStr">
        <is>
          <t>MORA</t>
        </is>
      </c>
      <c r="G218" t="n">
        <v>5.1</v>
      </c>
      <c r="H218" t="n">
        <v>0</v>
      </c>
      <c r="I218" t="n">
        <v>0</v>
      </c>
      <c r="J218" t="n">
        <v>0</v>
      </c>
      <c r="K218" t="n">
        <v>0</v>
      </c>
      <c r="L218" t="n">
        <v>0</v>
      </c>
      <c r="M218" t="n">
        <v>0</v>
      </c>
      <c r="N218" t="n">
        <v>0</v>
      </c>
      <c r="O218" t="n">
        <v>0</v>
      </c>
      <c r="P218" t="n">
        <v>0</v>
      </c>
      <c r="Q218" t="n">
        <v>0</v>
      </c>
      <c r="R218" s="2" t="inlineStr"/>
    </row>
    <row r="219" ht="15" customHeight="1">
      <c r="A219" t="inlineStr">
        <is>
          <t>A 41783-2025</t>
        </is>
      </c>
      <c r="B219" s="1" t="n">
        <v>45902.58721064815</v>
      </c>
      <c r="C219" s="1" t="n">
        <v>46073</v>
      </c>
      <c r="D219" t="inlineStr">
        <is>
          <t>DALARNAS LÄN</t>
        </is>
      </c>
      <c r="E219" t="inlineStr">
        <is>
          <t>MORA</t>
        </is>
      </c>
      <c r="G219" t="n">
        <v>0.6</v>
      </c>
      <c r="H219" t="n">
        <v>0</v>
      </c>
      <c r="I219" t="n">
        <v>0</v>
      </c>
      <c r="J219" t="n">
        <v>0</v>
      </c>
      <c r="K219" t="n">
        <v>0</v>
      </c>
      <c r="L219" t="n">
        <v>0</v>
      </c>
      <c r="M219" t="n">
        <v>0</v>
      </c>
      <c r="N219" t="n">
        <v>0</v>
      </c>
      <c r="O219" t="n">
        <v>0</v>
      </c>
      <c r="P219" t="n">
        <v>0</v>
      </c>
      <c r="Q219" t="n">
        <v>0</v>
      </c>
      <c r="R219" s="2" t="inlineStr"/>
    </row>
    <row r="220" ht="15" customHeight="1">
      <c r="A220" t="inlineStr">
        <is>
          <t>A 54192-2023</t>
        </is>
      </c>
      <c r="B220" s="1" t="n">
        <v>45232.53052083333</v>
      </c>
      <c r="C220" s="1" t="n">
        <v>46073</v>
      </c>
      <c r="D220" t="inlineStr">
        <is>
          <t>DALARNAS LÄN</t>
        </is>
      </c>
      <c r="E220" t="inlineStr">
        <is>
          <t>MORA</t>
        </is>
      </c>
      <c r="G220" t="n">
        <v>3.4</v>
      </c>
      <c r="H220" t="n">
        <v>0</v>
      </c>
      <c r="I220" t="n">
        <v>0</v>
      </c>
      <c r="J220" t="n">
        <v>0</v>
      </c>
      <c r="K220" t="n">
        <v>0</v>
      </c>
      <c r="L220" t="n">
        <v>0</v>
      </c>
      <c r="M220" t="n">
        <v>0</v>
      </c>
      <c r="N220" t="n">
        <v>0</v>
      </c>
      <c r="O220" t="n">
        <v>0</v>
      </c>
      <c r="P220" t="n">
        <v>0</v>
      </c>
      <c r="Q220" t="n">
        <v>0</v>
      </c>
      <c r="R220" s="2" t="inlineStr"/>
    </row>
    <row r="221" ht="15" customHeight="1">
      <c r="A221" t="inlineStr">
        <is>
          <t>A 41614-2025</t>
        </is>
      </c>
      <c r="B221" s="1" t="n">
        <v>45901.68267361111</v>
      </c>
      <c r="C221" s="1" t="n">
        <v>46073</v>
      </c>
      <c r="D221" t="inlineStr">
        <is>
          <t>DALARNAS LÄN</t>
        </is>
      </c>
      <c r="E221" t="inlineStr">
        <is>
          <t>MORA</t>
        </is>
      </c>
      <c r="F221" t="inlineStr">
        <is>
          <t>Bergvik skog väst AB</t>
        </is>
      </c>
      <c r="G221" t="n">
        <v>13.8</v>
      </c>
      <c r="H221" t="n">
        <v>0</v>
      </c>
      <c r="I221" t="n">
        <v>0</v>
      </c>
      <c r="J221" t="n">
        <v>0</v>
      </c>
      <c r="K221" t="n">
        <v>0</v>
      </c>
      <c r="L221" t="n">
        <v>0</v>
      </c>
      <c r="M221" t="n">
        <v>0</v>
      </c>
      <c r="N221" t="n">
        <v>0</v>
      </c>
      <c r="O221" t="n">
        <v>0</v>
      </c>
      <c r="P221" t="n">
        <v>0</v>
      </c>
      <c r="Q221" t="n">
        <v>0</v>
      </c>
      <c r="R221" s="2" t="inlineStr"/>
    </row>
    <row r="222" ht="15" customHeight="1">
      <c r="A222" t="inlineStr">
        <is>
          <t>A 59404-2024</t>
        </is>
      </c>
      <c r="B222" s="1" t="n">
        <v>45638</v>
      </c>
      <c r="C222" s="1" t="n">
        <v>46073</v>
      </c>
      <c r="D222" t="inlineStr">
        <is>
          <t>DALARNAS LÄN</t>
        </is>
      </c>
      <c r="E222" t="inlineStr">
        <is>
          <t>MORA</t>
        </is>
      </c>
      <c r="G222" t="n">
        <v>2.6</v>
      </c>
      <c r="H222" t="n">
        <v>0</v>
      </c>
      <c r="I222" t="n">
        <v>0</v>
      </c>
      <c r="J222" t="n">
        <v>0</v>
      </c>
      <c r="K222" t="n">
        <v>0</v>
      </c>
      <c r="L222" t="n">
        <v>0</v>
      </c>
      <c r="M222" t="n">
        <v>0</v>
      </c>
      <c r="N222" t="n">
        <v>0</v>
      </c>
      <c r="O222" t="n">
        <v>0</v>
      </c>
      <c r="P222" t="n">
        <v>0</v>
      </c>
      <c r="Q222" t="n">
        <v>0</v>
      </c>
      <c r="R222" s="2" t="inlineStr"/>
    </row>
    <row r="223" ht="15" customHeight="1">
      <c r="A223" t="inlineStr">
        <is>
          <t>A 22185-2025</t>
        </is>
      </c>
      <c r="B223" s="1" t="n">
        <v>45785</v>
      </c>
      <c r="C223" s="1" t="n">
        <v>46073</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23368-2025</t>
        </is>
      </c>
      <c r="B224" s="1" t="n">
        <v>45791.70299768518</v>
      </c>
      <c r="C224" s="1" t="n">
        <v>46073</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56935-2024</t>
        </is>
      </c>
      <c r="B225" s="1" t="n">
        <v>45625</v>
      </c>
      <c r="C225" s="1" t="n">
        <v>46073</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5309-2023</t>
        </is>
      </c>
      <c r="B226" s="1" t="n">
        <v>44956</v>
      </c>
      <c r="C226" s="1" t="n">
        <v>46073</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30194-2024</t>
        </is>
      </c>
      <c r="B227" s="1" t="n">
        <v>45490.33387731481</v>
      </c>
      <c r="C227" s="1" t="n">
        <v>46073</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23354-2022</t>
        </is>
      </c>
      <c r="B228" s="1" t="n">
        <v>44720</v>
      </c>
      <c r="C228" s="1" t="n">
        <v>46073</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34928-2022</t>
        </is>
      </c>
      <c r="B229" s="1" t="n">
        <v>44796.60479166666</v>
      </c>
      <c r="C229" s="1" t="n">
        <v>46073</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47143-2022</t>
        </is>
      </c>
      <c r="B230" s="1" t="n">
        <v>44852</v>
      </c>
      <c r="C230" s="1" t="n">
        <v>46073</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3430-2023</t>
        </is>
      </c>
      <c r="B231" s="1" t="n">
        <v>44949.57856481482</v>
      </c>
      <c r="C231" s="1" t="n">
        <v>46073</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9461-2025</t>
        </is>
      </c>
      <c r="B232" s="1" t="n">
        <v>45715.45341435185</v>
      </c>
      <c r="C232" s="1" t="n">
        <v>46073</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48926-2025</t>
        </is>
      </c>
      <c r="B233" s="1" t="n">
        <v>45937.50666666667</v>
      </c>
      <c r="C233" s="1" t="n">
        <v>46073</v>
      </c>
      <c r="D233" t="inlineStr">
        <is>
          <t>DALARNAS LÄN</t>
        </is>
      </c>
      <c r="E233" t="inlineStr">
        <is>
          <t>MORA</t>
        </is>
      </c>
      <c r="G233" t="n">
        <v>0.6</v>
      </c>
      <c r="H233" t="n">
        <v>0</v>
      </c>
      <c r="I233" t="n">
        <v>0</v>
      </c>
      <c r="J233" t="n">
        <v>0</v>
      </c>
      <c r="K233" t="n">
        <v>0</v>
      </c>
      <c r="L233" t="n">
        <v>0</v>
      </c>
      <c r="M233" t="n">
        <v>0</v>
      </c>
      <c r="N233" t="n">
        <v>0</v>
      </c>
      <c r="O233" t="n">
        <v>0</v>
      </c>
      <c r="P233" t="n">
        <v>0</v>
      </c>
      <c r="Q233" t="n">
        <v>0</v>
      </c>
      <c r="R233" s="2" t="inlineStr"/>
    </row>
    <row r="234" ht="15" customHeight="1">
      <c r="A234" t="inlineStr">
        <is>
          <t>A 42319-2025</t>
        </is>
      </c>
      <c r="B234" s="1" t="n">
        <v>45903</v>
      </c>
      <c r="C234" s="1" t="n">
        <v>46073</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49574-2025</t>
        </is>
      </c>
      <c r="B235" s="1" t="n">
        <v>45939.49045138889</v>
      </c>
      <c r="C235" s="1" t="n">
        <v>46073</v>
      </c>
      <c r="D235" t="inlineStr">
        <is>
          <t>DALARNAS LÄN</t>
        </is>
      </c>
      <c r="E235" t="inlineStr">
        <is>
          <t>MORA</t>
        </is>
      </c>
      <c r="G235" t="n">
        <v>6.3</v>
      </c>
      <c r="H235" t="n">
        <v>0</v>
      </c>
      <c r="I235" t="n">
        <v>0</v>
      </c>
      <c r="J235" t="n">
        <v>0</v>
      </c>
      <c r="K235" t="n">
        <v>0</v>
      </c>
      <c r="L235" t="n">
        <v>0</v>
      </c>
      <c r="M235" t="n">
        <v>0</v>
      </c>
      <c r="N235" t="n">
        <v>0</v>
      </c>
      <c r="O235" t="n">
        <v>0</v>
      </c>
      <c r="P235" t="n">
        <v>0</v>
      </c>
      <c r="Q235" t="n">
        <v>0</v>
      </c>
      <c r="R235" s="2" t="inlineStr"/>
    </row>
    <row r="236" ht="15" customHeight="1">
      <c r="A236" t="inlineStr">
        <is>
          <t>A 49828-2025</t>
        </is>
      </c>
      <c r="B236" s="1" t="n">
        <v>45940.44993055556</v>
      </c>
      <c r="C236" s="1" t="n">
        <v>46073</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24127-2025</t>
        </is>
      </c>
      <c r="B237" s="1" t="n">
        <v>45796.63137731481</v>
      </c>
      <c r="C237" s="1" t="n">
        <v>46073</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47686-2025</t>
        </is>
      </c>
      <c r="B238" s="1" t="n">
        <v>45931</v>
      </c>
      <c r="C238" s="1" t="n">
        <v>46073</v>
      </c>
      <c r="D238" t="inlineStr">
        <is>
          <t>DALARNAS LÄN</t>
        </is>
      </c>
      <c r="E238" t="inlineStr">
        <is>
          <t>MORA</t>
        </is>
      </c>
      <c r="G238" t="n">
        <v>1.3</v>
      </c>
      <c r="H238" t="n">
        <v>0</v>
      </c>
      <c r="I238" t="n">
        <v>0</v>
      </c>
      <c r="J238" t="n">
        <v>0</v>
      </c>
      <c r="K238" t="n">
        <v>0</v>
      </c>
      <c r="L238" t="n">
        <v>0</v>
      </c>
      <c r="M238" t="n">
        <v>0</v>
      </c>
      <c r="N238" t="n">
        <v>0</v>
      </c>
      <c r="O238" t="n">
        <v>0</v>
      </c>
      <c r="P238" t="n">
        <v>0</v>
      </c>
      <c r="Q238" t="n">
        <v>0</v>
      </c>
      <c r="R238" s="2" t="inlineStr"/>
    </row>
    <row r="239" ht="15" customHeight="1">
      <c r="A239" t="inlineStr">
        <is>
          <t>A 41855-2025</t>
        </is>
      </c>
      <c r="B239" s="1" t="n">
        <v>45902.93693287037</v>
      </c>
      <c r="C239" s="1" t="n">
        <v>46073</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42112-2025</t>
        </is>
      </c>
      <c r="B240" s="1" t="n">
        <v>45904.32134259259</v>
      </c>
      <c r="C240" s="1" t="n">
        <v>46073</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34282-2024</t>
        </is>
      </c>
      <c r="B241" s="1" t="n">
        <v>45524.62600694445</v>
      </c>
      <c r="C241" s="1" t="n">
        <v>46073</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62854-2023</t>
        </is>
      </c>
      <c r="B242" s="1" t="n">
        <v>45272</v>
      </c>
      <c r="C242" s="1" t="n">
        <v>46073</v>
      </c>
      <c r="D242" t="inlineStr">
        <is>
          <t>DALARNAS LÄN</t>
        </is>
      </c>
      <c r="E242" t="inlineStr">
        <is>
          <t>MORA</t>
        </is>
      </c>
      <c r="G242" t="n">
        <v>11.3</v>
      </c>
      <c r="H242" t="n">
        <v>0</v>
      </c>
      <c r="I242" t="n">
        <v>0</v>
      </c>
      <c r="J242" t="n">
        <v>0</v>
      </c>
      <c r="K242" t="n">
        <v>0</v>
      </c>
      <c r="L242" t="n">
        <v>0</v>
      </c>
      <c r="M242" t="n">
        <v>0</v>
      </c>
      <c r="N242" t="n">
        <v>0</v>
      </c>
      <c r="O242" t="n">
        <v>0</v>
      </c>
      <c r="P242" t="n">
        <v>0</v>
      </c>
      <c r="Q242" t="n">
        <v>0</v>
      </c>
      <c r="R242" s="2" t="inlineStr"/>
    </row>
    <row r="243" ht="15" customHeight="1">
      <c r="A243" t="inlineStr">
        <is>
          <t>A 19286-2023</t>
        </is>
      </c>
      <c r="B243" s="1" t="n">
        <v>45049</v>
      </c>
      <c r="C243" s="1" t="n">
        <v>46073</v>
      </c>
      <c r="D243" t="inlineStr">
        <is>
          <t>DALARNAS LÄN</t>
        </is>
      </c>
      <c r="E243" t="inlineStr">
        <is>
          <t>MORA</t>
        </is>
      </c>
      <c r="G243" t="n">
        <v>1</v>
      </c>
      <c r="H243" t="n">
        <v>0</v>
      </c>
      <c r="I243" t="n">
        <v>0</v>
      </c>
      <c r="J243" t="n">
        <v>0</v>
      </c>
      <c r="K243" t="n">
        <v>0</v>
      </c>
      <c r="L243" t="n">
        <v>0</v>
      </c>
      <c r="M243" t="n">
        <v>0</v>
      </c>
      <c r="N243" t="n">
        <v>0</v>
      </c>
      <c r="O243" t="n">
        <v>0</v>
      </c>
      <c r="P243" t="n">
        <v>0</v>
      </c>
      <c r="Q243" t="n">
        <v>0</v>
      </c>
      <c r="R243" s="2" t="inlineStr"/>
    </row>
    <row r="244" ht="15" customHeight="1">
      <c r="A244" t="inlineStr">
        <is>
          <t>A 42813-2025</t>
        </is>
      </c>
      <c r="B244" s="1" t="n">
        <v>45908.56168981481</v>
      </c>
      <c r="C244" s="1" t="n">
        <v>46073</v>
      </c>
      <c r="D244" t="inlineStr">
        <is>
          <t>DALARNAS LÄN</t>
        </is>
      </c>
      <c r="E244" t="inlineStr">
        <is>
          <t>MORA</t>
        </is>
      </c>
      <c r="G244" t="n">
        <v>4.3</v>
      </c>
      <c r="H244" t="n">
        <v>0</v>
      </c>
      <c r="I244" t="n">
        <v>0</v>
      </c>
      <c r="J244" t="n">
        <v>0</v>
      </c>
      <c r="K244" t="n">
        <v>0</v>
      </c>
      <c r="L244" t="n">
        <v>0</v>
      </c>
      <c r="M244" t="n">
        <v>0</v>
      </c>
      <c r="N244" t="n">
        <v>0</v>
      </c>
      <c r="O244" t="n">
        <v>0</v>
      </c>
      <c r="P244" t="n">
        <v>0</v>
      </c>
      <c r="Q244" t="n">
        <v>0</v>
      </c>
      <c r="R244" s="2" t="inlineStr"/>
    </row>
    <row r="245" ht="15" customHeight="1">
      <c r="A245" t="inlineStr">
        <is>
          <t>A 23229-2025</t>
        </is>
      </c>
      <c r="B245" s="1" t="n">
        <v>45791</v>
      </c>
      <c r="C245" s="1" t="n">
        <v>46073</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52110-2025</t>
        </is>
      </c>
      <c r="B246" s="1" t="n">
        <v>45952.69306712963</v>
      </c>
      <c r="C246" s="1" t="n">
        <v>46073</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52525-2022</t>
        </is>
      </c>
      <c r="B247" s="1" t="n">
        <v>44874</v>
      </c>
      <c r="C247" s="1" t="n">
        <v>46073</v>
      </c>
      <c r="D247" t="inlineStr">
        <is>
          <t>DALARNAS LÄN</t>
        </is>
      </c>
      <c r="E247" t="inlineStr">
        <is>
          <t>MORA</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51771-2025</t>
        </is>
      </c>
      <c r="B248" s="1" t="n">
        <v>45951.64653935185</v>
      </c>
      <c r="C248" s="1" t="n">
        <v>46073</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41169-2023</t>
        </is>
      </c>
      <c r="B249" s="1" t="n">
        <v>45174.34662037037</v>
      </c>
      <c r="C249" s="1" t="n">
        <v>46073</v>
      </c>
      <c r="D249" t="inlineStr">
        <is>
          <t>DALARNAS LÄN</t>
        </is>
      </c>
      <c r="E249" t="inlineStr">
        <is>
          <t>MORA</t>
        </is>
      </c>
      <c r="G249" t="n">
        <v>3</v>
      </c>
      <c r="H249" t="n">
        <v>0</v>
      </c>
      <c r="I249" t="n">
        <v>0</v>
      </c>
      <c r="J249" t="n">
        <v>0</v>
      </c>
      <c r="K249" t="n">
        <v>0</v>
      </c>
      <c r="L249" t="n">
        <v>0</v>
      </c>
      <c r="M249" t="n">
        <v>0</v>
      </c>
      <c r="N249" t="n">
        <v>0</v>
      </c>
      <c r="O249" t="n">
        <v>0</v>
      </c>
      <c r="P249" t="n">
        <v>0</v>
      </c>
      <c r="Q249" t="n">
        <v>0</v>
      </c>
      <c r="R249" s="2" t="inlineStr"/>
    </row>
    <row r="250" ht="15" customHeight="1">
      <c r="A250" t="inlineStr">
        <is>
          <t>A 24280-2025</t>
        </is>
      </c>
      <c r="B250" s="1" t="n">
        <v>45797.45581018519</v>
      </c>
      <c r="C250" s="1" t="n">
        <v>46073</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24630-2025</t>
        </is>
      </c>
      <c r="B251" s="1" t="n">
        <v>45798.6003587963</v>
      </c>
      <c r="C251" s="1" t="n">
        <v>46073</v>
      </c>
      <c r="D251" t="inlineStr">
        <is>
          <t>DALARNAS LÄN</t>
        </is>
      </c>
      <c r="E251" t="inlineStr">
        <is>
          <t>MORA</t>
        </is>
      </c>
      <c r="F251" t="inlineStr">
        <is>
          <t>Bergvik skog väst AB</t>
        </is>
      </c>
      <c r="G251" t="n">
        <v>10.4</v>
      </c>
      <c r="H251" t="n">
        <v>0</v>
      </c>
      <c r="I251" t="n">
        <v>0</v>
      </c>
      <c r="J251" t="n">
        <v>0</v>
      </c>
      <c r="K251" t="n">
        <v>0</v>
      </c>
      <c r="L251" t="n">
        <v>0</v>
      </c>
      <c r="M251" t="n">
        <v>0</v>
      </c>
      <c r="N251" t="n">
        <v>0</v>
      </c>
      <c r="O251" t="n">
        <v>0</v>
      </c>
      <c r="P251" t="n">
        <v>0</v>
      </c>
      <c r="Q251" t="n">
        <v>0</v>
      </c>
      <c r="R251" s="2" t="inlineStr"/>
    </row>
    <row r="252" ht="15" customHeight="1">
      <c r="A252" t="inlineStr">
        <is>
          <t>A 19183-2025</t>
        </is>
      </c>
      <c r="B252" s="1" t="n">
        <v>45769</v>
      </c>
      <c r="C252" s="1" t="n">
        <v>46073</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24642-2025</t>
        </is>
      </c>
      <c r="B253" s="1" t="n">
        <v>45798.62894675926</v>
      </c>
      <c r="C253" s="1" t="n">
        <v>46073</v>
      </c>
      <c r="D253" t="inlineStr">
        <is>
          <t>DALARNAS LÄN</t>
        </is>
      </c>
      <c r="E253" t="inlineStr">
        <is>
          <t>MORA</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46073</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69483-2021</t>
        </is>
      </c>
      <c r="B255" s="1" t="n">
        <v>44531</v>
      </c>
      <c r="C255" s="1" t="n">
        <v>46073</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56460-2022</t>
        </is>
      </c>
      <c r="B256" s="1" t="n">
        <v>44893</v>
      </c>
      <c r="C256" s="1" t="n">
        <v>46073</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46073</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42947-2025</t>
        </is>
      </c>
      <c r="B258" s="1" t="n">
        <v>45909.34799768519</v>
      </c>
      <c r="C258" s="1" t="n">
        <v>46073</v>
      </c>
      <c r="D258" t="inlineStr">
        <is>
          <t>DALARNAS LÄN</t>
        </is>
      </c>
      <c r="E258" t="inlineStr">
        <is>
          <t>MORA</t>
        </is>
      </c>
      <c r="F258" t="inlineStr">
        <is>
          <t>Allmännings- och besparingsskogar</t>
        </is>
      </c>
      <c r="G258" t="n">
        <v>6.2</v>
      </c>
      <c r="H258" t="n">
        <v>0</v>
      </c>
      <c r="I258" t="n">
        <v>0</v>
      </c>
      <c r="J258" t="n">
        <v>0</v>
      </c>
      <c r="K258" t="n">
        <v>0</v>
      </c>
      <c r="L258" t="n">
        <v>0</v>
      </c>
      <c r="M258" t="n">
        <v>0</v>
      </c>
      <c r="N258" t="n">
        <v>0</v>
      </c>
      <c r="O258" t="n">
        <v>0</v>
      </c>
      <c r="P258" t="n">
        <v>0</v>
      </c>
      <c r="Q258" t="n">
        <v>0</v>
      </c>
      <c r="R258" s="2" t="inlineStr"/>
    </row>
    <row r="259" ht="15" customHeight="1">
      <c r="A259" t="inlineStr">
        <is>
          <t>A 42954-2025</t>
        </is>
      </c>
      <c r="B259" s="1" t="n">
        <v>45909.3578125</v>
      </c>
      <c r="C259" s="1" t="n">
        <v>46073</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42960-2025</t>
        </is>
      </c>
      <c r="B260" s="1" t="n">
        <v>45909.36631944445</v>
      </c>
      <c r="C260" s="1" t="n">
        <v>46073</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39882-2024</t>
        </is>
      </c>
      <c r="B261" s="1" t="n">
        <v>45553</v>
      </c>
      <c r="C261" s="1" t="n">
        <v>46073</v>
      </c>
      <c r="D261" t="inlineStr">
        <is>
          <t>DALARNAS LÄN</t>
        </is>
      </c>
      <c r="E261" t="inlineStr">
        <is>
          <t>MORA</t>
        </is>
      </c>
      <c r="G261" t="n">
        <v>14.6</v>
      </c>
      <c r="H261" t="n">
        <v>0</v>
      </c>
      <c r="I261" t="n">
        <v>0</v>
      </c>
      <c r="J261" t="n">
        <v>0</v>
      </c>
      <c r="K261" t="n">
        <v>0</v>
      </c>
      <c r="L261" t="n">
        <v>0</v>
      </c>
      <c r="M261" t="n">
        <v>0</v>
      </c>
      <c r="N261" t="n">
        <v>0</v>
      </c>
      <c r="O261" t="n">
        <v>0</v>
      </c>
      <c r="P261" t="n">
        <v>0</v>
      </c>
      <c r="Q261" t="n">
        <v>0</v>
      </c>
      <c r="R261" s="2" t="inlineStr"/>
    </row>
    <row r="262" ht="15" customHeight="1">
      <c r="A262" t="inlineStr">
        <is>
          <t>A 52804-2025</t>
        </is>
      </c>
      <c r="B262" s="1" t="n">
        <v>45957.44552083333</v>
      </c>
      <c r="C262" s="1" t="n">
        <v>46073</v>
      </c>
      <c r="D262" t="inlineStr">
        <is>
          <t>DALARNAS LÄN</t>
        </is>
      </c>
      <c r="E262" t="inlineStr">
        <is>
          <t>MORA</t>
        </is>
      </c>
      <c r="G262" t="n">
        <v>2.9</v>
      </c>
      <c r="H262" t="n">
        <v>0</v>
      </c>
      <c r="I262" t="n">
        <v>0</v>
      </c>
      <c r="J262" t="n">
        <v>0</v>
      </c>
      <c r="K262" t="n">
        <v>0</v>
      </c>
      <c r="L262" t="n">
        <v>0</v>
      </c>
      <c r="M262" t="n">
        <v>0</v>
      </c>
      <c r="N262" t="n">
        <v>0</v>
      </c>
      <c r="O262" t="n">
        <v>0</v>
      </c>
      <c r="P262" t="n">
        <v>0</v>
      </c>
      <c r="Q262" t="n">
        <v>0</v>
      </c>
      <c r="R262" s="2" t="inlineStr"/>
    </row>
    <row r="263" ht="15" customHeight="1">
      <c r="A263" t="inlineStr">
        <is>
          <t>A 24249-2025</t>
        </is>
      </c>
      <c r="B263" s="1" t="n">
        <v>45797.40260416667</v>
      </c>
      <c r="C263" s="1" t="n">
        <v>46073</v>
      </c>
      <c r="D263" t="inlineStr">
        <is>
          <t>DALARNAS LÄN</t>
        </is>
      </c>
      <c r="E263" t="inlineStr">
        <is>
          <t>MORA</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24640-2025</t>
        </is>
      </c>
      <c r="B264" s="1" t="n">
        <v>45798.62243055556</v>
      </c>
      <c r="C264" s="1" t="n">
        <v>46073</v>
      </c>
      <c r="D264" t="inlineStr">
        <is>
          <t>DALARNAS LÄN</t>
        </is>
      </c>
      <c r="E264" t="inlineStr">
        <is>
          <t>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24230-2025</t>
        </is>
      </c>
      <c r="B265" s="1" t="n">
        <v>45797.37607638889</v>
      </c>
      <c r="C265" s="1" t="n">
        <v>46073</v>
      </c>
      <c r="D265" t="inlineStr">
        <is>
          <t>DALARNAS LÄN</t>
        </is>
      </c>
      <c r="E265" t="inlineStr">
        <is>
          <t>MORA</t>
        </is>
      </c>
      <c r="G265" t="n">
        <v>6.8</v>
      </c>
      <c r="H265" t="n">
        <v>0</v>
      </c>
      <c r="I265" t="n">
        <v>0</v>
      </c>
      <c r="J265" t="n">
        <v>0</v>
      </c>
      <c r="K265" t="n">
        <v>0</v>
      </c>
      <c r="L265" t="n">
        <v>0</v>
      </c>
      <c r="M265" t="n">
        <v>0</v>
      </c>
      <c r="N265" t="n">
        <v>0</v>
      </c>
      <c r="O265" t="n">
        <v>0</v>
      </c>
      <c r="P265" t="n">
        <v>0</v>
      </c>
      <c r="Q265" t="n">
        <v>0</v>
      </c>
      <c r="R265" s="2" t="inlineStr"/>
    </row>
    <row r="266" ht="15" customHeight="1">
      <c r="A266" t="inlineStr">
        <is>
          <t>A 54398-2021</t>
        </is>
      </c>
      <c r="B266" s="1" t="n">
        <v>44473.39252314815</v>
      </c>
      <c r="C266" s="1" t="n">
        <v>46073</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53150-2025</t>
        </is>
      </c>
      <c r="B267" s="1" t="n">
        <v>45958.48280092593</v>
      </c>
      <c r="C267" s="1" t="n">
        <v>46073</v>
      </c>
      <c r="D267" t="inlineStr">
        <is>
          <t>DALARNAS LÄN</t>
        </is>
      </c>
      <c r="E267" t="inlineStr">
        <is>
          <t>MORA</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53151-2025</t>
        </is>
      </c>
      <c r="B268" s="1" t="n">
        <v>45958.48611111111</v>
      </c>
      <c r="C268" s="1" t="n">
        <v>46073</v>
      </c>
      <c r="D268" t="inlineStr">
        <is>
          <t>DALARNAS LÄN</t>
        </is>
      </c>
      <c r="E268" t="inlineStr">
        <is>
          <t>MORA</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53418-2025</t>
        </is>
      </c>
      <c r="B269" s="1" t="n">
        <v>45959</v>
      </c>
      <c r="C269" s="1" t="n">
        <v>46073</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53591-2025</t>
        </is>
      </c>
      <c r="B270" s="1" t="n">
        <v>45960.43893518519</v>
      </c>
      <c r="C270" s="1" t="n">
        <v>46073</v>
      </c>
      <c r="D270" t="inlineStr">
        <is>
          <t>DALARNAS LÄN</t>
        </is>
      </c>
      <c r="E270" t="inlineStr">
        <is>
          <t>MORA</t>
        </is>
      </c>
      <c r="G270" t="n">
        <v>3.8</v>
      </c>
      <c r="H270" t="n">
        <v>0</v>
      </c>
      <c r="I270" t="n">
        <v>0</v>
      </c>
      <c r="J270" t="n">
        <v>0</v>
      </c>
      <c r="K270" t="n">
        <v>0</v>
      </c>
      <c r="L270" t="n">
        <v>0</v>
      </c>
      <c r="M270" t="n">
        <v>0</v>
      </c>
      <c r="N270" t="n">
        <v>0</v>
      </c>
      <c r="O270" t="n">
        <v>0</v>
      </c>
      <c r="P270" t="n">
        <v>0</v>
      </c>
      <c r="Q270" t="n">
        <v>0</v>
      </c>
      <c r="R270" s="2" t="inlineStr"/>
    </row>
    <row r="271" ht="15" customHeight="1">
      <c r="A271" t="inlineStr">
        <is>
          <t>A 43153-2025</t>
        </is>
      </c>
      <c r="B271" s="1" t="n">
        <v>45910.34449074074</v>
      </c>
      <c r="C271" s="1" t="n">
        <v>46073</v>
      </c>
      <c r="D271" t="inlineStr">
        <is>
          <t>DALARNAS LÄN</t>
        </is>
      </c>
      <c r="E271" t="inlineStr">
        <is>
          <t>MORA</t>
        </is>
      </c>
      <c r="G271" t="n">
        <v>3.9</v>
      </c>
      <c r="H271" t="n">
        <v>0</v>
      </c>
      <c r="I271" t="n">
        <v>0</v>
      </c>
      <c r="J271" t="n">
        <v>0</v>
      </c>
      <c r="K271" t="n">
        <v>0</v>
      </c>
      <c r="L271" t="n">
        <v>0</v>
      </c>
      <c r="M271" t="n">
        <v>0</v>
      </c>
      <c r="N271" t="n">
        <v>0</v>
      </c>
      <c r="O271" t="n">
        <v>0</v>
      </c>
      <c r="P271" t="n">
        <v>0</v>
      </c>
      <c r="Q271" t="n">
        <v>0</v>
      </c>
      <c r="R271" s="2" t="inlineStr"/>
    </row>
    <row r="272" ht="15" customHeight="1">
      <c r="A272" t="inlineStr">
        <is>
          <t>A 43157-2025</t>
        </is>
      </c>
      <c r="B272" s="1" t="n">
        <v>45910.34953703704</v>
      </c>
      <c r="C272" s="1" t="n">
        <v>46073</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39897-2022</t>
        </is>
      </c>
      <c r="B273" s="1" t="n">
        <v>44819.66083333334</v>
      </c>
      <c r="C273" s="1" t="n">
        <v>46073</v>
      </c>
      <c r="D273" t="inlineStr">
        <is>
          <t>DALARNAS LÄN</t>
        </is>
      </c>
      <c r="E273" t="inlineStr">
        <is>
          <t>MORA</t>
        </is>
      </c>
      <c r="G273" t="n">
        <v>15.8</v>
      </c>
      <c r="H273" t="n">
        <v>0</v>
      </c>
      <c r="I273" t="n">
        <v>0</v>
      </c>
      <c r="J273" t="n">
        <v>0</v>
      </c>
      <c r="K273" t="n">
        <v>0</v>
      </c>
      <c r="L273" t="n">
        <v>0</v>
      </c>
      <c r="M273" t="n">
        <v>0</v>
      </c>
      <c r="N273" t="n">
        <v>0</v>
      </c>
      <c r="O273" t="n">
        <v>0</v>
      </c>
      <c r="P273" t="n">
        <v>0</v>
      </c>
      <c r="Q273" t="n">
        <v>0</v>
      </c>
      <c r="R273" s="2" t="inlineStr"/>
    </row>
    <row r="274" ht="15" customHeight="1">
      <c r="A274" t="inlineStr">
        <is>
          <t>A 53632-2025</t>
        </is>
      </c>
      <c r="B274" s="1" t="n">
        <v>45960.49972222222</v>
      </c>
      <c r="C274" s="1" t="n">
        <v>46073</v>
      </c>
      <c r="D274" t="inlineStr">
        <is>
          <t>DALARNAS LÄN</t>
        </is>
      </c>
      <c r="E274" t="inlineStr">
        <is>
          <t>MORA</t>
        </is>
      </c>
      <c r="G274" t="n">
        <v>3.1</v>
      </c>
      <c r="H274" t="n">
        <v>0</v>
      </c>
      <c r="I274" t="n">
        <v>0</v>
      </c>
      <c r="J274" t="n">
        <v>0</v>
      </c>
      <c r="K274" t="n">
        <v>0</v>
      </c>
      <c r="L274" t="n">
        <v>0</v>
      </c>
      <c r="M274" t="n">
        <v>0</v>
      </c>
      <c r="N274" t="n">
        <v>0</v>
      </c>
      <c r="O274" t="n">
        <v>0</v>
      </c>
      <c r="P274" t="n">
        <v>0</v>
      </c>
      <c r="Q274" t="n">
        <v>0</v>
      </c>
      <c r="R274" s="2" t="inlineStr"/>
    </row>
    <row r="275" ht="15" customHeight="1">
      <c r="A275" t="inlineStr">
        <is>
          <t>A 53565-2025</t>
        </is>
      </c>
      <c r="B275" s="1" t="n">
        <v>45960.40711805555</v>
      </c>
      <c r="C275" s="1" t="n">
        <v>46073</v>
      </c>
      <c r="D275" t="inlineStr">
        <is>
          <t>DALARNAS LÄN</t>
        </is>
      </c>
      <c r="E275" t="inlineStr">
        <is>
          <t>MORA</t>
        </is>
      </c>
      <c r="G275" t="n">
        <v>5.1</v>
      </c>
      <c r="H275" t="n">
        <v>0</v>
      </c>
      <c r="I275" t="n">
        <v>0</v>
      </c>
      <c r="J275" t="n">
        <v>0</v>
      </c>
      <c r="K275" t="n">
        <v>0</v>
      </c>
      <c r="L275" t="n">
        <v>0</v>
      </c>
      <c r="M275" t="n">
        <v>0</v>
      </c>
      <c r="N275" t="n">
        <v>0</v>
      </c>
      <c r="O275" t="n">
        <v>0</v>
      </c>
      <c r="P275" t="n">
        <v>0</v>
      </c>
      <c r="Q275" t="n">
        <v>0</v>
      </c>
      <c r="R275" s="2" t="inlineStr"/>
    </row>
    <row r="276" ht="15" customHeight="1">
      <c r="A276" t="inlineStr">
        <is>
          <t>A 24960-2025</t>
        </is>
      </c>
      <c r="B276" s="1" t="n">
        <v>45799.57666666667</v>
      </c>
      <c r="C276" s="1" t="n">
        <v>46073</v>
      </c>
      <c r="D276" t="inlineStr">
        <is>
          <t>DALARNAS LÄN</t>
        </is>
      </c>
      <c r="E276" t="inlineStr">
        <is>
          <t>MORA</t>
        </is>
      </c>
      <c r="G276" t="n">
        <v>3.2</v>
      </c>
      <c r="H276" t="n">
        <v>0</v>
      </c>
      <c r="I276" t="n">
        <v>0</v>
      </c>
      <c r="J276" t="n">
        <v>0</v>
      </c>
      <c r="K276" t="n">
        <v>0</v>
      </c>
      <c r="L276" t="n">
        <v>0</v>
      </c>
      <c r="M276" t="n">
        <v>0</v>
      </c>
      <c r="N276" t="n">
        <v>0</v>
      </c>
      <c r="O276" t="n">
        <v>0</v>
      </c>
      <c r="P276" t="n">
        <v>0</v>
      </c>
      <c r="Q276" t="n">
        <v>0</v>
      </c>
      <c r="R276" s="2" t="inlineStr"/>
    </row>
    <row r="277" ht="15" customHeight="1">
      <c r="A277" t="inlineStr">
        <is>
          <t>A 43474-2025</t>
        </is>
      </c>
      <c r="B277" s="1" t="n">
        <v>45911.48967592593</v>
      </c>
      <c r="C277" s="1" t="n">
        <v>46073</v>
      </c>
      <c r="D277" t="inlineStr">
        <is>
          <t>DALARNAS LÄN</t>
        </is>
      </c>
      <c r="E277" t="inlineStr">
        <is>
          <t>MORA</t>
        </is>
      </c>
      <c r="G277" t="n">
        <v>1.8</v>
      </c>
      <c r="H277" t="n">
        <v>0</v>
      </c>
      <c r="I277" t="n">
        <v>0</v>
      </c>
      <c r="J277" t="n">
        <v>0</v>
      </c>
      <c r="K277" t="n">
        <v>0</v>
      </c>
      <c r="L277" t="n">
        <v>0</v>
      </c>
      <c r="M277" t="n">
        <v>0</v>
      </c>
      <c r="N277" t="n">
        <v>0</v>
      </c>
      <c r="O277" t="n">
        <v>0</v>
      </c>
      <c r="P277" t="n">
        <v>0</v>
      </c>
      <c r="Q277" t="n">
        <v>0</v>
      </c>
      <c r="R277" s="2" t="inlineStr"/>
    </row>
    <row r="278" ht="15" customHeight="1">
      <c r="A278" t="inlineStr">
        <is>
          <t>A 53556-2025</t>
        </is>
      </c>
      <c r="B278" s="1" t="n">
        <v>45960.3921875</v>
      </c>
      <c r="C278" s="1" t="n">
        <v>46073</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53560-2025</t>
        </is>
      </c>
      <c r="B279" s="1" t="n">
        <v>45960.39960648148</v>
      </c>
      <c r="C279" s="1" t="n">
        <v>46073</v>
      </c>
      <c r="D279" t="inlineStr">
        <is>
          <t>DALARNAS LÄN</t>
        </is>
      </c>
      <c r="E279" t="inlineStr">
        <is>
          <t>MORA</t>
        </is>
      </c>
      <c r="G279" t="n">
        <v>5.2</v>
      </c>
      <c r="H279" t="n">
        <v>0</v>
      </c>
      <c r="I279" t="n">
        <v>0</v>
      </c>
      <c r="J279" t="n">
        <v>0</v>
      </c>
      <c r="K279" t="n">
        <v>0</v>
      </c>
      <c r="L279" t="n">
        <v>0</v>
      </c>
      <c r="M279" t="n">
        <v>0</v>
      </c>
      <c r="N279" t="n">
        <v>0</v>
      </c>
      <c r="O279" t="n">
        <v>0</v>
      </c>
      <c r="P279" t="n">
        <v>0</v>
      </c>
      <c r="Q279" t="n">
        <v>0</v>
      </c>
      <c r="R279" s="2" t="inlineStr"/>
    </row>
    <row r="280" ht="15" customHeight="1">
      <c r="A280" t="inlineStr">
        <is>
          <t>A 53562-2025</t>
        </is>
      </c>
      <c r="B280" s="1" t="n">
        <v>45960.40662037037</v>
      </c>
      <c r="C280" s="1" t="n">
        <v>46073</v>
      </c>
      <c r="D280" t="inlineStr">
        <is>
          <t>DALARNAS LÄN</t>
        </is>
      </c>
      <c r="E280" t="inlineStr">
        <is>
          <t>MORA</t>
        </is>
      </c>
      <c r="G280" t="n">
        <v>5.1</v>
      </c>
      <c r="H280" t="n">
        <v>0</v>
      </c>
      <c r="I280" t="n">
        <v>0</v>
      </c>
      <c r="J280" t="n">
        <v>0</v>
      </c>
      <c r="K280" t="n">
        <v>0</v>
      </c>
      <c r="L280" t="n">
        <v>0</v>
      </c>
      <c r="M280" t="n">
        <v>0</v>
      </c>
      <c r="N280" t="n">
        <v>0</v>
      </c>
      <c r="O280" t="n">
        <v>0</v>
      </c>
      <c r="P280" t="n">
        <v>0</v>
      </c>
      <c r="Q280" t="n">
        <v>0</v>
      </c>
      <c r="R280" s="2" t="inlineStr"/>
    </row>
    <row r="281" ht="15" customHeight="1">
      <c r="A281" t="inlineStr">
        <is>
          <t>A 54099-2025</t>
        </is>
      </c>
      <c r="B281" s="1" t="n">
        <v>45964.41665509259</v>
      </c>
      <c r="C281" s="1" t="n">
        <v>46073</v>
      </c>
      <c r="D281" t="inlineStr">
        <is>
          <t>DALARNAS LÄN</t>
        </is>
      </c>
      <c r="E281" t="inlineStr">
        <is>
          <t>MORA</t>
        </is>
      </c>
      <c r="G281" t="n">
        <v>5.3</v>
      </c>
      <c r="H281" t="n">
        <v>0</v>
      </c>
      <c r="I281" t="n">
        <v>0</v>
      </c>
      <c r="J281" t="n">
        <v>0</v>
      </c>
      <c r="K281" t="n">
        <v>0</v>
      </c>
      <c r="L281" t="n">
        <v>0</v>
      </c>
      <c r="M281" t="n">
        <v>0</v>
      </c>
      <c r="N281" t="n">
        <v>0</v>
      </c>
      <c r="O281" t="n">
        <v>0</v>
      </c>
      <c r="P281" t="n">
        <v>0</v>
      </c>
      <c r="Q281" t="n">
        <v>0</v>
      </c>
      <c r="R281" s="2" t="inlineStr"/>
    </row>
    <row r="282" ht="15" customHeight="1">
      <c r="A282" t="inlineStr">
        <is>
          <t>A 24947-2025</t>
        </is>
      </c>
      <c r="B282" s="1" t="n">
        <v>45799.56524305556</v>
      </c>
      <c r="C282" s="1" t="n">
        <v>46073</v>
      </c>
      <c r="D282" t="inlineStr">
        <is>
          <t>DALARNAS LÄN</t>
        </is>
      </c>
      <c r="E282" t="inlineStr">
        <is>
          <t>MORA</t>
        </is>
      </c>
      <c r="G282" t="n">
        <v>2</v>
      </c>
      <c r="H282" t="n">
        <v>0</v>
      </c>
      <c r="I282" t="n">
        <v>0</v>
      </c>
      <c r="J282" t="n">
        <v>0</v>
      </c>
      <c r="K282" t="n">
        <v>0</v>
      </c>
      <c r="L282" t="n">
        <v>0</v>
      </c>
      <c r="M282" t="n">
        <v>0</v>
      </c>
      <c r="N282" t="n">
        <v>0</v>
      </c>
      <c r="O282" t="n">
        <v>0</v>
      </c>
      <c r="P282" t="n">
        <v>0</v>
      </c>
      <c r="Q282" t="n">
        <v>0</v>
      </c>
      <c r="R282" s="2" t="inlineStr"/>
    </row>
    <row r="283" ht="15" customHeight="1">
      <c r="A283" t="inlineStr">
        <is>
          <t>A 53982-2025</t>
        </is>
      </c>
      <c r="B283" s="1" t="n">
        <v>45961.57019675926</v>
      </c>
      <c r="C283" s="1" t="n">
        <v>46073</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43569-2025</t>
        </is>
      </c>
      <c r="B284" s="1" t="n">
        <v>45911.63363425926</v>
      </c>
      <c r="C284" s="1" t="n">
        <v>46073</v>
      </c>
      <c r="D284" t="inlineStr">
        <is>
          <t>DALARNAS LÄN</t>
        </is>
      </c>
      <c r="E284" t="inlineStr">
        <is>
          <t>MORA</t>
        </is>
      </c>
      <c r="G284" t="n">
        <v>4.7</v>
      </c>
      <c r="H284" t="n">
        <v>0</v>
      </c>
      <c r="I284" t="n">
        <v>0</v>
      </c>
      <c r="J284" t="n">
        <v>0</v>
      </c>
      <c r="K284" t="n">
        <v>0</v>
      </c>
      <c r="L284" t="n">
        <v>0</v>
      </c>
      <c r="M284" t="n">
        <v>0</v>
      </c>
      <c r="N284" t="n">
        <v>0</v>
      </c>
      <c r="O284" t="n">
        <v>0</v>
      </c>
      <c r="P284" t="n">
        <v>0</v>
      </c>
      <c r="Q284" t="n">
        <v>0</v>
      </c>
      <c r="R284" s="2" t="inlineStr"/>
    </row>
    <row r="285" ht="15" customHeight="1">
      <c r="A285" t="inlineStr">
        <is>
          <t>A 43811-2025</t>
        </is>
      </c>
      <c r="B285" s="1" t="n">
        <v>45912.58710648148</v>
      </c>
      <c r="C285" s="1" t="n">
        <v>46073</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54504-2025</t>
        </is>
      </c>
      <c r="B286" s="1" t="n">
        <v>45965.61686342592</v>
      </c>
      <c r="C286" s="1" t="n">
        <v>46073</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54367-2025</t>
        </is>
      </c>
      <c r="B287" s="1" t="n">
        <v>45965.4031712963</v>
      </c>
      <c r="C287" s="1" t="n">
        <v>46073</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54508-2025</t>
        </is>
      </c>
      <c r="B288" s="1" t="n">
        <v>45965.61844907407</v>
      </c>
      <c r="C288" s="1" t="n">
        <v>46073</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23302-2024</t>
        </is>
      </c>
      <c r="B289" s="1" t="n">
        <v>45453.44091435185</v>
      </c>
      <c r="C289" s="1" t="n">
        <v>46073</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54518-2025</t>
        </is>
      </c>
      <c r="B290" s="1" t="n">
        <v>45965.62608796296</v>
      </c>
      <c r="C290" s="1" t="n">
        <v>46073</v>
      </c>
      <c r="D290" t="inlineStr">
        <is>
          <t>DALARNAS LÄN</t>
        </is>
      </c>
      <c r="E290" t="inlineStr">
        <is>
          <t>MORA</t>
        </is>
      </c>
      <c r="G290" t="n">
        <v>7.1</v>
      </c>
      <c r="H290" t="n">
        <v>0</v>
      </c>
      <c r="I290" t="n">
        <v>0</v>
      </c>
      <c r="J290" t="n">
        <v>0</v>
      </c>
      <c r="K290" t="n">
        <v>0</v>
      </c>
      <c r="L290" t="n">
        <v>0</v>
      </c>
      <c r="M290" t="n">
        <v>0</v>
      </c>
      <c r="N290" t="n">
        <v>0</v>
      </c>
      <c r="O290" t="n">
        <v>0</v>
      </c>
      <c r="P290" t="n">
        <v>0</v>
      </c>
      <c r="Q290" t="n">
        <v>0</v>
      </c>
      <c r="R290" s="2" t="inlineStr"/>
    </row>
    <row r="291" ht="15" customHeight="1">
      <c r="A291" t="inlineStr">
        <is>
          <t>A 55262-2025</t>
        </is>
      </c>
      <c r="B291" s="1" t="n">
        <v>45968.64847222222</v>
      </c>
      <c r="C291" s="1" t="n">
        <v>46073</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44384-2025</t>
        </is>
      </c>
      <c r="B292" s="1" t="n">
        <v>45916.48513888889</v>
      </c>
      <c r="C292" s="1" t="n">
        <v>46073</v>
      </c>
      <c r="D292" t="inlineStr">
        <is>
          <t>DALARNAS LÄN</t>
        </is>
      </c>
      <c r="E292" t="inlineStr">
        <is>
          <t>MORA</t>
        </is>
      </c>
      <c r="F292" t="inlineStr">
        <is>
          <t>Kyrkan</t>
        </is>
      </c>
      <c r="G292" t="n">
        <v>5.1</v>
      </c>
      <c r="H292" t="n">
        <v>0</v>
      </c>
      <c r="I292" t="n">
        <v>0</v>
      </c>
      <c r="J292" t="n">
        <v>0</v>
      </c>
      <c r="K292" t="n">
        <v>0</v>
      </c>
      <c r="L292" t="n">
        <v>0</v>
      </c>
      <c r="M292" t="n">
        <v>0</v>
      </c>
      <c r="N292" t="n">
        <v>0</v>
      </c>
      <c r="O292" t="n">
        <v>0</v>
      </c>
      <c r="P292" t="n">
        <v>0</v>
      </c>
      <c r="Q292" t="n">
        <v>0</v>
      </c>
      <c r="R292" s="2" t="inlineStr"/>
    </row>
    <row r="293" ht="15" customHeight="1">
      <c r="A293" t="inlineStr">
        <is>
          <t>A 30985-2024</t>
        </is>
      </c>
      <c r="B293" s="1" t="n">
        <v>45499.51721064815</v>
      </c>
      <c r="C293" s="1" t="n">
        <v>46073</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57859-2022</t>
        </is>
      </c>
      <c r="B294" s="1" t="n">
        <v>44898</v>
      </c>
      <c r="C294" s="1" t="n">
        <v>46073</v>
      </c>
      <c r="D294" t="inlineStr">
        <is>
          <t>DALARNAS LÄN</t>
        </is>
      </c>
      <c r="E294" t="inlineStr">
        <is>
          <t>MORA</t>
        </is>
      </c>
      <c r="G294" t="n">
        <v>1.4</v>
      </c>
      <c r="H294" t="n">
        <v>0</v>
      </c>
      <c r="I294" t="n">
        <v>0</v>
      </c>
      <c r="J294" t="n">
        <v>0</v>
      </c>
      <c r="K294" t="n">
        <v>0</v>
      </c>
      <c r="L294" t="n">
        <v>0</v>
      </c>
      <c r="M294" t="n">
        <v>0</v>
      </c>
      <c r="N294" t="n">
        <v>0</v>
      </c>
      <c r="O294" t="n">
        <v>0</v>
      </c>
      <c r="P294" t="n">
        <v>0</v>
      </c>
      <c r="Q294" t="n">
        <v>0</v>
      </c>
      <c r="R294" s="2" t="inlineStr"/>
    </row>
    <row r="295" ht="15" customHeight="1">
      <c r="A295" t="inlineStr">
        <is>
          <t>A 60647-2022</t>
        </is>
      </c>
      <c r="B295" s="1" t="n">
        <v>44911</v>
      </c>
      <c r="C295" s="1" t="n">
        <v>46073</v>
      </c>
      <c r="D295" t="inlineStr">
        <is>
          <t>DALARNAS LÄN</t>
        </is>
      </c>
      <c r="E295" t="inlineStr">
        <is>
          <t>MORA</t>
        </is>
      </c>
      <c r="G295" t="n">
        <v>4.8</v>
      </c>
      <c r="H295" t="n">
        <v>0</v>
      </c>
      <c r="I295" t="n">
        <v>0</v>
      </c>
      <c r="J295" t="n">
        <v>0</v>
      </c>
      <c r="K295" t="n">
        <v>0</v>
      </c>
      <c r="L295" t="n">
        <v>0</v>
      </c>
      <c r="M295" t="n">
        <v>0</v>
      </c>
      <c r="N295" t="n">
        <v>0</v>
      </c>
      <c r="O295" t="n">
        <v>0</v>
      </c>
      <c r="P295" t="n">
        <v>0</v>
      </c>
      <c r="Q295" t="n">
        <v>0</v>
      </c>
      <c r="R295" s="2" t="inlineStr"/>
    </row>
    <row r="296" ht="15" customHeight="1">
      <c r="A296" t="inlineStr">
        <is>
          <t>A 54919-2025</t>
        </is>
      </c>
      <c r="B296" s="1" t="n">
        <v>45967.38884259259</v>
      </c>
      <c r="C296" s="1" t="n">
        <v>46073</v>
      </c>
      <c r="D296" t="inlineStr">
        <is>
          <t>DALARNAS LÄN</t>
        </is>
      </c>
      <c r="E296" t="inlineStr">
        <is>
          <t>MORA</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55124-2025</t>
        </is>
      </c>
      <c r="B297" s="1" t="n">
        <v>45968.40621527778</v>
      </c>
      <c r="C297" s="1" t="n">
        <v>46073</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55123-2025</t>
        </is>
      </c>
      <c r="B298" s="1" t="n">
        <v>45968.40056712963</v>
      </c>
      <c r="C298" s="1" t="n">
        <v>46073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54868-2025</t>
        </is>
      </c>
      <c r="B299" s="1" t="n">
        <v>45966.85649305556</v>
      </c>
      <c r="C299" s="1" t="n">
        <v>46073</v>
      </c>
      <c r="D299" t="inlineStr">
        <is>
          <t>DALARNAS LÄN</t>
        </is>
      </c>
      <c r="E299" t="inlineStr">
        <is>
          <t>MORA</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54909-2025</t>
        </is>
      </c>
      <c r="B300" s="1" t="n">
        <v>45967.374375</v>
      </c>
      <c r="C300" s="1" t="n">
        <v>46073</v>
      </c>
      <c r="D300" t="inlineStr">
        <is>
          <t>DALARNAS LÄN</t>
        </is>
      </c>
      <c r="E300" t="inlineStr">
        <is>
          <t>MORA</t>
        </is>
      </c>
      <c r="G300" t="n">
        <v>1.7</v>
      </c>
      <c r="H300" t="n">
        <v>0</v>
      </c>
      <c r="I300" t="n">
        <v>0</v>
      </c>
      <c r="J300" t="n">
        <v>0</v>
      </c>
      <c r="K300" t="n">
        <v>0</v>
      </c>
      <c r="L300" t="n">
        <v>0</v>
      </c>
      <c r="M300" t="n">
        <v>0</v>
      </c>
      <c r="N300" t="n">
        <v>0</v>
      </c>
      <c r="O300" t="n">
        <v>0</v>
      </c>
      <c r="P300" t="n">
        <v>0</v>
      </c>
      <c r="Q300" t="n">
        <v>0</v>
      </c>
      <c r="R300" s="2" t="inlineStr"/>
    </row>
    <row r="301" ht="15" customHeight="1">
      <c r="A301" t="inlineStr">
        <is>
          <t>A 54905-2025</t>
        </is>
      </c>
      <c r="B301" s="1" t="n">
        <v>45967.3700462963</v>
      </c>
      <c r="C301" s="1" t="n">
        <v>46073</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54910-2025</t>
        </is>
      </c>
      <c r="B302" s="1" t="n">
        <v>45967.37679398148</v>
      </c>
      <c r="C302" s="1" t="n">
        <v>46073</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54862-2025</t>
        </is>
      </c>
      <c r="B303" s="1" t="n">
        <v>45966.76542824074</v>
      </c>
      <c r="C303" s="1" t="n">
        <v>46073</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44621-2025</t>
        </is>
      </c>
      <c r="B304" s="1" t="n">
        <v>45917.466875</v>
      </c>
      <c r="C304" s="1" t="n">
        <v>46073</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24590-2024</t>
        </is>
      </c>
      <c r="B305" s="1" t="n">
        <v>45460</v>
      </c>
      <c r="C305" s="1" t="n">
        <v>46073</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26647-2025</t>
        </is>
      </c>
      <c r="B306" s="1" t="n">
        <v>45810.38439814815</v>
      </c>
      <c r="C306" s="1" t="n">
        <v>46073</v>
      </c>
      <c r="D306" t="inlineStr">
        <is>
          <t>DALARNAS LÄN</t>
        </is>
      </c>
      <c r="E306" t="inlineStr">
        <is>
          <t>MORA</t>
        </is>
      </c>
      <c r="G306" t="n">
        <v>7.9</v>
      </c>
      <c r="H306" t="n">
        <v>0</v>
      </c>
      <c r="I306" t="n">
        <v>0</v>
      </c>
      <c r="J306" t="n">
        <v>0</v>
      </c>
      <c r="K306" t="n">
        <v>0</v>
      </c>
      <c r="L306" t="n">
        <v>0</v>
      </c>
      <c r="M306" t="n">
        <v>0</v>
      </c>
      <c r="N306" t="n">
        <v>0</v>
      </c>
      <c r="O306" t="n">
        <v>0</v>
      </c>
      <c r="P306" t="n">
        <v>0</v>
      </c>
      <c r="Q306" t="n">
        <v>0</v>
      </c>
      <c r="R306" s="2" t="inlineStr"/>
    </row>
    <row r="307" ht="15" customHeight="1">
      <c r="A307" t="inlineStr">
        <is>
          <t>A 55284-2025</t>
        </is>
      </c>
      <c r="B307" s="1" t="n">
        <v>45968.8227662037</v>
      </c>
      <c r="C307" s="1" t="n">
        <v>46073</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56425-2024</t>
        </is>
      </c>
      <c r="B308" s="1" t="n">
        <v>45625.38677083333</v>
      </c>
      <c r="C308" s="1" t="n">
        <v>46073</v>
      </c>
      <c r="D308" t="inlineStr">
        <is>
          <t>DALARNAS LÄN</t>
        </is>
      </c>
      <c r="E308" t="inlineStr">
        <is>
          <t>MORA</t>
        </is>
      </c>
      <c r="G308" t="n">
        <v>2.1</v>
      </c>
      <c r="H308" t="n">
        <v>0</v>
      </c>
      <c r="I308" t="n">
        <v>0</v>
      </c>
      <c r="J308" t="n">
        <v>0</v>
      </c>
      <c r="K308" t="n">
        <v>0</v>
      </c>
      <c r="L308" t="n">
        <v>0</v>
      </c>
      <c r="M308" t="n">
        <v>0</v>
      </c>
      <c r="N308" t="n">
        <v>0</v>
      </c>
      <c r="O308" t="n">
        <v>0</v>
      </c>
      <c r="P308" t="n">
        <v>0</v>
      </c>
      <c r="Q308" t="n">
        <v>0</v>
      </c>
      <c r="R308" s="2" t="inlineStr"/>
    </row>
    <row r="309" ht="15" customHeight="1">
      <c r="A309" t="inlineStr">
        <is>
          <t>A 30819-2024</t>
        </is>
      </c>
      <c r="B309" s="1" t="n">
        <v>45497</v>
      </c>
      <c r="C309" s="1" t="n">
        <v>46073</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42934-2024</t>
        </is>
      </c>
      <c r="B310" s="1" t="n">
        <v>45567.33655092592</v>
      </c>
      <c r="C310" s="1" t="n">
        <v>46073</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45191-2025</t>
        </is>
      </c>
      <c r="B311" s="1" t="n">
        <v>45919.54811342592</v>
      </c>
      <c r="C311" s="1" t="n">
        <v>46073</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26532-2025</t>
        </is>
      </c>
      <c r="B312" s="1" t="n">
        <v>45807</v>
      </c>
      <c r="C312" s="1" t="n">
        <v>46073</v>
      </c>
      <c r="D312" t="inlineStr">
        <is>
          <t>DALARNAS LÄN</t>
        </is>
      </c>
      <c r="E312" t="inlineStr">
        <is>
          <t>MORA</t>
        </is>
      </c>
      <c r="G312" t="n">
        <v>4.4</v>
      </c>
      <c r="H312" t="n">
        <v>0</v>
      </c>
      <c r="I312" t="n">
        <v>0</v>
      </c>
      <c r="J312" t="n">
        <v>0</v>
      </c>
      <c r="K312" t="n">
        <v>0</v>
      </c>
      <c r="L312" t="n">
        <v>0</v>
      </c>
      <c r="M312" t="n">
        <v>0</v>
      </c>
      <c r="N312" t="n">
        <v>0</v>
      </c>
      <c r="O312" t="n">
        <v>0</v>
      </c>
      <c r="P312" t="n">
        <v>0</v>
      </c>
      <c r="Q312" t="n">
        <v>0</v>
      </c>
      <c r="R312" s="2" t="inlineStr"/>
    </row>
    <row r="313" ht="15" customHeight="1">
      <c r="A313" t="inlineStr">
        <is>
          <t>A 20885-2024</t>
        </is>
      </c>
      <c r="B313" s="1" t="n">
        <v>45439.45527777778</v>
      </c>
      <c r="C313" s="1" t="n">
        <v>46073</v>
      </c>
      <c r="D313" t="inlineStr">
        <is>
          <t>DALARNAS LÄN</t>
        </is>
      </c>
      <c r="E313" t="inlineStr">
        <is>
          <t>MORA</t>
        </is>
      </c>
      <c r="G313" t="n">
        <v>5</v>
      </c>
      <c r="H313" t="n">
        <v>0</v>
      </c>
      <c r="I313" t="n">
        <v>0</v>
      </c>
      <c r="J313" t="n">
        <v>0</v>
      </c>
      <c r="K313" t="n">
        <v>0</v>
      </c>
      <c r="L313" t="n">
        <v>0</v>
      </c>
      <c r="M313" t="n">
        <v>0</v>
      </c>
      <c r="N313" t="n">
        <v>0</v>
      </c>
      <c r="O313" t="n">
        <v>0</v>
      </c>
      <c r="P313" t="n">
        <v>0</v>
      </c>
      <c r="Q313" t="n">
        <v>0</v>
      </c>
      <c r="R313" s="2" t="inlineStr"/>
    </row>
    <row r="314" ht="15" customHeight="1">
      <c r="A314" t="inlineStr">
        <is>
          <t>A 26630-2025</t>
        </is>
      </c>
      <c r="B314" s="1" t="n">
        <v>45809</v>
      </c>
      <c r="C314" s="1" t="n">
        <v>46073</v>
      </c>
      <c r="D314" t="inlineStr">
        <is>
          <t>DALARNAS LÄN</t>
        </is>
      </c>
      <c r="E314" t="inlineStr">
        <is>
          <t>MORA</t>
        </is>
      </c>
      <c r="G314" t="n">
        <v>32.1</v>
      </c>
      <c r="H314" t="n">
        <v>0</v>
      </c>
      <c r="I314" t="n">
        <v>0</v>
      </c>
      <c r="J314" t="n">
        <v>0</v>
      </c>
      <c r="K314" t="n">
        <v>0</v>
      </c>
      <c r="L314" t="n">
        <v>0</v>
      </c>
      <c r="M314" t="n">
        <v>0</v>
      </c>
      <c r="N314" t="n">
        <v>0</v>
      </c>
      <c r="O314" t="n">
        <v>0</v>
      </c>
      <c r="P314" t="n">
        <v>0</v>
      </c>
      <c r="Q314" t="n">
        <v>0</v>
      </c>
      <c r="R314" s="2" t="inlineStr"/>
    </row>
    <row r="315" ht="15" customHeight="1">
      <c r="A315" t="inlineStr">
        <is>
          <t>A 45181-2025</t>
        </is>
      </c>
      <c r="B315" s="1" t="n">
        <v>45919.53329861111</v>
      </c>
      <c r="C315" s="1" t="n">
        <v>46073</v>
      </c>
      <c r="D315" t="inlineStr">
        <is>
          <t>DALARNAS LÄN</t>
        </is>
      </c>
      <c r="E315" t="inlineStr">
        <is>
          <t>MORA</t>
        </is>
      </c>
      <c r="G315" t="n">
        <v>4.5</v>
      </c>
      <c r="H315" t="n">
        <v>0</v>
      </c>
      <c r="I315" t="n">
        <v>0</v>
      </c>
      <c r="J315" t="n">
        <v>0</v>
      </c>
      <c r="K315" t="n">
        <v>0</v>
      </c>
      <c r="L315" t="n">
        <v>0</v>
      </c>
      <c r="M315" t="n">
        <v>0</v>
      </c>
      <c r="N315" t="n">
        <v>0</v>
      </c>
      <c r="O315" t="n">
        <v>0</v>
      </c>
      <c r="P315" t="n">
        <v>0</v>
      </c>
      <c r="Q315" t="n">
        <v>0</v>
      </c>
      <c r="R315" s="2" t="inlineStr"/>
    </row>
    <row r="316" ht="15" customHeight="1">
      <c r="A316" t="inlineStr">
        <is>
          <t>A 26854-2025</t>
        </is>
      </c>
      <c r="B316" s="1" t="n">
        <v>45810.67462962963</v>
      </c>
      <c r="C316" s="1" t="n">
        <v>46073</v>
      </c>
      <c r="D316" t="inlineStr">
        <is>
          <t>DALARNAS LÄN</t>
        </is>
      </c>
      <c r="E316" t="inlineStr">
        <is>
          <t>MORA</t>
        </is>
      </c>
      <c r="G316" t="n">
        <v>4.4</v>
      </c>
      <c r="H316" t="n">
        <v>0</v>
      </c>
      <c r="I316" t="n">
        <v>0</v>
      </c>
      <c r="J316" t="n">
        <v>0</v>
      </c>
      <c r="K316" t="n">
        <v>0</v>
      </c>
      <c r="L316" t="n">
        <v>0</v>
      </c>
      <c r="M316" t="n">
        <v>0</v>
      </c>
      <c r="N316" t="n">
        <v>0</v>
      </c>
      <c r="O316" t="n">
        <v>0</v>
      </c>
      <c r="P316" t="n">
        <v>0</v>
      </c>
      <c r="Q316" t="n">
        <v>0</v>
      </c>
      <c r="R316" s="2" t="inlineStr"/>
    </row>
    <row r="317" ht="15" customHeight="1">
      <c r="A317" t="inlineStr">
        <is>
          <t>A 61654-2024</t>
        </is>
      </c>
      <c r="B317" s="1" t="n">
        <v>45646.74988425926</v>
      </c>
      <c r="C317" s="1" t="n">
        <v>46073</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26731-2025</t>
        </is>
      </c>
      <c r="B318" s="1" t="n">
        <v>45810.50702546296</v>
      </c>
      <c r="C318" s="1" t="n">
        <v>46073</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46090-2025</t>
        </is>
      </c>
      <c r="B319" s="1" t="n">
        <v>45924.5253125</v>
      </c>
      <c r="C319" s="1" t="n">
        <v>46073</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26711-2025</t>
        </is>
      </c>
      <c r="B320" s="1" t="n">
        <v>45810.46144675926</v>
      </c>
      <c r="C320" s="1" t="n">
        <v>46073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46091-2025</t>
        </is>
      </c>
      <c r="B321" s="1" t="n">
        <v>45924.52871527777</v>
      </c>
      <c r="C321" s="1" t="n">
        <v>46073</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27177-2025</t>
        </is>
      </c>
      <c r="B322" s="1" t="n">
        <v>45812.3533912037</v>
      </c>
      <c r="C322" s="1" t="n">
        <v>46073</v>
      </c>
      <c r="D322" t="inlineStr">
        <is>
          <t>DALARNAS LÄN</t>
        </is>
      </c>
      <c r="E322" t="inlineStr">
        <is>
          <t>MORA</t>
        </is>
      </c>
      <c r="F322" t="inlineStr">
        <is>
          <t>Bergvik skog öst AB</t>
        </is>
      </c>
      <c r="G322" t="n">
        <v>2.5</v>
      </c>
      <c r="H322" t="n">
        <v>0</v>
      </c>
      <c r="I322" t="n">
        <v>0</v>
      </c>
      <c r="J322" t="n">
        <v>0</v>
      </c>
      <c r="K322" t="n">
        <v>0</v>
      </c>
      <c r="L322" t="n">
        <v>0</v>
      </c>
      <c r="M322" t="n">
        <v>0</v>
      </c>
      <c r="N322" t="n">
        <v>0</v>
      </c>
      <c r="O322" t="n">
        <v>0</v>
      </c>
      <c r="P322" t="n">
        <v>0</v>
      </c>
      <c r="Q322" t="n">
        <v>0</v>
      </c>
      <c r="R322" s="2" t="inlineStr"/>
    </row>
    <row r="323" ht="15" customHeight="1">
      <c r="A323" t="inlineStr">
        <is>
          <t>A 27194-2025</t>
        </is>
      </c>
      <c r="B323" s="1" t="n">
        <v>45812.37965277778</v>
      </c>
      <c r="C323" s="1" t="n">
        <v>46073</v>
      </c>
      <c r="D323" t="inlineStr">
        <is>
          <t>DALARNAS LÄN</t>
        </is>
      </c>
      <c r="E323" t="inlineStr">
        <is>
          <t>MORA</t>
        </is>
      </c>
      <c r="G323" t="n">
        <v>2.4</v>
      </c>
      <c r="H323" t="n">
        <v>0</v>
      </c>
      <c r="I323" t="n">
        <v>0</v>
      </c>
      <c r="J323" t="n">
        <v>0</v>
      </c>
      <c r="K323" t="n">
        <v>0</v>
      </c>
      <c r="L323" t="n">
        <v>0</v>
      </c>
      <c r="M323" t="n">
        <v>0</v>
      </c>
      <c r="N323" t="n">
        <v>0</v>
      </c>
      <c r="O323" t="n">
        <v>0</v>
      </c>
      <c r="P323" t="n">
        <v>0</v>
      </c>
      <c r="Q323" t="n">
        <v>0</v>
      </c>
      <c r="R323" s="2" t="inlineStr"/>
    </row>
    <row r="324" ht="15" customHeight="1">
      <c r="A324" t="inlineStr">
        <is>
          <t>A 14611-2025</t>
        </is>
      </c>
      <c r="B324" s="1" t="n">
        <v>45742.38511574074</v>
      </c>
      <c r="C324" s="1" t="n">
        <v>46073</v>
      </c>
      <c r="D324" t="inlineStr">
        <is>
          <t>DALARNAS LÄN</t>
        </is>
      </c>
      <c r="E324" t="inlineStr">
        <is>
          <t>MORA</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27175-2025</t>
        </is>
      </c>
      <c r="B325" s="1" t="n">
        <v>45812.35072916667</v>
      </c>
      <c r="C325" s="1" t="n">
        <v>46073</v>
      </c>
      <c r="D325" t="inlineStr">
        <is>
          <t>DALARNAS LÄN</t>
        </is>
      </c>
      <c r="E325" t="inlineStr">
        <is>
          <t>MORA</t>
        </is>
      </c>
      <c r="F325" t="inlineStr">
        <is>
          <t>Bergvik skog öst AB</t>
        </is>
      </c>
      <c r="G325" t="n">
        <v>4</v>
      </c>
      <c r="H325" t="n">
        <v>0</v>
      </c>
      <c r="I325" t="n">
        <v>0</v>
      </c>
      <c r="J325" t="n">
        <v>0</v>
      </c>
      <c r="K325" t="n">
        <v>0</v>
      </c>
      <c r="L325" t="n">
        <v>0</v>
      </c>
      <c r="M325" t="n">
        <v>0</v>
      </c>
      <c r="N325" t="n">
        <v>0</v>
      </c>
      <c r="O325" t="n">
        <v>0</v>
      </c>
      <c r="P325" t="n">
        <v>0</v>
      </c>
      <c r="Q325" t="n">
        <v>0</v>
      </c>
      <c r="R325" s="2" t="inlineStr"/>
    </row>
    <row r="326" ht="15" customHeight="1">
      <c r="A326" t="inlineStr">
        <is>
          <t>A 7565-2025</t>
        </is>
      </c>
      <c r="B326" s="1" t="n">
        <v>45705.59269675926</v>
      </c>
      <c r="C326" s="1" t="n">
        <v>46073</v>
      </c>
      <c r="D326" t="inlineStr">
        <is>
          <t>DALARNAS LÄN</t>
        </is>
      </c>
      <c r="E326" t="inlineStr">
        <is>
          <t>MORA</t>
        </is>
      </c>
      <c r="G326" t="n">
        <v>3</v>
      </c>
      <c r="H326" t="n">
        <v>0</v>
      </c>
      <c r="I326" t="n">
        <v>0</v>
      </c>
      <c r="J326" t="n">
        <v>0</v>
      </c>
      <c r="K326" t="n">
        <v>0</v>
      </c>
      <c r="L326" t="n">
        <v>0</v>
      </c>
      <c r="M326" t="n">
        <v>0</v>
      </c>
      <c r="N326" t="n">
        <v>0</v>
      </c>
      <c r="O326" t="n">
        <v>0</v>
      </c>
      <c r="P326" t="n">
        <v>0</v>
      </c>
      <c r="Q326" t="n">
        <v>0</v>
      </c>
      <c r="R326" s="2" t="inlineStr"/>
    </row>
    <row r="327" ht="15" customHeight="1">
      <c r="A327" t="inlineStr">
        <is>
          <t>A 27184-2025</t>
        </is>
      </c>
      <c r="B327" s="1" t="n">
        <v>45812.36133101852</v>
      </c>
      <c r="C327" s="1" t="n">
        <v>46073</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17268-2025</t>
        </is>
      </c>
      <c r="B328" s="1" t="n">
        <v>45756</v>
      </c>
      <c r="C328" s="1" t="n">
        <v>46073</v>
      </c>
      <c r="D328" t="inlineStr">
        <is>
          <t>DALARNAS LÄN</t>
        </is>
      </c>
      <c r="E328" t="inlineStr">
        <is>
          <t>MORA</t>
        </is>
      </c>
      <c r="G328" t="n">
        <v>6.8</v>
      </c>
      <c r="H328" t="n">
        <v>0</v>
      </c>
      <c r="I328" t="n">
        <v>0</v>
      </c>
      <c r="J328" t="n">
        <v>0</v>
      </c>
      <c r="K328" t="n">
        <v>0</v>
      </c>
      <c r="L328" t="n">
        <v>0</v>
      </c>
      <c r="M328" t="n">
        <v>0</v>
      </c>
      <c r="N328" t="n">
        <v>0</v>
      </c>
      <c r="O328" t="n">
        <v>0</v>
      </c>
      <c r="P328" t="n">
        <v>0</v>
      </c>
      <c r="Q328" t="n">
        <v>0</v>
      </c>
      <c r="R328" s="2" t="inlineStr"/>
    </row>
    <row r="329" ht="15" customHeight="1">
      <c r="A329" t="inlineStr">
        <is>
          <t>A 46525-2025</t>
        </is>
      </c>
      <c r="B329" s="1" t="n">
        <v>45926.3312962963</v>
      </c>
      <c r="C329" s="1" t="n">
        <v>46073</v>
      </c>
      <c r="D329" t="inlineStr">
        <is>
          <t>DALARNAS LÄN</t>
        </is>
      </c>
      <c r="E329" t="inlineStr">
        <is>
          <t>MORA</t>
        </is>
      </c>
      <c r="G329" t="n">
        <v>6.3</v>
      </c>
      <c r="H329" t="n">
        <v>0</v>
      </c>
      <c r="I329" t="n">
        <v>0</v>
      </c>
      <c r="J329" t="n">
        <v>0</v>
      </c>
      <c r="K329" t="n">
        <v>0</v>
      </c>
      <c r="L329" t="n">
        <v>0</v>
      </c>
      <c r="M329" t="n">
        <v>0</v>
      </c>
      <c r="N329" t="n">
        <v>0</v>
      </c>
      <c r="O329" t="n">
        <v>0</v>
      </c>
      <c r="P329" t="n">
        <v>0</v>
      </c>
      <c r="Q329" t="n">
        <v>0</v>
      </c>
      <c r="R329" s="2" t="inlineStr"/>
    </row>
    <row r="330" ht="15" customHeight="1">
      <c r="A330" t="inlineStr">
        <is>
          <t>A 46283-2025</t>
        </is>
      </c>
      <c r="B330" s="1" t="n">
        <v>45925</v>
      </c>
      <c r="C330" s="1" t="n">
        <v>46073</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27642-2025</t>
        </is>
      </c>
      <c r="B331" s="1" t="n">
        <v>45813.59405092592</v>
      </c>
      <c r="C331" s="1" t="n">
        <v>46073</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46537-2025</t>
        </is>
      </c>
      <c r="B332" s="1" t="n">
        <v>45926.34195601852</v>
      </c>
      <c r="C332" s="1" t="n">
        <v>46073</v>
      </c>
      <c r="D332" t="inlineStr">
        <is>
          <t>DALARNAS LÄN</t>
        </is>
      </c>
      <c r="E332" t="inlineStr">
        <is>
          <t>MORA</t>
        </is>
      </c>
      <c r="G332" t="n">
        <v>10.6</v>
      </c>
      <c r="H332" t="n">
        <v>0</v>
      </c>
      <c r="I332" t="n">
        <v>0</v>
      </c>
      <c r="J332" t="n">
        <v>0</v>
      </c>
      <c r="K332" t="n">
        <v>0</v>
      </c>
      <c r="L332" t="n">
        <v>0</v>
      </c>
      <c r="M332" t="n">
        <v>0</v>
      </c>
      <c r="N332" t="n">
        <v>0</v>
      </c>
      <c r="O332" t="n">
        <v>0</v>
      </c>
      <c r="P332" t="n">
        <v>0</v>
      </c>
      <c r="Q332" t="n">
        <v>0</v>
      </c>
      <c r="R332" s="2" t="inlineStr"/>
    </row>
    <row r="333" ht="15" customHeight="1">
      <c r="A333" t="inlineStr">
        <is>
          <t>A 54628-2024</t>
        </is>
      </c>
      <c r="B333" s="1" t="n">
        <v>45617.83969907407</v>
      </c>
      <c r="C333" s="1" t="n">
        <v>46073</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1252-2025</t>
        </is>
      </c>
      <c r="B334" s="1" t="n">
        <v>45667.46648148148</v>
      </c>
      <c r="C334" s="1" t="n">
        <v>46073</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39348-2024</t>
        </is>
      </c>
      <c r="B335" s="1" t="n">
        <v>45551.45322916667</v>
      </c>
      <c r="C335" s="1" t="n">
        <v>46073</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28033-2025</t>
        </is>
      </c>
      <c r="B336" s="1" t="n">
        <v>45817.6325462963</v>
      </c>
      <c r="C336" s="1" t="n">
        <v>46073</v>
      </c>
      <c r="D336" t="inlineStr">
        <is>
          <t>DALARNAS LÄN</t>
        </is>
      </c>
      <c r="E336" t="inlineStr">
        <is>
          <t>MORA</t>
        </is>
      </c>
      <c r="F336" t="inlineStr">
        <is>
          <t>Bergvik skog öst AB</t>
        </is>
      </c>
      <c r="G336" t="n">
        <v>12.8</v>
      </c>
      <c r="H336" t="n">
        <v>0</v>
      </c>
      <c r="I336" t="n">
        <v>0</v>
      </c>
      <c r="J336" t="n">
        <v>0</v>
      </c>
      <c r="K336" t="n">
        <v>0</v>
      </c>
      <c r="L336" t="n">
        <v>0</v>
      </c>
      <c r="M336" t="n">
        <v>0</v>
      </c>
      <c r="N336" t="n">
        <v>0</v>
      </c>
      <c r="O336" t="n">
        <v>0</v>
      </c>
      <c r="P336" t="n">
        <v>0</v>
      </c>
      <c r="Q336" t="n">
        <v>0</v>
      </c>
      <c r="R336" s="2" t="inlineStr"/>
    </row>
    <row r="337" ht="15" customHeight="1">
      <c r="A337" t="inlineStr">
        <is>
          <t>A 47055-2025</t>
        </is>
      </c>
      <c r="B337" s="1" t="n">
        <v>45929.61931712963</v>
      </c>
      <c r="C337" s="1" t="n">
        <v>46073</v>
      </c>
      <c r="D337" t="inlineStr">
        <is>
          <t>DALARNAS LÄN</t>
        </is>
      </c>
      <c r="E337" t="inlineStr">
        <is>
          <t>MORA</t>
        </is>
      </c>
      <c r="G337" t="n">
        <v>28.1</v>
      </c>
      <c r="H337" t="n">
        <v>0</v>
      </c>
      <c r="I337" t="n">
        <v>0</v>
      </c>
      <c r="J337" t="n">
        <v>0</v>
      </c>
      <c r="K337" t="n">
        <v>0</v>
      </c>
      <c r="L337" t="n">
        <v>0</v>
      </c>
      <c r="M337" t="n">
        <v>0</v>
      </c>
      <c r="N337" t="n">
        <v>0</v>
      </c>
      <c r="O337" t="n">
        <v>0</v>
      </c>
      <c r="P337" t="n">
        <v>0</v>
      </c>
      <c r="Q337" t="n">
        <v>0</v>
      </c>
      <c r="R337" s="2" t="inlineStr"/>
    </row>
    <row r="338" ht="15" customHeight="1">
      <c r="A338" t="inlineStr">
        <is>
          <t>A 2830-2023</t>
        </is>
      </c>
      <c r="B338" s="1" t="n">
        <v>44945.32997685186</v>
      </c>
      <c r="C338" s="1" t="n">
        <v>46073</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47414-2025</t>
        </is>
      </c>
      <c r="B339" s="1" t="n">
        <v>45930.61896990741</v>
      </c>
      <c r="C339" s="1" t="n">
        <v>46073</v>
      </c>
      <c r="D339" t="inlineStr">
        <is>
          <t>DALARNAS LÄN</t>
        </is>
      </c>
      <c r="E339" t="inlineStr">
        <is>
          <t>MORA</t>
        </is>
      </c>
      <c r="G339" t="n">
        <v>6.1</v>
      </c>
      <c r="H339" t="n">
        <v>0</v>
      </c>
      <c r="I339" t="n">
        <v>0</v>
      </c>
      <c r="J339" t="n">
        <v>0</v>
      </c>
      <c r="K339" t="n">
        <v>0</v>
      </c>
      <c r="L339" t="n">
        <v>0</v>
      </c>
      <c r="M339" t="n">
        <v>0</v>
      </c>
      <c r="N339" t="n">
        <v>0</v>
      </c>
      <c r="O339" t="n">
        <v>0</v>
      </c>
      <c r="P339" t="n">
        <v>0</v>
      </c>
      <c r="Q339" t="n">
        <v>0</v>
      </c>
      <c r="R339" s="2" t="inlineStr"/>
    </row>
    <row r="340" ht="15" customHeight="1">
      <c r="A340" t="inlineStr">
        <is>
          <t>A 47072-2025</t>
        </is>
      </c>
      <c r="B340" s="1" t="n">
        <v>45929.6365162037</v>
      </c>
      <c r="C340" s="1" t="n">
        <v>46073</v>
      </c>
      <c r="D340" t="inlineStr">
        <is>
          <t>DALARNAS LÄN</t>
        </is>
      </c>
      <c r="E340" t="inlineStr">
        <is>
          <t>MORA</t>
        </is>
      </c>
      <c r="G340" t="n">
        <v>3.4</v>
      </c>
      <c r="H340" t="n">
        <v>0</v>
      </c>
      <c r="I340" t="n">
        <v>0</v>
      </c>
      <c r="J340" t="n">
        <v>0</v>
      </c>
      <c r="K340" t="n">
        <v>0</v>
      </c>
      <c r="L340" t="n">
        <v>0</v>
      </c>
      <c r="M340" t="n">
        <v>0</v>
      </c>
      <c r="N340" t="n">
        <v>0</v>
      </c>
      <c r="O340" t="n">
        <v>0</v>
      </c>
      <c r="P340" t="n">
        <v>0</v>
      </c>
      <c r="Q340" t="n">
        <v>0</v>
      </c>
      <c r="R340" s="2" t="inlineStr"/>
    </row>
    <row r="341" ht="15" customHeight="1">
      <c r="A341" t="inlineStr">
        <is>
          <t>A 47140-2025</t>
        </is>
      </c>
      <c r="B341" s="1" t="n">
        <v>45929</v>
      </c>
      <c r="C341" s="1" t="n">
        <v>46073</v>
      </c>
      <c r="D341" t="inlineStr">
        <is>
          <t>DALARNAS LÄN</t>
        </is>
      </c>
      <c r="E341" t="inlineStr">
        <is>
          <t>MORA</t>
        </is>
      </c>
      <c r="G341" t="n">
        <v>6.7</v>
      </c>
      <c r="H341" t="n">
        <v>0</v>
      </c>
      <c r="I341" t="n">
        <v>0</v>
      </c>
      <c r="J341" t="n">
        <v>0</v>
      </c>
      <c r="K341" t="n">
        <v>0</v>
      </c>
      <c r="L341" t="n">
        <v>0</v>
      </c>
      <c r="M341" t="n">
        <v>0</v>
      </c>
      <c r="N341" t="n">
        <v>0</v>
      </c>
      <c r="O341" t="n">
        <v>0</v>
      </c>
      <c r="P341" t="n">
        <v>0</v>
      </c>
      <c r="Q341" t="n">
        <v>0</v>
      </c>
      <c r="R341" s="2" t="inlineStr"/>
    </row>
    <row r="342" ht="15" customHeight="1">
      <c r="A342" t="inlineStr">
        <is>
          <t>A 28751-2025</t>
        </is>
      </c>
      <c r="B342" s="1" t="n">
        <v>45820.40034722222</v>
      </c>
      <c r="C342" s="1" t="n">
        <v>46073</v>
      </c>
      <c r="D342" t="inlineStr">
        <is>
          <t>DALARNAS LÄN</t>
        </is>
      </c>
      <c r="E342" t="inlineStr">
        <is>
          <t>MORA</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28925-2025</t>
        </is>
      </c>
      <c r="B343" s="1" t="n">
        <v>45820.67107638889</v>
      </c>
      <c r="C343" s="1" t="n">
        <v>46073</v>
      </c>
      <c r="D343" t="inlineStr">
        <is>
          <t>DALARNAS LÄN</t>
        </is>
      </c>
      <c r="E343" t="inlineStr">
        <is>
          <t>MORA</t>
        </is>
      </c>
      <c r="G343" t="n">
        <v>3.7</v>
      </c>
      <c r="H343" t="n">
        <v>0</v>
      </c>
      <c r="I343" t="n">
        <v>0</v>
      </c>
      <c r="J343" t="n">
        <v>0</v>
      </c>
      <c r="K343" t="n">
        <v>0</v>
      </c>
      <c r="L343" t="n">
        <v>0</v>
      </c>
      <c r="M343" t="n">
        <v>0</v>
      </c>
      <c r="N343" t="n">
        <v>0</v>
      </c>
      <c r="O343" t="n">
        <v>0</v>
      </c>
      <c r="P343" t="n">
        <v>0</v>
      </c>
      <c r="Q343" t="n">
        <v>0</v>
      </c>
      <c r="R343" s="2" t="inlineStr"/>
    </row>
    <row r="344" ht="15" customHeight="1">
      <c r="A344" t="inlineStr">
        <is>
          <t>A 28927-2025</t>
        </is>
      </c>
      <c r="B344" s="1" t="n">
        <v>45820.67221064815</v>
      </c>
      <c r="C344" s="1" t="n">
        <v>46073</v>
      </c>
      <c r="D344" t="inlineStr">
        <is>
          <t>DALARNAS LÄN</t>
        </is>
      </c>
      <c r="E344" t="inlineStr">
        <is>
          <t>MORA</t>
        </is>
      </c>
      <c r="G344" t="n">
        <v>0.4</v>
      </c>
      <c r="H344" t="n">
        <v>0</v>
      </c>
      <c r="I344" t="n">
        <v>0</v>
      </c>
      <c r="J344" t="n">
        <v>0</v>
      </c>
      <c r="K344" t="n">
        <v>0</v>
      </c>
      <c r="L344" t="n">
        <v>0</v>
      </c>
      <c r="M344" t="n">
        <v>0</v>
      </c>
      <c r="N344" t="n">
        <v>0</v>
      </c>
      <c r="O344" t="n">
        <v>0</v>
      </c>
      <c r="P344" t="n">
        <v>0</v>
      </c>
      <c r="Q344" t="n">
        <v>0</v>
      </c>
      <c r="R344" s="2" t="inlineStr"/>
    </row>
    <row r="345" ht="15" customHeight="1">
      <c r="A345" t="inlineStr">
        <is>
          <t>A 28924-2025</t>
        </is>
      </c>
      <c r="B345" s="1" t="n">
        <v>45820.66846064815</v>
      </c>
      <c r="C345" s="1" t="n">
        <v>46073</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29425-2025</t>
        </is>
      </c>
      <c r="B346" s="1" t="n">
        <v>45824.64524305556</v>
      </c>
      <c r="C346" s="1" t="n">
        <v>46073</v>
      </c>
      <c r="D346" t="inlineStr">
        <is>
          <t>DALARNAS LÄN</t>
        </is>
      </c>
      <c r="E346" t="inlineStr">
        <is>
          <t>MORA</t>
        </is>
      </c>
      <c r="G346" t="n">
        <v>4.4</v>
      </c>
      <c r="H346" t="n">
        <v>0</v>
      </c>
      <c r="I346" t="n">
        <v>0</v>
      </c>
      <c r="J346" t="n">
        <v>0</v>
      </c>
      <c r="K346" t="n">
        <v>0</v>
      </c>
      <c r="L346" t="n">
        <v>0</v>
      </c>
      <c r="M346" t="n">
        <v>0</v>
      </c>
      <c r="N346" t="n">
        <v>0</v>
      </c>
      <c r="O346" t="n">
        <v>0</v>
      </c>
      <c r="P346" t="n">
        <v>0</v>
      </c>
      <c r="Q346" t="n">
        <v>0</v>
      </c>
      <c r="R346" s="2" t="inlineStr"/>
    </row>
    <row r="347" ht="15" customHeight="1">
      <c r="A347" t="inlineStr">
        <is>
          <t>A 28976-2025</t>
        </is>
      </c>
      <c r="B347" s="1" t="n">
        <v>45821.34855324074</v>
      </c>
      <c r="C347" s="1" t="n">
        <v>46073</v>
      </c>
      <c r="D347" t="inlineStr">
        <is>
          <t>DALARNAS LÄN</t>
        </is>
      </c>
      <c r="E347" t="inlineStr">
        <is>
          <t>MORA</t>
        </is>
      </c>
      <c r="F347" t="inlineStr">
        <is>
          <t>Bergvik skog öst AB</t>
        </is>
      </c>
      <c r="G347" t="n">
        <v>1.2</v>
      </c>
      <c r="H347" t="n">
        <v>0</v>
      </c>
      <c r="I347" t="n">
        <v>0</v>
      </c>
      <c r="J347" t="n">
        <v>0</v>
      </c>
      <c r="K347" t="n">
        <v>0</v>
      </c>
      <c r="L347" t="n">
        <v>0</v>
      </c>
      <c r="M347" t="n">
        <v>0</v>
      </c>
      <c r="N347" t="n">
        <v>0</v>
      </c>
      <c r="O347" t="n">
        <v>0</v>
      </c>
      <c r="P347" t="n">
        <v>0</v>
      </c>
      <c r="Q347" t="n">
        <v>0</v>
      </c>
      <c r="R347" s="2" t="inlineStr"/>
    </row>
    <row r="348" ht="15" customHeight="1">
      <c r="A348" t="inlineStr">
        <is>
          <t>A 29440-2025</t>
        </is>
      </c>
      <c r="B348" s="1" t="n">
        <v>45824.65862268519</v>
      </c>
      <c r="C348" s="1" t="n">
        <v>46073</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34660-2021</t>
        </is>
      </c>
      <c r="B349" s="1" t="n">
        <v>44382.57981481482</v>
      </c>
      <c r="C349" s="1" t="n">
        <v>46073</v>
      </c>
      <c r="D349" t="inlineStr">
        <is>
          <t>DALARNAS LÄN</t>
        </is>
      </c>
      <c r="E349" t="inlineStr">
        <is>
          <t>MORA</t>
        </is>
      </c>
      <c r="G349" t="n">
        <v>7.5</v>
      </c>
      <c r="H349" t="n">
        <v>0</v>
      </c>
      <c r="I349" t="n">
        <v>0</v>
      </c>
      <c r="J349" t="n">
        <v>0</v>
      </c>
      <c r="K349" t="n">
        <v>0</v>
      </c>
      <c r="L349" t="n">
        <v>0</v>
      </c>
      <c r="M349" t="n">
        <v>0</v>
      </c>
      <c r="N349" t="n">
        <v>0</v>
      </c>
      <c r="O349" t="n">
        <v>0</v>
      </c>
      <c r="P349" t="n">
        <v>0</v>
      </c>
      <c r="Q349" t="n">
        <v>0</v>
      </c>
      <c r="R349" s="2" t="inlineStr"/>
    </row>
    <row r="350" ht="15" customHeight="1">
      <c r="A350" t="inlineStr">
        <is>
          <t>A 29068-2025</t>
        </is>
      </c>
      <c r="B350" s="1" t="n">
        <v>45821.50900462963</v>
      </c>
      <c r="C350" s="1" t="n">
        <v>46073</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2308-2023</t>
        </is>
      </c>
      <c r="B351" s="1" t="n">
        <v>44942.57987268519</v>
      </c>
      <c r="C351" s="1" t="n">
        <v>46073</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29870-2025</t>
        </is>
      </c>
      <c r="B352" s="1" t="n">
        <v>45826.35716435185</v>
      </c>
      <c r="C352" s="1" t="n">
        <v>46073</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29873-2025</t>
        </is>
      </c>
      <c r="B353" s="1" t="n">
        <v>45826</v>
      </c>
      <c r="C353" s="1" t="n">
        <v>46073</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56012-2023</t>
        </is>
      </c>
      <c r="B354" s="1" t="n">
        <v>45240</v>
      </c>
      <c r="C354" s="1" t="n">
        <v>46073</v>
      </c>
      <c r="D354" t="inlineStr">
        <is>
          <t>DALARNAS LÄN</t>
        </is>
      </c>
      <c r="E354" t="inlineStr">
        <is>
          <t>MORA</t>
        </is>
      </c>
      <c r="G354" t="n">
        <v>0.3</v>
      </c>
      <c r="H354" t="n">
        <v>0</v>
      </c>
      <c r="I354" t="n">
        <v>0</v>
      </c>
      <c r="J354" t="n">
        <v>0</v>
      </c>
      <c r="K354" t="n">
        <v>0</v>
      </c>
      <c r="L354" t="n">
        <v>0</v>
      </c>
      <c r="M354" t="n">
        <v>0</v>
      </c>
      <c r="N354" t="n">
        <v>0</v>
      </c>
      <c r="O354" t="n">
        <v>0</v>
      </c>
      <c r="P354" t="n">
        <v>0</v>
      </c>
      <c r="Q354" t="n">
        <v>0</v>
      </c>
      <c r="R354" s="2" t="inlineStr"/>
    </row>
    <row r="355" ht="15" customHeight="1">
      <c r="A355" t="inlineStr">
        <is>
          <t>A 29528-2025</t>
        </is>
      </c>
      <c r="B355" s="1" t="n">
        <v>45825.34322916667</v>
      </c>
      <c r="C355" s="1" t="n">
        <v>46073</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30087-2025</t>
        </is>
      </c>
      <c r="B356" s="1" t="n">
        <v>45826.6575</v>
      </c>
      <c r="C356" s="1" t="n">
        <v>46073</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56702-2025</t>
        </is>
      </c>
      <c r="B357" s="1" t="n">
        <v>45977.45586805556</v>
      </c>
      <c r="C357" s="1" t="n">
        <v>46073</v>
      </c>
      <c r="D357" t="inlineStr">
        <is>
          <t>DALARNAS LÄN</t>
        </is>
      </c>
      <c r="E357" t="inlineStr">
        <is>
          <t>MORA</t>
        </is>
      </c>
      <c r="G357" t="n">
        <v>2.2</v>
      </c>
      <c r="H357" t="n">
        <v>0</v>
      </c>
      <c r="I357" t="n">
        <v>0</v>
      </c>
      <c r="J357" t="n">
        <v>0</v>
      </c>
      <c r="K357" t="n">
        <v>0</v>
      </c>
      <c r="L357" t="n">
        <v>0</v>
      </c>
      <c r="M357" t="n">
        <v>0</v>
      </c>
      <c r="N357" t="n">
        <v>0</v>
      </c>
      <c r="O357" t="n">
        <v>0</v>
      </c>
      <c r="P357" t="n">
        <v>0</v>
      </c>
      <c r="Q357" t="n">
        <v>0</v>
      </c>
      <c r="R357" s="2" t="inlineStr"/>
    </row>
    <row r="358" ht="15" customHeight="1">
      <c r="A358" t="inlineStr">
        <is>
          <t>A 57101-2025</t>
        </is>
      </c>
      <c r="B358" s="1" t="n">
        <v>45979.44006944444</v>
      </c>
      <c r="C358" s="1" t="n">
        <v>46073</v>
      </c>
      <c r="D358" t="inlineStr">
        <is>
          <t>DALARNAS LÄN</t>
        </is>
      </c>
      <c r="E358" t="inlineStr">
        <is>
          <t>MORA</t>
        </is>
      </c>
      <c r="G358" t="n">
        <v>7.5</v>
      </c>
      <c r="H358" t="n">
        <v>0</v>
      </c>
      <c r="I358" t="n">
        <v>0</v>
      </c>
      <c r="J358" t="n">
        <v>0</v>
      </c>
      <c r="K358" t="n">
        <v>0</v>
      </c>
      <c r="L358" t="n">
        <v>0</v>
      </c>
      <c r="M358" t="n">
        <v>0</v>
      </c>
      <c r="N358" t="n">
        <v>0</v>
      </c>
      <c r="O358" t="n">
        <v>0</v>
      </c>
      <c r="P358" t="n">
        <v>0</v>
      </c>
      <c r="Q358" t="n">
        <v>0</v>
      </c>
      <c r="R358" s="2" t="inlineStr"/>
    </row>
    <row r="359" ht="15" customHeight="1">
      <c r="A359" t="inlineStr">
        <is>
          <t>A 40325-2024</t>
        </is>
      </c>
      <c r="B359" s="1" t="n">
        <v>45554.88538194444</v>
      </c>
      <c r="C359" s="1" t="n">
        <v>46073</v>
      </c>
      <c r="D359" t="inlineStr">
        <is>
          <t>DALARNAS LÄN</t>
        </is>
      </c>
      <c r="E359" t="inlineStr">
        <is>
          <t>MORA</t>
        </is>
      </c>
      <c r="G359" t="n">
        <v>2.8</v>
      </c>
      <c r="H359" t="n">
        <v>0</v>
      </c>
      <c r="I359" t="n">
        <v>0</v>
      </c>
      <c r="J359" t="n">
        <v>0</v>
      </c>
      <c r="K359" t="n">
        <v>0</v>
      </c>
      <c r="L359" t="n">
        <v>0</v>
      </c>
      <c r="M359" t="n">
        <v>0</v>
      </c>
      <c r="N359" t="n">
        <v>0</v>
      </c>
      <c r="O359" t="n">
        <v>0</v>
      </c>
      <c r="P359" t="n">
        <v>0</v>
      </c>
      <c r="Q359" t="n">
        <v>0</v>
      </c>
      <c r="R359" s="2" t="inlineStr"/>
    </row>
    <row r="360" ht="15" customHeight="1">
      <c r="A360" t="inlineStr">
        <is>
          <t>A 30166-2025</t>
        </is>
      </c>
      <c r="B360" s="1" t="n">
        <v>45827.33116898148</v>
      </c>
      <c r="C360" s="1" t="n">
        <v>46073</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46073</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57453-2025</t>
        </is>
      </c>
      <c r="B362" s="1" t="n">
        <v>45980.5122337963</v>
      </c>
      <c r="C362" s="1" t="n">
        <v>46073</v>
      </c>
      <c r="D362" t="inlineStr">
        <is>
          <t>DALARNAS LÄN</t>
        </is>
      </c>
      <c r="E362" t="inlineStr">
        <is>
          <t>MORA</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30507-2025</t>
        </is>
      </c>
      <c r="B363" s="1" t="n">
        <v>45831.24760416667</v>
      </c>
      <c r="C363" s="1" t="n">
        <v>46073</v>
      </c>
      <c r="D363" t="inlineStr">
        <is>
          <t>DALARNAS LÄN</t>
        </is>
      </c>
      <c r="E363" t="inlineStr">
        <is>
          <t>MORA</t>
        </is>
      </c>
      <c r="G363" t="n">
        <v>1.6</v>
      </c>
      <c r="H363" t="n">
        <v>0</v>
      </c>
      <c r="I363" t="n">
        <v>0</v>
      </c>
      <c r="J363" t="n">
        <v>0</v>
      </c>
      <c r="K363" t="n">
        <v>0</v>
      </c>
      <c r="L363" t="n">
        <v>0</v>
      </c>
      <c r="M363" t="n">
        <v>0</v>
      </c>
      <c r="N363" t="n">
        <v>0</v>
      </c>
      <c r="O363" t="n">
        <v>0</v>
      </c>
      <c r="P363" t="n">
        <v>0</v>
      </c>
      <c r="Q363" t="n">
        <v>0</v>
      </c>
      <c r="R363" s="2" t="inlineStr"/>
    </row>
    <row r="364" ht="15" customHeight="1">
      <c r="A364" t="inlineStr">
        <is>
          <t>A 57097-2025</t>
        </is>
      </c>
      <c r="B364" s="1" t="n">
        <v>45979.43388888889</v>
      </c>
      <c r="C364" s="1" t="n">
        <v>46073</v>
      </c>
      <c r="D364" t="inlineStr">
        <is>
          <t>DALARNAS LÄN</t>
        </is>
      </c>
      <c r="E364" t="inlineStr">
        <is>
          <t>MORA</t>
        </is>
      </c>
      <c r="G364" t="n">
        <v>7.5</v>
      </c>
      <c r="H364" t="n">
        <v>0</v>
      </c>
      <c r="I364" t="n">
        <v>0</v>
      </c>
      <c r="J364" t="n">
        <v>0</v>
      </c>
      <c r="K364" t="n">
        <v>0</v>
      </c>
      <c r="L364" t="n">
        <v>0</v>
      </c>
      <c r="M364" t="n">
        <v>0</v>
      </c>
      <c r="N364" t="n">
        <v>0</v>
      </c>
      <c r="O364" t="n">
        <v>0</v>
      </c>
      <c r="P364" t="n">
        <v>0</v>
      </c>
      <c r="Q364" t="n">
        <v>0</v>
      </c>
      <c r="R364" s="2" t="inlineStr"/>
    </row>
    <row r="365" ht="15" customHeight="1">
      <c r="A365" t="inlineStr">
        <is>
          <t>A 15440-2024</t>
        </is>
      </c>
      <c r="B365" s="1" t="n">
        <v>45401.4194212963</v>
      </c>
      <c r="C365" s="1" t="n">
        <v>46073</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11857-2023</t>
        </is>
      </c>
      <c r="B366" s="1" t="n">
        <v>44995</v>
      </c>
      <c r="C366" s="1" t="n">
        <v>46073</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15818-2024</t>
        </is>
      </c>
      <c r="B367" s="1" t="n">
        <v>45404.67442129629</v>
      </c>
      <c r="C367" s="1" t="n">
        <v>46073</v>
      </c>
      <c r="D367" t="inlineStr">
        <is>
          <t>DALARNAS LÄN</t>
        </is>
      </c>
      <c r="E367" t="inlineStr">
        <is>
          <t>MORA</t>
        </is>
      </c>
      <c r="G367" t="n">
        <v>7</v>
      </c>
      <c r="H367" t="n">
        <v>0</v>
      </c>
      <c r="I367" t="n">
        <v>0</v>
      </c>
      <c r="J367" t="n">
        <v>0</v>
      </c>
      <c r="K367" t="n">
        <v>0</v>
      </c>
      <c r="L367" t="n">
        <v>0</v>
      </c>
      <c r="M367" t="n">
        <v>0</v>
      </c>
      <c r="N367" t="n">
        <v>0</v>
      </c>
      <c r="O367" t="n">
        <v>0</v>
      </c>
      <c r="P367" t="n">
        <v>0</v>
      </c>
      <c r="Q367" t="n">
        <v>0</v>
      </c>
      <c r="R367" s="2" t="inlineStr"/>
    </row>
    <row r="368" ht="15" customHeight="1">
      <c r="A368" t="inlineStr">
        <is>
          <t>A 45674-2024</t>
        </is>
      </c>
      <c r="B368" s="1" t="n">
        <v>45573</v>
      </c>
      <c r="C368" s="1" t="n">
        <v>46073</v>
      </c>
      <c r="D368" t="inlineStr">
        <is>
          <t>DALARNAS LÄN</t>
        </is>
      </c>
      <c r="E368" t="inlineStr">
        <is>
          <t>MORA</t>
        </is>
      </c>
      <c r="G368" t="n">
        <v>3.2</v>
      </c>
      <c r="H368" t="n">
        <v>0</v>
      </c>
      <c r="I368" t="n">
        <v>0</v>
      </c>
      <c r="J368" t="n">
        <v>0</v>
      </c>
      <c r="K368" t="n">
        <v>0</v>
      </c>
      <c r="L368" t="n">
        <v>0</v>
      </c>
      <c r="M368" t="n">
        <v>0</v>
      </c>
      <c r="N368" t="n">
        <v>0</v>
      </c>
      <c r="O368" t="n">
        <v>0</v>
      </c>
      <c r="P368" t="n">
        <v>0</v>
      </c>
      <c r="Q368" t="n">
        <v>0</v>
      </c>
      <c r="R368" s="2" t="inlineStr"/>
    </row>
    <row r="369" ht="15" customHeight="1">
      <c r="A369" t="inlineStr">
        <is>
          <t>A 30858-2025</t>
        </is>
      </c>
      <c r="B369" s="1" t="n">
        <v>45831.92416666666</v>
      </c>
      <c r="C369" s="1" t="n">
        <v>46073</v>
      </c>
      <c r="D369" t="inlineStr">
        <is>
          <t>DALARNAS LÄN</t>
        </is>
      </c>
      <c r="E369" t="inlineStr">
        <is>
          <t>MORA</t>
        </is>
      </c>
      <c r="G369" t="n">
        <v>2.9</v>
      </c>
      <c r="H369" t="n">
        <v>0</v>
      </c>
      <c r="I369" t="n">
        <v>0</v>
      </c>
      <c r="J369" t="n">
        <v>0</v>
      </c>
      <c r="K369" t="n">
        <v>0</v>
      </c>
      <c r="L369" t="n">
        <v>0</v>
      </c>
      <c r="M369" t="n">
        <v>0</v>
      </c>
      <c r="N369" t="n">
        <v>0</v>
      </c>
      <c r="O369" t="n">
        <v>0</v>
      </c>
      <c r="P369" t="n">
        <v>0</v>
      </c>
      <c r="Q369" t="n">
        <v>0</v>
      </c>
      <c r="R369" s="2" t="inlineStr"/>
    </row>
    <row r="370" ht="15" customHeight="1">
      <c r="A370" t="inlineStr">
        <is>
          <t>A 30859-2025</t>
        </is>
      </c>
      <c r="B370" s="1" t="n">
        <v>45831.93105324074</v>
      </c>
      <c r="C370" s="1" t="n">
        <v>46073</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30989-2025</t>
        </is>
      </c>
      <c r="B371" s="1" t="n">
        <v>45832.48185185185</v>
      </c>
      <c r="C371" s="1" t="n">
        <v>46073</v>
      </c>
      <c r="D371" t="inlineStr">
        <is>
          <t>DALARNAS LÄN</t>
        </is>
      </c>
      <c r="E371" t="inlineStr">
        <is>
          <t>MORA</t>
        </is>
      </c>
      <c r="F371" t="inlineStr">
        <is>
          <t>Bergvik skog öst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30509-2025</t>
        </is>
      </c>
      <c r="B372" s="1" t="n">
        <v>45831.25519675926</v>
      </c>
      <c r="C372" s="1" t="n">
        <v>46073</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45390-2024</t>
        </is>
      </c>
      <c r="B373" s="1" t="n">
        <v>45576.54820601852</v>
      </c>
      <c r="C373" s="1" t="n">
        <v>46073</v>
      </c>
      <c r="D373" t="inlineStr">
        <is>
          <t>DALARNAS LÄN</t>
        </is>
      </c>
      <c r="E373" t="inlineStr">
        <is>
          <t>MORA</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57976-2025</t>
        </is>
      </c>
      <c r="B374" s="1" t="n">
        <v>45982.39435185185</v>
      </c>
      <c r="C374" s="1" t="n">
        <v>46073</v>
      </c>
      <c r="D374" t="inlineStr">
        <is>
          <t>DALARNAS LÄN</t>
        </is>
      </c>
      <c r="E374" t="inlineStr">
        <is>
          <t>MORA</t>
        </is>
      </c>
      <c r="G374" t="n">
        <v>7.4</v>
      </c>
      <c r="H374" t="n">
        <v>0</v>
      </c>
      <c r="I374" t="n">
        <v>0</v>
      </c>
      <c r="J374" t="n">
        <v>0</v>
      </c>
      <c r="K374" t="n">
        <v>0</v>
      </c>
      <c r="L374" t="n">
        <v>0</v>
      </c>
      <c r="M374" t="n">
        <v>0</v>
      </c>
      <c r="N374" t="n">
        <v>0</v>
      </c>
      <c r="O374" t="n">
        <v>0</v>
      </c>
      <c r="P374" t="n">
        <v>0</v>
      </c>
      <c r="Q374" t="n">
        <v>0</v>
      </c>
      <c r="R374" s="2" t="inlineStr"/>
    </row>
    <row r="375" ht="15" customHeight="1">
      <c r="A375" t="inlineStr">
        <is>
          <t>A 31849-2025</t>
        </is>
      </c>
      <c r="B375" s="1" t="n">
        <v>45834.60525462963</v>
      </c>
      <c r="C375" s="1" t="n">
        <v>46073</v>
      </c>
      <c r="D375" t="inlineStr">
        <is>
          <t>DALARNAS LÄN</t>
        </is>
      </c>
      <c r="E375" t="inlineStr">
        <is>
          <t>MORA</t>
        </is>
      </c>
      <c r="G375" t="n">
        <v>3.9</v>
      </c>
      <c r="H375" t="n">
        <v>0</v>
      </c>
      <c r="I375" t="n">
        <v>0</v>
      </c>
      <c r="J375" t="n">
        <v>0</v>
      </c>
      <c r="K375" t="n">
        <v>0</v>
      </c>
      <c r="L375" t="n">
        <v>0</v>
      </c>
      <c r="M375" t="n">
        <v>0</v>
      </c>
      <c r="N375" t="n">
        <v>0</v>
      </c>
      <c r="O375" t="n">
        <v>0</v>
      </c>
      <c r="P375" t="n">
        <v>0</v>
      </c>
      <c r="Q375" t="n">
        <v>0</v>
      </c>
      <c r="R375" s="2" t="inlineStr"/>
    </row>
    <row r="376" ht="15" customHeight="1">
      <c r="A376" t="inlineStr">
        <is>
          <t>A 57647-2025</t>
        </is>
      </c>
      <c r="B376" s="1" t="n">
        <v>45981.37621527778</v>
      </c>
      <c r="C376" s="1" t="n">
        <v>46073</v>
      </c>
      <c r="D376" t="inlineStr">
        <is>
          <t>DALARNAS LÄN</t>
        </is>
      </c>
      <c r="E376" t="inlineStr">
        <is>
          <t>MORA</t>
        </is>
      </c>
      <c r="G376" t="n">
        <v>3.9</v>
      </c>
      <c r="H376" t="n">
        <v>0</v>
      </c>
      <c r="I376" t="n">
        <v>0</v>
      </c>
      <c r="J376" t="n">
        <v>0</v>
      </c>
      <c r="K376" t="n">
        <v>0</v>
      </c>
      <c r="L376" t="n">
        <v>0</v>
      </c>
      <c r="M376" t="n">
        <v>0</v>
      </c>
      <c r="N376" t="n">
        <v>0</v>
      </c>
      <c r="O376" t="n">
        <v>0</v>
      </c>
      <c r="P376" t="n">
        <v>0</v>
      </c>
      <c r="Q376" t="n">
        <v>0</v>
      </c>
      <c r="R376" s="2" t="inlineStr"/>
    </row>
    <row r="377" ht="15" customHeight="1">
      <c r="A377" t="inlineStr">
        <is>
          <t>A 19756-2022</t>
        </is>
      </c>
      <c r="B377" s="1" t="n">
        <v>44694.62913194444</v>
      </c>
      <c r="C377" s="1" t="n">
        <v>46073</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57843-2025</t>
        </is>
      </c>
      <c r="B378" s="1" t="n">
        <v>45981.62792824074</v>
      </c>
      <c r="C378" s="1" t="n">
        <v>46073</v>
      </c>
      <c r="D378" t="inlineStr">
        <is>
          <t>DALARNAS LÄN</t>
        </is>
      </c>
      <c r="E378" t="inlineStr">
        <is>
          <t>MORA</t>
        </is>
      </c>
      <c r="G378" t="n">
        <v>4.5</v>
      </c>
      <c r="H378" t="n">
        <v>0</v>
      </c>
      <c r="I378" t="n">
        <v>0</v>
      </c>
      <c r="J378" t="n">
        <v>0</v>
      </c>
      <c r="K378" t="n">
        <v>0</v>
      </c>
      <c r="L378" t="n">
        <v>0</v>
      </c>
      <c r="M378" t="n">
        <v>0</v>
      </c>
      <c r="N378" t="n">
        <v>0</v>
      </c>
      <c r="O378" t="n">
        <v>0</v>
      </c>
      <c r="P378" t="n">
        <v>0</v>
      </c>
      <c r="Q378" t="n">
        <v>0</v>
      </c>
      <c r="R378" s="2" t="inlineStr"/>
    </row>
    <row r="379" ht="15" customHeight="1">
      <c r="A379" t="inlineStr">
        <is>
          <t>A 5216-2025</t>
        </is>
      </c>
      <c r="B379" s="1" t="n">
        <v>45691.69671296296</v>
      </c>
      <c r="C379" s="1" t="n">
        <v>46073</v>
      </c>
      <c r="D379" t="inlineStr">
        <is>
          <t>DALARNAS LÄN</t>
        </is>
      </c>
      <c r="E379" t="inlineStr">
        <is>
          <t>MORA</t>
        </is>
      </c>
      <c r="G379" t="n">
        <v>2.5</v>
      </c>
      <c r="H379" t="n">
        <v>0</v>
      </c>
      <c r="I379" t="n">
        <v>0</v>
      </c>
      <c r="J379" t="n">
        <v>0</v>
      </c>
      <c r="K379" t="n">
        <v>0</v>
      </c>
      <c r="L379" t="n">
        <v>0</v>
      </c>
      <c r="M379" t="n">
        <v>0</v>
      </c>
      <c r="N379" t="n">
        <v>0</v>
      </c>
      <c r="O379" t="n">
        <v>0</v>
      </c>
      <c r="P379" t="n">
        <v>0</v>
      </c>
      <c r="Q379" t="n">
        <v>0</v>
      </c>
      <c r="R379" s="2" t="inlineStr"/>
    </row>
    <row r="380" ht="15" customHeight="1">
      <c r="A380" t="inlineStr">
        <is>
          <t>A 57659-2025</t>
        </is>
      </c>
      <c r="B380" s="1" t="n">
        <v>45981.41228009259</v>
      </c>
      <c r="C380" s="1" t="n">
        <v>46073</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53344-2023</t>
        </is>
      </c>
      <c r="B381" s="1" t="n">
        <v>45229</v>
      </c>
      <c r="C381" s="1" t="n">
        <v>46073</v>
      </c>
      <c r="D381" t="inlineStr">
        <is>
          <t>DALARNAS LÄN</t>
        </is>
      </c>
      <c r="E381" t="inlineStr">
        <is>
          <t>MORA</t>
        </is>
      </c>
      <c r="G381" t="n">
        <v>2.4</v>
      </c>
      <c r="H381" t="n">
        <v>0</v>
      </c>
      <c r="I381" t="n">
        <v>0</v>
      </c>
      <c r="J381" t="n">
        <v>0</v>
      </c>
      <c r="K381" t="n">
        <v>0</v>
      </c>
      <c r="L381" t="n">
        <v>0</v>
      </c>
      <c r="M381" t="n">
        <v>0</v>
      </c>
      <c r="N381" t="n">
        <v>0</v>
      </c>
      <c r="O381" t="n">
        <v>0</v>
      </c>
      <c r="P381" t="n">
        <v>0</v>
      </c>
      <c r="Q381" t="n">
        <v>0</v>
      </c>
      <c r="R381" s="2" t="inlineStr"/>
    </row>
    <row r="382" ht="15" customHeight="1">
      <c r="A382" t="inlineStr">
        <is>
          <t>A 58001-2025</t>
        </is>
      </c>
      <c r="B382" s="1" t="n">
        <v>45982.43615740741</v>
      </c>
      <c r="C382" s="1" t="n">
        <v>46073</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31846-2025</t>
        </is>
      </c>
      <c r="B383" s="1" t="n">
        <v>45834.60209490741</v>
      </c>
      <c r="C383" s="1" t="n">
        <v>46073</v>
      </c>
      <c r="D383" t="inlineStr">
        <is>
          <t>DALARNAS LÄN</t>
        </is>
      </c>
      <c r="E383" t="inlineStr">
        <is>
          <t>MORA</t>
        </is>
      </c>
      <c r="G383" t="n">
        <v>3.6</v>
      </c>
      <c r="H383" t="n">
        <v>0</v>
      </c>
      <c r="I383" t="n">
        <v>0</v>
      </c>
      <c r="J383" t="n">
        <v>0</v>
      </c>
      <c r="K383" t="n">
        <v>0</v>
      </c>
      <c r="L383" t="n">
        <v>0</v>
      </c>
      <c r="M383" t="n">
        <v>0</v>
      </c>
      <c r="N383" t="n">
        <v>0</v>
      </c>
      <c r="O383" t="n">
        <v>0</v>
      </c>
      <c r="P383" t="n">
        <v>0</v>
      </c>
      <c r="Q383" t="n">
        <v>0</v>
      </c>
      <c r="R383" s="2" t="inlineStr"/>
    </row>
    <row r="384" ht="15" customHeight="1">
      <c r="A384" t="inlineStr">
        <is>
          <t>A 57855-2025</t>
        </is>
      </c>
      <c r="B384" s="1" t="n">
        <v>45981.63909722222</v>
      </c>
      <c r="C384" s="1" t="n">
        <v>46073</v>
      </c>
      <c r="D384" t="inlineStr">
        <is>
          <t>DALARNAS LÄN</t>
        </is>
      </c>
      <c r="E384" t="inlineStr">
        <is>
          <t>MORA</t>
        </is>
      </c>
      <c r="G384" t="n">
        <v>9.9</v>
      </c>
      <c r="H384" t="n">
        <v>0</v>
      </c>
      <c r="I384" t="n">
        <v>0</v>
      </c>
      <c r="J384" t="n">
        <v>0</v>
      </c>
      <c r="K384" t="n">
        <v>0</v>
      </c>
      <c r="L384" t="n">
        <v>0</v>
      </c>
      <c r="M384" t="n">
        <v>0</v>
      </c>
      <c r="N384" t="n">
        <v>0</v>
      </c>
      <c r="O384" t="n">
        <v>0</v>
      </c>
      <c r="P384" t="n">
        <v>0</v>
      </c>
      <c r="Q384" t="n">
        <v>0</v>
      </c>
      <c r="R384" s="2" t="inlineStr"/>
    </row>
    <row r="385" ht="15" customHeight="1">
      <c r="A385" t="inlineStr">
        <is>
          <t>A 59448-2022</t>
        </is>
      </c>
      <c r="B385" s="1" t="n">
        <v>44907</v>
      </c>
      <c r="C385" s="1" t="n">
        <v>46073</v>
      </c>
      <c r="D385" t="inlineStr">
        <is>
          <t>DALARNAS LÄN</t>
        </is>
      </c>
      <c r="E385" t="inlineStr">
        <is>
          <t>MORA</t>
        </is>
      </c>
      <c r="G385" t="n">
        <v>35.7</v>
      </c>
      <c r="H385" t="n">
        <v>0</v>
      </c>
      <c r="I385" t="n">
        <v>0</v>
      </c>
      <c r="J385" t="n">
        <v>0</v>
      </c>
      <c r="K385" t="n">
        <v>0</v>
      </c>
      <c r="L385" t="n">
        <v>0</v>
      </c>
      <c r="M385" t="n">
        <v>0</v>
      </c>
      <c r="N385" t="n">
        <v>0</v>
      </c>
      <c r="O385" t="n">
        <v>0</v>
      </c>
      <c r="P385" t="n">
        <v>0</v>
      </c>
      <c r="Q385" t="n">
        <v>0</v>
      </c>
      <c r="R385" s="2" t="inlineStr"/>
    </row>
    <row r="386" ht="15" customHeight="1">
      <c r="A386" t="inlineStr">
        <is>
          <t>A 31842-2025</t>
        </is>
      </c>
      <c r="B386" s="1" t="n">
        <v>45834.59822916667</v>
      </c>
      <c r="C386" s="1" t="n">
        <v>46073</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57797-2022</t>
        </is>
      </c>
      <c r="B387" s="1" t="n">
        <v>44897</v>
      </c>
      <c r="C387" s="1" t="n">
        <v>46073</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40286-2024</t>
        </is>
      </c>
      <c r="B388" s="1" t="n">
        <v>45554.6687037037</v>
      </c>
      <c r="C388" s="1" t="n">
        <v>46073</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48824-2023</t>
        </is>
      </c>
      <c r="B389" s="1" t="n">
        <v>45203</v>
      </c>
      <c r="C389" s="1" t="n">
        <v>46073</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58473-2025</t>
        </is>
      </c>
      <c r="B390" s="1" t="n">
        <v>45985.63859953704</v>
      </c>
      <c r="C390" s="1" t="n">
        <v>46073</v>
      </c>
      <c r="D390" t="inlineStr">
        <is>
          <t>DALARNAS LÄN</t>
        </is>
      </c>
      <c r="E390" t="inlineStr">
        <is>
          <t>MORA</t>
        </is>
      </c>
      <c r="G390" t="n">
        <v>2.3</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46073</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20504-2023</t>
        </is>
      </c>
      <c r="B392" s="1" t="n">
        <v>45057</v>
      </c>
      <c r="C392" s="1" t="n">
        <v>46073</v>
      </c>
      <c r="D392" t="inlineStr">
        <is>
          <t>DALARNAS LÄN</t>
        </is>
      </c>
      <c r="E392" t="inlineStr">
        <is>
          <t>MORA</t>
        </is>
      </c>
      <c r="F392" t="inlineStr">
        <is>
          <t>Bergvik skog väst AB</t>
        </is>
      </c>
      <c r="G392" t="n">
        <v>1.2</v>
      </c>
      <c r="H392" t="n">
        <v>0</v>
      </c>
      <c r="I392" t="n">
        <v>0</v>
      </c>
      <c r="J392" t="n">
        <v>0</v>
      </c>
      <c r="K392" t="n">
        <v>0</v>
      </c>
      <c r="L392" t="n">
        <v>0</v>
      </c>
      <c r="M392" t="n">
        <v>0</v>
      </c>
      <c r="N392" t="n">
        <v>0</v>
      </c>
      <c r="O392" t="n">
        <v>0</v>
      </c>
      <c r="P392" t="n">
        <v>0</v>
      </c>
      <c r="Q392" t="n">
        <v>0</v>
      </c>
      <c r="R392" s="2" t="inlineStr"/>
    </row>
    <row r="393" ht="15" customHeight="1">
      <c r="A393" t="inlineStr">
        <is>
          <t>A 44595-2024</t>
        </is>
      </c>
      <c r="B393" s="1" t="n">
        <v>45574.51053240741</v>
      </c>
      <c r="C393" s="1" t="n">
        <v>46073</v>
      </c>
      <c r="D393" t="inlineStr">
        <is>
          <t>DALARNAS LÄN</t>
        </is>
      </c>
      <c r="E393" t="inlineStr">
        <is>
          <t>MORA</t>
        </is>
      </c>
      <c r="G393" t="n">
        <v>0.8</v>
      </c>
      <c r="H393" t="n">
        <v>0</v>
      </c>
      <c r="I393" t="n">
        <v>0</v>
      </c>
      <c r="J393" t="n">
        <v>0</v>
      </c>
      <c r="K393" t="n">
        <v>0</v>
      </c>
      <c r="L393" t="n">
        <v>0</v>
      </c>
      <c r="M393" t="n">
        <v>0</v>
      </c>
      <c r="N393" t="n">
        <v>0</v>
      </c>
      <c r="O393" t="n">
        <v>0</v>
      </c>
      <c r="P393" t="n">
        <v>0</v>
      </c>
      <c r="Q393" t="n">
        <v>0</v>
      </c>
      <c r="R393" s="2" t="inlineStr"/>
    </row>
    <row r="394" ht="15" customHeight="1">
      <c r="A394" t="inlineStr">
        <is>
          <t>A 43566-2023</t>
        </is>
      </c>
      <c r="B394" s="1" t="n">
        <v>45184.58199074074</v>
      </c>
      <c r="C394" s="1" t="n">
        <v>46073</v>
      </c>
      <c r="D394" t="inlineStr">
        <is>
          <t>DALARNAS LÄN</t>
        </is>
      </c>
      <c r="E394" t="inlineStr">
        <is>
          <t>MORA</t>
        </is>
      </c>
      <c r="F394" t="inlineStr">
        <is>
          <t>Bergvik skog väst AB</t>
        </is>
      </c>
      <c r="G394" t="n">
        <v>4.3</v>
      </c>
      <c r="H394" t="n">
        <v>0</v>
      </c>
      <c r="I394" t="n">
        <v>0</v>
      </c>
      <c r="J394" t="n">
        <v>0</v>
      </c>
      <c r="K394" t="n">
        <v>0</v>
      </c>
      <c r="L394" t="n">
        <v>0</v>
      </c>
      <c r="M394" t="n">
        <v>0</v>
      </c>
      <c r="N394" t="n">
        <v>0</v>
      </c>
      <c r="O394" t="n">
        <v>0</v>
      </c>
      <c r="P394" t="n">
        <v>0</v>
      </c>
      <c r="Q394" t="n">
        <v>0</v>
      </c>
      <c r="R394" s="2" t="inlineStr"/>
    </row>
    <row r="395" ht="15" customHeight="1">
      <c r="A395" t="inlineStr">
        <is>
          <t>A 53743-2024</t>
        </is>
      </c>
      <c r="B395" s="1" t="n">
        <v>45615.47137731482</v>
      </c>
      <c r="C395" s="1" t="n">
        <v>46073</v>
      </c>
      <c r="D395" t="inlineStr">
        <is>
          <t>DALARNAS LÄN</t>
        </is>
      </c>
      <c r="E395" t="inlineStr">
        <is>
          <t>MORA</t>
        </is>
      </c>
      <c r="G395" t="n">
        <v>1.4</v>
      </c>
      <c r="H395" t="n">
        <v>0</v>
      </c>
      <c r="I395" t="n">
        <v>0</v>
      </c>
      <c r="J395" t="n">
        <v>0</v>
      </c>
      <c r="K395" t="n">
        <v>0</v>
      </c>
      <c r="L395" t="n">
        <v>0</v>
      </c>
      <c r="M395" t="n">
        <v>0</v>
      </c>
      <c r="N395" t="n">
        <v>0</v>
      </c>
      <c r="O395" t="n">
        <v>0</v>
      </c>
      <c r="P395" t="n">
        <v>0</v>
      </c>
      <c r="Q395" t="n">
        <v>0</v>
      </c>
      <c r="R395" s="2" t="inlineStr"/>
    </row>
    <row r="396" ht="15" customHeight="1">
      <c r="A396" t="inlineStr">
        <is>
          <t>A 32852-2025</t>
        </is>
      </c>
      <c r="B396" s="1" t="n">
        <v>45839.57559027777</v>
      </c>
      <c r="C396" s="1" t="n">
        <v>46073</v>
      </c>
      <c r="D396" t="inlineStr">
        <is>
          <t>DALARNAS LÄN</t>
        </is>
      </c>
      <c r="E396" t="inlineStr">
        <is>
          <t>MORA</t>
        </is>
      </c>
      <c r="G396" t="n">
        <v>1.7</v>
      </c>
      <c r="H396" t="n">
        <v>0</v>
      </c>
      <c r="I396" t="n">
        <v>0</v>
      </c>
      <c r="J396" t="n">
        <v>0</v>
      </c>
      <c r="K396" t="n">
        <v>0</v>
      </c>
      <c r="L396" t="n">
        <v>0</v>
      </c>
      <c r="M396" t="n">
        <v>0</v>
      </c>
      <c r="N396" t="n">
        <v>0</v>
      </c>
      <c r="O396" t="n">
        <v>0</v>
      </c>
      <c r="P396" t="n">
        <v>0</v>
      </c>
      <c r="Q396" t="n">
        <v>0</v>
      </c>
      <c r="R396" s="2" t="inlineStr"/>
    </row>
    <row r="397" ht="15" customHeight="1">
      <c r="A397" t="inlineStr">
        <is>
          <t>A 48170-2024</t>
        </is>
      </c>
      <c r="B397" s="1" t="n">
        <v>45589.76975694444</v>
      </c>
      <c r="C397" s="1" t="n">
        <v>46073</v>
      </c>
      <c r="D397" t="inlineStr">
        <is>
          <t>DALARNAS LÄN</t>
        </is>
      </c>
      <c r="E397" t="inlineStr">
        <is>
          <t>MORA</t>
        </is>
      </c>
      <c r="G397" t="n">
        <v>2.4</v>
      </c>
      <c r="H397" t="n">
        <v>0</v>
      </c>
      <c r="I397" t="n">
        <v>0</v>
      </c>
      <c r="J397" t="n">
        <v>0</v>
      </c>
      <c r="K397" t="n">
        <v>0</v>
      </c>
      <c r="L397" t="n">
        <v>0</v>
      </c>
      <c r="M397" t="n">
        <v>0</v>
      </c>
      <c r="N397" t="n">
        <v>0</v>
      </c>
      <c r="O397" t="n">
        <v>0</v>
      </c>
      <c r="P397" t="n">
        <v>0</v>
      </c>
      <c r="Q397" t="n">
        <v>0</v>
      </c>
      <c r="R397" s="2" t="inlineStr"/>
    </row>
    <row r="398" ht="15" customHeight="1">
      <c r="A398" t="inlineStr">
        <is>
          <t>A 33443-2025</t>
        </is>
      </c>
      <c r="B398" s="1" t="n">
        <v>45841</v>
      </c>
      <c r="C398" s="1" t="n">
        <v>46073</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20594-2025</t>
        </is>
      </c>
      <c r="B399" s="1" t="n">
        <v>45775.74009259259</v>
      </c>
      <c r="C399" s="1" t="n">
        <v>46073</v>
      </c>
      <c r="D399" t="inlineStr">
        <is>
          <t>DALARNAS LÄN</t>
        </is>
      </c>
      <c r="E399" t="inlineStr">
        <is>
          <t>MORA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34005-2025</t>
        </is>
      </c>
      <c r="B400" s="1" t="n">
        <v>45844.58890046296</v>
      </c>
      <c r="C400" s="1" t="n">
        <v>46073</v>
      </c>
      <c r="D400" t="inlineStr">
        <is>
          <t>DALARNAS LÄN</t>
        </is>
      </c>
      <c r="E400" t="inlineStr">
        <is>
          <t>MORA</t>
        </is>
      </c>
      <c r="G400" t="n">
        <v>7.2</v>
      </c>
      <c r="H400" t="n">
        <v>0</v>
      </c>
      <c r="I400" t="n">
        <v>0</v>
      </c>
      <c r="J400" t="n">
        <v>0</v>
      </c>
      <c r="K400" t="n">
        <v>0</v>
      </c>
      <c r="L400" t="n">
        <v>0</v>
      </c>
      <c r="M400" t="n">
        <v>0</v>
      </c>
      <c r="N400" t="n">
        <v>0</v>
      </c>
      <c r="O400" t="n">
        <v>0</v>
      </c>
      <c r="P400" t="n">
        <v>0</v>
      </c>
      <c r="Q400" t="n">
        <v>0</v>
      </c>
      <c r="R400" s="2" t="inlineStr"/>
    </row>
    <row r="401" ht="15" customHeight="1">
      <c r="A401" t="inlineStr">
        <is>
          <t>A 64088-2023</t>
        </is>
      </c>
      <c r="B401" s="1" t="n">
        <v>45279.43570601852</v>
      </c>
      <c r="C401" s="1" t="n">
        <v>46073</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59094-2025</t>
        </is>
      </c>
      <c r="B402" s="1" t="n">
        <v>45988.45105324074</v>
      </c>
      <c r="C402" s="1" t="n">
        <v>46073</v>
      </c>
      <c r="D402" t="inlineStr">
        <is>
          <t>DALARNAS LÄN</t>
        </is>
      </c>
      <c r="E402" t="inlineStr">
        <is>
          <t>MORA</t>
        </is>
      </c>
      <c r="G402" t="n">
        <v>10</v>
      </c>
      <c r="H402" t="n">
        <v>0</v>
      </c>
      <c r="I402" t="n">
        <v>0</v>
      </c>
      <c r="J402" t="n">
        <v>0</v>
      </c>
      <c r="K402" t="n">
        <v>0</v>
      </c>
      <c r="L402" t="n">
        <v>0</v>
      </c>
      <c r="M402" t="n">
        <v>0</v>
      </c>
      <c r="N402" t="n">
        <v>0</v>
      </c>
      <c r="O402" t="n">
        <v>0</v>
      </c>
      <c r="P402" t="n">
        <v>0</v>
      </c>
      <c r="Q402" t="n">
        <v>0</v>
      </c>
      <c r="R402" s="2" t="inlineStr"/>
    </row>
    <row r="403" ht="15" customHeight="1">
      <c r="A403" t="inlineStr">
        <is>
          <t>A 34382-2025</t>
        </is>
      </c>
      <c r="B403" s="1" t="n">
        <v>45846</v>
      </c>
      <c r="C403" s="1" t="n">
        <v>46073</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34182-2025</t>
        </is>
      </c>
      <c r="B404" s="1" t="n">
        <v>45845.60520833333</v>
      </c>
      <c r="C404" s="1" t="n">
        <v>46073</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34482-2025</t>
        </is>
      </c>
      <c r="B405" s="1" t="n">
        <v>45847.38469907407</v>
      </c>
      <c r="C405" s="1" t="n">
        <v>46073</v>
      </c>
      <c r="D405" t="inlineStr">
        <is>
          <t>DALARNAS LÄN</t>
        </is>
      </c>
      <c r="E405" t="inlineStr">
        <is>
          <t>MORA</t>
        </is>
      </c>
      <c r="G405" t="n">
        <v>1.5</v>
      </c>
      <c r="H405" t="n">
        <v>0</v>
      </c>
      <c r="I405" t="n">
        <v>0</v>
      </c>
      <c r="J405" t="n">
        <v>0</v>
      </c>
      <c r="K405" t="n">
        <v>0</v>
      </c>
      <c r="L405" t="n">
        <v>0</v>
      </c>
      <c r="M405" t="n">
        <v>0</v>
      </c>
      <c r="N405" t="n">
        <v>0</v>
      </c>
      <c r="O405" t="n">
        <v>0</v>
      </c>
      <c r="P405" t="n">
        <v>0</v>
      </c>
      <c r="Q405" t="n">
        <v>0</v>
      </c>
      <c r="R405" s="2" t="inlineStr"/>
    </row>
    <row r="406" ht="15" customHeight="1">
      <c r="A406" t="inlineStr">
        <is>
          <t>A 59805-2025</t>
        </is>
      </c>
      <c r="B406" s="1" t="n">
        <v>45992.62635416666</v>
      </c>
      <c r="C406" s="1" t="n">
        <v>46073</v>
      </c>
      <c r="D406" t="inlineStr">
        <is>
          <t>DALARNAS LÄN</t>
        </is>
      </c>
      <c r="E406" t="inlineStr">
        <is>
          <t>MORA</t>
        </is>
      </c>
      <c r="G406" t="n">
        <v>4.2</v>
      </c>
      <c r="H406" t="n">
        <v>0</v>
      </c>
      <c r="I406" t="n">
        <v>0</v>
      </c>
      <c r="J406" t="n">
        <v>0</v>
      </c>
      <c r="K406" t="n">
        <v>0</v>
      </c>
      <c r="L406" t="n">
        <v>0</v>
      </c>
      <c r="M406" t="n">
        <v>0</v>
      </c>
      <c r="N406" t="n">
        <v>0</v>
      </c>
      <c r="O406" t="n">
        <v>0</v>
      </c>
      <c r="P406" t="n">
        <v>0</v>
      </c>
      <c r="Q406" t="n">
        <v>0</v>
      </c>
      <c r="R406" s="2" t="inlineStr"/>
    </row>
    <row r="407" ht="15" customHeight="1">
      <c r="A407" t="inlineStr">
        <is>
          <t>A 59768-2025</t>
        </is>
      </c>
      <c r="B407" s="1" t="n">
        <v>45992</v>
      </c>
      <c r="C407" s="1" t="n">
        <v>46073</v>
      </c>
      <c r="D407" t="inlineStr">
        <is>
          <t>DALARNAS LÄN</t>
        </is>
      </c>
      <c r="E407" t="inlineStr">
        <is>
          <t>MORA</t>
        </is>
      </c>
      <c r="G407" t="n">
        <v>4</v>
      </c>
      <c r="H407" t="n">
        <v>0</v>
      </c>
      <c r="I407" t="n">
        <v>0</v>
      </c>
      <c r="J407" t="n">
        <v>0</v>
      </c>
      <c r="K407" t="n">
        <v>0</v>
      </c>
      <c r="L407" t="n">
        <v>0</v>
      </c>
      <c r="M407" t="n">
        <v>0</v>
      </c>
      <c r="N407" t="n">
        <v>0</v>
      </c>
      <c r="O407" t="n">
        <v>0</v>
      </c>
      <c r="P407" t="n">
        <v>0</v>
      </c>
      <c r="Q407" t="n">
        <v>0</v>
      </c>
      <c r="R407" s="2" t="inlineStr"/>
    </row>
    <row r="408" ht="15" customHeight="1">
      <c r="A408" t="inlineStr">
        <is>
          <t>A 34933-2025</t>
        </is>
      </c>
      <c r="B408" s="1" t="n">
        <v>45849.57297453703</v>
      </c>
      <c r="C408" s="1" t="n">
        <v>46073</v>
      </c>
      <c r="D408" t="inlineStr">
        <is>
          <t>DALARNAS LÄN</t>
        </is>
      </c>
      <c r="E408" t="inlineStr">
        <is>
          <t>MORA</t>
        </is>
      </c>
      <c r="F408" t="inlineStr">
        <is>
          <t>Bergvik skog väst AB</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55135-2025</t>
        </is>
      </c>
      <c r="B409" s="1" t="n">
        <v>45968.42591435185</v>
      </c>
      <c r="C409" s="1" t="n">
        <v>46073</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59669-2025</t>
        </is>
      </c>
      <c r="B410" s="1" t="n">
        <v>45992.45640046296</v>
      </c>
      <c r="C410" s="1" t="n">
        <v>46073</v>
      </c>
      <c r="D410" t="inlineStr">
        <is>
          <t>DALARNAS LÄN</t>
        </is>
      </c>
      <c r="E410" t="inlineStr">
        <is>
          <t>MORA</t>
        </is>
      </c>
      <c r="G410" t="n">
        <v>0.6</v>
      </c>
      <c r="H410" t="n">
        <v>0</v>
      </c>
      <c r="I410" t="n">
        <v>0</v>
      </c>
      <c r="J410" t="n">
        <v>0</v>
      </c>
      <c r="K410" t="n">
        <v>0</v>
      </c>
      <c r="L410" t="n">
        <v>0</v>
      </c>
      <c r="M410" t="n">
        <v>0</v>
      </c>
      <c r="N410" t="n">
        <v>0</v>
      </c>
      <c r="O410" t="n">
        <v>0</v>
      </c>
      <c r="P410" t="n">
        <v>0</v>
      </c>
      <c r="Q410" t="n">
        <v>0</v>
      </c>
      <c r="R410" s="2" t="inlineStr"/>
    </row>
    <row r="411" ht="15" customHeight="1">
      <c r="A411" t="inlineStr">
        <is>
          <t>A 35121-2025</t>
        </is>
      </c>
      <c r="B411" s="1" t="n">
        <v>45852.60936342592</v>
      </c>
      <c r="C411" s="1" t="n">
        <v>46073</v>
      </c>
      <c r="D411" t="inlineStr">
        <is>
          <t>DALARNAS LÄN</t>
        </is>
      </c>
      <c r="E411" t="inlineStr">
        <is>
          <t>MORA</t>
        </is>
      </c>
      <c r="F411" t="inlineStr">
        <is>
          <t>Bergvik skog öst AB</t>
        </is>
      </c>
      <c r="G411" t="n">
        <v>15.9</v>
      </c>
      <c r="H411" t="n">
        <v>0</v>
      </c>
      <c r="I411" t="n">
        <v>0</v>
      </c>
      <c r="J411" t="n">
        <v>0</v>
      </c>
      <c r="K411" t="n">
        <v>0</v>
      </c>
      <c r="L411" t="n">
        <v>0</v>
      </c>
      <c r="M411" t="n">
        <v>0</v>
      </c>
      <c r="N411" t="n">
        <v>0</v>
      </c>
      <c r="O411" t="n">
        <v>0</v>
      </c>
      <c r="P411" t="n">
        <v>0</v>
      </c>
      <c r="Q411" t="n">
        <v>0</v>
      </c>
      <c r="R411" s="2" t="inlineStr"/>
    </row>
    <row r="412" ht="15" customHeight="1">
      <c r="A412" t="inlineStr">
        <is>
          <t>A 54548-2025</t>
        </is>
      </c>
      <c r="B412" s="1" t="n">
        <v>45965.6534837963</v>
      </c>
      <c r="C412" s="1" t="n">
        <v>46073</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60718-2023</t>
        </is>
      </c>
      <c r="B413" s="1" t="n">
        <v>45260.5284375</v>
      </c>
      <c r="C413" s="1" t="n">
        <v>46073</v>
      </c>
      <c r="D413" t="inlineStr">
        <is>
          <t>DALARNAS LÄN</t>
        </is>
      </c>
      <c r="E413" t="inlineStr">
        <is>
          <t>MORA</t>
        </is>
      </c>
      <c r="G413" t="n">
        <v>2.6</v>
      </c>
      <c r="H413" t="n">
        <v>0</v>
      </c>
      <c r="I413" t="n">
        <v>0</v>
      </c>
      <c r="J413" t="n">
        <v>0</v>
      </c>
      <c r="K413" t="n">
        <v>0</v>
      </c>
      <c r="L413" t="n">
        <v>0</v>
      </c>
      <c r="M413" t="n">
        <v>0</v>
      </c>
      <c r="N413" t="n">
        <v>0</v>
      </c>
      <c r="O413" t="n">
        <v>0</v>
      </c>
      <c r="P413" t="n">
        <v>0</v>
      </c>
      <c r="Q413" t="n">
        <v>0</v>
      </c>
      <c r="R413" s="2" t="inlineStr"/>
    </row>
    <row r="414" ht="15" customHeight="1">
      <c r="A414" t="inlineStr">
        <is>
          <t>A 14641-2023</t>
        </is>
      </c>
      <c r="B414" s="1" t="n">
        <v>45013</v>
      </c>
      <c r="C414" s="1" t="n">
        <v>46073</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35407-2025</t>
        </is>
      </c>
      <c r="B415" s="1" t="n">
        <v>45855.35989583333</v>
      </c>
      <c r="C415" s="1" t="n">
        <v>46073</v>
      </c>
      <c r="D415" t="inlineStr">
        <is>
          <t>DALARNAS LÄN</t>
        </is>
      </c>
      <c r="E415" t="inlineStr">
        <is>
          <t>MORA</t>
        </is>
      </c>
      <c r="G415" t="n">
        <v>1.4</v>
      </c>
      <c r="H415" t="n">
        <v>0</v>
      </c>
      <c r="I415" t="n">
        <v>0</v>
      </c>
      <c r="J415" t="n">
        <v>0</v>
      </c>
      <c r="K415" t="n">
        <v>0</v>
      </c>
      <c r="L415" t="n">
        <v>0</v>
      </c>
      <c r="M415" t="n">
        <v>0</v>
      </c>
      <c r="N415" t="n">
        <v>0</v>
      </c>
      <c r="O415" t="n">
        <v>0</v>
      </c>
      <c r="P415" t="n">
        <v>0</v>
      </c>
      <c r="Q415" t="n">
        <v>0</v>
      </c>
      <c r="R415" s="2" t="inlineStr"/>
    </row>
    <row r="416" ht="15" customHeight="1">
      <c r="A416" t="inlineStr">
        <is>
          <t>A 12151-2021</t>
        </is>
      </c>
      <c r="B416" s="1" t="n">
        <v>44266</v>
      </c>
      <c r="C416" s="1" t="n">
        <v>46073</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35611-2025</t>
        </is>
      </c>
      <c r="B417" s="1" t="n">
        <v>45859.35384259259</v>
      </c>
      <c r="C417" s="1" t="n">
        <v>46073</v>
      </c>
      <c r="D417" t="inlineStr">
        <is>
          <t>DALARNAS LÄN</t>
        </is>
      </c>
      <c r="E417" t="inlineStr">
        <is>
          <t>MORA</t>
        </is>
      </c>
      <c r="G417" t="n">
        <v>2.5</v>
      </c>
      <c r="H417" t="n">
        <v>0</v>
      </c>
      <c r="I417" t="n">
        <v>0</v>
      </c>
      <c r="J417" t="n">
        <v>0</v>
      </c>
      <c r="K417" t="n">
        <v>0</v>
      </c>
      <c r="L417" t="n">
        <v>0</v>
      </c>
      <c r="M417" t="n">
        <v>0</v>
      </c>
      <c r="N417" t="n">
        <v>0</v>
      </c>
      <c r="O417" t="n">
        <v>0</v>
      </c>
      <c r="P417" t="n">
        <v>0</v>
      </c>
      <c r="Q417" t="n">
        <v>0</v>
      </c>
      <c r="R417" s="2" t="inlineStr"/>
    </row>
    <row r="418" ht="15" customHeight="1">
      <c r="A418" t="inlineStr">
        <is>
          <t>A 35622-2025</t>
        </is>
      </c>
      <c r="B418" s="1" t="n">
        <v>45859</v>
      </c>
      <c r="C418" s="1" t="n">
        <v>46073</v>
      </c>
      <c r="D418" t="inlineStr">
        <is>
          <t>DALARNAS LÄN</t>
        </is>
      </c>
      <c r="E418" t="inlineStr">
        <is>
          <t>MORA</t>
        </is>
      </c>
      <c r="F418" t="inlineStr">
        <is>
          <t>Bergvik skog öst AB</t>
        </is>
      </c>
      <c r="G418" t="n">
        <v>5.8</v>
      </c>
      <c r="H418" t="n">
        <v>0</v>
      </c>
      <c r="I418" t="n">
        <v>0</v>
      </c>
      <c r="J418" t="n">
        <v>0</v>
      </c>
      <c r="K418" t="n">
        <v>0</v>
      </c>
      <c r="L418" t="n">
        <v>0</v>
      </c>
      <c r="M418" t="n">
        <v>0</v>
      </c>
      <c r="N418" t="n">
        <v>0</v>
      </c>
      <c r="O418" t="n">
        <v>0</v>
      </c>
      <c r="P418" t="n">
        <v>0</v>
      </c>
      <c r="Q418" t="n">
        <v>0</v>
      </c>
      <c r="R418" s="2" t="inlineStr"/>
    </row>
    <row r="419" ht="15" customHeight="1">
      <c r="A419" t="inlineStr">
        <is>
          <t>A 35734-2025</t>
        </is>
      </c>
      <c r="B419" s="1" t="n">
        <v>45860.471875</v>
      </c>
      <c r="C419" s="1" t="n">
        <v>46073</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9277-2024</t>
        </is>
      </c>
      <c r="B420" s="1" t="n">
        <v>45358.63265046296</v>
      </c>
      <c r="C420" s="1" t="n">
        <v>46073</v>
      </c>
      <c r="D420" t="inlineStr">
        <is>
          <t>DALARNAS LÄN</t>
        </is>
      </c>
      <c r="E420" t="inlineStr">
        <is>
          <t>MORA</t>
        </is>
      </c>
      <c r="G420" t="n">
        <v>1.7</v>
      </c>
      <c r="H420" t="n">
        <v>0</v>
      </c>
      <c r="I420" t="n">
        <v>0</v>
      </c>
      <c r="J420" t="n">
        <v>0</v>
      </c>
      <c r="K420" t="n">
        <v>0</v>
      </c>
      <c r="L420" t="n">
        <v>0</v>
      </c>
      <c r="M420" t="n">
        <v>0</v>
      </c>
      <c r="N420" t="n">
        <v>0</v>
      </c>
      <c r="O420" t="n">
        <v>0</v>
      </c>
      <c r="P420" t="n">
        <v>0</v>
      </c>
      <c r="Q420" t="n">
        <v>0</v>
      </c>
      <c r="R420" s="2" t="inlineStr"/>
    </row>
    <row r="421" ht="15" customHeight="1">
      <c r="A421" t="inlineStr">
        <is>
          <t>A 35623-2025</t>
        </is>
      </c>
      <c r="B421" s="1" t="n">
        <v>45859</v>
      </c>
      <c r="C421" s="1" t="n">
        <v>46073</v>
      </c>
      <c r="D421" t="inlineStr">
        <is>
          <t>DALARNAS LÄN</t>
        </is>
      </c>
      <c r="E421" t="inlineStr">
        <is>
          <t>MORA</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35624-2025</t>
        </is>
      </c>
      <c r="B422" s="1" t="n">
        <v>45859</v>
      </c>
      <c r="C422" s="1" t="n">
        <v>46073</v>
      </c>
      <c r="D422" t="inlineStr">
        <is>
          <t>DALARNAS LÄN</t>
        </is>
      </c>
      <c r="E422" t="inlineStr">
        <is>
          <t>MORA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1881-2026</t>
        </is>
      </c>
      <c r="B423" s="1" t="n">
        <v>46035.4731712963</v>
      </c>
      <c r="C423" s="1" t="n">
        <v>46073</v>
      </c>
      <c r="D423" t="inlineStr">
        <is>
          <t>DALARNAS LÄN</t>
        </is>
      </c>
      <c r="E423" t="inlineStr">
        <is>
          <t>MORA</t>
        </is>
      </c>
      <c r="G423" t="n">
        <v>5.2</v>
      </c>
      <c r="H423" t="n">
        <v>0</v>
      </c>
      <c r="I423" t="n">
        <v>0</v>
      </c>
      <c r="J423" t="n">
        <v>0</v>
      </c>
      <c r="K423" t="n">
        <v>0</v>
      </c>
      <c r="L423" t="n">
        <v>0</v>
      </c>
      <c r="M423" t="n">
        <v>0</v>
      </c>
      <c r="N423" t="n">
        <v>0</v>
      </c>
      <c r="O423" t="n">
        <v>0</v>
      </c>
      <c r="P423" t="n">
        <v>0</v>
      </c>
      <c r="Q423" t="n">
        <v>0</v>
      </c>
      <c r="R423" s="2" t="inlineStr"/>
    </row>
    <row r="424" ht="15" customHeight="1">
      <c r="A424" t="inlineStr">
        <is>
          <t>A 42611-2022</t>
        </is>
      </c>
      <c r="B424" s="1" t="n">
        <v>44831.81482638889</v>
      </c>
      <c r="C424" s="1" t="n">
        <v>46073</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15416-2023</t>
        </is>
      </c>
      <c r="B425" s="1" t="n">
        <v>45019.71342592593</v>
      </c>
      <c r="C425" s="1" t="n">
        <v>46073</v>
      </c>
      <c r="D425" t="inlineStr">
        <is>
          <t>DALARNAS LÄN</t>
        </is>
      </c>
      <c r="E425" t="inlineStr">
        <is>
          <t>MORA</t>
        </is>
      </c>
      <c r="G425" t="n">
        <v>2</v>
      </c>
      <c r="H425" t="n">
        <v>0</v>
      </c>
      <c r="I425" t="n">
        <v>0</v>
      </c>
      <c r="J425" t="n">
        <v>0</v>
      </c>
      <c r="K425" t="n">
        <v>0</v>
      </c>
      <c r="L425" t="n">
        <v>0</v>
      </c>
      <c r="M425" t="n">
        <v>0</v>
      </c>
      <c r="N425" t="n">
        <v>0</v>
      </c>
      <c r="O425" t="n">
        <v>0</v>
      </c>
      <c r="P425" t="n">
        <v>0</v>
      </c>
      <c r="Q425" t="n">
        <v>0</v>
      </c>
      <c r="R425" s="2" t="inlineStr"/>
    </row>
    <row r="426" ht="15" customHeight="1">
      <c r="A426" t="inlineStr">
        <is>
          <t>A 36041-2025</t>
        </is>
      </c>
      <c r="B426" s="1" t="n">
        <v>45866.34385416667</v>
      </c>
      <c r="C426" s="1" t="n">
        <v>46073</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2110-2026</t>
        </is>
      </c>
      <c r="B427" s="1" t="n">
        <v>46036.37797453703</v>
      </c>
      <c r="C427" s="1" t="n">
        <v>46073</v>
      </c>
      <c r="D427" t="inlineStr">
        <is>
          <t>DALARNAS LÄN</t>
        </is>
      </c>
      <c r="E427" t="inlineStr">
        <is>
          <t>MORA</t>
        </is>
      </c>
      <c r="G427" t="n">
        <v>7.2</v>
      </c>
      <c r="H427" t="n">
        <v>0</v>
      </c>
      <c r="I427" t="n">
        <v>0</v>
      </c>
      <c r="J427" t="n">
        <v>0</v>
      </c>
      <c r="K427" t="n">
        <v>0</v>
      </c>
      <c r="L427" t="n">
        <v>0</v>
      </c>
      <c r="M427" t="n">
        <v>0</v>
      </c>
      <c r="N427" t="n">
        <v>0</v>
      </c>
      <c r="O427" t="n">
        <v>0</v>
      </c>
      <c r="P427" t="n">
        <v>0</v>
      </c>
      <c r="Q427" t="n">
        <v>0</v>
      </c>
      <c r="R427" s="2" t="inlineStr"/>
    </row>
    <row r="428" ht="15" customHeight="1">
      <c r="A428" t="inlineStr">
        <is>
          <t>A 52288-2024</t>
        </is>
      </c>
      <c r="B428" s="1" t="n">
        <v>45608.69395833334</v>
      </c>
      <c r="C428" s="1" t="n">
        <v>46073</v>
      </c>
      <c r="D428" t="inlineStr">
        <is>
          <t>DALARNAS LÄN</t>
        </is>
      </c>
      <c r="E428" t="inlineStr">
        <is>
          <t>MORA</t>
        </is>
      </c>
      <c r="G428" t="n">
        <v>2</v>
      </c>
      <c r="H428" t="n">
        <v>0</v>
      </c>
      <c r="I428" t="n">
        <v>0</v>
      </c>
      <c r="J428" t="n">
        <v>0</v>
      </c>
      <c r="K428" t="n">
        <v>0</v>
      </c>
      <c r="L428" t="n">
        <v>0</v>
      </c>
      <c r="M428" t="n">
        <v>0</v>
      </c>
      <c r="N428" t="n">
        <v>0</v>
      </c>
      <c r="O428" t="n">
        <v>0</v>
      </c>
      <c r="P428" t="n">
        <v>0</v>
      </c>
      <c r="Q428" t="n">
        <v>0</v>
      </c>
      <c r="R428" s="2" t="inlineStr"/>
    </row>
    <row r="429" ht="15" customHeight="1">
      <c r="A429" t="inlineStr">
        <is>
          <t>A 25935-2023</t>
        </is>
      </c>
      <c r="B429" s="1" t="n">
        <v>45090.68675925926</v>
      </c>
      <c r="C429" s="1" t="n">
        <v>46073</v>
      </c>
      <c r="D429" t="inlineStr">
        <is>
          <t>DALARNAS LÄN</t>
        </is>
      </c>
      <c r="E429" t="inlineStr">
        <is>
          <t>MORA</t>
        </is>
      </c>
      <c r="G429" t="n">
        <v>1.4</v>
      </c>
      <c r="H429" t="n">
        <v>0</v>
      </c>
      <c r="I429" t="n">
        <v>0</v>
      </c>
      <c r="J429" t="n">
        <v>0</v>
      </c>
      <c r="K429" t="n">
        <v>0</v>
      </c>
      <c r="L429" t="n">
        <v>0</v>
      </c>
      <c r="M429" t="n">
        <v>0</v>
      </c>
      <c r="N429" t="n">
        <v>0</v>
      </c>
      <c r="O429" t="n">
        <v>0</v>
      </c>
      <c r="P429" t="n">
        <v>0</v>
      </c>
      <c r="Q429" t="n">
        <v>0</v>
      </c>
      <c r="R429" s="2" t="inlineStr"/>
    </row>
    <row r="430" ht="15" customHeight="1">
      <c r="A430" t="inlineStr">
        <is>
          <t>A 16174-2025</t>
        </is>
      </c>
      <c r="B430" s="1" t="n">
        <v>45750</v>
      </c>
      <c r="C430" s="1" t="n">
        <v>46073</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24768-2024</t>
        </is>
      </c>
      <c r="B431" s="1" t="n">
        <v>45460.69545138889</v>
      </c>
      <c r="C431" s="1" t="n">
        <v>46073</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36586-2025</t>
        </is>
      </c>
      <c r="B432" s="1" t="n">
        <v>45869</v>
      </c>
      <c r="C432" s="1" t="n">
        <v>46073</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2521-2026</t>
        </is>
      </c>
      <c r="B433" s="1" t="n">
        <v>46037.42600694444</v>
      </c>
      <c r="C433" s="1" t="n">
        <v>46073</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50911-2024</t>
        </is>
      </c>
      <c r="B434" s="1" t="n">
        <v>45602.7022337963</v>
      </c>
      <c r="C434" s="1" t="n">
        <v>46073</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35040-2023</t>
        </is>
      </c>
      <c r="B435" s="1" t="n">
        <v>45145.36853009259</v>
      </c>
      <c r="C435" s="1" t="n">
        <v>46073</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58036-2024</t>
        </is>
      </c>
      <c r="B436" s="1" t="n">
        <v>45631.71893518518</v>
      </c>
      <c r="C436" s="1" t="n">
        <v>46073</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28964-2024</t>
        </is>
      </c>
      <c r="B437" s="1" t="n">
        <v>45481.42923611111</v>
      </c>
      <c r="C437" s="1" t="n">
        <v>46073</v>
      </c>
      <c r="D437" t="inlineStr">
        <is>
          <t>DALARNAS LÄN</t>
        </is>
      </c>
      <c r="E437" t="inlineStr">
        <is>
          <t>MORA</t>
        </is>
      </c>
      <c r="G437" t="n">
        <v>1.3</v>
      </c>
      <c r="H437" t="n">
        <v>0</v>
      </c>
      <c r="I437" t="n">
        <v>0</v>
      </c>
      <c r="J437" t="n">
        <v>0</v>
      </c>
      <c r="K437" t="n">
        <v>0</v>
      </c>
      <c r="L437" t="n">
        <v>0</v>
      </c>
      <c r="M437" t="n">
        <v>0</v>
      </c>
      <c r="N437" t="n">
        <v>0</v>
      </c>
      <c r="O437" t="n">
        <v>0</v>
      </c>
      <c r="P437" t="n">
        <v>0</v>
      </c>
      <c r="Q437" t="n">
        <v>0</v>
      </c>
      <c r="R437" s="2" t="inlineStr"/>
    </row>
    <row r="438" ht="15" customHeight="1">
      <c r="A438" t="inlineStr">
        <is>
          <t>A 27420-2024</t>
        </is>
      </c>
      <c r="B438" s="1" t="n">
        <v>45474.37850694444</v>
      </c>
      <c r="C438" s="1" t="n">
        <v>46073</v>
      </c>
      <c r="D438" t="inlineStr">
        <is>
          <t>DALARNAS LÄN</t>
        </is>
      </c>
      <c r="E438" t="inlineStr">
        <is>
          <t>MORA</t>
        </is>
      </c>
      <c r="G438" t="n">
        <v>7.3</v>
      </c>
      <c r="H438" t="n">
        <v>0</v>
      </c>
      <c r="I438" t="n">
        <v>0</v>
      </c>
      <c r="J438" t="n">
        <v>0</v>
      </c>
      <c r="K438" t="n">
        <v>0</v>
      </c>
      <c r="L438" t="n">
        <v>0</v>
      </c>
      <c r="M438" t="n">
        <v>0</v>
      </c>
      <c r="N438" t="n">
        <v>0</v>
      </c>
      <c r="O438" t="n">
        <v>0</v>
      </c>
      <c r="P438" t="n">
        <v>0</v>
      </c>
      <c r="Q438" t="n">
        <v>0</v>
      </c>
      <c r="R438" s="2" t="inlineStr"/>
    </row>
    <row r="439" ht="15" customHeight="1">
      <c r="A439" t="inlineStr">
        <is>
          <t>A 36760-2025</t>
        </is>
      </c>
      <c r="B439" s="1" t="n">
        <v>45873.57319444444</v>
      </c>
      <c r="C439" s="1" t="n">
        <v>46073</v>
      </c>
      <c r="D439" t="inlineStr">
        <is>
          <t>DALARNAS LÄN</t>
        </is>
      </c>
      <c r="E439" t="inlineStr">
        <is>
          <t>MORA</t>
        </is>
      </c>
      <c r="G439" t="n">
        <v>4.6</v>
      </c>
      <c r="H439" t="n">
        <v>0</v>
      </c>
      <c r="I439" t="n">
        <v>0</v>
      </c>
      <c r="J439" t="n">
        <v>0</v>
      </c>
      <c r="K439" t="n">
        <v>0</v>
      </c>
      <c r="L439" t="n">
        <v>0</v>
      </c>
      <c r="M439" t="n">
        <v>0</v>
      </c>
      <c r="N439" t="n">
        <v>0</v>
      </c>
      <c r="O439" t="n">
        <v>0</v>
      </c>
      <c r="P439" t="n">
        <v>0</v>
      </c>
      <c r="Q439" t="n">
        <v>0</v>
      </c>
      <c r="R439" s="2" t="inlineStr"/>
    </row>
    <row r="440" ht="15" customHeight="1">
      <c r="A440" t="inlineStr">
        <is>
          <t>A 22854-2023</t>
        </is>
      </c>
      <c r="B440" s="1" t="n">
        <v>45072</v>
      </c>
      <c r="C440" s="1" t="n">
        <v>46073</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36846-2025</t>
        </is>
      </c>
      <c r="B441" s="1" t="n">
        <v>45874.38655092593</v>
      </c>
      <c r="C441" s="1" t="n">
        <v>46073</v>
      </c>
      <c r="D441" t="inlineStr">
        <is>
          <t>DALARNAS LÄN</t>
        </is>
      </c>
      <c r="E441" t="inlineStr">
        <is>
          <t>MORA</t>
        </is>
      </c>
      <c r="G441" t="n">
        <v>10.7</v>
      </c>
      <c r="H441" t="n">
        <v>0</v>
      </c>
      <c r="I441" t="n">
        <v>0</v>
      </c>
      <c r="J441" t="n">
        <v>0</v>
      </c>
      <c r="K441" t="n">
        <v>0</v>
      </c>
      <c r="L441" t="n">
        <v>0</v>
      </c>
      <c r="M441" t="n">
        <v>0</v>
      </c>
      <c r="N441" t="n">
        <v>0</v>
      </c>
      <c r="O441" t="n">
        <v>0</v>
      </c>
      <c r="P441" t="n">
        <v>0</v>
      </c>
      <c r="Q441" t="n">
        <v>0</v>
      </c>
      <c r="R441" s="2" t="inlineStr"/>
    </row>
    <row r="442" ht="15" customHeight="1">
      <c r="A442" t="inlineStr">
        <is>
          <t>A 2786-2026</t>
        </is>
      </c>
      <c r="B442" s="1" t="n">
        <v>46038.39023148148</v>
      </c>
      <c r="C442" s="1" t="n">
        <v>46073</v>
      </c>
      <c r="D442" t="inlineStr">
        <is>
          <t>DALARNAS LÄN</t>
        </is>
      </c>
      <c r="E442" t="inlineStr">
        <is>
          <t>MORA</t>
        </is>
      </c>
      <c r="G442" t="n">
        <v>1.4</v>
      </c>
      <c r="H442" t="n">
        <v>0</v>
      </c>
      <c r="I442" t="n">
        <v>0</v>
      </c>
      <c r="J442" t="n">
        <v>0</v>
      </c>
      <c r="K442" t="n">
        <v>0</v>
      </c>
      <c r="L442" t="n">
        <v>0</v>
      </c>
      <c r="M442" t="n">
        <v>0</v>
      </c>
      <c r="N442" t="n">
        <v>0</v>
      </c>
      <c r="O442" t="n">
        <v>0</v>
      </c>
      <c r="P442" t="n">
        <v>0</v>
      </c>
      <c r="Q442" t="n">
        <v>0</v>
      </c>
      <c r="R442" s="2" t="inlineStr"/>
    </row>
    <row r="443" ht="15" customHeight="1">
      <c r="A443" t="inlineStr">
        <is>
          <t>A 2729-2026</t>
        </is>
      </c>
      <c r="B443" s="1" t="n">
        <v>46037.84224537037</v>
      </c>
      <c r="C443" s="1" t="n">
        <v>46073</v>
      </c>
      <c r="D443" t="inlineStr">
        <is>
          <t>DALARNAS LÄN</t>
        </is>
      </c>
      <c r="E443" t="inlineStr">
        <is>
          <t>MORA</t>
        </is>
      </c>
      <c r="G443" t="n">
        <v>18.5</v>
      </c>
      <c r="H443" t="n">
        <v>0</v>
      </c>
      <c r="I443" t="n">
        <v>0</v>
      </c>
      <c r="J443" t="n">
        <v>0</v>
      </c>
      <c r="K443" t="n">
        <v>0</v>
      </c>
      <c r="L443" t="n">
        <v>0</v>
      </c>
      <c r="M443" t="n">
        <v>0</v>
      </c>
      <c r="N443" t="n">
        <v>0</v>
      </c>
      <c r="O443" t="n">
        <v>0</v>
      </c>
      <c r="P443" t="n">
        <v>0</v>
      </c>
      <c r="Q443" t="n">
        <v>0</v>
      </c>
      <c r="R443" s="2" t="inlineStr"/>
    </row>
    <row r="444" ht="15" customHeight="1">
      <c r="A444" t="inlineStr">
        <is>
          <t>A 37268-2025</t>
        </is>
      </c>
      <c r="B444" s="1" t="n">
        <v>45876.46681712963</v>
      </c>
      <c r="C444" s="1" t="n">
        <v>46073</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12920-2022</t>
        </is>
      </c>
      <c r="B445" s="1" t="n">
        <v>44642.65418981481</v>
      </c>
      <c r="C445" s="1" t="n">
        <v>46073</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61188-2024</t>
        </is>
      </c>
      <c r="B446" s="1" t="n">
        <v>45645.62282407407</v>
      </c>
      <c r="C446" s="1" t="n">
        <v>46073</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37070-2025</t>
        </is>
      </c>
      <c r="B447" s="1" t="n">
        <v>45875.39822916667</v>
      </c>
      <c r="C447" s="1" t="n">
        <v>46073</v>
      </c>
      <c r="D447" t="inlineStr">
        <is>
          <t>DALARNAS LÄN</t>
        </is>
      </c>
      <c r="E447" t="inlineStr">
        <is>
          <t>MORA</t>
        </is>
      </c>
      <c r="G447" t="n">
        <v>2.7</v>
      </c>
      <c r="H447" t="n">
        <v>0</v>
      </c>
      <c r="I447" t="n">
        <v>0</v>
      </c>
      <c r="J447" t="n">
        <v>0</v>
      </c>
      <c r="K447" t="n">
        <v>0</v>
      </c>
      <c r="L447" t="n">
        <v>0</v>
      </c>
      <c r="M447" t="n">
        <v>0</v>
      </c>
      <c r="N447" t="n">
        <v>0</v>
      </c>
      <c r="O447" t="n">
        <v>0</v>
      </c>
      <c r="P447" t="n">
        <v>0</v>
      </c>
      <c r="Q447" t="n">
        <v>0</v>
      </c>
      <c r="R447" s="2" t="inlineStr"/>
    </row>
    <row r="448" ht="15" customHeight="1">
      <c r="A448" t="inlineStr">
        <is>
          <t>A 2637-2026</t>
        </is>
      </c>
      <c r="B448" s="1" t="n">
        <v>46037.61490740741</v>
      </c>
      <c r="C448" s="1" t="n">
        <v>46073</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58089-2024</t>
        </is>
      </c>
      <c r="B449" s="1" t="n">
        <v>45632.34984953704</v>
      </c>
      <c r="C449" s="1" t="n">
        <v>46073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61350-2024</t>
        </is>
      </c>
      <c r="B450" s="1" t="n">
        <v>45646.37872685185</v>
      </c>
      <c r="C450" s="1" t="n">
        <v>46073</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2995-2026</t>
        </is>
      </c>
      <c r="B451" s="1" t="n">
        <v>46038</v>
      </c>
      <c r="C451" s="1" t="n">
        <v>46073</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60957-2025</t>
        </is>
      </c>
      <c r="B452" s="1" t="n">
        <v>45999.65799768519</v>
      </c>
      <c r="C452" s="1" t="n">
        <v>46073</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43533-2023</t>
        </is>
      </c>
      <c r="B453" s="1" t="n">
        <v>45184.53412037037</v>
      </c>
      <c r="C453" s="1" t="n">
        <v>46073</v>
      </c>
      <c r="D453" t="inlineStr">
        <is>
          <t>DALARNAS LÄN</t>
        </is>
      </c>
      <c r="E453" t="inlineStr">
        <is>
          <t>MORA</t>
        </is>
      </c>
      <c r="F453" t="inlineStr">
        <is>
          <t>Bergvik skog väst AB</t>
        </is>
      </c>
      <c r="G453" t="n">
        <v>10.3</v>
      </c>
      <c r="H453" t="n">
        <v>0</v>
      </c>
      <c r="I453" t="n">
        <v>0</v>
      </c>
      <c r="J453" t="n">
        <v>0</v>
      </c>
      <c r="K453" t="n">
        <v>0</v>
      </c>
      <c r="L453" t="n">
        <v>0</v>
      </c>
      <c r="M453" t="n">
        <v>0</v>
      </c>
      <c r="N453" t="n">
        <v>0</v>
      </c>
      <c r="O453" t="n">
        <v>0</v>
      </c>
      <c r="P453" t="n">
        <v>0</v>
      </c>
      <c r="Q453" t="n">
        <v>0</v>
      </c>
      <c r="R453" s="2" t="inlineStr"/>
    </row>
    <row r="454" ht="15" customHeight="1">
      <c r="A454" t="inlineStr">
        <is>
          <t>A 30998-2022</t>
        </is>
      </c>
      <c r="B454" s="1" t="n">
        <v>44768</v>
      </c>
      <c r="C454" s="1" t="n">
        <v>46073</v>
      </c>
      <c r="D454" t="inlineStr">
        <is>
          <t>DALARNAS LÄN</t>
        </is>
      </c>
      <c r="E454" t="inlineStr">
        <is>
          <t>MORA</t>
        </is>
      </c>
      <c r="G454" t="n">
        <v>1.7</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46073</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8343-2025</t>
        </is>
      </c>
      <c r="B456" s="1" t="n">
        <v>45708.67253472222</v>
      </c>
      <c r="C456" s="1" t="n">
        <v>46073</v>
      </c>
      <c r="D456" t="inlineStr">
        <is>
          <t>DALARNAS LÄN</t>
        </is>
      </c>
      <c r="E456" t="inlineStr">
        <is>
          <t>MORA</t>
        </is>
      </c>
      <c r="G456" t="n">
        <v>3.4</v>
      </c>
      <c r="H456" t="n">
        <v>0</v>
      </c>
      <c r="I456" t="n">
        <v>0</v>
      </c>
      <c r="J456" t="n">
        <v>0</v>
      </c>
      <c r="K456" t="n">
        <v>0</v>
      </c>
      <c r="L456" t="n">
        <v>0</v>
      </c>
      <c r="M456" t="n">
        <v>0</v>
      </c>
      <c r="N456" t="n">
        <v>0</v>
      </c>
      <c r="O456" t="n">
        <v>0</v>
      </c>
      <c r="P456" t="n">
        <v>0</v>
      </c>
      <c r="Q456" t="n">
        <v>0</v>
      </c>
      <c r="R456" s="2" t="inlineStr"/>
    </row>
    <row r="457" ht="15" customHeight="1">
      <c r="A457" t="inlineStr">
        <is>
          <t>A 38086-2025</t>
        </is>
      </c>
      <c r="B457" s="1" t="n">
        <v>45882.47625</v>
      </c>
      <c r="C457" s="1" t="n">
        <v>46073</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37879-2025</t>
        </is>
      </c>
      <c r="B458" s="1" t="n">
        <v>45881.48791666667</v>
      </c>
      <c r="C458" s="1" t="n">
        <v>46073</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53527-2024</t>
        </is>
      </c>
      <c r="B459" s="1" t="n">
        <v>45614.61569444444</v>
      </c>
      <c r="C459" s="1" t="n">
        <v>46073</v>
      </c>
      <c r="D459" t="inlineStr">
        <is>
          <t>DALARNAS LÄN</t>
        </is>
      </c>
      <c r="E459" t="inlineStr">
        <is>
          <t>MORA</t>
        </is>
      </c>
      <c r="G459" t="n">
        <v>3.3</v>
      </c>
      <c r="H459" t="n">
        <v>0</v>
      </c>
      <c r="I459" t="n">
        <v>0</v>
      </c>
      <c r="J459" t="n">
        <v>0</v>
      </c>
      <c r="K459" t="n">
        <v>0</v>
      </c>
      <c r="L459" t="n">
        <v>0</v>
      </c>
      <c r="M459" t="n">
        <v>0</v>
      </c>
      <c r="N459" t="n">
        <v>0</v>
      </c>
      <c r="O459" t="n">
        <v>0</v>
      </c>
      <c r="P459" t="n">
        <v>0</v>
      </c>
      <c r="Q459" t="n">
        <v>0</v>
      </c>
      <c r="R459" s="2" t="inlineStr"/>
    </row>
    <row r="460" ht="15" customHeight="1">
      <c r="A460" t="inlineStr">
        <is>
          <t>A 55691-2023</t>
        </is>
      </c>
      <c r="B460" s="1" t="n">
        <v>45239.36509259259</v>
      </c>
      <c r="C460" s="1" t="n">
        <v>46073</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63958-2023</t>
        </is>
      </c>
      <c r="B461" s="1" t="n">
        <v>45278</v>
      </c>
      <c r="C461" s="1" t="n">
        <v>46073</v>
      </c>
      <c r="D461" t="inlineStr">
        <is>
          <t>DALARNAS LÄN</t>
        </is>
      </c>
      <c r="E461" t="inlineStr">
        <is>
          <t>MORA</t>
        </is>
      </c>
      <c r="G461" t="n">
        <v>1.9</v>
      </c>
      <c r="H461" t="n">
        <v>0</v>
      </c>
      <c r="I461" t="n">
        <v>0</v>
      </c>
      <c r="J461" t="n">
        <v>0</v>
      </c>
      <c r="K461" t="n">
        <v>0</v>
      </c>
      <c r="L461" t="n">
        <v>0</v>
      </c>
      <c r="M461" t="n">
        <v>0</v>
      </c>
      <c r="N461" t="n">
        <v>0</v>
      </c>
      <c r="O461" t="n">
        <v>0</v>
      </c>
      <c r="P461" t="n">
        <v>0</v>
      </c>
      <c r="Q461" t="n">
        <v>0</v>
      </c>
      <c r="R461" s="2" t="inlineStr"/>
    </row>
    <row r="462" ht="15" customHeight="1">
      <c r="A462" t="inlineStr">
        <is>
          <t>A 61278-2024</t>
        </is>
      </c>
      <c r="B462" s="1" t="n">
        <v>45645.76561342592</v>
      </c>
      <c r="C462" s="1" t="n">
        <v>46073</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48522-2024</t>
        </is>
      </c>
      <c r="B463" s="1" t="n">
        <v>45593.32924768519</v>
      </c>
      <c r="C463" s="1" t="n">
        <v>46073</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25494-2024</t>
        </is>
      </c>
      <c r="B464" s="1" t="n">
        <v>45463</v>
      </c>
      <c r="C464" s="1" t="n">
        <v>46073</v>
      </c>
      <c r="D464" t="inlineStr">
        <is>
          <t>DALARNAS LÄN</t>
        </is>
      </c>
      <c r="E464" t="inlineStr">
        <is>
          <t>MORA</t>
        </is>
      </c>
      <c r="G464" t="n">
        <v>4.9</v>
      </c>
      <c r="H464" t="n">
        <v>0</v>
      </c>
      <c r="I464" t="n">
        <v>0</v>
      </c>
      <c r="J464" t="n">
        <v>0</v>
      </c>
      <c r="K464" t="n">
        <v>0</v>
      </c>
      <c r="L464" t="n">
        <v>0</v>
      </c>
      <c r="M464" t="n">
        <v>0</v>
      </c>
      <c r="N464" t="n">
        <v>0</v>
      </c>
      <c r="O464" t="n">
        <v>0</v>
      </c>
      <c r="P464" t="n">
        <v>0</v>
      </c>
      <c r="Q464" t="n">
        <v>0</v>
      </c>
      <c r="R464" s="2" t="inlineStr"/>
    </row>
    <row r="465" ht="15" customHeight="1">
      <c r="A465" t="inlineStr">
        <is>
          <t>A 17164-2025</t>
        </is>
      </c>
      <c r="B465" s="1" t="n">
        <v>45756.36403935185</v>
      </c>
      <c r="C465" s="1" t="n">
        <v>46073</v>
      </c>
      <c r="D465" t="inlineStr">
        <is>
          <t>DALARNAS LÄN</t>
        </is>
      </c>
      <c r="E465" t="inlineStr">
        <is>
          <t>MORA</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37774-2022</t>
        </is>
      </c>
      <c r="B466" s="1" t="n">
        <v>44810.64164351852</v>
      </c>
      <c r="C466" s="1" t="n">
        <v>46073</v>
      </c>
      <c r="D466" t="inlineStr">
        <is>
          <t>DALARNAS LÄN</t>
        </is>
      </c>
      <c r="E466" t="inlineStr">
        <is>
          <t>MORA</t>
        </is>
      </c>
      <c r="F466" t="inlineStr">
        <is>
          <t>Bergvik skog väst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48342-2023</t>
        </is>
      </c>
      <c r="B467" s="1" t="n">
        <v>45205</v>
      </c>
      <c r="C467" s="1" t="n">
        <v>46073</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3440-2026</t>
        </is>
      </c>
      <c r="B468" s="1" t="n">
        <v>46042.475625</v>
      </c>
      <c r="C468" s="1" t="n">
        <v>46073</v>
      </c>
      <c r="D468" t="inlineStr">
        <is>
          <t>DALARNAS LÄN</t>
        </is>
      </c>
      <c r="E468" t="inlineStr">
        <is>
          <t>MORA</t>
        </is>
      </c>
      <c r="G468" t="n">
        <v>6.7</v>
      </c>
      <c r="H468" t="n">
        <v>0</v>
      </c>
      <c r="I468" t="n">
        <v>0</v>
      </c>
      <c r="J468" t="n">
        <v>0</v>
      </c>
      <c r="K468" t="n">
        <v>0</v>
      </c>
      <c r="L468" t="n">
        <v>0</v>
      </c>
      <c r="M468" t="n">
        <v>0</v>
      </c>
      <c r="N468" t="n">
        <v>0</v>
      </c>
      <c r="O468" t="n">
        <v>0</v>
      </c>
      <c r="P468" t="n">
        <v>0</v>
      </c>
      <c r="Q468" t="n">
        <v>0</v>
      </c>
      <c r="R468" s="2" t="inlineStr"/>
    </row>
    <row r="469" ht="15" customHeight="1">
      <c r="A469" t="inlineStr">
        <is>
          <t>A 3149-2026</t>
        </is>
      </c>
      <c r="B469" s="1" t="n">
        <v>46041.42416666666</v>
      </c>
      <c r="C469" s="1" t="n">
        <v>46073</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3247-2026</t>
        </is>
      </c>
      <c r="B470" s="1" t="n">
        <v>46041</v>
      </c>
      <c r="C470" s="1" t="n">
        <v>46073</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3145-2026</t>
        </is>
      </c>
      <c r="B471" s="1" t="n">
        <v>46041.41971064815</v>
      </c>
      <c r="C471" s="1" t="n">
        <v>46073</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61455-2025</t>
        </is>
      </c>
      <c r="B472" s="1" t="n">
        <v>46001.58590277778</v>
      </c>
      <c r="C472" s="1" t="n">
        <v>46073</v>
      </c>
      <c r="D472" t="inlineStr">
        <is>
          <t>DALARNAS LÄN</t>
        </is>
      </c>
      <c r="E472" t="inlineStr">
        <is>
          <t>MORA</t>
        </is>
      </c>
      <c r="G472" t="n">
        <v>3.4</v>
      </c>
      <c r="H472" t="n">
        <v>0</v>
      </c>
      <c r="I472" t="n">
        <v>0</v>
      </c>
      <c r="J472" t="n">
        <v>0</v>
      </c>
      <c r="K472" t="n">
        <v>0</v>
      </c>
      <c r="L472" t="n">
        <v>0</v>
      </c>
      <c r="M472" t="n">
        <v>0</v>
      </c>
      <c r="N472" t="n">
        <v>0</v>
      </c>
      <c r="O472" t="n">
        <v>0</v>
      </c>
      <c r="P472" t="n">
        <v>0</v>
      </c>
      <c r="Q472" t="n">
        <v>0</v>
      </c>
      <c r="R472" s="2" t="inlineStr"/>
    </row>
    <row r="473" ht="15" customHeight="1">
      <c r="A473" t="inlineStr">
        <is>
          <t>A 61412-2025</t>
        </is>
      </c>
      <c r="B473" s="1" t="n">
        <v>46001.5266087963</v>
      </c>
      <c r="C473" s="1" t="n">
        <v>46073</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56532-2024</t>
        </is>
      </c>
      <c r="B474" s="1" t="n">
        <v>45625.55440972222</v>
      </c>
      <c r="C474" s="1" t="n">
        <v>46073</v>
      </c>
      <c r="D474" t="inlineStr">
        <is>
          <t>DALARNAS LÄN</t>
        </is>
      </c>
      <c r="E474" t="inlineStr">
        <is>
          <t>MORA</t>
        </is>
      </c>
      <c r="G474" t="n">
        <v>6.9</v>
      </c>
      <c r="H474" t="n">
        <v>0</v>
      </c>
      <c r="I474" t="n">
        <v>0</v>
      </c>
      <c r="J474" t="n">
        <v>0</v>
      </c>
      <c r="K474" t="n">
        <v>0</v>
      </c>
      <c r="L474" t="n">
        <v>0</v>
      </c>
      <c r="M474" t="n">
        <v>0</v>
      </c>
      <c r="N474" t="n">
        <v>0</v>
      </c>
      <c r="O474" t="n">
        <v>0</v>
      </c>
      <c r="P474" t="n">
        <v>0</v>
      </c>
      <c r="Q474" t="n">
        <v>0</v>
      </c>
      <c r="R474" s="2" t="inlineStr"/>
    </row>
    <row r="475" ht="15" customHeight="1">
      <c r="A475" t="inlineStr">
        <is>
          <t>A 3876-2026</t>
        </is>
      </c>
      <c r="B475" s="1" t="n">
        <v>46043.64811342592</v>
      </c>
      <c r="C475" s="1" t="n">
        <v>46073</v>
      </c>
      <c r="D475" t="inlineStr">
        <is>
          <t>DALARNAS LÄN</t>
        </is>
      </c>
      <c r="E475" t="inlineStr">
        <is>
          <t>MORA</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24465-2021</t>
        </is>
      </c>
      <c r="B476" s="1" t="n">
        <v>44337</v>
      </c>
      <c r="C476" s="1" t="n">
        <v>46073</v>
      </c>
      <c r="D476" t="inlineStr">
        <is>
          <t>DALARNAS LÄN</t>
        </is>
      </c>
      <c r="E476" t="inlineStr">
        <is>
          <t>MORA</t>
        </is>
      </c>
      <c r="G476" t="n">
        <v>2.6</v>
      </c>
      <c r="H476" t="n">
        <v>0</v>
      </c>
      <c r="I476" t="n">
        <v>0</v>
      </c>
      <c r="J476" t="n">
        <v>0</v>
      </c>
      <c r="K476" t="n">
        <v>0</v>
      </c>
      <c r="L476" t="n">
        <v>0</v>
      </c>
      <c r="M476" t="n">
        <v>0</v>
      </c>
      <c r="N476" t="n">
        <v>0</v>
      </c>
      <c r="O476" t="n">
        <v>0</v>
      </c>
      <c r="P476" t="n">
        <v>0</v>
      </c>
      <c r="Q476" t="n">
        <v>0</v>
      </c>
      <c r="R476" s="2" t="inlineStr"/>
    </row>
    <row r="477" ht="15" customHeight="1">
      <c r="A477" t="inlineStr">
        <is>
          <t>A 5298-2023</t>
        </is>
      </c>
      <c r="B477" s="1" t="n">
        <v>44959.54355324074</v>
      </c>
      <c r="C477" s="1" t="n">
        <v>46073</v>
      </c>
      <c r="D477" t="inlineStr">
        <is>
          <t>DALARNAS LÄN</t>
        </is>
      </c>
      <c r="E477" t="inlineStr">
        <is>
          <t>MORA</t>
        </is>
      </c>
      <c r="F477" t="inlineStr">
        <is>
          <t>Bergvik skog väst AB</t>
        </is>
      </c>
      <c r="G477" t="n">
        <v>6.2</v>
      </c>
      <c r="H477" t="n">
        <v>0</v>
      </c>
      <c r="I477" t="n">
        <v>0</v>
      </c>
      <c r="J477" t="n">
        <v>0</v>
      </c>
      <c r="K477" t="n">
        <v>0</v>
      </c>
      <c r="L477" t="n">
        <v>0</v>
      </c>
      <c r="M477" t="n">
        <v>0</v>
      </c>
      <c r="N477" t="n">
        <v>0</v>
      </c>
      <c r="O477" t="n">
        <v>0</v>
      </c>
      <c r="P477" t="n">
        <v>0</v>
      </c>
      <c r="Q477" t="n">
        <v>0</v>
      </c>
      <c r="R477" s="2" t="inlineStr"/>
    </row>
    <row r="478" ht="15" customHeight="1">
      <c r="A478" t="inlineStr">
        <is>
          <t>A 61620-2025</t>
        </is>
      </c>
      <c r="B478" s="1" t="n">
        <v>46002.39347222223</v>
      </c>
      <c r="C478" s="1" t="n">
        <v>46073</v>
      </c>
      <c r="D478" t="inlineStr">
        <is>
          <t>DALARNAS LÄN</t>
        </is>
      </c>
      <c r="E478" t="inlineStr">
        <is>
          <t>MORA</t>
        </is>
      </c>
      <c r="G478" t="n">
        <v>3</v>
      </c>
      <c r="H478" t="n">
        <v>0</v>
      </c>
      <c r="I478" t="n">
        <v>0</v>
      </c>
      <c r="J478" t="n">
        <v>0</v>
      </c>
      <c r="K478" t="n">
        <v>0</v>
      </c>
      <c r="L478" t="n">
        <v>0</v>
      </c>
      <c r="M478" t="n">
        <v>0</v>
      </c>
      <c r="N478" t="n">
        <v>0</v>
      </c>
      <c r="O478" t="n">
        <v>0</v>
      </c>
      <c r="P478" t="n">
        <v>0</v>
      </c>
      <c r="Q478" t="n">
        <v>0</v>
      </c>
      <c r="R478" s="2" t="inlineStr"/>
    </row>
    <row r="479" ht="15" customHeight="1">
      <c r="A479" t="inlineStr">
        <is>
          <t>A 4155-2026</t>
        </is>
      </c>
      <c r="B479" s="1" t="n">
        <v>46044.6533449074</v>
      </c>
      <c r="C479" s="1" t="n">
        <v>46073</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59002-2024</t>
        </is>
      </c>
      <c r="B480" s="1" t="n">
        <v>45636</v>
      </c>
      <c r="C480" s="1" t="n">
        <v>46073</v>
      </c>
      <c r="D480" t="inlineStr">
        <is>
          <t>DALARNAS LÄN</t>
        </is>
      </c>
      <c r="E480" t="inlineStr">
        <is>
          <t>MORA</t>
        </is>
      </c>
      <c r="F480" t="inlineStr">
        <is>
          <t>Bergvik skog väst AB</t>
        </is>
      </c>
      <c r="G480" t="n">
        <v>24.8</v>
      </c>
      <c r="H480" t="n">
        <v>0</v>
      </c>
      <c r="I480" t="n">
        <v>0</v>
      </c>
      <c r="J480" t="n">
        <v>0</v>
      </c>
      <c r="K480" t="n">
        <v>0</v>
      </c>
      <c r="L480" t="n">
        <v>0</v>
      </c>
      <c r="M480" t="n">
        <v>0</v>
      </c>
      <c r="N480" t="n">
        <v>0</v>
      </c>
      <c r="O480" t="n">
        <v>0</v>
      </c>
      <c r="P480" t="n">
        <v>0</v>
      </c>
      <c r="Q480" t="n">
        <v>0</v>
      </c>
      <c r="R480" s="2" t="inlineStr"/>
    </row>
    <row r="481" ht="15" customHeight="1">
      <c r="A481" t="inlineStr">
        <is>
          <t>A 44106-2023</t>
        </is>
      </c>
      <c r="B481" s="1" t="n">
        <v>45188</v>
      </c>
      <c r="C481" s="1" t="n">
        <v>46073</v>
      </c>
      <c r="D481" t="inlineStr">
        <is>
          <t>DALARNAS LÄN</t>
        </is>
      </c>
      <c r="E481" t="inlineStr">
        <is>
          <t>MORA</t>
        </is>
      </c>
      <c r="G481" t="n">
        <v>10.1</v>
      </c>
      <c r="H481" t="n">
        <v>0</v>
      </c>
      <c r="I481" t="n">
        <v>0</v>
      </c>
      <c r="J481" t="n">
        <v>0</v>
      </c>
      <c r="K481" t="n">
        <v>0</v>
      </c>
      <c r="L481" t="n">
        <v>0</v>
      </c>
      <c r="M481" t="n">
        <v>0</v>
      </c>
      <c r="N481" t="n">
        <v>0</v>
      </c>
      <c r="O481" t="n">
        <v>0</v>
      </c>
      <c r="P481" t="n">
        <v>0</v>
      </c>
      <c r="Q481" t="n">
        <v>0</v>
      </c>
      <c r="R481" s="2" t="inlineStr"/>
    </row>
    <row r="482" ht="15" customHeight="1">
      <c r="A482" t="inlineStr">
        <is>
          <t>A 3669-2026</t>
        </is>
      </c>
      <c r="B482" s="1" t="n">
        <v>46043.41603009259</v>
      </c>
      <c r="C482" s="1" t="n">
        <v>46073</v>
      </c>
      <c r="D482" t="inlineStr">
        <is>
          <t>DALARNAS LÄN</t>
        </is>
      </c>
      <c r="E482" t="inlineStr">
        <is>
          <t>MORA</t>
        </is>
      </c>
      <c r="G482" t="n">
        <v>4.6</v>
      </c>
      <c r="H482" t="n">
        <v>0</v>
      </c>
      <c r="I482" t="n">
        <v>0</v>
      </c>
      <c r="J482" t="n">
        <v>0</v>
      </c>
      <c r="K482" t="n">
        <v>0</v>
      </c>
      <c r="L482" t="n">
        <v>0</v>
      </c>
      <c r="M482" t="n">
        <v>0</v>
      </c>
      <c r="N482" t="n">
        <v>0</v>
      </c>
      <c r="O482" t="n">
        <v>0</v>
      </c>
      <c r="P482" t="n">
        <v>0</v>
      </c>
      <c r="Q482" t="n">
        <v>0</v>
      </c>
      <c r="R482" s="2" t="inlineStr"/>
    </row>
    <row r="483" ht="15" customHeight="1">
      <c r="A483" t="inlineStr">
        <is>
          <t>A 61606-2025</t>
        </is>
      </c>
      <c r="B483" s="1" t="n">
        <v>46002.37662037037</v>
      </c>
      <c r="C483" s="1" t="n">
        <v>46073</v>
      </c>
      <c r="D483" t="inlineStr">
        <is>
          <t>DALARNAS LÄN</t>
        </is>
      </c>
      <c r="E483" t="inlineStr">
        <is>
          <t>MORA</t>
        </is>
      </c>
      <c r="G483" t="n">
        <v>6.1</v>
      </c>
      <c r="H483" t="n">
        <v>0</v>
      </c>
      <c r="I483" t="n">
        <v>0</v>
      </c>
      <c r="J483" t="n">
        <v>0</v>
      </c>
      <c r="K483" t="n">
        <v>0</v>
      </c>
      <c r="L483" t="n">
        <v>0</v>
      </c>
      <c r="M483" t="n">
        <v>0</v>
      </c>
      <c r="N483" t="n">
        <v>0</v>
      </c>
      <c r="O483" t="n">
        <v>0</v>
      </c>
      <c r="P483" t="n">
        <v>0</v>
      </c>
      <c r="Q483" t="n">
        <v>0</v>
      </c>
      <c r="R483" s="2" t="inlineStr"/>
    </row>
    <row r="484" ht="15" customHeight="1">
      <c r="A484" t="inlineStr">
        <is>
          <t>A 61624-2025</t>
        </is>
      </c>
      <c r="B484" s="1" t="n">
        <v>46002.39755787037</v>
      </c>
      <c r="C484" s="1" t="n">
        <v>46073</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57091-2021</t>
        </is>
      </c>
      <c r="B485" s="1" t="n">
        <v>44482</v>
      </c>
      <c r="C485" s="1" t="n">
        <v>46073</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4994-2025</t>
        </is>
      </c>
      <c r="B486" s="1" t="n">
        <v>45691.35427083333</v>
      </c>
      <c r="C486" s="1" t="n">
        <v>46073</v>
      </c>
      <c r="D486" t="inlineStr">
        <is>
          <t>DALARNAS LÄN</t>
        </is>
      </c>
      <c r="E486" t="inlineStr">
        <is>
          <t>MORA</t>
        </is>
      </c>
      <c r="G486" t="n">
        <v>4.6</v>
      </c>
      <c r="H486" t="n">
        <v>0</v>
      </c>
      <c r="I486" t="n">
        <v>0</v>
      </c>
      <c r="J486" t="n">
        <v>0</v>
      </c>
      <c r="K486" t="n">
        <v>0</v>
      </c>
      <c r="L486" t="n">
        <v>0</v>
      </c>
      <c r="M486" t="n">
        <v>0</v>
      </c>
      <c r="N486" t="n">
        <v>0</v>
      </c>
      <c r="O486" t="n">
        <v>0</v>
      </c>
      <c r="P486" t="n">
        <v>0</v>
      </c>
      <c r="Q486" t="n">
        <v>0</v>
      </c>
      <c r="R486" s="2" t="inlineStr"/>
    </row>
    <row r="487" ht="15" customHeight="1">
      <c r="A487" t="inlineStr">
        <is>
          <t>A 35287-2024</t>
        </is>
      </c>
      <c r="B487" s="1" t="n">
        <v>45530</v>
      </c>
      <c r="C487" s="1" t="n">
        <v>46073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62055-2025</t>
        </is>
      </c>
      <c r="B488" s="1" t="n">
        <v>46006.3365625</v>
      </c>
      <c r="C488" s="1" t="n">
        <v>46073</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18702-2025</t>
        </is>
      </c>
      <c r="B489" s="1" t="n">
        <v>45763.63166666667</v>
      </c>
      <c r="C489" s="1" t="n">
        <v>46073</v>
      </c>
      <c r="D489" t="inlineStr">
        <is>
          <t>DALARNAS LÄN</t>
        </is>
      </c>
      <c r="E489" t="inlineStr">
        <is>
          <t>MORA</t>
        </is>
      </c>
      <c r="G489" t="n">
        <v>3.6</v>
      </c>
      <c r="H489" t="n">
        <v>0</v>
      </c>
      <c r="I489" t="n">
        <v>0</v>
      </c>
      <c r="J489" t="n">
        <v>0</v>
      </c>
      <c r="K489" t="n">
        <v>0</v>
      </c>
      <c r="L489" t="n">
        <v>0</v>
      </c>
      <c r="M489" t="n">
        <v>0</v>
      </c>
      <c r="N489" t="n">
        <v>0</v>
      </c>
      <c r="O489" t="n">
        <v>0</v>
      </c>
      <c r="P489" t="n">
        <v>0</v>
      </c>
      <c r="Q489" t="n">
        <v>0</v>
      </c>
      <c r="R489" s="2" t="inlineStr"/>
    </row>
    <row r="490" ht="15" customHeight="1">
      <c r="A490" t="inlineStr">
        <is>
          <t>A 61995-2025</t>
        </is>
      </c>
      <c r="B490" s="1" t="n">
        <v>46003.63954861111</v>
      </c>
      <c r="C490" s="1" t="n">
        <v>46073</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12478-2025</t>
        </is>
      </c>
      <c r="B491" s="1" t="n">
        <v>45730.57429398148</v>
      </c>
      <c r="C491" s="1" t="n">
        <v>46073</v>
      </c>
      <c r="D491" t="inlineStr">
        <is>
          <t>DALARNAS LÄN</t>
        </is>
      </c>
      <c r="E491" t="inlineStr">
        <is>
          <t>MORA</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4906-2026</t>
        </is>
      </c>
      <c r="B492" s="1" t="n">
        <v>46048.70013888889</v>
      </c>
      <c r="C492" s="1" t="n">
        <v>46073</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62054-2025</t>
        </is>
      </c>
      <c r="B493" s="1" t="n">
        <v>46006.33462962963</v>
      </c>
      <c r="C493" s="1" t="n">
        <v>46073</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30030-2021</t>
        </is>
      </c>
      <c r="B494" s="1" t="n">
        <v>44363</v>
      </c>
      <c r="C494" s="1" t="n">
        <v>46073</v>
      </c>
      <c r="D494" t="inlineStr">
        <is>
          <t>DALARNAS LÄN</t>
        </is>
      </c>
      <c r="E494" t="inlineStr">
        <is>
          <t>MORA</t>
        </is>
      </c>
      <c r="G494" t="n">
        <v>7.1</v>
      </c>
      <c r="H494" t="n">
        <v>0</v>
      </c>
      <c r="I494" t="n">
        <v>0</v>
      </c>
      <c r="J494" t="n">
        <v>0</v>
      </c>
      <c r="K494" t="n">
        <v>0</v>
      </c>
      <c r="L494" t="n">
        <v>0</v>
      </c>
      <c r="M494" t="n">
        <v>0</v>
      </c>
      <c r="N494" t="n">
        <v>0</v>
      </c>
      <c r="O494" t="n">
        <v>0</v>
      </c>
      <c r="P494" t="n">
        <v>0</v>
      </c>
      <c r="Q494" t="n">
        <v>0</v>
      </c>
      <c r="R494" s="2" t="inlineStr"/>
    </row>
    <row r="495" ht="15" customHeight="1">
      <c r="A495" t="inlineStr">
        <is>
          <t>A 31085-2024</t>
        </is>
      </c>
      <c r="B495" s="1" t="n">
        <v>45502.48047453703</v>
      </c>
      <c r="C495" s="1" t="n">
        <v>46073</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62619-2025</t>
        </is>
      </c>
      <c r="B496" s="1" t="n">
        <v>46008.33967592593</v>
      </c>
      <c r="C496" s="1" t="n">
        <v>46073</v>
      </c>
      <c r="D496" t="inlineStr">
        <is>
          <t>DALARNAS LÄN</t>
        </is>
      </c>
      <c r="E496" t="inlineStr">
        <is>
          <t>MORA</t>
        </is>
      </c>
      <c r="G496" t="n">
        <v>3.3</v>
      </c>
      <c r="H496" t="n">
        <v>0</v>
      </c>
      <c r="I496" t="n">
        <v>0</v>
      </c>
      <c r="J496" t="n">
        <v>0</v>
      </c>
      <c r="K496" t="n">
        <v>0</v>
      </c>
      <c r="L496" t="n">
        <v>0</v>
      </c>
      <c r="M496" t="n">
        <v>0</v>
      </c>
      <c r="N496" t="n">
        <v>0</v>
      </c>
      <c r="O496" t="n">
        <v>0</v>
      </c>
      <c r="P496" t="n">
        <v>0</v>
      </c>
      <c r="Q496" t="n">
        <v>0</v>
      </c>
      <c r="R496" s="2" t="inlineStr"/>
    </row>
    <row r="497" ht="15" customHeight="1">
      <c r="A497" t="inlineStr">
        <is>
          <t>A 44071-2024</t>
        </is>
      </c>
      <c r="B497" s="1" t="n">
        <v>45572.60915509259</v>
      </c>
      <c r="C497" s="1" t="n">
        <v>46073</v>
      </c>
      <c r="D497" t="inlineStr">
        <is>
          <t>DALARNAS LÄN</t>
        </is>
      </c>
      <c r="E497" t="inlineStr">
        <is>
          <t>MORA</t>
        </is>
      </c>
      <c r="G497" t="n">
        <v>4.5</v>
      </c>
      <c r="H497" t="n">
        <v>0</v>
      </c>
      <c r="I497" t="n">
        <v>0</v>
      </c>
      <c r="J497" t="n">
        <v>0</v>
      </c>
      <c r="K497" t="n">
        <v>0</v>
      </c>
      <c r="L497" t="n">
        <v>0</v>
      </c>
      <c r="M497" t="n">
        <v>0</v>
      </c>
      <c r="N497" t="n">
        <v>0</v>
      </c>
      <c r="O497" t="n">
        <v>0</v>
      </c>
      <c r="P497" t="n">
        <v>0</v>
      </c>
      <c r="Q497" t="n">
        <v>0</v>
      </c>
      <c r="R497" s="2" t="inlineStr"/>
    </row>
    <row r="498" ht="15" customHeight="1">
      <c r="A498" t="inlineStr">
        <is>
          <t>A 12490-2025</t>
        </is>
      </c>
      <c r="B498" s="1" t="n">
        <v>45730.59239583334</v>
      </c>
      <c r="C498" s="1" t="n">
        <v>46073</v>
      </c>
      <c r="D498" t="inlineStr">
        <is>
          <t>DALARNAS LÄN</t>
        </is>
      </c>
      <c r="E498" t="inlineStr">
        <is>
          <t>MORA</t>
        </is>
      </c>
      <c r="F498" t="inlineStr">
        <is>
          <t>Bergvik skog öst AB</t>
        </is>
      </c>
      <c r="G498" t="n">
        <v>1.6</v>
      </c>
      <c r="H498" t="n">
        <v>0</v>
      </c>
      <c r="I498" t="n">
        <v>0</v>
      </c>
      <c r="J498" t="n">
        <v>0</v>
      </c>
      <c r="K498" t="n">
        <v>0</v>
      </c>
      <c r="L498" t="n">
        <v>0</v>
      </c>
      <c r="M498" t="n">
        <v>0</v>
      </c>
      <c r="N498" t="n">
        <v>0</v>
      </c>
      <c r="O498" t="n">
        <v>0</v>
      </c>
      <c r="P498" t="n">
        <v>0</v>
      </c>
      <c r="Q498" t="n">
        <v>0</v>
      </c>
      <c r="R498" s="2" t="inlineStr"/>
    </row>
    <row r="499" ht="15" customHeight="1">
      <c r="A499" t="inlineStr">
        <is>
          <t>A 62626-2025</t>
        </is>
      </c>
      <c r="B499" s="1" t="n">
        <v>46008.34541666666</v>
      </c>
      <c r="C499" s="1" t="n">
        <v>46073</v>
      </c>
      <c r="D499" t="inlineStr">
        <is>
          <t>DALARNAS LÄN</t>
        </is>
      </c>
      <c r="E499" t="inlineStr">
        <is>
          <t>MORA</t>
        </is>
      </c>
      <c r="G499" t="n">
        <v>6.7</v>
      </c>
      <c r="H499" t="n">
        <v>0</v>
      </c>
      <c r="I499" t="n">
        <v>0</v>
      </c>
      <c r="J499" t="n">
        <v>0</v>
      </c>
      <c r="K499" t="n">
        <v>0</v>
      </c>
      <c r="L499" t="n">
        <v>0</v>
      </c>
      <c r="M499" t="n">
        <v>0</v>
      </c>
      <c r="N499" t="n">
        <v>0</v>
      </c>
      <c r="O499" t="n">
        <v>0</v>
      </c>
      <c r="P499" t="n">
        <v>0</v>
      </c>
      <c r="Q499" t="n">
        <v>0</v>
      </c>
      <c r="R499" s="2" t="inlineStr"/>
    </row>
    <row r="500" ht="15" customHeight="1">
      <c r="A500" t="inlineStr">
        <is>
          <t>A 5116-2026</t>
        </is>
      </c>
      <c r="B500" s="1" t="n">
        <v>46049.57591435185</v>
      </c>
      <c r="C500" s="1" t="n">
        <v>46073</v>
      </c>
      <c r="D500" t="inlineStr">
        <is>
          <t>DALARNAS LÄN</t>
        </is>
      </c>
      <c r="E500" t="inlineStr">
        <is>
          <t>MORA</t>
        </is>
      </c>
      <c r="F500" t="inlineStr">
        <is>
          <t>Bergvik skog öst AB</t>
        </is>
      </c>
      <c r="G500" t="n">
        <v>2.9</v>
      </c>
      <c r="H500" t="n">
        <v>0</v>
      </c>
      <c r="I500" t="n">
        <v>0</v>
      </c>
      <c r="J500" t="n">
        <v>0</v>
      </c>
      <c r="K500" t="n">
        <v>0</v>
      </c>
      <c r="L500" t="n">
        <v>0</v>
      </c>
      <c r="M500" t="n">
        <v>0</v>
      </c>
      <c r="N500" t="n">
        <v>0</v>
      </c>
      <c r="O500" t="n">
        <v>0</v>
      </c>
      <c r="P500" t="n">
        <v>0</v>
      </c>
      <c r="Q500" t="n">
        <v>0</v>
      </c>
      <c r="R500" s="2" t="inlineStr"/>
    </row>
    <row r="501" ht="15" customHeight="1">
      <c r="A501" t="inlineStr">
        <is>
          <t>A 62548-2025</t>
        </is>
      </c>
      <c r="B501" s="1" t="n">
        <v>46007.66275462963</v>
      </c>
      <c r="C501" s="1" t="n">
        <v>46073</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46073</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21410-2023</t>
        </is>
      </c>
      <c r="B503" s="1" t="n">
        <v>45063</v>
      </c>
      <c r="C503" s="1" t="n">
        <v>46073</v>
      </c>
      <c r="D503" t="inlineStr">
        <is>
          <t>DALARNAS LÄN</t>
        </is>
      </c>
      <c r="E503" t="inlineStr">
        <is>
          <t>MORA</t>
        </is>
      </c>
      <c r="G503" t="n">
        <v>7</v>
      </c>
      <c r="H503" t="n">
        <v>0</v>
      </c>
      <c r="I503" t="n">
        <v>0</v>
      </c>
      <c r="J503" t="n">
        <v>0</v>
      </c>
      <c r="K503" t="n">
        <v>0</v>
      </c>
      <c r="L503" t="n">
        <v>0</v>
      </c>
      <c r="M503" t="n">
        <v>0</v>
      </c>
      <c r="N503" t="n">
        <v>0</v>
      </c>
      <c r="O503" t="n">
        <v>0</v>
      </c>
      <c r="P503" t="n">
        <v>0</v>
      </c>
      <c r="Q503" t="n">
        <v>0</v>
      </c>
      <c r="R503" s="2" t="inlineStr"/>
    </row>
    <row r="504" ht="15" customHeight="1">
      <c r="A504" t="inlineStr">
        <is>
          <t>A 62853-2025</t>
        </is>
      </c>
      <c r="B504" s="1" t="n">
        <v>46008.72493055555</v>
      </c>
      <c r="C504" s="1" t="n">
        <v>46073</v>
      </c>
      <c r="D504" t="inlineStr">
        <is>
          <t>DALARNAS LÄN</t>
        </is>
      </c>
      <c r="E504" t="inlineStr">
        <is>
          <t>MORA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46801-2022</t>
        </is>
      </c>
      <c r="B505" s="1" t="n">
        <v>44851</v>
      </c>
      <c r="C505" s="1" t="n">
        <v>46073</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70141-2021</t>
        </is>
      </c>
      <c r="B506" s="1" t="n">
        <v>44533</v>
      </c>
      <c r="C506" s="1" t="n">
        <v>46073</v>
      </c>
      <c r="D506" t="inlineStr">
        <is>
          <t>DALARNAS LÄN</t>
        </is>
      </c>
      <c r="E506" t="inlineStr">
        <is>
          <t>MORA</t>
        </is>
      </c>
      <c r="G506" t="n">
        <v>4.1</v>
      </c>
      <c r="H506" t="n">
        <v>0</v>
      </c>
      <c r="I506" t="n">
        <v>0</v>
      </c>
      <c r="J506" t="n">
        <v>0</v>
      </c>
      <c r="K506" t="n">
        <v>0</v>
      </c>
      <c r="L506" t="n">
        <v>0</v>
      </c>
      <c r="M506" t="n">
        <v>0</v>
      </c>
      <c r="N506" t="n">
        <v>0</v>
      </c>
      <c r="O506" t="n">
        <v>0</v>
      </c>
      <c r="P506" t="n">
        <v>0</v>
      </c>
      <c r="Q506" t="n">
        <v>0</v>
      </c>
      <c r="R506" s="2" t="inlineStr"/>
    </row>
    <row r="507" ht="15" customHeight="1">
      <c r="A507" t="inlineStr">
        <is>
          <t>A 56767-2023</t>
        </is>
      </c>
      <c r="B507" s="1" t="n">
        <v>45244</v>
      </c>
      <c r="C507" s="1" t="n">
        <v>46073</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40949-2023</t>
        </is>
      </c>
      <c r="B508" s="1" t="n">
        <v>45173</v>
      </c>
      <c r="C508" s="1" t="n">
        <v>46073</v>
      </c>
      <c r="D508" t="inlineStr">
        <is>
          <t>DALARNAS LÄN</t>
        </is>
      </c>
      <c r="E508" t="inlineStr">
        <is>
          <t>MORA</t>
        </is>
      </c>
      <c r="F508" t="inlineStr">
        <is>
          <t>Kyrkan</t>
        </is>
      </c>
      <c r="G508" t="n">
        <v>0.5</v>
      </c>
      <c r="H508" t="n">
        <v>0</v>
      </c>
      <c r="I508" t="n">
        <v>0</v>
      </c>
      <c r="J508" t="n">
        <v>0</v>
      </c>
      <c r="K508" t="n">
        <v>0</v>
      </c>
      <c r="L508" t="n">
        <v>0</v>
      </c>
      <c r="M508" t="n">
        <v>0</v>
      </c>
      <c r="N508" t="n">
        <v>0</v>
      </c>
      <c r="O508" t="n">
        <v>0</v>
      </c>
      <c r="P508" t="n">
        <v>0</v>
      </c>
      <c r="Q508" t="n">
        <v>0</v>
      </c>
      <c r="R508" s="2" t="inlineStr"/>
    </row>
    <row r="509" ht="15" customHeight="1">
      <c r="A509" t="inlineStr">
        <is>
          <t>A 66232-2021</t>
        </is>
      </c>
      <c r="B509" s="1" t="n">
        <v>44518.39234953704</v>
      </c>
      <c r="C509" s="1" t="n">
        <v>46073</v>
      </c>
      <c r="D509" t="inlineStr">
        <is>
          <t>DALARNAS LÄN</t>
        </is>
      </c>
      <c r="E509" t="inlineStr">
        <is>
          <t>MORA</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62965-2025</t>
        </is>
      </c>
      <c r="B510" s="1" t="n">
        <v>46009.46129629629</v>
      </c>
      <c r="C510" s="1" t="n">
        <v>46073</v>
      </c>
      <c r="D510" t="inlineStr">
        <is>
          <t>DALARNAS LÄN</t>
        </is>
      </c>
      <c r="E510" t="inlineStr">
        <is>
          <t>MORA</t>
        </is>
      </c>
      <c r="G510" t="n">
        <v>9.1</v>
      </c>
      <c r="H510" t="n">
        <v>0</v>
      </c>
      <c r="I510" t="n">
        <v>0</v>
      </c>
      <c r="J510" t="n">
        <v>0</v>
      </c>
      <c r="K510" t="n">
        <v>0</v>
      </c>
      <c r="L510" t="n">
        <v>0</v>
      </c>
      <c r="M510" t="n">
        <v>0</v>
      </c>
      <c r="N510" t="n">
        <v>0</v>
      </c>
      <c r="O510" t="n">
        <v>0</v>
      </c>
      <c r="P510" t="n">
        <v>0</v>
      </c>
      <c r="Q510" t="n">
        <v>0</v>
      </c>
      <c r="R510" s="2" t="inlineStr"/>
    </row>
    <row r="511" ht="15" customHeight="1">
      <c r="A511" t="inlineStr">
        <is>
          <t>A 26545-2025</t>
        </is>
      </c>
      <c r="B511" s="1" t="n">
        <v>45807</v>
      </c>
      <c r="C511" s="1" t="n">
        <v>46073</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5959-2026</t>
        </is>
      </c>
      <c r="B512" s="1" t="n">
        <v>46052.50533564815</v>
      </c>
      <c r="C512" s="1" t="n">
        <v>46073</v>
      </c>
      <c r="D512" t="inlineStr">
        <is>
          <t>DALARNAS LÄN</t>
        </is>
      </c>
      <c r="E512" t="inlineStr">
        <is>
          <t>MORA</t>
        </is>
      </c>
      <c r="G512" t="n">
        <v>9.5</v>
      </c>
      <c r="H512" t="n">
        <v>0</v>
      </c>
      <c r="I512" t="n">
        <v>0</v>
      </c>
      <c r="J512" t="n">
        <v>0</v>
      </c>
      <c r="K512" t="n">
        <v>0</v>
      </c>
      <c r="L512" t="n">
        <v>0</v>
      </c>
      <c r="M512" t="n">
        <v>0</v>
      </c>
      <c r="N512" t="n">
        <v>0</v>
      </c>
      <c r="O512" t="n">
        <v>0</v>
      </c>
      <c r="P512" t="n">
        <v>0</v>
      </c>
      <c r="Q512" t="n">
        <v>0</v>
      </c>
      <c r="R512" s="2" t="inlineStr"/>
    </row>
    <row r="513" ht="15" customHeight="1">
      <c r="A513" t="inlineStr">
        <is>
          <t>A 26546-2025</t>
        </is>
      </c>
      <c r="B513" s="1" t="n">
        <v>45807</v>
      </c>
      <c r="C513" s="1" t="n">
        <v>46073</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26573-2025</t>
        </is>
      </c>
      <c r="B514" s="1" t="n">
        <v>45807</v>
      </c>
      <c r="C514" s="1" t="n">
        <v>46073</v>
      </c>
      <c r="D514" t="inlineStr">
        <is>
          <t>DALARNAS LÄN</t>
        </is>
      </c>
      <c r="E514" t="inlineStr">
        <is>
          <t>MORA</t>
        </is>
      </c>
      <c r="G514" t="n">
        <v>4.3</v>
      </c>
      <c r="H514" t="n">
        <v>0</v>
      </c>
      <c r="I514" t="n">
        <v>0</v>
      </c>
      <c r="J514" t="n">
        <v>0</v>
      </c>
      <c r="K514" t="n">
        <v>0</v>
      </c>
      <c r="L514" t="n">
        <v>0</v>
      </c>
      <c r="M514" t="n">
        <v>0</v>
      </c>
      <c r="N514" t="n">
        <v>0</v>
      </c>
      <c r="O514" t="n">
        <v>0</v>
      </c>
      <c r="P514" t="n">
        <v>0</v>
      </c>
      <c r="Q514" t="n">
        <v>0</v>
      </c>
      <c r="R514" s="2" t="inlineStr"/>
    </row>
    <row r="515" ht="15" customHeight="1">
      <c r="A515" t="inlineStr">
        <is>
          <t>A 5836-2026</t>
        </is>
      </c>
      <c r="B515" s="1" t="n">
        <v>46052.33809027778</v>
      </c>
      <c r="C515" s="1" t="n">
        <v>46073</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44307-2021</t>
        </is>
      </c>
      <c r="B516" s="1" t="n">
        <v>44435</v>
      </c>
      <c r="C516" s="1" t="n">
        <v>46073</v>
      </c>
      <c r="D516" t="inlineStr">
        <is>
          <t>DALARNAS LÄN</t>
        </is>
      </c>
      <c r="E516" t="inlineStr">
        <is>
          <t>MORA</t>
        </is>
      </c>
      <c r="G516" t="n">
        <v>1.2</v>
      </c>
      <c r="H516" t="n">
        <v>0</v>
      </c>
      <c r="I516" t="n">
        <v>0</v>
      </c>
      <c r="J516" t="n">
        <v>0</v>
      </c>
      <c r="K516" t="n">
        <v>0</v>
      </c>
      <c r="L516" t="n">
        <v>0</v>
      </c>
      <c r="M516" t="n">
        <v>0</v>
      </c>
      <c r="N516" t="n">
        <v>0</v>
      </c>
      <c r="O516" t="n">
        <v>0</v>
      </c>
      <c r="P516" t="n">
        <v>0</v>
      </c>
      <c r="Q516" t="n">
        <v>0</v>
      </c>
      <c r="R516" s="2" t="inlineStr"/>
    </row>
    <row r="517" ht="15" customHeight="1">
      <c r="A517" t="inlineStr">
        <is>
          <t>A 34272-2024</t>
        </is>
      </c>
      <c r="B517" s="1" t="n">
        <v>45524.61752314815</v>
      </c>
      <c r="C517" s="1" t="n">
        <v>46073</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28131-2024</t>
        </is>
      </c>
      <c r="B518" s="1" t="n">
        <v>45476.68435185185</v>
      </c>
      <c r="C518" s="1" t="n">
        <v>46073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28132-2024</t>
        </is>
      </c>
      <c r="B519" s="1" t="n">
        <v>45476.68616898148</v>
      </c>
      <c r="C519" s="1" t="n">
        <v>46073</v>
      </c>
      <c r="D519" t="inlineStr">
        <is>
          <t>DALARNAS LÄN</t>
        </is>
      </c>
      <c r="E519" t="inlineStr">
        <is>
          <t>MORA</t>
        </is>
      </c>
      <c r="G519" t="n">
        <v>0.2</v>
      </c>
      <c r="H519" t="n">
        <v>0</v>
      </c>
      <c r="I519" t="n">
        <v>0</v>
      </c>
      <c r="J519" t="n">
        <v>0</v>
      </c>
      <c r="K519" t="n">
        <v>0</v>
      </c>
      <c r="L519" t="n">
        <v>0</v>
      </c>
      <c r="M519" t="n">
        <v>0</v>
      </c>
      <c r="N519" t="n">
        <v>0</v>
      </c>
      <c r="O519" t="n">
        <v>0</v>
      </c>
      <c r="P519" t="n">
        <v>0</v>
      </c>
      <c r="Q519" t="n">
        <v>0</v>
      </c>
      <c r="R519" s="2" t="inlineStr"/>
    </row>
    <row r="520" ht="15" customHeight="1">
      <c r="A520" t="inlineStr">
        <is>
          <t>A 57608-2021</t>
        </is>
      </c>
      <c r="B520" s="1" t="n">
        <v>44484</v>
      </c>
      <c r="C520" s="1" t="n">
        <v>46073</v>
      </c>
      <c r="D520" t="inlineStr">
        <is>
          <t>DALARNAS LÄN</t>
        </is>
      </c>
      <c r="E520" t="inlineStr">
        <is>
          <t>MORA</t>
        </is>
      </c>
      <c r="G520" t="n">
        <v>6.3</v>
      </c>
      <c r="H520" t="n">
        <v>0</v>
      </c>
      <c r="I520" t="n">
        <v>0</v>
      </c>
      <c r="J520" t="n">
        <v>0</v>
      </c>
      <c r="K520" t="n">
        <v>0</v>
      </c>
      <c r="L520" t="n">
        <v>0</v>
      </c>
      <c r="M520" t="n">
        <v>0</v>
      </c>
      <c r="N520" t="n">
        <v>0</v>
      </c>
      <c r="O520" t="n">
        <v>0</v>
      </c>
      <c r="P520" t="n">
        <v>0</v>
      </c>
      <c r="Q520" t="n">
        <v>0</v>
      </c>
      <c r="R520" s="2" t="inlineStr"/>
    </row>
    <row r="521" ht="15" customHeight="1">
      <c r="A521" t="inlineStr">
        <is>
          <t>A 5709-2026</t>
        </is>
      </c>
      <c r="B521" s="1" t="n">
        <v>46051.51640046296</v>
      </c>
      <c r="C521" s="1" t="n">
        <v>46073</v>
      </c>
      <c r="D521" t="inlineStr">
        <is>
          <t>DALARNAS LÄN</t>
        </is>
      </c>
      <c r="E521" t="inlineStr">
        <is>
          <t>MORA</t>
        </is>
      </c>
      <c r="G521" t="n">
        <v>2.7</v>
      </c>
      <c r="H521" t="n">
        <v>0</v>
      </c>
      <c r="I521" t="n">
        <v>0</v>
      </c>
      <c r="J521" t="n">
        <v>0</v>
      </c>
      <c r="K521" t="n">
        <v>0</v>
      </c>
      <c r="L521" t="n">
        <v>0</v>
      </c>
      <c r="M521" t="n">
        <v>0</v>
      </c>
      <c r="N521" t="n">
        <v>0</v>
      </c>
      <c r="O521" t="n">
        <v>0</v>
      </c>
      <c r="P521" t="n">
        <v>0</v>
      </c>
      <c r="Q521" t="n">
        <v>0</v>
      </c>
      <c r="R521" s="2" t="inlineStr"/>
    </row>
    <row r="522" ht="15" customHeight="1">
      <c r="A522" t="inlineStr">
        <is>
          <t>A 26577-2025</t>
        </is>
      </c>
      <c r="B522" s="1" t="n">
        <v>45807</v>
      </c>
      <c r="C522" s="1" t="n">
        <v>46073</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23586-2023</t>
        </is>
      </c>
      <c r="B523" s="1" t="n">
        <v>45077</v>
      </c>
      <c r="C523" s="1" t="n">
        <v>46073</v>
      </c>
      <c r="D523" t="inlineStr">
        <is>
          <t>DALARNAS LÄN</t>
        </is>
      </c>
      <c r="E523" t="inlineStr">
        <is>
          <t>MORA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5763-2026</t>
        </is>
      </c>
      <c r="B524" s="1" t="n">
        <v>46051.63380787037</v>
      </c>
      <c r="C524" s="1" t="n">
        <v>46073</v>
      </c>
      <c r="D524" t="inlineStr">
        <is>
          <t>DALARNAS LÄN</t>
        </is>
      </c>
      <c r="E524" t="inlineStr">
        <is>
          <t>MORA</t>
        </is>
      </c>
      <c r="G524" t="n">
        <v>0.3</v>
      </c>
      <c r="H524" t="n">
        <v>0</v>
      </c>
      <c r="I524" t="n">
        <v>0</v>
      </c>
      <c r="J524" t="n">
        <v>0</v>
      </c>
      <c r="K524" t="n">
        <v>0</v>
      </c>
      <c r="L524" t="n">
        <v>0</v>
      </c>
      <c r="M524" t="n">
        <v>0</v>
      </c>
      <c r="N524" t="n">
        <v>0</v>
      </c>
      <c r="O524" t="n">
        <v>0</v>
      </c>
      <c r="P524" t="n">
        <v>0</v>
      </c>
      <c r="Q524" t="n">
        <v>0</v>
      </c>
      <c r="R524" s="2" t="inlineStr"/>
    </row>
    <row r="525" ht="15" customHeight="1">
      <c r="A525" t="inlineStr">
        <is>
          <t>A 62959-2025</t>
        </is>
      </c>
      <c r="B525" s="1" t="n">
        <v>46009.45792824074</v>
      </c>
      <c r="C525" s="1" t="n">
        <v>46073</v>
      </c>
      <c r="D525" t="inlineStr">
        <is>
          <t>DALARNAS LÄN</t>
        </is>
      </c>
      <c r="E525" t="inlineStr">
        <is>
          <t>MORA</t>
        </is>
      </c>
      <c r="G525" t="n">
        <v>2.6</v>
      </c>
      <c r="H525" t="n">
        <v>0</v>
      </c>
      <c r="I525" t="n">
        <v>0</v>
      </c>
      <c r="J525" t="n">
        <v>0</v>
      </c>
      <c r="K525" t="n">
        <v>0</v>
      </c>
      <c r="L525" t="n">
        <v>0</v>
      </c>
      <c r="M525" t="n">
        <v>0</v>
      </c>
      <c r="N525" t="n">
        <v>0</v>
      </c>
      <c r="O525" t="n">
        <v>0</v>
      </c>
      <c r="P525" t="n">
        <v>0</v>
      </c>
      <c r="Q525" t="n">
        <v>0</v>
      </c>
      <c r="R525" s="2" t="inlineStr"/>
    </row>
    <row r="526" ht="15" customHeight="1">
      <c r="A526" t="inlineStr">
        <is>
          <t>A 63030-2025</t>
        </is>
      </c>
      <c r="B526" s="1" t="n">
        <v>46009.60133101852</v>
      </c>
      <c r="C526" s="1" t="n">
        <v>46073</v>
      </c>
      <c r="D526" t="inlineStr">
        <is>
          <t>DALARNAS LÄN</t>
        </is>
      </c>
      <c r="E526" t="inlineStr">
        <is>
          <t>MORA</t>
        </is>
      </c>
      <c r="G526" t="n">
        <v>1.5</v>
      </c>
      <c r="H526" t="n">
        <v>0</v>
      </c>
      <c r="I526" t="n">
        <v>0</v>
      </c>
      <c r="J526" t="n">
        <v>0</v>
      </c>
      <c r="K526" t="n">
        <v>0</v>
      </c>
      <c r="L526" t="n">
        <v>0</v>
      </c>
      <c r="M526" t="n">
        <v>0</v>
      </c>
      <c r="N526" t="n">
        <v>0</v>
      </c>
      <c r="O526" t="n">
        <v>0</v>
      </c>
      <c r="P526" t="n">
        <v>0</v>
      </c>
      <c r="Q526" t="n">
        <v>0</v>
      </c>
      <c r="R526" s="2" t="inlineStr"/>
    </row>
    <row r="527" ht="15" customHeight="1">
      <c r="A527" t="inlineStr">
        <is>
          <t>A 6719-2026</t>
        </is>
      </c>
      <c r="B527" s="1" t="n">
        <v>46056.66945601852</v>
      </c>
      <c r="C527" s="1" t="n">
        <v>46073</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6595-2026</t>
        </is>
      </c>
      <c r="B528" s="1" t="n">
        <v>46056.4644675926</v>
      </c>
      <c r="C528" s="1" t="n">
        <v>46073</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5644-2024</t>
        </is>
      </c>
      <c r="B529" s="1" t="n">
        <v>45334</v>
      </c>
      <c r="C529" s="1" t="n">
        <v>46073</v>
      </c>
      <c r="D529" t="inlineStr">
        <is>
          <t>DALARNAS LÄN</t>
        </is>
      </c>
      <c r="E529" t="inlineStr">
        <is>
          <t>MORA</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6690-2026</t>
        </is>
      </c>
      <c r="B530" s="1" t="n">
        <v>46056.6352662037</v>
      </c>
      <c r="C530" s="1" t="n">
        <v>46073</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63692-2025</t>
        </is>
      </c>
      <c r="B531" s="1" t="n">
        <v>46014.54496527778</v>
      </c>
      <c r="C531" s="1" t="n">
        <v>46073</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63457-2025</t>
        </is>
      </c>
      <c r="B532" s="1" t="n">
        <v>46013.42269675926</v>
      </c>
      <c r="C532" s="1" t="n">
        <v>46073</v>
      </c>
      <c r="D532" t="inlineStr">
        <is>
          <t>DALARNAS LÄN</t>
        </is>
      </c>
      <c r="E532" t="inlineStr">
        <is>
          <t>MORA</t>
        </is>
      </c>
      <c r="F532" t="inlineStr">
        <is>
          <t>Allmännings- och besparingsskogar</t>
        </is>
      </c>
      <c r="G532" t="n">
        <v>34.4</v>
      </c>
      <c r="H532" t="n">
        <v>0</v>
      </c>
      <c r="I532" t="n">
        <v>0</v>
      </c>
      <c r="J532" t="n">
        <v>0</v>
      </c>
      <c r="K532" t="n">
        <v>0</v>
      </c>
      <c r="L532" t="n">
        <v>0</v>
      </c>
      <c r="M532" t="n">
        <v>0</v>
      </c>
      <c r="N532" t="n">
        <v>0</v>
      </c>
      <c r="O532" t="n">
        <v>0</v>
      </c>
      <c r="P532" t="n">
        <v>0</v>
      </c>
      <c r="Q532" t="n">
        <v>0</v>
      </c>
      <c r="R532" s="2" t="inlineStr"/>
    </row>
    <row r="533" ht="15" customHeight="1">
      <c r="A533" t="inlineStr">
        <is>
          <t>A 6619-2026</t>
        </is>
      </c>
      <c r="B533" s="1" t="n">
        <v>46056.49622685185</v>
      </c>
      <c r="C533" s="1" t="n">
        <v>46073</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6182-2026</t>
        </is>
      </c>
      <c r="B534" s="1" t="n">
        <v>46055.36231481482</v>
      </c>
      <c r="C534" s="1" t="n">
        <v>46073</v>
      </c>
      <c r="D534" t="inlineStr">
        <is>
          <t>DALARNAS LÄN</t>
        </is>
      </c>
      <c r="E534" t="inlineStr">
        <is>
          <t>MORA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63689-2025</t>
        </is>
      </c>
      <c r="B535" s="1" t="n">
        <v>46014.539375</v>
      </c>
      <c r="C535" s="1" t="n">
        <v>46073</v>
      </c>
      <c r="D535" t="inlineStr">
        <is>
          <t>DALARNAS LÄN</t>
        </is>
      </c>
      <c r="E535" t="inlineStr">
        <is>
          <t>MORA</t>
        </is>
      </c>
      <c r="G535" t="n">
        <v>2.2</v>
      </c>
      <c r="H535" t="n">
        <v>0</v>
      </c>
      <c r="I535" t="n">
        <v>0</v>
      </c>
      <c r="J535" t="n">
        <v>0</v>
      </c>
      <c r="K535" t="n">
        <v>0</v>
      </c>
      <c r="L535" t="n">
        <v>0</v>
      </c>
      <c r="M535" t="n">
        <v>0</v>
      </c>
      <c r="N535" t="n">
        <v>0</v>
      </c>
      <c r="O535" t="n">
        <v>0</v>
      </c>
      <c r="P535" t="n">
        <v>0</v>
      </c>
      <c r="Q535" t="n">
        <v>0</v>
      </c>
      <c r="R535" s="2" t="inlineStr"/>
    </row>
    <row r="536" ht="15" customHeight="1">
      <c r="A536" t="inlineStr">
        <is>
          <t>A 54257-2023</t>
        </is>
      </c>
      <c r="B536" s="1" t="n">
        <v>45232.64195601852</v>
      </c>
      <c r="C536" s="1" t="n">
        <v>46073</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37385-2022</t>
        </is>
      </c>
      <c r="B537" s="1" t="n">
        <v>44806</v>
      </c>
      <c r="C537" s="1" t="n">
        <v>46073</v>
      </c>
      <c r="D537" t="inlineStr">
        <is>
          <t>DALARNAS LÄN</t>
        </is>
      </c>
      <c r="E537" t="inlineStr">
        <is>
          <t>MORA</t>
        </is>
      </c>
      <c r="G537" t="n">
        <v>2.2</v>
      </c>
      <c r="H537" t="n">
        <v>0</v>
      </c>
      <c r="I537" t="n">
        <v>0</v>
      </c>
      <c r="J537" t="n">
        <v>0</v>
      </c>
      <c r="K537" t="n">
        <v>0</v>
      </c>
      <c r="L537" t="n">
        <v>0</v>
      </c>
      <c r="M537" t="n">
        <v>0</v>
      </c>
      <c r="N537" t="n">
        <v>0</v>
      </c>
      <c r="O537" t="n">
        <v>0</v>
      </c>
      <c r="P537" t="n">
        <v>0</v>
      </c>
      <c r="Q537" t="n">
        <v>0</v>
      </c>
      <c r="R537" s="2" t="inlineStr"/>
    </row>
    <row r="538" ht="15" customHeight="1">
      <c r="A538" t="inlineStr">
        <is>
          <t>A 63434-2025</t>
        </is>
      </c>
      <c r="B538" s="1" t="n">
        <v>46013.36556712963</v>
      </c>
      <c r="C538" s="1" t="n">
        <v>46073</v>
      </c>
      <c r="D538" t="inlineStr">
        <is>
          <t>DALARNAS LÄN</t>
        </is>
      </c>
      <c r="E538" t="inlineStr">
        <is>
          <t>MORA</t>
        </is>
      </c>
      <c r="F538" t="inlineStr">
        <is>
          <t>Allmännings- och besparingsskogar</t>
        </is>
      </c>
      <c r="G538" t="n">
        <v>3.6</v>
      </c>
      <c r="H538" t="n">
        <v>0</v>
      </c>
      <c r="I538" t="n">
        <v>0</v>
      </c>
      <c r="J538" t="n">
        <v>0</v>
      </c>
      <c r="K538" t="n">
        <v>0</v>
      </c>
      <c r="L538" t="n">
        <v>0</v>
      </c>
      <c r="M538" t="n">
        <v>0</v>
      </c>
      <c r="N538" t="n">
        <v>0</v>
      </c>
      <c r="O538" t="n">
        <v>0</v>
      </c>
      <c r="P538" t="n">
        <v>0</v>
      </c>
      <c r="Q538" t="n">
        <v>0</v>
      </c>
      <c r="R538" s="2" t="inlineStr"/>
    </row>
    <row r="539" ht="15" customHeight="1">
      <c r="A539" t="inlineStr">
        <is>
          <t>A 61217-2023</t>
        </is>
      </c>
      <c r="B539" s="1" t="n">
        <v>45264.43802083333</v>
      </c>
      <c r="C539" s="1" t="n">
        <v>46073</v>
      </c>
      <c r="D539" t="inlineStr">
        <is>
          <t>DALARNAS LÄN</t>
        </is>
      </c>
      <c r="E539" t="inlineStr">
        <is>
          <t>MORA</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61218-2023</t>
        </is>
      </c>
      <c r="B540" s="1" t="n">
        <v>45264</v>
      </c>
      <c r="C540" s="1" t="n">
        <v>46073</v>
      </c>
      <c r="D540" t="inlineStr">
        <is>
          <t>DALARNAS LÄN</t>
        </is>
      </c>
      <c r="E540" t="inlineStr">
        <is>
          <t>MORA</t>
        </is>
      </c>
      <c r="F540" t="inlineStr">
        <is>
          <t>Allmännings- och besparingsskogar</t>
        </is>
      </c>
      <c r="G540" t="n">
        <v>2.6</v>
      </c>
      <c r="H540" t="n">
        <v>0</v>
      </c>
      <c r="I540" t="n">
        <v>0</v>
      </c>
      <c r="J540" t="n">
        <v>0</v>
      </c>
      <c r="K540" t="n">
        <v>0</v>
      </c>
      <c r="L540" t="n">
        <v>0</v>
      </c>
      <c r="M540" t="n">
        <v>0</v>
      </c>
      <c r="N540" t="n">
        <v>0</v>
      </c>
      <c r="O540" t="n">
        <v>0</v>
      </c>
      <c r="P540" t="n">
        <v>0</v>
      </c>
      <c r="Q540" t="n">
        <v>0</v>
      </c>
      <c r="R540" s="2" t="inlineStr"/>
    </row>
    <row r="541" ht="15" customHeight="1">
      <c r="A541" t="inlineStr">
        <is>
          <t>A 43641-2022</t>
        </is>
      </c>
      <c r="B541" s="1" t="n">
        <v>44837</v>
      </c>
      <c r="C541" s="1" t="n">
        <v>46073</v>
      </c>
      <c r="D541" t="inlineStr">
        <is>
          <t>DALARNAS LÄN</t>
        </is>
      </c>
      <c r="E541" t="inlineStr">
        <is>
          <t>MORA</t>
        </is>
      </c>
      <c r="G541" t="n">
        <v>1.8</v>
      </c>
      <c r="H541" t="n">
        <v>0</v>
      </c>
      <c r="I541" t="n">
        <v>0</v>
      </c>
      <c r="J541" t="n">
        <v>0</v>
      </c>
      <c r="K541" t="n">
        <v>0</v>
      </c>
      <c r="L541" t="n">
        <v>0</v>
      </c>
      <c r="M541" t="n">
        <v>0</v>
      </c>
      <c r="N541" t="n">
        <v>0</v>
      </c>
      <c r="O541" t="n">
        <v>0</v>
      </c>
      <c r="P541" t="n">
        <v>0</v>
      </c>
      <c r="Q541" t="n">
        <v>0</v>
      </c>
      <c r="R541" s="2" t="inlineStr"/>
    </row>
    <row r="542" ht="15" customHeight="1">
      <c r="A542" t="inlineStr">
        <is>
          <t>A 52599-2025</t>
        </is>
      </c>
      <c r="B542" s="1" t="n">
        <v>45954.65564814815</v>
      </c>
      <c r="C542" s="1" t="n">
        <v>46073</v>
      </c>
      <c r="D542" t="inlineStr">
        <is>
          <t>DALARNAS LÄN</t>
        </is>
      </c>
      <c r="E542" t="inlineStr">
        <is>
          <t>MORA</t>
        </is>
      </c>
      <c r="G542" t="n">
        <v>10.8</v>
      </c>
      <c r="H542" t="n">
        <v>0</v>
      </c>
      <c r="I542" t="n">
        <v>0</v>
      </c>
      <c r="J542" t="n">
        <v>0</v>
      </c>
      <c r="K542" t="n">
        <v>0</v>
      </c>
      <c r="L542" t="n">
        <v>0</v>
      </c>
      <c r="M542" t="n">
        <v>0</v>
      </c>
      <c r="N542" t="n">
        <v>0</v>
      </c>
      <c r="O542" t="n">
        <v>0</v>
      </c>
      <c r="P542" t="n">
        <v>0</v>
      </c>
      <c r="Q542" t="n">
        <v>0</v>
      </c>
      <c r="R542" s="2" t="inlineStr"/>
    </row>
    <row r="543" ht="15" customHeight="1">
      <c r="A543" t="inlineStr">
        <is>
          <t>A 25749-2023</t>
        </is>
      </c>
      <c r="B543" s="1" t="n">
        <v>45090</v>
      </c>
      <c r="C543" s="1" t="n">
        <v>46073</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35363-2024</t>
        </is>
      </c>
      <c r="B544" s="1" t="n">
        <v>45531.34050925926</v>
      </c>
      <c r="C544" s="1" t="n">
        <v>46073</v>
      </c>
      <c r="D544" t="inlineStr">
        <is>
          <t>DALARNAS LÄN</t>
        </is>
      </c>
      <c r="E544" t="inlineStr">
        <is>
          <t>MORA</t>
        </is>
      </c>
      <c r="G544" t="n">
        <v>2.5</v>
      </c>
      <c r="H544" t="n">
        <v>0</v>
      </c>
      <c r="I544" t="n">
        <v>0</v>
      </c>
      <c r="J544" t="n">
        <v>0</v>
      </c>
      <c r="K544" t="n">
        <v>0</v>
      </c>
      <c r="L544" t="n">
        <v>0</v>
      </c>
      <c r="M544" t="n">
        <v>0</v>
      </c>
      <c r="N544" t="n">
        <v>0</v>
      </c>
      <c r="O544" t="n">
        <v>0</v>
      </c>
      <c r="P544" t="n">
        <v>0</v>
      </c>
      <c r="Q544" t="n">
        <v>0</v>
      </c>
      <c r="R544" s="2" t="inlineStr"/>
    </row>
    <row r="545" ht="15" customHeight="1">
      <c r="A545" t="inlineStr">
        <is>
          <t>A 63431-2025</t>
        </is>
      </c>
      <c r="B545" s="1" t="n">
        <v>46013.36268518519</v>
      </c>
      <c r="C545" s="1" t="n">
        <v>46073</v>
      </c>
      <c r="D545" t="inlineStr">
        <is>
          <t>DALARNAS LÄN</t>
        </is>
      </c>
      <c r="E545" t="inlineStr">
        <is>
          <t>MORA</t>
        </is>
      </c>
      <c r="F545" t="inlineStr">
        <is>
          <t>Allmännings- och besparingsskogar</t>
        </is>
      </c>
      <c r="G545" t="n">
        <v>5.7</v>
      </c>
      <c r="H545" t="n">
        <v>0</v>
      </c>
      <c r="I545" t="n">
        <v>0</v>
      </c>
      <c r="J545" t="n">
        <v>0</v>
      </c>
      <c r="K545" t="n">
        <v>0</v>
      </c>
      <c r="L545" t="n">
        <v>0</v>
      </c>
      <c r="M545" t="n">
        <v>0</v>
      </c>
      <c r="N545" t="n">
        <v>0</v>
      </c>
      <c r="O545" t="n">
        <v>0</v>
      </c>
      <c r="P545" t="n">
        <v>0</v>
      </c>
      <c r="Q545" t="n">
        <v>0</v>
      </c>
      <c r="R545" s="2" t="inlineStr"/>
    </row>
    <row r="546" ht="15" customHeight="1">
      <c r="A546" t="inlineStr">
        <is>
          <t>A 58972-2023</t>
        </is>
      </c>
      <c r="B546" s="1" t="n">
        <v>45252</v>
      </c>
      <c r="C546" s="1" t="n">
        <v>46073</v>
      </c>
      <c r="D546" t="inlineStr">
        <is>
          <t>DALARNAS LÄN</t>
        </is>
      </c>
      <c r="E546" t="inlineStr">
        <is>
          <t>MORA</t>
        </is>
      </c>
      <c r="G546" t="n">
        <v>0.5</v>
      </c>
      <c r="H546" t="n">
        <v>0</v>
      </c>
      <c r="I546" t="n">
        <v>0</v>
      </c>
      <c r="J546" t="n">
        <v>0</v>
      </c>
      <c r="K546" t="n">
        <v>0</v>
      </c>
      <c r="L546" t="n">
        <v>0</v>
      </c>
      <c r="M546" t="n">
        <v>0</v>
      </c>
      <c r="N546" t="n">
        <v>0</v>
      </c>
      <c r="O546" t="n">
        <v>0</v>
      </c>
      <c r="P546" t="n">
        <v>0</v>
      </c>
      <c r="Q546" t="n">
        <v>0</v>
      </c>
      <c r="R546" s="2" t="inlineStr"/>
    </row>
    <row r="547" ht="15" customHeight="1">
      <c r="A547" t="inlineStr">
        <is>
          <t>A 58171-2024</t>
        </is>
      </c>
      <c r="B547" s="1" t="n">
        <v>45632.46545138889</v>
      </c>
      <c r="C547" s="1" t="n">
        <v>46073</v>
      </c>
      <c r="D547" t="inlineStr">
        <is>
          <t>DALARNAS LÄN</t>
        </is>
      </c>
      <c r="E547" t="inlineStr">
        <is>
          <t>MORA</t>
        </is>
      </c>
      <c r="G547" t="n">
        <v>0.5</v>
      </c>
      <c r="H547" t="n">
        <v>0</v>
      </c>
      <c r="I547" t="n">
        <v>0</v>
      </c>
      <c r="J547" t="n">
        <v>0</v>
      </c>
      <c r="K547" t="n">
        <v>0</v>
      </c>
      <c r="L547" t="n">
        <v>0</v>
      </c>
      <c r="M547" t="n">
        <v>0</v>
      </c>
      <c r="N547" t="n">
        <v>0</v>
      </c>
      <c r="O547" t="n">
        <v>0</v>
      </c>
      <c r="P547" t="n">
        <v>0</v>
      </c>
      <c r="Q547" t="n">
        <v>0</v>
      </c>
      <c r="R547" s="2" t="inlineStr"/>
    </row>
    <row r="548" ht="15" customHeight="1">
      <c r="A548" t="inlineStr">
        <is>
          <t>A 6674-2026</t>
        </is>
      </c>
      <c r="B548" s="1" t="n">
        <v>46056.60297453704</v>
      </c>
      <c r="C548" s="1" t="n">
        <v>46073</v>
      </c>
      <c r="D548" t="inlineStr">
        <is>
          <t>DALARNAS LÄN</t>
        </is>
      </c>
      <c r="E548" t="inlineStr">
        <is>
          <t>MORA</t>
        </is>
      </c>
      <c r="G548" t="n">
        <v>0.7</v>
      </c>
      <c r="H548" t="n">
        <v>0</v>
      </c>
      <c r="I548" t="n">
        <v>0</v>
      </c>
      <c r="J548" t="n">
        <v>0</v>
      </c>
      <c r="K548" t="n">
        <v>0</v>
      </c>
      <c r="L548" t="n">
        <v>0</v>
      </c>
      <c r="M548" t="n">
        <v>0</v>
      </c>
      <c r="N548" t="n">
        <v>0</v>
      </c>
      <c r="O548" t="n">
        <v>0</v>
      </c>
      <c r="P548" t="n">
        <v>0</v>
      </c>
      <c r="Q548" t="n">
        <v>0</v>
      </c>
      <c r="R548" s="2" t="inlineStr"/>
    </row>
    <row r="549" ht="15" customHeight="1">
      <c r="A549" t="inlineStr">
        <is>
          <t>A 33513-2024</t>
        </is>
      </c>
      <c r="B549" s="1" t="n">
        <v>45519.644375</v>
      </c>
      <c r="C549" s="1" t="n">
        <v>46073</v>
      </c>
      <c r="D549" t="inlineStr">
        <is>
          <t>DALARNAS LÄN</t>
        </is>
      </c>
      <c r="E549" t="inlineStr">
        <is>
          <t>MORA</t>
        </is>
      </c>
      <c r="G549" t="n">
        <v>5.9</v>
      </c>
      <c r="H549" t="n">
        <v>0</v>
      </c>
      <c r="I549" t="n">
        <v>0</v>
      </c>
      <c r="J549" t="n">
        <v>0</v>
      </c>
      <c r="K549" t="n">
        <v>0</v>
      </c>
      <c r="L549" t="n">
        <v>0</v>
      </c>
      <c r="M549" t="n">
        <v>0</v>
      </c>
      <c r="N549" t="n">
        <v>0</v>
      </c>
      <c r="O549" t="n">
        <v>0</v>
      </c>
      <c r="P549" t="n">
        <v>0</v>
      </c>
      <c r="Q549" t="n">
        <v>0</v>
      </c>
      <c r="R549" s="2" t="inlineStr"/>
    </row>
    <row r="550" ht="15" customHeight="1">
      <c r="A550" t="inlineStr">
        <is>
          <t>A 39856-2024</t>
        </is>
      </c>
      <c r="B550" s="1" t="n">
        <v>45553.44084490741</v>
      </c>
      <c r="C550" s="1" t="n">
        <v>46073</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6892-2026</t>
        </is>
      </c>
      <c r="B551" s="1" t="n">
        <v>46057.47490740741</v>
      </c>
      <c r="C551" s="1" t="n">
        <v>46073</v>
      </c>
      <c r="D551" t="inlineStr">
        <is>
          <t>DALARNAS LÄN</t>
        </is>
      </c>
      <c r="E551" t="inlineStr">
        <is>
          <t>MORA</t>
        </is>
      </c>
      <c r="G551" t="n">
        <v>9</v>
      </c>
      <c r="H551" t="n">
        <v>0</v>
      </c>
      <c r="I551" t="n">
        <v>0</v>
      </c>
      <c r="J551" t="n">
        <v>0</v>
      </c>
      <c r="K551" t="n">
        <v>0</v>
      </c>
      <c r="L551" t="n">
        <v>0</v>
      </c>
      <c r="M551" t="n">
        <v>0</v>
      </c>
      <c r="N551" t="n">
        <v>0</v>
      </c>
      <c r="O551" t="n">
        <v>0</v>
      </c>
      <c r="P551" t="n">
        <v>0</v>
      </c>
      <c r="Q551" t="n">
        <v>0</v>
      </c>
      <c r="R551" s="2" t="inlineStr"/>
    </row>
    <row r="552" ht="15" customHeight="1">
      <c r="A552" t="inlineStr">
        <is>
          <t>A 63596-2025</t>
        </is>
      </c>
      <c r="B552" s="1" t="n">
        <v>46013.96362268519</v>
      </c>
      <c r="C552" s="1" t="n">
        <v>46073</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6967-2026</t>
        </is>
      </c>
      <c r="B553" s="1" t="n">
        <v>46057.58777777778</v>
      </c>
      <c r="C553" s="1" t="n">
        <v>46073</v>
      </c>
      <c r="D553" t="inlineStr">
        <is>
          <t>DALARNAS LÄN</t>
        </is>
      </c>
      <c r="E553" t="inlineStr">
        <is>
          <t>MORA</t>
        </is>
      </c>
      <c r="G553" t="n">
        <v>5</v>
      </c>
      <c r="H553" t="n">
        <v>0</v>
      </c>
      <c r="I553" t="n">
        <v>0</v>
      </c>
      <c r="J553" t="n">
        <v>0</v>
      </c>
      <c r="K553" t="n">
        <v>0</v>
      </c>
      <c r="L553" t="n">
        <v>0</v>
      </c>
      <c r="M553" t="n">
        <v>0</v>
      </c>
      <c r="N553" t="n">
        <v>0</v>
      </c>
      <c r="O553" t="n">
        <v>0</v>
      </c>
      <c r="P553" t="n">
        <v>0</v>
      </c>
      <c r="Q553" t="n">
        <v>0</v>
      </c>
      <c r="R553" s="2" t="inlineStr"/>
    </row>
    <row r="554" ht="15" customHeight="1">
      <c r="A554" t="inlineStr">
        <is>
          <t>A 59182-2023</t>
        </is>
      </c>
      <c r="B554" s="1" t="n">
        <v>45253</v>
      </c>
      <c r="C554" s="1" t="n">
        <v>46073</v>
      </c>
      <c r="D554" t="inlineStr">
        <is>
          <t>DALARNAS LÄN</t>
        </is>
      </c>
      <c r="E554" t="inlineStr">
        <is>
          <t>MORA</t>
        </is>
      </c>
      <c r="G554" t="n">
        <v>3.3</v>
      </c>
      <c r="H554" t="n">
        <v>0</v>
      </c>
      <c r="I554" t="n">
        <v>0</v>
      </c>
      <c r="J554" t="n">
        <v>0</v>
      </c>
      <c r="K554" t="n">
        <v>0</v>
      </c>
      <c r="L554" t="n">
        <v>0</v>
      </c>
      <c r="M554" t="n">
        <v>0</v>
      </c>
      <c r="N554" t="n">
        <v>0</v>
      </c>
      <c r="O554" t="n">
        <v>0</v>
      </c>
      <c r="P554" t="n">
        <v>0</v>
      </c>
      <c r="Q554" t="n">
        <v>0</v>
      </c>
      <c r="R554" s="2" t="inlineStr"/>
    </row>
    <row r="555" ht="15" customHeight="1">
      <c r="A555" t="inlineStr">
        <is>
          <t>A 501-2024</t>
        </is>
      </c>
      <c r="B555" s="1" t="n">
        <v>45299</v>
      </c>
      <c r="C555" s="1" t="n">
        <v>46073</v>
      </c>
      <c r="D555" t="inlineStr">
        <is>
          <t>DALARNAS LÄN</t>
        </is>
      </c>
      <c r="E555" t="inlineStr">
        <is>
          <t>MORA</t>
        </is>
      </c>
      <c r="G555" t="n">
        <v>2.5</v>
      </c>
      <c r="H555" t="n">
        <v>0</v>
      </c>
      <c r="I555" t="n">
        <v>0</v>
      </c>
      <c r="J555" t="n">
        <v>0</v>
      </c>
      <c r="K555" t="n">
        <v>0</v>
      </c>
      <c r="L555" t="n">
        <v>0</v>
      </c>
      <c r="M555" t="n">
        <v>0</v>
      </c>
      <c r="N555" t="n">
        <v>0</v>
      </c>
      <c r="O555" t="n">
        <v>0</v>
      </c>
      <c r="P555" t="n">
        <v>0</v>
      </c>
      <c r="Q555" t="n">
        <v>0</v>
      </c>
      <c r="R555" s="2" t="inlineStr"/>
    </row>
    <row r="556" ht="15" customHeight="1">
      <c r="A556" t="inlineStr">
        <is>
          <t>A 64327-2023</t>
        </is>
      </c>
      <c r="B556" s="1" t="n">
        <v>45280</v>
      </c>
      <c r="C556" s="1" t="n">
        <v>46073</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6971-2026</t>
        </is>
      </c>
      <c r="B557" s="1" t="n">
        <v>46057.59153935185</v>
      </c>
      <c r="C557" s="1" t="n">
        <v>46073</v>
      </c>
      <c r="D557" t="inlineStr">
        <is>
          <t>DALARNAS LÄN</t>
        </is>
      </c>
      <c r="E557" t="inlineStr">
        <is>
          <t>MORA</t>
        </is>
      </c>
      <c r="G557" t="n">
        <v>1.9</v>
      </c>
      <c r="H557" t="n">
        <v>0</v>
      </c>
      <c r="I557" t="n">
        <v>0</v>
      </c>
      <c r="J557" t="n">
        <v>0</v>
      </c>
      <c r="K557" t="n">
        <v>0</v>
      </c>
      <c r="L557" t="n">
        <v>0</v>
      </c>
      <c r="M557" t="n">
        <v>0</v>
      </c>
      <c r="N557" t="n">
        <v>0</v>
      </c>
      <c r="O557" t="n">
        <v>0</v>
      </c>
      <c r="P557" t="n">
        <v>0</v>
      </c>
      <c r="Q557" t="n">
        <v>0</v>
      </c>
      <c r="R557" s="2" t="inlineStr"/>
    </row>
    <row r="558" ht="15" customHeight="1">
      <c r="A558" t="inlineStr">
        <is>
          <t>A 6802-2026</t>
        </is>
      </c>
      <c r="B558" s="1" t="n">
        <v>46057.35288194445</v>
      </c>
      <c r="C558" s="1" t="n">
        <v>46073</v>
      </c>
      <c r="D558" t="inlineStr">
        <is>
          <t>DALARNAS LÄN</t>
        </is>
      </c>
      <c r="E558" t="inlineStr">
        <is>
          <t>MORA</t>
        </is>
      </c>
      <c r="G558" t="n">
        <v>5.8</v>
      </c>
      <c r="H558" t="n">
        <v>0</v>
      </c>
      <c r="I558" t="n">
        <v>0</v>
      </c>
      <c r="J558" t="n">
        <v>0</v>
      </c>
      <c r="K558" t="n">
        <v>0</v>
      </c>
      <c r="L558" t="n">
        <v>0</v>
      </c>
      <c r="M558" t="n">
        <v>0</v>
      </c>
      <c r="N558" t="n">
        <v>0</v>
      </c>
      <c r="O558" t="n">
        <v>0</v>
      </c>
      <c r="P558" t="n">
        <v>0</v>
      </c>
      <c r="Q558" t="n">
        <v>0</v>
      </c>
      <c r="R558" s="2" t="inlineStr"/>
    </row>
    <row r="559" ht="15" customHeight="1">
      <c r="A559" t="inlineStr">
        <is>
          <t>A 17494-2025</t>
        </is>
      </c>
      <c r="B559" s="1" t="n">
        <v>45757.52033564815</v>
      </c>
      <c r="C559" s="1" t="n">
        <v>46073</v>
      </c>
      <c r="D559" t="inlineStr">
        <is>
          <t>DALARNAS LÄN</t>
        </is>
      </c>
      <c r="E559" t="inlineStr">
        <is>
          <t>MORA</t>
        </is>
      </c>
      <c r="G559" t="n">
        <v>5.3</v>
      </c>
      <c r="H559" t="n">
        <v>0</v>
      </c>
      <c r="I559" t="n">
        <v>0</v>
      </c>
      <c r="J559" t="n">
        <v>0</v>
      </c>
      <c r="K559" t="n">
        <v>0</v>
      </c>
      <c r="L559" t="n">
        <v>0</v>
      </c>
      <c r="M559" t="n">
        <v>0</v>
      </c>
      <c r="N559" t="n">
        <v>0</v>
      </c>
      <c r="O559" t="n">
        <v>0</v>
      </c>
      <c r="P559" t="n">
        <v>0</v>
      </c>
      <c r="Q559" t="n">
        <v>0</v>
      </c>
      <c r="R559" s="2" t="inlineStr"/>
    </row>
    <row r="560" ht="15" customHeight="1">
      <c r="A560" t="inlineStr">
        <is>
          <t>A 6947-2026</t>
        </is>
      </c>
      <c r="B560" s="1" t="n">
        <v>46057.56855324074</v>
      </c>
      <c r="C560" s="1" t="n">
        <v>46073</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58958-2022</t>
        </is>
      </c>
      <c r="B561" s="1" t="n">
        <v>44903.6605324074</v>
      </c>
      <c r="C561" s="1" t="n">
        <v>46073</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12987-2024</t>
        </is>
      </c>
      <c r="B562" s="1" t="n">
        <v>45385.55375</v>
      </c>
      <c r="C562" s="1" t="n">
        <v>46073</v>
      </c>
      <c r="D562" t="inlineStr">
        <is>
          <t>DALARNAS LÄN</t>
        </is>
      </c>
      <c r="E562" t="inlineStr">
        <is>
          <t>MORA</t>
        </is>
      </c>
      <c r="G562" t="n">
        <v>1.3</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45105.54270833333</v>
      </c>
      <c r="C563" s="1" t="n">
        <v>46073</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6923-2026</t>
        </is>
      </c>
      <c r="B564" s="1" t="n">
        <v>46057.53868055555</v>
      </c>
      <c r="C564" s="1" t="n">
        <v>46073</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442-2024</t>
        </is>
      </c>
      <c r="B565" s="1" t="n">
        <v>45296.60353009259</v>
      </c>
      <c r="C565" s="1" t="n">
        <v>46073</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15172-2025</t>
        </is>
      </c>
      <c r="B566" s="1" t="n">
        <v>45744.50722222222</v>
      </c>
      <c r="C566" s="1" t="n">
        <v>46073</v>
      </c>
      <c r="D566" t="inlineStr">
        <is>
          <t>DALARNAS LÄN</t>
        </is>
      </c>
      <c r="E566" t="inlineStr">
        <is>
          <t>MORA</t>
        </is>
      </c>
      <c r="G566" t="n">
        <v>3.2</v>
      </c>
      <c r="H566" t="n">
        <v>0</v>
      </c>
      <c r="I566" t="n">
        <v>0</v>
      </c>
      <c r="J566" t="n">
        <v>0</v>
      </c>
      <c r="K566" t="n">
        <v>0</v>
      </c>
      <c r="L566" t="n">
        <v>0</v>
      </c>
      <c r="M566" t="n">
        <v>0</v>
      </c>
      <c r="N566" t="n">
        <v>0</v>
      </c>
      <c r="O566" t="n">
        <v>0</v>
      </c>
      <c r="P566" t="n">
        <v>0</v>
      </c>
      <c r="Q566" t="n">
        <v>0</v>
      </c>
      <c r="R566" s="2" t="inlineStr"/>
    </row>
    <row r="567" ht="15" customHeight="1">
      <c r="A567" t="inlineStr">
        <is>
          <t>A 3854-2026</t>
        </is>
      </c>
      <c r="B567" s="1" t="n">
        <v>46043</v>
      </c>
      <c r="C567" s="1" t="n">
        <v>46073</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17278-2025</t>
        </is>
      </c>
      <c r="B568" s="1" t="n">
        <v>45756.56131944444</v>
      </c>
      <c r="C568" s="1" t="n">
        <v>46073</v>
      </c>
      <c r="D568" t="inlineStr">
        <is>
          <t>DALARNAS LÄN</t>
        </is>
      </c>
      <c r="E568" t="inlineStr">
        <is>
          <t>MORA</t>
        </is>
      </c>
      <c r="G568" t="n">
        <v>3</v>
      </c>
      <c r="H568" t="n">
        <v>0</v>
      </c>
      <c r="I568" t="n">
        <v>0</v>
      </c>
      <c r="J568" t="n">
        <v>0</v>
      </c>
      <c r="K568" t="n">
        <v>0</v>
      </c>
      <c r="L568" t="n">
        <v>0</v>
      </c>
      <c r="M568" t="n">
        <v>0</v>
      </c>
      <c r="N568" t="n">
        <v>0</v>
      </c>
      <c r="O568" t="n">
        <v>0</v>
      </c>
      <c r="P568" t="n">
        <v>0</v>
      </c>
      <c r="Q568" t="n">
        <v>0</v>
      </c>
      <c r="R568" s="2" t="inlineStr"/>
    </row>
    <row r="569" ht="15" customHeight="1">
      <c r="A569" t="inlineStr">
        <is>
          <t>A 33627-2024</t>
        </is>
      </c>
      <c r="B569" s="1" t="n">
        <v>45520</v>
      </c>
      <c r="C569" s="1" t="n">
        <v>46073</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3260-2026</t>
        </is>
      </c>
      <c r="B570" s="1" t="n">
        <v>46041</v>
      </c>
      <c r="C570" s="1" t="n">
        <v>46073</v>
      </c>
      <c r="D570" t="inlineStr">
        <is>
          <t>DALARNAS LÄN</t>
        </is>
      </c>
      <c r="E570" t="inlineStr">
        <is>
          <t>MORA</t>
        </is>
      </c>
      <c r="G570" t="n">
        <v>27.1</v>
      </c>
      <c r="H570" t="n">
        <v>0</v>
      </c>
      <c r="I570" t="n">
        <v>0</v>
      </c>
      <c r="J570" t="n">
        <v>0</v>
      </c>
      <c r="K570" t="n">
        <v>0</v>
      </c>
      <c r="L570" t="n">
        <v>0</v>
      </c>
      <c r="M570" t="n">
        <v>0</v>
      </c>
      <c r="N570" t="n">
        <v>0</v>
      </c>
      <c r="O570" t="n">
        <v>0</v>
      </c>
      <c r="P570" t="n">
        <v>0</v>
      </c>
      <c r="Q570" t="n">
        <v>0</v>
      </c>
      <c r="R570" s="2" t="inlineStr"/>
    </row>
    <row r="571" ht="15" customHeight="1">
      <c r="A571" t="inlineStr">
        <is>
          <t>A 60674-2023</t>
        </is>
      </c>
      <c r="B571" s="1" t="n">
        <v>45260.46609953704</v>
      </c>
      <c r="C571" s="1" t="n">
        <v>46073</v>
      </c>
      <c r="D571" t="inlineStr">
        <is>
          <t>DALARNAS LÄN</t>
        </is>
      </c>
      <c r="E571" t="inlineStr">
        <is>
          <t>MORA</t>
        </is>
      </c>
      <c r="G571" t="n">
        <v>2.9</v>
      </c>
      <c r="H571" t="n">
        <v>0</v>
      </c>
      <c r="I571" t="n">
        <v>0</v>
      </c>
      <c r="J571" t="n">
        <v>0</v>
      </c>
      <c r="K571" t="n">
        <v>0</v>
      </c>
      <c r="L571" t="n">
        <v>0</v>
      </c>
      <c r="M571" t="n">
        <v>0</v>
      </c>
      <c r="N571" t="n">
        <v>0</v>
      </c>
      <c r="O571" t="n">
        <v>0</v>
      </c>
      <c r="P571" t="n">
        <v>0</v>
      </c>
      <c r="Q571" t="n">
        <v>0</v>
      </c>
      <c r="R571" s="2" t="inlineStr"/>
    </row>
    <row r="572" ht="15" customHeight="1">
      <c r="A572" t="inlineStr">
        <is>
          <t>A 61293-2022</t>
        </is>
      </c>
      <c r="B572" s="1" t="n">
        <v>44915.62751157407</v>
      </c>
      <c r="C572" s="1" t="n">
        <v>46073</v>
      </c>
      <c r="D572" t="inlineStr">
        <is>
          <t>DALARNAS LÄN</t>
        </is>
      </c>
      <c r="E572" t="inlineStr">
        <is>
          <t>MORA</t>
        </is>
      </c>
      <c r="G572" t="n">
        <v>0.3</v>
      </c>
      <c r="H572" t="n">
        <v>0</v>
      </c>
      <c r="I572" t="n">
        <v>0</v>
      </c>
      <c r="J572" t="n">
        <v>0</v>
      </c>
      <c r="K572" t="n">
        <v>0</v>
      </c>
      <c r="L572" t="n">
        <v>0</v>
      </c>
      <c r="M572" t="n">
        <v>0</v>
      </c>
      <c r="N572" t="n">
        <v>0</v>
      </c>
      <c r="O572" t="n">
        <v>0</v>
      </c>
      <c r="P572" t="n">
        <v>0</v>
      </c>
      <c r="Q572" t="n">
        <v>0</v>
      </c>
      <c r="R572" s="2" t="inlineStr"/>
    </row>
    <row r="573" ht="15" customHeight="1">
      <c r="A573" t="inlineStr">
        <is>
          <t>A 60360-2023</t>
        </is>
      </c>
      <c r="B573" s="1" t="n">
        <v>45259</v>
      </c>
      <c r="C573" s="1" t="n">
        <v>46073</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18139-2025</t>
        </is>
      </c>
      <c r="B574" s="1" t="n">
        <v>45761.60459490741</v>
      </c>
      <c r="C574" s="1" t="n">
        <v>46073</v>
      </c>
      <c r="D574" t="inlineStr">
        <is>
          <t>DALARNAS LÄN</t>
        </is>
      </c>
      <c r="E574" t="inlineStr">
        <is>
          <t>MORA</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25499-2024</t>
        </is>
      </c>
      <c r="B575" s="1" t="n">
        <v>45463</v>
      </c>
      <c r="C575" s="1" t="n">
        <v>46073</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63964-2025</t>
        </is>
      </c>
      <c r="B576" s="1" t="n">
        <v>46020</v>
      </c>
      <c r="C576" s="1" t="n">
        <v>46073</v>
      </c>
      <c r="D576" t="inlineStr">
        <is>
          <t>DALARNAS LÄN</t>
        </is>
      </c>
      <c r="E576" t="inlineStr">
        <is>
          <t>MORA</t>
        </is>
      </c>
      <c r="G576" t="n">
        <v>6.1</v>
      </c>
      <c r="H576" t="n">
        <v>0</v>
      </c>
      <c r="I576" t="n">
        <v>0</v>
      </c>
      <c r="J576" t="n">
        <v>0</v>
      </c>
      <c r="K576" t="n">
        <v>0</v>
      </c>
      <c r="L576" t="n">
        <v>0</v>
      </c>
      <c r="M576" t="n">
        <v>0</v>
      </c>
      <c r="N576" t="n">
        <v>0</v>
      </c>
      <c r="O576" t="n">
        <v>0</v>
      </c>
      <c r="P576" t="n">
        <v>0</v>
      </c>
      <c r="Q576" t="n">
        <v>0</v>
      </c>
      <c r="R576" s="2" t="inlineStr"/>
    </row>
    <row r="577" ht="15" customHeight="1">
      <c r="A577" t="inlineStr">
        <is>
          <t>A 7418-2026</t>
        </is>
      </c>
      <c r="B577" s="1" t="n">
        <v>46059.42018518518</v>
      </c>
      <c r="C577" s="1" t="n">
        <v>46073</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7951-2026</t>
        </is>
      </c>
      <c r="B578" s="1" t="n">
        <v>46063.42481481482</v>
      </c>
      <c r="C578" s="1" t="n">
        <v>46073</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61405-2023</t>
        </is>
      </c>
      <c r="B579" s="1" t="n">
        <v>45264.65987268519</v>
      </c>
      <c r="C579" s="1" t="n">
        <v>46073</v>
      </c>
      <c r="D579" t="inlineStr">
        <is>
          <t>DALARNAS LÄN</t>
        </is>
      </c>
      <c r="E579" t="inlineStr">
        <is>
          <t>MORA</t>
        </is>
      </c>
      <c r="G579" t="n">
        <v>0.4</v>
      </c>
      <c r="H579" t="n">
        <v>0</v>
      </c>
      <c r="I579" t="n">
        <v>0</v>
      </c>
      <c r="J579" t="n">
        <v>0</v>
      </c>
      <c r="K579" t="n">
        <v>0</v>
      </c>
      <c r="L579" t="n">
        <v>0</v>
      </c>
      <c r="M579" t="n">
        <v>0</v>
      </c>
      <c r="N579" t="n">
        <v>0</v>
      </c>
      <c r="O579" t="n">
        <v>0</v>
      </c>
      <c r="P579" t="n">
        <v>0</v>
      </c>
      <c r="Q579" t="n">
        <v>0</v>
      </c>
      <c r="R579" s="2" t="inlineStr"/>
    </row>
    <row r="580" ht="15" customHeight="1">
      <c r="A580" t="inlineStr">
        <is>
          <t>A 57475-2022</t>
        </is>
      </c>
      <c r="B580" s="1" t="n">
        <v>44896</v>
      </c>
      <c r="C580" s="1" t="n">
        <v>46073</v>
      </c>
      <c r="D580" t="inlineStr">
        <is>
          <t>DALARNAS LÄN</t>
        </is>
      </c>
      <c r="E580" t="inlineStr">
        <is>
          <t>MORA</t>
        </is>
      </c>
      <c r="G580" t="n">
        <v>5.7</v>
      </c>
      <c r="H580" t="n">
        <v>0</v>
      </c>
      <c r="I580" t="n">
        <v>0</v>
      </c>
      <c r="J580" t="n">
        <v>0</v>
      </c>
      <c r="K580" t="n">
        <v>0</v>
      </c>
      <c r="L580" t="n">
        <v>0</v>
      </c>
      <c r="M580" t="n">
        <v>0</v>
      </c>
      <c r="N580" t="n">
        <v>0</v>
      </c>
      <c r="O580" t="n">
        <v>0</v>
      </c>
      <c r="P580" t="n">
        <v>0</v>
      </c>
      <c r="Q580" t="n">
        <v>0</v>
      </c>
      <c r="R580" s="2" t="inlineStr"/>
    </row>
    <row r="581" ht="15" customHeight="1">
      <c r="A581" t="inlineStr">
        <is>
          <t>A 8007-2026</t>
        </is>
      </c>
      <c r="B581" s="1" t="n">
        <v>46063.52565972223</v>
      </c>
      <c r="C581" s="1" t="n">
        <v>46073</v>
      </c>
      <c r="D581" t="inlineStr">
        <is>
          <t>DALARNAS LÄN</t>
        </is>
      </c>
      <c r="E581" t="inlineStr">
        <is>
          <t>MORA</t>
        </is>
      </c>
      <c r="F581" t="inlineStr">
        <is>
          <t>Bergvik skog väst AB</t>
        </is>
      </c>
      <c r="G581" t="n">
        <v>2.5</v>
      </c>
      <c r="H581" t="n">
        <v>0</v>
      </c>
      <c r="I581" t="n">
        <v>0</v>
      </c>
      <c r="J581" t="n">
        <v>0</v>
      </c>
      <c r="K581" t="n">
        <v>0</v>
      </c>
      <c r="L581" t="n">
        <v>0</v>
      </c>
      <c r="M581" t="n">
        <v>0</v>
      </c>
      <c r="N581" t="n">
        <v>0</v>
      </c>
      <c r="O581" t="n">
        <v>0</v>
      </c>
      <c r="P581" t="n">
        <v>0</v>
      </c>
      <c r="Q581" t="n">
        <v>0</v>
      </c>
      <c r="R581" s="2" t="inlineStr"/>
    </row>
    <row r="582" ht="15" customHeight="1">
      <c r="A582" t="inlineStr">
        <is>
          <t>A 8075-2026</t>
        </is>
      </c>
      <c r="B582" s="1" t="n">
        <v>46063.65672453704</v>
      </c>
      <c r="C582" s="1" t="n">
        <v>46073</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46414-2024</t>
        </is>
      </c>
      <c r="B583" s="1" t="n">
        <v>45582.45226851852</v>
      </c>
      <c r="C583" s="1" t="n">
        <v>46073</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46417-2024</t>
        </is>
      </c>
      <c r="B584" s="1" t="n">
        <v>45582.45449074074</v>
      </c>
      <c r="C584" s="1" t="n">
        <v>46073</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17280-2025</t>
        </is>
      </c>
      <c r="B585" s="1" t="n">
        <v>45756</v>
      </c>
      <c r="C585" s="1" t="n">
        <v>46073</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8361-2026</t>
        </is>
      </c>
      <c r="B586" s="1" t="n">
        <v>46064.6643287037</v>
      </c>
      <c r="C586" s="1" t="n">
        <v>46073</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61270-2024</t>
        </is>
      </c>
      <c r="B587" s="1" t="n">
        <v>45645.74694444444</v>
      </c>
      <c r="C587" s="1" t="n">
        <v>46073</v>
      </c>
      <c r="D587" t="inlineStr">
        <is>
          <t>DALARNAS LÄN</t>
        </is>
      </c>
      <c r="E587" t="inlineStr">
        <is>
          <t>MORA</t>
        </is>
      </c>
      <c r="G587" t="n">
        <v>5.1</v>
      </c>
      <c r="H587" t="n">
        <v>0</v>
      </c>
      <c r="I587" t="n">
        <v>0</v>
      </c>
      <c r="J587" t="n">
        <v>0</v>
      </c>
      <c r="K587" t="n">
        <v>0</v>
      </c>
      <c r="L587" t="n">
        <v>0</v>
      </c>
      <c r="M587" t="n">
        <v>0</v>
      </c>
      <c r="N587" t="n">
        <v>0</v>
      </c>
      <c r="O587" t="n">
        <v>0</v>
      </c>
      <c r="P587" t="n">
        <v>0</v>
      </c>
      <c r="Q587" t="n">
        <v>0</v>
      </c>
      <c r="R587" s="2" t="inlineStr"/>
    </row>
    <row r="588" ht="15" customHeight="1">
      <c r="A588" t="inlineStr">
        <is>
          <t>A 3742-2026</t>
        </is>
      </c>
      <c r="B588" s="1" t="n">
        <v>46043</v>
      </c>
      <c r="C588" s="1" t="n">
        <v>46073</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4213-2026</t>
        </is>
      </c>
      <c r="B589" s="1" t="n">
        <v>46044.741875</v>
      </c>
      <c r="C589" s="1" t="n">
        <v>46073</v>
      </c>
      <c r="D589" t="inlineStr">
        <is>
          <t>DALARNAS LÄN</t>
        </is>
      </c>
      <c r="E589" t="inlineStr">
        <is>
          <t>MORA</t>
        </is>
      </c>
      <c r="G589" t="n">
        <v>1.5</v>
      </c>
      <c r="H589" t="n">
        <v>0</v>
      </c>
      <c r="I589" t="n">
        <v>0</v>
      </c>
      <c r="J589" t="n">
        <v>0</v>
      </c>
      <c r="K589" t="n">
        <v>0</v>
      </c>
      <c r="L589" t="n">
        <v>0</v>
      </c>
      <c r="M589" t="n">
        <v>0</v>
      </c>
      <c r="N589" t="n">
        <v>0</v>
      </c>
      <c r="O589" t="n">
        <v>0</v>
      </c>
      <c r="P589" t="n">
        <v>0</v>
      </c>
      <c r="Q589" t="n">
        <v>0</v>
      </c>
      <c r="R589" s="2" t="inlineStr"/>
    </row>
    <row r="590" ht="15" customHeight="1">
      <c r="A590" t="inlineStr">
        <is>
          <t>A 5936-2026</t>
        </is>
      </c>
      <c r="B590" s="1" t="n">
        <v>46052.47197916666</v>
      </c>
      <c r="C590" s="1" t="n">
        <v>46073</v>
      </c>
      <c r="D590" t="inlineStr">
        <is>
          <t>DALARNAS LÄN</t>
        </is>
      </c>
      <c r="E590" t="inlineStr">
        <is>
          <t>MORA</t>
        </is>
      </c>
      <c r="G590" t="n">
        <v>11.1</v>
      </c>
      <c r="H590" t="n">
        <v>0</v>
      </c>
      <c r="I590" t="n">
        <v>0</v>
      </c>
      <c r="J590" t="n">
        <v>0</v>
      </c>
      <c r="K590" t="n">
        <v>0</v>
      </c>
      <c r="L590" t="n">
        <v>0</v>
      </c>
      <c r="M590" t="n">
        <v>0</v>
      </c>
      <c r="N590" t="n">
        <v>0</v>
      </c>
      <c r="O590" t="n">
        <v>0</v>
      </c>
      <c r="P590" t="n">
        <v>0</v>
      </c>
      <c r="Q590" t="n">
        <v>0</v>
      </c>
      <c r="R590" s="2" t="inlineStr"/>
    </row>
    <row r="591" ht="15" customHeight="1">
      <c r="A591" t="inlineStr">
        <is>
          <t>A 141-2026</t>
        </is>
      </c>
      <c r="B591" s="1" t="n">
        <v>46024.62364583334</v>
      </c>
      <c r="C591" s="1" t="n">
        <v>46073</v>
      </c>
      <c r="D591" t="inlineStr">
        <is>
          <t>DALARNAS LÄN</t>
        </is>
      </c>
      <c r="E591" t="inlineStr">
        <is>
          <t>MORA</t>
        </is>
      </c>
      <c r="G591" t="n">
        <v>4.4</v>
      </c>
      <c r="H591" t="n">
        <v>0</v>
      </c>
      <c r="I591" t="n">
        <v>0</v>
      </c>
      <c r="J591" t="n">
        <v>0</v>
      </c>
      <c r="K591" t="n">
        <v>0</v>
      </c>
      <c r="L591" t="n">
        <v>0</v>
      </c>
      <c r="M591" t="n">
        <v>0</v>
      </c>
      <c r="N591" t="n">
        <v>0</v>
      </c>
      <c r="O591" t="n">
        <v>0</v>
      </c>
      <c r="P591" t="n">
        <v>0</v>
      </c>
      <c r="Q591" t="n">
        <v>0</v>
      </c>
      <c r="R591" s="2" t="inlineStr"/>
    </row>
    <row r="592" ht="15" customHeight="1">
      <c r="A592" t="inlineStr">
        <is>
          <t>A 7116-2024</t>
        </is>
      </c>
      <c r="B592" s="1" t="n">
        <v>45343.95445601852</v>
      </c>
      <c r="C592" s="1" t="n">
        <v>46073</v>
      </c>
      <c r="D592" t="inlineStr">
        <is>
          <t>DALARNAS LÄN</t>
        </is>
      </c>
      <c r="E592" t="inlineStr">
        <is>
          <t>MORA</t>
        </is>
      </c>
      <c r="G592" t="n">
        <v>0.3</v>
      </c>
      <c r="H592" t="n">
        <v>0</v>
      </c>
      <c r="I592" t="n">
        <v>0</v>
      </c>
      <c r="J592" t="n">
        <v>0</v>
      </c>
      <c r="K592" t="n">
        <v>0</v>
      </c>
      <c r="L592" t="n">
        <v>0</v>
      </c>
      <c r="M592" t="n">
        <v>0</v>
      </c>
      <c r="N592" t="n">
        <v>0</v>
      </c>
      <c r="O592" t="n">
        <v>0</v>
      </c>
      <c r="P592" t="n">
        <v>0</v>
      </c>
      <c r="Q592" t="n">
        <v>0</v>
      </c>
      <c r="R592" s="2" t="inlineStr"/>
    </row>
    <row r="593" ht="15" customHeight="1">
      <c r="A593" t="inlineStr">
        <is>
          <t>A 59995-2023</t>
        </is>
      </c>
      <c r="B593" s="1" t="n">
        <v>45254</v>
      </c>
      <c r="C593" s="1" t="n">
        <v>46073</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13479-2024</t>
        </is>
      </c>
      <c r="B594" s="1" t="n">
        <v>45387.5900925926</v>
      </c>
      <c r="C594" s="1" t="n">
        <v>46073</v>
      </c>
      <c r="D594" t="inlineStr">
        <is>
          <t>DALARNAS LÄN</t>
        </is>
      </c>
      <c r="E594" t="inlineStr">
        <is>
          <t>MORA</t>
        </is>
      </c>
      <c r="G594" t="n">
        <v>1.4</v>
      </c>
      <c r="H594" t="n">
        <v>0</v>
      </c>
      <c r="I594" t="n">
        <v>0</v>
      </c>
      <c r="J594" t="n">
        <v>0</v>
      </c>
      <c r="K594" t="n">
        <v>0</v>
      </c>
      <c r="L594" t="n">
        <v>0</v>
      </c>
      <c r="M594" t="n">
        <v>0</v>
      </c>
      <c r="N594" t="n">
        <v>0</v>
      </c>
      <c r="O594" t="n">
        <v>0</v>
      </c>
      <c r="P594" t="n">
        <v>0</v>
      </c>
      <c r="Q594" t="n">
        <v>0</v>
      </c>
      <c r="R594" s="2" t="inlineStr"/>
    </row>
    <row r="595" ht="15" customHeight="1">
      <c r="A595" t="inlineStr">
        <is>
          <t>A 41812-2024</t>
        </is>
      </c>
      <c r="B595" s="1" t="n">
        <v>45561.3771412037</v>
      </c>
      <c r="C595" s="1" t="n">
        <v>46073</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4744-2026</t>
        </is>
      </c>
      <c r="B596" s="1" t="n">
        <v>46048</v>
      </c>
      <c r="C596" s="1" t="n">
        <v>46073</v>
      </c>
      <c r="D596" t="inlineStr">
        <is>
          <t>DALARNAS LÄN</t>
        </is>
      </c>
      <c r="E596" t="inlineStr">
        <is>
          <t>MORA</t>
        </is>
      </c>
      <c r="G596" t="n">
        <v>15.8</v>
      </c>
      <c r="H596" t="n">
        <v>0</v>
      </c>
      <c r="I596" t="n">
        <v>0</v>
      </c>
      <c r="J596" t="n">
        <v>0</v>
      </c>
      <c r="K596" t="n">
        <v>0</v>
      </c>
      <c r="L596" t="n">
        <v>0</v>
      </c>
      <c r="M596" t="n">
        <v>0</v>
      </c>
      <c r="N596" t="n">
        <v>0</v>
      </c>
      <c r="O596" t="n">
        <v>0</v>
      </c>
      <c r="P596" t="n">
        <v>0</v>
      </c>
      <c r="Q596" t="n">
        <v>0</v>
      </c>
      <c r="R596" s="2" t="inlineStr"/>
    </row>
    <row r="597" ht="15" customHeight="1">
      <c r="A597" t="inlineStr">
        <is>
          <t>A 8470-2026</t>
        </is>
      </c>
      <c r="B597" s="1" t="n">
        <v>46065.4490162037</v>
      </c>
      <c r="C597" s="1" t="n">
        <v>46073</v>
      </c>
      <c r="D597" t="inlineStr">
        <is>
          <t>DALARNAS LÄN</t>
        </is>
      </c>
      <c r="E597" t="inlineStr">
        <is>
          <t>MORA</t>
        </is>
      </c>
      <c r="G597" t="n">
        <v>3.1</v>
      </c>
      <c r="H597" t="n">
        <v>0</v>
      </c>
      <c r="I597" t="n">
        <v>0</v>
      </c>
      <c r="J597" t="n">
        <v>0</v>
      </c>
      <c r="K597" t="n">
        <v>0</v>
      </c>
      <c r="L597" t="n">
        <v>0</v>
      </c>
      <c r="M597" t="n">
        <v>0</v>
      </c>
      <c r="N597" t="n">
        <v>0</v>
      </c>
      <c r="O597" t="n">
        <v>0</v>
      </c>
      <c r="P597" t="n">
        <v>0</v>
      </c>
      <c r="Q597" t="n">
        <v>0</v>
      </c>
      <c r="R597" s="2" t="inlineStr"/>
    </row>
    <row r="598" ht="15" customHeight="1">
      <c r="A598" t="inlineStr">
        <is>
          <t>A 42085-2024</t>
        </is>
      </c>
      <c r="B598" s="1" t="n">
        <v>45562.33179398148</v>
      </c>
      <c r="C598" s="1" t="n">
        <v>46073</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8549-2026</t>
        </is>
      </c>
      <c r="B599" s="1" t="n">
        <v>46065.61790509259</v>
      </c>
      <c r="C599" s="1" t="n">
        <v>46073</v>
      </c>
      <c r="D599" t="inlineStr">
        <is>
          <t>DALARNAS LÄN</t>
        </is>
      </c>
      <c r="E599" t="inlineStr">
        <is>
          <t>MORA</t>
        </is>
      </c>
      <c r="G599" t="n">
        <v>1.4</v>
      </c>
      <c r="H599" t="n">
        <v>0</v>
      </c>
      <c r="I599" t="n">
        <v>0</v>
      </c>
      <c r="J599" t="n">
        <v>0</v>
      </c>
      <c r="K599" t="n">
        <v>0</v>
      </c>
      <c r="L599" t="n">
        <v>0</v>
      </c>
      <c r="M599" t="n">
        <v>0</v>
      </c>
      <c r="N599" t="n">
        <v>0</v>
      </c>
      <c r="O599" t="n">
        <v>0</v>
      </c>
      <c r="P599" t="n">
        <v>0</v>
      </c>
      <c r="Q599" t="n">
        <v>0</v>
      </c>
      <c r="R599" s="2" t="inlineStr"/>
    </row>
    <row r="600" ht="15" customHeight="1">
      <c r="A600" t="inlineStr">
        <is>
          <t>A 60465-2023</t>
        </is>
      </c>
      <c r="B600" s="1" t="n">
        <v>45259.57872685185</v>
      </c>
      <c r="C600" s="1" t="n">
        <v>46073</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8474-2026</t>
        </is>
      </c>
      <c r="B601" s="1" t="n">
        <v>46065.45336805555</v>
      </c>
      <c r="C601" s="1" t="n">
        <v>46073</v>
      </c>
      <c r="D601" t="inlineStr">
        <is>
          <t>DALARNAS LÄN</t>
        </is>
      </c>
      <c r="E601" t="inlineStr">
        <is>
          <t>MORA</t>
        </is>
      </c>
      <c r="G601" t="n">
        <v>4.7</v>
      </c>
      <c r="H601" t="n">
        <v>0</v>
      </c>
      <c r="I601" t="n">
        <v>0</v>
      </c>
      <c r="J601" t="n">
        <v>0</v>
      </c>
      <c r="K601" t="n">
        <v>0</v>
      </c>
      <c r="L601" t="n">
        <v>0</v>
      </c>
      <c r="M601" t="n">
        <v>0</v>
      </c>
      <c r="N601" t="n">
        <v>0</v>
      </c>
      <c r="O601" t="n">
        <v>0</v>
      </c>
      <c r="P601" t="n">
        <v>0</v>
      </c>
      <c r="Q601" t="n">
        <v>0</v>
      </c>
      <c r="R601" s="2" t="inlineStr"/>
    </row>
    <row r="602" ht="15" customHeight="1">
      <c r="A602" t="inlineStr">
        <is>
          <t>A 33676-2023</t>
        </is>
      </c>
      <c r="B602" s="1" t="n">
        <v>45132.6291550926</v>
      </c>
      <c r="C602" s="1" t="n">
        <v>46073</v>
      </c>
      <c r="D602" t="inlineStr">
        <is>
          <t>DALARNAS LÄN</t>
        </is>
      </c>
      <c r="E602" t="inlineStr">
        <is>
          <t>MORA</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29193-2023</t>
        </is>
      </c>
      <c r="B603" s="1" t="n">
        <v>45105.54791666667</v>
      </c>
      <c r="C603" s="1" t="n">
        <v>46073</v>
      </c>
      <c r="D603" t="inlineStr">
        <is>
          <t>DALARNAS LÄN</t>
        </is>
      </c>
      <c r="E603" t="inlineStr">
        <is>
          <t>MORA</t>
        </is>
      </c>
      <c r="G603" t="n">
        <v>0.4</v>
      </c>
      <c r="H603" t="n">
        <v>0</v>
      </c>
      <c r="I603" t="n">
        <v>0</v>
      </c>
      <c r="J603" t="n">
        <v>0</v>
      </c>
      <c r="K603" t="n">
        <v>0</v>
      </c>
      <c r="L603" t="n">
        <v>0</v>
      </c>
      <c r="M603" t="n">
        <v>0</v>
      </c>
      <c r="N603" t="n">
        <v>0</v>
      </c>
      <c r="O603" t="n">
        <v>0</v>
      </c>
      <c r="P603" t="n">
        <v>0</v>
      </c>
      <c r="Q603" t="n">
        <v>0</v>
      </c>
      <c r="R603" s="2" t="inlineStr"/>
    </row>
    <row r="604" ht="15" customHeight="1">
      <c r="A604" t="inlineStr">
        <is>
          <t>A 8762-2026</t>
        </is>
      </c>
      <c r="B604" s="1" t="n">
        <v>46066.55876157407</v>
      </c>
      <c r="C604" s="1" t="n">
        <v>46073</v>
      </c>
      <c r="D604" t="inlineStr">
        <is>
          <t>DALARNAS LÄN</t>
        </is>
      </c>
      <c r="E604" t="inlineStr">
        <is>
          <t>MORA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35325-2024</t>
        </is>
      </c>
      <c r="B605" s="1" t="n">
        <v>45530.71158564815</v>
      </c>
      <c r="C605" s="1" t="n">
        <v>46073</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4752-2026</t>
        </is>
      </c>
      <c r="B606" s="1" t="n">
        <v>46048</v>
      </c>
      <c r="C606" s="1" t="n">
        <v>46073</v>
      </c>
      <c r="D606" t="inlineStr">
        <is>
          <t>DALARNAS LÄN</t>
        </is>
      </c>
      <c r="E606" t="inlineStr">
        <is>
          <t>MORA</t>
        </is>
      </c>
      <c r="G606" t="n">
        <v>1.7</v>
      </c>
      <c r="H606" t="n">
        <v>0</v>
      </c>
      <c r="I606" t="n">
        <v>0</v>
      </c>
      <c r="J606" t="n">
        <v>0</v>
      </c>
      <c r="K606" t="n">
        <v>0</v>
      </c>
      <c r="L606" t="n">
        <v>0</v>
      </c>
      <c r="M606" t="n">
        <v>0</v>
      </c>
      <c r="N606" t="n">
        <v>0</v>
      </c>
      <c r="O606" t="n">
        <v>0</v>
      </c>
      <c r="P606" t="n">
        <v>0</v>
      </c>
      <c r="Q606" t="n">
        <v>0</v>
      </c>
      <c r="R606" s="2" t="inlineStr"/>
    </row>
    <row r="607" ht="15" customHeight="1">
      <c r="A607" t="inlineStr">
        <is>
          <t>A 6371-2022</t>
        </is>
      </c>
      <c r="B607" s="1" t="n">
        <v>44600</v>
      </c>
      <c r="C607" s="1" t="n">
        <v>46073</v>
      </c>
      <c r="D607" t="inlineStr">
        <is>
          <t>DALARNAS LÄN</t>
        </is>
      </c>
      <c r="E607" t="inlineStr">
        <is>
          <t>MORA</t>
        </is>
      </c>
      <c r="G607" t="n">
        <v>4.6</v>
      </c>
      <c r="H607" t="n">
        <v>0</v>
      </c>
      <c r="I607" t="n">
        <v>0</v>
      </c>
      <c r="J607" t="n">
        <v>0</v>
      </c>
      <c r="K607" t="n">
        <v>0</v>
      </c>
      <c r="L607" t="n">
        <v>0</v>
      </c>
      <c r="M607" t="n">
        <v>0</v>
      </c>
      <c r="N607" t="n">
        <v>0</v>
      </c>
      <c r="O607" t="n">
        <v>0</v>
      </c>
      <c r="P607" t="n">
        <v>0</v>
      </c>
      <c r="Q607" t="n">
        <v>0</v>
      </c>
      <c r="R607" s="2" t="inlineStr"/>
    </row>
    <row r="608" ht="15" customHeight="1">
      <c r="A608" t="inlineStr">
        <is>
          <t>A 8983-2026</t>
        </is>
      </c>
      <c r="B608" s="1" t="n">
        <v>46069</v>
      </c>
      <c r="C608" s="1" t="n">
        <v>46073</v>
      </c>
      <c r="D608" t="inlineStr">
        <is>
          <t>DALARNAS LÄN</t>
        </is>
      </c>
      <c r="E608" t="inlineStr">
        <is>
          <t>MORA</t>
        </is>
      </c>
      <c r="G608" t="n">
        <v>4.8</v>
      </c>
      <c r="H608" t="n">
        <v>0</v>
      </c>
      <c r="I608" t="n">
        <v>0</v>
      </c>
      <c r="J608" t="n">
        <v>0</v>
      </c>
      <c r="K608" t="n">
        <v>0</v>
      </c>
      <c r="L608" t="n">
        <v>0</v>
      </c>
      <c r="M608" t="n">
        <v>0</v>
      </c>
      <c r="N608" t="n">
        <v>0</v>
      </c>
      <c r="O608" t="n">
        <v>0</v>
      </c>
      <c r="P608" t="n">
        <v>0</v>
      </c>
      <c r="Q608" t="n">
        <v>0</v>
      </c>
      <c r="R608" s="2" t="inlineStr"/>
    </row>
    <row r="609" ht="15" customHeight="1">
      <c r="A609" t="inlineStr">
        <is>
          <t>A 64093-2023</t>
        </is>
      </c>
      <c r="B609" s="1" t="n">
        <v>45279</v>
      </c>
      <c r="C609" s="1" t="n">
        <v>46073</v>
      </c>
      <c r="D609" t="inlineStr">
        <is>
          <t>DALARNAS LÄN</t>
        </is>
      </c>
      <c r="E609" t="inlineStr">
        <is>
          <t>MORA</t>
        </is>
      </c>
      <c r="G609" t="n">
        <v>0.9</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45104.40493055555</v>
      </c>
      <c r="C610" s="1" t="n">
        <v>46073</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5473-2026</t>
        </is>
      </c>
      <c r="B611" s="1" t="n">
        <v>46050</v>
      </c>
      <c r="C611" s="1" t="n">
        <v>46073</v>
      </c>
      <c r="D611" t="inlineStr">
        <is>
          <t>DALARNAS LÄN</t>
        </is>
      </c>
      <c r="E611" t="inlineStr">
        <is>
          <t>MORA</t>
        </is>
      </c>
      <c r="G611" t="n">
        <v>10.2</v>
      </c>
      <c r="H611" t="n">
        <v>0</v>
      </c>
      <c r="I611" t="n">
        <v>0</v>
      </c>
      <c r="J611" t="n">
        <v>0</v>
      </c>
      <c r="K611" t="n">
        <v>0</v>
      </c>
      <c r="L611" t="n">
        <v>0</v>
      </c>
      <c r="M611" t="n">
        <v>0</v>
      </c>
      <c r="N611" t="n">
        <v>0</v>
      </c>
      <c r="O611" t="n">
        <v>0</v>
      </c>
      <c r="P611" t="n">
        <v>0</v>
      </c>
      <c r="Q611" t="n">
        <v>0</v>
      </c>
      <c r="R611" s="2" t="inlineStr"/>
    </row>
    <row r="612" ht="15" customHeight="1">
      <c r="A612" t="inlineStr">
        <is>
          <t>A 37710-2023</t>
        </is>
      </c>
      <c r="B612" s="1" t="n">
        <v>45159.59186342593</v>
      </c>
      <c r="C612" s="1" t="n">
        <v>46073</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27188-2023</t>
        </is>
      </c>
      <c r="B613" s="1" t="n">
        <v>45096</v>
      </c>
      <c r="C613" s="1" t="n">
        <v>46073</v>
      </c>
      <c r="D613" t="inlineStr">
        <is>
          <t>DALARNAS LÄN</t>
        </is>
      </c>
      <c r="E613" t="inlineStr">
        <is>
          <t>MORA</t>
        </is>
      </c>
      <c r="G613" t="n">
        <v>4.8</v>
      </c>
      <c r="H613" t="n">
        <v>0</v>
      </c>
      <c r="I613" t="n">
        <v>0</v>
      </c>
      <c r="J613" t="n">
        <v>0</v>
      </c>
      <c r="K613" t="n">
        <v>0</v>
      </c>
      <c r="L613" t="n">
        <v>0</v>
      </c>
      <c r="M613" t="n">
        <v>0</v>
      </c>
      <c r="N613" t="n">
        <v>0</v>
      </c>
      <c r="O613" t="n">
        <v>0</v>
      </c>
      <c r="P613" t="n">
        <v>0</v>
      </c>
      <c r="Q613" t="n">
        <v>0</v>
      </c>
      <c r="R613" s="2" t="inlineStr"/>
    </row>
    <row r="614" ht="15" customHeight="1">
      <c r="A614" t="inlineStr">
        <is>
          <t>A 316-2026</t>
        </is>
      </c>
      <c r="B614" s="1" t="n">
        <v>46027</v>
      </c>
      <c r="C614" s="1" t="n">
        <v>46073</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31395-2024</t>
        </is>
      </c>
      <c r="B615" s="1" t="n">
        <v>45505.47716435185</v>
      </c>
      <c r="C615" s="1" t="n">
        <v>46073</v>
      </c>
      <c r="D615" t="inlineStr">
        <is>
          <t>DALARNAS LÄN</t>
        </is>
      </c>
      <c r="E615" t="inlineStr">
        <is>
          <t>MORA</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56767-2024</t>
        </is>
      </c>
      <c r="B616" s="1" t="n">
        <v>45628.41274305555</v>
      </c>
      <c r="C616" s="1" t="n">
        <v>46073</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1174-2026</t>
        </is>
      </c>
      <c r="B617" s="1" t="n">
        <v>46031</v>
      </c>
      <c r="C617" s="1" t="n">
        <v>46073</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239-2026</t>
        </is>
      </c>
      <c r="B618" s="1" t="n">
        <v>46027</v>
      </c>
      <c r="C618" s="1" t="n">
        <v>46073</v>
      </c>
      <c r="D618" t="inlineStr">
        <is>
          <t>DALARNAS LÄN</t>
        </is>
      </c>
      <c r="E618" t="inlineStr">
        <is>
          <t>MORA</t>
        </is>
      </c>
      <c r="G618" t="n">
        <v>1</v>
      </c>
      <c r="H618" t="n">
        <v>0</v>
      </c>
      <c r="I618" t="n">
        <v>0</v>
      </c>
      <c r="J618" t="n">
        <v>0</v>
      </c>
      <c r="K618" t="n">
        <v>0</v>
      </c>
      <c r="L618" t="n">
        <v>0</v>
      </c>
      <c r="M618" t="n">
        <v>0</v>
      </c>
      <c r="N618" t="n">
        <v>0</v>
      </c>
      <c r="O618" t="n">
        <v>0</v>
      </c>
      <c r="P618" t="n">
        <v>0</v>
      </c>
      <c r="Q618" t="n">
        <v>0</v>
      </c>
      <c r="R618" s="2" t="inlineStr"/>
    </row>
    <row r="619" ht="15" customHeight="1">
      <c r="A619" t="inlineStr">
        <is>
          <t>A 60962-2025</t>
        </is>
      </c>
      <c r="B619" s="1" t="n">
        <v>45999.66488425926</v>
      </c>
      <c r="C619" s="1" t="n">
        <v>46073</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38055-2024</t>
        </is>
      </c>
      <c r="B620" s="1" t="n">
        <v>45544</v>
      </c>
      <c r="C620" s="1" t="n">
        <v>46073</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35327-2024</t>
        </is>
      </c>
      <c r="B621" s="1" t="n">
        <v>45530.71334490741</v>
      </c>
      <c r="C621" s="1" t="n">
        <v>46073</v>
      </c>
      <c r="D621" t="inlineStr">
        <is>
          <t>DALARNAS LÄN</t>
        </is>
      </c>
      <c r="E621" t="inlineStr">
        <is>
          <t>MORA</t>
        </is>
      </c>
      <c r="G621" t="n">
        <v>5</v>
      </c>
      <c r="H621" t="n">
        <v>0</v>
      </c>
      <c r="I621" t="n">
        <v>0</v>
      </c>
      <c r="J621" t="n">
        <v>0</v>
      </c>
      <c r="K621" t="n">
        <v>0</v>
      </c>
      <c r="L621" t="n">
        <v>0</v>
      </c>
      <c r="M621" t="n">
        <v>0</v>
      </c>
      <c r="N621" t="n">
        <v>0</v>
      </c>
      <c r="O621" t="n">
        <v>0</v>
      </c>
      <c r="P621" t="n">
        <v>0</v>
      </c>
      <c r="Q621" t="n">
        <v>0</v>
      </c>
      <c r="R621" s="2" t="inlineStr"/>
    </row>
    <row r="622" ht="15" customHeight="1">
      <c r="A622" t="inlineStr">
        <is>
          <t>A 5486-2023</t>
        </is>
      </c>
      <c r="B622" s="1" t="n">
        <v>44957</v>
      </c>
      <c r="C622" s="1" t="n">
        <v>46073</v>
      </c>
      <c r="D622" t="inlineStr">
        <is>
          <t>DALARNAS LÄN</t>
        </is>
      </c>
      <c r="E622" t="inlineStr">
        <is>
          <t>MORA</t>
        </is>
      </c>
      <c r="G622" t="n">
        <v>3.2</v>
      </c>
      <c r="H622" t="n">
        <v>0</v>
      </c>
      <c r="I622" t="n">
        <v>0</v>
      </c>
      <c r="J622" t="n">
        <v>0</v>
      </c>
      <c r="K622" t="n">
        <v>0</v>
      </c>
      <c r="L622" t="n">
        <v>0</v>
      </c>
      <c r="M622" t="n">
        <v>0</v>
      </c>
      <c r="N622" t="n">
        <v>0</v>
      </c>
      <c r="O622" t="n">
        <v>0</v>
      </c>
      <c r="P622" t="n">
        <v>0</v>
      </c>
      <c r="Q622" t="n">
        <v>0</v>
      </c>
      <c r="R622" s="2" t="inlineStr"/>
    </row>
    <row r="623" ht="15" customHeight="1">
      <c r="A623" t="inlineStr">
        <is>
          <t>A 9083-2026</t>
        </is>
      </c>
      <c r="B623" s="1" t="n">
        <v>46069</v>
      </c>
      <c r="C623" s="1" t="n">
        <v>46073</v>
      </c>
      <c r="D623" t="inlineStr">
        <is>
          <t>DALARNAS LÄN</t>
        </is>
      </c>
      <c r="E623" t="inlineStr">
        <is>
          <t>MORA</t>
        </is>
      </c>
      <c r="G623" t="n">
        <v>10.1</v>
      </c>
      <c r="H623" t="n">
        <v>0</v>
      </c>
      <c r="I623" t="n">
        <v>0</v>
      </c>
      <c r="J623" t="n">
        <v>0</v>
      </c>
      <c r="K623" t="n">
        <v>0</v>
      </c>
      <c r="L623" t="n">
        <v>0</v>
      </c>
      <c r="M623" t="n">
        <v>0</v>
      </c>
      <c r="N623" t="n">
        <v>0</v>
      </c>
      <c r="O623" t="n">
        <v>0</v>
      </c>
      <c r="P623" t="n">
        <v>0</v>
      </c>
      <c r="Q623" t="n">
        <v>0</v>
      </c>
      <c r="R623" s="2" t="inlineStr"/>
    </row>
    <row r="624" ht="15" customHeight="1">
      <c r="A624" t="inlineStr">
        <is>
          <t>A 46129-2024</t>
        </is>
      </c>
      <c r="B624" s="1" t="n">
        <v>45581.43337962963</v>
      </c>
      <c r="C624" s="1" t="n">
        <v>46073</v>
      </c>
      <c r="D624" t="inlineStr">
        <is>
          <t>DALARNAS LÄN</t>
        </is>
      </c>
      <c r="E624" t="inlineStr">
        <is>
          <t>MORA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28934-2023</t>
        </is>
      </c>
      <c r="B625" s="1" t="n">
        <v>45104</v>
      </c>
      <c r="C625" s="1" t="n">
        <v>46073</v>
      </c>
      <c r="D625" t="inlineStr">
        <is>
          <t>DALARNAS LÄN</t>
        </is>
      </c>
      <c r="E625" t="inlineStr">
        <is>
          <t>MORA</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31929-2024</t>
        </is>
      </c>
      <c r="B626" s="1" t="n">
        <v>45510.40587962963</v>
      </c>
      <c r="C626" s="1" t="n">
        <v>46073</v>
      </c>
      <c r="D626" t="inlineStr">
        <is>
          <t>DALARNAS LÄN</t>
        </is>
      </c>
      <c r="E626" t="inlineStr">
        <is>
          <t>MORA</t>
        </is>
      </c>
      <c r="G626" t="n">
        <v>10.8</v>
      </c>
      <c r="H626" t="n">
        <v>0</v>
      </c>
      <c r="I626" t="n">
        <v>0</v>
      </c>
      <c r="J626" t="n">
        <v>0</v>
      </c>
      <c r="K626" t="n">
        <v>0</v>
      </c>
      <c r="L626" t="n">
        <v>0</v>
      </c>
      <c r="M626" t="n">
        <v>0</v>
      </c>
      <c r="N626" t="n">
        <v>0</v>
      </c>
      <c r="O626" t="n">
        <v>0</v>
      </c>
      <c r="P626" t="n">
        <v>0</v>
      </c>
      <c r="Q626" t="n">
        <v>0</v>
      </c>
      <c r="R626" s="2" t="inlineStr"/>
    </row>
    <row r="627" ht="15" customHeight="1">
      <c r="A627" t="inlineStr">
        <is>
          <t>A 9412-2026</t>
        </is>
      </c>
      <c r="B627" s="1" t="n">
        <v>46071.42309027778</v>
      </c>
      <c r="C627" s="1" t="n">
        <v>46073</v>
      </c>
      <c r="D627" t="inlineStr">
        <is>
          <t>DALARNAS LÄN</t>
        </is>
      </c>
      <c r="E627" t="inlineStr">
        <is>
          <t>MORA</t>
        </is>
      </c>
      <c r="G627" t="n">
        <v>3.4</v>
      </c>
      <c r="H627" t="n">
        <v>0</v>
      </c>
      <c r="I627" t="n">
        <v>0</v>
      </c>
      <c r="J627" t="n">
        <v>0</v>
      </c>
      <c r="K627" t="n">
        <v>0</v>
      </c>
      <c r="L627" t="n">
        <v>0</v>
      </c>
      <c r="M627" t="n">
        <v>0</v>
      </c>
      <c r="N627" t="n">
        <v>0</v>
      </c>
      <c r="O627" t="n">
        <v>0</v>
      </c>
      <c r="P627" t="n">
        <v>0</v>
      </c>
      <c r="Q627" t="n">
        <v>0</v>
      </c>
      <c r="R627" s="2" t="inlineStr"/>
    </row>
    <row r="628" ht="15" customHeight="1">
      <c r="A628" t="inlineStr">
        <is>
          <t>A 9421-2026</t>
        </is>
      </c>
      <c r="B628" s="1" t="n">
        <v>46071.44172453704</v>
      </c>
      <c r="C628" s="1" t="n">
        <v>46073</v>
      </c>
      <c r="D628" t="inlineStr">
        <is>
          <t>DALARNAS LÄN</t>
        </is>
      </c>
      <c r="E628" t="inlineStr">
        <is>
          <t>MORA</t>
        </is>
      </c>
      <c r="G628" t="n">
        <v>8.1</v>
      </c>
      <c r="H628" t="n">
        <v>0</v>
      </c>
      <c r="I628" t="n">
        <v>0</v>
      </c>
      <c r="J628" t="n">
        <v>0</v>
      </c>
      <c r="K628" t="n">
        <v>0</v>
      </c>
      <c r="L628" t="n">
        <v>0</v>
      </c>
      <c r="M628" t="n">
        <v>0</v>
      </c>
      <c r="N628" t="n">
        <v>0</v>
      </c>
      <c r="O628" t="n">
        <v>0</v>
      </c>
      <c r="P628" t="n">
        <v>0</v>
      </c>
      <c r="Q628" t="n">
        <v>0</v>
      </c>
      <c r="R628" s="2" t="inlineStr"/>
    </row>
    <row r="629" ht="15" customHeight="1">
      <c r="A629" t="inlineStr">
        <is>
          <t>A 1068-2026</t>
        </is>
      </c>
      <c r="B629" s="1" t="n">
        <v>46030</v>
      </c>
      <c r="C629" s="1" t="n">
        <v>46073</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7849-2026</t>
        </is>
      </c>
      <c r="B630" s="1" t="n">
        <v>46062</v>
      </c>
      <c r="C630" s="1" t="n">
        <v>46073</v>
      </c>
      <c r="D630" t="inlineStr">
        <is>
          <t>DALARNAS LÄN</t>
        </is>
      </c>
      <c r="E630" t="inlineStr">
        <is>
          <t>MORA</t>
        </is>
      </c>
      <c r="G630" t="n">
        <v>1.7</v>
      </c>
      <c r="H630" t="n">
        <v>0</v>
      </c>
      <c r="I630" t="n">
        <v>0</v>
      </c>
      <c r="J630" t="n">
        <v>0</v>
      </c>
      <c r="K630" t="n">
        <v>0</v>
      </c>
      <c r="L630" t="n">
        <v>0</v>
      </c>
      <c r="M630" t="n">
        <v>0</v>
      </c>
      <c r="N630" t="n">
        <v>0</v>
      </c>
      <c r="O630" t="n">
        <v>0</v>
      </c>
      <c r="P630" t="n">
        <v>0</v>
      </c>
      <c r="Q630" t="n">
        <v>0</v>
      </c>
      <c r="R630" s="2" t="inlineStr"/>
    </row>
    <row r="631" ht="15" customHeight="1">
      <c r="A631" t="inlineStr">
        <is>
          <t>A 665-2026</t>
        </is>
      </c>
      <c r="B631" s="1" t="n">
        <v>46029</v>
      </c>
      <c r="C631" s="1" t="n">
        <v>46073</v>
      </c>
      <c r="D631" t="inlineStr">
        <is>
          <t>DALARNAS LÄN</t>
        </is>
      </c>
      <c r="E631" t="inlineStr">
        <is>
          <t>MORA</t>
        </is>
      </c>
      <c r="F631" t="inlineStr">
        <is>
          <t>Kommuner</t>
        </is>
      </c>
      <c r="G631" t="n">
        <v>20.9</v>
      </c>
      <c r="H631" t="n">
        <v>0</v>
      </c>
      <c r="I631" t="n">
        <v>0</v>
      </c>
      <c r="J631" t="n">
        <v>0</v>
      </c>
      <c r="K631" t="n">
        <v>0</v>
      </c>
      <c r="L631" t="n">
        <v>0</v>
      </c>
      <c r="M631" t="n">
        <v>0</v>
      </c>
      <c r="N631" t="n">
        <v>0</v>
      </c>
      <c r="O631" t="n">
        <v>0</v>
      </c>
      <c r="P631" t="n">
        <v>0</v>
      </c>
      <c r="Q631" t="n">
        <v>0</v>
      </c>
      <c r="R631" s="2" t="inlineStr"/>
    </row>
    <row r="632" ht="15" customHeight="1">
      <c r="A632" t="inlineStr">
        <is>
          <t>A 36600-2023</t>
        </is>
      </c>
      <c r="B632" s="1" t="n">
        <v>45153</v>
      </c>
      <c r="C632" s="1" t="n">
        <v>46073</v>
      </c>
      <c r="D632" t="inlineStr">
        <is>
          <t>DALARNAS LÄN</t>
        </is>
      </c>
      <c r="E632" t="inlineStr">
        <is>
          <t>MORA</t>
        </is>
      </c>
      <c r="G632" t="n">
        <v>7.3</v>
      </c>
      <c r="H632" t="n">
        <v>0</v>
      </c>
      <c r="I632" t="n">
        <v>0</v>
      </c>
      <c r="J632" t="n">
        <v>0</v>
      </c>
      <c r="K632" t="n">
        <v>0</v>
      </c>
      <c r="L632" t="n">
        <v>0</v>
      </c>
      <c r="M632" t="n">
        <v>0</v>
      </c>
      <c r="N632" t="n">
        <v>0</v>
      </c>
      <c r="O632" t="n">
        <v>0</v>
      </c>
      <c r="P632" t="n">
        <v>0</v>
      </c>
      <c r="Q632" t="n">
        <v>0</v>
      </c>
      <c r="R632" s="2" t="inlineStr"/>
    </row>
    <row r="633" ht="15" customHeight="1">
      <c r="A633" t="inlineStr">
        <is>
          <t>A 42943-2024</t>
        </is>
      </c>
      <c r="B633" s="1" t="n">
        <v>45567.35359953704</v>
      </c>
      <c r="C633" s="1" t="n">
        <v>46073</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7446-2026</t>
        </is>
      </c>
      <c r="B634" s="1" t="n">
        <v>46059</v>
      </c>
      <c r="C634" s="1" t="n">
        <v>46073</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4489-2022</t>
        </is>
      </c>
      <c r="B635" s="1" t="n">
        <v>44589</v>
      </c>
      <c r="C635" s="1" t="n">
        <v>46073</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5418-2025</t>
        </is>
      </c>
      <c r="B636" s="1" t="n">
        <v>45692.68561342593</v>
      </c>
      <c r="C636" s="1" t="n">
        <v>46073</v>
      </c>
      <c r="D636" t="inlineStr">
        <is>
          <t>DALARNAS LÄN</t>
        </is>
      </c>
      <c r="E636" t="inlineStr">
        <is>
          <t>MORA</t>
        </is>
      </c>
      <c r="G636" t="n">
        <v>0.9</v>
      </c>
      <c r="H636" t="n">
        <v>0</v>
      </c>
      <c r="I636" t="n">
        <v>0</v>
      </c>
      <c r="J636" t="n">
        <v>0</v>
      </c>
      <c r="K636" t="n">
        <v>0</v>
      </c>
      <c r="L636" t="n">
        <v>0</v>
      </c>
      <c r="M636" t="n">
        <v>0</v>
      </c>
      <c r="N636" t="n">
        <v>0</v>
      </c>
      <c r="O636" t="n">
        <v>0</v>
      </c>
      <c r="P636" t="n">
        <v>0</v>
      </c>
      <c r="Q636" t="n">
        <v>0</v>
      </c>
      <c r="R636" s="2" t="inlineStr"/>
    </row>
    <row r="637" ht="15" customHeight="1">
      <c r="A637" t="inlineStr">
        <is>
          <t>A 902-2026</t>
        </is>
      </c>
      <c r="B637" s="1" t="n">
        <v>46030.46954861111</v>
      </c>
      <c r="C637" s="1" t="n">
        <v>46073</v>
      </c>
      <c r="D637" t="inlineStr">
        <is>
          <t>DALARNAS LÄN</t>
        </is>
      </c>
      <c r="E637" t="inlineStr">
        <is>
          <t>MORA</t>
        </is>
      </c>
      <c r="G637" t="n">
        <v>4.2</v>
      </c>
      <c r="H637" t="n">
        <v>0</v>
      </c>
      <c r="I637" t="n">
        <v>0</v>
      </c>
      <c r="J637" t="n">
        <v>0</v>
      </c>
      <c r="K637" t="n">
        <v>0</v>
      </c>
      <c r="L637" t="n">
        <v>0</v>
      </c>
      <c r="M637" t="n">
        <v>0</v>
      </c>
      <c r="N637" t="n">
        <v>0</v>
      </c>
      <c r="O637" t="n">
        <v>0</v>
      </c>
      <c r="P637" t="n">
        <v>0</v>
      </c>
      <c r="Q637" t="n">
        <v>0</v>
      </c>
      <c r="R637" s="2" t="inlineStr"/>
    </row>
    <row r="638" ht="15" customHeight="1">
      <c r="A638" t="inlineStr">
        <is>
          <t>A 19842-2025</t>
        </is>
      </c>
      <c r="B638" s="1" t="n">
        <v>45771.47938657407</v>
      </c>
      <c r="C638" s="1" t="n">
        <v>46073</v>
      </c>
      <c r="D638" t="inlineStr">
        <is>
          <t>DALARNAS LÄN</t>
        </is>
      </c>
      <c r="E638" t="inlineStr">
        <is>
          <t>MORA</t>
        </is>
      </c>
      <c r="G638" t="n">
        <v>1.9</v>
      </c>
      <c r="H638" t="n">
        <v>0</v>
      </c>
      <c r="I638" t="n">
        <v>0</v>
      </c>
      <c r="J638" t="n">
        <v>0</v>
      </c>
      <c r="K638" t="n">
        <v>0</v>
      </c>
      <c r="L638" t="n">
        <v>0</v>
      </c>
      <c r="M638" t="n">
        <v>0</v>
      </c>
      <c r="N638" t="n">
        <v>0</v>
      </c>
      <c r="O638" t="n">
        <v>0</v>
      </c>
      <c r="P638" t="n">
        <v>0</v>
      </c>
      <c r="Q638" t="n">
        <v>0</v>
      </c>
      <c r="R638" s="2" t="inlineStr"/>
    </row>
    <row r="639" ht="15" customHeight="1">
      <c r="A639" t="inlineStr">
        <is>
          <t>A 5803-2026</t>
        </is>
      </c>
      <c r="B639" s="1" t="n">
        <v>46051.78189814815</v>
      </c>
      <c r="C639" s="1" t="n">
        <v>46073</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18134-2025</t>
        </is>
      </c>
      <c r="B640" s="1" t="n">
        <v>45761.60189814815</v>
      </c>
      <c r="C640" s="1" t="n">
        <v>46073</v>
      </c>
      <c r="D640" t="inlineStr">
        <is>
          <t>DALARNAS LÄN</t>
        </is>
      </c>
      <c r="E640" t="inlineStr">
        <is>
          <t>MORA</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9788-2026</t>
        </is>
      </c>
      <c r="B641" s="1" t="n">
        <v>46072.5968287037</v>
      </c>
      <c r="C641" s="1" t="n">
        <v>46073</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9536-2026</t>
        </is>
      </c>
      <c r="B642" s="1" t="n">
        <v>46071.615</v>
      </c>
      <c r="C642" s="1" t="n">
        <v>46073</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61249-2023</t>
        </is>
      </c>
      <c r="B643" s="1" t="n">
        <v>45264</v>
      </c>
      <c r="C643" s="1" t="n">
        <v>46073</v>
      </c>
      <c r="D643" t="inlineStr">
        <is>
          <t>DALARNAS LÄN</t>
        </is>
      </c>
      <c r="E643" t="inlineStr">
        <is>
          <t>MORA</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1102-2026</t>
        </is>
      </c>
      <c r="B644" s="1" t="n">
        <v>46030.66743055556</v>
      </c>
      <c r="C644" s="1" t="n">
        <v>46073</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16733-2024</t>
        </is>
      </c>
      <c r="B645" s="1" t="n">
        <v>45410.78502314815</v>
      </c>
      <c r="C645" s="1" t="n">
        <v>46073</v>
      </c>
      <c r="D645" t="inlineStr">
        <is>
          <t>DALARNAS LÄN</t>
        </is>
      </c>
      <c r="E645" t="inlineStr">
        <is>
          <t>MORA</t>
        </is>
      </c>
      <c r="G645" t="n">
        <v>6.3</v>
      </c>
      <c r="H645" t="n">
        <v>0</v>
      </c>
      <c r="I645" t="n">
        <v>0</v>
      </c>
      <c r="J645" t="n">
        <v>0</v>
      </c>
      <c r="K645" t="n">
        <v>0</v>
      </c>
      <c r="L645" t="n">
        <v>0</v>
      </c>
      <c r="M645" t="n">
        <v>0</v>
      </c>
      <c r="N645" t="n">
        <v>0</v>
      </c>
      <c r="O645" t="n">
        <v>0</v>
      </c>
      <c r="P645" t="n">
        <v>0</v>
      </c>
      <c r="Q645" t="n">
        <v>0</v>
      </c>
      <c r="R645" s="2" t="inlineStr"/>
    </row>
    <row r="646" ht="15" customHeight="1">
      <c r="A646" t="inlineStr">
        <is>
          <t>A 53159-2024</t>
        </is>
      </c>
      <c r="B646" s="1" t="n">
        <v>45611.63849537037</v>
      </c>
      <c r="C646" s="1" t="n">
        <v>46073</v>
      </c>
      <c r="D646" t="inlineStr">
        <is>
          <t>DALARNAS LÄN</t>
        </is>
      </c>
      <c r="E646" t="inlineStr">
        <is>
          <t>MORA</t>
        </is>
      </c>
      <c r="G646" t="n">
        <v>3.3</v>
      </c>
      <c r="H646" t="n">
        <v>0</v>
      </c>
      <c r="I646" t="n">
        <v>0</v>
      </c>
      <c r="J646" t="n">
        <v>0</v>
      </c>
      <c r="K646" t="n">
        <v>0</v>
      </c>
      <c r="L646" t="n">
        <v>0</v>
      </c>
      <c r="M646" t="n">
        <v>0</v>
      </c>
      <c r="N646" t="n">
        <v>0</v>
      </c>
      <c r="O646" t="n">
        <v>0</v>
      </c>
      <c r="P646" t="n">
        <v>0</v>
      </c>
      <c r="Q646" t="n">
        <v>0</v>
      </c>
      <c r="R646" s="2" t="inlineStr"/>
    </row>
    <row r="647" ht="15" customHeight="1">
      <c r="A647" t="inlineStr">
        <is>
          <t>A 9350-2026</t>
        </is>
      </c>
      <c r="B647" s="1" t="n">
        <v>46070.69221064815</v>
      </c>
      <c r="C647" s="1" t="n">
        <v>46073</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9733-2026</t>
        </is>
      </c>
      <c r="B648" s="1" t="n">
        <v>46072.48162037037</v>
      </c>
      <c r="C648" s="1" t="n">
        <v>46073</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673-2026</t>
        </is>
      </c>
      <c r="B649" s="1" t="n">
        <v>46029</v>
      </c>
      <c r="C649" s="1" t="n">
        <v>46073</v>
      </c>
      <c r="D649" t="inlineStr">
        <is>
          <t>DALARNAS LÄN</t>
        </is>
      </c>
      <c r="E649" t="inlineStr">
        <is>
          <t>MORA</t>
        </is>
      </c>
      <c r="F649" t="inlineStr">
        <is>
          <t>Kommuner</t>
        </is>
      </c>
      <c r="G649" t="n">
        <v>25.8</v>
      </c>
      <c r="H649" t="n">
        <v>0</v>
      </c>
      <c r="I649" t="n">
        <v>0</v>
      </c>
      <c r="J649" t="n">
        <v>0</v>
      </c>
      <c r="K649" t="n">
        <v>0</v>
      </c>
      <c r="L649" t="n">
        <v>0</v>
      </c>
      <c r="M649" t="n">
        <v>0</v>
      </c>
      <c r="N649" t="n">
        <v>0</v>
      </c>
      <c r="O649" t="n">
        <v>0</v>
      </c>
      <c r="P649" t="n">
        <v>0</v>
      </c>
      <c r="Q649" t="n">
        <v>0</v>
      </c>
      <c r="R649" s="2" t="inlineStr"/>
    </row>
    <row r="650" ht="15" customHeight="1">
      <c r="A650" t="inlineStr">
        <is>
          <t>A 60187-2024</t>
        </is>
      </c>
      <c r="B650" s="1" t="n">
        <v>45642.64803240741</v>
      </c>
      <c r="C650" s="1" t="n">
        <v>46073</v>
      </c>
      <c r="D650" t="inlineStr">
        <is>
          <t>DALARNAS LÄN</t>
        </is>
      </c>
      <c r="E650" t="inlineStr">
        <is>
          <t>MORA</t>
        </is>
      </c>
      <c r="F650" t="inlineStr">
        <is>
          <t>Allmännings- och besparingsskogar</t>
        </is>
      </c>
      <c r="G650" t="n">
        <v>24.6</v>
      </c>
      <c r="H650" t="n">
        <v>0</v>
      </c>
      <c r="I650" t="n">
        <v>0</v>
      </c>
      <c r="J650" t="n">
        <v>0</v>
      </c>
      <c r="K650" t="n">
        <v>0</v>
      </c>
      <c r="L650" t="n">
        <v>0</v>
      </c>
      <c r="M650" t="n">
        <v>0</v>
      </c>
      <c r="N650" t="n">
        <v>0</v>
      </c>
      <c r="O650" t="n">
        <v>0</v>
      </c>
      <c r="P650" t="n">
        <v>0</v>
      </c>
      <c r="Q650" t="n">
        <v>0</v>
      </c>
      <c r="R650" s="2" t="inlineStr"/>
    </row>
    <row r="651" ht="15" customHeight="1">
      <c r="A651" t="inlineStr">
        <is>
          <t>A 9740-2026</t>
        </is>
      </c>
      <c r="B651" s="1" t="n">
        <v>46072.50745370371</v>
      </c>
      <c r="C651" s="1" t="n">
        <v>46073</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15435-2024</t>
        </is>
      </c>
      <c r="B652" s="1" t="n">
        <v>45401.40806712963</v>
      </c>
      <c r="C652" s="1" t="n">
        <v>46073</v>
      </c>
      <c r="D652" t="inlineStr">
        <is>
          <t>DALARNAS LÄN</t>
        </is>
      </c>
      <c r="E652" t="inlineStr">
        <is>
          <t>MORA</t>
        </is>
      </c>
      <c r="G652" t="n">
        <v>2.1</v>
      </c>
      <c r="H652" t="n">
        <v>0</v>
      </c>
      <c r="I652" t="n">
        <v>0</v>
      </c>
      <c r="J652" t="n">
        <v>0</v>
      </c>
      <c r="K652" t="n">
        <v>0</v>
      </c>
      <c r="L652" t="n">
        <v>0</v>
      </c>
      <c r="M652" t="n">
        <v>0</v>
      </c>
      <c r="N652" t="n">
        <v>0</v>
      </c>
      <c r="O652" t="n">
        <v>0</v>
      </c>
      <c r="P652" t="n">
        <v>0</v>
      </c>
      <c r="Q652" t="n">
        <v>0</v>
      </c>
      <c r="R652" s="2" t="inlineStr"/>
    </row>
    <row r="653" ht="15" customHeight="1">
      <c r="A653" t="inlineStr">
        <is>
          <t>A 51965-2024</t>
        </is>
      </c>
      <c r="B653" s="1" t="n">
        <v>45607.65123842593</v>
      </c>
      <c r="C653" s="1" t="n">
        <v>46073</v>
      </c>
      <c r="D653" t="inlineStr">
        <is>
          <t>DALARNAS LÄN</t>
        </is>
      </c>
      <c r="E653" t="inlineStr">
        <is>
          <t>MORA</t>
        </is>
      </c>
      <c r="G653" t="n">
        <v>1.3</v>
      </c>
      <c r="H653" t="n">
        <v>0</v>
      </c>
      <c r="I653" t="n">
        <v>0</v>
      </c>
      <c r="J653" t="n">
        <v>0</v>
      </c>
      <c r="K653" t="n">
        <v>0</v>
      </c>
      <c r="L653" t="n">
        <v>0</v>
      </c>
      <c r="M653" t="n">
        <v>0</v>
      </c>
      <c r="N653" t="n">
        <v>0</v>
      </c>
      <c r="O653" t="n">
        <v>0</v>
      </c>
      <c r="P653" t="n">
        <v>0</v>
      </c>
      <c r="Q653" t="n">
        <v>0</v>
      </c>
      <c r="R653" s="2" t="inlineStr"/>
    </row>
    <row r="654" ht="15" customHeight="1">
      <c r="A654" t="inlineStr">
        <is>
          <t>A 42391-2023</t>
        </is>
      </c>
      <c r="B654" s="1" t="n">
        <v>45180</v>
      </c>
      <c r="C654" s="1" t="n">
        <v>46073</v>
      </c>
      <c r="D654" t="inlineStr">
        <is>
          <t>DALARNAS LÄN</t>
        </is>
      </c>
      <c r="E654" t="inlineStr">
        <is>
          <t>MORA</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2865-2022</t>
        </is>
      </c>
      <c r="B655" s="1" t="n">
        <v>44581</v>
      </c>
      <c r="C655" s="1" t="n">
        <v>46073</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45349-2024</t>
        </is>
      </c>
      <c r="B656" s="1" t="n">
        <v>45576</v>
      </c>
      <c r="C656" s="1" t="n">
        <v>46073</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57408-2024</t>
        </is>
      </c>
      <c r="B657" s="1" t="n">
        <v>45629</v>
      </c>
      <c r="C657" s="1" t="n">
        <v>46073</v>
      </c>
      <c r="D657" t="inlineStr">
        <is>
          <t>DALARNAS LÄN</t>
        </is>
      </c>
      <c r="E657" t="inlineStr">
        <is>
          <t>MORA</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46412-2024</t>
        </is>
      </c>
      <c r="B658" s="1" t="n">
        <v>45582.44894675926</v>
      </c>
      <c r="C658" s="1" t="n">
        <v>46073</v>
      </c>
      <c r="D658" t="inlineStr">
        <is>
          <t>DALARNAS LÄN</t>
        </is>
      </c>
      <c r="E658" t="inlineStr">
        <is>
          <t>MORA</t>
        </is>
      </c>
      <c r="G658" t="n">
        <v>4.1</v>
      </c>
      <c r="H658" t="n">
        <v>0</v>
      </c>
      <c r="I658" t="n">
        <v>0</v>
      </c>
      <c r="J658" t="n">
        <v>0</v>
      </c>
      <c r="K658" t="n">
        <v>0</v>
      </c>
      <c r="L658" t="n">
        <v>0</v>
      </c>
      <c r="M658" t="n">
        <v>0</v>
      </c>
      <c r="N658" t="n">
        <v>0</v>
      </c>
      <c r="O658" t="n">
        <v>0</v>
      </c>
      <c r="P658" t="n">
        <v>0</v>
      </c>
      <c r="Q658" t="n">
        <v>0</v>
      </c>
      <c r="R658" s="2" t="inlineStr"/>
    </row>
    <row r="659" ht="15" customHeight="1">
      <c r="A659" t="inlineStr">
        <is>
          <t>A 50685-2023</t>
        </is>
      </c>
      <c r="B659" s="1" t="n">
        <v>45210</v>
      </c>
      <c r="C659" s="1" t="n">
        <v>46073</v>
      </c>
      <c r="D659" t="inlineStr">
        <is>
          <t>DALARNAS LÄN</t>
        </is>
      </c>
      <c r="E659" t="inlineStr">
        <is>
          <t>MORA</t>
        </is>
      </c>
      <c r="G659" t="n">
        <v>1.7</v>
      </c>
      <c r="H659" t="n">
        <v>0</v>
      </c>
      <c r="I659" t="n">
        <v>0</v>
      </c>
      <c r="J659" t="n">
        <v>0</v>
      </c>
      <c r="K659" t="n">
        <v>0</v>
      </c>
      <c r="L659" t="n">
        <v>0</v>
      </c>
      <c r="M659" t="n">
        <v>0</v>
      </c>
      <c r="N659" t="n">
        <v>0</v>
      </c>
      <c r="O659" t="n">
        <v>0</v>
      </c>
      <c r="P659" t="n">
        <v>0</v>
      </c>
      <c r="Q659" t="n">
        <v>0</v>
      </c>
      <c r="R659" s="2" t="inlineStr"/>
    </row>
    <row r="660" ht="15" customHeight="1">
      <c r="A660" t="inlineStr">
        <is>
          <t>A 43964-2024</t>
        </is>
      </c>
      <c r="B660" s="1" t="n">
        <v>45572.48407407408</v>
      </c>
      <c r="C660" s="1" t="n">
        <v>46073</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39511-2024</t>
        </is>
      </c>
      <c r="B661" s="1" t="n">
        <v>45551.68347222222</v>
      </c>
      <c r="C661" s="1" t="n">
        <v>46073</v>
      </c>
      <c r="D661" t="inlineStr">
        <is>
          <t>DALARNAS LÄN</t>
        </is>
      </c>
      <c r="E661" t="inlineStr">
        <is>
          <t>MORA</t>
        </is>
      </c>
      <c r="G661" t="n">
        <v>1.2</v>
      </c>
      <c r="H661" t="n">
        <v>0</v>
      </c>
      <c r="I661" t="n">
        <v>0</v>
      </c>
      <c r="J661" t="n">
        <v>0</v>
      </c>
      <c r="K661" t="n">
        <v>0</v>
      </c>
      <c r="L661" t="n">
        <v>0</v>
      </c>
      <c r="M661" t="n">
        <v>0</v>
      </c>
      <c r="N661" t="n">
        <v>0</v>
      </c>
      <c r="O661" t="n">
        <v>0</v>
      </c>
      <c r="P661" t="n">
        <v>0</v>
      </c>
      <c r="Q661" t="n">
        <v>0</v>
      </c>
      <c r="R661" s="2" t="inlineStr"/>
    </row>
    <row r="662" ht="15" customHeight="1">
      <c r="A662" t="inlineStr">
        <is>
          <t>A 37695-2024</t>
        </is>
      </c>
      <c r="B662" s="1" t="n">
        <v>45541.61094907407</v>
      </c>
      <c r="C662" s="1" t="n">
        <v>46073</v>
      </c>
      <c r="D662" t="inlineStr">
        <is>
          <t>DALARNAS LÄN</t>
        </is>
      </c>
      <c r="E662" t="inlineStr">
        <is>
          <t>MORA</t>
        </is>
      </c>
      <c r="G662" t="n">
        <v>19.7</v>
      </c>
      <c r="H662" t="n">
        <v>0</v>
      </c>
      <c r="I662" t="n">
        <v>0</v>
      </c>
      <c r="J662" t="n">
        <v>0</v>
      </c>
      <c r="K662" t="n">
        <v>0</v>
      </c>
      <c r="L662" t="n">
        <v>0</v>
      </c>
      <c r="M662" t="n">
        <v>0</v>
      </c>
      <c r="N662" t="n">
        <v>0</v>
      </c>
      <c r="O662" t="n">
        <v>0</v>
      </c>
      <c r="P662" t="n">
        <v>0</v>
      </c>
      <c r="Q662" t="n">
        <v>0</v>
      </c>
      <c r="R662" s="2" t="inlineStr"/>
    </row>
    <row r="663" ht="15" customHeight="1">
      <c r="A663" t="inlineStr">
        <is>
          <t>A 56834-2024</t>
        </is>
      </c>
      <c r="B663" s="1" t="n">
        <v>45628.49931712963</v>
      </c>
      <c r="C663" s="1" t="n">
        <v>46073</v>
      </c>
      <c r="D663" t="inlineStr">
        <is>
          <t>DALARNAS LÄN</t>
        </is>
      </c>
      <c r="E663" t="inlineStr">
        <is>
          <t>MORA</t>
        </is>
      </c>
      <c r="G663" t="n">
        <v>0.4</v>
      </c>
      <c r="H663" t="n">
        <v>0</v>
      </c>
      <c r="I663" t="n">
        <v>0</v>
      </c>
      <c r="J663" t="n">
        <v>0</v>
      </c>
      <c r="K663" t="n">
        <v>0</v>
      </c>
      <c r="L663" t="n">
        <v>0</v>
      </c>
      <c r="M663" t="n">
        <v>0</v>
      </c>
      <c r="N663" t="n">
        <v>0</v>
      </c>
      <c r="O663" t="n">
        <v>0</v>
      </c>
      <c r="P663" t="n">
        <v>0</v>
      </c>
      <c r="Q663" t="n">
        <v>0</v>
      </c>
      <c r="R663" s="2" t="inlineStr"/>
    </row>
    <row r="664" ht="15" customHeight="1">
      <c r="A664" t="inlineStr">
        <is>
          <t>A 8068-2024</t>
        </is>
      </c>
      <c r="B664" s="1" t="n">
        <v>45351.41524305556</v>
      </c>
      <c r="C664" s="1" t="n">
        <v>46073</v>
      </c>
      <c r="D664" t="inlineStr">
        <is>
          <t>DALARNAS LÄN</t>
        </is>
      </c>
      <c r="E664" t="inlineStr">
        <is>
          <t>MORA</t>
        </is>
      </c>
      <c r="G664" t="n">
        <v>6.4</v>
      </c>
      <c r="H664" t="n">
        <v>0</v>
      </c>
      <c r="I664" t="n">
        <v>0</v>
      </c>
      <c r="J664" t="n">
        <v>0</v>
      </c>
      <c r="K664" t="n">
        <v>0</v>
      </c>
      <c r="L664" t="n">
        <v>0</v>
      </c>
      <c r="M664" t="n">
        <v>0</v>
      </c>
      <c r="N664" t="n">
        <v>0</v>
      </c>
      <c r="O664" t="n">
        <v>0</v>
      </c>
      <c r="P664" t="n">
        <v>0</v>
      </c>
      <c r="Q664" t="n">
        <v>0</v>
      </c>
      <c r="R664" s="2" t="inlineStr"/>
    </row>
    <row r="665" ht="15" customHeight="1">
      <c r="A665" t="inlineStr">
        <is>
          <t>A 43863-2023</t>
        </is>
      </c>
      <c r="B665" s="1" t="n">
        <v>45187.62532407408</v>
      </c>
      <c r="C665" s="1" t="n">
        <v>46073</v>
      </c>
      <c r="D665" t="inlineStr">
        <is>
          <t>DALARNAS LÄN</t>
        </is>
      </c>
      <c r="E665" t="inlineStr">
        <is>
          <t>MORA</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35521-2023</t>
        </is>
      </c>
      <c r="B666" s="1" t="n">
        <v>45147.33251157407</v>
      </c>
      <c r="C666" s="1" t="n">
        <v>46073</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31112-2024</t>
        </is>
      </c>
      <c r="B667" s="1" t="n">
        <v>45502.55185185185</v>
      </c>
      <c r="C667" s="1" t="n">
        <v>46073</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44205-2023</t>
        </is>
      </c>
      <c r="B668" s="1" t="n">
        <v>45188</v>
      </c>
      <c r="C668" s="1" t="n">
        <v>46073</v>
      </c>
      <c r="D668" t="inlineStr">
        <is>
          <t>DALARNAS LÄN</t>
        </is>
      </c>
      <c r="E668" t="inlineStr">
        <is>
          <t>MORA</t>
        </is>
      </c>
      <c r="G668" t="n">
        <v>0.7</v>
      </c>
      <c r="H668" t="n">
        <v>0</v>
      </c>
      <c r="I668" t="n">
        <v>0</v>
      </c>
      <c r="J668" t="n">
        <v>0</v>
      </c>
      <c r="K668" t="n">
        <v>0</v>
      </c>
      <c r="L668" t="n">
        <v>0</v>
      </c>
      <c r="M668" t="n">
        <v>0</v>
      </c>
      <c r="N668" t="n">
        <v>0</v>
      </c>
      <c r="O668" t="n">
        <v>0</v>
      </c>
      <c r="P668" t="n">
        <v>0</v>
      </c>
      <c r="Q668" t="n">
        <v>0</v>
      </c>
      <c r="R668" s="2" t="inlineStr"/>
    </row>
    <row r="669" ht="15" customHeight="1">
      <c r="A669" t="inlineStr">
        <is>
          <t>A 51168-2024</t>
        </is>
      </c>
      <c r="B669" s="1" t="n">
        <v>45603.58619212963</v>
      </c>
      <c r="C669" s="1" t="n">
        <v>46073</v>
      </c>
      <c r="D669" t="inlineStr">
        <is>
          <t>DALARNAS LÄN</t>
        </is>
      </c>
      <c r="E669" t="inlineStr">
        <is>
          <t>MORA</t>
        </is>
      </c>
      <c r="G669" t="n">
        <v>3</v>
      </c>
      <c r="H669" t="n">
        <v>0</v>
      </c>
      <c r="I669" t="n">
        <v>0</v>
      </c>
      <c r="J669" t="n">
        <v>0</v>
      </c>
      <c r="K669" t="n">
        <v>0</v>
      </c>
      <c r="L669" t="n">
        <v>0</v>
      </c>
      <c r="M669" t="n">
        <v>0</v>
      </c>
      <c r="N669" t="n">
        <v>0</v>
      </c>
      <c r="O669" t="n">
        <v>0</v>
      </c>
      <c r="P669" t="n">
        <v>0</v>
      </c>
      <c r="Q669" t="n">
        <v>0</v>
      </c>
      <c r="R669" s="2" t="inlineStr"/>
    </row>
    <row r="670" ht="15" customHeight="1">
      <c r="A670" t="inlineStr">
        <is>
          <t>A 18214-2024</t>
        </is>
      </c>
      <c r="B670" s="1" t="n">
        <v>45420</v>
      </c>
      <c r="C670" s="1" t="n">
        <v>46073</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16522-2024</t>
        </is>
      </c>
      <c r="B671" s="1" t="n">
        <v>45408.41166666667</v>
      </c>
      <c r="C671" s="1" t="n">
        <v>46073</v>
      </c>
      <c r="D671" t="inlineStr">
        <is>
          <t>DALARNAS LÄN</t>
        </is>
      </c>
      <c r="E671" t="inlineStr">
        <is>
          <t>MORA</t>
        </is>
      </c>
      <c r="G671" t="n">
        <v>11.2</v>
      </c>
      <c r="H671" t="n">
        <v>0</v>
      </c>
      <c r="I671" t="n">
        <v>0</v>
      </c>
      <c r="J671" t="n">
        <v>0</v>
      </c>
      <c r="K671" t="n">
        <v>0</v>
      </c>
      <c r="L671" t="n">
        <v>0</v>
      </c>
      <c r="M671" t="n">
        <v>0</v>
      </c>
      <c r="N671" t="n">
        <v>0</v>
      </c>
      <c r="O671" t="n">
        <v>0</v>
      </c>
      <c r="P671" t="n">
        <v>0</v>
      </c>
      <c r="Q671" t="n">
        <v>0</v>
      </c>
      <c r="R671" s="2" t="inlineStr"/>
    </row>
    <row r="672" ht="15" customHeight="1">
      <c r="A672" t="inlineStr">
        <is>
          <t>A 55120-2024</t>
        </is>
      </c>
      <c r="B672" s="1" t="n">
        <v>45621.45765046297</v>
      </c>
      <c r="C672" s="1" t="n">
        <v>46073</v>
      </c>
      <c r="D672" t="inlineStr">
        <is>
          <t>DALARNAS LÄN</t>
        </is>
      </c>
      <c r="E672" t="inlineStr">
        <is>
          <t>MORA</t>
        </is>
      </c>
      <c r="G672" t="n">
        <v>1.9</v>
      </c>
      <c r="H672" t="n">
        <v>0</v>
      </c>
      <c r="I672" t="n">
        <v>0</v>
      </c>
      <c r="J672" t="n">
        <v>0</v>
      </c>
      <c r="K672" t="n">
        <v>0</v>
      </c>
      <c r="L672" t="n">
        <v>0</v>
      </c>
      <c r="M672" t="n">
        <v>0</v>
      </c>
      <c r="N672" t="n">
        <v>0</v>
      </c>
      <c r="O672" t="n">
        <v>0</v>
      </c>
      <c r="P672" t="n">
        <v>0</v>
      </c>
      <c r="Q672" t="n">
        <v>0</v>
      </c>
      <c r="R672" s="2" t="inlineStr"/>
    </row>
    <row r="673" ht="15" customHeight="1">
      <c r="A673" t="inlineStr">
        <is>
          <t>A 43873-2024</t>
        </is>
      </c>
      <c r="B673" s="1" t="n">
        <v>45572.38429398148</v>
      </c>
      <c r="C673" s="1" t="n">
        <v>46073</v>
      </c>
      <c r="D673" t="inlineStr">
        <is>
          <t>DALARNAS LÄN</t>
        </is>
      </c>
      <c r="E673" t="inlineStr">
        <is>
          <t>MORA</t>
        </is>
      </c>
      <c r="G673" t="n">
        <v>4.1</v>
      </c>
      <c r="H673" t="n">
        <v>0</v>
      </c>
      <c r="I673" t="n">
        <v>0</v>
      </c>
      <c r="J673" t="n">
        <v>0</v>
      </c>
      <c r="K673" t="n">
        <v>0</v>
      </c>
      <c r="L673" t="n">
        <v>0</v>
      </c>
      <c r="M673" t="n">
        <v>0</v>
      </c>
      <c r="N673" t="n">
        <v>0</v>
      </c>
      <c r="O673" t="n">
        <v>0</v>
      </c>
      <c r="P673" t="n">
        <v>0</v>
      </c>
      <c r="Q673" t="n">
        <v>0</v>
      </c>
      <c r="R673" s="2" t="inlineStr"/>
    </row>
    <row r="674" ht="15" customHeight="1">
      <c r="A674" t="inlineStr">
        <is>
          <t>A 46152-2023</t>
        </is>
      </c>
      <c r="B674" s="1" t="n">
        <v>45196.58278935185</v>
      </c>
      <c r="C674" s="1" t="n">
        <v>46073</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42035-2022</t>
        </is>
      </c>
      <c r="B675" s="1" t="n">
        <v>44830</v>
      </c>
      <c r="C675" s="1" t="n">
        <v>46073</v>
      </c>
      <c r="D675" t="inlineStr">
        <is>
          <t>DALARNAS LÄN</t>
        </is>
      </c>
      <c r="E675" t="inlineStr">
        <is>
          <t>MORA</t>
        </is>
      </c>
      <c r="G675" t="n">
        <v>2.7</v>
      </c>
      <c r="H675" t="n">
        <v>0</v>
      </c>
      <c r="I675" t="n">
        <v>0</v>
      </c>
      <c r="J675" t="n">
        <v>0</v>
      </c>
      <c r="K675" t="n">
        <v>0</v>
      </c>
      <c r="L675" t="n">
        <v>0</v>
      </c>
      <c r="M675" t="n">
        <v>0</v>
      </c>
      <c r="N675" t="n">
        <v>0</v>
      </c>
      <c r="O675" t="n">
        <v>0</v>
      </c>
      <c r="P675" t="n">
        <v>0</v>
      </c>
      <c r="Q675" t="n">
        <v>0</v>
      </c>
      <c r="R675" s="2" t="inlineStr"/>
    </row>
    <row r="676" ht="15" customHeight="1">
      <c r="A676" t="inlineStr">
        <is>
          <t>A 5980-2025</t>
        </is>
      </c>
      <c r="B676" s="1" t="n">
        <v>45695.54651620371</v>
      </c>
      <c r="C676" s="1" t="n">
        <v>46073</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9599-2022</t>
        </is>
      </c>
      <c r="B677" s="1" t="n">
        <v>44617.48909722222</v>
      </c>
      <c r="C677" s="1" t="n">
        <v>46073</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51883-2024</t>
        </is>
      </c>
      <c r="B678" s="1" t="n">
        <v>45607</v>
      </c>
      <c r="C678" s="1" t="n">
        <v>46073</v>
      </c>
      <c r="D678" t="inlineStr">
        <is>
          <t>DALARNAS LÄN</t>
        </is>
      </c>
      <c r="E678" t="inlineStr">
        <is>
          <t>MORA</t>
        </is>
      </c>
      <c r="G678" t="n">
        <v>0.2</v>
      </c>
      <c r="H678" t="n">
        <v>0</v>
      </c>
      <c r="I678" t="n">
        <v>0</v>
      </c>
      <c r="J678" t="n">
        <v>0</v>
      </c>
      <c r="K678" t="n">
        <v>0</v>
      </c>
      <c r="L678" t="n">
        <v>0</v>
      </c>
      <c r="M678" t="n">
        <v>0</v>
      </c>
      <c r="N678" t="n">
        <v>0</v>
      </c>
      <c r="O678" t="n">
        <v>0</v>
      </c>
      <c r="P678" t="n">
        <v>0</v>
      </c>
      <c r="Q678" t="n">
        <v>0</v>
      </c>
      <c r="R678" s="2" t="inlineStr"/>
    </row>
    <row r="679" ht="15" customHeight="1">
      <c r="A679" t="inlineStr">
        <is>
          <t>A 51888-2024</t>
        </is>
      </c>
      <c r="B679" s="1" t="n">
        <v>45607.57142361111</v>
      </c>
      <c r="C679" s="1" t="n">
        <v>46073</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38627-2023</t>
        </is>
      </c>
      <c r="B680" s="1" t="n">
        <v>45162.68787037037</v>
      </c>
      <c r="C680" s="1" t="n">
        <v>46073</v>
      </c>
      <c r="D680" t="inlineStr">
        <is>
          <t>DALARNAS LÄN</t>
        </is>
      </c>
      <c r="E680" t="inlineStr">
        <is>
          <t>MORA</t>
        </is>
      </c>
      <c r="G680" t="n">
        <v>6.5</v>
      </c>
      <c r="H680" t="n">
        <v>0</v>
      </c>
      <c r="I680" t="n">
        <v>0</v>
      </c>
      <c r="J680" t="n">
        <v>0</v>
      </c>
      <c r="K680" t="n">
        <v>0</v>
      </c>
      <c r="L680" t="n">
        <v>0</v>
      </c>
      <c r="M680" t="n">
        <v>0</v>
      </c>
      <c r="N680" t="n">
        <v>0</v>
      </c>
      <c r="O680" t="n">
        <v>0</v>
      </c>
      <c r="P680" t="n">
        <v>0</v>
      </c>
      <c r="Q680" t="n">
        <v>0</v>
      </c>
      <c r="R680" s="2" t="inlineStr"/>
    </row>
    <row r="681" ht="15" customHeight="1">
      <c r="A681" t="inlineStr">
        <is>
          <t>A 16637-2025</t>
        </is>
      </c>
      <c r="B681" s="1" t="n">
        <v>45754.36738425926</v>
      </c>
      <c r="C681" s="1" t="n">
        <v>46073</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48570-2022</t>
        </is>
      </c>
      <c r="B682" s="1" t="n">
        <v>44859</v>
      </c>
      <c r="C682" s="1" t="n">
        <v>46073</v>
      </c>
      <c r="D682" t="inlineStr">
        <is>
          <t>DALARNAS LÄN</t>
        </is>
      </c>
      <c r="E682" t="inlineStr">
        <is>
          <t>MORA</t>
        </is>
      </c>
      <c r="G682" t="n">
        <v>6.2</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45215.43879629629</v>
      </c>
      <c r="C683" s="1" t="n">
        <v>46073</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20401-2022</t>
        </is>
      </c>
      <c r="B684" s="1" t="n">
        <v>44699</v>
      </c>
      <c r="C684" s="1" t="n">
        <v>46073</v>
      </c>
      <c r="D684" t="inlineStr">
        <is>
          <t>DALARNAS LÄN</t>
        </is>
      </c>
      <c r="E684" t="inlineStr">
        <is>
          <t>MORA</t>
        </is>
      </c>
      <c r="G684" t="n">
        <v>3.2</v>
      </c>
      <c r="H684" t="n">
        <v>0</v>
      </c>
      <c r="I684" t="n">
        <v>0</v>
      </c>
      <c r="J684" t="n">
        <v>0</v>
      </c>
      <c r="K684" t="n">
        <v>0</v>
      </c>
      <c r="L684" t="n">
        <v>0</v>
      </c>
      <c r="M684" t="n">
        <v>0</v>
      </c>
      <c r="N684" t="n">
        <v>0</v>
      </c>
      <c r="O684" t="n">
        <v>0</v>
      </c>
      <c r="P684" t="n">
        <v>0</v>
      </c>
      <c r="Q684" t="n">
        <v>0</v>
      </c>
      <c r="R684" s="2" t="inlineStr"/>
    </row>
    <row r="685" ht="15" customHeight="1">
      <c r="A685" t="inlineStr">
        <is>
          <t>A 18120-2025</t>
        </is>
      </c>
      <c r="B685" s="1" t="n">
        <v>45761</v>
      </c>
      <c r="C685" s="1" t="n">
        <v>46073</v>
      </c>
      <c r="D685" t="inlineStr">
        <is>
          <t>DALARNAS LÄN</t>
        </is>
      </c>
      <c r="E685" t="inlineStr">
        <is>
          <t>MORA</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18127-2025</t>
        </is>
      </c>
      <c r="B686" s="1" t="n">
        <v>45761.59523148148</v>
      </c>
      <c r="C686" s="1" t="n">
        <v>46073</v>
      </c>
      <c r="D686" t="inlineStr">
        <is>
          <t>DALARNAS LÄN</t>
        </is>
      </c>
      <c r="E686" t="inlineStr">
        <is>
          <t>MORA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25887-2023</t>
        </is>
      </c>
      <c r="B687" s="1" t="n">
        <v>45090.62493055555</v>
      </c>
      <c r="C687" s="1" t="n">
        <v>46073</v>
      </c>
      <c r="D687" t="inlineStr">
        <is>
          <t>DALARNAS LÄN</t>
        </is>
      </c>
      <c r="E687" t="inlineStr">
        <is>
          <t>MORA</t>
        </is>
      </c>
      <c r="G687" t="n">
        <v>1</v>
      </c>
      <c r="H687" t="n">
        <v>0</v>
      </c>
      <c r="I687" t="n">
        <v>0</v>
      </c>
      <c r="J687" t="n">
        <v>0</v>
      </c>
      <c r="K687" t="n">
        <v>0</v>
      </c>
      <c r="L687" t="n">
        <v>0</v>
      </c>
      <c r="M687" t="n">
        <v>0</v>
      </c>
      <c r="N687" t="n">
        <v>0</v>
      </c>
      <c r="O687" t="n">
        <v>0</v>
      </c>
      <c r="P687" t="n">
        <v>0</v>
      </c>
      <c r="Q687" t="n">
        <v>0</v>
      </c>
      <c r="R687" s="2" t="inlineStr"/>
    </row>
    <row r="688" ht="15" customHeight="1">
      <c r="A688" t="inlineStr">
        <is>
          <t>A 20544-2025</t>
        </is>
      </c>
      <c r="B688" s="1" t="n">
        <v>45775.63119212963</v>
      </c>
      <c r="C688" s="1" t="n">
        <v>46073</v>
      </c>
      <c r="D688" t="inlineStr">
        <is>
          <t>DALARNAS LÄN</t>
        </is>
      </c>
      <c r="E688" t="inlineStr">
        <is>
          <t>MORA</t>
        </is>
      </c>
      <c r="G688" t="n">
        <v>3.6</v>
      </c>
      <c r="H688" t="n">
        <v>0</v>
      </c>
      <c r="I688" t="n">
        <v>0</v>
      </c>
      <c r="J688" t="n">
        <v>0</v>
      </c>
      <c r="K688" t="n">
        <v>0</v>
      </c>
      <c r="L688" t="n">
        <v>0</v>
      </c>
      <c r="M688" t="n">
        <v>0</v>
      </c>
      <c r="N688" t="n">
        <v>0</v>
      </c>
      <c r="O688" t="n">
        <v>0</v>
      </c>
      <c r="P688" t="n">
        <v>0</v>
      </c>
      <c r="Q688" t="n">
        <v>0</v>
      </c>
      <c r="R688" s="2" t="inlineStr"/>
    </row>
    <row r="689" ht="15" customHeight="1">
      <c r="A689" t="inlineStr">
        <is>
          <t>A 36740-2023</t>
        </is>
      </c>
      <c r="B689" s="1" t="n">
        <v>45153</v>
      </c>
      <c r="C689" s="1" t="n">
        <v>46073</v>
      </c>
      <c r="D689" t="inlineStr">
        <is>
          <t>DALARNAS LÄN</t>
        </is>
      </c>
      <c r="E689" t="inlineStr">
        <is>
          <t>MORA</t>
        </is>
      </c>
      <c r="G689" t="n">
        <v>0.2</v>
      </c>
      <c r="H689" t="n">
        <v>0</v>
      </c>
      <c r="I689" t="n">
        <v>0</v>
      </c>
      <c r="J689" t="n">
        <v>0</v>
      </c>
      <c r="K689" t="n">
        <v>0</v>
      </c>
      <c r="L689" t="n">
        <v>0</v>
      </c>
      <c r="M689" t="n">
        <v>0</v>
      </c>
      <c r="N689" t="n">
        <v>0</v>
      </c>
      <c r="O689" t="n">
        <v>0</v>
      </c>
      <c r="P689" t="n">
        <v>0</v>
      </c>
      <c r="Q689" t="n">
        <v>0</v>
      </c>
      <c r="R689" s="2" t="inlineStr"/>
    </row>
    <row r="690" ht="15" customHeight="1">
      <c r="A690" t="inlineStr">
        <is>
          <t>A 17393-2025</t>
        </is>
      </c>
      <c r="B690" s="1" t="n">
        <v>45757.34350694445</v>
      </c>
      <c r="C690" s="1" t="n">
        <v>46073</v>
      </c>
      <c r="D690" t="inlineStr">
        <is>
          <t>DALARNAS LÄN</t>
        </is>
      </c>
      <c r="E690" t="inlineStr">
        <is>
          <t>MORA</t>
        </is>
      </c>
      <c r="G690" t="n">
        <v>10.1</v>
      </c>
      <c r="H690" t="n">
        <v>0</v>
      </c>
      <c r="I690" t="n">
        <v>0</v>
      </c>
      <c r="J690" t="n">
        <v>0</v>
      </c>
      <c r="K690" t="n">
        <v>0</v>
      </c>
      <c r="L690" t="n">
        <v>0</v>
      </c>
      <c r="M690" t="n">
        <v>0</v>
      </c>
      <c r="N690" t="n">
        <v>0</v>
      </c>
      <c r="O690" t="n">
        <v>0</v>
      </c>
      <c r="P690" t="n">
        <v>0</v>
      </c>
      <c r="Q690" t="n">
        <v>0</v>
      </c>
      <c r="R690" s="2" t="inlineStr"/>
    </row>
    <row r="691" ht="15" customHeight="1">
      <c r="A691" t="inlineStr">
        <is>
          <t>A 14936-2025</t>
        </is>
      </c>
      <c r="B691" s="1" t="n">
        <v>45743.55756944444</v>
      </c>
      <c r="C691" s="1" t="n">
        <v>46073</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35381-2024</t>
        </is>
      </c>
      <c r="B692" s="1" t="n">
        <v>45531.38372685185</v>
      </c>
      <c r="C692" s="1" t="n">
        <v>46073</v>
      </c>
      <c r="D692" t="inlineStr">
        <is>
          <t>DALARNAS LÄN</t>
        </is>
      </c>
      <c r="E692" t="inlineStr">
        <is>
          <t>MORA</t>
        </is>
      </c>
      <c r="G692" t="n">
        <v>3.7</v>
      </c>
      <c r="H692" t="n">
        <v>0</v>
      </c>
      <c r="I692" t="n">
        <v>0</v>
      </c>
      <c r="J692" t="n">
        <v>0</v>
      </c>
      <c r="K692" t="n">
        <v>0</v>
      </c>
      <c r="L692" t="n">
        <v>0</v>
      </c>
      <c r="M692" t="n">
        <v>0</v>
      </c>
      <c r="N692" t="n">
        <v>0</v>
      </c>
      <c r="O692" t="n">
        <v>0</v>
      </c>
      <c r="P692" t="n">
        <v>0</v>
      </c>
      <c r="Q692" t="n">
        <v>0</v>
      </c>
      <c r="R692" s="2" t="inlineStr"/>
    </row>
    <row r="693" ht="15" customHeight="1">
      <c r="A693" t="inlineStr">
        <is>
          <t>A 15817-2024</t>
        </is>
      </c>
      <c r="B693" s="1" t="n">
        <v>45404.67387731482</v>
      </c>
      <c r="C693" s="1" t="n">
        <v>46073</v>
      </c>
      <c r="D693" t="inlineStr">
        <is>
          <t>DALARNAS LÄN</t>
        </is>
      </c>
      <c r="E693" t="inlineStr">
        <is>
          <t>MORA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46755-2023</t>
        </is>
      </c>
      <c r="B694" s="1" t="n">
        <v>45198.61314814815</v>
      </c>
      <c r="C694" s="1" t="n">
        <v>46073</v>
      </c>
      <c r="D694" t="inlineStr">
        <is>
          <t>DALARNAS LÄN</t>
        </is>
      </c>
      <c r="E694" t="inlineStr">
        <is>
          <t>MORA</t>
        </is>
      </c>
      <c r="G694" t="n">
        <v>0.6</v>
      </c>
      <c r="H694" t="n">
        <v>0</v>
      </c>
      <c r="I694" t="n">
        <v>0</v>
      </c>
      <c r="J694" t="n">
        <v>0</v>
      </c>
      <c r="K694" t="n">
        <v>0</v>
      </c>
      <c r="L694" t="n">
        <v>0</v>
      </c>
      <c r="M694" t="n">
        <v>0</v>
      </c>
      <c r="N694" t="n">
        <v>0</v>
      </c>
      <c r="O694" t="n">
        <v>0</v>
      </c>
      <c r="P694" t="n">
        <v>0</v>
      </c>
      <c r="Q694" t="n">
        <v>0</v>
      </c>
      <c r="R694" s="2" t="inlineStr"/>
    </row>
    <row r="695" ht="15" customHeight="1">
      <c r="A695" t="inlineStr">
        <is>
          <t>A 14372-2025</t>
        </is>
      </c>
      <c r="B695" s="1" t="n">
        <v>45741.4050462963</v>
      </c>
      <c r="C695" s="1" t="n">
        <v>46073</v>
      </c>
      <c r="D695" t="inlineStr">
        <is>
          <t>DALARNAS LÄN</t>
        </is>
      </c>
      <c r="E695" t="inlineStr">
        <is>
          <t>MORA</t>
        </is>
      </c>
      <c r="G695" t="n">
        <v>5.1</v>
      </c>
      <c r="H695" t="n">
        <v>0</v>
      </c>
      <c r="I695" t="n">
        <v>0</v>
      </c>
      <c r="J695" t="n">
        <v>0</v>
      </c>
      <c r="K695" t="n">
        <v>0</v>
      </c>
      <c r="L695" t="n">
        <v>0</v>
      </c>
      <c r="M695" t="n">
        <v>0</v>
      </c>
      <c r="N695" t="n">
        <v>0</v>
      </c>
      <c r="O695" t="n">
        <v>0</v>
      </c>
      <c r="P695" t="n">
        <v>0</v>
      </c>
      <c r="Q695" t="n">
        <v>0</v>
      </c>
      <c r="R695" s="2" t="inlineStr"/>
    </row>
    <row r="696" ht="15" customHeight="1">
      <c r="A696" t="inlineStr">
        <is>
          <t>A 14378-2025</t>
        </is>
      </c>
      <c r="B696" s="1" t="n">
        <v>45741</v>
      </c>
      <c r="C696" s="1" t="n">
        <v>46073</v>
      </c>
      <c r="D696" t="inlineStr">
        <is>
          <t>DALARNAS LÄN</t>
        </is>
      </c>
      <c r="E696" t="inlineStr">
        <is>
          <t>MORA</t>
        </is>
      </c>
      <c r="G696" t="n">
        <v>5.2</v>
      </c>
      <c r="H696" t="n">
        <v>0</v>
      </c>
      <c r="I696" t="n">
        <v>0</v>
      </c>
      <c r="J696" t="n">
        <v>0</v>
      </c>
      <c r="K696" t="n">
        <v>0</v>
      </c>
      <c r="L696" t="n">
        <v>0</v>
      </c>
      <c r="M696" t="n">
        <v>0</v>
      </c>
      <c r="N696" t="n">
        <v>0</v>
      </c>
      <c r="O696" t="n">
        <v>0</v>
      </c>
      <c r="P696" t="n">
        <v>0</v>
      </c>
      <c r="Q696" t="n">
        <v>0</v>
      </c>
      <c r="R696" s="2" t="inlineStr"/>
    </row>
    <row r="697" ht="15" customHeight="1">
      <c r="A697" t="inlineStr">
        <is>
          <t>A 44177-2023</t>
        </is>
      </c>
      <c r="B697" s="1" t="n">
        <v>45188.51439814815</v>
      </c>
      <c r="C697" s="1" t="n">
        <v>46073</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44201-2023</t>
        </is>
      </c>
      <c r="B698" s="1" t="n">
        <v>45188</v>
      </c>
      <c r="C698" s="1" t="n">
        <v>46073</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55222-2023</t>
        </is>
      </c>
      <c r="B699" s="1" t="n">
        <v>45237.60775462963</v>
      </c>
      <c r="C699" s="1" t="n">
        <v>46073</v>
      </c>
      <c r="D699" t="inlineStr">
        <is>
          <t>DALARNAS LÄN</t>
        </is>
      </c>
      <c r="E699" t="inlineStr">
        <is>
          <t>MORA</t>
        </is>
      </c>
      <c r="F699" t="inlineStr">
        <is>
          <t>Allmännings- och besparingsskogar</t>
        </is>
      </c>
      <c r="G699" t="n">
        <v>19.8</v>
      </c>
      <c r="H699" t="n">
        <v>0</v>
      </c>
      <c r="I699" t="n">
        <v>0</v>
      </c>
      <c r="J699" t="n">
        <v>0</v>
      </c>
      <c r="K699" t="n">
        <v>0</v>
      </c>
      <c r="L699" t="n">
        <v>0</v>
      </c>
      <c r="M699" t="n">
        <v>0</v>
      </c>
      <c r="N699" t="n">
        <v>0</v>
      </c>
      <c r="O699" t="n">
        <v>0</v>
      </c>
      <c r="P699" t="n">
        <v>0</v>
      </c>
      <c r="Q699" t="n">
        <v>0</v>
      </c>
      <c r="R699" s="2" t="inlineStr"/>
    </row>
    <row r="700" ht="15" customHeight="1">
      <c r="A700" t="inlineStr">
        <is>
          <t>A 31177-2021</t>
        </is>
      </c>
      <c r="B700" s="1" t="n">
        <v>44368</v>
      </c>
      <c r="C700" s="1" t="n">
        <v>46073</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51570-2023</t>
        </is>
      </c>
      <c r="B701" s="1" t="n">
        <v>45222</v>
      </c>
      <c r="C701" s="1" t="n">
        <v>46073</v>
      </c>
      <c r="D701" t="inlineStr">
        <is>
          <t>DALARNAS LÄN</t>
        </is>
      </c>
      <c r="E701" t="inlineStr">
        <is>
          <t>MORA</t>
        </is>
      </c>
      <c r="G701" t="n">
        <v>10.1</v>
      </c>
      <c r="H701" t="n">
        <v>0</v>
      </c>
      <c r="I701" t="n">
        <v>0</v>
      </c>
      <c r="J701" t="n">
        <v>0</v>
      </c>
      <c r="K701" t="n">
        <v>0</v>
      </c>
      <c r="L701" t="n">
        <v>0</v>
      </c>
      <c r="M701" t="n">
        <v>0</v>
      </c>
      <c r="N701" t="n">
        <v>0</v>
      </c>
      <c r="O701" t="n">
        <v>0</v>
      </c>
      <c r="P701" t="n">
        <v>0</v>
      </c>
      <c r="Q701" t="n">
        <v>0</v>
      </c>
      <c r="R701" s="2" t="inlineStr"/>
    </row>
    <row r="702" ht="15" customHeight="1">
      <c r="A702" t="inlineStr">
        <is>
          <t>A 32261-2022</t>
        </is>
      </c>
      <c r="B702" s="1" t="n">
        <v>44781.5350925926</v>
      </c>
      <c r="C702" s="1" t="n">
        <v>46073</v>
      </c>
      <c r="D702" t="inlineStr">
        <is>
          <t>DALARNAS LÄN</t>
        </is>
      </c>
      <c r="E702" t="inlineStr">
        <is>
          <t>MORA</t>
        </is>
      </c>
      <c r="G702" t="n">
        <v>2.7</v>
      </c>
      <c r="H702" t="n">
        <v>0</v>
      </c>
      <c r="I702" t="n">
        <v>0</v>
      </c>
      <c r="J702" t="n">
        <v>0</v>
      </c>
      <c r="K702" t="n">
        <v>0</v>
      </c>
      <c r="L702" t="n">
        <v>0</v>
      </c>
      <c r="M702" t="n">
        <v>0</v>
      </c>
      <c r="N702" t="n">
        <v>0</v>
      </c>
      <c r="O702" t="n">
        <v>0</v>
      </c>
      <c r="P702" t="n">
        <v>0</v>
      </c>
      <c r="Q702" t="n">
        <v>0</v>
      </c>
      <c r="R702" s="2" t="inlineStr"/>
    </row>
    <row r="703" ht="15" customHeight="1">
      <c r="A703" t="inlineStr">
        <is>
          <t>A 48825-2023</t>
        </is>
      </c>
      <c r="B703" s="1" t="n">
        <v>45203</v>
      </c>
      <c r="C703" s="1" t="n">
        <v>46073</v>
      </c>
      <c r="D703" t="inlineStr">
        <is>
          <t>DALARNAS LÄN</t>
        </is>
      </c>
      <c r="E703" t="inlineStr">
        <is>
          <t>MORA</t>
        </is>
      </c>
      <c r="G703" t="n">
        <v>7.9</v>
      </c>
      <c r="H703" t="n">
        <v>0</v>
      </c>
      <c r="I703" t="n">
        <v>0</v>
      </c>
      <c r="J703" t="n">
        <v>0</v>
      </c>
      <c r="K703" t="n">
        <v>0</v>
      </c>
      <c r="L703" t="n">
        <v>0</v>
      </c>
      <c r="M703" t="n">
        <v>0</v>
      </c>
      <c r="N703" t="n">
        <v>0</v>
      </c>
      <c r="O703" t="n">
        <v>0</v>
      </c>
      <c r="P703" t="n">
        <v>0</v>
      </c>
      <c r="Q703" t="n">
        <v>0</v>
      </c>
      <c r="R703" s="2" t="inlineStr"/>
    </row>
    <row r="704" ht="15" customHeight="1">
      <c r="A704" t="inlineStr">
        <is>
          <t>A 18806-2025</t>
        </is>
      </c>
      <c r="B704" s="1" t="n">
        <v>45764.35269675926</v>
      </c>
      <c r="C704" s="1" t="n">
        <v>46073</v>
      </c>
      <c r="D704" t="inlineStr">
        <is>
          <t>DALARNAS LÄN</t>
        </is>
      </c>
      <c r="E704" t="inlineStr">
        <is>
          <t>MORA</t>
        </is>
      </c>
      <c r="G704" t="n">
        <v>1.7</v>
      </c>
      <c r="H704" t="n">
        <v>0</v>
      </c>
      <c r="I704" t="n">
        <v>0</v>
      </c>
      <c r="J704" t="n">
        <v>0</v>
      </c>
      <c r="K704" t="n">
        <v>0</v>
      </c>
      <c r="L704" t="n">
        <v>0</v>
      </c>
      <c r="M704" t="n">
        <v>0</v>
      </c>
      <c r="N704" t="n">
        <v>0</v>
      </c>
      <c r="O704" t="n">
        <v>0</v>
      </c>
      <c r="P704" t="n">
        <v>0</v>
      </c>
      <c r="Q704" t="n">
        <v>0</v>
      </c>
      <c r="R704" s="2" t="inlineStr"/>
    </row>
    <row r="705" ht="15" customHeight="1">
      <c r="A705" t="inlineStr">
        <is>
          <t>A 17163-2025</t>
        </is>
      </c>
      <c r="B705" s="1" t="n">
        <v>45756.35998842592</v>
      </c>
      <c r="C705" s="1" t="n">
        <v>46073</v>
      </c>
      <c r="D705" t="inlineStr">
        <is>
          <t>DALARNAS LÄN</t>
        </is>
      </c>
      <c r="E705" t="inlineStr">
        <is>
          <t>MORA</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10777-2025</t>
        </is>
      </c>
      <c r="B706" s="1" t="n">
        <v>45722.47743055555</v>
      </c>
      <c r="C706" s="1" t="n">
        <v>46073</v>
      </c>
      <c r="D706" t="inlineStr">
        <is>
          <t>DALARNAS LÄN</t>
        </is>
      </c>
      <c r="E706" t="inlineStr">
        <is>
          <t>MORA</t>
        </is>
      </c>
      <c r="G706" t="n">
        <v>9.9</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45232.63217592592</v>
      </c>
      <c r="C707" s="1" t="n">
        <v>46073</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44817-2023</t>
        </is>
      </c>
      <c r="B708" s="1" t="n">
        <v>45190.51887731482</v>
      </c>
      <c r="C708" s="1" t="n">
        <v>46073</v>
      </c>
      <c r="D708" t="inlineStr">
        <is>
          <t>DALARNAS LÄN</t>
        </is>
      </c>
      <c r="E708" t="inlineStr">
        <is>
          <t>MORA</t>
        </is>
      </c>
      <c r="G708" t="n">
        <v>1.6</v>
      </c>
      <c r="H708" t="n">
        <v>0</v>
      </c>
      <c r="I708" t="n">
        <v>0</v>
      </c>
      <c r="J708" t="n">
        <v>0</v>
      </c>
      <c r="K708" t="n">
        <v>0</v>
      </c>
      <c r="L708" t="n">
        <v>0</v>
      </c>
      <c r="M708" t="n">
        <v>0</v>
      </c>
      <c r="N708" t="n">
        <v>0</v>
      </c>
      <c r="O708" t="n">
        <v>0</v>
      </c>
      <c r="P708" t="n">
        <v>0</v>
      </c>
      <c r="Q708" t="n">
        <v>0</v>
      </c>
      <c r="R708" s="2" t="inlineStr"/>
    </row>
    <row r="709" ht="15" customHeight="1">
      <c r="A709" t="inlineStr">
        <is>
          <t>A 17865-2025</t>
        </is>
      </c>
      <c r="B709" s="1" t="n">
        <v>45758.62951388889</v>
      </c>
      <c r="C709" s="1" t="n">
        <v>46073</v>
      </c>
      <c r="D709" t="inlineStr">
        <is>
          <t>DALARNAS LÄN</t>
        </is>
      </c>
      <c r="E709" t="inlineStr">
        <is>
          <t>MORA</t>
        </is>
      </c>
      <c r="G709" t="n">
        <v>1.6</v>
      </c>
      <c r="H709" t="n">
        <v>0</v>
      </c>
      <c r="I709" t="n">
        <v>0</v>
      </c>
      <c r="J709" t="n">
        <v>0</v>
      </c>
      <c r="K709" t="n">
        <v>0</v>
      </c>
      <c r="L709" t="n">
        <v>0</v>
      </c>
      <c r="M709" t="n">
        <v>0</v>
      </c>
      <c r="N709" t="n">
        <v>0</v>
      </c>
      <c r="O709" t="n">
        <v>0</v>
      </c>
      <c r="P709" t="n">
        <v>0</v>
      </c>
      <c r="Q709" t="n">
        <v>0</v>
      </c>
      <c r="R709" s="2" t="inlineStr"/>
    </row>
    <row r="710" ht="15" customHeight="1">
      <c r="A710" t="inlineStr">
        <is>
          <t>A 17167-2025</t>
        </is>
      </c>
      <c r="B710" s="1" t="n">
        <v>45756.36844907407</v>
      </c>
      <c r="C710" s="1" t="n">
        <v>46073</v>
      </c>
      <c r="D710" t="inlineStr">
        <is>
          <t>DALARNAS LÄN</t>
        </is>
      </c>
      <c r="E710" t="inlineStr">
        <is>
          <t>MORA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17176-2025</t>
        </is>
      </c>
      <c r="B711" s="1" t="n">
        <v>45756.37520833333</v>
      </c>
      <c r="C711" s="1" t="n">
        <v>46073</v>
      </c>
      <c r="D711" t="inlineStr">
        <is>
          <t>DALARNAS LÄN</t>
        </is>
      </c>
      <c r="E711" t="inlineStr">
        <is>
          <t>MORA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57999-2023</t>
        </is>
      </c>
      <c r="B712" s="1" t="n">
        <v>45247</v>
      </c>
      <c r="C712" s="1" t="n">
        <v>46073</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ht="15" customHeight="1">
      <c r="A713" t="inlineStr">
        <is>
          <t>A 57319-2023</t>
        </is>
      </c>
      <c r="B713" s="1" t="n">
        <v>45245.64877314815</v>
      </c>
      <c r="C713" s="1" t="n">
        <v>46073</v>
      </c>
      <c r="D713" t="inlineStr">
        <is>
          <t>DALARNAS LÄN</t>
        </is>
      </c>
      <c r="E713" t="inlineStr">
        <is>
          <t>MORA</t>
        </is>
      </c>
      <c r="G713" t="n">
        <v>2</v>
      </c>
      <c r="H713" t="n">
        <v>0</v>
      </c>
      <c r="I713" t="n">
        <v>0</v>
      </c>
      <c r="J713" t="n">
        <v>0</v>
      </c>
      <c r="K713" t="n">
        <v>0</v>
      </c>
      <c r="L713" t="n">
        <v>0</v>
      </c>
      <c r="M713" t="n">
        <v>0</v>
      </c>
      <c r="N713" t="n">
        <v>0</v>
      </c>
      <c r="O713" t="n">
        <v>0</v>
      </c>
      <c r="P713" t="n">
        <v>0</v>
      </c>
      <c r="Q713" t="n">
        <v>0</v>
      </c>
      <c r="R713" s="2" t="inlineStr"/>
    </row>
    <row r="714" ht="15" customHeight="1">
      <c r="A714" t="inlineStr">
        <is>
          <t>A 62853-2023</t>
        </is>
      </c>
      <c r="B714" s="1" t="n">
        <v>45272</v>
      </c>
      <c r="C714" s="1" t="n">
        <v>46073</v>
      </c>
      <c r="D714" t="inlineStr">
        <is>
          <t>DALARNAS LÄN</t>
        </is>
      </c>
      <c r="E714" t="inlineStr">
        <is>
          <t>MORA</t>
        </is>
      </c>
      <c r="G714" t="n">
        <v>13.6</v>
      </c>
      <c r="H714" t="n">
        <v>0</v>
      </c>
      <c r="I714" t="n">
        <v>0</v>
      </c>
      <c r="J714" t="n">
        <v>0</v>
      </c>
      <c r="K714" t="n">
        <v>0</v>
      </c>
      <c r="L714" t="n">
        <v>0</v>
      </c>
      <c r="M714" t="n">
        <v>0</v>
      </c>
      <c r="N714" t="n">
        <v>0</v>
      </c>
      <c r="O714" t="n">
        <v>0</v>
      </c>
      <c r="P714" t="n">
        <v>0</v>
      </c>
      <c r="Q714" t="n">
        <v>0</v>
      </c>
      <c r="R714" s="2" t="inlineStr"/>
    </row>
    <row r="715" ht="15" customHeight="1">
      <c r="A715" t="inlineStr">
        <is>
          <t>A 43826-2022</t>
        </is>
      </c>
      <c r="B715" s="1" t="n">
        <v>44838</v>
      </c>
      <c r="C715" s="1" t="n">
        <v>46073</v>
      </c>
      <c r="D715" t="inlineStr">
        <is>
          <t>DALARNAS LÄN</t>
        </is>
      </c>
      <c r="E715" t="inlineStr">
        <is>
          <t>MORA</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29754-2022</t>
        </is>
      </c>
      <c r="B716" s="1" t="n">
        <v>44755.59188657408</v>
      </c>
      <c r="C716" s="1" t="n">
        <v>46073</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36579-2022</t>
        </is>
      </c>
      <c r="B717" s="1" t="n">
        <v>44804.61636574074</v>
      </c>
      <c r="C717" s="1" t="n">
        <v>46073</v>
      </c>
      <c r="D717" t="inlineStr">
        <is>
          <t>DALARNAS LÄN</t>
        </is>
      </c>
      <c r="E717" t="inlineStr">
        <is>
          <t>MORA</t>
        </is>
      </c>
      <c r="G717" t="n">
        <v>2.3</v>
      </c>
      <c r="H717" t="n">
        <v>0</v>
      </c>
      <c r="I717" t="n">
        <v>0</v>
      </c>
      <c r="J717" t="n">
        <v>0</v>
      </c>
      <c r="K717" t="n">
        <v>0</v>
      </c>
      <c r="L717" t="n">
        <v>0</v>
      </c>
      <c r="M717" t="n">
        <v>0</v>
      </c>
      <c r="N717" t="n">
        <v>0</v>
      </c>
      <c r="O717" t="n">
        <v>0</v>
      </c>
      <c r="P717" t="n">
        <v>0</v>
      </c>
      <c r="Q717" t="n">
        <v>0</v>
      </c>
      <c r="R717" s="2" t="inlineStr"/>
    </row>
    <row r="718" ht="15" customHeight="1">
      <c r="A718" t="inlineStr">
        <is>
          <t>A 3531-2024</t>
        </is>
      </c>
      <c r="B718" s="1" t="n">
        <v>45320</v>
      </c>
      <c r="C718" s="1" t="n">
        <v>46073</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c r="U718">
        <f>HYPERLINK("https://klasma.github.io/Logging_2062/knärot/A 3531-2024 karta knärot.png", "A 3531-2024")</f>
        <v/>
      </c>
      <c r="V718">
        <f>HYPERLINK("https://klasma.github.io/Logging_2062/klagomål/A 3531-2024 FSC-klagomål.docx", "A 3531-2024")</f>
        <v/>
      </c>
      <c r="W718">
        <f>HYPERLINK("https://klasma.github.io/Logging_2062/klagomålsmail/A 3531-2024 FSC-klagomål mail.docx", "A 3531-2024")</f>
        <v/>
      </c>
      <c r="X718">
        <f>HYPERLINK("https://klasma.github.io/Logging_2062/tillsyn/A 3531-2024 tillsynsbegäran.docx", "A 3531-2024")</f>
        <v/>
      </c>
      <c r="Y718">
        <f>HYPERLINK("https://klasma.github.io/Logging_2062/tillsynsmail/A 3531-2024 tillsynsbegäran mail.docx", "A 3531-2024")</f>
        <v/>
      </c>
    </row>
    <row r="719" ht="15" customHeight="1">
      <c r="A719" t="inlineStr">
        <is>
          <t>A 39009-2023</t>
        </is>
      </c>
      <c r="B719" s="1" t="n">
        <v>45162</v>
      </c>
      <c r="C719" s="1" t="n">
        <v>46073</v>
      </c>
      <c r="D719" t="inlineStr">
        <is>
          <t>DALARNAS LÄN</t>
        </is>
      </c>
      <c r="E719" t="inlineStr">
        <is>
          <t>MORA</t>
        </is>
      </c>
      <c r="G719" t="n">
        <v>1.9</v>
      </c>
      <c r="H719" t="n">
        <v>0</v>
      </c>
      <c r="I719" t="n">
        <v>0</v>
      </c>
      <c r="J719" t="n">
        <v>0</v>
      </c>
      <c r="K719" t="n">
        <v>0</v>
      </c>
      <c r="L719" t="n">
        <v>0</v>
      </c>
      <c r="M719" t="n">
        <v>0</v>
      </c>
      <c r="N719" t="n">
        <v>0</v>
      </c>
      <c r="O719" t="n">
        <v>0</v>
      </c>
      <c r="P719" t="n">
        <v>0</v>
      </c>
      <c r="Q719" t="n">
        <v>0</v>
      </c>
      <c r="R719" s="2" t="inlineStr"/>
    </row>
    <row r="720" ht="15" customHeight="1">
      <c r="A720" t="inlineStr">
        <is>
          <t>A 44769-2021</t>
        </is>
      </c>
      <c r="B720" s="1" t="n">
        <v>44438</v>
      </c>
      <c r="C720" s="1" t="n">
        <v>46073</v>
      </c>
      <c r="D720" t="inlineStr">
        <is>
          <t>DALARNAS LÄN</t>
        </is>
      </c>
      <c r="E720" t="inlineStr">
        <is>
          <t>MORA</t>
        </is>
      </c>
      <c r="G720" t="n">
        <v>0.9</v>
      </c>
      <c r="H720" t="n">
        <v>0</v>
      </c>
      <c r="I720" t="n">
        <v>0</v>
      </c>
      <c r="J720" t="n">
        <v>0</v>
      </c>
      <c r="K720" t="n">
        <v>0</v>
      </c>
      <c r="L720" t="n">
        <v>0</v>
      </c>
      <c r="M720" t="n">
        <v>0</v>
      </c>
      <c r="N720" t="n">
        <v>0</v>
      </c>
      <c r="O720" t="n">
        <v>0</v>
      </c>
      <c r="P720" t="n">
        <v>0</v>
      </c>
      <c r="Q720" t="n">
        <v>0</v>
      </c>
      <c r="R720" s="2" t="inlineStr"/>
    </row>
    <row r="721" ht="15" customHeight="1">
      <c r="A721" t="inlineStr">
        <is>
          <t>A 28487-2024</t>
        </is>
      </c>
      <c r="B721" s="1" t="n">
        <v>45477.75744212963</v>
      </c>
      <c r="C721" s="1" t="n">
        <v>46073</v>
      </c>
      <c r="D721" t="inlineStr">
        <is>
          <t>DALARNAS LÄN</t>
        </is>
      </c>
      <c r="E721" t="inlineStr">
        <is>
          <t>MORA</t>
        </is>
      </c>
      <c r="G721" t="n">
        <v>3.1</v>
      </c>
      <c r="H721" t="n">
        <v>0</v>
      </c>
      <c r="I721" t="n">
        <v>0</v>
      </c>
      <c r="J721" t="n">
        <v>0</v>
      </c>
      <c r="K721" t="n">
        <v>0</v>
      </c>
      <c r="L721" t="n">
        <v>0</v>
      </c>
      <c r="M721" t="n">
        <v>0</v>
      </c>
      <c r="N721" t="n">
        <v>0</v>
      </c>
      <c r="O721" t="n">
        <v>0</v>
      </c>
      <c r="P721" t="n">
        <v>0</v>
      </c>
      <c r="Q721" t="n">
        <v>0</v>
      </c>
      <c r="R721" s="2" t="inlineStr"/>
    </row>
    <row r="722" ht="15" customHeight="1">
      <c r="A722" t="inlineStr">
        <is>
          <t>A 48728-2022</t>
        </is>
      </c>
      <c r="B722" s="1" t="n">
        <v>44859.52145833334</v>
      </c>
      <c r="C722" s="1" t="n">
        <v>46073</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61222-2023</t>
        </is>
      </c>
      <c r="B723" s="1" t="n">
        <v>45264</v>
      </c>
      <c r="C723" s="1" t="n">
        <v>46073</v>
      </c>
      <c r="D723" t="inlineStr">
        <is>
          <t>DALARNAS LÄN</t>
        </is>
      </c>
      <c r="E723" t="inlineStr">
        <is>
          <t>MORA</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46073</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52908-2023</t>
        </is>
      </c>
      <c r="B725" s="1" t="n">
        <v>45226.49950231481</v>
      </c>
      <c r="C725" s="1" t="n">
        <v>46073</v>
      </c>
      <c r="D725" t="inlineStr">
        <is>
          <t>DALARNAS LÄN</t>
        </is>
      </c>
      <c r="E725" t="inlineStr">
        <is>
          <t>MORA</t>
        </is>
      </c>
      <c r="G725" t="n">
        <v>3.3</v>
      </c>
      <c r="H725" t="n">
        <v>0</v>
      </c>
      <c r="I725" t="n">
        <v>0</v>
      </c>
      <c r="J725" t="n">
        <v>0</v>
      </c>
      <c r="K725" t="n">
        <v>0</v>
      </c>
      <c r="L725" t="n">
        <v>0</v>
      </c>
      <c r="M725" t="n">
        <v>0</v>
      </c>
      <c r="N725" t="n">
        <v>0</v>
      </c>
      <c r="O725" t="n">
        <v>0</v>
      </c>
      <c r="P725" t="n">
        <v>0</v>
      </c>
      <c r="Q725" t="n">
        <v>0</v>
      </c>
      <c r="R725" s="2" t="inlineStr"/>
    </row>
    <row r="726" ht="15" customHeight="1">
      <c r="A726" t="inlineStr">
        <is>
          <t>A 19896-2021</t>
        </is>
      </c>
      <c r="B726" s="1" t="n">
        <v>44313.54942129629</v>
      </c>
      <c r="C726" s="1" t="n">
        <v>46073</v>
      </c>
      <c r="D726" t="inlineStr">
        <is>
          <t>DALARNAS LÄN</t>
        </is>
      </c>
      <c r="E726" t="inlineStr">
        <is>
          <t>MORA</t>
        </is>
      </c>
      <c r="G726" t="n">
        <v>1.8</v>
      </c>
      <c r="H726" t="n">
        <v>0</v>
      </c>
      <c r="I726" t="n">
        <v>0</v>
      </c>
      <c r="J726" t="n">
        <v>0</v>
      </c>
      <c r="K726" t="n">
        <v>0</v>
      </c>
      <c r="L726" t="n">
        <v>0</v>
      </c>
      <c r="M726" t="n">
        <v>0</v>
      </c>
      <c r="N726" t="n">
        <v>0</v>
      </c>
      <c r="O726" t="n">
        <v>0</v>
      </c>
      <c r="P726" t="n">
        <v>0</v>
      </c>
      <c r="Q726" t="n">
        <v>0</v>
      </c>
      <c r="R726" s="2" t="inlineStr"/>
    </row>
    <row r="727" ht="15" customHeight="1">
      <c r="A727" t="inlineStr">
        <is>
          <t>A 51253-2023</t>
        </is>
      </c>
      <c r="B727" s="1" t="n">
        <v>45219</v>
      </c>
      <c r="C727" s="1" t="n">
        <v>46073</v>
      </c>
      <c r="D727" t="inlineStr">
        <is>
          <t>DALARNAS LÄN</t>
        </is>
      </c>
      <c r="E727" t="inlineStr">
        <is>
          <t>MORA</t>
        </is>
      </c>
      <c r="G727" t="n">
        <v>5</v>
      </c>
      <c r="H727" t="n">
        <v>0</v>
      </c>
      <c r="I727" t="n">
        <v>0</v>
      </c>
      <c r="J727" t="n">
        <v>0</v>
      </c>
      <c r="K727" t="n">
        <v>0</v>
      </c>
      <c r="L727" t="n">
        <v>0</v>
      </c>
      <c r="M727" t="n">
        <v>0</v>
      </c>
      <c r="N727" t="n">
        <v>0</v>
      </c>
      <c r="O727" t="n">
        <v>0</v>
      </c>
      <c r="P727" t="n">
        <v>0</v>
      </c>
      <c r="Q727" t="n">
        <v>0</v>
      </c>
      <c r="R727" s="2" t="inlineStr"/>
    </row>
    <row r="728" ht="15" customHeight="1">
      <c r="A728" t="inlineStr">
        <is>
          <t>A 58116-2022</t>
        </is>
      </c>
      <c r="B728" s="1" t="n">
        <v>44900.65716435185</v>
      </c>
      <c r="C728" s="1" t="n">
        <v>46073</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33666-2024</t>
        </is>
      </c>
      <c r="B729" s="1" t="n">
        <v>45520.48304398148</v>
      </c>
      <c r="C729" s="1" t="n">
        <v>46073</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42941-2024</t>
        </is>
      </c>
      <c r="B730" s="1" t="n">
        <v>45567.3515162037</v>
      </c>
      <c r="C730" s="1" t="n">
        <v>46073</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39674-2023</t>
        </is>
      </c>
      <c r="B731" s="1" t="n">
        <v>45167</v>
      </c>
      <c r="C731" s="1" t="n">
        <v>46073</v>
      </c>
      <c r="D731" t="inlineStr">
        <is>
          <t>DALARNAS LÄN</t>
        </is>
      </c>
      <c r="E731" t="inlineStr">
        <is>
          <t>MORA</t>
        </is>
      </c>
      <c r="G731" t="n">
        <v>2.4</v>
      </c>
      <c r="H731" t="n">
        <v>0</v>
      </c>
      <c r="I731" t="n">
        <v>0</v>
      </c>
      <c r="J731" t="n">
        <v>0</v>
      </c>
      <c r="K731" t="n">
        <v>0</v>
      </c>
      <c r="L731" t="n">
        <v>0</v>
      </c>
      <c r="M731" t="n">
        <v>0</v>
      </c>
      <c r="N731" t="n">
        <v>0</v>
      </c>
      <c r="O731" t="n">
        <v>0</v>
      </c>
      <c r="P731" t="n">
        <v>0</v>
      </c>
      <c r="Q731" t="n">
        <v>0</v>
      </c>
      <c r="R731" s="2" t="inlineStr"/>
    </row>
    <row r="732" ht="15" customHeight="1">
      <c r="A732" t="inlineStr">
        <is>
          <t>A 53341-2023</t>
        </is>
      </c>
      <c r="B732" s="1" t="n">
        <v>45229</v>
      </c>
      <c r="C732" s="1" t="n">
        <v>46073</v>
      </c>
      <c r="D732" t="inlineStr">
        <is>
          <t>DALARNAS LÄN</t>
        </is>
      </c>
      <c r="E732" t="inlineStr">
        <is>
          <t>MORA</t>
        </is>
      </c>
      <c r="G732" t="n">
        <v>2.1</v>
      </c>
      <c r="H732" t="n">
        <v>0</v>
      </c>
      <c r="I732" t="n">
        <v>0</v>
      </c>
      <c r="J732" t="n">
        <v>0</v>
      </c>
      <c r="K732" t="n">
        <v>0</v>
      </c>
      <c r="L732" t="n">
        <v>0</v>
      </c>
      <c r="M732" t="n">
        <v>0</v>
      </c>
      <c r="N732" t="n">
        <v>0</v>
      </c>
      <c r="O732" t="n">
        <v>0</v>
      </c>
      <c r="P732" t="n">
        <v>0</v>
      </c>
      <c r="Q732" t="n">
        <v>0</v>
      </c>
      <c r="R732" s="2" t="inlineStr"/>
    </row>
    <row r="733" ht="15" customHeight="1">
      <c r="A733" t="inlineStr">
        <is>
          <t>A 5001-2025</t>
        </is>
      </c>
      <c r="B733" s="1" t="n">
        <v>45691.36403935185</v>
      </c>
      <c r="C733" s="1" t="n">
        <v>46073</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54903-2024</t>
        </is>
      </c>
      <c r="B734" s="1" t="n">
        <v>45618</v>
      </c>
      <c r="C734" s="1" t="n">
        <v>46073</v>
      </c>
      <c r="D734" t="inlineStr">
        <is>
          <t>DALARNAS LÄN</t>
        </is>
      </c>
      <c r="E734" t="inlineStr">
        <is>
          <t>MORA</t>
        </is>
      </c>
      <c r="G734" t="n">
        <v>28.2</v>
      </c>
      <c r="H734" t="n">
        <v>0</v>
      </c>
      <c r="I734" t="n">
        <v>0</v>
      </c>
      <c r="J734" t="n">
        <v>0</v>
      </c>
      <c r="K734" t="n">
        <v>0</v>
      </c>
      <c r="L734" t="n">
        <v>0</v>
      </c>
      <c r="M734" t="n">
        <v>0</v>
      </c>
      <c r="N734" t="n">
        <v>0</v>
      </c>
      <c r="O734" t="n">
        <v>0</v>
      </c>
      <c r="P734" t="n">
        <v>0</v>
      </c>
      <c r="Q734" t="n">
        <v>0</v>
      </c>
      <c r="R734" s="2" t="inlineStr"/>
    </row>
    <row r="735" ht="15" customHeight="1">
      <c r="A735" t="inlineStr">
        <is>
          <t>A 14040-2023</t>
        </is>
      </c>
      <c r="B735" s="1" t="n">
        <v>45008.64575231481</v>
      </c>
      <c r="C735" s="1" t="n">
        <v>46073</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55331-2022</t>
        </is>
      </c>
      <c r="B736" s="1" t="n">
        <v>44887.43714120371</v>
      </c>
      <c r="C736" s="1" t="n">
        <v>46073</v>
      </c>
      <c r="D736" t="inlineStr">
        <is>
          <t>DALARNAS LÄN</t>
        </is>
      </c>
      <c r="E736" t="inlineStr">
        <is>
          <t>MORA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45475-2023</t>
        </is>
      </c>
      <c r="B737" s="1" t="n">
        <v>45188</v>
      </c>
      <c r="C737" s="1" t="n">
        <v>46073</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11919-2024</t>
        </is>
      </c>
      <c r="B738" s="1" t="n">
        <v>45376.61019675926</v>
      </c>
      <c r="C738" s="1" t="n">
        <v>46073</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45315-2024</t>
        </is>
      </c>
      <c r="B739" s="1" t="n">
        <v>45576.43782407408</v>
      </c>
      <c r="C739" s="1" t="n">
        <v>46073</v>
      </c>
      <c r="D739" t="inlineStr">
        <is>
          <t>DALARNAS LÄN</t>
        </is>
      </c>
      <c r="E739" t="inlineStr">
        <is>
          <t>MORA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17529-2023</t>
        </is>
      </c>
      <c r="B740" s="1" t="n">
        <v>45036.46804398148</v>
      </c>
      <c r="C740" s="1" t="n">
        <v>46073</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4209-2023</t>
        </is>
      </c>
      <c r="B741" s="1" t="n">
        <v>44953</v>
      </c>
      <c r="C741" s="1" t="n">
        <v>46073</v>
      </c>
      <c r="D741" t="inlineStr">
        <is>
          <t>DALARNAS LÄN</t>
        </is>
      </c>
      <c r="E741" t="inlineStr">
        <is>
          <t>MORA</t>
        </is>
      </c>
      <c r="G741" t="n">
        <v>1</v>
      </c>
      <c r="H741" t="n">
        <v>0</v>
      </c>
      <c r="I741" t="n">
        <v>0</v>
      </c>
      <c r="J741" t="n">
        <v>0</v>
      </c>
      <c r="K741" t="n">
        <v>0</v>
      </c>
      <c r="L741" t="n">
        <v>0</v>
      </c>
      <c r="M741" t="n">
        <v>0</v>
      </c>
      <c r="N741" t="n">
        <v>0</v>
      </c>
      <c r="O741" t="n">
        <v>0</v>
      </c>
      <c r="P741" t="n">
        <v>0</v>
      </c>
      <c r="Q741" t="n">
        <v>0</v>
      </c>
      <c r="R741" s="2" t="inlineStr"/>
    </row>
    <row r="742" ht="15" customHeight="1">
      <c r="A742" t="inlineStr">
        <is>
          <t>A 39344-2024</t>
        </is>
      </c>
      <c r="B742" s="1" t="n">
        <v>45551.44503472222</v>
      </c>
      <c r="C742" s="1" t="n">
        <v>46073</v>
      </c>
      <c r="D742" t="inlineStr">
        <is>
          <t>DALARNAS LÄN</t>
        </is>
      </c>
      <c r="E742" t="inlineStr">
        <is>
          <t>MORA</t>
        </is>
      </c>
      <c r="G742" t="n">
        <v>0.6</v>
      </c>
      <c r="H742" t="n">
        <v>0</v>
      </c>
      <c r="I742" t="n">
        <v>0</v>
      </c>
      <c r="J742" t="n">
        <v>0</v>
      </c>
      <c r="K742" t="n">
        <v>0</v>
      </c>
      <c r="L742" t="n">
        <v>0</v>
      </c>
      <c r="M742" t="n">
        <v>0</v>
      </c>
      <c r="N742" t="n">
        <v>0</v>
      </c>
      <c r="O742" t="n">
        <v>0</v>
      </c>
      <c r="P742" t="n">
        <v>0</v>
      </c>
      <c r="Q742" t="n">
        <v>0</v>
      </c>
      <c r="R742" s="2" t="inlineStr"/>
    </row>
    <row r="743" ht="15" customHeight="1">
      <c r="A743" t="inlineStr">
        <is>
          <t>A 26314-2021</t>
        </is>
      </c>
      <c r="B743" s="1" t="n">
        <v>44347</v>
      </c>
      <c r="C743" s="1" t="n">
        <v>46073</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60051-2022</t>
        </is>
      </c>
      <c r="B744" s="1" t="n">
        <v>44909.52385416667</v>
      </c>
      <c r="C744" s="1" t="n">
        <v>46073</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48390-2024</t>
        </is>
      </c>
      <c r="B745" s="1" t="n">
        <v>45590.60216435185</v>
      </c>
      <c r="C745" s="1" t="n">
        <v>46073</v>
      </c>
      <c r="D745" t="inlineStr">
        <is>
          <t>DALARNAS LÄN</t>
        </is>
      </c>
      <c r="E745" t="inlineStr">
        <is>
          <t>MORA</t>
        </is>
      </c>
      <c r="G745" t="n">
        <v>5</v>
      </c>
      <c r="H745" t="n">
        <v>0</v>
      </c>
      <c r="I745" t="n">
        <v>0</v>
      </c>
      <c r="J745" t="n">
        <v>0</v>
      </c>
      <c r="K745" t="n">
        <v>0</v>
      </c>
      <c r="L745" t="n">
        <v>0</v>
      </c>
      <c r="M745" t="n">
        <v>0</v>
      </c>
      <c r="N745" t="n">
        <v>0</v>
      </c>
      <c r="O745" t="n">
        <v>0</v>
      </c>
      <c r="P745" t="n">
        <v>0</v>
      </c>
      <c r="Q745" t="n">
        <v>0</v>
      </c>
      <c r="R745" s="2" t="inlineStr"/>
    </row>
    <row r="746" ht="15" customHeight="1">
      <c r="A746" t="inlineStr">
        <is>
          <t>A 55671-2024</t>
        </is>
      </c>
      <c r="B746" s="1" t="n">
        <v>45622.65269675926</v>
      </c>
      <c r="C746" s="1" t="n">
        <v>46073</v>
      </c>
      <c r="D746" t="inlineStr">
        <is>
          <t>DALARNAS LÄN</t>
        </is>
      </c>
      <c r="E746" t="inlineStr">
        <is>
          <t>MORA</t>
        </is>
      </c>
      <c r="G746" t="n">
        <v>1.2</v>
      </c>
      <c r="H746" t="n">
        <v>0</v>
      </c>
      <c r="I746" t="n">
        <v>0</v>
      </c>
      <c r="J746" t="n">
        <v>0</v>
      </c>
      <c r="K746" t="n">
        <v>0</v>
      </c>
      <c r="L746" t="n">
        <v>0</v>
      </c>
      <c r="M746" t="n">
        <v>0</v>
      </c>
      <c r="N746" t="n">
        <v>0</v>
      </c>
      <c r="O746" t="n">
        <v>0</v>
      </c>
      <c r="P746" t="n">
        <v>0</v>
      </c>
      <c r="Q746" t="n">
        <v>0</v>
      </c>
      <c r="R746" s="2" t="inlineStr"/>
    </row>
    <row r="747" ht="15" customHeight="1">
      <c r="A747" t="inlineStr">
        <is>
          <t>A 4208-2023</t>
        </is>
      </c>
      <c r="B747" s="1" t="n">
        <v>44953</v>
      </c>
      <c r="C747" s="1" t="n">
        <v>46073</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4210-2023</t>
        </is>
      </c>
      <c r="B748" s="1" t="n">
        <v>44953.44965277778</v>
      </c>
      <c r="C748" s="1" t="n">
        <v>46073</v>
      </c>
      <c r="D748" t="inlineStr">
        <is>
          <t>DALARNAS LÄN</t>
        </is>
      </c>
      <c r="E748" t="inlineStr">
        <is>
          <t>MORA</t>
        </is>
      </c>
      <c r="G748" t="n">
        <v>0.9</v>
      </c>
      <c r="H748" t="n">
        <v>0</v>
      </c>
      <c r="I748" t="n">
        <v>0</v>
      </c>
      <c r="J748" t="n">
        <v>0</v>
      </c>
      <c r="K748" t="n">
        <v>0</v>
      </c>
      <c r="L748" t="n">
        <v>0</v>
      </c>
      <c r="M748" t="n">
        <v>0</v>
      </c>
      <c r="N748" t="n">
        <v>0</v>
      </c>
      <c r="O748" t="n">
        <v>0</v>
      </c>
      <c r="P748" t="n">
        <v>0</v>
      </c>
      <c r="Q748" t="n">
        <v>0</v>
      </c>
      <c r="R748" s="2" t="inlineStr"/>
    </row>
    <row r="749" ht="15" customHeight="1">
      <c r="A749" t="inlineStr">
        <is>
          <t>A 5491-2023</t>
        </is>
      </c>
      <c r="B749" s="1" t="n">
        <v>44957</v>
      </c>
      <c r="C749" s="1" t="n">
        <v>46073</v>
      </c>
      <c r="D749" t="inlineStr">
        <is>
          <t>DALARNAS LÄN</t>
        </is>
      </c>
      <c r="E749" t="inlineStr">
        <is>
          <t>MORA</t>
        </is>
      </c>
      <c r="G749" t="n">
        <v>3.5</v>
      </c>
      <c r="H749" t="n">
        <v>0</v>
      </c>
      <c r="I749" t="n">
        <v>0</v>
      </c>
      <c r="J749" t="n">
        <v>0</v>
      </c>
      <c r="K749" t="n">
        <v>0</v>
      </c>
      <c r="L749" t="n">
        <v>0</v>
      </c>
      <c r="M749" t="n">
        <v>0</v>
      </c>
      <c r="N749" t="n">
        <v>0</v>
      </c>
      <c r="O749" t="n">
        <v>0</v>
      </c>
      <c r="P749" t="n">
        <v>0</v>
      </c>
      <c r="Q749" t="n">
        <v>0</v>
      </c>
      <c r="R749" s="2" t="inlineStr"/>
    </row>
    <row r="750" ht="15" customHeight="1">
      <c r="A750" t="inlineStr">
        <is>
          <t>A 5493-2023</t>
        </is>
      </c>
      <c r="B750" s="1" t="n">
        <v>44957</v>
      </c>
      <c r="C750" s="1" t="n">
        <v>46073</v>
      </c>
      <c r="D750" t="inlineStr">
        <is>
          <t>DALARNAS LÄN</t>
        </is>
      </c>
      <c r="E750" t="inlineStr">
        <is>
          <t>MORA</t>
        </is>
      </c>
      <c r="F750" t="inlineStr">
        <is>
          <t>Allmännings- och besparingsskogar</t>
        </is>
      </c>
      <c r="G750" t="n">
        <v>14.9</v>
      </c>
      <c r="H750" t="n">
        <v>0</v>
      </c>
      <c r="I750" t="n">
        <v>0</v>
      </c>
      <c r="J750" t="n">
        <v>0</v>
      </c>
      <c r="K750" t="n">
        <v>0</v>
      </c>
      <c r="L750" t="n">
        <v>0</v>
      </c>
      <c r="M750" t="n">
        <v>0</v>
      </c>
      <c r="N750" t="n">
        <v>0</v>
      </c>
      <c r="O750" t="n">
        <v>0</v>
      </c>
      <c r="P750" t="n">
        <v>0</v>
      </c>
      <c r="Q750" t="n">
        <v>0</v>
      </c>
      <c r="R750" s="2" t="inlineStr"/>
    </row>
    <row r="751" ht="15" customHeight="1">
      <c r="A751" t="inlineStr">
        <is>
          <t>A 9554-2025</t>
        </is>
      </c>
      <c r="B751" s="1" t="n">
        <v>45715.59936342593</v>
      </c>
      <c r="C751" s="1" t="n">
        <v>46073</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11463-2024</t>
        </is>
      </c>
      <c r="B752" s="1" t="n">
        <v>45372.58969907407</v>
      </c>
      <c r="C752" s="1" t="n">
        <v>46073</v>
      </c>
      <c r="D752" t="inlineStr">
        <is>
          <t>DALARNAS LÄN</t>
        </is>
      </c>
      <c r="E752" t="inlineStr">
        <is>
          <t>MORA</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27975-2023</t>
        </is>
      </c>
      <c r="B753" s="1" t="n">
        <v>45098</v>
      </c>
      <c r="C753" s="1" t="n">
        <v>46073</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5769-2025</t>
        </is>
      </c>
      <c r="B754" s="1" t="n">
        <v>45694.59288194445</v>
      </c>
      <c r="C754" s="1" t="n">
        <v>46073</v>
      </c>
      <c r="D754" t="inlineStr">
        <is>
          <t>DALARNAS LÄN</t>
        </is>
      </c>
      <c r="E754" t="inlineStr">
        <is>
          <t>MORA</t>
        </is>
      </c>
      <c r="G754" t="n">
        <v>15.7</v>
      </c>
      <c r="H754" t="n">
        <v>0</v>
      </c>
      <c r="I754" t="n">
        <v>0</v>
      </c>
      <c r="J754" t="n">
        <v>0</v>
      </c>
      <c r="K754" t="n">
        <v>0</v>
      </c>
      <c r="L754" t="n">
        <v>0</v>
      </c>
      <c r="M754" t="n">
        <v>0</v>
      </c>
      <c r="N754" t="n">
        <v>0</v>
      </c>
      <c r="O754" t="n">
        <v>0</v>
      </c>
      <c r="P754" t="n">
        <v>0</v>
      </c>
      <c r="Q754" t="n">
        <v>0</v>
      </c>
      <c r="R754" s="2" t="inlineStr"/>
    </row>
    <row r="755" ht="15" customHeight="1">
      <c r="A755" t="inlineStr">
        <is>
          <t>A 59101-2024</t>
        </is>
      </c>
      <c r="B755" s="1" t="n">
        <v>45637.34074074074</v>
      </c>
      <c r="C755" s="1" t="n">
        <v>46073</v>
      </c>
      <c r="D755" t="inlineStr">
        <is>
          <t>DALARNAS LÄN</t>
        </is>
      </c>
      <c r="E755" t="inlineStr">
        <is>
          <t>MORA</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43874-2024</t>
        </is>
      </c>
      <c r="B756" s="1" t="n">
        <v>45572.38476851852</v>
      </c>
      <c r="C756" s="1" t="n">
        <v>46073</v>
      </c>
      <c r="D756" t="inlineStr">
        <is>
          <t>DALARNAS LÄN</t>
        </is>
      </c>
      <c r="E756" t="inlineStr">
        <is>
          <t>MORA</t>
        </is>
      </c>
      <c r="G756" t="n">
        <v>3.6</v>
      </c>
      <c r="H756" t="n">
        <v>0</v>
      </c>
      <c r="I756" t="n">
        <v>0</v>
      </c>
      <c r="J756" t="n">
        <v>0</v>
      </c>
      <c r="K756" t="n">
        <v>0</v>
      </c>
      <c r="L756" t="n">
        <v>0</v>
      </c>
      <c r="M756" t="n">
        <v>0</v>
      </c>
      <c r="N756" t="n">
        <v>0</v>
      </c>
      <c r="O756" t="n">
        <v>0</v>
      </c>
      <c r="P756" t="n">
        <v>0</v>
      </c>
      <c r="Q756" t="n">
        <v>0</v>
      </c>
      <c r="R756" s="2" t="inlineStr"/>
    </row>
    <row r="757" ht="15" customHeight="1">
      <c r="A757" t="inlineStr">
        <is>
          <t>A 57903-2022</t>
        </is>
      </c>
      <c r="B757" s="1" t="n">
        <v>44900.3521412037</v>
      </c>
      <c r="C757" s="1" t="n">
        <v>46073</v>
      </c>
      <c r="D757" t="inlineStr">
        <is>
          <t>DALARNAS LÄN</t>
        </is>
      </c>
      <c r="E757" t="inlineStr">
        <is>
          <t>MORA</t>
        </is>
      </c>
      <c r="G757" t="n">
        <v>4.3</v>
      </c>
      <c r="H757" t="n">
        <v>0</v>
      </c>
      <c r="I757" t="n">
        <v>0</v>
      </c>
      <c r="J757" t="n">
        <v>0</v>
      </c>
      <c r="K757" t="n">
        <v>0</v>
      </c>
      <c r="L757" t="n">
        <v>0</v>
      </c>
      <c r="M757" t="n">
        <v>0</v>
      </c>
      <c r="N757" t="n">
        <v>0</v>
      </c>
      <c r="O757" t="n">
        <v>0</v>
      </c>
      <c r="P757" t="n">
        <v>0</v>
      </c>
      <c r="Q757" t="n">
        <v>0</v>
      </c>
      <c r="R757" s="2" t="inlineStr"/>
    </row>
    <row r="758" ht="15" customHeight="1">
      <c r="A758" t="inlineStr">
        <is>
          <t>A 24169-2022</t>
        </is>
      </c>
      <c r="B758" s="1" t="n">
        <v>44725.50280092593</v>
      </c>
      <c r="C758" s="1" t="n">
        <v>46073</v>
      </c>
      <c r="D758" t="inlineStr">
        <is>
          <t>DALARNAS LÄN</t>
        </is>
      </c>
      <c r="E758" t="inlineStr">
        <is>
          <t>MORA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65186-2021</t>
        </is>
      </c>
      <c r="B759" s="1" t="n">
        <v>44515</v>
      </c>
      <c r="C759" s="1" t="n">
        <v>46073</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58892-2023</t>
        </is>
      </c>
      <c r="B760" s="1" t="n">
        <v>45252.48592592592</v>
      </c>
      <c r="C760" s="1" t="n">
        <v>46073</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11442-2022</t>
        </is>
      </c>
      <c r="B761" s="1" t="n">
        <v>44630.62788194444</v>
      </c>
      <c r="C761" s="1" t="n">
        <v>46073</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6183-2024</t>
        </is>
      </c>
      <c r="B762" s="1" t="n">
        <v>45337.54135416666</v>
      </c>
      <c r="C762" s="1" t="n">
        <v>46073</v>
      </c>
      <c r="D762" t="inlineStr">
        <is>
          <t>DALARNAS LÄN</t>
        </is>
      </c>
      <c r="E762" t="inlineStr">
        <is>
          <t>MORA</t>
        </is>
      </c>
      <c r="G762" t="n">
        <v>7.9</v>
      </c>
      <c r="H762" t="n">
        <v>0</v>
      </c>
      <c r="I762" t="n">
        <v>0</v>
      </c>
      <c r="J762" t="n">
        <v>0</v>
      </c>
      <c r="K762" t="n">
        <v>0</v>
      </c>
      <c r="L762" t="n">
        <v>0</v>
      </c>
      <c r="M762" t="n">
        <v>0</v>
      </c>
      <c r="N762" t="n">
        <v>0</v>
      </c>
      <c r="O762" t="n">
        <v>0</v>
      </c>
      <c r="P762" t="n">
        <v>0</v>
      </c>
      <c r="Q762" t="n">
        <v>0</v>
      </c>
      <c r="R762" s="2" t="inlineStr"/>
    </row>
    <row r="763" ht="15" customHeight="1">
      <c r="A763" t="inlineStr">
        <is>
          <t>A 45562-2023</t>
        </is>
      </c>
      <c r="B763" s="1" t="n">
        <v>45194.59378472222</v>
      </c>
      <c r="C763" s="1" t="n">
        <v>46073</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35551-2023</t>
        </is>
      </c>
      <c r="B764" s="1" t="n">
        <v>45147.3934837963</v>
      </c>
      <c r="C764" s="1" t="n">
        <v>46073</v>
      </c>
      <c r="D764" t="inlineStr">
        <is>
          <t>DALARNAS LÄN</t>
        </is>
      </c>
      <c r="E764" t="inlineStr">
        <is>
          <t>MORA</t>
        </is>
      </c>
      <c r="G764" t="n">
        <v>1.1</v>
      </c>
      <c r="H764" t="n">
        <v>0</v>
      </c>
      <c r="I764" t="n">
        <v>0</v>
      </c>
      <c r="J764" t="n">
        <v>0</v>
      </c>
      <c r="K764" t="n">
        <v>0</v>
      </c>
      <c r="L764" t="n">
        <v>0</v>
      </c>
      <c r="M764" t="n">
        <v>0</v>
      </c>
      <c r="N764" t="n">
        <v>0</v>
      </c>
      <c r="O764" t="n">
        <v>0</v>
      </c>
      <c r="P764" t="n">
        <v>0</v>
      </c>
      <c r="Q764" t="n">
        <v>0</v>
      </c>
      <c r="R764" s="2" t="inlineStr"/>
    </row>
    <row r="765" ht="15" customHeight="1">
      <c r="A765" t="inlineStr">
        <is>
          <t>A 23300-2024</t>
        </is>
      </c>
      <c r="B765" s="1" t="n">
        <v>45453.43695601852</v>
      </c>
      <c r="C765" s="1" t="n">
        <v>46073</v>
      </c>
      <c r="D765" t="inlineStr">
        <is>
          <t>DALARNAS LÄN</t>
        </is>
      </c>
      <c r="E765" t="inlineStr">
        <is>
          <t>MORA</t>
        </is>
      </c>
      <c r="G765" t="n">
        <v>0.5</v>
      </c>
      <c r="H765" t="n">
        <v>0</v>
      </c>
      <c r="I765" t="n">
        <v>0</v>
      </c>
      <c r="J765" t="n">
        <v>0</v>
      </c>
      <c r="K765" t="n">
        <v>0</v>
      </c>
      <c r="L765" t="n">
        <v>0</v>
      </c>
      <c r="M765" t="n">
        <v>0</v>
      </c>
      <c r="N765" t="n">
        <v>0</v>
      </c>
      <c r="O765" t="n">
        <v>0</v>
      </c>
      <c r="P765" t="n">
        <v>0</v>
      </c>
      <c r="Q765" t="n">
        <v>0</v>
      </c>
      <c r="R765" s="2" t="inlineStr"/>
    </row>
    <row r="766" ht="15" customHeight="1">
      <c r="A766" t="inlineStr">
        <is>
          <t>A 56268-2024</t>
        </is>
      </c>
      <c r="B766" s="1" t="n">
        <v>45624.65785879629</v>
      </c>
      <c r="C766" s="1" t="n">
        <v>46073</v>
      </c>
      <c r="D766" t="inlineStr">
        <is>
          <t>DALARNAS LÄN</t>
        </is>
      </c>
      <c r="E766" t="inlineStr">
        <is>
          <t>MORA</t>
        </is>
      </c>
      <c r="G766" t="n">
        <v>2.7</v>
      </c>
      <c r="H766" t="n">
        <v>0</v>
      </c>
      <c r="I766" t="n">
        <v>0</v>
      </c>
      <c r="J766" t="n">
        <v>0</v>
      </c>
      <c r="K766" t="n">
        <v>0</v>
      </c>
      <c r="L766" t="n">
        <v>0</v>
      </c>
      <c r="M766" t="n">
        <v>0</v>
      </c>
      <c r="N766" t="n">
        <v>0</v>
      </c>
      <c r="O766" t="n">
        <v>0</v>
      </c>
      <c r="P766" t="n">
        <v>0</v>
      </c>
      <c r="Q766" t="n">
        <v>0</v>
      </c>
      <c r="R766" s="2" t="inlineStr"/>
    </row>
    <row r="767" ht="15" customHeight="1">
      <c r="A767" t="inlineStr">
        <is>
          <t>A 571-2024</t>
        </is>
      </c>
      <c r="B767" s="1" t="n">
        <v>45299</v>
      </c>
      <c r="C767" s="1" t="n">
        <v>46073</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50056-2022</t>
        </is>
      </c>
      <c r="B768" s="1" t="n">
        <v>44865</v>
      </c>
      <c r="C768" s="1" t="n">
        <v>46073</v>
      </c>
      <c r="D768" t="inlineStr">
        <is>
          <t>DALARNAS LÄN</t>
        </is>
      </c>
      <c r="E768" t="inlineStr">
        <is>
          <t>MORA</t>
        </is>
      </c>
      <c r="G768" t="n">
        <v>1.2</v>
      </c>
      <c r="H768" t="n">
        <v>0</v>
      </c>
      <c r="I768" t="n">
        <v>0</v>
      </c>
      <c r="J768" t="n">
        <v>0</v>
      </c>
      <c r="K768" t="n">
        <v>0</v>
      </c>
      <c r="L768" t="n">
        <v>0</v>
      </c>
      <c r="M768" t="n">
        <v>0</v>
      </c>
      <c r="N768" t="n">
        <v>0</v>
      </c>
      <c r="O768" t="n">
        <v>0</v>
      </c>
      <c r="P768" t="n">
        <v>0</v>
      </c>
      <c r="Q768" t="n">
        <v>0</v>
      </c>
      <c r="R768" s="2" t="inlineStr"/>
    </row>
    <row r="769" ht="15" customHeight="1">
      <c r="A769" t="inlineStr">
        <is>
          <t>A 15499-2024</t>
        </is>
      </c>
      <c r="B769" s="1" t="n">
        <v>45401.53798611111</v>
      </c>
      <c r="C769" s="1" t="n">
        <v>46073</v>
      </c>
      <c r="D769" t="inlineStr">
        <is>
          <t>DALARNAS LÄN</t>
        </is>
      </c>
      <c r="E769" t="inlineStr">
        <is>
          <t>MORA</t>
        </is>
      </c>
      <c r="G769" t="n">
        <v>1.2</v>
      </c>
      <c r="H769" t="n">
        <v>0</v>
      </c>
      <c r="I769" t="n">
        <v>0</v>
      </c>
      <c r="J769" t="n">
        <v>0</v>
      </c>
      <c r="K769" t="n">
        <v>0</v>
      </c>
      <c r="L769" t="n">
        <v>0</v>
      </c>
      <c r="M769" t="n">
        <v>0</v>
      </c>
      <c r="N769" t="n">
        <v>0</v>
      </c>
      <c r="O769" t="n">
        <v>0</v>
      </c>
      <c r="P769" t="n">
        <v>0</v>
      </c>
      <c r="Q769" t="n">
        <v>0</v>
      </c>
      <c r="R769" s="2" t="inlineStr"/>
    </row>
    <row r="770" ht="15" customHeight="1">
      <c r="A770" t="inlineStr">
        <is>
          <t>A 43879-2022</t>
        </is>
      </c>
      <c r="B770" s="1" t="n">
        <v>44838.46721064814</v>
      </c>
      <c r="C770" s="1" t="n">
        <v>46073</v>
      </c>
      <c r="D770" t="inlineStr">
        <is>
          <t>DALARNAS LÄN</t>
        </is>
      </c>
      <c r="E770" t="inlineStr">
        <is>
          <t>MORA</t>
        </is>
      </c>
      <c r="G770" t="n">
        <v>3.4</v>
      </c>
      <c r="H770" t="n">
        <v>0</v>
      </c>
      <c r="I770" t="n">
        <v>0</v>
      </c>
      <c r="J770" t="n">
        <v>0</v>
      </c>
      <c r="K770" t="n">
        <v>0</v>
      </c>
      <c r="L770" t="n">
        <v>0</v>
      </c>
      <c r="M770" t="n">
        <v>0</v>
      </c>
      <c r="N770" t="n">
        <v>0</v>
      </c>
      <c r="O770" t="n">
        <v>0</v>
      </c>
      <c r="P770" t="n">
        <v>0</v>
      </c>
      <c r="Q770" t="n">
        <v>0</v>
      </c>
      <c r="R770" s="2" t="inlineStr"/>
    </row>
    <row r="771" ht="15" customHeight="1">
      <c r="A771" t="inlineStr">
        <is>
          <t>A 39888-2024</t>
        </is>
      </c>
      <c r="B771" s="1" t="n">
        <v>45553.47538194444</v>
      </c>
      <c r="C771" s="1" t="n">
        <v>46073</v>
      </c>
      <c r="D771" t="inlineStr">
        <is>
          <t>DALARNAS LÄN</t>
        </is>
      </c>
      <c r="E771" t="inlineStr">
        <is>
          <t>MORA</t>
        </is>
      </c>
      <c r="G771" t="n">
        <v>5.4</v>
      </c>
      <c r="H771" t="n">
        <v>0</v>
      </c>
      <c r="I771" t="n">
        <v>0</v>
      </c>
      <c r="J771" t="n">
        <v>0</v>
      </c>
      <c r="K771" t="n">
        <v>0</v>
      </c>
      <c r="L771" t="n">
        <v>0</v>
      </c>
      <c r="M771" t="n">
        <v>0</v>
      </c>
      <c r="N771" t="n">
        <v>0</v>
      </c>
      <c r="O771" t="n">
        <v>0</v>
      </c>
      <c r="P771" t="n">
        <v>0</v>
      </c>
      <c r="Q771" t="n">
        <v>0</v>
      </c>
      <c r="R771" s="2" t="inlineStr"/>
    </row>
    <row r="772" ht="15" customHeight="1">
      <c r="A772" t="inlineStr">
        <is>
          <t>A 12828-2023</t>
        </is>
      </c>
      <c r="B772" s="1" t="n">
        <v>45001</v>
      </c>
      <c r="C772" s="1" t="n">
        <v>46073</v>
      </c>
      <c r="D772" t="inlineStr">
        <is>
          <t>DALARNAS LÄN</t>
        </is>
      </c>
      <c r="E772" t="inlineStr">
        <is>
          <t>MORA</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60099-2024</t>
        </is>
      </c>
      <c r="B773" s="1" t="n">
        <v>45642.55645833333</v>
      </c>
      <c r="C773" s="1" t="n">
        <v>46073</v>
      </c>
      <c r="D773" t="inlineStr">
        <is>
          <t>DALARNAS LÄN</t>
        </is>
      </c>
      <c r="E773" t="inlineStr">
        <is>
          <t>MORA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53750-2024</t>
        </is>
      </c>
      <c r="B774" s="1" t="n">
        <v>45615.48465277778</v>
      </c>
      <c r="C774" s="1" t="n">
        <v>46073</v>
      </c>
      <c r="D774" t="inlineStr">
        <is>
          <t>DALARNAS LÄN</t>
        </is>
      </c>
      <c r="E774" t="inlineStr">
        <is>
          <t>MORA</t>
        </is>
      </c>
      <c r="G774" t="n">
        <v>2.3</v>
      </c>
      <c r="H774" t="n">
        <v>0</v>
      </c>
      <c r="I774" t="n">
        <v>0</v>
      </c>
      <c r="J774" t="n">
        <v>0</v>
      </c>
      <c r="K774" t="n">
        <v>0</v>
      </c>
      <c r="L774" t="n">
        <v>0</v>
      </c>
      <c r="M774" t="n">
        <v>0</v>
      </c>
      <c r="N774" t="n">
        <v>0</v>
      </c>
      <c r="O774" t="n">
        <v>0</v>
      </c>
      <c r="P774" t="n">
        <v>0</v>
      </c>
      <c r="Q774" t="n">
        <v>0</v>
      </c>
      <c r="R774" s="2" t="inlineStr"/>
    </row>
    <row r="775" ht="15" customHeight="1">
      <c r="A775" t="inlineStr">
        <is>
          <t>A 37971-2024</t>
        </is>
      </c>
      <c r="B775" s="1" t="n">
        <v>45544</v>
      </c>
      <c r="C775" s="1" t="n">
        <v>46073</v>
      </c>
      <c r="D775" t="inlineStr">
        <is>
          <t>DALARNAS LÄN</t>
        </is>
      </c>
      <c r="E775" t="inlineStr">
        <is>
          <t>MORA</t>
        </is>
      </c>
      <c r="G775" t="n">
        <v>2.3</v>
      </c>
      <c r="H775" t="n">
        <v>0</v>
      </c>
      <c r="I775" t="n">
        <v>0</v>
      </c>
      <c r="J775" t="n">
        <v>0</v>
      </c>
      <c r="K775" t="n">
        <v>0</v>
      </c>
      <c r="L775" t="n">
        <v>0</v>
      </c>
      <c r="M775" t="n">
        <v>0</v>
      </c>
      <c r="N775" t="n">
        <v>0</v>
      </c>
      <c r="O775" t="n">
        <v>0</v>
      </c>
      <c r="P775" t="n">
        <v>0</v>
      </c>
      <c r="Q775" t="n">
        <v>0</v>
      </c>
      <c r="R775" s="2" t="inlineStr"/>
    </row>
    <row r="776" ht="15" customHeight="1">
      <c r="A776" t="inlineStr">
        <is>
          <t>A 18122-2025</t>
        </is>
      </c>
      <c r="B776" s="1" t="n">
        <v>45761.59221064814</v>
      </c>
      <c r="C776" s="1" t="n">
        <v>46073</v>
      </c>
      <c r="D776" t="inlineStr">
        <is>
          <t>DALARNAS LÄN</t>
        </is>
      </c>
      <c r="E776" t="inlineStr">
        <is>
          <t>MORA</t>
        </is>
      </c>
      <c r="F776" t="inlineStr">
        <is>
          <t>Bergvik skog öst AB</t>
        </is>
      </c>
      <c r="G776" t="n">
        <v>1.1</v>
      </c>
      <c r="H776" t="n">
        <v>0</v>
      </c>
      <c r="I776" t="n">
        <v>0</v>
      </c>
      <c r="J776" t="n">
        <v>0</v>
      </c>
      <c r="K776" t="n">
        <v>0</v>
      </c>
      <c r="L776" t="n">
        <v>0</v>
      </c>
      <c r="M776" t="n">
        <v>0</v>
      </c>
      <c r="N776" t="n">
        <v>0</v>
      </c>
      <c r="O776" t="n">
        <v>0</v>
      </c>
      <c r="P776" t="n">
        <v>0</v>
      </c>
      <c r="Q776" t="n">
        <v>0</v>
      </c>
      <c r="R776" s="2" t="inlineStr"/>
    </row>
    <row r="777" ht="15" customHeight="1">
      <c r="A777" t="inlineStr">
        <is>
          <t>A 46923-2024</t>
        </is>
      </c>
      <c r="B777" s="1" t="n">
        <v>45584.42887731481</v>
      </c>
      <c r="C777" s="1" t="n">
        <v>46073</v>
      </c>
      <c r="D777" t="inlineStr">
        <is>
          <t>DALARNAS LÄN</t>
        </is>
      </c>
      <c r="E777" t="inlineStr">
        <is>
          <t>MORA</t>
        </is>
      </c>
      <c r="G777" t="n">
        <v>3.4</v>
      </c>
      <c r="H777" t="n">
        <v>0</v>
      </c>
      <c r="I777" t="n">
        <v>0</v>
      </c>
      <c r="J777" t="n">
        <v>0</v>
      </c>
      <c r="K777" t="n">
        <v>0</v>
      </c>
      <c r="L777" t="n">
        <v>0</v>
      </c>
      <c r="M777" t="n">
        <v>0</v>
      </c>
      <c r="N777" t="n">
        <v>0</v>
      </c>
      <c r="O777" t="n">
        <v>0</v>
      </c>
      <c r="P777" t="n">
        <v>0</v>
      </c>
      <c r="Q777" t="n">
        <v>0</v>
      </c>
      <c r="R777" s="2" t="inlineStr"/>
    </row>
    <row r="778" ht="15" customHeight="1">
      <c r="A778" t="inlineStr">
        <is>
          <t>A 13262-2022</t>
        </is>
      </c>
      <c r="B778" s="1" t="n">
        <v>44644.70184027778</v>
      </c>
      <c r="C778" s="1" t="n">
        <v>46073</v>
      </c>
      <c r="D778" t="inlineStr">
        <is>
          <t>DALARNAS LÄN</t>
        </is>
      </c>
      <c r="E778" t="inlineStr">
        <is>
          <t>MORA</t>
        </is>
      </c>
      <c r="G778" t="n">
        <v>0.8</v>
      </c>
      <c r="H778" t="n">
        <v>0</v>
      </c>
      <c r="I778" t="n">
        <v>0</v>
      </c>
      <c r="J778" t="n">
        <v>0</v>
      </c>
      <c r="K778" t="n">
        <v>0</v>
      </c>
      <c r="L778" t="n">
        <v>0</v>
      </c>
      <c r="M778" t="n">
        <v>0</v>
      </c>
      <c r="N778" t="n">
        <v>0</v>
      </c>
      <c r="O778" t="n">
        <v>0</v>
      </c>
      <c r="P778" t="n">
        <v>0</v>
      </c>
      <c r="Q778" t="n">
        <v>0</v>
      </c>
      <c r="R778" s="2" t="inlineStr"/>
    </row>
    <row r="779" ht="15" customHeight="1">
      <c r="A779" t="inlineStr">
        <is>
          <t>A 47036-2023</t>
        </is>
      </c>
      <c r="B779" s="1" t="n">
        <v>45196</v>
      </c>
      <c r="C779" s="1" t="n">
        <v>46073</v>
      </c>
      <c r="D779" t="inlineStr">
        <is>
          <t>DALARNAS LÄN</t>
        </is>
      </c>
      <c r="E779" t="inlineStr">
        <is>
          <t>MORA</t>
        </is>
      </c>
      <c r="G779" t="n">
        <v>2.7</v>
      </c>
      <c r="H779" t="n">
        <v>0</v>
      </c>
      <c r="I779" t="n">
        <v>0</v>
      </c>
      <c r="J779" t="n">
        <v>0</v>
      </c>
      <c r="K779" t="n">
        <v>0</v>
      </c>
      <c r="L779" t="n">
        <v>0</v>
      </c>
      <c r="M779" t="n">
        <v>0</v>
      </c>
      <c r="N779" t="n">
        <v>0</v>
      </c>
      <c r="O779" t="n">
        <v>0</v>
      </c>
      <c r="P779" t="n">
        <v>0</v>
      </c>
      <c r="Q779" t="n">
        <v>0</v>
      </c>
      <c r="R779" s="2" t="inlineStr"/>
    </row>
    <row r="780" ht="15" customHeight="1">
      <c r="A780" t="inlineStr">
        <is>
          <t>A 1897-2023</t>
        </is>
      </c>
      <c r="B780" s="1" t="n">
        <v>44937</v>
      </c>
      <c r="C780" s="1" t="n">
        <v>46073</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20549-2025</t>
        </is>
      </c>
      <c r="B781" s="1" t="n">
        <v>45775.63459490741</v>
      </c>
      <c r="C781" s="1" t="n">
        <v>46073</v>
      </c>
      <c r="D781" t="inlineStr">
        <is>
          <t>DALARNAS LÄN</t>
        </is>
      </c>
      <c r="E781" t="inlineStr">
        <is>
          <t>MORA</t>
        </is>
      </c>
      <c r="G781" t="n">
        <v>1.6</v>
      </c>
      <c r="H781" t="n">
        <v>0</v>
      </c>
      <c r="I781" t="n">
        <v>0</v>
      </c>
      <c r="J781" t="n">
        <v>0</v>
      </c>
      <c r="K781" t="n">
        <v>0</v>
      </c>
      <c r="L781" t="n">
        <v>0</v>
      </c>
      <c r="M781" t="n">
        <v>0</v>
      </c>
      <c r="N781" t="n">
        <v>0</v>
      </c>
      <c r="O781" t="n">
        <v>0</v>
      </c>
      <c r="P781" t="n">
        <v>0</v>
      </c>
      <c r="Q781" t="n">
        <v>0</v>
      </c>
      <c r="R781" s="2" t="inlineStr"/>
    </row>
    <row r="782" ht="15" customHeight="1">
      <c r="A782" t="inlineStr">
        <is>
          <t>A 19193-2025</t>
        </is>
      </c>
      <c r="B782" s="1" t="n">
        <v>45769.42203703704</v>
      </c>
      <c r="C782" s="1" t="n">
        <v>46073</v>
      </c>
      <c r="D782" t="inlineStr">
        <is>
          <t>DALARNAS LÄN</t>
        </is>
      </c>
      <c r="E782" t="inlineStr">
        <is>
          <t>MORA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19814-2025</t>
        </is>
      </c>
      <c r="B783" s="1" t="n">
        <v>45771.45686342593</v>
      </c>
      <c r="C783" s="1" t="n">
        <v>46073</v>
      </c>
      <c r="D783" t="inlineStr">
        <is>
          <t>DALARNAS LÄN</t>
        </is>
      </c>
      <c r="E783" t="inlineStr">
        <is>
          <t>MORA</t>
        </is>
      </c>
      <c r="G783" t="n">
        <v>2.1</v>
      </c>
      <c r="H783" t="n">
        <v>0</v>
      </c>
      <c r="I783" t="n">
        <v>0</v>
      </c>
      <c r="J783" t="n">
        <v>0</v>
      </c>
      <c r="K783" t="n">
        <v>0</v>
      </c>
      <c r="L783" t="n">
        <v>0</v>
      </c>
      <c r="M783" t="n">
        <v>0</v>
      </c>
      <c r="N783" t="n">
        <v>0</v>
      </c>
      <c r="O783" t="n">
        <v>0</v>
      </c>
      <c r="P783" t="n">
        <v>0</v>
      </c>
      <c r="Q783" t="n">
        <v>0</v>
      </c>
      <c r="R783" s="2" t="inlineStr"/>
    </row>
    <row r="784" ht="15" customHeight="1">
      <c r="A784" t="inlineStr">
        <is>
          <t>A 8100-2024</t>
        </is>
      </c>
      <c r="B784" s="1" t="n">
        <v>45351.46583333334</v>
      </c>
      <c r="C784" s="1" t="n">
        <v>46073</v>
      </c>
      <c r="D784" t="inlineStr">
        <is>
          <t>DALARNAS LÄN</t>
        </is>
      </c>
      <c r="E784" t="inlineStr">
        <is>
          <t>MORA</t>
        </is>
      </c>
      <c r="G784" t="n">
        <v>3.2</v>
      </c>
      <c r="H784" t="n">
        <v>0</v>
      </c>
      <c r="I784" t="n">
        <v>0</v>
      </c>
      <c r="J784" t="n">
        <v>0</v>
      </c>
      <c r="K784" t="n">
        <v>0</v>
      </c>
      <c r="L784" t="n">
        <v>0</v>
      </c>
      <c r="M784" t="n">
        <v>0</v>
      </c>
      <c r="N784" t="n">
        <v>0</v>
      </c>
      <c r="O784" t="n">
        <v>0</v>
      </c>
      <c r="P784" t="n">
        <v>0</v>
      </c>
      <c r="Q784" t="n">
        <v>0</v>
      </c>
      <c r="R784" s="2" t="inlineStr"/>
    </row>
    <row r="785" ht="15" customHeight="1">
      <c r="A785" t="inlineStr">
        <is>
          <t>A 9855-2024</t>
        </is>
      </c>
      <c r="B785" s="1" t="n">
        <v>45363.40368055556</v>
      </c>
      <c r="C785" s="1" t="n">
        <v>46073</v>
      </c>
      <c r="D785" t="inlineStr">
        <is>
          <t>DALARNAS LÄN</t>
        </is>
      </c>
      <c r="E785" t="inlineStr">
        <is>
          <t>MORA</t>
        </is>
      </c>
      <c r="G785" t="n">
        <v>8.6</v>
      </c>
      <c r="H785" t="n">
        <v>0</v>
      </c>
      <c r="I785" t="n">
        <v>0</v>
      </c>
      <c r="J785" t="n">
        <v>0</v>
      </c>
      <c r="K785" t="n">
        <v>0</v>
      </c>
      <c r="L785" t="n">
        <v>0</v>
      </c>
      <c r="M785" t="n">
        <v>0</v>
      </c>
      <c r="N785" t="n">
        <v>0</v>
      </c>
      <c r="O785" t="n">
        <v>0</v>
      </c>
      <c r="P785" t="n">
        <v>0</v>
      </c>
      <c r="Q785" t="n">
        <v>0</v>
      </c>
      <c r="R785" s="2" t="inlineStr"/>
    </row>
    <row r="786" ht="15" customHeight="1">
      <c r="A786" t="inlineStr">
        <is>
          <t>A 22732-2024</t>
        </is>
      </c>
      <c r="B786" s="1" t="n">
        <v>45448.38677083333</v>
      </c>
      <c r="C786" s="1" t="n">
        <v>46073</v>
      </c>
      <c r="D786" t="inlineStr">
        <is>
          <t>DALARNAS LÄN</t>
        </is>
      </c>
      <c r="E786" t="inlineStr">
        <is>
          <t>MORA</t>
        </is>
      </c>
      <c r="G786" t="n">
        <v>3.6</v>
      </c>
      <c r="H786" t="n">
        <v>0</v>
      </c>
      <c r="I786" t="n">
        <v>0</v>
      </c>
      <c r="J786" t="n">
        <v>0</v>
      </c>
      <c r="K786" t="n">
        <v>0</v>
      </c>
      <c r="L786" t="n">
        <v>0</v>
      </c>
      <c r="M786" t="n">
        <v>0</v>
      </c>
      <c r="N786" t="n">
        <v>0</v>
      </c>
      <c r="O786" t="n">
        <v>0</v>
      </c>
      <c r="P786" t="n">
        <v>0</v>
      </c>
      <c r="Q786" t="n">
        <v>0</v>
      </c>
      <c r="R786" s="2" t="inlineStr"/>
    </row>
    <row r="787" ht="15" customHeight="1">
      <c r="A787" t="inlineStr">
        <is>
          <t>A 47784-2024</t>
        </is>
      </c>
      <c r="B787" s="1" t="n">
        <v>45588.59290509259</v>
      </c>
      <c r="C787" s="1" t="n">
        <v>46073</v>
      </c>
      <c r="D787" t="inlineStr">
        <is>
          <t>DALARNAS LÄN</t>
        </is>
      </c>
      <c r="E787" t="inlineStr">
        <is>
          <t>MORA</t>
        </is>
      </c>
      <c r="G787" t="n">
        <v>15.3</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45279.46009259259</v>
      </c>
      <c r="C788" s="1" t="n">
        <v>46073</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21244-2024</t>
        </is>
      </c>
      <c r="B789" s="1" t="n">
        <v>45440.59936342593</v>
      </c>
      <c r="C789" s="1" t="n">
        <v>46073</v>
      </c>
      <c r="D789" t="inlineStr">
        <is>
          <t>DALARNAS LÄN</t>
        </is>
      </c>
      <c r="E789" t="inlineStr">
        <is>
          <t>MORA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37471-2024</t>
        </is>
      </c>
      <c r="B790" s="1" t="n">
        <v>45540.85054398148</v>
      </c>
      <c r="C790" s="1" t="n">
        <v>46073</v>
      </c>
      <c r="D790" t="inlineStr">
        <is>
          <t>DALARNAS LÄN</t>
        </is>
      </c>
      <c r="E790" t="inlineStr">
        <is>
          <t>MORA</t>
        </is>
      </c>
      <c r="G790" t="n">
        <v>3.5</v>
      </c>
      <c r="H790" t="n">
        <v>0</v>
      </c>
      <c r="I790" t="n">
        <v>0</v>
      </c>
      <c r="J790" t="n">
        <v>0</v>
      </c>
      <c r="K790" t="n">
        <v>0</v>
      </c>
      <c r="L790" t="n">
        <v>0</v>
      </c>
      <c r="M790" t="n">
        <v>0</v>
      </c>
      <c r="N790" t="n">
        <v>0</v>
      </c>
      <c r="O790" t="n">
        <v>0</v>
      </c>
      <c r="P790" t="n">
        <v>0</v>
      </c>
      <c r="Q790" t="n">
        <v>0</v>
      </c>
      <c r="R790" s="2" t="inlineStr"/>
    </row>
    <row r="791" ht="15" customHeight="1">
      <c r="A791" t="inlineStr">
        <is>
          <t>A 33531-2024</t>
        </is>
      </c>
      <c r="B791" s="1" t="n">
        <v>45519.67503472222</v>
      </c>
      <c r="C791" s="1" t="n">
        <v>46073</v>
      </c>
      <c r="D791" t="inlineStr">
        <is>
          <t>DALARNAS LÄN</t>
        </is>
      </c>
      <c r="E791" t="inlineStr">
        <is>
          <t>MORA</t>
        </is>
      </c>
      <c r="G791" t="n">
        <v>14.8</v>
      </c>
      <c r="H791" t="n">
        <v>0</v>
      </c>
      <c r="I791" t="n">
        <v>0</v>
      </c>
      <c r="J791" t="n">
        <v>0</v>
      </c>
      <c r="K791" t="n">
        <v>0</v>
      </c>
      <c r="L791" t="n">
        <v>0</v>
      </c>
      <c r="M791" t="n">
        <v>0</v>
      </c>
      <c r="N791" t="n">
        <v>0</v>
      </c>
      <c r="O791" t="n">
        <v>0</v>
      </c>
      <c r="P791" t="n">
        <v>0</v>
      </c>
      <c r="Q791" t="n">
        <v>0</v>
      </c>
      <c r="R791" s="2" t="inlineStr"/>
    </row>
    <row r="792" ht="15" customHeight="1">
      <c r="A792" t="inlineStr">
        <is>
          <t>A 22785-2023</t>
        </is>
      </c>
      <c r="B792" s="1" t="n">
        <v>45072.34796296297</v>
      </c>
      <c r="C792" s="1" t="n">
        <v>46073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53754-2024</t>
        </is>
      </c>
      <c r="B793" s="1" t="n">
        <v>45615.49371527778</v>
      </c>
      <c r="C793" s="1" t="n">
        <v>46073</v>
      </c>
      <c r="D793" t="inlineStr">
        <is>
          <t>DALARNAS LÄN</t>
        </is>
      </c>
      <c r="E793" t="inlineStr">
        <is>
          <t>MORA</t>
        </is>
      </c>
      <c r="G793" t="n">
        <v>4.8</v>
      </c>
      <c r="H793" t="n">
        <v>0</v>
      </c>
      <c r="I793" t="n">
        <v>0</v>
      </c>
      <c r="J793" t="n">
        <v>0</v>
      </c>
      <c r="K793" t="n">
        <v>0</v>
      </c>
      <c r="L793" t="n">
        <v>0</v>
      </c>
      <c r="M793" t="n">
        <v>0</v>
      </c>
      <c r="N793" t="n">
        <v>0</v>
      </c>
      <c r="O793" t="n">
        <v>0</v>
      </c>
      <c r="P793" t="n">
        <v>0</v>
      </c>
      <c r="Q793" t="n">
        <v>0</v>
      </c>
      <c r="R793" s="2" t="inlineStr"/>
    </row>
    <row r="794" ht="15" customHeight="1">
      <c r="A794" t="inlineStr">
        <is>
          <t>A 20989-2024</t>
        </is>
      </c>
      <c r="B794" s="1" t="n">
        <v>45439</v>
      </c>
      <c r="C794" s="1" t="n">
        <v>46073</v>
      </c>
      <c r="D794" t="inlineStr">
        <is>
          <t>DALARNAS LÄN</t>
        </is>
      </c>
      <c r="E794" t="inlineStr">
        <is>
          <t>MORA</t>
        </is>
      </c>
      <c r="F794" t="inlineStr">
        <is>
          <t>Bergvik skog öst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20930-2024</t>
        </is>
      </c>
      <c r="B795" s="1" t="n">
        <v>45439.51907407407</v>
      </c>
      <c r="C795" s="1" t="n">
        <v>46073</v>
      </c>
      <c r="D795" t="inlineStr">
        <is>
          <t>DALARNAS LÄN</t>
        </is>
      </c>
      <c r="E795" t="inlineStr">
        <is>
          <t>MORA</t>
        </is>
      </c>
      <c r="F795" t="inlineStr">
        <is>
          <t>Bergvik skog väst AB</t>
        </is>
      </c>
      <c r="G795" t="n">
        <v>5.3</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46073</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43432-2024</t>
        </is>
      </c>
      <c r="B797" s="1" t="n">
        <v>45568.64337962963</v>
      </c>
      <c r="C797" s="1" t="n">
        <v>46073</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60428-2023</t>
        </is>
      </c>
      <c r="B798" s="1" t="n">
        <v>45259.50996527778</v>
      </c>
      <c r="C798" s="1" t="n">
        <v>46073</v>
      </c>
      <c r="D798" t="inlineStr">
        <is>
          <t>DALARNAS LÄN</t>
        </is>
      </c>
      <c r="E798" t="inlineStr">
        <is>
          <t>MORA</t>
        </is>
      </c>
      <c r="G798" t="n">
        <v>4.9</v>
      </c>
      <c r="H798" t="n">
        <v>0</v>
      </c>
      <c r="I798" t="n">
        <v>0</v>
      </c>
      <c r="J798" t="n">
        <v>0</v>
      </c>
      <c r="K798" t="n">
        <v>0</v>
      </c>
      <c r="L798" t="n">
        <v>0</v>
      </c>
      <c r="M798" t="n">
        <v>0</v>
      </c>
      <c r="N798" t="n">
        <v>0</v>
      </c>
      <c r="O798" t="n">
        <v>0</v>
      </c>
      <c r="P798" t="n">
        <v>0</v>
      </c>
      <c r="Q798" t="n">
        <v>0</v>
      </c>
      <c r="R798" s="2" t="inlineStr"/>
    </row>
    <row r="799" ht="15" customHeight="1">
      <c r="A799" t="inlineStr">
        <is>
          <t>A 437-2024</t>
        </is>
      </c>
      <c r="B799" s="1" t="n">
        <v>45296</v>
      </c>
      <c r="C799" s="1" t="n">
        <v>46073</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60715-2023</t>
        </is>
      </c>
      <c r="B800" s="1" t="n">
        <v>45260.52684027778</v>
      </c>
      <c r="C800" s="1" t="n">
        <v>46073</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27125-2024</t>
        </is>
      </c>
      <c r="B801" s="1" t="n">
        <v>45471</v>
      </c>
      <c r="C801" s="1" t="n">
        <v>46073</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30822-2024</t>
        </is>
      </c>
      <c r="B802" s="1" t="n">
        <v>45497</v>
      </c>
      <c r="C802" s="1" t="n">
        <v>46073</v>
      </c>
      <c r="D802" t="inlineStr">
        <is>
          <t>DALARNAS LÄN</t>
        </is>
      </c>
      <c r="E802" t="inlineStr">
        <is>
          <t>MORA</t>
        </is>
      </c>
      <c r="G802" t="n">
        <v>1.8</v>
      </c>
      <c r="H802" t="n">
        <v>0</v>
      </c>
      <c r="I802" t="n">
        <v>0</v>
      </c>
      <c r="J802" t="n">
        <v>0</v>
      </c>
      <c r="K802" t="n">
        <v>0</v>
      </c>
      <c r="L802" t="n">
        <v>0</v>
      </c>
      <c r="M802" t="n">
        <v>0</v>
      </c>
      <c r="N802" t="n">
        <v>0</v>
      </c>
      <c r="O802" t="n">
        <v>0</v>
      </c>
      <c r="P802" t="n">
        <v>0</v>
      </c>
      <c r="Q802" t="n">
        <v>0</v>
      </c>
      <c r="R802" s="2" t="inlineStr"/>
    </row>
    <row r="803" ht="15" customHeight="1">
      <c r="A803" t="inlineStr">
        <is>
          <t>A 58177-2024</t>
        </is>
      </c>
      <c r="B803" s="1" t="n">
        <v>45632.46821759259</v>
      </c>
      <c r="C803" s="1" t="n">
        <v>46073</v>
      </c>
      <c r="D803" t="inlineStr">
        <is>
          <t>DALARNAS LÄN</t>
        </is>
      </c>
      <c r="E803" t="inlineStr">
        <is>
          <t>MORA</t>
        </is>
      </c>
      <c r="G803" t="n">
        <v>0.8</v>
      </c>
      <c r="H803" t="n">
        <v>0</v>
      </c>
      <c r="I803" t="n">
        <v>0</v>
      </c>
      <c r="J803" t="n">
        <v>0</v>
      </c>
      <c r="K803" t="n">
        <v>0</v>
      </c>
      <c r="L803" t="n">
        <v>0</v>
      </c>
      <c r="M803" t="n">
        <v>0</v>
      </c>
      <c r="N803" t="n">
        <v>0</v>
      </c>
      <c r="O803" t="n">
        <v>0</v>
      </c>
      <c r="P803" t="n">
        <v>0</v>
      </c>
      <c r="Q803" t="n">
        <v>0</v>
      </c>
      <c r="R803" s="2" t="inlineStr"/>
    </row>
    <row r="804">
      <c r="A804" t="inlineStr">
        <is>
          <t>A 17172-2025</t>
        </is>
      </c>
      <c r="B804" s="1" t="n">
        <v>45756.37201388889</v>
      </c>
      <c r="C804" s="1" t="n">
        <v>46073</v>
      </c>
      <c r="D804" t="inlineStr">
        <is>
          <t>DALARNAS LÄN</t>
        </is>
      </c>
      <c r="E804" t="inlineStr">
        <is>
          <t>MORA</t>
        </is>
      </c>
      <c r="F804" t="inlineStr">
        <is>
          <t>Bergvik skog öst AB</t>
        </is>
      </c>
      <c r="G804" t="n">
        <v>0.5</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2026-02-20T11:07:26Z</dcterms:created>
  <dcterms:modified xmlns:dcterms="http://purl.org/dc/terms/" xmlns:xsi="http://www.w3.org/2001/XMLSchema-instance" xsi:type="dcterms:W3CDTF">2026-02-20T11:07:27Z</dcterms:modified>
</cp:coreProperties>
</file>